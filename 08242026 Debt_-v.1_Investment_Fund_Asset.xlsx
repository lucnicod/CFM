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 defaultThemeVersion="124226"/>
  <xr:revisionPtr revIDLastSave="2" documentId="13_ncr:1_{53039D0A-F4BA-4A9A-A891-1B965EB3DAF4}" xr6:coauthVersionLast="47" xr6:coauthVersionMax="47" xr10:uidLastSave="{811BB40D-CC78-4311-BC67-0851DB04EB11}"/>
  <bookViews>
    <workbookView xWindow="28692" yWindow="-108" windowWidth="29016" windowHeight="16416" xr2:uid="{00000000-000D-0000-FFFF-FFFF00000000}"/>
  </bookViews>
  <sheets>
    <sheet name="Cashflow" sheetId="38" r:id="rId1"/>
    <sheet name="Time" sheetId="37" r:id="rId2"/>
    <sheet name="CaseData" sheetId="34" r:id="rId3"/>
    <sheet name="CaseSolution" sheetId="35" r:id="rId4"/>
    <sheet name="Tmp" sheetId="36" r:id="rId5"/>
  </sheets>
  <definedNames>
    <definedName name="company">CaseData!$G$53</definedName>
    <definedName name="end_date">CaseData!$G$7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CaseData!$G$6 * 4</definedName>
    <definedName name="_xlnm.Print_Area" localSheetId="0">Cashflow!$A$1:$AD$107</definedName>
    <definedName name="_xlnm.Print_Titles" localSheetId="0">Cashflow!$1:$4</definedName>
    <definedName name="_xlnm.Print_Titles" localSheetId="1">Time!$1:$4</definedName>
    <definedName name="_xlnm.Print_Titles" localSheetId="4">Tmp!$1:$4</definedName>
    <definedName name="quarters">Time!$F$9</definedName>
    <definedName name="start_date">CaseData!$G$4</definedName>
    <definedName name="topic">"CFM Topic: " &amp; CaseData!$F$54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38" l="1"/>
  <c r="I97" i="38"/>
  <c r="G97" i="38"/>
  <c r="F97" i="38"/>
  <c r="E97" i="38"/>
  <c r="I96" i="38"/>
  <c r="G96" i="38"/>
  <c r="E96" i="38"/>
  <c r="I75" i="38"/>
  <c r="G75" i="38"/>
  <c r="G17" i="38"/>
  <c r="F75" i="38"/>
  <c r="E75" i="38"/>
  <c r="E17" i="38"/>
  <c r="I73" i="38"/>
  <c r="G73" i="38"/>
  <c r="E73" i="38"/>
  <c r="I16" i="38"/>
  <c r="G16" i="38"/>
  <c r="E16" i="38"/>
  <c r="I89" i="38"/>
  <c r="G89" i="38"/>
  <c r="E89" i="38"/>
  <c r="I88" i="38"/>
  <c r="G88" i="38"/>
  <c r="E88" i="38"/>
  <c r="DY85" i="38"/>
  <c r="DY89" i="38"/>
  <c r="DX85" i="38"/>
  <c r="DX89" i="38"/>
  <c r="DW85" i="38"/>
  <c r="DW89" i="38"/>
  <c r="DV85" i="38"/>
  <c r="DV89" i="38"/>
  <c r="DU85" i="38"/>
  <c r="DU89" i="38"/>
  <c r="DT85" i="38"/>
  <c r="DT89" i="38"/>
  <c r="DS85" i="38"/>
  <c r="DS89" i="38"/>
  <c r="DR85" i="38"/>
  <c r="DR89" i="38"/>
  <c r="DZ56" i="37"/>
  <c r="DY56" i="37"/>
  <c r="DX56" i="37"/>
  <c r="DW56" i="37"/>
  <c r="DV56" i="37"/>
  <c r="DU56" i="37"/>
  <c r="DT56" i="37"/>
  <c r="DS56" i="37"/>
  <c r="DR56" i="37"/>
  <c r="K56" i="37"/>
  <c r="L56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Y56" i="37"/>
  <c r="Z56" i="37"/>
  <c r="AA56" i="37"/>
  <c r="AB56" i="37"/>
  <c r="AC56" i="37"/>
  <c r="AD56" i="37"/>
  <c r="AE56" i="37"/>
  <c r="AF56" i="37"/>
  <c r="AG56" i="37"/>
  <c r="AH56" i="37"/>
  <c r="AI56" i="37"/>
  <c r="AJ56" i="37"/>
  <c r="AK56" i="37"/>
  <c r="AL56" i="37"/>
  <c r="AM56" i="37"/>
  <c r="AN56" i="37"/>
  <c r="AO56" i="37"/>
  <c r="AP56" i="37"/>
  <c r="AQ56" i="37"/>
  <c r="AR56" i="37"/>
  <c r="AS56" i="37"/>
  <c r="AT56" i="37"/>
  <c r="AU56" i="37"/>
  <c r="AV56" i="37"/>
  <c r="AW56" i="37"/>
  <c r="AX56" i="37"/>
  <c r="AY56" i="37"/>
  <c r="AZ56" i="37"/>
  <c r="BA56" i="37"/>
  <c r="BB56" i="37"/>
  <c r="BC56" i="37"/>
  <c r="BD56" i="37"/>
  <c r="BE56" i="37"/>
  <c r="BF56" i="37"/>
  <c r="BG56" i="37"/>
  <c r="BH56" i="37"/>
  <c r="BI56" i="37"/>
  <c r="BJ56" i="37"/>
  <c r="BK56" i="37"/>
  <c r="BL56" i="37"/>
  <c r="BM56" i="37"/>
  <c r="BN56" i="37"/>
  <c r="BO56" i="37"/>
  <c r="BP56" i="37"/>
  <c r="BQ56" i="37"/>
  <c r="BR56" i="37"/>
  <c r="BS56" i="37"/>
  <c r="BT56" i="37"/>
  <c r="BU56" i="37"/>
  <c r="BV56" i="37"/>
  <c r="BW56" i="37"/>
  <c r="BX56" i="37"/>
  <c r="BY56" i="37"/>
  <c r="BZ56" i="37"/>
  <c r="CA56" i="37"/>
  <c r="CB56" i="37"/>
  <c r="CC56" i="37"/>
  <c r="CD56" i="37"/>
  <c r="CE56" i="37"/>
  <c r="CF56" i="37"/>
  <c r="CG56" i="37"/>
  <c r="CH56" i="37"/>
  <c r="CI56" i="37"/>
  <c r="CJ56" i="37"/>
  <c r="CK56" i="37"/>
  <c r="CL56" i="37"/>
  <c r="CM56" i="37"/>
  <c r="CN56" i="37"/>
  <c r="CO56" i="37"/>
  <c r="CP56" i="37"/>
  <c r="CQ56" i="37"/>
  <c r="CR56" i="37"/>
  <c r="CS56" i="37"/>
  <c r="CT56" i="37"/>
  <c r="CU56" i="37"/>
  <c r="CV56" i="37"/>
  <c r="CW56" i="37"/>
  <c r="CX56" i="37"/>
  <c r="CY56" i="37"/>
  <c r="CZ56" i="37"/>
  <c r="DA56" i="37"/>
  <c r="DB56" i="37"/>
  <c r="DC56" i="37"/>
  <c r="DD56" i="37"/>
  <c r="DE56" i="37"/>
  <c r="DF56" i="37"/>
  <c r="DG56" i="37"/>
  <c r="DH56" i="37"/>
  <c r="DI56" i="37"/>
  <c r="DJ56" i="37"/>
  <c r="DK56" i="37"/>
  <c r="DL56" i="37"/>
  <c r="DM56" i="37"/>
  <c r="DN56" i="37"/>
  <c r="DO56" i="37"/>
  <c r="DP56" i="37"/>
  <c r="DQ56" i="37"/>
  <c r="J56" i="37"/>
  <c r="F70" i="38"/>
  <c r="F72" i="38"/>
  <c r="DO85" i="38"/>
  <c r="DO89" i="38"/>
  <c r="E63" i="38"/>
  <c r="E80" i="38"/>
  <c r="I33" i="38"/>
  <c r="G33" i="38"/>
  <c r="E33" i="38"/>
  <c r="DZ40" i="37"/>
  <c r="DZ32" i="37"/>
  <c r="I64" i="38"/>
  <c r="G64" i="38"/>
  <c r="E64" i="38"/>
  <c r="I63" i="38"/>
  <c r="G63" i="38"/>
  <c r="F8" i="37"/>
  <c r="F9" i="37"/>
  <c r="F55" i="38"/>
  <c r="F56" i="38"/>
  <c r="E55" i="38"/>
  <c r="F43" i="38"/>
  <c r="F45" i="38"/>
  <c r="F28" i="38"/>
  <c r="F11" i="38"/>
  <c r="F18" i="38"/>
  <c r="F10" i="38"/>
  <c r="F8" i="38"/>
  <c r="F96" i="38"/>
  <c r="F6" i="38"/>
  <c r="A2" i="38" a="1"/>
  <c r="A1" i="38" a="1"/>
  <c r="F37" i="37"/>
  <c r="F36" i="37"/>
  <c r="F43" i="37" a="1"/>
  <c r="E43" i="37" a="1"/>
  <c r="F60" i="37" a="1"/>
  <c r="F52" i="37"/>
  <c r="F53" i="37"/>
  <c r="F28" i="37"/>
  <c r="F29" i="37"/>
  <c r="F19" i="37"/>
  <c r="F20" i="37"/>
  <c r="H27" i="34"/>
  <c r="I27" i="34"/>
  <c r="J27" i="34"/>
  <c r="E20" i="37"/>
  <c r="E19" i="37"/>
  <c r="G18" i="34"/>
  <c r="F7" i="37"/>
  <c r="A2" i="37" a="1"/>
  <c r="A1" i="37" a="1"/>
  <c r="E11" i="36"/>
  <c r="A2" i="36" a="1"/>
  <c r="A1" i="36" a="1"/>
  <c r="I3" i="35"/>
  <c r="G37" i="34"/>
  <c r="E22" i="35"/>
  <c r="E23" i="35"/>
  <c r="G40" i="34"/>
  <c r="F22" i="35"/>
  <c r="F23" i="35"/>
  <c r="I23" i="35"/>
  <c r="I95" i="35"/>
  <c r="I96" i="35"/>
  <c r="I97" i="35"/>
  <c r="I88" i="35"/>
  <c r="I98" i="35"/>
  <c r="I90" i="35"/>
  <c r="J3" i="35"/>
  <c r="J23" i="35"/>
  <c r="I42" i="34"/>
  <c r="G42" i="34"/>
  <c r="H42" i="34"/>
  <c r="J95" i="35"/>
  <c r="J96" i="35"/>
  <c r="J97" i="35"/>
  <c r="F89" i="35"/>
  <c r="E89" i="35"/>
  <c r="I89" i="35"/>
  <c r="I91" i="35"/>
  <c r="K3" i="35"/>
  <c r="K23" i="35"/>
  <c r="L3" i="35"/>
  <c r="L23" i="35"/>
  <c r="M3" i="35"/>
  <c r="M23" i="35"/>
  <c r="N3" i="35"/>
  <c r="N2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CW3" i="35"/>
  <c r="CX3" i="35"/>
  <c r="CY3" i="35"/>
  <c r="CZ3" i="35"/>
  <c r="DA3" i="35"/>
  <c r="DB3" i="35"/>
  <c r="DC3" i="35"/>
  <c r="DD3" i="35"/>
  <c r="DE3" i="35"/>
  <c r="DF3" i="35"/>
  <c r="DG3" i="35"/>
  <c r="DH3" i="35"/>
  <c r="DI3" i="35"/>
  <c r="DJ3" i="35"/>
  <c r="DK3" i="35"/>
  <c r="DL3" i="35"/>
  <c r="DM3" i="35"/>
  <c r="DN3" i="35"/>
  <c r="DO3" i="35"/>
  <c r="DP3" i="35"/>
  <c r="DQ3" i="35"/>
  <c r="DR3" i="35"/>
  <c r="DS3" i="35"/>
  <c r="DT3" i="35"/>
  <c r="DU3" i="35"/>
  <c r="DV3" i="35"/>
  <c r="DW3" i="35"/>
  <c r="DX3" i="35"/>
  <c r="DY3" i="35"/>
  <c r="DY23" i="35"/>
  <c r="DX23" i="35"/>
  <c r="DW23" i="35"/>
  <c r="DV23" i="35"/>
  <c r="DU23" i="35"/>
  <c r="DT23" i="35"/>
  <c r="DS23" i="35"/>
  <c r="DR23" i="35"/>
  <c r="DQ23" i="35"/>
  <c r="DP23" i="35"/>
  <c r="DO23" i="35"/>
  <c r="DN23" i="35"/>
  <c r="DM23" i="35"/>
  <c r="DL23" i="35"/>
  <c r="DK23" i="35"/>
  <c r="DJ23" i="35"/>
  <c r="DI23" i="35"/>
  <c r="DH23" i="35"/>
  <c r="DG23" i="35"/>
  <c r="DF23" i="35"/>
  <c r="DE23" i="35"/>
  <c r="DD23" i="35"/>
  <c r="DC23" i="35"/>
  <c r="DB23" i="35"/>
  <c r="DA23" i="35"/>
  <c r="CZ23" i="35"/>
  <c r="CY23" i="35"/>
  <c r="CX23" i="35"/>
  <c r="CW23" i="35"/>
  <c r="CV23" i="35"/>
  <c r="CU23" i="35"/>
  <c r="CT23" i="35"/>
  <c r="CS23" i="35"/>
  <c r="CR23" i="35"/>
  <c r="CQ23" i="35"/>
  <c r="CP23" i="35"/>
  <c r="CO23" i="35"/>
  <c r="CN23" i="35"/>
  <c r="CM23" i="35"/>
  <c r="CL23" i="35"/>
  <c r="CK23" i="35"/>
  <c r="CJ23" i="35"/>
  <c r="CI23" i="35"/>
  <c r="CH23" i="35"/>
  <c r="CG23" i="35"/>
  <c r="CF23" i="35"/>
  <c r="CE23" i="35"/>
  <c r="CD23" i="35"/>
  <c r="CC23" i="35"/>
  <c r="CB23" i="35"/>
  <c r="CA23" i="35"/>
  <c r="BZ23" i="35"/>
  <c r="BY23" i="35"/>
  <c r="BX23" i="35"/>
  <c r="BW23" i="35"/>
  <c r="BV23" i="35"/>
  <c r="BU23" i="35"/>
  <c r="BT23" i="35"/>
  <c r="BS23" i="35"/>
  <c r="BR23" i="35"/>
  <c r="BQ23" i="35"/>
  <c r="BP23" i="35"/>
  <c r="BO23" i="35"/>
  <c r="BN23" i="35"/>
  <c r="BM23" i="35"/>
  <c r="BL23" i="35"/>
  <c r="BK23" i="35"/>
  <c r="BJ23" i="35"/>
  <c r="BI23" i="35"/>
  <c r="BH23" i="35"/>
  <c r="BG23" i="35"/>
  <c r="BF23" i="35"/>
  <c r="BE23" i="35"/>
  <c r="BD23" i="35"/>
  <c r="BC23" i="35"/>
  <c r="BB23" i="35"/>
  <c r="BA23" i="35"/>
  <c r="AZ23" i="35"/>
  <c r="AY23" i="35"/>
  <c r="AX23" i="35"/>
  <c r="AW23" i="35"/>
  <c r="AV23" i="35"/>
  <c r="AU23" i="35"/>
  <c r="AT23" i="35"/>
  <c r="AS23" i="35"/>
  <c r="AR23" i="35"/>
  <c r="AQ23" i="35"/>
  <c r="AP23" i="35"/>
  <c r="AO23" i="35"/>
  <c r="AN23" i="35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G23" i="35"/>
  <c r="E99" i="35"/>
  <c r="F99" i="35"/>
  <c r="I99" i="35"/>
  <c r="I92" i="35"/>
  <c r="I93" i="35"/>
  <c r="J88" i="35"/>
  <c r="J98" i="35"/>
  <c r="J90" i="35"/>
  <c r="K95" i="35"/>
  <c r="K96" i="35"/>
  <c r="K97" i="35"/>
  <c r="J89" i="35"/>
  <c r="J91" i="35"/>
  <c r="J99" i="35"/>
  <c r="J92" i="35"/>
  <c r="J93" i="35"/>
  <c r="K88" i="35"/>
  <c r="K98" i="35"/>
  <c r="K90" i="35"/>
  <c r="L95" i="35"/>
  <c r="L96" i="35"/>
  <c r="L97" i="35"/>
  <c r="K89" i="35"/>
  <c r="K91" i="35"/>
  <c r="K99" i="35"/>
  <c r="K92" i="35"/>
  <c r="K93" i="35"/>
  <c r="L88" i="35"/>
  <c r="L98" i="35"/>
  <c r="L90" i="35"/>
  <c r="DY95" i="35"/>
  <c r="DY96" i="35"/>
  <c r="DY97" i="35"/>
  <c r="L89" i="35"/>
  <c r="L91" i="35"/>
  <c r="L99" i="35"/>
  <c r="L92" i="35"/>
  <c r="L93" i="35"/>
  <c r="M88" i="35"/>
  <c r="M89" i="35"/>
  <c r="I13" i="35"/>
  <c r="I16" i="35"/>
  <c r="I79" i="35"/>
  <c r="I69" i="35"/>
  <c r="I80" i="35"/>
  <c r="I71" i="35"/>
  <c r="G27" i="34"/>
  <c r="I12" i="35"/>
  <c r="J13" i="35"/>
  <c r="J16" i="35"/>
  <c r="J79" i="35"/>
  <c r="F70" i="35"/>
  <c r="E70" i="35"/>
  <c r="I70" i="35"/>
  <c r="I72" i="35"/>
  <c r="E17" i="35"/>
  <c r="E18" i="35"/>
  <c r="G21" i="34"/>
  <c r="F17" i="35"/>
  <c r="F18" i="35"/>
  <c r="I18" i="35"/>
  <c r="I83" i="35"/>
  <c r="I73" i="35"/>
  <c r="I74" i="35"/>
  <c r="I14" i="35"/>
  <c r="I15" i="35"/>
  <c r="I63" i="35"/>
  <c r="I64" i="35"/>
  <c r="I76" i="35"/>
  <c r="I65" i="35"/>
  <c r="I75" i="35"/>
  <c r="I77" i="35"/>
  <c r="J69" i="35"/>
  <c r="J80" i="35"/>
  <c r="J71" i="35"/>
  <c r="J12" i="35"/>
  <c r="K13" i="35"/>
  <c r="K16" i="35"/>
  <c r="K79" i="35"/>
  <c r="J70" i="35"/>
  <c r="J72" i="35"/>
  <c r="J18" i="35"/>
  <c r="K18" i="35"/>
  <c r="L18" i="35"/>
  <c r="M18" i="35"/>
  <c r="N18" i="35"/>
  <c r="DY18" i="35"/>
  <c r="DX18" i="35"/>
  <c r="DW18" i="35"/>
  <c r="DV18" i="35"/>
  <c r="DU18" i="35"/>
  <c r="DT18" i="35"/>
  <c r="DS18" i="35"/>
  <c r="DR18" i="35"/>
  <c r="DQ18" i="35"/>
  <c r="DP18" i="35"/>
  <c r="DO18" i="35"/>
  <c r="DN18" i="35"/>
  <c r="DM18" i="35"/>
  <c r="DL18" i="35"/>
  <c r="DK18" i="35"/>
  <c r="DJ18" i="35"/>
  <c r="DI18" i="35"/>
  <c r="DH18" i="35"/>
  <c r="DG18" i="35"/>
  <c r="DF18" i="35"/>
  <c r="DE18" i="35"/>
  <c r="DD18" i="35"/>
  <c r="DC18" i="35"/>
  <c r="DB18" i="35"/>
  <c r="DA18" i="35"/>
  <c r="CZ18" i="35"/>
  <c r="CY18" i="35"/>
  <c r="CX18" i="35"/>
  <c r="CW18" i="35"/>
  <c r="CV18" i="35"/>
  <c r="CU18" i="35"/>
  <c r="CT18" i="35"/>
  <c r="CS18" i="35"/>
  <c r="CR18" i="35"/>
  <c r="CQ18" i="35"/>
  <c r="CP18" i="35"/>
  <c r="CO18" i="35"/>
  <c r="CN18" i="35"/>
  <c r="CM18" i="35"/>
  <c r="CL18" i="35"/>
  <c r="CK18" i="35"/>
  <c r="CJ18" i="35"/>
  <c r="CI18" i="35"/>
  <c r="CH18" i="35"/>
  <c r="CG18" i="35"/>
  <c r="CF18" i="35"/>
  <c r="CE18" i="35"/>
  <c r="CD18" i="35"/>
  <c r="CC18" i="35"/>
  <c r="CB18" i="35"/>
  <c r="CA18" i="35"/>
  <c r="BZ18" i="35"/>
  <c r="BY18" i="35"/>
  <c r="BX18" i="35"/>
  <c r="BW18" i="35"/>
  <c r="BV18" i="35"/>
  <c r="BU18" i="35"/>
  <c r="BT18" i="35"/>
  <c r="BS18" i="35"/>
  <c r="BR18" i="35"/>
  <c r="BQ18" i="35"/>
  <c r="BP18" i="35"/>
  <c r="BO18" i="35"/>
  <c r="BN18" i="35"/>
  <c r="BM18" i="35"/>
  <c r="BL18" i="35"/>
  <c r="BK18" i="35"/>
  <c r="BJ18" i="35"/>
  <c r="BI18" i="35"/>
  <c r="BH18" i="35"/>
  <c r="BG18" i="35"/>
  <c r="BF18" i="35"/>
  <c r="BE18" i="35"/>
  <c r="BD18" i="35"/>
  <c r="BC18" i="35"/>
  <c r="BB18" i="35"/>
  <c r="BA18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J19" i="35"/>
  <c r="J83" i="35"/>
  <c r="J73" i="35"/>
  <c r="J74" i="35"/>
  <c r="J14" i="35"/>
  <c r="J15" i="35"/>
  <c r="J63" i="35"/>
  <c r="J64" i="35"/>
  <c r="J76" i="35"/>
  <c r="J65" i="35"/>
  <c r="J75" i="35"/>
  <c r="J77" i="35"/>
  <c r="K69" i="35"/>
  <c r="K80" i="35"/>
  <c r="K71" i="35"/>
  <c r="K12" i="35"/>
  <c r="L13" i="35"/>
  <c r="L16" i="35"/>
  <c r="L79" i="35"/>
  <c r="K70" i="35"/>
  <c r="K72" i="35"/>
  <c r="K19" i="35"/>
  <c r="K83" i="35"/>
  <c r="K73" i="35"/>
  <c r="K74" i="35"/>
  <c r="K14" i="35"/>
  <c r="K15" i="35"/>
  <c r="K63" i="35"/>
  <c r="K64" i="35"/>
  <c r="K76" i="35"/>
  <c r="K65" i="35"/>
  <c r="K75" i="35"/>
  <c r="K77" i="35"/>
  <c r="L69" i="35"/>
  <c r="L80" i="35"/>
  <c r="L71" i="35"/>
  <c r="L12" i="35"/>
  <c r="M13" i="35"/>
  <c r="M12" i="35"/>
  <c r="N13" i="35"/>
  <c r="N12" i="35"/>
  <c r="O13" i="35"/>
  <c r="O12" i="35"/>
  <c r="P13" i="35"/>
  <c r="P12" i="35"/>
  <c r="Q13" i="35"/>
  <c r="Q12" i="35"/>
  <c r="R13" i="35"/>
  <c r="R12" i="35"/>
  <c r="S13" i="35"/>
  <c r="S12" i="35"/>
  <c r="T13" i="35"/>
  <c r="T12" i="35"/>
  <c r="U13" i="35"/>
  <c r="U12" i="35"/>
  <c r="V13" i="35"/>
  <c r="V12" i="35"/>
  <c r="W13" i="35"/>
  <c r="W12" i="35"/>
  <c r="X13" i="35"/>
  <c r="X12" i="35"/>
  <c r="Y13" i="35"/>
  <c r="Y12" i="35"/>
  <c r="Z13" i="35"/>
  <c r="Z12" i="35"/>
  <c r="AA13" i="35"/>
  <c r="AA12" i="35"/>
  <c r="AB13" i="35"/>
  <c r="AB12" i="35"/>
  <c r="AC13" i="35"/>
  <c r="AC12" i="35"/>
  <c r="AD13" i="35"/>
  <c r="AD12" i="35"/>
  <c r="AE13" i="35"/>
  <c r="AE12" i="35"/>
  <c r="AF13" i="35"/>
  <c r="AF12" i="35"/>
  <c r="AG13" i="35"/>
  <c r="AG12" i="35"/>
  <c r="AH13" i="35"/>
  <c r="AH12" i="35"/>
  <c r="AI13" i="35"/>
  <c r="AI12" i="35"/>
  <c r="AJ13" i="35"/>
  <c r="AJ12" i="35"/>
  <c r="AK13" i="35"/>
  <c r="AK12" i="35"/>
  <c r="AL13" i="35"/>
  <c r="AL12" i="35"/>
  <c r="AM13" i="35"/>
  <c r="AM12" i="35"/>
  <c r="AN13" i="35"/>
  <c r="AN12" i="35"/>
  <c r="AO13" i="35"/>
  <c r="AO12" i="35"/>
  <c r="AP13" i="35"/>
  <c r="AP12" i="35"/>
  <c r="AQ13" i="35"/>
  <c r="AQ12" i="35"/>
  <c r="AR13" i="35"/>
  <c r="AR12" i="35"/>
  <c r="AS13" i="35"/>
  <c r="AS12" i="35"/>
  <c r="AT13" i="35"/>
  <c r="AT12" i="35"/>
  <c r="AU13" i="35"/>
  <c r="AU12" i="35"/>
  <c r="AV13" i="35"/>
  <c r="AV12" i="35"/>
  <c r="AW13" i="35"/>
  <c r="AW12" i="35"/>
  <c r="AX13" i="35"/>
  <c r="AX12" i="35"/>
  <c r="AY13" i="35"/>
  <c r="AY12" i="35"/>
  <c r="AZ13" i="35"/>
  <c r="AZ12" i="35"/>
  <c r="BA13" i="35"/>
  <c r="BA12" i="35"/>
  <c r="BB13" i="35"/>
  <c r="BB12" i="35"/>
  <c r="BC13" i="35"/>
  <c r="BC12" i="35"/>
  <c r="BD13" i="35"/>
  <c r="BD12" i="35"/>
  <c r="BE13" i="35"/>
  <c r="BE12" i="35"/>
  <c r="BF13" i="35"/>
  <c r="BF12" i="35"/>
  <c r="BG13" i="35"/>
  <c r="BG12" i="35"/>
  <c r="BH13" i="35"/>
  <c r="BH12" i="35"/>
  <c r="BI13" i="35"/>
  <c r="BI12" i="35"/>
  <c r="BJ13" i="35"/>
  <c r="BJ12" i="35"/>
  <c r="BK13" i="35"/>
  <c r="BK12" i="35"/>
  <c r="BL13" i="35"/>
  <c r="BL12" i="35"/>
  <c r="BM13" i="35"/>
  <c r="BM12" i="35"/>
  <c r="BN13" i="35"/>
  <c r="BN12" i="35"/>
  <c r="BO13" i="35"/>
  <c r="BO12" i="35"/>
  <c r="BP13" i="35"/>
  <c r="BP12" i="35"/>
  <c r="BQ13" i="35"/>
  <c r="BQ12" i="35"/>
  <c r="BR13" i="35"/>
  <c r="BR12" i="35"/>
  <c r="BS13" i="35"/>
  <c r="BS12" i="35"/>
  <c r="BT13" i="35"/>
  <c r="BT12" i="35"/>
  <c r="BU13" i="35"/>
  <c r="BU12" i="35"/>
  <c r="BV13" i="35"/>
  <c r="BV12" i="35"/>
  <c r="BW13" i="35"/>
  <c r="BW12" i="35"/>
  <c r="BX13" i="35"/>
  <c r="BX12" i="35"/>
  <c r="BY13" i="35"/>
  <c r="BY12" i="35"/>
  <c r="BZ13" i="35"/>
  <c r="BZ12" i="35"/>
  <c r="CA13" i="35"/>
  <c r="CA12" i="35"/>
  <c r="CB13" i="35"/>
  <c r="CB12" i="35"/>
  <c r="CC13" i="35"/>
  <c r="CC12" i="35"/>
  <c r="CD13" i="35"/>
  <c r="CD12" i="35"/>
  <c r="CE13" i="35"/>
  <c r="CE12" i="35"/>
  <c r="CF13" i="35"/>
  <c r="CF12" i="35"/>
  <c r="CG13" i="35"/>
  <c r="CG12" i="35"/>
  <c r="CH13" i="35"/>
  <c r="CH12" i="35"/>
  <c r="CI13" i="35"/>
  <c r="CI12" i="35"/>
  <c r="CJ13" i="35"/>
  <c r="CJ12" i="35"/>
  <c r="CK13" i="35"/>
  <c r="CK12" i="35"/>
  <c r="CL13" i="35"/>
  <c r="CL12" i="35"/>
  <c r="CM13" i="35"/>
  <c r="CM12" i="35"/>
  <c r="CN13" i="35"/>
  <c r="CN12" i="35"/>
  <c r="CO13" i="35"/>
  <c r="CO12" i="35"/>
  <c r="CP13" i="35"/>
  <c r="CP12" i="35"/>
  <c r="CQ13" i="35"/>
  <c r="CQ12" i="35"/>
  <c r="CR13" i="35"/>
  <c r="CR12" i="35"/>
  <c r="CS13" i="35"/>
  <c r="CS12" i="35"/>
  <c r="CT13" i="35"/>
  <c r="CT12" i="35"/>
  <c r="CU13" i="35"/>
  <c r="CU12" i="35"/>
  <c r="CV13" i="35"/>
  <c r="CV12" i="35"/>
  <c r="CW13" i="35"/>
  <c r="CW12" i="35"/>
  <c r="CX13" i="35"/>
  <c r="CX12" i="35"/>
  <c r="CY13" i="35"/>
  <c r="CY12" i="35"/>
  <c r="CZ13" i="35"/>
  <c r="CZ12" i="35"/>
  <c r="DA13" i="35"/>
  <c r="DA12" i="35"/>
  <c r="DB13" i="35"/>
  <c r="DB12" i="35"/>
  <c r="DC13" i="35"/>
  <c r="DC12" i="35"/>
  <c r="DD13" i="35"/>
  <c r="DD12" i="35"/>
  <c r="DE13" i="35"/>
  <c r="DE12" i="35"/>
  <c r="DF13" i="35"/>
  <c r="DF12" i="35"/>
  <c r="DG13" i="35"/>
  <c r="DG12" i="35"/>
  <c r="DH13" i="35"/>
  <c r="DH12" i="35"/>
  <c r="DI13" i="35"/>
  <c r="DI12" i="35"/>
  <c r="DJ13" i="35"/>
  <c r="DJ12" i="35"/>
  <c r="DK13" i="35"/>
  <c r="DK12" i="35"/>
  <c r="DL13" i="35"/>
  <c r="DL12" i="35"/>
  <c r="DM13" i="35"/>
  <c r="DM12" i="35"/>
  <c r="DN13" i="35"/>
  <c r="DN12" i="35"/>
  <c r="DO13" i="35"/>
  <c r="DO12" i="35"/>
  <c r="DP13" i="35"/>
  <c r="DP12" i="35"/>
  <c r="DQ13" i="35"/>
  <c r="DQ12" i="35"/>
  <c r="DR13" i="35"/>
  <c r="DR12" i="35"/>
  <c r="DS13" i="35"/>
  <c r="DS12" i="35"/>
  <c r="DT13" i="35"/>
  <c r="DT12" i="35"/>
  <c r="DU13" i="35"/>
  <c r="DU12" i="35"/>
  <c r="DV13" i="35"/>
  <c r="DV12" i="35"/>
  <c r="DW13" i="35"/>
  <c r="DW12" i="35"/>
  <c r="DX13" i="35"/>
  <c r="DX12" i="35"/>
  <c r="DY13" i="35"/>
  <c r="DY16" i="35"/>
  <c r="DY79" i="35"/>
  <c r="L70" i="35"/>
  <c r="L72" i="35"/>
  <c r="L19" i="35"/>
  <c r="L83" i="35"/>
  <c r="L73" i="35"/>
  <c r="L74" i="35"/>
  <c r="L14" i="35"/>
  <c r="L15" i="35"/>
  <c r="L63" i="35"/>
  <c r="L64" i="35"/>
  <c r="L76" i="35"/>
  <c r="L65" i="35"/>
  <c r="L75" i="35"/>
  <c r="L77" i="35"/>
  <c r="M69" i="35"/>
  <c r="M70" i="35"/>
  <c r="M14" i="35"/>
  <c r="M15" i="35"/>
  <c r="M63" i="35"/>
  <c r="M64" i="35"/>
  <c r="N14" i="35"/>
  <c r="N15" i="35"/>
  <c r="N63" i="35"/>
  <c r="N64" i="35"/>
  <c r="O14" i="35"/>
  <c r="O15" i="35"/>
  <c r="O63" i="35"/>
  <c r="O64" i="35"/>
  <c r="P14" i="35"/>
  <c r="P15" i="35"/>
  <c r="P63" i="35"/>
  <c r="P64" i="35"/>
  <c r="DY12" i="35"/>
  <c r="DY14" i="35"/>
  <c r="DY15" i="35"/>
  <c r="DY63" i="35"/>
  <c r="DY64" i="35"/>
  <c r="DX14" i="35"/>
  <c r="DX15" i="35"/>
  <c r="DX63" i="35"/>
  <c r="DX64" i="35"/>
  <c r="DW14" i="35"/>
  <c r="DW15" i="35"/>
  <c r="DW63" i="35"/>
  <c r="DW64" i="35"/>
  <c r="DV14" i="35"/>
  <c r="DV15" i="35"/>
  <c r="DV63" i="35"/>
  <c r="DV64" i="35"/>
  <c r="DU14" i="35"/>
  <c r="DU15" i="35"/>
  <c r="DU63" i="35"/>
  <c r="DU64" i="35"/>
  <c r="DT14" i="35"/>
  <c r="DT15" i="35"/>
  <c r="DT63" i="35"/>
  <c r="DT64" i="35"/>
  <c r="DS14" i="35"/>
  <c r="DS15" i="35"/>
  <c r="DS63" i="35"/>
  <c r="DS64" i="35"/>
  <c r="DR14" i="35"/>
  <c r="DR15" i="35"/>
  <c r="DR63" i="35"/>
  <c r="DR64" i="35"/>
  <c r="DQ14" i="35"/>
  <c r="DQ15" i="35"/>
  <c r="DQ63" i="35"/>
  <c r="DQ64" i="35"/>
  <c r="DP14" i="35"/>
  <c r="DP15" i="35"/>
  <c r="DP63" i="35"/>
  <c r="DP64" i="35"/>
  <c r="DO14" i="35"/>
  <c r="DO15" i="35"/>
  <c r="DO63" i="35"/>
  <c r="DO64" i="35"/>
  <c r="DN14" i="35"/>
  <c r="DN15" i="35"/>
  <c r="DN63" i="35"/>
  <c r="DN64" i="35"/>
  <c r="DM14" i="35"/>
  <c r="DM15" i="35"/>
  <c r="DM63" i="35"/>
  <c r="DM64" i="35"/>
  <c r="DL14" i="35"/>
  <c r="DL15" i="35"/>
  <c r="DL63" i="35"/>
  <c r="DL64" i="35"/>
  <c r="DK14" i="35"/>
  <c r="DK15" i="35"/>
  <c r="DK63" i="35"/>
  <c r="DK64" i="35"/>
  <c r="DJ14" i="35"/>
  <c r="DJ15" i="35"/>
  <c r="DJ63" i="35"/>
  <c r="DJ64" i="35"/>
  <c r="DI14" i="35"/>
  <c r="DI15" i="35"/>
  <c r="DI63" i="35"/>
  <c r="DI64" i="35"/>
  <c r="DH14" i="35"/>
  <c r="DH15" i="35"/>
  <c r="DH63" i="35"/>
  <c r="DH64" i="35"/>
  <c r="DG14" i="35"/>
  <c r="DG15" i="35"/>
  <c r="DG63" i="35"/>
  <c r="DG64" i="35"/>
  <c r="DF14" i="35"/>
  <c r="DF15" i="35"/>
  <c r="DF63" i="35"/>
  <c r="DF64" i="35"/>
  <c r="DE14" i="35"/>
  <c r="DE15" i="35"/>
  <c r="DE63" i="35"/>
  <c r="DE64" i="35"/>
  <c r="DD14" i="35"/>
  <c r="DD15" i="35"/>
  <c r="DD63" i="35"/>
  <c r="DD64" i="35"/>
  <c r="DC14" i="35"/>
  <c r="DC15" i="35"/>
  <c r="DC63" i="35"/>
  <c r="DC64" i="35"/>
  <c r="DB14" i="35"/>
  <c r="DB15" i="35"/>
  <c r="DB63" i="35"/>
  <c r="DB64" i="35"/>
  <c r="DA14" i="35"/>
  <c r="DA15" i="35"/>
  <c r="DA63" i="35"/>
  <c r="DA64" i="35"/>
  <c r="CZ14" i="35"/>
  <c r="CZ15" i="35"/>
  <c r="CZ63" i="35"/>
  <c r="CZ64" i="35"/>
  <c r="CY14" i="35"/>
  <c r="CY15" i="35"/>
  <c r="CY63" i="35"/>
  <c r="CY64" i="35"/>
  <c r="CX14" i="35"/>
  <c r="CX15" i="35"/>
  <c r="CX63" i="35"/>
  <c r="CX64" i="35"/>
  <c r="CW14" i="35"/>
  <c r="CW15" i="35"/>
  <c r="CW63" i="35"/>
  <c r="CW64" i="35"/>
  <c r="CV14" i="35"/>
  <c r="CV15" i="35"/>
  <c r="CV63" i="35"/>
  <c r="CV64" i="35"/>
  <c r="CU14" i="35"/>
  <c r="CU15" i="35"/>
  <c r="CU63" i="35"/>
  <c r="CU64" i="35"/>
  <c r="CT14" i="35"/>
  <c r="CT15" i="35"/>
  <c r="CT63" i="35"/>
  <c r="CT64" i="35"/>
  <c r="CS14" i="35"/>
  <c r="CS15" i="35"/>
  <c r="CS63" i="35"/>
  <c r="CS64" i="35"/>
  <c r="CR14" i="35"/>
  <c r="CR15" i="35"/>
  <c r="CR63" i="35"/>
  <c r="CR64" i="35"/>
  <c r="CQ14" i="35"/>
  <c r="CQ15" i="35"/>
  <c r="CQ63" i="35"/>
  <c r="CQ64" i="35"/>
  <c r="CP14" i="35"/>
  <c r="CP15" i="35"/>
  <c r="CP63" i="35"/>
  <c r="CP64" i="35"/>
  <c r="CO14" i="35"/>
  <c r="CO15" i="35"/>
  <c r="CO63" i="35"/>
  <c r="CO64" i="35"/>
  <c r="CN14" i="35"/>
  <c r="CN15" i="35"/>
  <c r="CN63" i="35"/>
  <c r="CN64" i="35"/>
  <c r="CM14" i="35"/>
  <c r="CM15" i="35"/>
  <c r="CM63" i="35"/>
  <c r="CM64" i="35"/>
  <c r="CL14" i="35"/>
  <c r="CL15" i="35"/>
  <c r="CL63" i="35"/>
  <c r="CL64" i="35"/>
  <c r="CK14" i="35"/>
  <c r="CK15" i="35"/>
  <c r="CL16" i="35"/>
  <c r="CL61" i="35"/>
  <c r="CL19" i="35"/>
  <c r="F52" i="35"/>
  <c r="F59" i="35"/>
  <c r="CL59" i="35"/>
  <c r="G5" i="34"/>
  <c r="E26" i="35"/>
  <c r="G7" i="34"/>
  <c r="F26" i="35"/>
  <c r="CL26" i="35"/>
  <c r="H13" i="34"/>
  <c r="I12" i="34"/>
  <c r="I13" i="34"/>
  <c r="J12" i="34"/>
  <c r="J13" i="34"/>
  <c r="K12" i="34"/>
  <c r="CL27" i="35"/>
  <c r="CL28" i="35"/>
  <c r="CL58" i="35"/>
  <c r="CL60" i="35"/>
  <c r="CL62" i="35"/>
  <c r="CK63" i="35"/>
  <c r="CK64" i="35"/>
  <c r="CJ14" i="35"/>
  <c r="CJ15" i="35"/>
  <c r="CJ63" i="35"/>
  <c r="CJ64" i="35"/>
  <c r="CI14" i="35"/>
  <c r="CI15" i="35"/>
  <c r="CI63" i="35"/>
  <c r="CI64" i="35"/>
  <c r="CH14" i="35"/>
  <c r="CH15" i="35"/>
  <c r="CH63" i="35"/>
  <c r="CH64" i="35"/>
  <c r="CG14" i="35"/>
  <c r="CG15" i="35"/>
  <c r="CG63" i="35"/>
  <c r="CG64" i="35"/>
  <c r="CF14" i="35"/>
  <c r="CF15" i="35"/>
  <c r="CF63" i="35"/>
  <c r="CF64" i="35"/>
  <c r="CE14" i="35"/>
  <c r="CE15" i="35"/>
  <c r="CE63" i="35"/>
  <c r="CE64" i="35"/>
  <c r="CD14" i="35"/>
  <c r="CD15" i="35"/>
  <c r="CD63" i="35"/>
  <c r="CD64" i="35"/>
  <c r="CC14" i="35"/>
  <c r="CC15" i="35"/>
  <c r="CC63" i="35"/>
  <c r="CC64" i="35"/>
  <c r="CB14" i="35"/>
  <c r="CB15" i="35"/>
  <c r="CB63" i="35"/>
  <c r="CB64" i="35"/>
  <c r="CA14" i="35"/>
  <c r="CA15" i="35"/>
  <c r="CA63" i="35"/>
  <c r="CA64" i="35"/>
  <c r="BZ14" i="35"/>
  <c r="BZ15" i="35"/>
  <c r="BZ63" i="35"/>
  <c r="BZ64" i="35"/>
  <c r="BY14" i="35"/>
  <c r="BY15" i="35"/>
  <c r="BY63" i="35"/>
  <c r="BY64" i="35"/>
  <c r="BX14" i="35"/>
  <c r="BX15" i="35"/>
  <c r="BX63" i="35"/>
  <c r="BX64" i="35"/>
  <c r="BW14" i="35"/>
  <c r="BW15" i="35"/>
  <c r="BW63" i="35"/>
  <c r="BW64" i="35"/>
  <c r="BV14" i="35"/>
  <c r="BV15" i="35"/>
  <c r="BV63" i="35"/>
  <c r="BV64" i="35"/>
  <c r="BU14" i="35"/>
  <c r="BU15" i="35"/>
  <c r="BU63" i="35"/>
  <c r="BU64" i="35"/>
  <c r="BT14" i="35"/>
  <c r="BT15" i="35"/>
  <c r="BT63" i="35"/>
  <c r="BT64" i="35"/>
  <c r="BS14" i="35"/>
  <c r="BS15" i="35"/>
  <c r="BS63" i="35"/>
  <c r="BS64" i="35"/>
  <c r="BR14" i="35"/>
  <c r="BR15" i="35"/>
  <c r="BR63" i="35"/>
  <c r="BR64" i="35"/>
  <c r="BQ14" i="35"/>
  <c r="BQ15" i="35"/>
  <c r="BR16" i="35"/>
  <c r="BR61" i="35"/>
  <c r="BR19" i="35"/>
  <c r="BR59" i="35"/>
  <c r="BR26" i="35"/>
  <c r="BR27" i="35"/>
  <c r="BR28" i="35"/>
  <c r="BR58" i="35"/>
  <c r="BR60" i="35"/>
  <c r="BR62" i="35"/>
  <c r="BQ63" i="35"/>
  <c r="BQ64" i="35"/>
  <c r="BP14" i="35"/>
  <c r="BP15" i="35"/>
  <c r="BP63" i="35"/>
  <c r="BP64" i="35"/>
  <c r="BO14" i="35"/>
  <c r="BO15" i="35"/>
  <c r="BO63" i="35"/>
  <c r="BO64" i="35"/>
  <c r="BN14" i="35"/>
  <c r="BN15" i="35"/>
  <c r="BN63" i="35"/>
  <c r="BN64" i="35"/>
  <c r="BM14" i="35"/>
  <c r="BM15" i="35"/>
  <c r="BM63" i="35"/>
  <c r="BM64" i="35"/>
  <c r="BL14" i="35"/>
  <c r="BL15" i="35"/>
  <c r="BL63" i="35"/>
  <c r="BL64" i="35"/>
  <c r="BK14" i="35"/>
  <c r="BK15" i="35"/>
  <c r="BK63" i="35"/>
  <c r="BK64" i="35"/>
  <c r="BJ14" i="35"/>
  <c r="BJ15" i="35"/>
  <c r="BJ63" i="35"/>
  <c r="BJ64" i="35"/>
  <c r="BI14" i="35"/>
  <c r="BI15" i="35"/>
  <c r="BI63" i="35"/>
  <c r="BI64" i="35"/>
  <c r="BH14" i="35"/>
  <c r="BH15" i="35"/>
  <c r="BH63" i="35"/>
  <c r="BH64" i="35"/>
  <c r="BG14" i="35"/>
  <c r="BG15" i="35"/>
  <c r="BG63" i="35"/>
  <c r="BG64" i="35"/>
  <c r="BF14" i="35"/>
  <c r="BF15" i="35"/>
  <c r="BF63" i="35"/>
  <c r="BF64" i="35"/>
  <c r="BE14" i="35"/>
  <c r="BE15" i="35"/>
  <c r="BE63" i="35"/>
  <c r="BE64" i="35"/>
  <c r="BD14" i="35"/>
  <c r="BD15" i="35"/>
  <c r="BD63" i="35"/>
  <c r="BD64" i="35"/>
  <c r="BC14" i="35"/>
  <c r="BC15" i="35"/>
  <c r="BC63" i="35"/>
  <c r="BC64" i="35"/>
  <c r="BB14" i="35"/>
  <c r="BB15" i="35"/>
  <c r="BB63" i="35"/>
  <c r="BB64" i="35"/>
  <c r="BA14" i="35"/>
  <c r="BA15" i="35"/>
  <c r="BA63" i="35"/>
  <c r="BA64" i="35"/>
  <c r="AZ14" i="35"/>
  <c r="AZ15" i="35"/>
  <c r="AZ63" i="35"/>
  <c r="AZ64" i="35"/>
  <c r="AY14" i="35"/>
  <c r="AY15" i="35"/>
  <c r="AY63" i="35"/>
  <c r="AY64" i="35"/>
  <c r="AX14" i="35"/>
  <c r="AX15" i="35"/>
  <c r="AX63" i="35"/>
  <c r="AX64" i="35"/>
  <c r="AW14" i="35"/>
  <c r="AW15" i="35"/>
  <c r="AX16" i="35"/>
  <c r="AX61" i="35"/>
  <c r="AX19" i="35"/>
  <c r="AX59" i="35"/>
  <c r="AX26" i="35"/>
  <c r="AX27" i="35"/>
  <c r="AX28" i="35"/>
  <c r="AX58" i="35"/>
  <c r="AX60" i="35"/>
  <c r="AX62" i="35"/>
  <c r="AW63" i="35"/>
  <c r="AW64" i="35"/>
  <c r="AV14" i="35"/>
  <c r="AV15" i="35"/>
  <c r="AV63" i="35"/>
  <c r="AV64" i="35"/>
  <c r="AU14" i="35"/>
  <c r="AU15" i="35"/>
  <c r="AU63" i="35"/>
  <c r="AU64" i="35"/>
  <c r="AT14" i="35"/>
  <c r="AT15" i="35"/>
  <c r="AT63" i="35"/>
  <c r="AT64" i="35"/>
  <c r="AS14" i="35"/>
  <c r="AS15" i="35"/>
  <c r="AS63" i="35"/>
  <c r="AS64" i="35"/>
  <c r="AR14" i="35"/>
  <c r="AR15" i="35"/>
  <c r="AR63" i="35"/>
  <c r="AR64" i="35"/>
  <c r="AQ14" i="35"/>
  <c r="AQ15" i="35"/>
  <c r="AQ63" i="35"/>
  <c r="AQ64" i="35"/>
  <c r="AP14" i="35"/>
  <c r="AP15" i="35"/>
  <c r="AP63" i="35"/>
  <c r="AP64" i="35"/>
  <c r="AO14" i="35"/>
  <c r="AO15" i="35"/>
  <c r="AO63" i="35"/>
  <c r="AO64" i="35"/>
  <c r="AN14" i="35"/>
  <c r="AN15" i="35"/>
  <c r="AN63" i="35"/>
  <c r="AN64" i="35"/>
  <c r="AM14" i="35"/>
  <c r="AM15" i="35"/>
  <c r="AM63" i="35"/>
  <c r="AM64" i="35"/>
  <c r="AL14" i="35"/>
  <c r="AL15" i="35"/>
  <c r="AL63" i="35"/>
  <c r="AL64" i="35"/>
  <c r="AK14" i="35"/>
  <c r="AK15" i="35"/>
  <c r="AK63" i="35"/>
  <c r="AK64" i="35"/>
  <c r="AJ14" i="35"/>
  <c r="AJ15" i="35"/>
  <c r="AJ63" i="35"/>
  <c r="AJ64" i="35"/>
  <c r="AI14" i="35"/>
  <c r="AI15" i="35"/>
  <c r="AI63" i="35"/>
  <c r="AI64" i="35"/>
  <c r="AH14" i="35"/>
  <c r="AH15" i="35"/>
  <c r="AH63" i="35"/>
  <c r="AH64" i="35"/>
  <c r="AG14" i="35"/>
  <c r="AG15" i="35"/>
  <c r="AG63" i="35"/>
  <c r="AG64" i="35"/>
  <c r="AF14" i="35"/>
  <c r="AF15" i="35"/>
  <c r="AF63" i="35"/>
  <c r="AF64" i="35"/>
  <c r="AE14" i="35"/>
  <c r="AE15" i="35"/>
  <c r="AE63" i="35"/>
  <c r="AE64" i="35"/>
  <c r="AD14" i="35"/>
  <c r="AD15" i="35"/>
  <c r="AD63" i="35"/>
  <c r="AD64" i="35"/>
  <c r="AC14" i="35"/>
  <c r="AC15" i="35"/>
  <c r="AD16" i="35"/>
  <c r="AD61" i="35"/>
  <c r="AD19" i="35"/>
  <c r="AD59" i="35"/>
  <c r="AD26" i="35"/>
  <c r="G12" i="34"/>
  <c r="G13" i="34"/>
  <c r="H12" i="34"/>
  <c r="AD27" i="35"/>
  <c r="AD28" i="35"/>
  <c r="AD58" i="35"/>
  <c r="AD60" i="35"/>
  <c r="AD62" i="35"/>
  <c r="AC63" i="35"/>
  <c r="AC64" i="35"/>
  <c r="AB14" i="35"/>
  <c r="AB15" i="35"/>
  <c r="AB63" i="35"/>
  <c r="AB64" i="35"/>
  <c r="AA14" i="35"/>
  <c r="AA15" i="35"/>
  <c r="AA63" i="35"/>
  <c r="AA64" i="35"/>
  <c r="Z14" i="35"/>
  <c r="Z15" i="35"/>
  <c r="Z63" i="35"/>
  <c r="Z64" i="35"/>
  <c r="Y14" i="35"/>
  <c r="Y15" i="35"/>
  <c r="Y63" i="35"/>
  <c r="Y64" i="35"/>
  <c r="X14" i="35"/>
  <c r="X15" i="35"/>
  <c r="X63" i="35"/>
  <c r="X64" i="35"/>
  <c r="W14" i="35"/>
  <c r="W15" i="35"/>
  <c r="W63" i="35"/>
  <c r="W64" i="35"/>
  <c r="V14" i="35"/>
  <c r="V15" i="35"/>
  <c r="V63" i="35"/>
  <c r="V64" i="35"/>
  <c r="U14" i="35"/>
  <c r="U15" i="35"/>
  <c r="U63" i="35"/>
  <c r="U64" i="35"/>
  <c r="T14" i="35"/>
  <c r="T15" i="35"/>
  <c r="T63" i="35"/>
  <c r="T64" i="35"/>
  <c r="S14" i="35"/>
  <c r="S15" i="35"/>
  <c r="S63" i="35"/>
  <c r="S64" i="35"/>
  <c r="R14" i="35"/>
  <c r="R15" i="35"/>
  <c r="R63" i="35"/>
  <c r="R64" i="35"/>
  <c r="Q14" i="35"/>
  <c r="Q15" i="35"/>
  <c r="Q63" i="35"/>
  <c r="Q64" i="35"/>
  <c r="G64" i="35"/>
  <c r="D118" i="35"/>
  <c r="F107" i="35"/>
  <c r="M16" i="35"/>
  <c r="M79" i="35"/>
  <c r="M80" i="35"/>
  <c r="M19" i="35"/>
  <c r="M83" i="35"/>
  <c r="M73" i="35"/>
  <c r="M65" i="35"/>
  <c r="M75" i="35"/>
  <c r="M76" i="35"/>
  <c r="N70" i="35"/>
  <c r="N16" i="35"/>
  <c r="N79" i="35"/>
  <c r="N19" i="35"/>
  <c r="N65" i="35"/>
  <c r="N75" i="35"/>
  <c r="N76" i="35"/>
  <c r="O70" i="35"/>
  <c r="O16" i="35"/>
  <c r="O79" i="35"/>
  <c r="O19" i="35"/>
  <c r="O65" i="35"/>
  <c r="O75" i="35"/>
  <c r="O76" i="35"/>
  <c r="P70" i="35"/>
  <c r="P16" i="35"/>
  <c r="P79" i="35"/>
  <c r="P19" i="35"/>
  <c r="P65" i="35"/>
  <c r="P75" i="35"/>
  <c r="P76" i="35"/>
  <c r="Q70" i="35"/>
  <c r="Q16" i="35"/>
  <c r="Q79" i="35"/>
  <c r="Q19" i="35"/>
  <c r="Q65" i="35"/>
  <c r="Q75" i="35"/>
  <c r="Q76" i="35"/>
  <c r="R70" i="35"/>
  <c r="R16" i="35"/>
  <c r="R79" i="35"/>
  <c r="R19" i="35"/>
  <c r="R65" i="35"/>
  <c r="R75" i="35"/>
  <c r="R76" i="35"/>
  <c r="S70" i="35"/>
  <c r="S16" i="35"/>
  <c r="S79" i="35"/>
  <c r="S19" i="35"/>
  <c r="S65" i="35"/>
  <c r="S75" i="35"/>
  <c r="S76" i="35"/>
  <c r="T70" i="35"/>
  <c r="T16" i="35"/>
  <c r="T79" i="35"/>
  <c r="T19" i="35"/>
  <c r="T65" i="35"/>
  <c r="T75" i="35"/>
  <c r="T76" i="35"/>
  <c r="U70" i="35"/>
  <c r="U16" i="35"/>
  <c r="U79" i="35"/>
  <c r="U19" i="35"/>
  <c r="U65" i="35"/>
  <c r="U75" i="35"/>
  <c r="U76" i="35"/>
  <c r="V70" i="35"/>
  <c r="V16" i="35"/>
  <c r="V79" i="35"/>
  <c r="V19" i="35"/>
  <c r="V65" i="35"/>
  <c r="V75" i="35"/>
  <c r="V76" i="35"/>
  <c r="W70" i="35"/>
  <c r="W16" i="35"/>
  <c r="W79" i="35"/>
  <c r="W19" i="35"/>
  <c r="W65" i="35"/>
  <c r="W75" i="35"/>
  <c r="W76" i="35"/>
  <c r="X70" i="35"/>
  <c r="X16" i="35"/>
  <c r="X79" i="35"/>
  <c r="X19" i="35"/>
  <c r="X65" i="35"/>
  <c r="X75" i="35"/>
  <c r="X76" i="35"/>
  <c r="Y70" i="35"/>
  <c r="Y16" i="35"/>
  <c r="Y79" i="35"/>
  <c r="Y19" i="35"/>
  <c r="Y65" i="35"/>
  <c r="Y75" i="35"/>
  <c r="Y76" i="35"/>
  <c r="Z70" i="35"/>
  <c r="Z16" i="35"/>
  <c r="Z79" i="35"/>
  <c r="Z19" i="35"/>
  <c r="Z65" i="35"/>
  <c r="Z75" i="35"/>
  <c r="Z76" i="35"/>
  <c r="AA70" i="35"/>
  <c r="AA16" i="35"/>
  <c r="AA79" i="35"/>
  <c r="AA19" i="35"/>
  <c r="AA65" i="35"/>
  <c r="AA75" i="35"/>
  <c r="AA76" i="35"/>
  <c r="AB70" i="35"/>
  <c r="AB16" i="35"/>
  <c r="AB79" i="35"/>
  <c r="AB19" i="35"/>
  <c r="AB65" i="35"/>
  <c r="AB75" i="35"/>
  <c r="AB76" i="35"/>
  <c r="AC70" i="35"/>
  <c r="AC16" i="35"/>
  <c r="AC79" i="35"/>
  <c r="AC19" i="35"/>
  <c r="AC65" i="35"/>
  <c r="AC75" i="35"/>
  <c r="AC76" i="35"/>
  <c r="AD70" i="35"/>
  <c r="AD79" i="35"/>
  <c r="AD65" i="35"/>
  <c r="AD75" i="35"/>
  <c r="AD76" i="35"/>
  <c r="AE70" i="35"/>
  <c r="AE16" i="35"/>
  <c r="AE79" i="35"/>
  <c r="AE19" i="35"/>
  <c r="AE65" i="35"/>
  <c r="AE75" i="35"/>
  <c r="AE76" i="35"/>
  <c r="AF70" i="35"/>
  <c r="AF16" i="35"/>
  <c r="AF79" i="35"/>
  <c r="AF19" i="35"/>
  <c r="AF65" i="35"/>
  <c r="AF75" i="35"/>
  <c r="AF76" i="35"/>
  <c r="AG70" i="35"/>
  <c r="AG16" i="35"/>
  <c r="AG79" i="35"/>
  <c r="AG19" i="35"/>
  <c r="AG65" i="35"/>
  <c r="AG75" i="35"/>
  <c r="AG76" i="35"/>
  <c r="AH70" i="35"/>
  <c r="AH16" i="35"/>
  <c r="AH79" i="35"/>
  <c r="AH19" i="35"/>
  <c r="AH65" i="35"/>
  <c r="AH75" i="35"/>
  <c r="AH76" i="35"/>
  <c r="AI70" i="35"/>
  <c r="AI16" i="35"/>
  <c r="AI79" i="35"/>
  <c r="AI19" i="35"/>
  <c r="AI65" i="35"/>
  <c r="AI75" i="35"/>
  <c r="AI76" i="35"/>
  <c r="AJ70" i="35"/>
  <c r="AJ16" i="35"/>
  <c r="AJ79" i="35"/>
  <c r="AJ19" i="35"/>
  <c r="AJ65" i="35"/>
  <c r="AJ75" i="35"/>
  <c r="AJ76" i="35"/>
  <c r="AK70" i="35"/>
  <c r="AK16" i="35"/>
  <c r="AK79" i="35"/>
  <c r="AK19" i="35"/>
  <c r="AK65" i="35"/>
  <c r="AK75" i="35"/>
  <c r="AK76" i="35"/>
  <c r="AL70" i="35"/>
  <c r="AL16" i="35"/>
  <c r="AL79" i="35"/>
  <c r="AL19" i="35"/>
  <c r="AL65" i="35"/>
  <c r="AL75" i="35"/>
  <c r="AL76" i="35"/>
  <c r="AM70" i="35"/>
  <c r="AM16" i="35"/>
  <c r="AM79" i="35"/>
  <c r="AM19" i="35"/>
  <c r="AM65" i="35"/>
  <c r="AM75" i="35"/>
  <c r="AM76" i="35"/>
  <c r="AN70" i="35"/>
  <c r="AN16" i="35"/>
  <c r="AN79" i="35"/>
  <c r="AN19" i="35"/>
  <c r="AN65" i="35"/>
  <c r="AN75" i="35"/>
  <c r="AN76" i="35"/>
  <c r="AO70" i="35"/>
  <c r="AO16" i="35"/>
  <c r="AO79" i="35"/>
  <c r="AO19" i="35"/>
  <c r="AO65" i="35"/>
  <c r="AO75" i="35"/>
  <c r="AO76" i="35"/>
  <c r="AP70" i="35"/>
  <c r="AP16" i="35"/>
  <c r="AP79" i="35"/>
  <c r="AP19" i="35"/>
  <c r="AP65" i="35"/>
  <c r="AP75" i="35"/>
  <c r="AP76" i="35"/>
  <c r="AQ70" i="35"/>
  <c r="AQ16" i="35"/>
  <c r="AQ79" i="35"/>
  <c r="AQ19" i="35"/>
  <c r="AQ65" i="35"/>
  <c r="AQ75" i="35"/>
  <c r="AQ76" i="35"/>
  <c r="AR70" i="35"/>
  <c r="AR16" i="35"/>
  <c r="AR79" i="35"/>
  <c r="AR19" i="35"/>
  <c r="AR65" i="35"/>
  <c r="AR75" i="35"/>
  <c r="AR76" i="35"/>
  <c r="AS70" i="35"/>
  <c r="AS16" i="35"/>
  <c r="AS79" i="35"/>
  <c r="AS19" i="35"/>
  <c r="AS65" i="35"/>
  <c r="AS75" i="35"/>
  <c r="AS76" i="35"/>
  <c r="AT70" i="35"/>
  <c r="AT16" i="35"/>
  <c r="AT79" i="35"/>
  <c r="AT19" i="35"/>
  <c r="AT65" i="35"/>
  <c r="AT75" i="35"/>
  <c r="AT76" i="35"/>
  <c r="AU70" i="35"/>
  <c r="AU16" i="35"/>
  <c r="AU79" i="35"/>
  <c r="AU19" i="35"/>
  <c r="AU65" i="35"/>
  <c r="AU75" i="35"/>
  <c r="AU76" i="35"/>
  <c r="AV70" i="35"/>
  <c r="AV16" i="35"/>
  <c r="AV79" i="35"/>
  <c r="AV19" i="35"/>
  <c r="AV65" i="35"/>
  <c r="AV75" i="35"/>
  <c r="AV76" i="35"/>
  <c r="AW70" i="35"/>
  <c r="AW16" i="35"/>
  <c r="AW79" i="35"/>
  <c r="AW19" i="35"/>
  <c r="AW65" i="35"/>
  <c r="AW75" i="35"/>
  <c r="AW76" i="35"/>
  <c r="AX70" i="35"/>
  <c r="AX79" i="35"/>
  <c r="AX65" i="35"/>
  <c r="AX75" i="35"/>
  <c r="AX76" i="35"/>
  <c r="AY70" i="35"/>
  <c r="AY16" i="35"/>
  <c r="AY79" i="35"/>
  <c r="AY19" i="35"/>
  <c r="AY65" i="35"/>
  <c r="AY75" i="35"/>
  <c r="AY76" i="35"/>
  <c r="AZ70" i="35"/>
  <c r="AZ16" i="35"/>
  <c r="AZ79" i="35"/>
  <c r="AZ19" i="35"/>
  <c r="AZ65" i="35"/>
  <c r="AZ75" i="35"/>
  <c r="AZ76" i="35"/>
  <c r="BA70" i="35"/>
  <c r="BA16" i="35"/>
  <c r="BA79" i="35"/>
  <c r="BA19" i="35"/>
  <c r="BA65" i="35"/>
  <c r="BA75" i="35"/>
  <c r="BA76" i="35"/>
  <c r="BB70" i="35"/>
  <c r="BB16" i="35"/>
  <c r="BB79" i="35"/>
  <c r="BB19" i="35"/>
  <c r="BB65" i="35"/>
  <c r="BB75" i="35"/>
  <c r="BB76" i="35"/>
  <c r="BC70" i="35"/>
  <c r="BC16" i="35"/>
  <c r="BC79" i="35"/>
  <c r="BC19" i="35"/>
  <c r="BC65" i="35"/>
  <c r="BC75" i="35"/>
  <c r="BC76" i="35"/>
  <c r="BD70" i="35"/>
  <c r="BD16" i="35"/>
  <c r="BD79" i="35"/>
  <c r="BD19" i="35"/>
  <c r="BD65" i="35"/>
  <c r="BD75" i="35"/>
  <c r="BD76" i="35"/>
  <c r="BE70" i="35"/>
  <c r="BE16" i="35"/>
  <c r="BE79" i="35"/>
  <c r="BE19" i="35"/>
  <c r="BE65" i="35"/>
  <c r="BE75" i="35"/>
  <c r="BE76" i="35"/>
  <c r="BF70" i="35"/>
  <c r="BF16" i="35"/>
  <c r="BF79" i="35"/>
  <c r="BF19" i="35"/>
  <c r="BF65" i="35"/>
  <c r="BF75" i="35"/>
  <c r="BF76" i="35"/>
  <c r="BG70" i="35"/>
  <c r="BG16" i="35"/>
  <c r="BG79" i="35"/>
  <c r="BG19" i="35"/>
  <c r="BG65" i="35"/>
  <c r="BG75" i="35"/>
  <c r="BG76" i="35"/>
  <c r="BH70" i="35"/>
  <c r="BH16" i="35"/>
  <c r="BH79" i="35"/>
  <c r="BH19" i="35"/>
  <c r="BH65" i="35"/>
  <c r="BH75" i="35"/>
  <c r="BH76" i="35"/>
  <c r="BI70" i="35"/>
  <c r="BI16" i="35"/>
  <c r="BI79" i="35"/>
  <c r="BI19" i="35"/>
  <c r="BI65" i="35"/>
  <c r="BI75" i="35"/>
  <c r="BI76" i="35"/>
  <c r="BJ70" i="35"/>
  <c r="BJ16" i="35"/>
  <c r="BJ79" i="35"/>
  <c r="BJ19" i="35"/>
  <c r="BJ65" i="35"/>
  <c r="BJ75" i="35"/>
  <c r="BJ76" i="35"/>
  <c r="BK70" i="35"/>
  <c r="BK16" i="35"/>
  <c r="BK79" i="35"/>
  <c r="BK19" i="35"/>
  <c r="BK65" i="35"/>
  <c r="BK75" i="35"/>
  <c r="BK76" i="35"/>
  <c r="BL70" i="35"/>
  <c r="BL16" i="35"/>
  <c r="BL79" i="35"/>
  <c r="BL19" i="35"/>
  <c r="BL65" i="35"/>
  <c r="BL75" i="35"/>
  <c r="BL76" i="35"/>
  <c r="BM70" i="35"/>
  <c r="BM16" i="35"/>
  <c r="BM79" i="35"/>
  <c r="BM19" i="35"/>
  <c r="BM65" i="35"/>
  <c r="BM75" i="35"/>
  <c r="BM76" i="35"/>
  <c r="BN70" i="35"/>
  <c r="BN16" i="35"/>
  <c r="BN79" i="35"/>
  <c r="BN19" i="35"/>
  <c r="BN65" i="35"/>
  <c r="BN75" i="35"/>
  <c r="BN76" i="35"/>
  <c r="BO70" i="35"/>
  <c r="BO16" i="35"/>
  <c r="BO79" i="35"/>
  <c r="BO19" i="35"/>
  <c r="BO65" i="35"/>
  <c r="BO75" i="35"/>
  <c r="BO76" i="35"/>
  <c r="BP70" i="35"/>
  <c r="BP16" i="35"/>
  <c r="BP79" i="35"/>
  <c r="BP19" i="35"/>
  <c r="BP65" i="35"/>
  <c r="BP75" i="35"/>
  <c r="BP76" i="35"/>
  <c r="BQ70" i="35"/>
  <c r="BQ16" i="35"/>
  <c r="BQ79" i="35"/>
  <c r="BQ19" i="35"/>
  <c r="BQ65" i="35"/>
  <c r="BQ75" i="35"/>
  <c r="BQ76" i="35"/>
  <c r="BR70" i="35"/>
  <c r="BR79" i="35"/>
  <c r="BR65" i="35"/>
  <c r="BR75" i="35"/>
  <c r="BR76" i="35"/>
  <c r="BS70" i="35"/>
  <c r="BS16" i="35"/>
  <c r="BS79" i="35"/>
  <c r="BS19" i="35"/>
  <c r="BS65" i="35"/>
  <c r="BS75" i="35"/>
  <c r="BS76" i="35"/>
  <c r="BT70" i="35"/>
  <c r="BT16" i="35"/>
  <c r="BT79" i="35"/>
  <c r="BT19" i="35"/>
  <c r="BT65" i="35"/>
  <c r="BT75" i="35"/>
  <c r="BT76" i="35"/>
  <c r="BU70" i="35"/>
  <c r="BU16" i="35"/>
  <c r="BU79" i="35"/>
  <c r="BU19" i="35"/>
  <c r="BU65" i="35"/>
  <c r="BU75" i="35"/>
  <c r="BU76" i="35"/>
  <c r="BV70" i="35"/>
  <c r="BV16" i="35"/>
  <c r="BV79" i="35"/>
  <c r="BV19" i="35"/>
  <c r="BV65" i="35"/>
  <c r="BV75" i="35"/>
  <c r="BV76" i="35"/>
  <c r="BW70" i="35"/>
  <c r="BW16" i="35"/>
  <c r="BW79" i="35"/>
  <c r="BW19" i="35"/>
  <c r="BW65" i="35"/>
  <c r="BW75" i="35"/>
  <c r="BW76" i="35"/>
  <c r="BX70" i="35"/>
  <c r="BX16" i="35"/>
  <c r="BX79" i="35"/>
  <c r="BX19" i="35"/>
  <c r="BX65" i="35"/>
  <c r="BX75" i="35"/>
  <c r="BX76" i="35"/>
  <c r="BY70" i="35"/>
  <c r="BY16" i="35"/>
  <c r="BY79" i="35"/>
  <c r="BY19" i="35"/>
  <c r="BY65" i="35"/>
  <c r="BY75" i="35"/>
  <c r="BY76" i="35"/>
  <c r="BZ70" i="35"/>
  <c r="BZ16" i="35"/>
  <c r="BZ79" i="35"/>
  <c r="BZ19" i="35"/>
  <c r="BZ65" i="35"/>
  <c r="BZ75" i="35"/>
  <c r="BZ76" i="35"/>
  <c r="CA70" i="35"/>
  <c r="CA16" i="35"/>
  <c r="CA79" i="35"/>
  <c r="CA19" i="35"/>
  <c r="CA65" i="35"/>
  <c r="CA75" i="35"/>
  <c r="CA76" i="35"/>
  <c r="CB70" i="35"/>
  <c r="CB16" i="35"/>
  <c r="CB79" i="35"/>
  <c r="CB19" i="35"/>
  <c r="CB65" i="35"/>
  <c r="CB75" i="35"/>
  <c r="CB76" i="35"/>
  <c r="CC70" i="35"/>
  <c r="CC16" i="35"/>
  <c r="CC79" i="35"/>
  <c r="CC19" i="35"/>
  <c r="CC65" i="35"/>
  <c r="CC75" i="35"/>
  <c r="CC76" i="35"/>
  <c r="CD70" i="35"/>
  <c r="CD16" i="35"/>
  <c r="CD79" i="35"/>
  <c r="CD19" i="35"/>
  <c r="CD65" i="35"/>
  <c r="CD75" i="35"/>
  <c r="CD76" i="35"/>
  <c r="CE70" i="35"/>
  <c r="CE16" i="35"/>
  <c r="CE79" i="35"/>
  <c r="CE19" i="35"/>
  <c r="CE65" i="35"/>
  <c r="CE75" i="35"/>
  <c r="CE76" i="35"/>
  <c r="CF70" i="35"/>
  <c r="CF16" i="35"/>
  <c r="CF79" i="35"/>
  <c r="CF19" i="35"/>
  <c r="CF65" i="35"/>
  <c r="CF75" i="35"/>
  <c r="CF76" i="35"/>
  <c r="CG70" i="35"/>
  <c r="CG16" i="35"/>
  <c r="CG79" i="35"/>
  <c r="CG19" i="35"/>
  <c r="CG65" i="35"/>
  <c r="CG75" i="35"/>
  <c r="CG76" i="35"/>
  <c r="CH70" i="35"/>
  <c r="CH16" i="35"/>
  <c r="CH79" i="35"/>
  <c r="CH19" i="35"/>
  <c r="CH65" i="35"/>
  <c r="CH75" i="35"/>
  <c r="CH76" i="35"/>
  <c r="CI70" i="35"/>
  <c r="CI16" i="35"/>
  <c r="CI79" i="35"/>
  <c r="CI19" i="35"/>
  <c r="CI65" i="35"/>
  <c r="CI75" i="35"/>
  <c r="CI76" i="35"/>
  <c r="CJ70" i="35"/>
  <c r="CJ16" i="35"/>
  <c r="CJ79" i="35"/>
  <c r="CJ19" i="35"/>
  <c r="CJ65" i="35"/>
  <c r="CJ75" i="35"/>
  <c r="CJ76" i="35"/>
  <c r="CK70" i="35"/>
  <c r="CK16" i="35"/>
  <c r="CK79" i="35"/>
  <c r="CK19" i="35"/>
  <c r="CK65" i="35"/>
  <c r="CK75" i="35"/>
  <c r="CK76" i="35"/>
  <c r="CL70" i="35"/>
  <c r="CL79" i="35"/>
  <c r="CL65" i="35"/>
  <c r="CL75" i="35"/>
  <c r="CL76" i="35"/>
  <c r="CM70" i="35"/>
  <c r="CM16" i="35"/>
  <c r="CM79" i="35"/>
  <c r="CM19" i="35"/>
  <c r="CM65" i="35"/>
  <c r="CM75" i="35"/>
  <c r="CM76" i="35"/>
  <c r="CN70" i="35"/>
  <c r="CN16" i="35"/>
  <c r="CN79" i="35"/>
  <c r="CN19" i="35"/>
  <c r="CN65" i="35"/>
  <c r="CN75" i="35"/>
  <c r="CN76" i="35"/>
  <c r="CO70" i="35"/>
  <c r="CO16" i="35"/>
  <c r="CO79" i="35"/>
  <c r="CO19" i="35"/>
  <c r="CO65" i="35"/>
  <c r="CO75" i="35"/>
  <c r="CO76" i="35"/>
  <c r="CP70" i="35"/>
  <c r="CP16" i="35"/>
  <c r="CP79" i="35"/>
  <c r="CP19" i="35"/>
  <c r="CP65" i="35"/>
  <c r="CP75" i="35"/>
  <c r="CP76" i="35"/>
  <c r="CQ70" i="35"/>
  <c r="CQ16" i="35"/>
  <c r="CQ79" i="35"/>
  <c r="CQ19" i="35"/>
  <c r="CQ65" i="35"/>
  <c r="CQ75" i="35"/>
  <c r="CQ76" i="35"/>
  <c r="CR70" i="35"/>
  <c r="CR16" i="35"/>
  <c r="CR79" i="35"/>
  <c r="CR19" i="35"/>
  <c r="CR65" i="35"/>
  <c r="CR75" i="35"/>
  <c r="CR76" i="35"/>
  <c r="CS70" i="35"/>
  <c r="CS16" i="35"/>
  <c r="CS79" i="35"/>
  <c r="CS19" i="35"/>
  <c r="CS65" i="35"/>
  <c r="CS75" i="35"/>
  <c r="CS76" i="35"/>
  <c r="CT70" i="35"/>
  <c r="CT16" i="35"/>
  <c r="CT79" i="35"/>
  <c r="CT19" i="35"/>
  <c r="CT65" i="35"/>
  <c r="CT75" i="35"/>
  <c r="CT76" i="35"/>
  <c r="CU70" i="35"/>
  <c r="CU16" i="35"/>
  <c r="CU79" i="35"/>
  <c r="CU19" i="35"/>
  <c r="CU65" i="35"/>
  <c r="CU75" i="35"/>
  <c r="CU76" i="35"/>
  <c r="CV70" i="35"/>
  <c r="CV16" i="35"/>
  <c r="CV79" i="35"/>
  <c r="CV19" i="35"/>
  <c r="CV65" i="35"/>
  <c r="CV75" i="35"/>
  <c r="CV76" i="35"/>
  <c r="CW70" i="35"/>
  <c r="CW16" i="35"/>
  <c r="CW79" i="35"/>
  <c r="CW19" i="35"/>
  <c r="CW65" i="35"/>
  <c r="CW75" i="35"/>
  <c r="CW76" i="35"/>
  <c r="CX70" i="35"/>
  <c r="CX16" i="35"/>
  <c r="CX79" i="35"/>
  <c r="CX19" i="35"/>
  <c r="CX65" i="35"/>
  <c r="CX75" i="35"/>
  <c r="CX76" i="35"/>
  <c r="CY70" i="35"/>
  <c r="CY16" i="35"/>
  <c r="CY79" i="35"/>
  <c r="CY19" i="35"/>
  <c r="CY65" i="35"/>
  <c r="CY75" i="35"/>
  <c r="CY76" i="35"/>
  <c r="CZ70" i="35"/>
  <c r="CZ16" i="35"/>
  <c r="CZ79" i="35"/>
  <c r="CZ19" i="35"/>
  <c r="CZ65" i="35"/>
  <c r="CZ75" i="35"/>
  <c r="CZ76" i="35"/>
  <c r="DA70" i="35"/>
  <c r="DA16" i="35"/>
  <c r="DA79" i="35"/>
  <c r="DA19" i="35"/>
  <c r="DA65" i="35"/>
  <c r="DA75" i="35"/>
  <c r="DA76" i="35"/>
  <c r="DB70" i="35"/>
  <c r="DB16" i="35"/>
  <c r="DB79" i="35"/>
  <c r="DB19" i="35"/>
  <c r="DB65" i="35"/>
  <c r="DB75" i="35"/>
  <c r="DB76" i="35"/>
  <c r="DC70" i="35"/>
  <c r="DC16" i="35"/>
  <c r="DC79" i="35"/>
  <c r="DC19" i="35"/>
  <c r="DC65" i="35"/>
  <c r="DC75" i="35"/>
  <c r="DC76" i="35"/>
  <c r="DD70" i="35"/>
  <c r="DD16" i="35"/>
  <c r="DD79" i="35"/>
  <c r="DD19" i="35"/>
  <c r="DD65" i="35"/>
  <c r="DD75" i="35"/>
  <c r="DD76" i="35"/>
  <c r="DE70" i="35"/>
  <c r="DE16" i="35"/>
  <c r="DE79" i="35"/>
  <c r="DE19" i="35"/>
  <c r="DE65" i="35"/>
  <c r="DE75" i="35"/>
  <c r="DE76" i="35"/>
  <c r="DF70" i="35"/>
  <c r="DF16" i="35"/>
  <c r="DF79" i="35"/>
  <c r="DF83" i="35"/>
  <c r="DF73" i="35"/>
  <c r="DF65" i="35"/>
  <c r="DF75" i="35"/>
  <c r="DF76" i="35"/>
  <c r="DG70" i="35"/>
  <c r="DG16" i="35"/>
  <c r="DG79" i="35"/>
  <c r="DG83" i="35"/>
  <c r="DG73" i="35"/>
  <c r="DG65" i="35"/>
  <c r="DG75" i="35"/>
  <c r="DG76" i="35"/>
  <c r="DH70" i="35"/>
  <c r="DH16" i="35"/>
  <c r="DH79" i="35"/>
  <c r="DH83" i="35"/>
  <c r="DH73" i="35"/>
  <c r="DH65" i="35"/>
  <c r="DH75" i="35"/>
  <c r="DH76" i="35"/>
  <c r="DI70" i="35"/>
  <c r="DI16" i="35"/>
  <c r="DI79" i="35"/>
  <c r="DI83" i="35"/>
  <c r="DI73" i="35"/>
  <c r="DI65" i="35"/>
  <c r="DI75" i="35"/>
  <c r="DI76" i="35"/>
  <c r="DJ70" i="35"/>
  <c r="DJ16" i="35"/>
  <c r="DJ79" i="35"/>
  <c r="DJ83" i="35"/>
  <c r="DJ73" i="35"/>
  <c r="DJ65" i="35"/>
  <c r="DJ75" i="35"/>
  <c r="DJ76" i="35"/>
  <c r="DK70" i="35"/>
  <c r="DK16" i="35"/>
  <c r="DK79" i="35"/>
  <c r="DK83" i="35"/>
  <c r="DK73" i="35"/>
  <c r="DK65" i="35"/>
  <c r="DK75" i="35"/>
  <c r="DK76" i="35"/>
  <c r="DL70" i="35"/>
  <c r="DL16" i="35"/>
  <c r="DL79" i="35"/>
  <c r="DL83" i="35"/>
  <c r="DL73" i="35"/>
  <c r="DL65" i="35"/>
  <c r="DL75" i="35"/>
  <c r="DL76" i="35"/>
  <c r="DM70" i="35"/>
  <c r="DM16" i="35"/>
  <c r="DM79" i="35"/>
  <c r="DM83" i="35"/>
  <c r="DM73" i="35"/>
  <c r="DM65" i="35"/>
  <c r="DM75" i="35"/>
  <c r="DM76" i="35"/>
  <c r="DN70" i="35"/>
  <c r="DN16" i="35"/>
  <c r="DN79" i="35"/>
  <c r="DN83" i="35"/>
  <c r="DN73" i="35"/>
  <c r="DN65" i="35"/>
  <c r="DN75" i="35"/>
  <c r="DN76" i="35"/>
  <c r="DO70" i="35"/>
  <c r="DO16" i="35"/>
  <c r="DO79" i="35"/>
  <c r="DO83" i="35"/>
  <c r="DO73" i="35"/>
  <c r="DO65" i="35"/>
  <c r="DO75" i="35"/>
  <c r="DO76" i="35"/>
  <c r="DP70" i="35"/>
  <c r="DP16" i="35"/>
  <c r="DP79" i="35"/>
  <c r="DP83" i="35"/>
  <c r="DP73" i="35"/>
  <c r="DP65" i="35"/>
  <c r="DP75" i="35"/>
  <c r="DP76" i="35"/>
  <c r="DQ70" i="35"/>
  <c r="DQ16" i="35"/>
  <c r="DQ79" i="35"/>
  <c r="DQ83" i="35"/>
  <c r="DQ73" i="35"/>
  <c r="DQ65" i="35"/>
  <c r="DQ75" i="35"/>
  <c r="DQ76" i="35"/>
  <c r="DR70" i="35"/>
  <c r="DR16" i="35"/>
  <c r="DR79" i="35"/>
  <c r="DR83" i="35"/>
  <c r="DR73" i="35"/>
  <c r="DR65" i="35"/>
  <c r="DR75" i="35"/>
  <c r="DR76" i="35"/>
  <c r="DS70" i="35"/>
  <c r="DS16" i="35"/>
  <c r="DS79" i="35"/>
  <c r="DS83" i="35"/>
  <c r="DS73" i="35"/>
  <c r="DS65" i="35"/>
  <c r="DS75" i="35"/>
  <c r="DS76" i="35"/>
  <c r="DT70" i="35"/>
  <c r="DT16" i="35"/>
  <c r="DT79" i="35"/>
  <c r="DT83" i="35"/>
  <c r="DT73" i="35"/>
  <c r="DT65" i="35"/>
  <c r="DT75" i="35"/>
  <c r="DT76" i="35"/>
  <c r="DU70" i="35"/>
  <c r="DU16" i="35"/>
  <c r="DU79" i="35"/>
  <c r="DU83" i="35"/>
  <c r="DU73" i="35"/>
  <c r="DU65" i="35"/>
  <c r="DU75" i="35"/>
  <c r="DU76" i="35"/>
  <c r="DV70" i="35"/>
  <c r="DV16" i="35"/>
  <c r="DV79" i="35"/>
  <c r="DV83" i="35"/>
  <c r="DV73" i="35"/>
  <c r="DV65" i="35"/>
  <c r="DV75" i="35"/>
  <c r="DV76" i="35"/>
  <c r="DW70" i="35"/>
  <c r="DW16" i="35"/>
  <c r="DW79" i="35"/>
  <c r="DW83" i="35"/>
  <c r="DW73" i="35"/>
  <c r="DW65" i="35"/>
  <c r="DW75" i="35"/>
  <c r="DW76" i="35"/>
  <c r="DX70" i="35"/>
  <c r="DX16" i="35"/>
  <c r="DX79" i="35"/>
  <c r="DX83" i="35"/>
  <c r="DX73" i="35"/>
  <c r="DX65" i="35"/>
  <c r="DX75" i="35"/>
  <c r="DX76" i="35"/>
  <c r="DY81" i="35"/>
  <c r="DX81" i="35"/>
  <c r="DW81" i="35"/>
  <c r="DV81" i="35"/>
  <c r="DU81" i="35"/>
  <c r="DT81" i="35"/>
  <c r="DS81" i="35"/>
  <c r="DR81" i="35"/>
  <c r="DQ81" i="35"/>
  <c r="DP81" i="35"/>
  <c r="DO81" i="35"/>
  <c r="DN81" i="35"/>
  <c r="DM81" i="35"/>
  <c r="DL81" i="35"/>
  <c r="DK81" i="35"/>
  <c r="DJ81" i="35"/>
  <c r="DI81" i="35"/>
  <c r="DH81" i="35"/>
  <c r="DG81" i="35"/>
  <c r="DF81" i="35"/>
  <c r="M81" i="35"/>
  <c r="M82" i="35"/>
  <c r="L81" i="35"/>
  <c r="L82" i="35"/>
  <c r="K81" i="35"/>
  <c r="K82" i="35"/>
  <c r="J81" i="35"/>
  <c r="J82" i="35"/>
  <c r="I81" i="35"/>
  <c r="I82" i="35"/>
  <c r="DY70" i="35"/>
  <c r="G70" i="35"/>
  <c r="DY83" i="35"/>
  <c r="DY73" i="35"/>
  <c r="DY65" i="35"/>
  <c r="DY75" i="35"/>
  <c r="G75" i="35"/>
  <c r="DY76" i="35"/>
  <c r="G76" i="35"/>
  <c r="DY26" i="35"/>
  <c r="DY27" i="35"/>
  <c r="DX26" i="35"/>
  <c r="DX27" i="35"/>
  <c r="DW26" i="35"/>
  <c r="DW27" i="35"/>
  <c r="DV26" i="35"/>
  <c r="DV27" i="35"/>
  <c r="DU26" i="35"/>
  <c r="DU27" i="35"/>
  <c r="DT26" i="35"/>
  <c r="DT27" i="35"/>
  <c r="DS26" i="35"/>
  <c r="DS27" i="35"/>
  <c r="DR26" i="35"/>
  <c r="DR27" i="35"/>
  <c r="DQ26" i="35"/>
  <c r="DQ27" i="35"/>
  <c r="DP26" i="35"/>
  <c r="DP27" i="35"/>
  <c r="DO26" i="35"/>
  <c r="DO27" i="35"/>
  <c r="DN26" i="35"/>
  <c r="DN27" i="35"/>
  <c r="DM26" i="35"/>
  <c r="DM27" i="35"/>
  <c r="DL26" i="35"/>
  <c r="DL27" i="35"/>
  <c r="DK26" i="35"/>
  <c r="DK27" i="35"/>
  <c r="DJ26" i="35"/>
  <c r="DJ27" i="35"/>
  <c r="DI26" i="35"/>
  <c r="DI27" i="35"/>
  <c r="DH26" i="35"/>
  <c r="DH27" i="35"/>
  <c r="DG26" i="35"/>
  <c r="DG27" i="35"/>
  <c r="DF26" i="35"/>
  <c r="DF27" i="35"/>
  <c r="DE26" i="35"/>
  <c r="DE27" i="35"/>
  <c r="DD26" i="35"/>
  <c r="DD27" i="35"/>
  <c r="DC26" i="35"/>
  <c r="DC27" i="35"/>
  <c r="DB26" i="35"/>
  <c r="DB27" i="35"/>
  <c r="DA26" i="35"/>
  <c r="DA27" i="35"/>
  <c r="CZ26" i="35"/>
  <c r="CZ27" i="35"/>
  <c r="CY26" i="35"/>
  <c r="CY27" i="35"/>
  <c r="CX26" i="35"/>
  <c r="CX27" i="35"/>
  <c r="CW26" i="35"/>
  <c r="CW27" i="35"/>
  <c r="CV26" i="35"/>
  <c r="CV27" i="35"/>
  <c r="CU26" i="35"/>
  <c r="CU27" i="35"/>
  <c r="CT26" i="35"/>
  <c r="CT27" i="35"/>
  <c r="CS26" i="35"/>
  <c r="CS27" i="35"/>
  <c r="CR26" i="35"/>
  <c r="CR27" i="35"/>
  <c r="CQ26" i="35"/>
  <c r="CQ27" i="35"/>
  <c r="CP26" i="35"/>
  <c r="CP27" i="35"/>
  <c r="CO26" i="35"/>
  <c r="CO27" i="35"/>
  <c r="CN26" i="35"/>
  <c r="CN27" i="35"/>
  <c r="CM26" i="35"/>
  <c r="CM27" i="35"/>
  <c r="CK26" i="35"/>
  <c r="CK27" i="35"/>
  <c r="CJ26" i="35"/>
  <c r="CJ27" i="35"/>
  <c r="CI26" i="35"/>
  <c r="CI27" i="35"/>
  <c r="CH26" i="35"/>
  <c r="CH27" i="35"/>
  <c r="CG26" i="35"/>
  <c r="CG27" i="35"/>
  <c r="CF26" i="35"/>
  <c r="CF27" i="35"/>
  <c r="CE26" i="35"/>
  <c r="CE27" i="35"/>
  <c r="CD26" i="35"/>
  <c r="CD27" i="35"/>
  <c r="CC26" i="35"/>
  <c r="CC27" i="35"/>
  <c r="CB26" i="35"/>
  <c r="CB27" i="35"/>
  <c r="CA26" i="35"/>
  <c r="CA27" i="35"/>
  <c r="BZ26" i="35"/>
  <c r="BZ27" i="35"/>
  <c r="BY26" i="35"/>
  <c r="BY27" i="35"/>
  <c r="BX26" i="35"/>
  <c r="BX27" i="35"/>
  <c r="BW26" i="35"/>
  <c r="BW27" i="35"/>
  <c r="BV26" i="35"/>
  <c r="BV27" i="35"/>
  <c r="BU26" i="35"/>
  <c r="BU27" i="35"/>
  <c r="BT26" i="35"/>
  <c r="BT27" i="35"/>
  <c r="BS26" i="35"/>
  <c r="BS27" i="35"/>
  <c r="BQ26" i="35"/>
  <c r="BQ27" i="35"/>
  <c r="BP26" i="35"/>
  <c r="BP27" i="35"/>
  <c r="BO26" i="35"/>
  <c r="BO27" i="35"/>
  <c r="BN26" i="35"/>
  <c r="BN27" i="35"/>
  <c r="BM26" i="35"/>
  <c r="BM27" i="35"/>
  <c r="BL26" i="35"/>
  <c r="BL27" i="35"/>
  <c r="BK26" i="35"/>
  <c r="BK27" i="35"/>
  <c r="BJ26" i="35"/>
  <c r="BJ27" i="35"/>
  <c r="BI26" i="35"/>
  <c r="BI27" i="35"/>
  <c r="BH26" i="35"/>
  <c r="BH27" i="35"/>
  <c r="BG26" i="35"/>
  <c r="BG27" i="35"/>
  <c r="BF26" i="35"/>
  <c r="BF27" i="35"/>
  <c r="BE26" i="35"/>
  <c r="BE27" i="35"/>
  <c r="BD26" i="35"/>
  <c r="BD27" i="35"/>
  <c r="BC26" i="35"/>
  <c r="BC27" i="35"/>
  <c r="BB26" i="35"/>
  <c r="BB27" i="35"/>
  <c r="BA26" i="35"/>
  <c r="BA27" i="35"/>
  <c r="AZ26" i="35"/>
  <c r="AZ27" i="35"/>
  <c r="AY26" i="35"/>
  <c r="AY27" i="35"/>
  <c r="AW26" i="35"/>
  <c r="AW27" i="35"/>
  <c r="AV26" i="35"/>
  <c r="AV27" i="35"/>
  <c r="AU26" i="35"/>
  <c r="AU27" i="35"/>
  <c r="AT26" i="35"/>
  <c r="AT27" i="35"/>
  <c r="AS26" i="35"/>
  <c r="AS27" i="35"/>
  <c r="AR26" i="35"/>
  <c r="AR27" i="35"/>
  <c r="AQ26" i="35"/>
  <c r="AQ27" i="35"/>
  <c r="AP26" i="35"/>
  <c r="AP27" i="35"/>
  <c r="AO26" i="35"/>
  <c r="AO27" i="35"/>
  <c r="AN26" i="35"/>
  <c r="AN27" i="35"/>
  <c r="AM26" i="35"/>
  <c r="AM27" i="35"/>
  <c r="AL26" i="35"/>
  <c r="AL27" i="35"/>
  <c r="AK26" i="35"/>
  <c r="AK27" i="35"/>
  <c r="AJ26" i="35"/>
  <c r="AJ27" i="35"/>
  <c r="AI26" i="35"/>
  <c r="AI27" i="35"/>
  <c r="AH26" i="35"/>
  <c r="AH27" i="35"/>
  <c r="AG26" i="35"/>
  <c r="AG27" i="35"/>
  <c r="AF26" i="35"/>
  <c r="AF27" i="35"/>
  <c r="AE26" i="35"/>
  <c r="AE27" i="35"/>
  <c r="AC26" i="35"/>
  <c r="AC27" i="35"/>
  <c r="AB26" i="35"/>
  <c r="AB27" i="35"/>
  <c r="AA26" i="35"/>
  <c r="AA27" i="35"/>
  <c r="Z26" i="35"/>
  <c r="Z27" i="35"/>
  <c r="Y26" i="35"/>
  <c r="Y27" i="35"/>
  <c r="X26" i="35"/>
  <c r="X27" i="35"/>
  <c r="W26" i="35"/>
  <c r="W27" i="35"/>
  <c r="V26" i="35"/>
  <c r="V27" i="35"/>
  <c r="U26" i="35"/>
  <c r="U27" i="35"/>
  <c r="T26" i="35"/>
  <c r="T27" i="35"/>
  <c r="S26" i="35"/>
  <c r="S27" i="35"/>
  <c r="R26" i="35"/>
  <c r="R27" i="35"/>
  <c r="Q26" i="35"/>
  <c r="Q27" i="35"/>
  <c r="P26" i="35"/>
  <c r="P27" i="35"/>
  <c r="O26" i="35"/>
  <c r="O27" i="35"/>
  <c r="N26" i="35"/>
  <c r="N27" i="35"/>
  <c r="M26" i="35"/>
  <c r="M27" i="35"/>
  <c r="L26" i="35"/>
  <c r="L27" i="35"/>
  <c r="K26" i="35"/>
  <c r="K27" i="35"/>
  <c r="F102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AX4" i="35"/>
  <c r="AY4" i="35"/>
  <c r="AZ4" i="35"/>
  <c r="BA4" i="35"/>
  <c r="BB4" i="35"/>
  <c r="BC4" i="35"/>
  <c r="BD4" i="35"/>
  <c r="BE4" i="35"/>
  <c r="BF4" i="35"/>
  <c r="BG4" i="35"/>
  <c r="BH4" i="35"/>
  <c r="BI4" i="35"/>
  <c r="BJ4" i="35"/>
  <c r="BK4" i="35"/>
  <c r="BL4" i="35"/>
  <c r="BM4" i="35"/>
  <c r="BN4" i="35"/>
  <c r="BO4" i="35"/>
  <c r="BP4" i="35"/>
  <c r="BQ4" i="35"/>
  <c r="BR4" i="35"/>
  <c r="BS4" i="35"/>
  <c r="BT4" i="35"/>
  <c r="BU4" i="35"/>
  <c r="BV4" i="35"/>
  <c r="BW4" i="35"/>
  <c r="BX4" i="35"/>
  <c r="BY4" i="35"/>
  <c r="BZ4" i="35"/>
  <c r="CA4" i="35"/>
  <c r="CB4" i="35"/>
  <c r="CC4" i="35"/>
  <c r="CD4" i="35"/>
  <c r="CE4" i="35"/>
  <c r="CF4" i="35"/>
  <c r="CG4" i="35"/>
  <c r="CH4" i="35"/>
  <c r="CI4" i="35"/>
  <c r="CJ4" i="35"/>
  <c r="CK4" i="35"/>
  <c r="CL4" i="35"/>
  <c r="CM4" i="35"/>
  <c r="CN4" i="35"/>
  <c r="CO4" i="35"/>
  <c r="CP4" i="35"/>
  <c r="CQ4" i="35"/>
  <c r="CR4" i="35"/>
  <c r="CS4" i="35"/>
  <c r="CT4" i="35"/>
  <c r="CU4" i="35"/>
  <c r="CV4" i="35"/>
  <c r="CW4" i="35"/>
  <c r="CX4" i="35"/>
  <c r="CY4" i="35"/>
  <c r="CZ4" i="35"/>
  <c r="DA4" i="35"/>
  <c r="DB4" i="35"/>
  <c r="DC4" i="35"/>
  <c r="DD4" i="35"/>
  <c r="DE4" i="35"/>
  <c r="DF4" i="35"/>
  <c r="DG4" i="35"/>
  <c r="DH4" i="35"/>
  <c r="DI4" i="35"/>
  <c r="DJ4" i="35"/>
  <c r="DK4" i="35"/>
  <c r="DL4" i="35"/>
  <c r="DM4" i="35"/>
  <c r="DN4" i="35"/>
  <c r="DO4" i="35"/>
  <c r="DP4" i="35"/>
  <c r="DQ4" i="35"/>
  <c r="DR4" i="35"/>
  <c r="DS4" i="35"/>
  <c r="DT4" i="35"/>
  <c r="DU4" i="35"/>
  <c r="DV4" i="35"/>
  <c r="DW4" i="35"/>
  <c r="DX4" i="35"/>
  <c r="DY4" i="35"/>
  <c r="DY102" i="35"/>
  <c r="DY28" i="35"/>
  <c r="DY33" i="35"/>
  <c r="DY34" i="35"/>
  <c r="DY35" i="35"/>
  <c r="DY89" i="35"/>
  <c r="DY36" i="35"/>
  <c r="G8" i="34"/>
  <c r="F37" i="35"/>
  <c r="E37" i="35"/>
  <c r="DY37" i="35"/>
  <c r="DY39" i="35"/>
  <c r="DY41" i="35"/>
  <c r="M95" i="35"/>
  <c r="M96" i="35"/>
  <c r="M97" i="35"/>
  <c r="M98" i="35"/>
  <c r="M99" i="35"/>
  <c r="N89" i="35"/>
  <c r="N95" i="35"/>
  <c r="N96" i="35"/>
  <c r="N97" i="35"/>
  <c r="N99" i="35"/>
  <c r="O89" i="35"/>
  <c r="O95" i="35"/>
  <c r="O96" i="35"/>
  <c r="O97" i="35"/>
  <c r="O99" i="35"/>
  <c r="P89" i="35"/>
  <c r="P95" i="35"/>
  <c r="P96" i="35"/>
  <c r="P97" i="35"/>
  <c r="P99" i="35"/>
  <c r="Q89" i="35"/>
  <c r="Q95" i="35"/>
  <c r="Q96" i="35"/>
  <c r="Q97" i="35"/>
  <c r="Q99" i="35"/>
  <c r="R89" i="35"/>
  <c r="R95" i="35"/>
  <c r="R96" i="35"/>
  <c r="R97" i="35"/>
  <c r="R99" i="35"/>
  <c r="S89" i="35"/>
  <c r="S95" i="35"/>
  <c r="S96" i="35"/>
  <c r="S97" i="35"/>
  <c r="S99" i="35"/>
  <c r="T89" i="35"/>
  <c r="T95" i="35"/>
  <c r="T96" i="35"/>
  <c r="T97" i="35"/>
  <c r="T99" i="35"/>
  <c r="U89" i="35"/>
  <c r="U95" i="35"/>
  <c r="U96" i="35"/>
  <c r="U97" i="35"/>
  <c r="U99" i="35"/>
  <c r="V89" i="35"/>
  <c r="V95" i="35"/>
  <c r="V96" i="35"/>
  <c r="V97" i="35"/>
  <c r="V99" i="35"/>
  <c r="W89" i="35"/>
  <c r="W95" i="35"/>
  <c r="W96" i="35"/>
  <c r="W97" i="35"/>
  <c r="W99" i="35"/>
  <c r="X89" i="35"/>
  <c r="X95" i="35"/>
  <c r="X96" i="35"/>
  <c r="X97" i="35"/>
  <c r="X99" i="35"/>
  <c r="Y89" i="35"/>
  <c r="Y95" i="35"/>
  <c r="Y96" i="35"/>
  <c r="Y97" i="35"/>
  <c r="Y99" i="35"/>
  <c r="Z89" i="35"/>
  <c r="Z95" i="35"/>
  <c r="Z96" i="35"/>
  <c r="Z97" i="35"/>
  <c r="Z99" i="35"/>
  <c r="AA89" i="35"/>
  <c r="AA95" i="35"/>
  <c r="AA96" i="35"/>
  <c r="AA97" i="35"/>
  <c r="AA99" i="35"/>
  <c r="AB89" i="35"/>
  <c r="AB95" i="35"/>
  <c r="AB96" i="35"/>
  <c r="AB97" i="35"/>
  <c r="AB99" i="35"/>
  <c r="AC89" i="35"/>
  <c r="AC95" i="35"/>
  <c r="AC96" i="35"/>
  <c r="AC97" i="35"/>
  <c r="AC99" i="35"/>
  <c r="AD89" i="35"/>
  <c r="AD95" i="35"/>
  <c r="AD96" i="35"/>
  <c r="AD97" i="35"/>
  <c r="AD99" i="35"/>
  <c r="AE89" i="35"/>
  <c r="AE95" i="35"/>
  <c r="AE96" i="35"/>
  <c r="AE97" i="35"/>
  <c r="AE99" i="35"/>
  <c r="AF89" i="35"/>
  <c r="AF95" i="35"/>
  <c r="AF96" i="35"/>
  <c r="AF97" i="35"/>
  <c r="AF99" i="35"/>
  <c r="AG89" i="35"/>
  <c r="AG95" i="35"/>
  <c r="AG96" i="35"/>
  <c r="AG97" i="35"/>
  <c r="AG99" i="35"/>
  <c r="AH89" i="35"/>
  <c r="AH95" i="35"/>
  <c r="AH96" i="35"/>
  <c r="AH97" i="35"/>
  <c r="AH99" i="35"/>
  <c r="AI89" i="35"/>
  <c r="AI95" i="35"/>
  <c r="AI96" i="35"/>
  <c r="AI97" i="35"/>
  <c r="AI99" i="35"/>
  <c r="AJ89" i="35"/>
  <c r="AJ95" i="35"/>
  <c r="AJ96" i="35"/>
  <c r="AJ97" i="35"/>
  <c r="AJ99" i="35"/>
  <c r="AK89" i="35"/>
  <c r="AK95" i="35"/>
  <c r="AK96" i="35"/>
  <c r="AK97" i="35"/>
  <c r="AK99" i="35"/>
  <c r="AL89" i="35"/>
  <c r="AL95" i="35"/>
  <c r="AL96" i="35"/>
  <c r="AL97" i="35"/>
  <c r="AL99" i="35"/>
  <c r="AM89" i="35"/>
  <c r="AM95" i="35"/>
  <c r="AM96" i="35"/>
  <c r="AM97" i="35"/>
  <c r="AM99" i="35"/>
  <c r="AN89" i="35"/>
  <c r="AN95" i="35"/>
  <c r="AN96" i="35"/>
  <c r="AN97" i="35"/>
  <c r="AN99" i="35"/>
  <c r="AO89" i="35"/>
  <c r="AO95" i="35"/>
  <c r="AO96" i="35"/>
  <c r="AO97" i="35"/>
  <c r="AO99" i="35"/>
  <c r="AP89" i="35"/>
  <c r="AP95" i="35"/>
  <c r="AP96" i="35"/>
  <c r="AP97" i="35"/>
  <c r="AP99" i="35"/>
  <c r="AQ89" i="35"/>
  <c r="AQ95" i="35"/>
  <c r="AQ96" i="35"/>
  <c r="AQ97" i="35"/>
  <c r="AQ99" i="35"/>
  <c r="AR89" i="35"/>
  <c r="AR95" i="35"/>
  <c r="AR96" i="35"/>
  <c r="AR97" i="35"/>
  <c r="AR99" i="35"/>
  <c r="AS89" i="35"/>
  <c r="AS95" i="35"/>
  <c r="AS96" i="35"/>
  <c r="AS97" i="35"/>
  <c r="AS99" i="35"/>
  <c r="AT89" i="35"/>
  <c r="AT95" i="35"/>
  <c r="AT96" i="35"/>
  <c r="AT97" i="35"/>
  <c r="AT99" i="35"/>
  <c r="AU89" i="35"/>
  <c r="AU95" i="35"/>
  <c r="AU96" i="35"/>
  <c r="AU97" i="35"/>
  <c r="AU99" i="35"/>
  <c r="AV89" i="35"/>
  <c r="AV95" i="35"/>
  <c r="AV96" i="35"/>
  <c r="AV97" i="35"/>
  <c r="AV99" i="35"/>
  <c r="AW89" i="35"/>
  <c r="AW95" i="35"/>
  <c r="AW96" i="35"/>
  <c r="AW97" i="35"/>
  <c r="AW99" i="35"/>
  <c r="AX89" i="35"/>
  <c r="AX95" i="35"/>
  <c r="AX96" i="35"/>
  <c r="AX97" i="35"/>
  <c r="AX99" i="35"/>
  <c r="AY89" i="35"/>
  <c r="AY95" i="35"/>
  <c r="AY96" i="35"/>
  <c r="AY97" i="35"/>
  <c r="AY99" i="35"/>
  <c r="AZ89" i="35"/>
  <c r="AZ95" i="35"/>
  <c r="AZ96" i="35"/>
  <c r="AZ97" i="35"/>
  <c r="AZ99" i="35"/>
  <c r="BA89" i="35"/>
  <c r="BA95" i="35"/>
  <c r="BA96" i="35"/>
  <c r="BA97" i="35"/>
  <c r="BA99" i="35"/>
  <c r="BB89" i="35"/>
  <c r="BB95" i="35"/>
  <c r="BB96" i="35"/>
  <c r="BB97" i="35"/>
  <c r="BB99" i="35"/>
  <c r="BC89" i="35"/>
  <c r="BC95" i="35"/>
  <c r="BC96" i="35"/>
  <c r="BC97" i="35"/>
  <c r="BC99" i="35"/>
  <c r="BD89" i="35"/>
  <c r="BD95" i="35"/>
  <c r="BD96" i="35"/>
  <c r="BD97" i="35"/>
  <c r="BD99" i="35"/>
  <c r="BE89" i="35"/>
  <c r="BE95" i="35"/>
  <c r="BE96" i="35"/>
  <c r="BE97" i="35"/>
  <c r="BE99" i="35"/>
  <c r="BF89" i="35"/>
  <c r="BF95" i="35"/>
  <c r="BF96" i="35"/>
  <c r="BF97" i="35"/>
  <c r="BF99" i="35"/>
  <c r="BG89" i="35"/>
  <c r="BG95" i="35"/>
  <c r="BG96" i="35"/>
  <c r="BG97" i="35"/>
  <c r="BG99" i="35"/>
  <c r="BH89" i="35"/>
  <c r="BH95" i="35"/>
  <c r="BH96" i="35"/>
  <c r="BH97" i="35"/>
  <c r="BH99" i="35"/>
  <c r="BI89" i="35"/>
  <c r="BI95" i="35"/>
  <c r="BI96" i="35"/>
  <c r="BI97" i="35"/>
  <c r="BI99" i="35"/>
  <c r="BJ89" i="35"/>
  <c r="BJ95" i="35"/>
  <c r="BJ96" i="35"/>
  <c r="BJ97" i="35"/>
  <c r="BJ99" i="35"/>
  <c r="BK89" i="35"/>
  <c r="BK95" i="35"/>
  <c r="BK96" i="35"/>
  <c r="BK97" i="35"/>
  <c r="BK99" i="35"/>
  <c r="BL89" i="35"/>
  <c r="BL95" i="35"/>
  <c r="BL96" i="35"/>
  <c r="BL97" i="35"/>
  <c r="BL99" i="35"/>
  <c r="BM89" i="35"/>
  <c r="BM95" i="35"/>
  <c r="BM96" i="35"/>
  <c r="BM97" i="35"/>
  <c r="BM99" i="35"/>
  <c r="BN89" i="35"/>
  <c r="J42" i="34"/>
  <c r="BN95" i="35"/>
  <c r="BN96" i="35"/>
  <c r="BN97" i="35"/>
  <c r="BN99" i="35"/>
  <c r="BO89" i="35"/>
  <c r="BO95" i="35"/>
  <c r="BO96" i="35"/>
  <c r="BO97" i="35"/>
  <c r="BO99" i="35"/>
  <c r="BP89" i="35"/>
  <c r="BP95" i="35"/>
  <c r="BP96" i="35"/>
  <c r="BP97" i="35"/>
  <c r="BP99" i="35"/>
  <c r="BQ89" i="35"/>
  <c r="BQ95" i="35"/>
  <c r="BQ96" i="35"/>
  <c r="BQ97" i="35"/>
  <c r="BQ99" i="35"/>
  <c r="BR89" i="35"/>
  <c r="BR95" i="35"/>
  <c r="BR96" i="35"/>
  <c r="BR97" i="35"/>
  <c r="BR99" i="35"/>
  <c r="BS89" i="35"/>
  <c r="BS95" i="35"/>
  <c r="BS96" i="35"/>
  <c r="BS97" i="35"/>
  <c r="BS99" i="35"/>
  <c r="BT89" i="35"/>
  <c r="BT95" i="35"/>
  <c r="BT96" i="35"/>
  <c r="BT97" i="35"/>
  <c r="BT99" i="35"/>
  <c r="BU89" i="35"/>
  <c r="BU95" i="35"/>
  <c r="BU96" i="35"/>
  <c r="BU97" i="35"/>
  <c r="BU99" i="35"/>
  <c r="BV89" i="35"/>
  <c r="BV95" i="35"/>
  <c r="BV96" i="35"/>
  <c r="BV97" i="35"/>
  <c r="BV99" i="35"/>
  <c r="BW89" i="35"/>
  <c r="BW95" i="35"/>
  <c r="BW96" i="35"/>
  <c r="BW97" i="35"/>
  <c r="BW99" i="35"/>
  <c r="BX89" i="35"/>
  <c r="BX95" i="35"/>
  <c r="BX96" i="35"/>
  <c r="BX97" i="35"/>
  <c r="BX99" i="35"/>
  <c r="BY89" i="35"/>
  <c r="BY95" i="35"/>
  <c r="BY96" i="35"/>
  <c r="BY97" i="35"/>
  <c r="BY99" i="35"/>
  <c r="BZ89" i="35"/>
  <c r="BZ95" i="35"/>
  <c r="BZ96" i="35"/>
  <c r="BZ97" i="35"/>
  <c r="BZ99" i="35"/>
  <c r="CA89" i="35"/>
  <c r="CA95" i="35"/>
  <c r="CA96" i="35"/>
  <c r="CA97" i="35"/>
  <c r="CA99" i="35"/>
  <c r="CB89" i="35"/>
  <c r="CB95" i="35"/>
  <c r="CB96" i="35"/>
  <c r="CB97" i="35"/>
  <c r="CB99" i="35"/>
  <c r="CC89" i="35"/>
  <c r="CC95" i="35"/>
  <c r="CC96" i="35"/>
  <c r="CC97" i="35"/>
  <c r="CC99" i="35"/>
  <c r="CD89" i="35"/>
  <c r="CD95" i="35"/>
  <c r="CD96" i="35"/>
  <c r="CD97" i="35"/>
  <c r="CD99" i="35"/>
  <c r="CE89" i="35"/>
  <c r="CE95" i="35"/>
  <c r="CE96" i="35"/>
  <c r="CE97" i="35"/>
  <c r="CE99" i="35"/>
  <c r="CF89" i="35"/>
  <c r="CF95" i="35"/>
  <c r="CF96" i="35"/>
  <c r="CF97" i="35"/>
  <c r="CF99" i="35"/>
  <c r="CG89" i="35"/>
  <c r="CG95" i="35"/>
  <c r="CG96" i="35"/>
  <c r="CG97" i="35"/>
  <c r="CG99" i="35"/>
  <c r="CH89" i="35"/>
  <c r="CH95" i="35"/>
  <c r="CH96" i="35"/>
  <c r="CH97" i="35"/>
  <c r="CH99" i="35"/>
  <c r="CI89" i="35"/>
  <c r="CI95" i="35"/>
  <c r="CI96" i="35"/>
  <c r="CI97" i="35"/>
  <c r="CI99" i="35"/>
  <c r="CJ89" i="35"/>
  <c r="CJ95" i="35"/>
  <c r="CJ96" i="35"/>
  <c r="CJ97" i="35"/>
  <c r="CJ99" i="35"/>
  <c r="CK89" i="35"/>
  <c r="CK95" i="35"/>
  <c r="CK96" i="35"/>
  <c r="CK97" i="35"/>
  <c r="CK99" i="35"/>
  <c r="CL89" i="35"/>
  <c r="CL95" i="35"/>
  <c r="CL96" i="35"/>
  <c r="CL97" i="35"/>
  <c r="CL99" i="35"/>
  <c r="CM89" i="35"/>
  <c r="CM95" i="35"/>
  <c r="CM96" i="35"/>
  <c r="CM97" i="35"/>
  <c r="CM99" i="35"/>
  <c r="CN89" i="35"/>
  <c r="CN95" i="35"/>
  <c r="CN96" i="35"/>
  <c r="CN97" i="35"/>
  <c r="CN99" i="35"/>
  <c r="CO89" i="35"/>
  <c r="CO95" i="35"/>
  <c r="CO96" i="35"/>
  <c r="CO97" i="35"/>
  <c r="CO99" i="35"/>
  <c r="CP89" i="35"/>
  <c r="CP95" i="35"/>
  <c r="CP96" i="35"/>
  <c r="CP97" i="35"/>
  <c r="CP99" i="35"/>
  <c r="CQ89" i="35"/>
  <c r="CQ95" i="35"/>
  <c r="CQ96" i="35"/>
  <c r="CQ97" i="35"/>
  <c r="CQ99" i="35"/>
  <c r="CR89" i="35"/>
  <c r="CR95" i="35"/>
  <c r="CR96" i="35"/>
  <c r="CR97" i="35"/>
  <c r="CR99" i="35"/>
  <c r="CS89" i="35"/>
  <c r="CS95" i="35"/>
  <c r="CS96" i="35"/>
  <c r="CS97" i="35"/>
  <c r="CS99" i="35"/>
  <c r="CT89" i="35"/>
  <c r="CT95" i="35"/>
  <c r="CT96" i="35"/>
  <c r="CT97" i="35"/>
  <c r="CT99" i="35"/>
  <c r="CU89" i="35"/>
  <c r="CU95" i="35"/>
  <c r="CU96" i="35"/>
  <c r="CU97" i="35"/>
  <c r="CU99" i="35"/>
  <c r="CV89" i="35"/>
  <c r="CV95" i="35"/>
  <c r="CV96" i="35"/>
  <c r="CV97" i="35"/>
  <c r="CV99" i="35"/>
  <c r="CW89" i="35"/>
  <c r="CW95" i="35"/>
  <c r="CW96" i="35"/>
  <c r="CW97" i="35"/>
  <c r="CW99" i="35"/>
  <c r="CX89" i="35"/>
  <c r="CX95" i="35"/>
  <c r="CX96" i="35"/>
  <c r="CX97" i="35"/>
  <c r="CX99" i="35"/>
  <c r="CY89" i="35"/>
  <c r="CY95" i="35"/>
  <c r="CY96" i="35"/>
  <c r="CY97" i="35"/>
  <c r="CY99" i="35"/>
  <c r="CZ89" i="35"/>
  <c r="CZ95" i="35"/>
  <c r="CZ96" i="35"/>
  <c r="CZ97" i="35"/>
  <c r="CZ99" i="35"/>
  <c r="DA89" i="35"/>
  <c r="DA95" i="35"/>
  <c r="DA96" i="35"/>
  <c r="DA97" i="35"/>
  <c r="DA99" i="35"/>
  <c r="DB89" i="35"/>
  <c r="DB95" i="35"/>
  <c r="DB96" i="35"/>
  <c r="DB97" i="35"/>
  <c r="DB99" i="35"/>
  <c r="DC89" i="35"/>
  <c r="DC95" i="35"/>
  <c r="DC96" i="35"/>
  <c r="DC97" i="35"/>
  <c r="DC99" i="35"/>
  <c r="DD89" i="35"/>
  <c r="DD95" i="35"/>
  <c r="DD96" i="35"/>
  <c r="DD97" i="35"/>
  <c r="DD99" i="35"/>
  <c r="DE89" i="35"/>
  <c r="DE95" i="35"/>
  <c r="DE96" i="35"/>
  <c r="DE97" i="35"/>
  <c r="DE99" i="35"/>
  <c r="DF89" i="35"/>
  <c r="DF95" i="35"/>
  <c r="DF96" i="35"/>
  <c r="DF97" i="35"/>
  <c r="DF99" i="35"/>
  <c r="DG89" i="35"/>
  <c r="DG95" i="35"/>
  <c r="DG96" i="35"/>
  <c r="DG97" i="35"/>
  <c r="DG99" i="35"/>
  <c r="DH89" i="35"/>
  <c r="DH95" i="35"/>
  <c r="DH96" i="35"/>
  <c r="DH97" i="35"/>
  <c r="DH99" i="35"/>
  <c r="DI89" i="35"/>
  <c r="DI95" i="35"/>
  <c r="DI96" i="35"/>
  <c r="DI97" i="35"/>
  <c r="DI99" i="35"/>
  <c r="DJ89" i="35"/>
  <c r="DJ95" i="35"/>
  <c r="DJ96" i="35"/>
  <c r="DJ97" i="35"/>
  <c r="DJ99" i="35"/>
  <c r="DK89" i="35"/>
  <c r="DK95" i="35"/>
  <c r="DK96" i="35"/>
  <c r="DK97" i="35"/>
  <c r="DK99" i="35"/>
  <c r="DL89" i="35"/>
  <c r="DL95" i="35"/>
  <c r="DL96" i="35"/>
  <c r="DL97" i="35"/>
  <c r="DL99" i="35"/>
  <c r="DM89" i="35"/>
  <c r="DM95" i="35"/>
  <c r="DM96" i="35"/>
  <c r="DM97" i="35"/>
  <c r="DM99" i="35"/>
  <c r="DN89" i="35"/>
  <c r="DN95" i="35"/>
  <c r="DN96" i="35"/>
  <c r="DN97" i="35"/>
  <c r="DN99" i="35"/>
  <c r="DO89" i="35"/>
  <c r="DO95" i="35"/>
  <c r="DO96" i="35"/>
  <c r="DO97" i="35"/>
  <c r="DO99" i="35"/>
  <c r="DP89" i="35"/>
  <c r="DP95" i="35"/>
  <c r="DP96" i="35"/>
  <c r="DP97" i="35"/>
  <c r="DP99" i="35"/>
  <c r="DQ89" i="35"/>
  <c r="DQ95" i="35"/>
  <c r="DQ96" i="35"/>
  <c r="DQ97" i="35"/>
  <c r="DQ99" i="35"/>
  <c r="DR89" i="35"/>
  <c r="DR95" i="35"/>
  <c r="DR96" i="35"/>
  <c r="DR97" i="35"/>
  <c r="DR99" i="35"/>
  <c r="DS89" i="35"/>
  <c r="DS95" i="35"/>
  <c r="DS96" i="35"/>
  <c r="DS97" i="35"/>
  <c r="DS99" i="35"/>
  <c r="DT89" i="35"/>
  <c r="DT95" i="35"/>
  <c r="DT96" i="35"/>
  <c r="DT97" i="35"/>
  <c r="DT99" i="35"/>
  <c r="DU89" i="35"/>
  <c r="DU95" i="35"/>
  <c r="DU96" i="35"/>
  <c r="DU97" i="35"/>
  <c r="DU99" i="35"/>
  <c r="DV89" i="35"/>
  <c r="DV95" i="35"/>
  <c r="DV96" i="35"/>
  <c r="DV97" i="35"/>
  <c r="DV99" i="35"/>
  <c r="DW89" i="35"/>
  <c r="DW95" i="35"/>
  <c r="DW96" i="35"/>
  <c r="DW97" i="35"/>
  <c r="DW99" i="35"/>
  <c r="DX89" i="35"/>
  <c r="DX95" i="35"/>
  <c r="DX96" i="35"/>
  <c r="DX97" i="35"/>
  <c r="DX99" i="35"/>
  <c r="DY99" i="35"/>
  <c r="F44" i="35"/>
  <c r="E44" i="35"/>
  <c r="DY44" i="35"/>
  <c r="DX102" i="35"/>
  <c r="DX28" i="35"/>
  <c r="DX33" i="35"/>
  <c r="DX34" i="35"/>
  <c r="DX35" i="35"/>
  <c r="DX36" i="35"/>
  <c r="DX37" i="35"/>
  <c r="DX39" i="35"/>
  <c r="DX41" i="35"/>
  <c r="DX44" i="35"/>
  <c r="DW102" i="35"/>
  <c r="DW28" i="35"/>
  <c r="DW33" i="35"/>
  <c r="DW34" i="35"/>
  <c r="DW35" i="35"/>
  <c r="DW36" i="35"/>
  <c r="DW37" i="35"/>
  <c r="DW39" i="35"/>
  <c r="DW41" i="35"/>
  <c r="DW44" i="35"/>
  <c r="DV102" i="35"/>
  <c r="DV28" i="35"/>
  <c r="DV33" i="35"/>
  <c r="DV34" i="35"/>
  <c r="DV35" i="35"/>
  <c r="DV36" i="35"/>
  <c r="DV37" i="35"/>
  <c r="DV39" i="35"/>
  <c r="DV41" i="35"/>
  <c r="DV44" i="35"/>
  <c r="DU102" i="35"/>
  <c r="DU28" i="35"/>
  <c r="DU33" i="35"/>
  <c r="DU34" i="35"/>
  <c r="DU35" i="35"/>
  <c r="DU36" i="35"/>
  <c r="DU37" i="35"/>
  <c r="DU39" i="35"/>
  <c r="DU41" i="35"/>
  <c r="DU44" i="35"/>
  <c r="DT102" i="35"/>
  <c r="DT28" i="35"/>
  <c r="DT33" i="35"/>
  <c r="DT34" i="35"/>
  <c r="DT35" i="35"/>
  <c r="DT36" i="35"/>
  <c r="DT37" i="35"/>
  <c r="DT39" i="35"/>
  <c r="DT41" i="35"/>
  <c r="DT44" i="35"/>
  <c r="DS102" i="35"/>
  <c r="DS28" i="35"/>
  <c r="DS33" i="35"/>
  <c r="DS34" i="35"/>
  <c r="DS35" i="35"/>
  <c r="DS36" i="35"/>
  <c r="DS37" i="35"/>
  <c r="DS39" i="35"/>
  <c r="DS41" i="35"/>
  <c r="DS44" i="35"/>
  <c r="DR102" i="35"/>
  <c r="DR28" i="35"/>
  <c r="DR33" i="35"/>
  <c r="DR34" i="35"/>
  <c r="DR35" i="35"/>
  <c r="DR36" i="35"/>
  <c r="DR37" i="35"/>
  <c r="DR39" i="35"/>
  <c r="DR41" i="35"/>
  <c r="DR44" i="35"/>
  <c r="DQ102" i="35"/>
  <c r="DQ28" i="35"/>
  <c r="DQ33" i="35"/>
  <c r="DQ34" i="35"/>
  <c r="DQ35" i="35"/>
  <c r="DQ36" i="35"/>
  <c r="DQ37" i="35"/>
  <c r="DQ39" i="35"/>
  <c r="DQ41" i="35"/>
  <c r="DQ44" i="35"/>
  <c r="DP102" i="35"/>
  <c r="DP28" i="35"/>
  <c r="DP33" i="35"/>
  <c r="DP34" i="35"/>
  <c r="DP35" i="35"/>
  <c r="DP36" i="35"/>
  <c r="DP37" i="35"/>
  <c r="DP39" i="35"/>
  <c r="DP41" i="35"/>
  <c r="DP44" i="35"/>
  <c r="DO102" i="35"/>
  <c r="DO28" i="35"/>
  <c r="DO33" i="35"/>
  <c r="DO34" i="35"/>
  <c r="DO35" i="35"/>
  <c r="DO36" i="35"/>
  <c r="DO37" i="35"/>
  <c r="DO39" i="35"/>
  <c r="DO41" i="35"/>
  <c r="DO44" i="35"/>
  <c r="DN102" i="35"/>
  <c r="DN28" i="35"/>
  <c r="DN33" i="35"/>
  <c r="DN34" i="35"/>
  <c r="DN35" i="35"/>
  <c r="DN36" i="35"/>
  <c r="DN37" i="35"/>
  <c r="DN39" i="35"/>
  <c r="DN41" i="35"/>
  <c r="DN44" i="35"/>
  <c r="DM102" i="35"/>
  <c r="DM28" i="35"/>
  <c r="DM33" i="35"/>
  <c r="DM34" i="35"/>
  <c r="DM35" i="35"/>
  <c r="DM36" i="35"/>
  <c r="DM37" i="35"/>
  <c r="DM39" i="35"/>
  <c r="DM41" i="35"/>
  <c r="DM44" i="35"/>
  <c r="DL102" i="35"/>
  <c r="DL28" i="35"/>
  <c r="DL33" i="35"/>
  <c r="DL34" i="35"/>
  <c r="DL35" i="35"/>
  <c r="DL36" i="35"/>
  <c r="DL37" i="35"/>
  <c r="DL39" i="35"/>
  <c r="DL41" i="35"/>
  <c r="DL44" i="35"/>
  <c r="DK102" i="35"/>
  <c r="DK28" i="35"/>
  <c r="DK33" i="35"/>
  <c r="DK34" i="35"/>
  <c r="DK35" i="35"/>
  <c r="DK36" i="35"/>
  <c r="DK37" i="35"/>
  <c r="DK39" i="35"/>
  <c r="DK41" i="35"/>
  <c r="DK44" i="35"/>
  <c r="DJ102" i="35"/>
  <c r="DJ28" i="35"/>
  <c r="DJ33" i="35"/>
  <c r="DJ34" i="35"/>
  <c r="DJ35" i="35"/>
  <c r="DJ36" i="35"/>
  <c r="DJ37" i="35"/>
  <c r="DJ39" i="35"/>
  <c r="DJ41" i="35"/>
  <c r="DJ44" i="35"/>
  <c r="DI102" i="35"/>
  <c r="DI28" i="35"/>
  <c r="DI33" i="35"/>
  <c r="DI34" i="35"/>
  <c r="DI35" i="35"/>
  <c r="DI36" i="35"/>
  <c r="DI37" i="35"/>
  <c r="DI39" i="35"/>
  <c r="DI41" i="35"/>
  <c r="DI44" i="35"/>
  <c r="DH102" i="35"/>
  <c r="DH28" i="35"/>
  <c r="DH33" i="35"/>
  <c r="DH34" i="35"/>
  <c r="DH35" i="35"/>
  <c r="DH36" i="35"/>
  <c r="DH37" i="35"/>
  <c r="DH39" i="35"/>
  <c r="DH41" i="35"/>
  <c r="DH44" i="35"/>
  <c r="DG102" i="35"/>
  <c r="DG28" i="35"/>
  <c r="DG33" i="35"/>
  <c r="DG34" i="35"/>
  <c r="DG35" i="35"/>
  <c r="DG36" i="35"/>
  <c r="DG37" i="35"/>
  <c r="DG39" i="35"/>
  <c r="DG41" i="35"/>
  <c r="DG44" i="35"/>
  <c r="DF102" i="35"/>
  <c r="DF28" i="35"/>
  <c r="DF33" i="35"/>
  <c r="DF34" i="35"/>
  <c r="DF35" i="35"/>
  <c r="DF36" i="35"/>
  <c r="DF37" i="35"/>
  <c r="DF39" i="35"/>
  <c r="DF41" i="35"/>
  <c r="DF44" i="35"/>
  <c r="DE102" i="35"/>
  <c r="DE28" i="35"/>
  <c r="DE33" i="35"/>
  <c r="DE34" i="35"/>
  <c r="DE35" i="35"/>
  <c r="DE36" i="35"/>
  <c r="DE37" i="35"/>
  <c r="DE41" i="35"/>
  <c r="DE44" i="35"/>
  <c r="DD102" i="35"/>
  <c r="DD28" i="35"/>
  <c r="DD33" i="35"/>
  <c r="DD34" i="35"/>
  <c r="DD35" i="35"/>
  <c r="DD36" i="35"/>
  <c r="DD37" i="35"/>
  <c r="DD41" i="35"/>
  <c r="DD44" i="35"/>
  <c r="DC102" i="35"/>
  <c r="DC28" i="35"/>
  <c r="DC33" i="35"/>
  <c r="DC34" i="35"/>
  <c r="DC35" i="35"/>
  <c r="DC36" i="35"/>
  <c r="DC37" i="35"/>
  <c r="DC41" i="35"/>
  <c r="DC44" i="35"/>
  <c r="DB102" i="35"/>
  <c r="DB28" i="35"/>
  <c r="DB33" i="35"/>
  <c r="DB34" i="35"/>
  <c r="DB35" i="35"/>
  <c r="DB36" i="35"/>
  <c r="DB37" i="35"/>
  <c r="DB41" i="35"/>
  <c r="DB44" i="35"/>
  <c r="DA102" i="35"/>
  <c r="DA28" i="35"/>
  <c r="DA33" i="35"/>
  <c r="DA34" i="35"/>
  <c r="DA35" i="35"/>
  <c r="DA36" i="35"/>
  <c r="DA37" i="35"/>
  <c r="DA41" i="35"/>
  <c r="DA44" i="35"/>
  <c r="CZ102" i="35"/>
  <c r="CZ28" i="35"/>
  <c r="CZ33" i="35"/>
  <c r="CZ34" i="35"/>
  <c r="CZ35" i="35"/>
  <c r="CZ36" i="35"/>
  <c r="CZ37" i="35"/>
  <c r="CZ41" i="35"/>
  <c r="CZ44" i="35"/>
  <c r="CY102" i="35"/>
  <c r="CY28" i="35"/>
  <c r="CY33" i="35"/>
  <c r="CY34" i="35"/>
  <c r="CY35" i="35"/>
  <c r="CY36" i="35"/>
  <c r="CY37" i="35"/>
  <c r="CY41" i="35"/>
  <c r="CY44" i="35"/>
  <c r="CX102" i="35"/>
  <c r="CX28" i="35"/>
  <c r="CX33" i="35"/>
  <c r="CX34" i="35"/>
  <c r="CX35" i="35"/>
  <c r="CX36" i="35"/>
  <c r="CX37" i="35"/>
  <c r="CX41" i="35"/>
  <c r="CX44" i="35"/>
  <c r="CW102" i="35"/>
  <c r="CW28" i="35"/>
  <c r="CW33" i="35"/>
  <c r="CW34" i="35"/>
  <c r="CW35" i="35"/>
  <c r="CW36" i="35"/>
  <c r="CW37" i="35"/>
  <c r="CW41" i="35"/>
  <c r="CW44" i="35"/>
  <c r="CV102" i="35"/>
  <c r="CV28" i="35"/>
  <c r="CV33" i="35"/>
  <c r="CV34" i="35"/>
  <c r="CV35" i="35"/>
  <c r="CV36" i="35"/>
  <c r="CV37" i="35"/>
  <c r="CV41" i="35"/>
  <c r="CV44" i="35"/>
  <c r="CU102" i="35"/>
  <c r="CU28" i="35"/>
  <c r="CU33" i="35"/>
  <c r="CU34" i="35"/>
  <c r="CU35" i="35"/>
  <c r="CU36" i="35"/>
  <c r="CU37" i="35"/>
  <c r="CU41" i="35"/>
  <c r="CU44" i="35"/>
  <c r="CT102" i="35"/>
  <c r="CT28" i="35"/>
  <c r="CT33" i="35"/>
  <c r="CT34" i="35"/>
  <c r="CT35" i="35"/>
  <c r="CT36" i="35"/>
  <c r="CT37" i="35"/>
  <c r="CT41" i="35"/>
  <c r="CT44" i="35"/>
  <c r="CS102" i="35"/>
  <c r="CS28" i="35"/>
  <c r="CS33" i="35"/>
  <c r="CS34" i="35"/>
  <c r="CS35" i="35"/>
  <c r="CS36" i="35"/>
  <c r="CS37" i="35"/>
  <c r="CS41" i="35"/>
  <c r="CS44" i="35"/>
  <c r="CR102" i="35"/>
  <c r="CR28" i="35"/>
  <c r="CR33" i="35"/>
  <c r="CR34" i="35"/>
  <c r="CR35" i="35"/>
  <c r="CR36" i="35"/>
  <c r="CR37" i="35"/>
  <c r="CR41" i="35"/>
  <c r="CR44" i="35"/>
  <c r="CQ102" i="35"/>
  <c r="CQ28" i="35"/>
  <c r="CQ33" i="35"/>
  <c r="CQ34" i="35"/>
  <c r="CQ35" i="35"/>
  <c r="CQ36" i="35"/>
  <c r="CQ37" i="35"/>
  <c r="CQ41" i="35"/>
  <c r="CQ44" i="35"/>
  <c r="CP102" i="35"/>
  <c r="CP28" i="35"/>
  <c r="CP33" i="35"/>
  <c r="CP34" i="35"/>
  <c r="CP35" i="35"/>
  <c r="CP36" i="35"/>
  <c r="CP37" i="35"/>
  <c r="CP41" i="35"/>
  <c r="CP44" i="35"/>
  <c r="CO102" i="35"/>
  <c r="CO28" i="35"/>
  <c r="CO33" i="35"/>
  <c r="CO34" i="35"/>
  <c r="CO35" i="35"/>
  <c r="CO36" i="35"/>
  <c r="CO37" i="35"/>
  <c r="CO41" i="35"/>
  <c r="CO44" i="35"/>
  <c r="CN102" i="35"/>
  <c r="CN28" i="35"/>
  <c r="CN33" i="35"/>
  <c r="CN34" i="35"/>
  <c r="CN35" i="35"/>
  <c r="CN36" i="35"/>
  <c r="CN37" i="35"/>
  <c r="CN41" i="35"/>
  <c r="CN44" i="35"/>
  <c r="CM102" i="35"/>
  <c r="CM28" i="35"/>
  <c r="CM33" i="35"/>
  <c r="CM34" i="35"/>
  <c r="CM35" i="35"/>
  <c r="CM36" i="35"/>
  <c r="CM37" i="35"/>
  <c r="CM41" i="35"/>
  <c r="CM44" i="35"/>
  <c r="CL102" i="35"/>
  <c r="CL33" i="35"/>
  <c r="CL34" i="35"/>
  <c r="CL35" i="35"/>
  <c r="CL36" i="35"/>
  <c r="CL37" i="35"/>
  <c r="CL41" i="35"/>
  <c r="CL44" i="35"/>
  <c r="CK102" i="35"/>
  <c r="CK28" i="35"/>
  <c r="CK33" i="35"/>
  <c r="CK34" i="35"/>
  <c r="CK35" i="35"/>
  <c r="CK36" i="35"/>
  <c r="CK37" i="35"/>
  <c r="CK41" i="35"/>
  <c r="CK44" i="35"/>
  <c r="CJ102" i="35"/>
  <c r="CJ28" i="35"/>
  <c r="CJ33" i="35"/>
  <c r="CJ34" i="35"/>
  <c r="CJ35" i="35"/>
  <c r="CJ36" i="35"/>
  <c r="CJ37" i="35"/>
  <c r="CJ41" i="35"/>
  <c r="CJ44" i="35"/>
  <c r="CI102" i="35"/>
  <c r="CI28" i="35"/>
  <c r="CI33" i="35"/>
  <c r="CI34" i="35"/>
  <c r="CI35" i="35"/>
  <c r="CI36" i="35"/>
  <c r="CI37" i="35"/>
  <c r="CI41" i="35"/>
  <c r="CI44" i="35"/>
  <c r="CH102" i="35"/>
  <c r="CH28" i="35"/>
  <c r="CH33" i="35"/>
  <c r="CH34" i="35"/>
  <c r="CH35" i="35"/>
  <c r="CH36" i="35"/>
  <c r="CH37" i="35"/>
  <c r="CH41" i="35"/>
  <c r="CH44" i="35"/>
  <c r="CG102" i="35"/>
  <c r="CG28" i="35"/>
  <c r="CG33" i="35"/>
  <c r="CG34" i="35"/>
  <c r="CG35" i="35"/>
  <c r="CG36" i="35"/>
  <c r="CG37" i="35"/>
  <c r="CG41" i="35"/>
  <c r="CG44" i="35"/>
  <c r="CF102" i="35"/>
  <c r="CF28" i="35"/>
  <c r="CF33" i="35"/>
  <c r="CF34" i="35"/>
  <c r="CF35" i="35"/>
  <c r="CF36" i="35"/>
  <c r="CF37" i="35"/>
  <c r="CF41" i="35"/>
  <c r="CF44" i="35"/>
  <c r="CE102" i="35"/>
  <c r="CE28" i="35"/>
  <c r="CE33" i="35"/>
  <c r="CE34" i="35"/>
  <c r="CE35" i="35"/>
  <c r="CE36" i="35"/>
  <c r="CE37" i="35"/>
  <c r="CE41" i="35"/>
  <c r="CE44" i="35"/>
  <c r="CD102" i="35"/>
  <c r="CD28" i="35"/>
  <c r="CD33" i="35"/>
  <c r="CD34" i="35"/>
  <c r="CD35" i="35"/>
  <c r="CD36" i="35"/>
  <c r="CD37" i="35"/>
  <c r="CD41" i="35"/>
  <c r="CD44" i="35"/>
  <c r="CC102" i="35"/>
  <c r="CC28" i="35"/>
  <c r="CC33" i="35"/>
  <c r="CC34" i="35"/>
  <c r="CC35" i="35"/>
  <c r="CC36" i="35"/>
  <c r="CC37" i="35"/>
  <c r="CC41" i="35"/>
  <c r="CC44" i="35"/>
  <c r="CB102" i="35"/>
  <c r="CB28" i="35"/>
  <c r="CB33" i="35"/>
  <c r="CB34" i="35"/>
  <c r="CB35" i="35"/>
  <c r="CB36" i="35"/>
  <c r="CB37" i="35"/>
  <c r="CB41" i="35"/>
  <c r="CB44" i="35"/>
  <c r="CA102" i="35"/>
  <c r="CA28" i="35"/>
  <c r="CA33" i="35"/>
  <c r="CA34" i="35"/>
  <c r="CA35" i="35"/>
  <c r="CA36" i="35"/>
  <c r="CA37" i="35"/>
  <c r="CA41" i="35"/>
  <c r="CA44" i="35"/>
  <c r="BZ102" i="35"/>
  <c r="BZ28" i="35"/>
  <c r="BZ33" i="35"/>
  <c r="BZ34" i="35"/>
  <c r="BZ35" i="35"/>
  <c r="BZ36" i="35"/>
  <c r="BZ37" i="35"/>
  <c r="BZ41" i="35"/>
  <c r="BZ44" i="35"/>
  <c r="BY102" i="35"/>
  <c r="BY28" i="35"/>
  <c r="BY33" i="35"/>
  <c r="BY34" i="35"/>
  <c r="BY35" i="35"/>
  <c r="BY36" i="35"/>
  <c r="BY37" i="35"/>
  <c r="BY41" i="35"/>
  <c r="BY44" i="35"/>
  <c r="BX102" i="35"/>
  <c r="BX28" i="35"/>
  <c r="BX33" i="35"/>
  <c r="BX34" i="35"/>
  <c r="BX35" i="35"/>
  <c r="BX36" i="35"/>
  <c r="BX37" i="35"/>
  <c r="BX41" i="35"/>
  <c r="BX44" i="35"/>
  <c r="BW102" i="35"/>
  <c r="BW28" i="35"/>
  <c r="BW33" i="35"/>
  <c r="BW34" i="35"/>
  <c r="BW35" i="35"/>
  <c r="BW36" i="35"/>
  <c r="BW37" i="35"/>
  <c r="BW41" i="35"/>
  <c r="BW44" i="35"/>
  <c r="BV102" i="35"/>
  <c r="BV28" i="35"/>
  <c r="BV33" i="35"/>
  <c r="BV34" i="35"/>
  <c r="BV35" i="35"/>
  <c r="BV36" i="35"/>
  <c r="BV37" i="35"/>
  <c r="BV41" i="35"/>
  <c r="BV44" i="35"/>
  <c r="BU102" i="35"/>
  <c r="BU28" i="35"/>
  <c r="BU33" i="35"/>
  <c r="BU34" i="35"/>
  <c r="BU35" i="35"/>
  <c r="BU36" i="35"/>
  <c r="BU37" i="35"/>
  <c r="BU41" i="35"/>
  <c r="BU44" i="35"/>
  <c r="BT102" i="35"/>
  <c r="BT28" i="35"/>
  <c r="BT33" i="35"/>
  <c r="BT34" i="35"/>
  <c r="BT35" i="35"/>
  <c r="BT36" i="35"/>
  <c r="BT37" i="35"/>
  <c r="BT41" i="35"/>
  <c r="BT44" i="35"/>
  <c r="BS102" i="35"/>
  <c r="BS28" i="35"/>
  <c r="BS33" i="35"/>
  <c r="BS34" i="35"/>
  <c r="BS35" i="35"/>
  <c r="BS36" i="35"/>
  <c r="BS37" i="35"/>
  <c r="BS41" i="35"/>
  <c r="BS44" i="35"/>
  <c r="BR102" i="35"/>
  <c r="BR33" i="35"/>
  <c r="BR34" i="35"/>
  <c r="BR35" i="35"/>
  <c r="BR36" i="35"/>
  <c r="BR37" i="35"/>
  <c r="BR41" i="35"/>
  <c r="BR44" i="35"/>
  <c r="BQ102" i="35"/>
  <c r="BQ28" i="35"/>
  <c r="BQ33" i="35"/>
  <c r="BQ34" i="35"/>
  <c r="BQ35" i="35"/>
  <c r="BQ36" i="35"/>
  <c r="BQ37" i="35"/>
  <c r="BQ41" i="35"/>
  <c r="BQ44" i="35"/>
  <c r="BP102" i="35"/>
  <c r="BP28" i="35"/>
  <c r="BP33" i="35"/>
  <c r="BP34" i="35"/>
  <c r="BP35" i="35"/>
  <c r="BP36" i="35"/>
  <c r="BP37" i="35"/>
  <c r="BP41" i="35"/>
  <c r="BP44" i="35"/>
  <c r="BO102" i="35"/>
  <c r="BO28" i="35"/>
  <c r="BO33" i="35"/>
  <c r="BO34" i="35"/>
  <c r="BO35" i="35"/>
  <c r="BO36" i="35"/>
  <c r="BO37" i="35"/>
  <c r="BO41" i="35"/>
  <c r="BO44" i="35"/>
  <c r="BN102" i="35"/>
  <c r="BN28" i="35"/>
  <c r="BN33" i="35"/>
  <c r="BN34" i="35"/>
  <c r="BN35" i="35"/>
  <c r="BN36" i="35"/>
  <c r="BN37" i="35"/>
  <c r="BN41" i="35"/>
  <c r="BN44" i="35"/>
  <c r="BM102" i="35"/>
  <c r="BM28" i="35"/>
  <c r="BM33" i="35"/>
  <c r="BM34" i="35"/>
  <c r="BM35" i="35"/>
  <c r="BM36" i="35"/>
  <c r="BM37" i="35"/>
  <c r="BM41" i="35"/>
  <c r="BM44" i="35"/>
  <c r="BL102" i="35"/>
  <c r="BL28" i="35"/>
  <c r="BL33" i="35"/>
  <c r="BL34" i="35"/>
  <c r="BL35" i="35"/>
  <c r="BL36" i="35"/>
  <c r="BL37" i="35"/>
  <c r="BL41" i="35"/>
  <c r="BL44" i="35"/>
  <c r="BK102" i="35"/>
  <c r="BK28" i="35"/>
  <c r="BK33" i="35"/>
  <c r="BK34" i="35"/>
  <c r="BK35" i="35"/>
  <c r="BK36" i="35"/>
  <c r="BK37" i="35"/>
  <c r="BK41" i="35"/>
  <c r="BK44" i="35"/>
  <c r="BJ102" i="35"/>
  <c r="BJ28" i="35"/>
  <c r="BJ33" i="35"/>
  <c r="BJ34" i="35"/>
  <c r="BJ35" i="35"/>
  <c r="BJ36" i="35"/>
  <c r="BJ37" i="35"/>
  <c r="BJ41" i="35"/>
  <c r="BJ44" i="35"/>
  <c r="BI102" i="35"/>
  <c r="BI28" i="35"/>
  <c r="BI33" i="35"/>
  <c r="BI34" i="35"/>
  <c r="BI35" i="35"/>
  <c r="BI36" i="35"/>
  <c r="BI37" i="35"/>
  <c r="BI41" i="35"/>
  <c r="BI44" i="35"/>
  <c r="BH102" i="35"/>
  <c r="BH28" i="35"/>
  <c r="BH33" i="35"/>
  <c r="BH34" i="35"/>
  <c r="BH35" i="35"/>
  <c r="BH36" i="35"/>
  <c r="BH37" i="35"/>
  <c r="BH41" i="35"/>
  <c r="BH44" i="35"/>
  <c r="BG102" i="35"/>
  <c r="BG28" i="35"/>
  <c r="BG33" i="35"/>
  <c r="BG34" i="35"/>
  <c r="BG35" i="35"/>
  <c r="BG36" i="35"/>
  <c r="BG37" i="35"/>
  <c r="BG41" i="35"/>
  <c r="BG44" i="35"/>
  <c r="BF102" i="35"/>
  <c r="BF28" i="35"/>
  <c r="BF33" i="35"/>
  <c r="BF34" i="35"/>
  <c r="BF35" i="35"/>
  <c r="BF36" i="35"/>
  <c r="BF37" i="35"/>
  <c r="BF41" i="35"/>
  <c r="BF44" i="35"/>
  <c r="BE102" i="35"/>
  <c r="BE28" i="35"/>
  <c r="BE33" i="35"/>
  <c r="BE34" i="35"/>
  <c r="BE35" i="35"/>
  <c r="BE36" i="35"/>
  <c r="BE37" i="35"/>
  <c r="BE41" i="35"/>
  <c r="BE44" i="35"/>
  <c r="BD102" i="35"/>
  <c r="BD28" i="35"/>
  <c r="BD33" i="35"/>
  <c r="BD34" i="35"/>
  <c r="BD35" i="35"/>
  <c r="BD36" i="35"/>
  <c r="BD37" i="35"/>
  <c r="BD41" i="35"/>
  <c r="BD44" i="35"/>
  <c r="BC102" i="35"/>
  <c r="BC28" i="35"/>
  <c r="BC33" i="35"/>
  <c r="BC34" i="35"/>
  <c r="BC35" i="35"/>
  <c r="BC36" i="35"/>
  <c r="BC37" i="35"/>
  <c r="BC41" i="35"/>
  <c r="BC44" i="35"/>
  <c r="BB102" i="35"/>
  <c r="BB28" i="35"/>
  <c r="BB33" i="35"/>
  <c r="BB34" i="35"/>
  <c r="BB35" i="35"/>
  <c r="BB36" i="35"/>
  <c r="BB37" i="35"/>
  <c r="BB41" i="35"/>
  <c r="BB44" i="35"/>
  <c r="BA102" i="35"/>
  <c r="BA28" i="35"/>
  <c r="BA33" i="35"/>
  <c r="BA34" i="35"/>
  <c r="BA35" i="35"/>
  <c r="BA36" i="35"/>
  <c r="BA37" i="35"/>
  <c r="BA41" i="35"/>
  <c r="BA44" i="35"/>
  <c r="AZ102" i="35"/>
  <c r="AZ28" i="35"/>
  <c r="AZ33" i="35"/>
  <c r="AZ34" i="35"/>
  <c r="AZ35" i="35"/>
  <c r="AZ36" i="35"/>
  <c r="AZ37" i="35"/>
  <c r="AZ41" i="35"/>
  <c r="AZ44" i="35"/>
  <c r="AY102" i="35"/>
  <c r="AY28" i="35"/>
  <c r="AY33" i="35"/>
  <c r="AY34" i="35"/>
  <c r="AY35" i="35"/>
  <c r="AY36" i="35"/>
  <c r="AY37" i="35"/>
  <c r="AY41" i="35"/>
  <c r="AY44" i="35"/>
  <c r="AX102" i="35"/>
  <c r="AX33" i="35"/>
  <c r="AX34" i="35"/>
  <c r="AX35" i="35"/>
  <c r="AX36" i="35"/>
  <c r="AX37" i="35"/>
  <c r="AX41" i="35"/>
  <c r="AX44" i="35"/>
  <c r="AW102" i="35"/>
  <c r="AW28" i="35"/>
  <c r="AW33" i="35"/>
  <c r="AW34" i="35"/>
  <c r="AW35" i="35"/>
  <c r="AW36" i="35"/>
  <c r="AW37" i="35"/>
  <c r="AW41" i="35"/>
  <c r="AW44" i="35"/>
  <c r="AV102" i="35"/>
  <c r="AV28" i="35"/>
  <c r="AV33" i="35"/>
  <c r="AV34" i="35"/>
  <c r="AV35" i="35"/>
  <c r="AV36" i="35"/>
  <c r="AV37" i="35"/>
  <c r="AV41" i="35"/>
  <c r="AV44" i="35"/>
  <c r="AU102" i="35"/>
  <c r="AU28" i="35"/>
  <c r="AU33" i="35"/>
  <c r="AU34" i="35"/>
  <c r="AU35" i="35"/>
  <c r="AU36" i="35"/>
  <c r="AU37" i="35"/>
  <c r="AU41" i="35"/>
  <c r="AU44" i="35"/>
  <c r="AT102" i="35"/>
  <c r="AT28" i="35"/>
  <c r="AT33" i="35"/>
  <c r="AT34" i="35"/>
  <c r="AT35" i="35"/>
  <c r="AT36" i="35"/>
  <c r="AT37" i="35"/>
  <c r="AT41" i="35"/>
  <c r="AT44" i="35"/>
  <c r="AS102" i="35"/>
  <c r="AS28" i="35"/>
  <c r="AS33" i="35"/>
  <c r="AS34" i="35"/>
  <c r="AS35" i="35"/>
  <c r="AS36" i="35"/>
  <c r="AS37" i="35"/>
  <c r="AS41" i="35"/>
  <c r="AS44" i="35"/>
  <c r="AR102" i="35"/>
  <c r="AR28" i="35"/>
  <c r="AR33" i="35"/>
  <c r="AR34" i="35"/>
  <c r="AR35" i="35"/>
  <c r="AR36" i="35"/>
  <c r="AR37" i="35"/>
  <c r="AR41" i="35"/>
  <c r="AR44" i="35"/>
  <c r="AQ102" i="35"/>
  <c r="AQ28" i="35"/>
  <c r="AQ33" i="35"/>
  <c r="AQ34" i="35"/>
  <c r="AQ35" i="35"/>
  <c r="AQ36" i="35"/>
  <c r="AQ37" i="35"/>
  <c r="AQ41" i="35"/>
  <c r="AQ44" i="35"/>
  <c r="AP102" i="35"/>
  <c r="AP28" i="35"/>
  <c r="AP33" i="35"/>
  <c r="AP34" i="35"/>
  <c r="AP35" i="35"/>
  <c r="AP36" i="35"/>
  <c r="AP37" i="35"/>
  <c r="AP41" i="35"/>
  <c r="AP44" i="35"/>
  <c r="AO102" i="35"/>
  <c r="AO28" i="35"/>
  <c r="AO33" i="35"/>
  <c r="AO34" i="35"/>
  <c r="AO35" i="35"/>
  <c r="AO36" i="35"/>
  <c r="AO37" i="35"/>
  <c r="AO41" i="35"/>
  <c r="AO44" i="35"/>
  <c r="AN102" i="35"/>
  <c r="AN28" i="35"/>
  <c r="AN33" i="35"/>
  <c r="AN34" i="35"/>
  <c r="AN35" i="35"/>
  <c r="AN36" i="35"/>
  <c r="AN37" i="35"/>
  <c r="AN41" i="35"/>
  <c r="AN44" i="35"/>
  <c r="AM102" i="35"/>
  <c r="AM28" i="35"/>
  <c r="AM33" i="35"/>
  <c r="AM34" i="35"/>
  <c r="AM35" i="35"/>
  <c r="AM36" i="35"/>
  <c r="AM37" i="35"/>
  <c r="AM41" i="35"/>
  <c r="AM44" i="35"/>
  <c r="AL102" i="35"/>
  <c r="AL28" i="35"/>
  <c r="AL33" i="35"/>
  <c r="AL34" i="35"/>
  <c r="AL35" i="35"/>
  <c r="AL36" i="35"/>
  <c r="AL37" i="35"/>
  <c r="AL41" i="35"/>
  <c r="AL44" i="35"/>
  <c r="AK102" i="35"/>
  <c r="AK28" i="35"/>
  <c r="AK33" i="35"/>
  <c r="AK34" i="35"/>
  <c r="AK35" i="35"/>
  <c r="AK36" i="35"/>
  <c r="AK37" i="35"/>
  <c r="AK41" i="35"/>
  <c r="AK44" i="35"/>
  <c r="AJ102" i="35"/>
  <c r="AJ28" i="35"/>
  <c r="AJ33" i="35"/>
  <c r="AJ34" i="35"/>
  <c r="AJ35" i="35"/>
  <c r="AJ36" i="35"/>
  <c r="AJ37" i="35"/>
  <c r="AJ41" i="35"/>
  <c r="AJ44" i="35"/>
  <c r="AI102" i="35"/>
  <c r="AI28" i="35"/>
  <c r="AI33" i="35"/>
  <c r="AI34" i="35"/>
  <c r="AI35" i="35"/>
  <c r="AI36" i="35"/>
  <c r="AI37" i="35"/>
  <c r="AI41" i="35"/>
  <c r="AI44" i="35"/>
  <c r="AH102" i="35"/>
  <c r="AH28" i="35"/>
  <c r="AH33" i="35"/>
  <c r="AH34" i="35"/>
  <c r="AH35" i="35"/>
  <c r="AH36" i="35"/>
  <c r="AH37" i="35"/>
  <c r="AH41" i="35"/>
  <c r="AH44" i="35"/>
  <c r="AG102" i="35"/>
  <c r="AG28" i="35"/>
  <c r="AG33" i="35"/>
  <c r="AG34" i="35"/>
  <c r="AG35" i="35"/>
  <c r="AG36" i="35"/>
  <c r="AG37" i="35"/>
  <c r="AG41" i="35"/>
  <c r="AG44" i="35"/>
  <c r="AF102" i="35"/>
  <c r="AF28" i="35"/>
  <c r="AF33" i="35"/>
  <c r="AF34" i="35"/>
  <c r="AF35" i="35"/>
  <c r="AF36" i="35"/>
  <c r="AF37" i="35"/>
  <c r="AF41" i="35"/>
  <c r="AF44" i="35"/>
  <c r="AE102" i="35"/>
  <c r="AE28" i="35"/>
  <c r="AE33" i="35"/>
  <c r="AE34" i="35"/>
  <c r="AE35" i="35"/>
  <c r="AE36" i="35"/>
  <c r="AE37" i="35"/>
  <c r="AE41" i="35"/>
  <c r="AE44" i="35"/>
  <c r="AD102" i="35"/>
  <c r="AD33" i="35"/>
  <c r="AD34" i="35"/>
  <c r="AD35" i="35"/>
  <c r="AD36" i="35"/>
  <c r="AD37" i="35"/>
  <c r="AD41" i="35"/>
  <c r="AD44" i="35"/>
  <c r="AC102" i="35"/>
  <c r="AC28" i="35"/>
  <c r="AC33" i="35"/>
  <c r="AC34" i="35"/>
  <c r="AC35" i="35"/>
  <c r="AC36" i="35"/>
  <c r="AC37" i="35"/>
  <c r="AC41" i="35"/>
  <c r="AC44" i="35"/>
  <c r="AB102" i="35"/>
  <c r="AB28" i="35"/>
  <c r="AB33" i="35"/>
  <c r="AB34" i="35"/>
  <c r="AB35" i="35"/>
  <c r="AB36" i="35"/>
  <c r="AB37" i="35"/>
  <c r="AB41" i="35"/>
  <c r="AB44" i="35"/>
  <c r="AA102" i="35"/>
  <c r="AA28" i="35"/>
  <c r="AA33" i="35"/>
  <c r="AA34" i="35"/>
  <c r="AA35" i="35"/>
  <c r="AA36" i="35"/>
  <c r="AA37" i="35"/>
  <c r="AA41" i="35"/>
  <c r="AA44" i="35"/>
  <c r="Z102" i="35"/>
  <c r="Z28" i="35"/>
  <c r="Z33" i="35"/>
  <c r="Z34" i="35"/>
  <c r="Z35" i="35"/>
  <c r="Z36" i="35"/>
  <c r="Z37" i="35"/>
  <c r="Z41" i="35"/>
  <c r="Z44" i="35"/>
  <c r="Y102" i="35"/>
  <c r="Y28" i="35"/>
  <c r="Y33" i="35"/>
  <c r="Y34" i="35"/>
  <c r="Y35" i="35"/>
  <c r="Y36" i="35"/>
  <c r="Y37" i="35"/>
  <c r="Y41" i="35"/>
  <c r="Y44" i="35"/>
  <c r="X102" i="35"/>
  <c r="X28" i="35"/>
  <c r="X33" i="35"/>
  <c r="X34" i="35"/>
  <c r="X35" i="35"/>
  <c r="X36" i="35"/>
  <c r="X37" i="35"/>
  <c r="X41" i="35"/>
  <c r="X44" i="35"/>
  <c r="W102" i="35"/>
  <c r="W28" i="35"/>
  <c r="W33" i="35"/>
  <c r="W34" i="35"/>
  <c r="W35" i="35"/>
  <c r="W36" i="35"/>
  <c r="W37" i="35"/>
  <c r="W41" i="35"/>
  <c r="W44" i="35"/>
  <c r="V102" i="35"/>
  <c r="V28" i="35"/>
  <c r="V33" i="35"/>
  <c r="V34" i="35"/>
  <c r="V35" i="35"/>
  <c r="V36" i="35"/>
  <c r="V37" i="35"/>
  <c r="V41" i="35"/>
  <c r="V44" i="35"/>
  <c r="U102" i="35"/>
  <c r="U28" i="35"/>
  <c r="U33" i="35"/>
  <c r="U34" i="35"/>
  <c r="U35" i="35"/>
  <c r="U36" i="35"/>
  <c r="U37" i="35"/>
  <c r="U41" i="35"/>
  <c r="U44" i="35"/>
  <c r="T102" i="35"/>
  <c r="T28" i="35"/>
  <c r="T33" i="35"/>
  <c r="T34" i="35"/>
  <c r="T35" i="35"/>
  <c r="T36" i="35"/>
  <c r="T37" i="35"/>
  <c r="T41" i="35"/>
  <c r="T44" i="35"/>
  <c r="S102" i="35"/>
  <c r="S28" i="35"/>
  <c r="S33" i="35"/>
  <c r="S34" i="35"/>
  <c r="S35" i="35"/>
  <c r="S36" i="35"/>
  <c r="S37" i="35"/>
  <c r="S41" i="35"/>
  <c r="S44" i="35"/>
  <c r="R102" i="35"/>
  <c r="R28" i="35"/>
  <c r="R33" i="35"/>
  <c r="R34" i="35"/>
  <c r="R35" i="35"/>
  <c r="R36" i="35"/>
  <c r="R37" i="35"/>
  <c r="R41" i="35"/>
  <c r="R44" i="35"/>
  <c r="Q102" i="35"/>
  <c r="Q28" i="35"/>
  <c r="Q33" i="35"/>
  <c r="Q34" i="35"/>
  <c r="Q35" i="35"/>
  <c r="Q36" i="35"/>
  <c r="Q37" i="35"/>
  <c r="Q41" i="35"/>
  <c r="Q44" i="35"/>
  <c r="P102" i="35"/>
  <c r="P28" i="35"/>
  <c r="P33" i="35"/>
  <c r="P34" i="35"/>
  <c r="P35" i="35"/>
  <c r="P36" i="35"/>
  <c r="P37" i="35"/>
  <c r="P41" i="35"/>
  <c r="P44" i="35"/>
  <c r="O102" i="35"/>
  <c r="O28" i="35"/>
  <c r="O33" i="35"/>
  <c r="O34" i="35"/>
  <c r="O35" i="35"/>
  <c r="O36" i="35"/>
  <c r="O37" i="35"/>
  <c r="O41" i="35"/>
  <c r="O44" i="35"/>
  <c r="N102" i="35"/>
  <c r="N28" i="35"/>
  <c r="N33" i="35"/>
  <c r="N34" i="35"/>
  <c r="N35" i="35"/>
  <c r="N36" i="35"/>
  <c r="N37" i="35"/>
  <c r="N41" i="35"/>
  <c r="N44" i="35"/>
  <c r="M102" i="35"/>
  <c r="M28" i="35"/>
  <c r="M33" i="35"/>
  <c r="M34" i="35"/>
  <c r="M35" i="35"/>
  <c r="M36" i="35"/>
  <c r="M37" i="35"/>
  <c r="M39" i="35"/>
  <c r="M41" i="35"/>
  <c r="M44" i="35"/>
  <c r="L102" i="35"/>
  <c r="L28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103" i="35"/>
  <c r="L104" i="35"/>
  <c r="K102" i="35"/>
  <c r="K28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103" i="35"/>
  <c r="K104" i="35"/>
  <c r="J102" i="35"/>
  <c r="J26" i="35"/>
  <c r="J27" i="35"/>
  <c r="J28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103" i="35"/>
  <c r="J104" i="35"/>
  <c r="I102" i="35"/>
  <c r="I26" i="35"/>
  <c r="I27" i="35"/>
  <c r="I28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103" i="35"/>
  <c r="I104" i="35"/>
  <c r="G102" i="35"/>
  <c r="G99" i="35"/>
  <c r="G89" i="35"/>
  <c r="M84" i="35"/>
  <c r="L84" i="35"/>
  <c r="K84" i="35"/>
  <c r="J84" i="35"/>
  <c r="I84" i="35"/>
  <c r="G65" i="35"/>
  <c r="G63" i="35"/>
  <c r="DY61" i="35"/>
  <c r="DY19" i="35"/>
  <c r="DY59" i="35"/>
  <c r="DY60" i="35"/>
  <c r="DY62" i="35"/>
  <c r="DX61" i="35"/>
  <c r="DX19" i="35"/>
  <c r="DX59" i="35"/>
  <c r="DX60" i="35"/>
  <c r="DX62" i="35"/>
  <c r="DW61" i="35"/>
  <c r="DW19" i="35"/>
  <c r="DW59" i="35"/>
  <c r="DW60" i="35"/>
  <c r="DW62" i="35"/>
  <c r="DV61" i="35"/>
  <c r="DV19" i="35"/>
  <c r="DV59" i="35"/>
  <c r="DV60" i="35"/>
  <c r="DV62" i="35"/>
  <c r="DU61" i="35"/>
  <c r="DU19" i="35"/>
  <c r="DU59" i="35"/>
  <c r="DU60" i="35"/>
  <c r="DU62" i="35"/>
  <c r="DT61" i="35"/>
  <c r="DT19" i="35"/>
  <c r="DT59" i="35"/>
  <c r="DT60" i="35"/>
  <c r="DT62" i="35"/>
  <c r="DS61" i="35"/>
  <c r="DS19" i="35"/>
  <c r="DS59" i="35"/>
  <c r="DS60" i="35"/>
  <c r="DS62" i="35"/>
  <c r="DR61" i="35"/>
  <c r="DR19" i="35"/>
  <c r="DR59" i="35"/>
  <c r="DR60" i="35"/>
  <c r="DR62" i="35"/>
  <c r="DQ61" i="35"/>
  <c r="DQ19" i="35"/>
  <c r="DQ59" i="35"/>
  <c r="DQ60" i="35"/>
  <c r="DQ62" i="35"/>
  <c r="DP61" i="35"/>
  <c r="DP19" i="35"/>
  <c r="DP59" i="35"/>
  <c r="DP60" i="35"/>
  <c r="DP62" i="35"/>
  <c r="DO61" i="35"/>
  <c r="DO19" i="35"/>
  <c r="DO59" i="35"/>
  <c r="DO60" i="35"/>
  <c r="DO62" i="35"/>
  <c r="DN61" i="35"/>
  <c r="DN19" i="35"/>
  <c r="DN59" i="35"/>
  <c r="DN60" i="35"/>
  <c r="DN62" i="35"/>
  <c r="DM61" i="35"/>
  <c r="DM19" i="35"/>
  <c r="DM59" i="35"/>
  <c r="DM60" i="35"/>
  <c r="DM62" i="35"/>
  <c r="DL61" i="35"/>
  <c r="DL19" i="35"/>
  <c r="DL59" i="35"/>
  <c r="DL60" i="35"/>
  <c r="DL62" i="35"/>
  <c r="DK61" i="35"/>
  <c r="DK19" i="35"/>
  <c r="DK59" i="35"/>
  <c r="DK60" i="35"/>
  <c r="DK62" i="35"/>
  <c r="DJ61" i="35"/>
  <c r="DJ19" i="35"/>
  <c r="DJ59" i="35"/>
  <c r="DJ60" i="35"/>
  <c r="DJ62" i="35"/>
  <c r="DI61" i="35"/>
  <c r="DI19" i="35"/>
  <c r="DI59" i="35"/>
  <c r="DI60" i="35"/>
  <c r="DI62" i="35"/>
  <c r="DH61" i="35"/>
  <c r="DH19" i="35"/>
  <c r="DH59" i="35"/>
  <c r="DH60" i="35"/>
  <c r="DH62" i="35"/>
  <c r="DG61" i="35"/>
  <c r="DG19" i="35"/>
  <c r="DG59" i="35"/>
  <c r="DG60" i="35"/>
  <c r="DG62" i="35"/>
  <c r="DF61" i="35"/>
  <c r="DF19" i="35"/>
  <c r="DF59" i="35"/>
  <c r="DF60" i="35"/>
  <c r="DF62" i="35"/>
  <c r="DE61" i="35"/>
  <c r="DE59" i="35"/>
  <c r="DE58" i="35"/>
  <c r="DE60" i="35"/>
  <c r="DE62" i="35"/>
  <c r="DD61" i="35"/>
  <c r="DD59" i="35"/>
  <c r="DD58" i="35"/>
  <c r="DD60" i="35"/>
  <c r="DD62" i="35"/>
  <c r="DC61" i="35"/>
  <c r="DC59" i="35"/>
  <c r="DC58" i="35"/>
  <c r="DC60" i="35"/>
  <c r="DC62" i="35"/>
  <c r="DB61" i="35"/>
  <c r="DB59" i="35"/>
  <c r="DB58" i="35"/>
  <c r="DB60" i="35"/>
  <c r="DB62" i="35"/>
  <c r="DA61" i="35"/>
  <c r="DA59" i="35"/>
  <c r="DA58" i="35"/>
  <c r="DA60" i="35"/>
  <c r="DA62" i="35"/>
  <c r="CZ61" i="35"/>
  <c r="CZ59" i="35"/>
  <c r="CZ58" i="35"/>
  <c r="CZ60" i="35"/>
  <c r="CZ62" i="35"/>
  <c r="CY61" i="35"/>
  <c r="CY59" i="35"/>
  <c r="CY58" i="35"/>
  <c r="CY60" i="35"/>
  <c r="CY62" i="35"/>
  <c r="CX61" i="35"/>
  <c r="CX59" i="35"/>
  <c r="CX58" i="35"/>
  <c r="CX60" i="35"/>
  <c r="CX62" i="35"/>
  <c r="CW61" i="35"/>
  <c r="CW59" i="35"/>
  <c r="CW58" i="35"/>
  <c r="CW60" i="35"/>
  <c r="CW62" i="35"/>
  <c r="CV61" i="35"/>
  <c r="CV59" i="35"/>
  <c r="CV58" i="35"/>
  <c r="CV60" i="35"/>
  <c r="CV62" i="35"/>
  <c r="CU61" i="35"/>
  <c r="CU59" i="35"/>
  <c r="CU58" i="35"/>
  <c r="CU60" i="35"/>
  <c r="CU62" i="35"/>
  <c r="CT61" i="35"/>
  <c r="CT59" i="35"/>
  <c r="CT58" i="35"/>
  <c r="CT60" i="35"/>
  <c r="CT62" i="35"/>
  <c r="CS61" i="35"/>
  <c r="CS59" i="35"/>
  <c r="CS58" i="35"/>
  <c r="CS60" i="35"/>
  <c r="CS62" i="35"/>
  <c r="CR61" i="35"/>
  <c r="CR59" i="35"/>
  <c r="CR58" i="35"/>
  <c r="CR60" i="35"/>
  <c r="CR62" i="35"/>
  <c r="CQ61" i="35"/>
  <c r="CQ59" i="35"/>
  <c r="CQ58" i="35"/>
  <c r="CQ60" i="35"/>
  <c r="CQ62" i="35"/>
  <c r="CP61" i="35"/>
  <c r="CP59" i="35"/>
  <c r="CP58" i="35"/>
  <c r="CP60" i="35"/>
  <c r="CP62" i="35"/>
  <c r="CO61" i="35"/>
  <c r="CO59" i="35"/>
  <c r="CO58" i="35"/>
  <c r="CO60" i="35"/>
  <c r="CO62" i="35"/>
  <c r="CN61" i="35"/>
  <c r="CN59" i="35"/>
  <c r="CN58" i="35"/>
  <c r="CN60" i="35"/>
  <c r="CN62" i="35"/>
  <c r="CM61" i="35"/>
  <c r="CM59" i="35"/>
  <c r="CM58" i="35"/>
  <c r="CM60" i="35"/>
  <c r="CM62" i="35"/>
  <c r="CK61" i="35"/>
  <c r="CK59" i="35"/>
  <c r="CK58" i="35"/>
  <c r="CK60" i="35"/>
  <c r="CK62" i="35"/>
  <c r="CJ61" i="35"/>
  <c r="CJ59" i="35"/>
  <c r="CJ58" i="35"/>
  <c r="CJ60" i="35"/>
  <c r="CJ62" i="35"/>
  <c r="CI61" i="35"/>
  <c r="CI59" i="35"/>
  <c r="CI58" i="35"/>
  <c r="CI60" i="35"/>
  <c r="CI62" i="35"/>
  <c r="CH61" i="35"/>
  <c r="CH59" i="35"/>
  <c r="CH58" i="35"/>
  <c r="CH60" i="35"/>
  <c r="CH62" i="35"/>
  <c r="CG61" i="35"/>
  <c r="CG59" i="35"/>
  <c r="CG58" i="35"/>
  <c r="CG60" i="35"/>
  <c r="CG62" i="35"/>
  <c r="CF61" i="35"/>
  <c r="CF59" i="35"/>
  <c r="CF58" i="35"/>
  <c r="CF60" i="35"/>
  <c r="CF62" i="35"/>
  <c r="CE61" i="35"/>
  <c r="CE59" i="35"/>
  <c r="CE58" i="35"/>
  <c r="CE60" i="35"/>
  <c r="CE62" i="35"/>
  <c r="CD61" i="35"/>
  <c r="CD59" i="35"/>
  <c r="CD58" i="35"/>
  <c r="CD60" i="35"/>
  <c r="CD62" i="35"/>
  <c r="CC61" i="35"/>
  <c r="CC59" i="35"/>
  <c r="CC58" i="35"/>
  <c r="CC60" i="35"/>
  <c r="CC62" i="35"/>
  <c r="CB61" i="35"/>
  <c r="CB59" i="35"/>
  <c r="CB58" i="35"/>
  <c r="CB60" i="35"/>
  <c r="CB62" i="35"/>
  <c r="CA61" i="35"/>
  <c r="CA59" i="35"/>
  <c r="CA58" i="35"/>
  <c r="CA60" i="35"/>
  <c r="CA62" i="35"/>
  <c r="BZ61" i="35"/>
  <c r="BZ59" i="35"/>
  <c r="BZ58" i="35"/>
  <c r="BZ60" i="35"/>
  <c r="BZ62" i="35"/>
  <c r="BY61" i="35"/>
  <c r="BY59" i="35"/>
  <c r="BY58" i="35"/>
  <c r="BY60" i="35"/>
  <c r="BY62" i="35"/>
  <c r="BX61" i="35"/>
  <c r="BX59" i="35"/>
  <c r="BX58" i="35"/>
  <c r="BX60" i="35"/>
  <c r="BX62" i="35"/>
  <c r="BW61" i="35"/>
  <c r="BW59" i="35"/>
  <c r="BW58" i="35"/>
  <c r="BW60" i="35"/>
  <c r="BW62" i="35"/>
  <c r="BV61" i="35"/>
  <c r="BV59" i="35"/>
  <c r="BV58" i="35"/>
  <c r="BV60" i="35"/>
  <c r="BV62" i="35"/>
  <c r="BU61" i="35"/>
  <c r="BU59" i="35"/>
  <c r="BU58" i="35"/>
  <c r="BU60" i="35"/>
  <c r="BU62" i="35"/>
  <c r="BT61" i="35"/>
  <c r="BT59" i="35"/>
  <c r="BT58" i="35"/>
  <c r="BT60" i="35"/>
  <c r="BT62" i="35"/>
  <c r="BS61" i="35"/>
  <c r="BS59" i="35"/>
  <c r="BS58" i="35"/>
  <c r="BS60" i="35"/>
  <c r="BS62" i="35"/>
  <c r="BQ61" i="35"/>
  <c r="BQ59" i="35"/>
  <c r="BQ58" i="35"/>
  <c r="BQ60" i="35"/>
  <c r="BQ62" i="35"/>
  <c r="BP61" i="35"/>
  <c r="BP59" i="35"/>
  <c r="BP58" i="35"/>
  <c r="BP60" i="35"/>
  <c r="BP62" i="35"/>
  <c r="BO61" i="35"/>
  <c r="BO59" i="35"/>
  <c r="BO58" i="35"/>
  <c r="BO60" i="35"/>
  <c r="BO62" i="35"/>
  <c r="BN61" i="35"/>
  <c r="BN59" i="35"/>
  <c r="BN58" i="35"/>
  <c r="BN60" i="35"/>
  <c r="BN62" i="35"/>
  <c r="BM61" i="35"/>
  <c r="BM59" i="35"/>
  <c r="BM58" i="35"/>
  <c r="BM60" i="35"/>
  <c r="BM62" i="35"/>
  <c r="BL61" i="35"/>
  <c r="BL59" i="35"/>
  <c r="BL58" i="35"/>
  <c r="BL60" i="35"/>
  <c r="BL62" i="35"/>
  <c r="BK61" i="35"/>
  <c r="BK59" i="35"/>
  <c r="BK58" i="35"/>
  <c r="BK60" i="35"/>
  <c r="BK62" i="35"/>
  <c r="BJ61" i="35"/>
  <c r="BJ59" i="35"/>
  <c r="BJ58" i="35"/>
  <c r="BJ60" i="35"/>
  <c r="BJ62" i="35"/>
  <c r="BI61" i="35"/>
  <c r="BI59" i="35"/>
  <c r="BI58" i="35"/>
  <c r="BI60" i="35"/>
  <c r="BI62" i="35"/>
  <c r="BH61" i="35"/>
  <c r="BH59" i="35"/>
  <c r="BH58" i="35"/>
  <c r="BH60" i="35"/>
  <c r="BH62" i="35"/>
  <c r="BG61" i="35"/>
  <c r="BG59" i="35"/>
  <c r="BG58" i="35"/>
  <c r="BG60" i="35"/>
  <c r="BG62" i="35"/>
  <c r="BF61" i="35"/>
  <c r="BF59" i="35"/>
  <c r="BF58" i="35"/>
  <c r="BF60" i="35"/>
  <c r="BF62" i="35"/>
  <c r="BE61" i="35"/>
  <c r="BE59" i="35"/>
  <c r="BE58" i="35"/>
  <c r="BE60" i="35"/>
  <c r="BE62" i="35"/>
  <c r="BD61" i="35"/>
  <c r="BD59" i="35"/>
  <c r="BD58" i="35"/>
  <c r="BD60" i="35"/>
  <c r="BD62" i="35"/>
  <c r="BC61" i="35"/>
  <c r="BC59" i="35"/>
  <c r="BC58" i="35"/>
  <c r="BC60" i="35"/>
  <c r="BC62" i="35"/>
  <c r="BB61" i="35"/>
  <c r="BB59" i="35"/>
  <c r="BB58" i="35"/>
  <c r="BB60" i="35"/>
  <c r="BB62" i="35"/>
  <c r="BA61" i="35"/>
  <c r="BA59" i="35"/>
  <c r="BA58" i="35"/>
  <c r="BA60" i="35"/>
  <c r="BA62" i="35"/>
  <c r="AZ61" i="35"/>
  <c r="AZ59" i="35"/>
  <c r="AZ58" i="35"/>
  <c r="AZ60" i="35"/>
  <c r="AZ62" i="35"/>
  <c r="AY61" i="35"/>
  <c r="AY59" i="35"/>
  <c r="AY58" i="35"/>
  <c r="AY60" i="35"/>
  <c r="AY62" i="35"/>
  <c r="AW61" i="35"/>
  <c r="AW59" i="35"/>
  <c r="AW58" i="35"/>
  <c r="AW60" i="35"/>
  <c r="AW62" i="35"/>
  <c r="AV61" i="35"/>
  <c r="AV59" i="35"/>
  <c r="AV58" i="35"/>
  <c r="AV60" i="35"/>
  <c r="AV62" i="35"/>
  <c r="AU61" i="35"/>
  <c r="AU59" i="35"/>
  <c r="AU58" i="35"/>
  <c r="AU60" i="35"/>
  <c r="AU62" i="35"/>
  <c r="AT61" i="35"/>
  <c r="AT59" i="35"/>
  <c r="AT58" i="35"/>
  <c r="AT60" i="35"/>
  <c r="AT62" i="35"/>
  <c r="AS61" i="35"/>
  <c r="AS59" i="35"/>
  <c r="AS58" i="35"/>
  <c r="AS60" i="35"/>
  <c r="AS62" i="35"/>
  <c r="AR61" i="35"/>
  <c r="AR59" i="35"/>
  <c r="AR58" i="35"/>
  <c r="AR60" i="35"/>
  <c r="AR62" i="35"/>
  <c r="AQ61" i="35"/>
  <c r="AQ59" i="35"/>
  <c r="AQ58" i="35"/>
  <c r="AQ60" i="35"/>
  <c r="AQ62" i="35"/>
  <c r="AP61" i="35"/>
  <c r="AP59" i="35"/>
  <c r="AP58" i="35"/>
  <c r="AP60" i="35"/>
  <c r="AP62" i="35"/>
  <c r="AO61" i="35"/>
  <c r="AO59" i="35"/>
  <c r="AO58" i="35"/>
  <c r="AO60" i="35"/>
  <c r="AO62" i="35"/>
  <c r="AN61" i="35"/>
  <c r="AN59" i="35"/>
  <c r="AN58" i="35"/>
  <c r="AN60" i="35"/>
  <c r="AN62" i="35"/>
  <c r="AM61" i="35"/>
  <c r="AM59" i="35"/>
  <c r="AM58" i="35"/>
  <c r="AM60" i="35"/>
  <c r="AM62" i="35"/>
  <c r="AL61" i="35"/>
  <c r="AL59" i="35"/>
  <c r="AL58" i="35"/>
  <c r="AL60" i="35"/>
  <c r="AL62" i="35"/>
  <c r="AK61" i="35"/>
  <c r="AK59" i="35"/>
  <c r="AK58" i="35"/>
  <c r="AK60" i="35"/>
  <c r="AK62" i="35"/>
  <c r="AJ61" i="35"/>
  <c r="AJ59" i="35"/>
  <c r="AJ58" i="35"/>
  <c r="AJ60" i="35"/>
  <c r="AJ62" i="35"/>
  <c r="AI61" i="35"/>
  <c r="AI59" i="35"/>
  <c r="AI58" i="35"/>
  <c r="AI60" i="35"/>
  <c r="AI62" i="35"/>
  <c r="AH61" i="35"/>
  <c r="AH59" i="35"/>
  <c r="AH58" i="35"/>
  <c r="AH60" i="35"/>
  <c r="AH62" i="35"/>
  <c r="AG61" i="35"/>
  <c r="AG59" i="35"/>
  <c r="AG58" i="35"/>
  <c r="AG60" i="35"/>
  <c r="AG62" i="35"/>
  <c r="AF61" i="35"/>
  <c r="AF59" i="35"/>
  <c r="AF58" i="35"/>
  <c r="AF60" i="35"/>
  <c r="AF62" i="35"/>
  <c r="AE61" i="35"/>
  <c r="AE59" i="35"/>
  <c r="AE58" i="35"/>
  <c r="AE60" i="35"/>
  <c r="AE62" i="35"/>
  <c r="AC61" i="35"/>
  <c r="AC59" i="35"/>
  <c r="AC58" i="35"/>
  <c r="AC60" i="35"/>
  <c r="AC62" i="35"/>
  <c r="AB61" i="35"/>
  <c r="AB59" i="35"/>
  <c r="AB58" i="35"/>
  <c r="AB60" i="35"/>
  <c r="AB62" i="35"/>
  <c r="AA61" i="35"/>
  <c r="AA59" i="35"/>
  <c r="AA58" i="35"/>
  <c r="AA60" i="35"/>
  <c r="AA62" i="35"/>
  <c r="Z61" i="35"/>
  <c r="Z59" i="35"/>
  <c r="Z58" i="35"/>
  <c r="Z60" i="35"/>
  <c r="Z62" i="35"/>
  <c r="Y61" i="35"/>
  <c r="Y59" i="35"/>
  <c r="Y58" i="35"/>
  <c r="Y60" i="35"/>
  <c r="Y62" i="35"/>
  <c r="X61" i="35"/>
  <c r="X59" i="35"/>
  <c r="X58" i="35"/>
  <c r="X60" i="35"/>
  <c r="X62" i="35"/>
  <c r="W61" i="35"/>
  <c r="W59" i="35"/>
  <c r="W58" i="35"/>
  <c r="W60" i="35"/>
  <c r="W62" i="35"/>
  <c r="V61" i="35"/>
  <c r="V59" i="35"/>
  <c r="V58" i="35"/>
  <c r="V60" i="35"/>
  <c r="V62" i="35"/>
  <c r="U61" i="35"/>
  <c r="U59" i="35"/>
  <c r="U58" i="35"/>
  <c r="U60" i="35"/>
  <c r="U62" i="35"/>
  <c r="T61" i="35"/>
  <c r="T59" i="35"/>
  <c r="T58" i="35"/>
  <c r="T60" i="35"/>
  <c r="T62" i="35"/>
  <c r="S61" i="35"/>
  <c r="S59" i="35"/>
  <c r="S58" i="35"/>
  <c r="S60" i="35"/>
  <c r="S62" i="35"/>
  <c r="R61" i="35"/>
  <c r="R59" i="35"/>
  <c r="R58" i="35"/>
  <c r="R60" i="35"/>
  <c r="R62" i="35"/>
  <c r="Q61" i="35"/>
  <c r="Q59" i="35"/>
  <c r="Q58" i="35"/>
  <c r="Q60" i="35"/>
  <c r="Q62" i="35"/>
  <c r="P61" i="35"/>
  <c r="P59" i="35"/>
  <c r="P58" i="35"/>
  <c r="P60" i="35"/>
  <c r="P62" i="35"/>
  <c r="O61" i="35"/>
  <c r="O59" i="35"/>
  <c r="O58" i="35"/>
  <c r="O60" i="35"/>
  <c r="O62" i="35"/>
  <c r="N61" i="35"/>
  <c r="N59" i="35"/>
  <c r="N58" i="35"/>
  <c r="N60" i="35"/>
  <c r="N62" i="35"/>
  <c r="M61" i="35"/>
  <c r="M59" i="35"/>
  <c r="M58" i="35"/>
  <c r="M60" i="35"/>
  <c r="M62" i="35"/>
  <c r="L61" i="35"/>
  <c r="L59" i="35"/>
  <c r="L58" i="35"/>
  <c r="L60" i="35"/>
  <c r="L62" i="35"/>
  <c r="K61" i="35"/>
  <c r="K59" i="35"/>
  <c r="K58" i="35"/>
  <c r="K60" i="35"/>
  <c r="K62" i="35"/>
  <c r="J61" i="35"/>
  <c r="J59" i="35"/>
  <c r="J58" i="35"/>
  <c r="J60" i="35"/>
  <c r="J62" i="35"/>
  <c r="I61" i="35"/>
  <c r="I19" i="35"/>
  <c r="I59" i="35"/>
  <c r="I60" i="35"/>
  <c r="I62" i="35"/>
  <c r="G60" i="35"/>
  <c r="DY58" i="35"/>
  <c r="DX58" i="35"/>
  <c r="DW58" i="35"/>
  <c r="DV58" i="35"/>
  <c r="DU58" i="35"/>
  <c r="DT58" i="35"/>
  <c r="DS58" i="35"/>
  <c r="DR58" i="35"/>
  <c r="DQ58" i="35"/>
  <c r="DP58" i="35"/>
  <c r="DO58" i="35"/>
  <c r="DN58" i="35"/>
  <c r="DM58" i="35"/>
  <c r="DL58" i="35"/>
  <c r="DK58" i="35"/>
  <c r="DJ58" i="35"/>
  <c r="DI58" i="35"/>
  <c r="DH58" i="35"/>
  <c r="DG58" i="35"/>
  <c r="DF58" i="35"/>
  <c r="I58" i="35"/>
  <c r="G58" i="35"/>
  <c r="DY53" i="35"/>
  <c r="DY54" i="35"/>
  <c r="DY55" i="35"/>
  <c r="DX53" i="35"/>
  <c r="DX54" i="35"/>
  <c r="DX55" i="35"/>
  <c r="DW53" i="35"/>
  <c r="DW54" i="35"/>
  <c r="DW55" i="35"/>
  <c r="DV53" i="35"/>
  <c r="DV54" i="35"/>
  <c r="DV55" i="35"/>
  <c r="DU53" i="35"/>
  <c r="DU54" i="35"/>
  <c r="DU55" i="35"/>
  <c r="DT53" i="35"/>
  <c r="DT54" i="35"/>
  <c r="DT55" i="35"/>
  <c r="DS53" i="35"/>
  <c r="DS54" i="35"/>
  <c r="DS55" i="35"/>
  <c r="DR53" i="35"/>
  <c r="DR54" i="35"/>
  <c r="DR55" i="35"/>
  <c r="DQ53" i="35"/>
  <c r="DQ54" i="35"/>
  <c r="DQ55" i="35"/>
  <c r="DP53" i="35"/>
  <c r="DP54" i="35"/>
  <c r="DP55" i="35"/>
  <c r="DO53" i="35"/>
  <c r="DO54" i="35"/>
  <c r="DO55" i="35"/>
  <c r="DN53" i="35"/>
  <c r="DN54" i="35"/>
  <c r="DN55" i="35"/>
  <c r="DM53" i="35"/>
  <c r="DM54" i="35"/>
  <c r="DM55" i="35"/>
  <c r="DL53" i="35"/>
  <c r="DL54" i="35"/>
  <c r="DL55" i="35"/>
  <c r="DK53" i="35"/>
  <c r="DK54" i="35"/>
  <c r="DK55" i="35"/>
  <c r="DJ53" i="35"/>
  <c r="DJ54" i="35"/>
  <c r="DJ55" i="35"/>
  <c r="DI53" i="35"/>
  <c r="DI54" i="35"/>
  <c r="DI55" i="35"/>
  <c r="DH53" i="35"/>
  <c r="DH54" i="35"/>
  <c r="DH55" i="35"/>
  <c r="DG53" i="35"/>
  <c r="DG54" i="35"/>
  <c r="DG55" i="35"/>
  <c r="DF53" i="35"/>
  <c r="DF54" i="35"/>
  <c r="DF55" i="35"/>
  <c r="L53" i="35"/>
  <c r="L54" i="35"/>
  <c r="L55" i="35"/>
  <c r="K53" i="35"/>
  <c r="K54" i="35"/>
  <c r="K55" i="35"/>
  <c r="J53" i="35"/>
  <c r="J54" i="35"/>
  <c r="J55" i="35"/>
  <c r="I53" i="35"/>
  <c r="I54" i="35"/>
  <c r="I55" i="35"/>
  <c r="L48" i="35"/>
  <c r="K48" i="35"/>
  <c r="J48" i="35"/>
  <c r="I48" i="35"/>
  <c r="L47" i="35"/>
  <c r="K47" i="35"/>
  <c r="J47" i="35"/>
  <c r="I47" i="35"/>
  <c r="G44" i="35"/>
  <c r="G41" i="35"/>
  <c r="G37" i="35"/>
  <c r="G36" i="35"/>
  <c r="G35" i="35"/>
  <c r="G34" i="35"/>
  <c r="G33" i="35"/>
  <c r="G28" i="35"/>
  <c r="DY22" i="35"/>
  <c r="DX22" i="35"/>
  <c r="DW22" i="35"/>
  <c r="DV22" i="35"/>
  <c r="DU22" i="35"/>
  <c r="DT22" i="35"/>
  <c r="DS22" i="35"/>
  <c r="DR22" i="35"/>
  <c r="DQ22" i="35"/>
  <c r="DP22" i="35"/>
  <c r="DO22" i="35"/>
  <c r="DN22" i="35"/>
  <c r="DM22" i="35"/>
  <c r="DL22" i="35"/>
  <c r="DK22" i="35"/>
  <c r="DJ22" i="35"/>
  <c r="DI22" i="35"/>
  <c r="DH22" i="35"/>
  <c r="DG22" i="35"/>
  <c r="DF22" i="35"/>
  <c r="DE22" i="35"/>
  <c r="DD22" i="35"/>
  <c r="DC22" i="35"/>
  <c r="DB22" i="35"/>
  <c r="DA22" i="35"/>
  <c r="CZ22" i="35"/>
  <c r="CY22" i="35"/>
  <c r="CX22" i="35"/>
  <c r="CW22" i="35"/>
  <c r="CV22" i="35"/>
  <c r="CU22" i="35"/>
  <c r="CT22" i="35"/>
  <c r="CS22" i="35"/>
  <c r="CR22" i="35"/>
  <c r="CQ22" i="35"/>
  <c r="CP22" i="35"/>
  <c r="CO22" i="35"/>
  <c r="CN22" i="35"/>
  <c r="CM22" i="35"/>
  <c r="CL22" i="35"/>
  <c r="CK22" i="35"/>
  <c r="CJ22" i="35"/>
  <c r="CI22" i="35"/>
  <c r="CH22" i="35"/>
  <c r="CG22" i="35"/>
  <c r="CF22" i="35"/>
  <c r="CE22" i="35"/>
  <c r="CD22" i="35"/>
  <c r="CC22" i="35"/>
  <c r="CB22" i="35"/>
  <c r="CA22" i="35"/>
  <c r="BZ22" i="35"/>
  <c r="BY22" i="35"/>
  <c r="BX22" i="35"/>
  <c r="BW22" i="35"/>
  <c r="BV22" i="35"/>
  <c r="BU22" i="35"/>
  <c r="BT22" i="35"/>
  <c r="BS22" i="35"/>
  <c r="BR22" i="35"/>
  <c r="BQ22" i="35"/>
  <c r="BP22" i="35"/>
  <c r="BO22" i="35"/>
  <c r="BN22" i="35"/>
  <c r="BM22" i="35"/>
  <c r="BL22" i="35"/>
  <c r="BK22" i="35"/>
  <c r="BJ22" i="35"/>
  <c r="BI22" i="35"/>
  <c r="BH22" i="35"/>
  <c r="BG22" i="35"/>
  <c r="BF22" i="35"/>
  <c r="BE22" i="35"/>
  <c r="BD22" i="35"/>
  <c r="BC22" i="35"/>
  <c r="BB22" i="35"/>
  <c r="BA22" i="35"/>
  <c r="AZ22" i="35"/>
  <c r="AY22" i="35"/>
  <c r="AX22" i="35"/>
  <c r="AW22" i="35"/>
  <c r="AV22" i="35"/>
  <c r="AU22" i="35"/>
  <c r="AT22" i="35"/>
  <c r="AS22" i="35"/>
  <c r="AR22" i="35"/>
  <c r="AQ22" i="35"/>
  <c r="AP22" i="35"/>
  <c r="AO22" i="35"/>
  <c r="AN22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G22" i="35"/>
  <c r="G18" i="35"/>
  <c r="DY17" i="35"/>
  <c r="DX17" i="35"/>
  <c r="DW17" i="35"/>
  <c r="DV17" i="35"/>
  <c r="DU17" i="35"/>
  <c r="DT17" i="35"/>
  <c r="DS17" i="35"/>
  <c r="DR17" i="35"/>
  <c r="DQ17" i="35"/>
  <c r="DP17" i="35"/>
  <c r="DO17" i="35"/>
  <c r="DN17" i="35"/>
  <c r="DM17" i="35"/>
  <c r="DL17" i="35"/>
  <c r="DK17" i="35"/>
  <c r="DJ17" i="35"/>
  <c r="DI17" i="35"/>
  <c r="DH17" i="35"/>
  <c r="DG17" i="35"/>
  <c r="DF17" i="35"/>
  <c r="DE17" i="35"/>
  <c r="DD17" i="35"/>
  <c r="DC17" i="35"/>
  <c r="DB17" i="35"/>
  <c r="DA17" i="35"/>
  <c r="CZ17" i="35"/>
  <c r="CY17" i="35"/>
  <c r="CX17" i="35"/>
  <c r="CW17" i="35"/>
  <c r="CV17" i="35"/>
  <c r="CU17" i="35"/>
  <c r="CT17" i="35"/>
  <c r="CS17" i="35"/>
  <c r="CR17" i="35"/>
  <c r="CQ17" i="35"/>
  <c r="CP17" i="35"/>
  <c r="CO17" i="35"/>
  <c r="CN17" i="35"/>
  <c r="CM17" i="35"/>
  <c r="CL17" i="35"/>
  <c r="CK17" i="35"/>
  <c r="CJ17" i="35"/>
  <c r="CI17" i="35"/>
  <c r="CH17" i="35"/>
  <c r="CG17" i="35"/>
  <c r="CF17" i="35"/>
  <c r="CE17" i="35"/>
  <c r="CD17" i="35"/>
  <c r="CC17" i="35"/>
  <c r="CB17" i="35"/>
  <c r="CA17" i="35"/>
  <c r="BZ17" i="35"/>
  <c r="BY17" i="35"/>
  <c r="BX17" i="35"/>
  <c r="BW17" i="35"/>
  <c r="BV17" i="35"/>
  <c r="BU17" i="35"/>
  <c r="BT17" i="35"/>
  <c r="BS17" i="35"/>
  <c r="BR17" i="35"/>
  <c r="BQ17" i="35"/>
  <c r="BP17" i="35"/>
  <c r="BO17" i="35"/>
  <c r="BN17" i="35"/>
  <c r="BM17" i="35"/>
  <c r="BL17" i="35"/>
  <c r="BK17" i="35"/>
  <c r="BJ17" i="35"/>
  <c r="BI17" i="35"/>
  <c r="BH17" i="35"/>
  <c r="BG17" i="35"/>
  <c r="BF17" i="35"/>
  <c r="BE17" i="35"/>
  <c r="BD17" i="35"/>
  <c r="BC17" i="35"/>
  <c r="BB17" i="35"/>
  <c r="BA17" i="35"/>
  <c r="AZ17" i="35"/>
  <c r="AY17" i="35"/>
  <c r="AX17" i="35"/>
  <c r="AW17" i="35"/>
  <c r="AV17" i="35"/>
  <c r="AU17" i="35"/>
  <c r="AT17" i="35"/>
  <c r="AS17" i="35"/>
  <c r="AR17" i="35"/>
  <c r="AQ17" i="35"/>
  <c r="AP17" i="35"/>
  <c r="AO17" i="35"/>
  <c r="AN17" i="35"/>
  <c r="AM17" i="35"/>
  <c r="AL17" i="35"/>
  <c r="AK17" i="35"/>
  <c r="AJ17" i="35"/>
  <c r="AI17" i="35"/>
  <c r="AH17" i="35"/>
  <c r="AG17" i="35"/>
  <c r="AF17" i="35"/>
  <c r="AE17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G17" i="35"/>
  <c r="G13" i="35"/>
  <c r="G12" i="35"/>
  <c r="DY2" i="35"/>
  <c r="DX2" i="35"/>
  <c r="DW2" i="35"/>
  <c r="DV2" i="35"/>
  <c r="DU2" i="35"/>
  <c r="DT2" i="35"/>
  <c r="DS2" i="35"/>
  <c r="DR2" i="35"/>
  <c r="DQ2" i="35"/>
  <c r="DP2" i="35"/>
  <c r="DO2" i="35"/>
  <c r="DN2" i="35"/>
  <c r="DM2" i="35"/>
  <c r="DL2" i="35"/>
  <c r="DK2" i="35"/>
  <c r="DJ2" i="35"/>
  <c r="DI2" i="35"/>
  <c r="DH2" i="35"/>
  <c r="DG2" i="35"/>
  <c r="DF2" i="35"/>
  <c r="DE2" i="35"/>
  <c r="DD2" i="35"/>
  <c r="DC2" i="35"/>
  <c r="DB2" i="35"/>
  <c r="DA2" i="35"/>
  <c r="CZ2" i="35"/>
  <c r="CY2" i="35"/>
  <c r="CX2" i="35"/>
  <c r="CW2" i="35"/>
  <c r="CV2" i="35"/>
  <c r="CU2" i="35"/>
  <c r="CT2" i="35"/>
  <c r="CS2" i="35"/>
  <c r="CR2" i="35"/>
  <c r="CQ2" i="35"/>
  <c r="CP2" i="35"/>
  <c r="CO2" i="35"/>
  <c r="CN2" i="35"/>
  <c r="CM2" i="35"/>
  <c r="CL2" i="35"/>
  <c r="CK2" i="35"/>
  <c r="CJ2" i="35"/>
  <c r="CI2" i="35"/>
  <c r="CH2" i="35"/>
  <c r="CG2" i="35"/>
  <c r="CF2" i="35"/>
  <c r="CE2" i="35"/>
  <c r="CD2" i="35"/>
  <c r="CC2" i="35"/>
  <c r="CB2" i="35"/>
  <c r="CA2" i="35"/>
  <c r="BZ2" i="35"/>
  <c r="BY2" i="35"/>
  <c r="BX2" i="35"/>
  <c r="BW2" i="35"/>
  <c r="BV2" i="35"/>
  <c r="BU2" i="35"/>
  <c r="BT2" i="35"/>
  <c r="BS2" i="35"/>
  <c r="BR2" i="35"/>
  <c r="BQ2" i="35"/>
  <c r="BP2" i="35"/>
  <c r="BO2" i="35"/>
  <c r="BN2" i="35"/>
  <c r="BM2" i="35"/>
  <c r="BL2" i="35"/>
  <c r="BK2" i="35"/>
  <c r="BJ2" i="35"/>
  <c r="BI2" i="35"/>
  <c r="BH2" i="35"/>
  <c r="BG2" i="35"/>
  <c r="BF2" i="35"/>
  <c r="BE2" i="35"/>
  <c r="BD2" i="35"/>
  <c r="BC2" i="35"/>
  <c r="BB2" i="35"/>
  <c r="BA2" i="35"/>
  <c r="AZ2" i="35"/>
  <c r="AY2" i="35"/>
  <c r="AX2" i="35"/>
  <c r="AW2" i="35"/>
  <c r="AV2" i="35"/>
  <c r="AU2" i="35"/>
  <c r="AT2" i="35"/>
  <c r="AS2" i="35"/>
  <c r="AR2" i="35"/>
  <c r="AQ2" i="35"/>
  <c r="AP2" i="35"/>
  <c r="AO2" i="35"/>
  <c r="AN2" i="35"/>
  <c r="AM2" i="35"/>
  <c r="AL2" i="35"/>
  <c r="AK2" i="35"/>
  <c r="AJ2" i="35"/>
  <c r="AI2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J43" i="34"/>
  <c r="K13" i="34"/>
  <c r="M90" i="35"/>
  <c r="M91" i="35"/>
  <c r="M92" i="35"/>
  <c r="M93" i="35"/>
  <c r="N88" i="35"/>
  <c r="N98" i="35"/>
  <c r="N90" i="35"/>
  <c r="N91" i="35"/>
  <c r="N92" i="35"/>
  <c r="N93" i="35"/>
  <c r="O88" i="35"/>
  <c r="O98" i="35"/>
  <c r="O90" i="35"/>
  <c r="O91" i="35"/>
  <c r="O92" i="35"/>
  <c r="O93" i="35"/>
  <c r="P88" i="35"/>
  <c r="P98" i="35"/>
  <c r="P90" i="35"/>
  <c r="P91" i="35"/>
  <c r="P92" i="35"/>
  <c r="P93" i="35"/>
  <c r="Q88" i="35"/>
  <c r="Q98" i="35"/>
  <c r="Q90" i="35"/>
  <c r="Q91" i="35"/>
  <c r="Q92" i="35"/>
  <c r="Q93" i="35"/>
  <c r="R88" i="35"/>
  <c r="R98" i="35"/>
  <c r="R90" i="35"/>
  <c r="R91" i="35"/>
  <c r="R92" i="35"/>
  <c r="R93" i="35"/>
  <c r="S88" i="35"/>
  <c r="S98" i="35"/>
  <c r="S90" i="35"/>
  <c r="S91" i="35"/>
  <c r="S92" i="35"/>
  <c r="S93" i="35"/>
  <c r="T88" i="35"/>
  <c r="T98" i="35"/>
  <c r="T90" i="35"/>
  <c r="T91" i="35"/>
  <c r="T92" i="35"/>
  <c r="T93" i="35"/>
  <c r="U88" i="35"/>
  <c r="U98" i="35"/>
  <c r="U90" i="35"/>
  <c r="U91" i="35"/>
  <c r="U92" i="35"/>
  <c r="U93" i="35"/>
  <c r="V88" i="35"/>
  <c r="V98" i="35"/>
  <c r="V90" i="35"/>
  <c r="V91" i="35"/>
  <c r="V92" i="35"/>
  <c r="V93" i="35"/>
  <c r="W88" i="35"/>
  <c r="W98" i="35"/>
  <c r="W90" i="35"/>
  <c r="W91" i="35"/>
  <c r="W92" i="35"/>
  <c r="W93" i="35"/>
  <c r="X88" i="35"/>
  <c r="X98" i="35"/>
  <c r="X90" i="35"/>
  <c r="X91" i="35"/>
  <c r="X92" i="35"/>
  <c r="X93" i="35"/>
  <c r="Y88" i="35"/>
  <c r="Y98" i="35"/>
  <c r="Y90" i="35"/>
  <c r="Y91" i="35"/>
  <c r="Y92" i="35"/>
  <c r="Y93" i="35"/>
  <c r="Z88" i="35"/>
  <c r="Z98" i="35"/>
  <c r="Z90" i="35"/>
  <c r="Z91" i="35"/>
  <c r="Z92" i="35"/>
  <c r="Z93" i="35"/>
  <c r="AA88" i="35"/>
  <c r="AA98" i="35"/>
  <c r="AA90" i="35"/>
  <c r="AA91" i="35"/>
  <c r="AA92" i="35"/>
  <c r="AA93" i="35"/>
  <c r="AB88" i="35"/>
  <c r="AB98" i="35"/>
  <c r="AB90" i="35"/>
  <c r="AB91" i="35"/>
  <c r="AB92" i="35"/>
  <c r="AB93" i="35"/>
  <c r="AC88" i="35"/>
  <c r="AC98" i="35"/>
  <c r="AC90" i="35"/>
  <c r="AC91" i="35"/>
  <c r="AC92" i="35"/>
  <c r="AC93" i="35"/>
  <c r="AD88" i="35"/>
  <c r="AD98" i="35"/>
  <c r="AD90" i="35"/>
  <c r="AD91" i="35"/>
  <c r="AD92" i="35"/>
  <c r="AD93" i="35"/>
  <c r="AE88" i="35"/>
  <c r="AE98" i="35"/>
  <c r="AE90" i="35"/>
  <c r="AE91" i="35"/>
  <c r="AE92" i="35"/>
  <c r="AE93" i="35"/>
  <c r="AF88" i="35"/>
  <c r="AF98" i="35"/>
  <c r="AF90" i="35"/>
  <c r="AF91" i="35"/>
  <c r="AF92" i="35"/>
  <c r="AF93" i="35"/>
  <c r="AG88" i="35"/>
  <c r="AG98" i="35"/>
  <c r="AG90" i="35"/>
  <c r="AG91" i="35"/>
  <c r="AG92" i="35"/>
  <c r="AG93" i="35"/>
  <c r="AH88" i="35"/>
  <c r="AH98" i="35"/>
  <c r="AH90" i="35"/>
  <c r="AH91" i="35"/>
  <c r="AH92" i="35"/>
  <c r="AH93" i="35"/>
  <c r="AI88" i="35"/>
  <c r="AI98" i="35"/>
  <c r="AI90" i="35"/>
  <c r="AI91" i="35"/>
  <c r="AI92" i="35"/>
  <c r="AI93" i="35"/>
  <c r="AJ88" i="35"/>
  <c r="AJ98" i="35"/>
  <c r="AJ90" i="35"/>
  <c r="AJ91" i="35"/>
  <c r="AJ92" i="35"/>
  <c r="AJ93" i="35"/>
  <c r="AK88" i="35"/>
  <c r="AK98" i="35"/>
  <c r="AK90" i="35"/>
  <c r="AK91" i="35"/>
  <c r="AK92" i="35"/>
  <c r="AK93" i="35"/>
  <c r="AL88" i="35"/>
  <c r="AL98" i="35"/>
  <c r="AL90" i="35"/>
  <c r="AL91" i="35"/>
  <c r="AL92" i="35"/>
  <c r="AL93" i="35"/>
  <c r="AM88" i="35"/>
  <c r="AM98" i="35"/>
  <c r="AM90" i="35"/>
  <c r="AM91" i="35"/>
  <c r="AM92" i="35"/>
  <c r="AM93" i="35"/>
  <c r="AN88" i="35"/>
  <c r="AN98" i="35"/>
  <c r="AN90" i="35"/>
  <c r="AN91" i="35"/>
  <c r="AN92" i="35"/>
  <c r="AN93" i="35"/>
  <c r="AO88" i="35"/>
  <c r="AO98" i="35"/>
  <c r="AO90" i="35"/>
  <c r="AO91" i="35"/>
  <c r="AO92" i="35"/>
  <c r="AO93" i="35"/>
  <c r="AP88" i="35"/>
  <c r="AP98" i="35"/>
  <c r="AP90" i="35"/>
  <c r="AP91" i="35"/>
  <c r="AP92" i="35"/>
  <c r="AP93" i="35"/>
  <c r="AQ88" i="35"/>
  <c r="AQ98" i="35"/>
  <c r="AQ90" i="35"/>
  <c r="AQ91" i="35"/>
  <c r="AQ92" i="35"/>
  <c r="AQ93" i="35"/>
  <c r="AR88" i="35"/>
  <c r="AR98" i="35"/>
  <c r="AR90" i="35"/>
  <c r="AR91" i="35"/>
  <c r="AR92" i="35"/>
  <c r="AR93" i="35"/>
  <c r="AS88" i="35"/>
  <c r="AS98" i="35"/>
  <c r="AS90" i="35"/>
  <c r="AS91" i="35"/>
  <c r="AS92" i="35"/>
  <c r="AS93" i="35"/>
  <c r="AT88" i="35"/>
  <c r="AT98" i="35"/>
  <c r="AT90" i="35"/>
  <c r="AT91" i="35"/>
  <c r="AT92" i="35"/>
  <c r="AT93" i="35"/>
  <c r="AU88" i="35"/>
  <c r="AU98" i="35"/>
  <c r="AU90" i="35"/>
  <c r="AU91" i="35"/>
  <c r="AU92" i="35"/>
  <c r="AU93" i="35"/>
  <c r="AV88" i="35"/>
  <c r="AV98" i="35"/>
  <c r="AV90" i="35"/>
  <c r="AV91" i="35"/>
  <c r="AV92" i="35"/>
  <c r="AV93" i="35"/>
  <c r="AW88" i="35"/>
  <c r="AW98" i="35"/>
  <c r="AW90" i="35"/>
  <c r="AW91" i="35"/>
  <c r="AW92" i="35"/>
  <c r="AW93" i="35"/>
  <c r="AX88" i="35"/>
  <c r="AX98" i="35"/>
  <c r="AX90" i="35"/>
  <c r="AX91" i="35"/>
  <c r="AX92" i="35"/>
  <c r="AX93" i="35"/>
  <c r="AY88" i="35"/>
  <c r="AY98" i="35"/>
  <c r="AY90" i="35"/>
  <c r="AY91" i="35"/>
  <c r="AY92" i="35"/>
  <c r="AY93" i="35"/>
  <c r="AZ88" i="35"/>
  <c r="AZ98" i="35"/>
  <c r="AZ90" i="35"/>
  <c r="AZ91" i="35"/>
  <c r="AZ92" i="35"/>
  <c r="AZ93" i="35"/>
  <c r="BA88" i="35"/>
  <c r="BA98" i="35"/>
  <c r="BA90" i="35"/>
  <c r="BA91" i="35"/>
  <c r="BA92" i="35"/>
  <c r="BA93" i="35"/>
  <c r="BB88" i="35"/>
  <c r="BB98" i="35"/>
  <c r="BB90" i="35"/>
  <c r="BB91" i="35"/>
  <c r="BB92" i="35"/>
  <c r="BB93" i="35"/>
  <c r="BC88" i="35"/>
  <c r="BC98" i="35"/>
  <c r="BC90" i="35"/>
  <c r="BC91" i="35"/>
  <c r="BC92" i="35"/>
  <c r="BC93" i="35"/>
  <c r="BD88" i="35"/>
  <c r="BD98" i="35"/>
  <c r="BD90" i="35"/>
  <c r="BD91" i="35"/>
  <c r="BD92" i="35"/>
  <c r="BD93" i="35"/>
  <c r="BE88" i="35"/>
  <c r="BE98" i="35"/>
  <c r="BE90" i="35"/>
  <c r="BE91" i="35"/>
  <c r="BE92" i="35"/>
  <c r="BE93" i="35"/>
  <c r="BF88" i="35"/>
  <c r="BF98" i="35"/>
  <c r="BF90" i="35"/>
  <c r="BF91" i="35"/>
  <c r="BF92" i="35"/>
  <c r="BF93" i="35"/>
  <c r="BG88" i="35"/>
  <c r="BG98" i="35"/>
  <c r="BG90" i="35"/>
  <c r="BG91" i="35"/>
  <c r="BG92" i="35"/>
  <c r="BG93" i="35"/>
  <c r="BH88" i="35"/>
  <c r="BH98" i="35"/>
  <c r="BH90" i="35"/>
  <c r="BH91" i="35"/>
  <c r="BH92" i="35"/>
  <c r="BH93" i="35"/>
  <c r="BI88" i="35"/>
  <c r="BI98" i="35"/>
  <c r="BI90" i="35"/>
  <c r="BI91" i="35"/>
  <c r="BI92" i="35"/>
  <c r="BI93" i="35"/>
  <c r="BJ88" i="35"/>
  <c r="BJ98" i="35"/>
  <c r="BJ90" i="35"/>
  <c r="BJ91" i="35"/>
  <c r="BJ92" i="35"/>
  <c r="BJ93" i="35"/>
  <c r="BK88" i="35"/>
  <c r="BK98" i="35"/>
  <c r="BK90" i="35"/>
  <c r="BK91" i="35"/>
  <c r="BK92" i="35"/>
  <c r="BK93" i="35"/>
  <c r="BL88" i="35"/>
  <c r="BL98" i="35"/>
  <c r="BL90" i="35"/>
  <c r="BL91" i="35"/>
  <c r="BL92" i="35"/>
  <c r="BL93" i="35"/>
  <c r="BM88" i="35"/>
  <c r="BM98" i="35"/>
  <c r="BM90" i="35"/>
  <c r="BM91" i="35"/>
  <c r="BM92" i="35"/>
  <c r="BM93" i="35"/>
  <c r="BN88" i="35"/>
  <c r="BN98" i="35"/>
  <c r="BN90" i="35"/>
  <c r="BN91" i="35"/>
  <c r="BN92" i="35"/>
  <c r="BN93" i="35"/>
  <c r="BO88" i="35"/>
  <c r="BO98" i="35"/>
  <c r="BO90" i="35"/>
  <c r="BO91" i="35"/>
  <c r="BO92" i="35"/>
  <c r="BO93" i="35"/>
  <c r="BP88" i="35"/>
  <c r="BP98" i="35"/>
  <c r="BP90" i="35"/>
  <c r="BP91" i="35"/>
  <c r="BP92" i="35"/>
  <c r="BP93" i="35"/>
  <c r="BQ88" i="35"/>
  <c r="BQ98" i="35"/>
  <c r="BQ90" i="35"/>
  <c r="BQ91" i="35"/>
  <c r="BQ92" i="35"/>
  <c r="BQ93" i="35"/>
  <c r="BR88" i="35"/>
  <c r="BR98" i="35"/>
  <c r="BR90" i="35"/>
  <c r="BR91" i="35"/>
  <c r="BR92" i="35"/>
  <c r="BR93" i="35"/>
  <c r="BS88" i="35"/>
  <c r="BS98" i="35"/>
  <c r="BS90" i="35"/>
  <c r="BS91" i="35"/>
  <c r="BS92" i="35"/>
  <c r="BS93" i="35"/>
  <c r="BT88" i="35"/>
  <c r="BT98" i="35"/>
  <c r="BT90" i="35"/>
  <c r="BT91" i="35"/>
  <c r="BT92" i="35"/>
  <c r="BT93" i="35"/>
  <c r="BU88" i="35"/>
  <c r="BU98" i="35"/>
  <c r="BU90" i="35"/>
  <c r="BU91" i="35"/>
  <c r="BU92" i="35"/>
  <c r="BU93" i="35"/>
  <c r="BV88" i="35"/>
  <c r="BV98" i="35"/>
  <c r="BV90" i="35"/>
  <c r="BV91" i="35"/>
  <c r="BV92" i="35"/>
  <c r="BV93" i="35"/>
  <c r="BW88" i="35"/>
  <c r="BW98" i="35"/>
  <c r="BW90" i="35"/>
  <c r="BW91" i="35"/>
  <c r="BW92" i="35"/>
  <c r="BW93" i="35"/>
  <c r="BX88" i="35"/>
  <c r="BX98" i="35"/>
  <c r="BX90" i="35"/>
  <c r="BX91" i="35"/>
  <c r="BX92" i="35"/>
  <c r="BX93" i="35"/>
  <c r="BY88" i="35"/>
  <c r="BY98" i="35"/>
  <c r="BY90" i="35"/>
  <c r="BY91" i="35"/>
  <c r="BY92" i="35"/>
  <c r="BY93" i="35"/>
  <c r="BZ88" i="35"/>
  <c r="BZ98" i="35"/>
  <c r="BZ90" i="35"/>
  <c r="BZ91" i="35"/>
  <c r="BZ92" i="35"/>
  <c r="BZ93" i="35"/>
  <c r="CA88" i="35"/>
  <c r="CA98" i="35"/>
  <c r="CA90" i="35"/>
  <c r="CA91" i="35"/>
  <c r="CA92" i="35"/>
  <c r="CA93" i="35"/>
  <c r="CB88" i="35"/>
  <c r="CB98" i="35"/>
  <c r="CB90" i="35"/>
  <c r="CB91" i="35"/>
  <c r="CB92" i="35"/>
  <c r="CB93" i="35"/>
  <c r="CC88" i="35"/>
  <c r="CC98" i="35"/>
  <c r="CC90" i="35"/>
  <c r="CC91" i="35"/>
  <c r="CC92" i="35"/>
  <c r="CC93" i="35"/>
  <c r="CD88" i="35"/>
  <c r="CD98" i="35"/>
  <c r="CD90" i="35"/>
  <c r="CD91" i="35"/>
  <c r="CD92" i="35"/>
  <c r="CD93" i="35"/>
  <c r="CE88" i="35"/>
  <c r="CE98" i="35"/>
  <c r="CE90" i="35"/>
  <c r="CE91" i="35"/>
  <c r="CE92" i="35"/>
  <c r="CE93" i="35"/>
  <c r="CF88" i="35"/>
  <c r="CF98" i="35"/>
  <c r="CF90" i="35"/>
  <c r="CF91" i="35"/>
  <c r="CF92" i="35"/>
  <c r="CF93" i="35"/>
  <c r="CG88" i="35"/>
  <c r="CG98" i="35"/>
  <c r="CG90" i="35"/>
  <c r="CG91" i="35"/>
  <c r="CG92" i="35"/>
  <c r="CG93" i="35"/>
  <c r="CH88" i="35"/>
  <c r="CH98" i="35"/>
  <c r="CH90" i="35"/>
  <c r="CH91" i="35"/>
  <c r="CH92" i="35"/>
  <c r="CH93" i="35"/>
  <c r="CI88" i="35"/>
  <c r="CI98" i="35"/>
  <c r="CI90" i="35"/>
  <c r="CI91" i="35"/>
  <c r="CI92" i="35"/>
  <c r="CI93" i="35"/>
  <c r="CJ88" i="35"/>
  <c r="CJ98" i="35"/>
  <c r="CJ90" i="35"/>
  <c r="CJ91" i="35"/>
  <c r="CJ92" i="35"/>
  <c r="CJ93" i="35"/>
  <c r="CK88" i="35"/>
  <c r="CK98" i="35"/>
  <c r="CK90" i="35"/>
  <c r="CK91" i="35"/>
  <c r="CK92" i="35"/>
  <c r="CK93" i="35"/>
  <c r="CL88" i="35"/>
  <c r="CL98" i="35"/>
  <c r="CL90" i="35"/>
  <c r="CL91" i="35"/>
  <c r="CL92" i="35"/>
  <c r="CL93" i="35"/>
  <c r="CM88" i="35"/>
  <c r="CM98" i="35"/>
  <c r="CM90" i="35"/>
  <c r="CM91" i="35"/>
  <c r="CM92" i="35"/>
  <c r="CM93" i="35"/>
  <c r="CN88" i="35"/>
  <c r="CN98" i="35"/>
  <c r="CN90" i="35"/>
  <c r="CN91" i="35"/>
  <c r="CN92" i="35"/>
  <c r="CN93" i="35"/>
  <c r="CO88" i="35"/>
  <c r="CO98" i="35"/>
  <c r="CO90" i="35"/>
  <c r="CO91" i="35"/>
  <c r="CO92" i="35"/>
  <c r="CO93" i="35"/>
  <c r="CP88" i="35"/>
  <c r="CP98" i="35"/>
  <c r="CP90" i="35"/>
  <c r="CP91" i="35"/>
  <c r="CP92" i="35"/>
  <c r="CP93" i="35"/>
  <c r="CQ88" i="35"/>
  <c r="CQ98" i="35"/>
  <c r="CQ90" i="35"/>
  <c r="CQ91" i="35"/>
  <c r="CQ92" i="35"/>
  <c r="CQ93" i="35"/>
  <c r="CR88" i="35"/>
  <c r="CR98" i="35"/>
  <c r="CR90" i="35"/>
  <c r="CR91" i="35"/>
  <c r="CR92" i="35"/>
  <c r="CR93" i="35"/>
  <c r="CS88" i="35"/>
  <c r="CS98" i="35"/>
  <c r="CS90" i="35"/>
  <c r="CS91" i="35"/>
  <c r="CS92" i="35"/>
  <c r="CS93" i="35"/>
  <c r="CT88" i="35"/>
  <c r="CT98" i="35"/>
  <c r="CT90" i="35"/>
  <c r="CT91" i="35"/>
  <c r="CT92" i="35"/>
  <c r="CT93" i="35"/>
  <c r="CU88" i="35"/>
  <c r="CU98" i="35"/>
  <c r="CU90" i="35"/>
  <c r="CU91" i="35"/>
  <c r="CU92" i="35"/>
  <c r="CU93" i="35"/>
  <c r="CV88" i="35"/>
  <c r="CV98" i="35"/>
  <c r="CV90" i="35"/>
  <c r="CV91" i="35"/>
  <c r="CV92" i="35"/>
  <c r="CV93" i="35"/>
  <c r="CW88" i="35"/>
  <c r="CW98" i="35"/>
  <c r="CW90" i="35"/>
  <c r="CW91" i="35"/>
  <c r="CW92" i="35"/>
  <c r="CW93" i="35"/>
  <c r="CX88" i="35"/>
  <c r="CX98" i="35"/>
  <c r="CX90" i="35"/>
  <c r="CX91" i="35"/>
  <c r="CX92" i="35"/>
  <c r="CX93" i="35"/>
  <c r="CY88" i="35"/>
  <c r="CY98" i="35"/>
  <c r="CY90" i="35"/>
  <c r="CY91" i="35"/>
  <c r="CY92" i="35"/>
  <c r="CY93" i="35"/>
  <c r="CZ88" i="35"/>
  <c r="CZ98" i="35"/>
  <c r="CZ90" i="35"/>
  <c r="CZ91" i="35"/>
  <c r="CZ92" i="35"/>
  <c r="CZ93" i="35"/>
  <c r="DA88" i="35"/>
  <c r="DA98" i="35"/>
  <c r="DA90" i="35"/>
  <c r="DA91" i="35"/>
  <c r="DA92" i="35"/>
  <c r="DA93" i="35"/>
  <c r="DB88" i="35"/>
  <c r="DB98" i="35"/>
  <c r="DB90" i="35"/>
  <c r="DB91" i="35"/>
  <c r="DB92" i="35"/>
  <c r="DB93" i="35"/>
  <c r="DC88" i="35"/>
  <c r="DC98" i="35"/>
  <c r="DC90" i="35"/>
  <c r="DC91" i="35"/>
  <c r="DC92" i="35"/>
  <c r="DC93" i="35"/>
  <c r="DD88" i="35"/>
  <c r="DD98" i="35"/>
  <c r="DD90" i="35"/>
  <c r="DD91" i="35"/>
  <c r="DD92" i="35"/>
  <c r="DD93" i="35"/>
  <c r="DE88" i="35"/>
  <c r="DE98" i="35"/>
  <c r="DE90" i="35"/>
  <c r="DE91" i="35"/>
  <c r="DE92" i="35"/>
  <c r="DE93" i="35"/>
  <c r="DF88" i="35"/>
  <c r="DF98" i="35"/>
  <c r="DF90" i="35"/>
  <c r="DF91" i="35"/>
  <c r="DF92" i="35"/>
  <c r="DF93" i="35"/>
  <c r="DG88" i="35"/>
  <c r="DG98" i="35"/>
  <c r="DG90" i="35"/>
  <c r="DG91" i="35"/>
  <c r="DG92" i="35"/>
  <c r="DG93" i="35"/>
  <c r="DH88" i="35"/>
  <c r="DH98" i="35"/>
  <c r="DH90" i="35"/>
  <c r="DH91" i="35"/>
  <c r="DH92" i="35"/>
  <c r="DH93" i="35"/>
  <c r="DI88" i="35"/>
  <c r="DI98" i="35"/>
  <c r="DI90" i="35"/>
  <c r="DI91" i="35"/>
  <c r="DI92" i="35"/>
  <c r="DI93" i="35"/>
  <c r="DJ88" i="35"/>
  <c r="DJ98" i="35"/>
  <c r="DJ90" i="35"/>
  <c r="DJ91" i="35"/>
  <c r="DJ92" i="35"/>
  <c r="DJ93" i="35"/>
  <c r="DK88" i="35"/>
  <c r="DK98" i="35"/>
  <c r="DK90" i="35"/>
  <c r="DK91" i="35"/>
  <c r="DK92" i="35"/>
  <c r="DK93" i="35"/>
  <c r="DL88" i="35"/>
  <c r="DL98" i="35"/>
  <c r="DL90" i="35"/>
  <c r="DL91" i="35"/>
  <c r="DL92" i="35"/>
  <c r="DL93" i="35"/>
  <c r="DM88" i="35"/>
  <c r="DM98" i="35"/>
  <c r="DM90" i="35"/>
  <c r="DM91" i="35"/>
  <c r="DM92" i="35"/>
  <c r="DM93" i="35"/>
  <c r="DN88" i="35"/>
  <c r="DN98" i="35"/>
  <c r="DN90" i="35"/>
  <c r="DN91" i="35"/>
  <c r="DN92" i="35"/>
  <c r="DN93" i="35"/>
  <c r="DO88" i="35"/>
  <c r="DO98" i="35"/>
  <c r="DO90" i="35"/>
  <c r="DO91" i="35"/>
  <c r="DO92" i="35"/>
  <c r="DO93" i="35"/>
  <c r="DP88" i="35"/>
  <c r="DP98" i="35"/>
  <c r="DP90" i="35"/>
  <c r="DP91" i="35"/>
  <c r="DP92" i="35"/>
  <c r="DP93" i="35"/>
  <c r="DQ88" i="35"/>
  <c r="DQ98" i="35"/>
  <c r="DQ90" i="35"/>
  <c r="DQ91" i="35"/>
  <c r="DQ92" i="35"/>
  <c r="DQ93" i="35"/>
  <c r="DR88" i="35"/>
  <c r="DR98" i="35"/>
  <c r="DR90" i="35"/>
  <c r="DR91" i="35"/>
  <c r="DR92" i="35"/>
  <c r="DR93" i="35"/>
  <c r="DS88" i="35"/>
  <c r="DS98" i="35"/>
  <c r="DS90" i="35"/>
  <c r="DS91" i="35"/>
  <c r="DS92" i="35"/>
  <c r="DS93" i="35"/>
  <c r="DT88" i="35"/>
  <c r="DT98" i="35"/>
  <c r="DT90" i="35"/>
  <c r="DT91" i="35"/>
  <c r="DT92" i="35"/>
  <c r="DT93" i="35"/>
  <c r="DU88" i="35"/>
  <c r="DU98" i="35"/>
  <c r="DU90" i="35"/>
  <c r="DU91" i="35"/>
  <c r="DU92" i="35"/>
  <c r="DU93" i="35"/>
  <c r="DV88" i="35"/>
  <c r="DV98" i="35"/>
  <c r="DV90" i="35"/>
  <c r="DV91" i="35"/>
  <c r="DV92" i="35"/>
  <c r="DV93" i="35"/>
  <c r="DW88" i="35"/>
  <c r="DW98" i="35"/>
  <c r="DW90" i="35"/>
  <c r="DW91" i="35"/>
  <c r="DW92" i="35"/>
  <c r="DW93" i="35"/>
  <c r="DX88" i="35"/>
  <c r="DX98" i="35"/>
  <c r="DX90" i="35"/>
  <c r="DX91" i="35"/>
  <c r="DX92" i="35"/>
  <c r="DX93" i="35"/>
  <c r="DY88" i="35"/>
  <c r="DY98" i="35"/>
  <c r="DY90" i="35"/>
  <c r="G90" i="35"/>
  <c r="D120" i="35"/>
  <c r="M71" i="35"/>
  <c r="M72" i="35"/>
  <c r="M74" i="35"/>
  <c r="M77" i="35"/>
  <c r="N69" i="35"/>
  <c r="N80" i="35"/>
  <c r="N71" i="35"/>
  <c r="N72" i="35"/>
  <c r="N83" i="35"/>
  <c r="N73" i="35"/>
  <c r="N74" i="35"/>
  <c r="N77" i="35"/>
  <c r="O69" i="35"/>
  <c r="O80" i="35"/>
  <c r="O71" i="35"/>
  <c r="O72" i="35"/>
  <c r="O83" i="35"/>
  <c r="O73" i="35"/>
  <c r="O74" i="35"/>
  <c r="O77" i="35"/>
  <c r="P69" i="35"/>
  <c r="P80" i="35"/>
  <c r="P71" i="35"/>
  <c r="P72" i="35"/>
  <c r="P83" i="35"/>
  <c r="P73" i="35"/>
  <c r="P74" i="35"/>
  <c r="P77" i="35"/>
  <c r="Q69" i="35"/>
  <c r="Q80" i="35"/>
  <c r="Q71" i="35"/>
  <c r="Q72" i="35"/>
  <c r="Q83" i="35"/>
  <c r="Q73" i="35"/>
  <c r="Q74" i="35"/>
  <c r="Q77" i="35"/>
  <c r="R69" i="35"/>
  <c r="R80" i="35"/>
  <c r="R71" i="35"/>
  <c r="R72" i="35"/>
  <c r="R83" i="35"/>
  <c r="R73" i="35"/>
  <c r="R74" i="35"/>
  <c r="R77" i="35"/>
  <c r="S69" i="35"/>
  <c r="S80" i="35"/>
  <c r="S71" i="35"/>
  <c r="S72" i="35"/>
  <c r="S83" i="35"/>
  <c r="S73" i="35"/>
  <c r="S74" i="35"/>
  <c r="S77" i="35"/>
  <c r="T69" i="35"/>
  <c r="T80" i="35"/>
  <c r="T71" i="35"/>
  <c r="T72" i="35"/>
  <c r="T83" i="35"/>
  <c r="T73" i="35"/>
  <c r="T74" i="35"/>
  <c r="T77" i="35"/>
  <c r="U69" i="35"/>
  <c r="U80" i="35"/>
  <c r="U71" i="35"/>
  <c r="U72" i="35"/>
  <c r="U83" i="35"/>
  <c r="U73" i="35"/>
  <c r="U74" i="35"/>
  <c r="U77" i="35"/>
  <c r="V69" i="35"/>
  <c r="V80" i="35"/>
  <c r="V71" i="35"/>
  <c r="V72" i="35"/>
  <c r="V83" i="35"/>
  <c r="V73" i="35"/>
  <c r="V74" i="35"/>
  <c r="V77" i="35"/>
  <c r="W69" i="35"/>
  <c r="W80" i="35"/>
  <c r="W71" i="35"/>
  <c r="W72" i="35"/>
  <c r="W83" i="35"/>
  <c r="W73" i="35"/>
  <c r="W74" i="35"/>
  <c r="W77" i="35"/>
  <c r="X69" i="35"/>
  <c r="X80" i="35"/>
  <c r="X71" i="35"/>
  <c r="X72" i="35"/>
  <c r="X83" i="35"/>
  <c r="X73" i="35"/>
  <c r="X74" i="35"/>
  <c r="X77" i="35"/>
  <c r="Y69" i="35"/>
  <c r="Y80" i="35"/>
  <c r="Y71" i="35"/>
  <c r="Y72" i="35"/>
  <c r="Y83" i="35"/>
  <c r="Y73" i="35"/>
  <c r="Y74" i="35"/>
  <c r="Y77" i="35"/>
  <c r="Z69" i="35"/>
  <c r="Z80" i="35"/>
  <c r="Z71" i="35"/>
  <c r="Z72" i="35"/>
  <c r="Z83" i="35"/>
  <c r="Z73" i="35"/>
  <c r="Z74" i="35"/>
  <c r="Z77" i="35"/>
  <c r="AA69" i="35"/>
  <c r="AA80" i="35"/>
  <c r="AA71" i="35"/>
  <c r="AA72" i="35"/>
  <c r="AA83" i="35"/>
  <c r="AA73" i="35"/>
  <c r="AA74" i="35"/>
  <c r="AA77" i="35"/>
  <c r="AB69" i="35"/>
  <c r="AB80" i="35"/>
  <c r="AB71" i="35"/>
  <c r="AB72" i="35"/>
  <c r="AB83" i="35"/>
  <c r="AB73" i="35"/>
  <c r="AB74" i="35"/>
  <c r="AB77" i="35"/>
  <c r="AC69" i="35"/>
  <c r="AC80" i="35"/>
  <c r="AC71" i="35"/>
  <c r="AC72" i="35"/>
  <c r="AC83" i="35"/>
  <c r="AC73" i="35"/>
  <c r="AC74" i="35"/>
  <c r="AC77" i="35"/>
  <c r="AD69" i="35"/>
  <c r="AD80" i="35"/>
  <c r="AD71" i="35"/>
  <c r="AD72" i="35"/>
  <c r="AD83" i="35"/>
  <c r="AD73" i="35"/>
  <c r="AD74" i="35"/>
  <c r="AD77" i="35"/>
  <c r="AE69" i="35"/>
  <c r="AE80" i="35"/>
  <c r="AE71" i="35"/>
  <c r="AE72" i="35"/>
  <c r="AE83" i="35"/>
  <c r="AE73" i="35"/>
  <c r="AE74" i="35"/>
  <c r="AE77" i="35"/>
  <c r="AF69" i="35"/>
  <c r="AF80" i="35"/>
  <c r="AF71" i="35"/>
  <c r="AF72" i="35"/>
  <c r="AF83" i="35"/>
  <c r="AF73" i="35"/>
  <c r="AF74" i="35"/>
  <c r="AF77" i="35"/>
  <c r="AG69" i="35"/>
  <c r="AG80" i="35"/>
  <c r="AG71" i="35"/>
  <c r="AG72" i="35"/>
  <c r="AG83" i="35"/>
  <c r="AG73" i="35"/>
  <c r="AG74" i="35"/>
  <c r="AG77" i="35"/>
  <c r="AH69" i="35"/>
  <c r="AH80" i="35"/>
  <c r="AH71" i="35"/>
  <c r="AH72" i="35"/>
  <c r="AH83" i="35"/>
  <c r="AH73" i="35"/>
  <c r="AH74" i="35"/>
  <c r="AH77" i="35"/>
  <c r="AI69" i="35"/>
  <c r="AI80" i="35"/>
  <c r="AI71" i="35"/>
  <c r="AI72" i="35"/>
  <c r="AI83" i="35"/>
  <c r="AI73" i="35"/>
  <c r="AI74" i="35"/>
  <c r="AI77" i="35"/>
  <c r="AJ69" i="35"/>
  <c r="AJ80" i="35"/>
  <c r="AJ71" i="35"/>
  <c r="AJ72" i="35"/>
  <c r="AJ83" i="35"/>
  <c r="AJ73" i="35"/>
  <c r="AJ74" i="35"/>
  <c r="AJ77" i="35"/>
  <c r="AK69" i="35"/>
  <c r="AK80" i="35"/>
  <c r="AK71" i="35"/>
  <c r="AK72" i="35"/>
  <c r="AK83" i="35"/>
  <c r="AK73" i="35"/>
  <c r="AK74" i="35"/>
  <c r="AK77" i="35"/>
  <c r="AL69" i="35"/>
  <c r="AL80" i="35"/>
  <c r="AL71" i="35"/>
  <c r="AL72" i="35"/>
  <c r="AL83" i="35"/>
  <c r="AL73" i="35"/>
  <c r="AL74" i="35"/>
  <c r="AL77" i="35"/>
  <c r="AM69" i="35"/>
  <c r="AM80" i="35"/>
  <c r="AM71" i="35"/>
  <c r="AM72" i="35"/>
  <c r="AM83" i="35"/>
  <c r="AM73" i="35"/>
  <c r="AM74" i="35"/>
  <c r="AM77" i="35"/>
  <c r="AN69" i="35"/>
  <c r="AN80" i="35"/>
  <c r="AN71" i="35"/>
  <c r="AN72" i="35"/>
  <c r="AN83" i="35"/>
  <c r="AN73" i="35"/>
  <c r="AN74" i="35"/>
  <c r="AN77" i="35"/>
  <c r="AO69" i="35"/>
  <c r="AO80" i="35"/>
  <c r="AO71" i="35"/>
  <c r="AO72" i="35"/>
  <c r="AO83" i="35"/>
  <c r="AO73" i="35"/>
  <c r="AO74" i="35"/>
  <c r="AO77" i="35"/>
  <c r="AP69" i="35"/>
  <c r="AP80" i="35"/>
  <c r="AP71" i="35"/>
  <c r="AP72" i="35"/>
  <c r="AP83" i="35"/>
  <c r="AP73" i="35"/>
  <c r="AP74" i="35"/>
  <c r="AP77" i="35"/>
  <c r="AQ69" i="35"/>
  <c r="AQ80" i="35"/>
  <c r="AQ71" i="35"/>
  <c r="AQ72" i="35"/>
  <c r="AQ83" i="35"/>
  <c r="AQ73" i="35"/>
  <c r="AQ74" i="35"/>
  <c r="AQ77" i="35"/>
  <c r="AR69" i="35"/>
  <c r="AR80" i="35"/>
  <c r="AR71" i="35"/>
  <c r="AR72" i="35"/>
  <c r="AR83" i="35"/>
  <c r="AR73" i="35"/>
  <c r="AR74" i="35"/>
  <c r="AR77" i="35"/>
  <c r="AS69" i="35"/>
  <c r="AS80" i="35"/>
  <c r="AS71" i="35"/>
  <c r="AS72" i="35"/>
  <c r="AS83" i="35"/>
  <c r="AS73" i="35"/>
  <c r="AS74" i="35"/>
  <c r="AS77" i="35"/>
  <c r="AT69" i="35"/>
  <c r="AT80" i="35"/>
  <c r="AT71" i="35"/>
  <c r="AT72" i="35"/>
  <c r="AT83" i="35"/>
  <c r="AT73" i="35"/>
  <c r="AT74" i="35"/>
  <c r="AT77" i="35"/>
  <c r="AU69" i="35"/>
  <c r="AU80" i="35"/>
  <c r="AU71" i="35"/>
  <c r="AU72" i="35"/>
  <c r="AU83" i="35"/>
  <c r="AU73" i="35"/>
  <c r="AU74" i="35"/>
  <c r="AU77" i="35"/>
  <c r="AV69" i="35"/>
  <c r="AV80" i="35"/>
  <c r="AV71" i="35"/>
  <c r="AV72" i="35"/>
  <c r="AV83" i="35"/>
  <c r="AV73" i="35"/>
  <c r="AV74" i="35"/>
  <c r="AV77" i="35"/>
  <c r="AW69" i="35"/>
  <c r="AW80" i="35"/>
  <c r="AW71" i="35"/>
  <c r="AW72" i="35"/>
  <c r="AW83" i="35"/>
  <c r="AW73" i="35"/>
  <c r="AW74" i="35"/>
  <c r="AW77" i="35"/>
  <c r="AX69" i="35"/>
  <c r="AX80" i="35"/>
  <c r="AX71" i="35"/>
  <c r="AX72" i="35"/>
  <c r="AX83" i="35"/>
  <c r="AX73" i="35"/>
  <c r="AX74" i="35"/>
  <c r="AX77" i="35"/>
  <c r="AY69" i="35"/>
  <c r="AY80" i="35"/>
  <c r="AY71" i="35"/>
  <c r="AY72" i="35"/>
  <c r="AY83" i="35"/>
  <c r="AY73" i="35"/>
  <c r="AY74" i="35"/>
  <c r="AY77" i="35"/>
  <c r="AZ69" i="35"/>
  <c r="AZ80" i="35"/>
  <c r="AZ71" i="35"/>
  <c r="AZ72" i="35"/>
  <c r="AZ83" i="35"/>
  <c r="AZ73" i="35"/>
  <c r="AZ74" i="35"/>
  <c r="AZ77" i="35"/>
  <c r="BA69" i="35"/>
  <c r="BA80" i="35"/>
  <c r="BA71" i="35"/>
  <c r="BA72" i="35"/>
  <c r="BA83" i="35"/>
  <c r="BA73" i="35"/>
  <c r="BA74" i="35"/>
  <c r="BA77" i="35"/>
  <c r="BB69" i="35"/>
  <c r="BB80" i="35"/>
  <c r="BB71" i="35"/>
  <c r="BB72" i="35"/>
  <c r="BB83" i="35"/>
  <c r="BB73" i="35"/>
  <c r="BB74" i="35"/>
  <c r="BB77" i="35"/>
  <c r="BC69" i="35"/>
  <c r="BC80" i="35"/>
  <c r="BC71" i="35"/>
  <c r="BC72" i="35"/>
  <c r="BC83" i="35"/>
  <c r="BC73" i="35"/>
  <c r="BC74" i="35"/>
  <c r="BC77" i="35"/>
  <c r="BD69" i="35"/>
  <c r="BD80" i="35"/>
  <c r="BD71" i="35"/>
  <c r="BD72" i="35"/>
  <c r="BD83" i="35"/>
  <c r="BD73" i="35"/>
  <c r="BD74" i="35"/>
  <c r="BD77" i="35"/>
  <c r="BE69" i="35"/>
  <c r="BE80" i="35"/>
  <c r="BE71" i="35"/>
  <c r="BE72" i="35"/>
  <c r="BE83" i="35"/>
  <c r="BE73" i="35"/>
  <c r="BE74" i="35"/>
  <c r="BE77" i="35"/>
  <c r="BF69" i="35"/>
  <c r="BF80" i="35"/>
  <c r="BF71" i="35"/>
  <c r="BF72" i="35"/>
  <c r="BF83" i="35"/>
  <c r="BF73" i="35"/>
  <c r="BF74" i="35"/>
  <c r="BF77" i="35"/>
  <c r="BG69" i="35"/>
  <c r="BG80" i="35"/>
  <c r="BG71" i="35"/>
  <c r="BG72" i="35"/>
  <c r="BG83" i="35"/>
  <c r="BG73" i="35"/>
  <c r="BG74" i="35"/>
  <c r="BG77" i="35"/>
  <c r="BH69" i="35"/>
  <c r="BH80" i="35"/>
  <c r="BH71" i="35"/>
  <c r="BH72" i="35"/>
  <c r="BH83" i="35"/>
  <c r="BH73" i="35"/>
  <c r="BH74" i="35"/>
  <c r="BH77" i="35"/>
  <c r="BI69" i="35"/>
  <c r="BI80" i="35"/>
  <c r="BI71" i="35"/>
  <c r="BI72" i="35"/>
  <c r="BI83" i="35"/>
  <c r="BI73" i="35"/>
  <c r="BI74" i="35"/>
  <c r="BI77" i="35"/>
  <c r="BJ69" i="35"/>
  <c r="BJ80" i="35"/>
  <c r="BJ71" i="35"/>
  <c r="BJ72" i="35"/>
  <c r="BJ83" i="35"/>
  <c r="BJ73" i="35"/>
  <c r="BJ74" i="35"/>
  <c r="BJ77" i="35"/>
  <c r="BK69" i="35"/>
  <c r="BK80" i="35"/>
  <c r="BK71" i="35"/>
  <c r="BK72" i="35"/>
  <c r="BK83" i="35"/>
  <c r="BK73" i="35"/>
  <c r="BK74" i="35"/>
  <c r="BK77" i="35"/>
  <c r="BL69" i="35"/>
  <c r="BL80" i="35"/>
  <c r="BL71" i="35"/>
  <c r="BL72" i="35"/>
  <c r="BL83" i="35"/>
  <c r="BL73" i="35"/>
  <c r="BL74" i="35"/>
  <c r="BL77" i="35"/>
  <c r="BM69" i="35"/>
  <c r="BM80" i="35"/>
  <c r="BM71" i="35"/>
  <c r="BM72" i="35"/>
  <c r="BM83" i="35"/>
  <c r="BM73" i="35"/>
  <c r="BM74" i="35"/>
  <c r="BM77" i="35"/>
  <c r="BN69" i="35"/>
  <c r="BN80" i="35"/>
  <c r="BN71" i="35"/>
  <c r="BN72" i="35"/>
  <c r="BN83" i="35"/>
  <c r="BN73" i="35"/>
  <c r="BN74" i="35"/>
  <c r="BN77" i="35"/>
  <c r="BO69" i="35"/>
  <c r="BO80" i="35"/>
  <c r="BO71" i="35"/>
  <c r="BO72" i="35"/>
  <c r="BO83" i="35"/>
  <c r="BO73" i="35"/>
  <c r="BO74" i="35"/>
  <c r="BO77" i="35"/>
  <c r="BP69" i="35"/>
  <c r="BP80" i="35"/>
  <c r="BP71" i="35"/>
  <c r="BP72" i="35"/>
  <c r="BP83" i="35"/>
  <c r="BP73" i="35"/>
  <c r="BP74" i="35"/>
  <c r="BP77" i="35"/>
  <c r="BQ69" i="35"/>
  <c r="BQ80" i="35"/>
  <c r="BQ71" i="35"/>
  <c r="BQ72" i="35"/>
  <c r="BQ83" i="35"/>
  <c r="BQ73" i="35"/>
  <c r="BQ74" i="35"/>
  <c r="BQ77" i="35"/>
  <c r="BR69" i="35"/>
  <c r="BR80" i="35"/>
  <c r="BR71" i="35"/>
  <c r="BR72" i="35"/>
  <c r="BR83" i="35"/>
  <c r="BR73" i="35"/>
  <c r="BR74" i="35"/>
  <c r="BR77" i="35"/>
  <c r="BS69" i="35"/>
  <c r="BS80" i="35"/>
  <c r="BS71" i="35"/>
  <c r="BS72" i="35"/>
  <c r="BS83" i="35"/>
  <c r="BS73" i="35"/>
  <c r="BS74" i="35"/>
  <c r="BS77" i="35"/>
  <c r="BT69" i="35"/>
  <c r="BT80" i="35"/>
  <c r="BT71" i="35"/>
  <c r="BT72" i="35"/>
  <c r="BT83" i="35"/>
  <c r="BT73" i="35"/>
  <c r="BT74" i="35"/>
  <c r="BT77" i="35"/>
  <c r="BU69" i="35"/>
  <c r="BU80" i="35"/>
  <c r="BU71" i="35"/>
  <c r="BU72" i="35"/>
  <c r="BU83" i="35"/>
  <c r="BU73" i="35"/>
  <c r="BU74" i="35"/>
  <c r="BU77" i="35"/>
  <c r="BV69" i="35"/>
  <c r="BV80" i="35"/>
  <c r="BV71" i="35"/>
  <c r="BV72" i="35"/>
  <c r="BV83" i="35"/>
  <c r="BV73" i="35"/>
  <c r="BV74" i="35"/>
  <c r="BV77" i="35"/>
  <c r="BW69" i="35"/>
  <c r="BW80" i="35"/>
  <c r="BW71" i="35"/>
  <c r="BW72" i="35"/>
  <c r="BW83" i="35"/>
  <c r="BW73" i="35"/>
  <c r="BW74" i="35"/>
  <c r="BW77" i="35"/>
  <c r="BX69" i="35"/>
  <c r="BX80" i="35"/>
  <c r="BX71" i="35"/>
  <c r="BX72" i="35"/>
  <c r="BX83" i="35"/>
  <c r="BX73" i="35"/>
  <c r="BX74" i="35"/>
  <c r="BX77" i="35"/>
  <c r="BY69" i="35"/>
  <c r="BY80" i="35"/>
  <c r="BY71" i="35"/>
  <c r="BY72" i="35"/>
  <c r="BY83" i="35"/>
  <c r="BY73" i="35"/>
  <c r="BY74" i="35"/>
  <c r="BY77" i="35"/>
  <c r="BZ69" i="35"/>
  <c r="BZ80" i="35"/>
  <c r="BZ71" i="35"/>
  <c r="BZ72" i="35"/>
  <c r="BZ83" i="35"/>
  <c r="BZ73" i="35"/>
  <c r="BZ74" i="35"/>
  <c r="BZ77" i="35"/>
  <c r="CA69" i="35"/>
  <c r="CA80" i="35"/>
  <c r="CA71" i="35"/>
  <c r="CA72" i="35"/>
  <c r="CA83" i="35"/>
  <c r="CA73" i="35"/>
  <c r="CA74" i="35"/>
  <c r="CA77" i="35"/>
  <c r="CB69" i="35"/>
  <c r="CB80" i="35"/>
  <c r="CB71" i="35"/>
  <c r="CB72" i="35"/>
  <c r="CB83" i="35"/>
  <c r="CB73" i="35"/>
  <c r="CB74" i="35"/>
  <c r="CB77" i="35"/>
  <c r="CC69" i="35"/>
  <c r="CC80" i="35"/>
  <c r="CC71" i="35"/>
  <c r="CC72" i="35"/>
  <c r="CC83" i="35"/>
  <c r="CC73" i="35"/>
  <c r="CC74" i="35"/>
  <c r="CC77" i="35"/>
  <c r="CD69" i="35"/>
  <c r="CD80" i="35"/>
  <c r="CD71" i="35"/>
  <c r="CD72" i="35"/>
  <c r="CD83" i="35"/>
  <c r="CD73" i="35"/>
  <c r="CD74" i="35"/>
  <c r="CD77" i="35"/>
  <c r="CE69" i="35"/>
  <c r="CE80" i="35"/>
  <c r="CE71" i="35"/>
  <c r="CE72" i="35"/>
  <c r="CE83" i="35"/>
  <c r="CE73" i="35"/>
  <c r="CE74" i="35"/>
  <c r="CE77" i="35"/>
  <c r="CF69" i="35"/>
  <c r="CF80" i="35"/>
  <c r="CF71" i="35"/>
  <c r="CF72" i="35"/>
  <c r="CF83" i="35"/>
  <c r="CF73" i="35"/>
  <c r="CF74" i="35"/>
  <c r="CF77" i="35"/>
  <c r="CG69" i="35"/>
  <c r="CG80" i="35"/>
  <c r="CG71" i="35"/>
  <c r="CG72" i="35"/>
  <c r="CG83" i="35"/>
  <c r="CG73" i="35"/>
  <c r="CG74" i="35"/>
  <c r="CG77" i="35"/>
  <c r="CH69" i="35"/>
  <c r="CH80" i="35"/>
  <c r="CH71" i="35"/>
  <c r="CH72" i="35"/>
  <c r="CH83" i="35"/>
  <c r="CH73" i="35"/>
  <c r="CH74" i="35"/>
  <c r="CH77" i="35"/>
  <c r="CI69" i="35"/>
  <c r="CI80" i="35"/>
  <c r="CI71" i="35"/>
  <c r="CI72" i="35"/>
  <c r="CI83" i="35"/>
  <c r="CI73" i="35"/>
  <c r="CI74" i="35"/>
  <c r="CI77" i="35"/>
  <c r="CJ69" i="35"/>
  <c r="CJ80" i="35"/>
  <c r="CJ71" i="35"/>
  <c r="CJ72" i="35"/>
  <c r="CJ83" i="35"/>
  <c r="CJ73" i="35"/>
  <c r="CJ74" i="35"/>
  <c r="CJ77" i="35"/>
  <c r="CK69" i="35"/>
  <c r="CK80" i="35"/>
  <c r="CK71" i="35"/>
  <c r="CK72" i="35"/>
  <c r="CK83" i="35"/>
  <c r="CK73" i="35"/>
  <c r="CK74" i="35"/>
  <c r="CK77" i="35"/>
  <c r="CL69" i="35"/>
  <c r="CL80" i="35"/>
  <c r="CL71" i="35"/>
  <c r="CL72" i="35"/>
  <c r="CL83" i="35"/>
  <c r="CL73" i="35"/>
  <c r="CL74" i="35"/>
  <c r="CL77" i="35"/>
  <c r="CM69" i="35"/>
  <c r="CM80" i="35"/>
  <c r="CM71" i="35"/>
  <c r="CM72" i="35"/>
  <c r="CM83" i="35"/>
  <c r="CM73" i="35"/>
  <c r="CM74" i="35"/>
  <c r="CM77" i="35"/>
  <c r="CN69" i="35"/>
  <c r="CN80" i="35"/>
  <c r="CN71" i="35"/>
  <c r="CN72" i="35"/>
  <c r="CN83" i="35"/>
  <c r="CN73" i="35"/>
  <c r="CN74" i="35"/>
  <c r="CN77" i="35"/>
  <c r="CO69" i="35"/>
  <c r="CO80" i="35"/>
  <c r="CO71" i="35"/>
  <c r="CO72" i="35"/>
  <c r="CO83" i="35"/>
  <c r="CO73" i="35"/>
  <c r="CO74" i="35"/>
  <c r="CO77" i="35"/>
  <c r="CP69" i="35"/>
  <c r="CP80" i="35"/>
  <c r="CP71" i="35"/>
  <c r="CP72" i="35"/>
  <c r="CP83" i="35"/>
  <c r="CP73" i="35"/>
  <c r="CP74" i="35"/>
  <c r="CP77" i="35"/>
  <c r="CQ69" i="35"/>
  <c r="CQ80" i="35"/>
  <c r="CQ71" i="35"/>
  <c r="CQ72" i="35"/>
  <c r="CQ83" i="35"/>
  <c r="CQ73" i="35"/>
  <c r="CQ74" i="35"/>
  <c r="CQ77" i="35"/>
  <c r="CR69" i="35"/>
  <c r="CR80" i="35"/>
  <c r="CR71" i="35"/>
  <c r="CR72" i="35"/>
  <c r="CR83" i="35"/>
  <c r="CR73" i="35"/>
  <c r="CR74" i="35"/>
  <c r="CR77" i="35"/>
  <c r="CS69" i="35"/>
  <c r="CS80" i="35"/>
  <c r="CS71" i="35"/>
  <c r="CS72" i="35"/>
  <c r="CS83" i="35"/>
  <c r="CS73" i="35"/>
  <c r="CS74" i="35"/>
  <c r="CS77" i="35"/>
  <c r="CT69" i="35"/>
  <c r="CT80" i="35"/>
  <c r="CT71" i="35"/>
  <c r="CT72" i="35"/>
  <c r="CT83" i="35"/>
  <c r="CT73" i="35"/>
  <c r="CT74" i="35"/>
  <c r="CT77" i="35"/>
  <c r="CU69" i="35"/>
  <c r="CU80" i="35"/>
  <c r="CU71" i="35"/>
  <c r="CU72" i="35"/>
  <c r="CU83" i="35"/>
  <c r="CU73" i="35"/>
  <c r="CU74" i="35"/>
  <c r="CU77" i="35"/>
  <c r="CV69" i="35"/>
  <c r="CV80" i="35"/>
  <c r="CV71" i="35"/>
  <c r="CV72" i="35"/>
  <c r="CV83" i="35"/>
  <c r="CV73" i="35"/>
  <c r="CV74" i="35"/>
  <c r="CV77" i="35"/>
  <c r="CW69" i="35"/>
  <c r="CW80" i="35"/>
  <c r="CW71" i="35"/>
  <c r="CW72" i="35"/>
  <c r="CW83" i="35"/>
  <c r="CW73" i="35"/>
  <c r="CW74" i="35"/>
  <c r="CW77" i="35"/>
  <c r="CX69" i="35"/>
  <c r="CX80" i="35"/>
  <c r="CX71" i="35"/>
  <c r="CX72" i="35"/>
  <c r="CX83" i="35"/>
  <c r="CX73" i="35"/>
  <c r="CX74" i="35"/>
  <c r="CX77" i="35"/>
  <c r="CY69" i="35"/>
  <c r="CY80" i="35"/>
  <c r="CY71" i="35"/>
  <c r="CY72" i="35"/>
  <c r="CY83" i="35"/>
  <c r="CY73" i="35"/>
  <c r="CY74" i="35"/>
  <c r="CY77" i="35"/>
  <c r="CZ69" i="35"/>
  <c r="CZ80" i="35"/>
  <c r="CZ71" i="35"/>
  <c r="CZ72" i="35"/>
  <c r="CZ83" i="35"/>
  <c r="CZ73" i="35"/>
  <c r="CZ74" i="35"/>
  <c r="CZ77" i="35"/>
  <c r="DA69" i="35"/>
  <c r="DA80" i="35"/>
  <c r="DA71" i="35"/>
  <c r="DA72" i="35"/>
  <c r="DA83" i="35"/>
  <c r="DA73" i="35"/>
  <c r="DA74" i="35"/>
  <c r="DA77" i="35"/>
  <c r="DB69" i="35"/>
  <c r="DB80" i="35"/>
  <c r="DB71" i="35"/>
  <c r="DB72" i="35"/>
  <c r="DB83" i="35"/>
  <c r="DB73" i="35"/>
  <c r="DB74" i="35"/>
  <c r="DB77" i="35"/>
  <c r="DC69" i="35"/>
  <c r="DC80" i="35"/>
  <c r="DC71" i="35"/>
  <c r="DC72" i="35"/>
  <c r="DC83" i="35"/>
  <c r="DC73" i="35"/>
  <c r="DC74" i="35"/>
  <c r="DC77" i="35"/>
  <c r="DD69" i="35"/>
  <c r="DD80" i="35"/>
  <c r="DD71" i="35"/>
  <c r="DD72" i="35"/>
  <c r="DD83" i="35"/>
  <c r="DD73" i="35"/>
  <c r="DD74" i="35"/>
  <c r="DD77" i="35"/>
  <c r="DE69" i="35"/>
  <c r="DE80" i="35"/>
  <c r="DE71" i="35"/>
  <c r="DE72" i="35"/>
  <c r="DE83" i="35"/>
  <c r="DE73" i="35"/>
  <c r="DE74" i="35"/>
  <c r="DE77" i="35"/>
  <c r="DF69" i="35"/>
  <c r="DF80" i="35"/>
  <c r="DF71" i="35"/>
  <c r="DF72" i="35"/>
  <c r="DF74" i="35"/>
  <c r="DF77" i="35"/>
  <c r="DG69" i="35"/>
  <c r="DG80" i="35"/>
  <c r="DG71" i="35"/>
  <c r="DG72" i="35"/>
  <c r="DG74" i="35"/>
  <c r="DG77" i="35"/>
  <c r="DH69" i="35"/>
  <c r="DH80" i="35"/>
  <c r="DH71" i="35"/>
  <c r="DH72" i="35"/>
  <c r="DH74" i="35"/>
  <c r="DH77" i="35"/>
  <c r="DI69" i="35"/>
  <c r="DI80" i="35"/>
  <c r="DI71" i="35"/>
  <c r="DI72" i="35"/>
  <c r="DI74" i="35"/>
  <c r="DI77" i="35"/>
  <c r="DJ69" i="35"/>
  <c r="DJ80" i="35"/>
  <c r="DJ71" i="35"/>
  <c r="DJ72" i="35"/>
  <c r="DJ74" i="35"/>
  <c r="DJ77" i="35"/>
  <c r="DK69" i="35"/>
  <c r="DK80" i="35"/>
  <c r="DK71" i="35"/>
  <c r="DK72" i="35"/>
  <c r="DK74" i="35"/>
  <c r="DK77" i="35"/>
  <c r="DL69" i="35"/>
  <c r="DL80" i="35"/>
  <c r="DL71" i="35"/>
  <c r="DL72" i="35"/>
  <c r="DL74" i="35"/>
  <c r="DL77" i="35"/>
  <c r="DM69" i="35"/>
  <c r="DM80" i="35"/>
  <c r="DM71" i="35"/>
  <c r="DM72" i="35"/>
  <c r="DM74" i="35"/>
  <c r="DM77" i="35"/>
  <c r="DN69" i="35"/>
  <c r="DN80" i="35"/>
  <c r="DN71" i="35"/>
  <c r="DN72" i="35"/>
  <c r="DN74" i="35"/>
  <c r="DN77" i="35"/>
  <c r="DO69" i="35"/>
  <c r="DO80" i="35"/>
  <c r="DO71" i="35"/>
  <c r="DO72" i="35"/>
  <c r="DO74" i="35"/>
  <c r="DO77" i="35"/>
  <c r="DP69" i="35"/>
  <c r="DP80" i="35"/>
  <c r="DP71" i="35"/>
  <c r="DP72" i="35"/>
  <c r="DP74" i="35"/>
  <c r="DP77" i="35"/>
  <c r="DQ69" i="35"/>
  <c r="DQ80" i="35"/>
  <c r="DQ71" i="35"/>
  <c r="DQ72" i="35"/>
  <c r="DQ74" i="35"/>
  <c r="DQ77" i="35"/>
  <c r="DR69" i="35"/>
  <c r="DR80" i="35"/>
  <c r="DR71" i="35"/>
  <c r="DR72" i="35"/>
  <c r="DR74" i="35"/>
  <c r="DR77" i="35"/>
  <c r="DS69" i="35"/>
  <c r="DS80" i="35"/>
  <c r="DS71" i="35"/>
  <c r="DS72" i="35"/>
  <c r="DS74" i="35"/>
  <c r="DS77" i="35"/>
  <c r="DT69" i="35"/>
  <c r="DT80" i="35"/>
  <c r="DT71" i="35"/>
  <c r="DT72" i="35"/>
  <c r="DT74" i="35"/>
  <c r="DT77" i="35"/>
  <c r="DU69" i="35"/>
  <c r="DU80" i="35"/>
  <c r="DU71" i="35"/>
  <c r="DU72" i="35"/>
  <c r="DU74" i="35"/>
  <c r="DU77" i="35"/>
  <c r="DV69" i="35"/>
  <c r="DV80" i="35"/>
  <c r="DV71" i="35"/>
  <c r="DV72" i="35"/>
  <c r="DV74" i="35"/>
  <c r="DV77" i="35"/>
  <c r="DW69" i="35"/>
  <c r="DW80" i="35"/>
  <c r="DW71" i="35"/>
  <c r="DW72" i="35"/>
  <c r="DW74" i="35"/>
  <c r="DW77" i="35"/>
  <c r="DX69" i="35"/>
  <c r="DX80" i="35"/>
  <c r="DX71" i="35"/>
  <c r="DX72" i="35"/>
  <c r="DX74" i="35"/>
  <c r="DX77" i="35"/>
  <c r="DY69" i="35"/>
  <c r="DY80" i="35"/>
  <c r="DY71" i="35"/>
  <c r="G71" i="35"/>
  <c r="D119" i="35"/>
  <c r="DY82" i="35"/>
  <c r="DX82" i="35"/>
  <c r="DW82" i="35"/>
  <c r="DV82" i="35"/>
  <c r="DU82" i="35"/>
  <c r="DT82" i="35"/>
  <c r="DS82" i="35"/>
  <c r="DR82" i="35"/>
  <c r="DQ82" i="35"/>
  <c r="DP82" i="35"/>
  <c r="DO82" i="35"/>
  <c r="DN82" i="35"/>
  <c r="DM82" i="35"/>
  <c r="DL82" i="35"/>
  <c r="DK82" i="35"/>
  <c r="DJ82" i="35"/>
  <c r="DI82" i="35"/>
  <c r="DH82" i="35"/>
  <c r="DG82" i="35"/>
  <c r="DF82" i="35"/>
  <c r="DE81" i="35"/>
  <c r="DE82" i="35"/>
  <c r="DD81" i="35"/>
  <c r="DD82" i="35"/>
  <c r="DC81" i="35"/>
  <c r="DC82" i="35"/>
  <c r="DB81" i="35"/>
  <c r="DB82" i="35"/>
  <c r="DA81" i="35"/>
  <c r="DA82" i="35"/>
  <c r="CZ81" i="35"/>
  <c r="CZ82" i="35"/>
  <c r="CY81" i="35"/>
  <c r="CY82" i="35"/>
  <c r="CX81" i="35"/>
  <c r="CX82" i="35"/>
  <c r="CW81" i="35"/>
  <c r="CW82" i="35"/>
  <c r="CV81" i="35"/>
  <c r="CV82" i="35"/>
  <c r="CU81" i="35"/>
  <c r="CU82" i="35"/>
  <c r="CT81" i="35"/>
  <c r="CT82" i="35"/>
  <c r="CS81" i="35"/>
  <c r="CS82" i="35"/>
  <c r="CR81" i="35"/>
  <c r="CR82" i="35"/>
  <c r="CQ81" i="35"/>
  <c r="CQ82" i="35"/>
  <c r="CP81" i="35"/>
  <c r="CP82" i="35"/>
  <c r="CO81" i="35"/>
  <c r="CO82" i="35"/>
  <c r="CN81" i="35"/>
  <c r="CN82" i="35"/>
  <c r="CM81" i="35"/>
  <c r="CM82" i="35"/>
  <c r="CL81" i="35"/>
  <c r="CL82" i="35"/>
  <c r="CK81" i="35"/>
  <c r="CK82" i="35"/>
  <c r="CJ81" i="35"/>
  <c r="CJ82" i="35"/>
  <c r="CI81" i="35"/>
  <c r="CI82" i="35"/>
  <c r="CH81" i="35"/>
  <c r="CH82" i="35"/>
  <c r="CG81" i="35"/>
  <c r="CG82" i="35"/>
  <c r="CF81" i="35"/>
  <c r="CF82" i="35"/>
  <c r="CE81" i="35"/>
  <c r="CE82" i="35"/>
  <c r="CD81" i="35"/>
  <c r="CD82" i="35"/>
  <c r="CC81" i="35"/>
  <c r="CC82" i="35"/>
  <c r="CB81" i="35"/>
  <c r="CB82" i="35"/>
  <c r="CA81" i="35"/>
  <c r="CA82" i="35"/>
  <c r="BZ81" i="35"/>
  <c r="BZ82" i="35"/>
  <c r="BY81" i="35"/>
  <c r="BY82" i="35"/>
  <c r="BX81" i="35"/>
  <c r="BX82" i="35"/>
  <c r="BW81" i="35"/>
  <c r="BW82" i="35"/>
  <c r="BV81" i="35"/>
  <c r="BV82" i="35"/>
  <c r="BU81" i="35"/>
  <c r="BU82" i="35"/>
  <c r="BT81" i="35"/>
  <c r="BT82" i="35"/>
  <c r="BS81" i="35"/>
  <c r="BS82" i="35"/>
  <c r="BR81" i="35"/>
  <c r="BR82" i="35"/>
  <c r="BQ81" i="35"/>
  <c r="BQ82" i="35"/>
  <c r="BP81" i="35"/>
  <c r="BP82" i="35"/>
  <c r="BO81" i="35"/>
  <c r="BO82" i="35"/>
  <c r="BN81" i="35"/>
  <c r="BN82" i="35"/>
  <c r="BM81" i="35"/>
  <c r="BM82" i="35"/>
  <c r="BL81" i="35"/>
  <c r="BL82" i="35"/>
  <c r="BK81" i="35"/>
  <c r="BK82" i="35"/>
  <c r="BJ81" i="35"/>
  <c r="BJ82" i="35"/>
  <c r="BI81" i="35"/>
  <c r="BI82" i="35"/>
  <c r="BH81" i="35"/>
  <c r="BH82" i="35"/>
  <c r="BG81" i="35"/>
  <c r="BG82" i="35"/>
  <c r="BF81" i="35"/>
  <c r="BF82" i="35"/>
  <c r="BE81" i="35"/>
  <c r="BE82" i="35"/>
  <c r="BD81" i="35"/>
  <c r="BD82" i="35"/>
  <c r="BC81" i="35"/>
  <c r="BC82" i="35"/>
  <c r="BB81" i="35"/>
  <c r="BB82" i="35"/>
  <c r="BA81" i="35"/>
  <c r="BA82" i="35"/>
  <c r="AZ81" i="35"/>
  <c r="AZ82" i="35"/>
  <c r="AY81" i="35"/>
  <c r="AY82" i="35"/>
  <c r="AX81" i="35"/>
  <c r="AX82" i="35"/>
  <c r="AW81" i="35"/>
  <c r="AW82" i="35"/>
  <c r="AV81" i="35"/>
  <c r="AV82" i="35"/>
  <c r="AU81" i="35"/>
  <c r="AU82" i="35"/>
  <c r="AT81" i="35"/>
  <c r="AT82" i="35"/>
  <c r="AS81" i="35"/>
  <c r="AS82" i="35"/>
  <c r="AR81" i="35"/>
  <c r="AR82" i="35"/>
  <c r="AQ81" i="35"/>
  <c r="AQ82" i="35"/>
  <c r="AP81" i="35"/>
  <c r="AP82" i="35"/>
  <c r="AO81" i="35"/>
  <c r="AO82" i="35"/>
  <c r="AN81" i="35"/>
  <c r="AN82" i="35"/>
  <c r="AM81" i="35"/>
  <c r="AM82" i="35"/>
  <c r="AL81" i="35"/>
  <c r="AL82" i="35"/>
  <c r="AK81" i="35"/>
  <c r="AK82" i="35"/>
  <c r="AJ81" i="35"/>
  <c r="AJ82" i="35"/>
  <c r="AI81" i="35"/>
  <c r="AI82" i="35"/>
  <c r="AH81" i="35"/>
  <c r="AH82" i="35"/>
  <c r="AG81" i="35"/>
  <c r="AG82" i="35"/>
  <c r="AF81" i="35"/>
  <c r="AF82" i="35"/>
  <c r="AE81" i="35"/>
  <c r="AE82" i="35"/>
  <c r="AD81" i="35"/>
  <c r="AD82" i="35"/>
  <c r="AC81" i="35"/>
  <c r="AC82" i="35"/>
  <c r="AB81" i="35"/>
  <c r="AB82" i="35"/>
  <c r="AA81" i="35"/>
  <c r="AA82" i="35"/>
  <c r="Z81" i="35"/>
  <c r="Z82" i="35"/>
  <c r="Y81" i="35"/>
  <c r="Y82" i="35"/>
  <c r="X81" i="35"/>
  <c r="X82" i="35"/>
  <c r="W81" i="35"/>
  <c r="W82" i="35"/>
  <c r="V81" i="35"/>
  <c r="V82" i="35"/>
  <c r="U81" i="35"/>
  <c r="U82" i="35"/>
  <c r="T81" i="35"/>
  <c r="T82" i="35"/>
  <c r="S81" i="35"/>
  <c r="S82" i="35"/>
  <c r="R81" i="35"/>
  <c r="R82" i="35"/>
  <c r="Q81" i="35"/>
  <c r="Q82" i="35"/>
  <c r="P81" i="35"/>
  <c r="P82" i="35"/>
  <c r="O81" i="35"/>
  <c r="O82" i="35"/>
  <c r="N81" i="35"/>
  <c r="N82" i="35"/>
  <c r="DY72" i="35"/>
  <c r="G72" i="35"/>
  <c r="G73" i="35"/>
  <c r="DY74" i="35"/>
  <c r="G74" i="35"/>
  <c r="G77" i="35"/>
  <c r="DY38" i="35"/>
  <c r="DY40" i="35"/>
  <c r="DY91" i="35"/>
  <c r="DY42" i="35"/>
  <c r="DY92" i="35"/>
  <c r="DY43" i="35"/>
  <c r="DY45" i="35"/>
  <c r="DY46" i="35"/>
  <c r="DY103" i="35"/>
  <c r="DY104" i="35"/>
  <c r="DX38" i="35"/>
  <c r="DX40" i="35"/>
  <c r="DX42" i="35"/>
  <c r="DX43" i="35"/>
  <c r="DX45" i="35"/>
  <c r="DX46" i="35"/>
  <c r="DX103" i="35"/>
  <c r="DX104" i="35"/>
  <c r="DW38" i="35"/>
  <c r="DW40" i="35"/>
  <c r="DW42" i="35"/>
  <c r="DW43" i="35"/>
  <c r="DW45" i="35"/>
  <c r="DW46" i="35"/>
  <c r="DW103" i="35"/>
  <c r="DW104" i="35"/>
  <c r="DV38" i="35"/>
  <c r="DV40" i="35"/>
  <c r="DV42" i="35"/>
  <c r="DV43" i="35"/>
  <c r="DV45" i="35"/>
  <c r="DV46" i="35"/>
  <c r="DV103" i="35"/>
  <c r="DV104" i="35"/>
  <c r="DU38" i="35"/>
  <c r="DU40" i="35"/>
  <c r="DU42" i="35"/>
  <c r="DU43" i="35"/>
  <c r="DU45" i="35"/>
  <c r="DU46" i="35"/>
  <c r="DU103" i="35"/>
  <c r="DU104" i="35"/>
  <c r="DT38" i="35"/>
  <c r="DT40" i="35"/>
  <c r="DT42" i="35"/>
  <c r="DT43" i="35"/>
  <c r="DT45" i="35"/>
  <c r="DT46" i="35"/>
  <c r="DT103" i="35"/>
  <c r="DT104" i="35"/>
  <c r="DS38" i="35"/>
  <c r="DS40" i="35"/>
  <c r="DS42" i="35"/>
  <c r="DS43" i="35"/>
  <c r="DS45" i="35"/>
  <c r="DS46" i="35"/>
  <c r="DS103" i="35"/>
  <c r="DS104" i="35"/>
  <c r="DR38" i="35"/>
  <c r="DR40" i="35"/>
  <c r="DR42" i="35"/>
  <c r="DR43" i="35"/>
  <c r="DR45" i="35"/>
  <c r="DR46" i="35"/>
  <c r="DR103" i="35"/>
  <c r="DR104" i="35"/>
  <c r="DQ38" i="35"/>
  <c r="DQ40" i="35"/>
  <c r="DQ42" i="35"/>
  <c r="DQ43" i="35"/>
  <c r="DQ45" i="35"/>
  <c r="DQ46" i="35"/>
  <c r="DQ103" i="35"/>
  <c r="DQ104" i="35"/>
  <c r="DP38" i="35"/>
  <c r="DP40" i="35"/>
  <c r="DP42" i="35"/>
  <c r="DP43" i="35"/>
  <c r="DP45" i="35"/>
  <c r="DP46" i="35"/>
  <c r="DP103" i="35"/>
  <c r="DP104" i="35"/>
  <c r="DO38" i="35"/>
  <c r="DO40" i="35"/>
  <c r="DO42" i="35"/>
  <c r="DO43" i="35"/>
  <c r="DO45" i="35"/>
  <c r="DO46" i="35"/>
  <c r="DO103" i="35"/>
  <c r="DO104" i="35"/>
  <c r="DN38" i="35"/>
  <c r="DN40" i="35"/>
  <c r="DN42" i="35"/>
  <c r="DN43" i="35"/>
  <c r="DN45" i="35"/>
  <c r="DN46" i="35"/>
  <c r="DN103" i="35"/>
  <c r="DN104" i="35"/>
  <c r="DM38" i="35"/>
  <c r="DM40" i="35"/>
  <c r="DM42" i="35"/>
  <c r="DM43" i="35"/>
  <c r="DM45" i="35"/>
  <c r="DM46" i="35"/>
  <c r="DM103" i="35"/>
  <c r="DM104" i="35"/>
  <c r="DL38" i="35"/>
  <c r="DL40" i="35"/>
  <c r="DL42" i="35"/>
  <c r="DL43" i="35"/>
  <c r="DL45" i="35"/>
  <c r="DL46" i="35"/>
  <c r="DL103" i="35"/>
  <c r="DL104" i="35"/>
  <c r="DK38" i="35"/>
  <c r="DK40" i="35"/>
  <c r="DK42" i="35"/>
  <c r="DK43" i="35"/>
  <c r="DK45" i="35"/>
  <c r="DK46" i="35"/>
  <c r="DK103" i="35"/>
  <c r="DK104" i="35"/>
  <c r="DJ38" i="35"/>
  <c r="DJ40" i="35"/>
  <c r="DJ42" i="35"/>
  <c r="DJ43" i="35"/>
  <c r="DJ45" i="35"/>
  <c r="DJ46" i="35"/>
  <c r="DJ103" i="35"/>
  <c r="DJ104" i="35"/>
  <c r="DI38" i="35"/>
  <c r="DI40" i="35"/>
  <c r="DI42" i="35"/>
  <c r="DI43" i="35"/>
  <c r="DI45" i="35"/>
  <c r="DI46" i="35"/>
  <c r="DI103" i="35"/>
  <c r="DI104" i="35"/>
  <c r="DH38" i="35"/>
  <c r="DH40" i="35"/>
  <c r="DH42" i="35"/>
  <c r="DH43" i="35"/>
  <c r="DH45" i="35"/>
  <c r="DH46" i="35"/>
  <c r="DH103" i="35"/>
  <c r="DH104" i="35"/>
  <c r="DG38" i="35"/>
  <c r="DG40" i="35"/>
  <c r="DG42" i="35"/>
  <c r="DG43" i="35"/>
  <c r="DG45" i="35"/>
  <c r="DG46" i="35"/>
  <c r="DG103" i="35"/>
  <c r="DG104" i="35"/>
  <c r="DF38" i="35"/>
  <c r="DF40" i="35"/>
  <c r="DF42" i="35"/>
  <c r="DF43" i="35"/>
  <c r="DF45" i="35"/>
  <c r="DF46" i="35"/>
  <c r="DF103" i="35"/>
  <c r="DF104" i="35"/>
  <c r="DE38" i="35"/>
  <c r="DE39" i="35"/>
  <c r="DE40" i="35"/>
  <c r="DE42" i="35"/>
  <c r="DE43" i="35"/>
  <c r="DE45" i="35"/>
  <c r="DE46" i="35"/>
  <c r="DE103" i="35"/>
  <c r="DE104" i="35"/>
  <c r="DD38" i="35"/>
  <c r="DD39" i="35"/>
  <c r="DD40" i="35"/>
  <c r="DD42" i="35"/>
  <c r="DD43" i="35"/>
  <c r="DD45" i="35"/>
  <c r="DD46" i="35"/>
  <c r="DD103" i="35"/>
  <c r="DD104" i="35"/>
  <c r="DC38" i="35"/>
  <c r="DC39" i="35"/>
  <c r="DC40" i="35"/>
  <c r="DC42" i="35"/>
  <c r="DC43" i="35"/>
  <c r="DC45" i="35"/>
  <c r="DC46" i="35"/>
  <c r="DC103" i="35"/>
  <c r="DC104" i="35"/>
  <c r="DB38" i="35"/>
  <c r="DB39" i="35"/>
  <c r="DB40" i="35"/>
  <c r="DB42" i="35"/>
  <c r="DB43" i="35"/>
  <c r="DB45" i="35"/>
  <c r="DB46" i="35"/>
  <c r="DB103" i="35"/>
  <c r="DB104" i="35"/>
  <c r="DA38" i="35"/>
  <c r="DA39" i="35"/>
  <c r="DA40" i="35"/>
  <c r="DA42" i="35"/>
  <c r="DA43" i="35"/>
  <c r="DA45" i="35"/>
  <c r="DA46" i="35"/>
  <c r="DA103" i="35"/>
  <c r="DA104" i="35"/>
  <c r="CZ38" i="35"/>
  <c r="CZ39" i="35"/>
  <c r="CZ40" i="35"/>
  <c r="CZ42" i="35"/>
  <c r="CZ43" i="35"/>
  <c r="CZ45" i="35"/>
  <c r="CZ46" i="35"/>
  <c r="CZ103" i="35"/>
  <c r="CZ104" i="35"/>
  <c r="CY38" i="35"/>
  <c r="CY39" i="35"/>
  <c r="CY40" i="35"/>
  <c r="CY42" i="35"/>
  <c r="CY43" i="35"/>
  <c r="CY45" i="35"/>
  <c r="CY46" i="35"/>
  <c r="CY103" i="35"/>
  <c r="CY104" i="35"/>
  <c r="CX38" i="35"/>
  <c r="CX39" i="35"/>
  <c r="CX40" i="35"/>
  <c r="CX42" i="35"/>
  <c r="CX43" i="35"/>
  <c r="CX45" i="35"/>
  <c r="CX46" i="35"/>
  <c r="CX103" i="35"/>
  <c r="CX104" i="35"/>
  <c r="CW38" i="35"/>
  <c r="CW39" i="35"/>
  <c r="CW40" i="35"/>
  <c r="CW42" i="35"/>
  <c r="CW43" i="35"/>
  <c r="CW45" i="35"/>
  <c r="CW46" i="35"/>
  <c r="CW103" i="35"/>
  <c r="CW104" i="35"/>
  <c r="CV38" i="35"/>
  <c r="CV39" i="35"/>
  <c r="CV40" i="35"/>
  <c r="CV42" i="35"/>
  <c r="CV43" i="35"/>
  <c r="CV45" i="35"/>
  <c r="CV46" i="35"/>
  <c r="CV103" i="35"/>
  <c r="CV104" i="35"/>
  <c r="CU38" i="35"/>
  <c r="CU39" i="35"/>
  <c r="CU40" i="35"/>
  <c r="CU42" i="35"/>
  <c r="CU43" i="35"/>
  <c r="CU45" i="35"/>
  <c r="CU46" i="35"/>
  <c r="CU103" i="35"/>
  <c r="CU104" i="35"/>
  <c r="CT38" i="35"/>
  <c r="CT39" i="35"/>
  <c r="CT40" i="35"/>
  <c r="CT42" i="35"/>
  <c r="CT43" i="35"/>
  <c r="CT45" i="35"/>
  <c r="CT46" i="35"/>
  <c r="CT103" i="35"/>
  <c r="CT104" i="35"/>
  <c r="CS38" i="35"/>
  <c r="CS39" i="35"/>
  <c r="CS40" i="35"/>
  <c r="CS42" i="35"/>
  <c r="CS43" i="35"/>
  <c r="CS45" i="35"/>
  <c r="CS46" i="35"/>
  <c r="CS103" i="35"/>
  <c r="CS104" i="35"/>
  <c r="CR38" i="35"/>
  <c r="CR39" i="35"/>
  <c r="CR40" i="35"/>
  <c r="CR42" i="35"/>
  <c r="CR43" i="35"/>
  <c r="CR45" i="35"/>
  <c r="CR46" i="35"/>
  <c r="CR103" i="35"/>
  <c r="CR104" i="35"/>
  <c r="CQ38" i="35"/>
  <c r="CQ39" i="35"/>
  <c r="CQ40" i="35"/>
  <c r="CQ42" i="35"/>
  <c r="CQ43" i="35"/>
  <c r="CQ45" i="35"/>
  <c r="CQ46" i="35"/>
  <c r="CQ103" i="35"/>
  <c r="CQ104" i="35"/>
  <c r="CP38" i="35"/>
  <c r="CP39" i="35"/>
  <c r="CP40" i="35"/>
  <c r="CP42" i="35"/>
  <c r="CP43" i="35"/>
  <c r="CP45" i="35"/>
  <c r="CP46" i="35"/>
  <c r="CP103" i="35"/>
  <c r="CP104" i="35"/>
  <c r="CO38" i="35"/>
  <c r="CO39" i="35"/>
  <c r="CO40" i="35"/>
  <c r="CO42" i="35"/>
  <c r="CO43" i="35"/>
  <c r="CO45" i="35"/>
  <c r="CO46" i="35"/>
  <c r="CO103" i="35"/>
  <c r="CO104" i="35"/>
  <c r="CN38" i="35"/>
  <c r="CN39" i="35"/>
  <c r="CN40" i="35"/>
  <c r="CN42" i="35"/>
  <c r="CN43" i="35"/>
  <c r="CN45" i="35"/>
  <c r="CN46" i="35"/>
  <c r="CN103" i="35"/>
  <c r="CN104" i="35"/>
  <c r="CM38" i="35"/>
  <c r="CM39" i="35"/>
  <c r="CM40" i="35"/>
  <c r="CM42" i="35"/>
  <c r="CM43" i="35"/>
  <c r="CM45" i="35"/>
  <c r="CM46" i="35"/>
  <c r="CM103" i="35"/>
  <c r="CM104" i="35"/>
  <c r="CL38" i="35"/>
  <c r="CL39" i="35"/>
  <c r="CL40" i="35"/>
  <c r="CL42" i="35"/>
  <c r="CL43" i="35"/>
  <c r="CL45" i="35"/>
  <c r="CL46" i="35"/>
  <c r="CL103" i="35"/>
  <c r="CL104" i="35"/>
  <c r="CK38" i="35"/>
  <c r="CK39" i="35"/>
  <c r="CK40" i="35"/>
  <c r="CK42" i="35"/>
  <c r="CK43" i="35"/>
  <c r="CK45" i="35"/>
  <c r="CK46" i="35"/>
  <c r="CK103" i="35"/>
  <c r="CK104" i="35"/>
  <c r="CJ38" i="35"/>
  <c r="CJ39" i="35"/>
  <c r="CJ40" i="35"/>
  <c r="CJ42" i="35"/>
  <c r="CJ43" i="35"/>
  <c r="CJ45" i="35"/>
  <c r="CJ46" i="35"/>
  <c r="CJ103" i="35"/>
  <c r="CJ104" i="35"/>
  <c r="CI38" i="35"/>
  <c r="CI39" i="35"/>
  <c r="CI40" i="35"/>
  <c r="CI42" i="35"/>
  <c r="CI43" i="35"/>
  <c r="CI45" i="35"/>
  <c r="CI46" i="35"/>
  <c r="CI103" i="35"/>
  <c r="CI104" i="35"/>
  <c r="CH38" i="35"/>
  <c r="CH39" i="35"/>
  <c r="CH40" i="35"/>
  <c r="CH42" i="35"/>
  <c r="CH43" i="35"/>
  <c r="CH45" i="35"/>
  <c r="CH46" i="35"/>
  <c r="CH103" i="35"/>
  <c r="CH104" i="35"/>
  <c r="CG38" i="35"/>
  <c r="CG39" i="35"/>
  <c r="CG40" i="35"/>
  <c r="CG42" i="35"/>
  <c r="CG43" i="35"/>
  <c r="CG45" i="35"/>
  <c r="CG46" i="35"/>
  <c r="CG103" i="35"/>
  <c r="CG104" i="35"/>
  <c r="CF38" i="35"/>
  <c r="CF39" i="35"/>
  <c r="CF40" i="35"/>
  <c r="CF42" i="35"/>
  <c r="CF43" i="35"/>
  <c r="CF45" i="35"/>
  <c r="CF46" i="35"/>
  <c r="CF103" i="35"/>
  <c r="CF104" i="35"/>
  <c r="CE38" i="35"/>
  <c r="CE39" i="35"/>
  <c r="CE40" i="35"/>
  <c r="CE42" i="35"/>
  <c r="CE43" i="35"/>
  <c r="CE45" i="35"/>
  <c r="CE46" i="35"/>
  <c r="CE103" i="35"/>
  <c r="CE104" i="35"/>
  <c r="CD38" i="35"/>
  <c r="CD39" i="35"/>
  <c r="CD40" i="35"/>
  <c r="CD42" i="35"/>
  <c r="CD43" i="35"/>
  <c r="CD45" i="35"/>
  <c r="CD46" i="35"/>
  <c r="CD103" i="35"/>
  <c r="CD104" i="35"/>
  <c r="CC38" i="35"/>
  <c r="CC39" i="35"/>
  <c r="CC40" i="35"/>
  <c r="CC42" i="35"/>
  <c r="CC43" i="35"/>
  <c r="CC45" i="35"/>
  <c r="CC46" i="35"/>
  <c r="CC103" i="35"/>
  <c r="CC104" i="35"/>
  <c r="CB38" i="35"/>
  <c r="CB39" i="35"/>
  <c r="CB40" i="35"/>
  <c r="CB42" i="35"/>
  <c r="CB43" i="35"/>
  <c r="CB45" i="35"/>
  <c r="CB46" i="35"/>
  <c r="CB103" i="35"/>
  <c r="CB104" i="35"/>
  <c r="CA38" i="35"/>
  <c r="CA39" i="35"/>
  <c r="CA40" i="35"/>
  <c r="CA42" i="35"/>
  <c r="CA43" i="35"/>
  <c r="CA45" i="35"/>
  <c r="CA46" i="35"/>
  <c r="CA103" i="35"/>
  <c r="CA104" i="35"/>
  <c r="BZ38" i="35"/>
  <c r="BZ39" i="35"/>
  <c r="BZ40" i="35"/>
  <c r="BZ42" i="35"/>
  <c r="BZ43" i="35"/>
  <c r="BZ45" i="35"/>
  <c r="BZ46" i="35"/>
  <c r="BZ103" i="35"/>
  <c r="BZ104" i="35"/>
  <c r="BY38" i="35"/>
  <c r="BY39" i="35"/>
  <c r="BY40" i="35"/>
  <c r="BY42" i="35"/>
  <c r="BY43" i="35"/>
  <c r="BY45" i="35"/>
  <c r="BY46" i="35"/>
  <c r="BY103" i="35"/>
  <c r="BY104" i="35"/>
  <c r="BX38" i="35"/>
  <c r="BX39" i="35"/>
  <c r="BX40" i="35"/>
  <c r="BX42" i="35"/>
  <c r="BX43" i="35"/>
  <c r="BX45" i="35"/>
  <c r="BX46" i="35"/>
  <c r="BX103" i="35"/>
  <c r="BX104" i="35"/>
  <c r="BW38" i="35"/>
  <c r="BW39" i="35"/>
  <c r="BW40" i="35"/>
  <c r="BW42" i="35"/>
  <c r="BW43" i="35"/>
  <c r="BW45" i="35"/>
  <c r="BW46" i="35"/>
  <c r="BW103" i="35"/>
  <c r="BW104" i="35"/>
  <c r="BV38" i="35"/>
  <c r="BV39" i="35"/>
  <c r="BV40" i="35"/>
  <c r="BV42" i="35"/>
  <c r="BV43" i="35"/>
  <c r="BV45" i="35"/>
  <c r="BV46" i="35"/>
  <c r="BV103" i="35"/>
  <c r="BV104" i="35"/>
  <c r="BU38" i="35"/>
  <c r="BU39" i="35"/>
  <c r="BU40" i="35"/>
  <c r="BU42" i="35"/>
  <c r="BU43" i="35"/>
  <c r="BU45" i="35"/>
  <c r="BU46" i="35"/>
  <c r="BU103" i="35"/>
  <c r="BU104" i="35"/>
  <c r="BT38" i="35"/>
  <c r="BT39" i="35"/>
  <c r="BT40" i="35"/>
  <c r="BT42" i="35"/>
  <c r="BT43" i="35"/>
  <c r="BT45" i="35"/>
  <c r="BT46" i="35"/>
  <c r="BT103" i="35"/>
  <c r="BT104" i="35"/>
  <c r="BS38" i="35"/>
  <c r="BS39" i="35"/>
  <c r="BS40" i="35"/>
  <c r="BS42" i="35"/>
  <c r="BS43" i="35"/>
  <c r="BS45" i="35"/>
  <c r="BS46" i="35"/>
  <c r="BS103" i="35"/>
  <c r="BS104" i="35"/>
  <c r="BR38" i="35"/>
  <c r="BR39" i="35"/>
  <c r="BR40" i="35"/>
  <c r="BR42" i="35"/>
  <c r="BR43" i="35"/>
  <c r="BR45" i="35"/>
  <c r="BR46" i="35"/>
  <c r="BR103" i="35"/>
  <c r="BR104" i="35"/>
  <c r="BQ38" i="35"/>
  <c r="BQ39" i="35"/>
  <c r="BQ40" i="35"/>
  <c r="BQ42" i="35"/>
  <c r="BQ43" i="35"/>
  <c r="BQ45" i="35"/>
  <c r="BQ46" i="35"/>
  <c r="BQ103" i="35"/>
  <c r="BQ104" i="35"/>
  <c r="BP38" i="35"/>
  <c r="BP39" i="35"/>
  <c r="BP40" i="35"/>
  <c r="BP42" i="35"/>
  <c r="BP43" i="35"/>
  <c r="BP45" i="35"/>
  <c r="BP46" i="35"/>
  <c r="BP103" i="35"/>
  <c r="BP104" i="35"/>
  <c r="BO38" i="35"/>
  <c r="BO39" i="35"/>
  <c r="BO40" i="35"/>
  <c r="BO42" i="35"/>
  <c r="BO43" i="35"/>
  <c r="BO45" i="35"/>
  <c r="BO46" i="35"/>
  <c r="BO103" i="35"/>
  <c r="BO104" i="35"/>
  <c r="BN38" i="35"/>
  <c r="BN39" i="35"/>
  <c r="BN40" i="35"/>
  <c r="BN42" i="35"/>
  <c r="BN43" i="35"/>
  <c r="BN45" i="35"/>
  <c r="BN46" i="35"/>
  <c r="BN103" i="35"/>
  <c r="BN104" i="35"/>
  <c r="BM38" i="35"/>
  <c r="BM39" i="35"/>
  <c r="BM40" i="35"/>
  <c r="BM42" i="35"/>
  <c r="BM43" i="35"/>
  <c r="BM45" i="35"/>
  <c r="BM46" i="35"/>
  <c r="BM103" i="35"/>
  <c r="BM104" i="35"/>
  <c r="BL38" i="35"/>
  <c r="BL39" i="35"/>
  <c r="BL40" i="35"/>
  <c r="BL42" i="35"/>
  <c r="BL43" i="35"/>
  <c r="BL45" i="35"/>
  <c r="BL46" i="35"/>
  <c r="BL103" i="35"/>
  <c r="BL104" i="35"/>
  <c r="BK38" i="35"/>
  <c r="BK39" i="35"/>
  <c r="BK40" i="35"/>
  <c r="BK42" i="35"/>
  <c r="BK43" i="35"/>
  <c r="BK45" i="35"/>
  <c r="BK46" i="35"/>
  <c r="BK103" i="35"/>
  <c r="BK104" i="35"/>
  <c r="BJ38" i="35"/>
  <c r="BJ39" i="35"/>
  <c r="BJ40" i="35"/>
  <c r="BJ42" i="35"/>
  <c r="BJ43" i="35"/>
  <c r="BJ45" i="35"/>
  <c r="BJ46" i="35"/>
  <c r="BJ103" i="35"/>
  <c r="BJ104" i="35"/>
  <c r="BI38" i="35"/>
  <c r="BI39" i="35"/>
  <c r="BI40" i="35"/>
  <c r="BI42" i="35"/>
  <c r="BI43" i="35"/>
  <c r="BI45" i="35"/>
  <c r="BI46" i="35"/>
  <c r="BI103" i="35"/>
  <c r="BI104" i="35"/>
  <c r="BH38" i="35"/>
  <c r="BH39" i="35"/>
  <c r="BH40" i="35"/>
  <c r="BH42" i="35"/>
  <c r="BH43" i="35"/>
  <c r="BH45" i="35"/>
  <c r="BH46" i="35"/>
  <c r="BH103" i="35"/>
  <c r="BH104" i="35"/>
  <c r="BG38" i="35"/>
  <c r="BG39" i="35"/>
  <c r="BG40" i="35"/>
  <c r="BG42" i="35"/>
  <c r="BG43" i="35"/>
  <c r="BG45" i="35"/>
  <c r="BG46" i="35"/>
  <c r="BG103" i="35"/>
  <c r="BG104" i="35"/>
  <c r="BF38" i="35"/>
  <c r="BF39" i="35"/>
  <c r="BF40" i="35"/>
  <c r="BF42" i="35"/>
  <c r="BF43" i="35"/>
  <c r="BF45" i="35"/>
  <c r="BF46" i="35"/>
  <c r="BF103" i="35"/>
  <c r="BF104" i="35"/>
  <c r="BE38" i="35"/>
  <c r="BE39" i="35"/>
  <c r="BE40" i="35"/>
  <c r="BE42" i="35"/>
  <c r="BE43" i="35"/>
  <c r="BE45" i="35"/>
  <c r="BE46" i="35"/>
  <c r="BE103" i="35"/>
  <c r="BE104" i="35"/>
  <c r="BD38" i="35"/>
  <c r="BD39" i="35"/>
  <c r="BD40" i="35"/>
  <c r="BD42" i="35"/>
  <c r="BD43" i="35"/>
  <c r="BD45" i="35"/>
  <c r="BD46" i="35"/>
  <c r="BD103" i="35"/>
  <c r="BD104" i="35"/>
  <c r="BC38" i="35"/>
  <c r="BC39" i="35"/>
  <c r="BC40" i="35"/>
  <c r="BC42" i="35"/>
  <c r="BC43" i="35"/>
  <c r="BC45" i="35"/>
  <c r="BC46" i="35"/>
  <c r="BC103" i="35"/>
  <c r="BC104" i="35"/>
  <c r="BB38" i="35"/>
  <c r="BB39" i="35"/>
  <c r="BB40" i="35"/>
  <c r="BB42" i="35"/>
  <c r="BB43" i="35"/>
  <c r="BB45" i="35"/>
  <c r="BB46" i="35"/>
  <c r="BB103" i="35"/>
  <c r="BB104" i="35"/>
  <c r="BA38" i="35"/>
  <c r="BA39" i="35"/>
  <c r="BA40" i="35"/>
  <c r="BA42" i="35"/>
  <c r="BA43" i="35"/>
  <c r="BA45" i="35"/>
  <c r="BA46" i="35"/>
  <c r="BA103" i="35"/>
  <c r="BA104" i="35"/>
  <c r="AZ38" i="35"/>
  <c r="AZ39" i="35"/>
  <c r="AZ40" i="35"/>
  <c r="AZ42" i="35"/>
  <c r="AZ43" i="35"/>
  <c r="AZ45" i="35"/>
  <c r="AZ46" i="35"/>
  <c r="AZ103" i="35"/>
  <c r="AZ104" i="35"/>
  <c r="AY38" i="35"/>
  <c r="AY39" i="35"/>
  <c r="AY40" i="35"/>
  <c r="AY42" i="35"/>
  <c r="AY43" i="35"/>
  <c r="AY45" i="35"/>
  <c r="AY46" i="35"/>
  <c r="AY103" i="35"/>
  <c r="AY104" i="35"/>
  <c r="AX38" i="35"/>
  <c r="AX39" i="35"/>
  <c r="AX40" i="35"/>
  <c r="AX42" i="35"/>
  <c r="AX43" i="35"/>
  <c r="AX45" i="35"/>
  <c r="AX46" i="35"/>
  <c r="AX103" i="35"/>
  <c r="AX104" i="35"/>
  <c r="AW38" i="35"/>
  <c r="AW39" i="35"/>
  <c r="AW40" i="35"/>
  <c r="AW42" i="35"/>
  <c r="AW43" i="35"/>
  <c r="AW45" i="35"/>
  <c r="AW46" i="35"/>
  <c r="AW103" i="35"/>
  <c r="AW104" i="35"/>
  <c r="AV38" i="35"/>
  <c r="AV39" i="35"/>
  <c r="AV40" i="35"/>
  <c r="AV42" i="35"/>
  <c r="AV43" i="35"/>
  <c r="AV45" i="35"/>
  <c r="AV46" i="35"/>
  <c r="AV103" i="35"/>
  <c r="AV104" i="35"/>
  <c r="AU38" i="35"/>
  <c r="AU39" i="35"/>
  <c r="AU40" i="35"/>
  <c r="AU42" i="35"/>
  <c r="AU43" i="35"/>
  <c r="AU45" i="35"/>
  <c r="AU46" i="35"/>
  <c r="AU103" i="35"/>
  <c r="AU104" i="35"/>
  <c r="AT38" i="35"/>
  <c r="AT39" i="35"/>
  <c r="AT40" i="35"/>
  <c r="AT42" i="35"/>
  <c r="AT43" i="35"/>
  <c r="AT45" i="35"/>
  <c r="AT46" i="35"/>
  <c r="AT103" i="35"/>
  <c r="AT104" i="35"/>
  <c r="AS38" i="35"/>
  <c r="AS39" i="35"/>
  <c r="AS40" i="35"/>
  <c r="AS42" i="35"/>
  <c r="AS43" i="35"/>
  <c r="AS45" i="35"/>
  <c r="AS46" i="35"/>
  <c r="AS103" i="35"/>
  <c r="AS104" i="35"/>
  <c r="AR38" i="35"/>
  <c r="AR39" i="35"/>
  <c r="AR40" i="35"/>
  <c r="AR42" i="35"/>
  <c r="AR43" i="35"/>
  <c r="AR45" i="35"/>
  <c r="AR46" i="35"/>
  <c r="AR103" i="35"/>
  <c r="AR104" i="35"/>
  <c r="AQ38" i="35"/>
  <c r="AQ39" i="35"/>
  <c r="AQ40" i="35"/>
  <c r="AQ42" i="35"/>
  <c r="AQ43" i="35"/>
  <c r="AQ45" i="35"/>
  <c r="AQ46" i="35"/>
  <c r="AQ103" i="35"/>
  <c r="AQ104" i="35"/>
  <c r="AP38" i="35"/>
  <c r="AP39" i="35"/>
  <c r="AP40" i="35"/>
  <c r="AP42" i="35"/>
  <c r="AP43" i="35"/>
  <c r="AP45" i="35"/>
  <c r="AP46" i="35"/>
  <c r="AP103" i="35"/>
  <c r="AP104" i="35"/>
  <c r="AO38" i="35"/>
  <c r="AO39" i="35"/>
  <c r="AO40" i="35"/>
  <c r="AO42" i="35"/>
  <c r="AO43" i="35"/>
  <c r="AO45" i="35"/>
  <c r="AO46" i="35"/>
  <c r="AO103" i="35"/>
  <c r="AO104" i="35"/>
  <c r="AN38" i="35"/>
  <c r="AN39" i="35"/>
  <c r="AN40" i="35"/>
  <c r="AN42" i="35"/>
  <c r="AN43" i="35"/>
  <c r="AN45" i="35"/>
  <c r="AN46" i="35"/>
  <c r="AN103" i="35"/>
  <c r="AN104" i="35"/>
  <c r="AM38" i="35"/>
  <c r="AM39" i="35"/>
  <c r="AM40" i="35"/>
  <c r="AM42" i="35"/>
  <c r="AM43" i="35"/>
  <c r="AM45" i="35"/>
  <c r="AM46" i="35"/>
  <c r="AM103" i="35"/>
  <c r="AM104" i="35"/>
  <c r="AL38" i="35"/>
  <c r="AL39" i="35"/>
  <c r="AL40" i="35"/>
  <c r="AL42" i="35"/>
  <c r="AL43" i="35"/>
  <c r="AL45" i="35"/>
  <c r="AL46" i="35"/>
  <c r="AL103" i="35"/>
  <c r="AL104" i="35"/>
  <c r="AK38" i="35"/>
  <c r="AK39" i="35"/>
  <c r="AK40" i="35"/>
  <c r="AK42" i="35"/>
  <c r="AK43" i="35"/>
  <c r="AK45" i="35"/>
  <c r="AK46" i="35"/>
  <c r="AK103" i="35"/>
  <c r="AK104" i="35"/>
  <c r="AJ38" i="35"/>
  <c r="AJ39" i="35"/>
  <c r="AJ40" i="35"/>
  <c r="AJ42" i="35"/>
  <c r="AJ43" i="35"/>
  <c r="AJ45" i="35"/>
  <c r="AJ46" i="35"/>
  <c r="AJ103" i="35"/>
  <c r="AJ104" i="35"/>
  <c r="AI38" i="35"/>
  <c r="AI39" i="35"/>
  <c r="AI40" i="35"/>
  <c r="AI42" i="35"/>
  <c r="AI43" i="35"/>
  <c r="AI45" i="35"/>
  <c r="AI46" i="35"/>
  <c r="AI103" i="35"/>
  <c r="AI104" i="35"/>
  <c r="AH38" i="35"/>
  <c r="AH39" i="35"/>
  <c r="AH40" i="35"/>
  <c r="AH42" i="35"/>
  <c r="AH43" i="35"/>
  <c r="AH45" i="35"/>
  <c r="AH46" i="35"/>
  <c r="AH103" i="35"/>
  <c r="AH104" i="35"/>
  <c r="AG38" i="35"/>
  <c r="AG39" i="35"/>
  <c r="AG40" i="35"/>
  <c r="AG42" i="35"/>
  <c r="AG43" i="35"/>
  <c r="AG45" i="35"/>
  <c r="AG46" i="35"/>
  <c r="AG103" i="35"/>
  <c r="AG104" i="35"/>
  <c r="AF38" i="35"/>
  <c r="AF39" i="35"/>
  <c r="AF40" i="35"/>
  <c r="AF42" i="35"/>
  <c r="AF43" i="35"/>
  <c r="AF45" i="35"/>
  <c r="AF46" i="35"/>
  <c r="AF103" i="35"/>
  <c r="AF104" i="35"/>
  <c r="AE38" i="35"/>
  <c r="AE39" i="35"/>
  <c r="AE40" i="35"/>
  <c r="AE42" i="35"/>
  <c r="AE43" i="35"/>
  <c r="AE45" i="35"/>
  <c r="AE46" i="35"/>
  <c r="AE103" i="35"/>
  <c r="AE104" i="35"/>
  <c r="AD38" i="35"/>
  <c r="AD39" i="35"/>
  <c r="AD40" i="35"/>
  <c r="AD42" i="35"/>
  <c r="AD43" i="35"/>
  <c r="AD45" i="35"/>
  <c r="AD46" i="35"/>
  <c r="AD103" i="35"/>
  <c r="AD104" i="35"/>
  <c r="AC38" i="35"/>
  <c r="AC39" i="35"/>
  <c r="AC40" i="35"/>
  <c r="AC42" i="35"/>
  <c r="AC43" i="35"/>
  <c r="AC45" i="35"/>
  <c r="AC46" i="35"/>
  <c r="AC103" i="35"/>
  <c r="AC104" i="35"/>
  <c r="AB38" i="35"/>
  <c r="AB39" i="35"/>
  <c r="AB40" i="35"/>
  <c r="AB42" i="35"/>
  <c r="AB43" i="35"/>
  <c r="AB45" i="35"/>
  <c r="AB46" i="35"/>
  <c r="AB103" i="35"/>
  <c r="AB104" i="35"/>
  <c r="AA38" i="35"/>
  <c r="AA39" i="35"/>
  <c r="AA40" i="35"/>
  <c r="AA42" i="35"/>
  <c r="AA43" i="35"/>
  <c r="AA45" i="35"/>
  <c r="AA46" i="35"/>
  <c r="AA103" i="35"/>
  <c r="AA104" i="35"/>
  <c r="Z38" i="35"/>
  <c r="Z39" i="35"/>
  <c r="Z40" i="35"/>
  <c r="Z42" i="35"/>
  <c r="Z43" i="35"/>
  <c r="Z45" i="35"/>
  <c r="Z46" i="35"/>
  <c r="Z103" i="35"/>
  <c r="Z104" i="35"/>
  <c r="Y38" i="35"/>
  <c r="Y39" i="35"/>
  <c r="Y40" i="35"/>
  <c r="Y42" i="35"/>
  <c r="Y43" i="35"/>
  <c r="Y45" i="35"/>
  <c r="Y46" i="35"/>
  <c r="Y103" i="35"/>
  <c r="Y104" i="35"/>
  <c r="X38" i="35"/>
  <c r="X39" i="35"/>
  <c r="X40" i="35"/>
  <c r="X42" i="35"/>
  <c r="X43" i="35"/>
  <c r="X45" i="35"/>
  <c r="X46" i="35"/>
  <c r="X103" i="35"/>
  <c r="X104" i="35"/>
  <c r="W38" i="35"/>
  <c r="W39" i="35"/>
  <c r="W40" i="35"/>
  <c r="W42" i="35"/>
  <c r="W43" i="35"/>
  <c r="W45" i="35"/>
  <c r="W46" i="35"/>
  <c r="W103" i="35"/>
  <c r="W104" i="35"/>
  <c r="V38" i="35"/>
  <c r="V39" i="35"/>
  <c r="V40" i="35"/>
  <c r="V42" i="35"/>
  <c r="V43" i="35"/>
  <c r="V45" i="35"/>
  <c r="V46" i="35"/>
  <c r="V103" i="35"/>
  <c r="V104" i="35"/>
  <c r="U38" i="35"/>
  <c r="U39" i="35"/>
  <c r="U40" i="35"/>
  <c r="U42" i="35"/>
  <c r="U43" i="35"/>
  <c r="U45" i="35"/>
  <c r="U46" i="35"/>
  <c r="U103" i="35"/>
  <c r="U104" i="35"/>
  <c r="T38" i="35"/>
  <c r="T39" i="35"/>
  <c r="T40" i="35"/>
  <c r="T42" i="35"/>
  <c r="T43" i="35"/>
  <c r="T45" i="35"/>
  <c r="T46" i="35"/>
  <c r="T103" i="35"/>
  <c r="T104" i="35"/>
  <c r="S38" i="35"/>
  <c r="S39" i="35"/>
  <c r="S40" i="35"/>
  <c r="S42" i="35"/>
  <c r="S43" i="35"/>
  <c r="S45" i="35"/>
  <c r="S46" i="35"/>
  <c r="S103" i="35"/>
  <c r="S104" i="35"/>
  <c r="R38" i="35"/>
  <c r="R39" i="35"/>
  <c r="R40" i="35"/>
  <c r="R42" i="35"/>
  <c r="R43" i="35"/>
  <c r="R45" i="35"/>
  <c r="R46" i="35"/>
  <c r="R103" i="35"/>
  <c r="R104" i="35"/>
  <c r="Q38" i="35"/>
  <c r="Q39" i="35"/>
  <c r="Q40" i="35"/>
  <c r="Q42" i="35"/>
  <c r="Q43" i="35"/>
  <c r="Q45" i="35"/>
  <c r="Q46" i="35"/>
  <c r="Q103" i="35"/>
  <c r="Q104" i="35"/>
  <c r="P38" i="35"/>
  <c r="P39" i="35"/>
  <c r="P40" i="35"/>
  <c r="P42" i="35"/>
  <c r="P43" i="35"/>
  <c r="P45" i="35"/>
  <c r="P46" i="35"/>
  <c r="P103" i="35"/>
  <c r="P104" i="35"/>
  <c r="O38" i="35"/>
  <c r="O39" i="35"/>
  <c r="O40" i="35"/>
  <c r="O42" i="35"/>
  <c r="O43" i="35"/>
  <c r="O45" i="35"/>
  <c r="O46" i="35"/>
  <c r="O103" i="35"/>
  <c r="O104" i="35"/>
  <c r="N38" i="35"/>
  <c r="N39" i="35"/>
  <c r="N40" i="35"/>
  <c r="N42" i="35"/>
  <c r="N43" i="35"/>
  <c r="N45" i="35"/>
  <c r="N46" i="35"/>
  <c r="N103" i="35"/>
  <c r="N104" i="35"/>
  <c r="M38" i="35"/>
  <c r="M40" i="35"/>
  <c r="M42" i="35"/>
  <c r="M43" i="35"/>
  <c r="M45" i="35"/>
  <c r="M46" i="35"/>
  <c r="M103" i="35"/>
  <c r="M104" i="35"/>
  <c r="G104" i="35"/>
  <c r="G103" i="35"/>
  <c r="DY93" i="35"/>
  <c r="G91" i="35"/>
  <c r="G92" i="35"/>
  <c r="G93" i="35"/>
  <c r="DY84" i="35"/>
  <c r="DX84" i="35"/>
  <c r="DW84" i="35"/>
  <c r="DV84" i="35"/>
  <c r="DU84" i="35"/>
  <c r="DT84" i="35"/>
  <c r="DS84" i="35"/>
  <c r="DR84" i="35"/>
  <c r="DQ84" i="35"/>
  <c r="DP84" i="35"/>
  <c r="DO84" i="35"/>
  <c r="DN84" i="35"/>
  <c r="DM84" i="35"/>
  <c r="DL84" i="35"/>
  <c r="DK84" i="35"/>
  <c r="DJ84" i="35"/>
  <c r="DI84" i="35"/>
  <c r="DH84" i="35"/>
  <c r="DG84" i="35"/>
  <c r="DF84" i="35"/>
  <c r="DE84" i="35"/>
  <c r="DD84" i="35"/>
  <c r="DC84" i="35"/>
  <c r="DB84" i="35"/>
  <c r="DA84" i="35"/>
  <c r="CZ84" i="35"/>
  <c r="CY84" i="35"/>
  <c r="CX84" i="35"/>
  <c r="CW84" i="35"/>
  <c r="CV84" i="35"/>
  <c r="CU84" i="35"/>
  <c r="CT84" i="35"/>
  <c r="CS84" i="35"/>
  <c r="CR84" i="35"/>
  <c r="CQ84" i="35"/>
  <c r="CP84" i="35"/>
  <c r="CO84" i="35"/>
  <c r="CN84" i="35"/>
  <c r="CM84" i="35"/>
  <c r="CL84" i="35"/>
  <c r="CK84" i="35"/>
  <c r="CJ84" i="35"/>
  <c r="CI84" i="35"/>
  <c r="CH84" i="35"/>
  <c r="CG84" i="35"/>
  <c r="CF84" i="35"/>
  <c r="CE84" i="35"/>
  <c r="CD84" i="35"/>
  <c r="CC84" i="35"/>
  <c r="CB84" i="35"/>
  <c r="CA84" i="35"/>
  <c r="BZ84" i="35"/>
  <c r="BY84" i="35"/>
  <c r="BX84" i="35"/>
  <c r="BW84" i="35"/>
  <c r="BV84" i="35"/>
  <c r="BU84" i="35"/>
  <c r="BT84" i="35"/>
  <c r="BS84" i="35"/>
  <c r="BR84" i="35"/>
  <c r="BQ84" i="35"/>
  <c r="BP84" i="35"/>
  <c r="BO84" i="35"/>
  <c r="BN84" i="35"/>
  <c r="BM84" i="35"/>
  <c r="BL84" i="35"/>
  <c r="BK84" i="35"/>
  <c r="BJ84" i="35"/>
  <c r="BI84" i="35"/>
  <c r="BH84" i="35"/>
  <c r="BG84" i="35"/>
  <c r="BF84" i="35"/>
  <c r="BE84" i="35"/>
  <c r="BD84" i="35"/>
  <c r="BC84" i="35"/>
  <c r="BB84" i="35"/>
  <c r="BA84" i="35"/>
  <c r="AZ84" i="35"/>
  <c r="AY84" i="35"/>
  <c r="AX84" i="35"/>
  <c r="AW84" i="35"/>
  <c r="AV84" i="35"/>
  <c r="AU84" i="35"/>
  <c r="AT84" i="35"/>
  <c r="AS84" i="35"/>
  <c r="AR84" i="35"/>
  <c r="AQ84" i="35"/>
  <c r="AP84" i="35"/>
  <c r="AO84" i="35"/>
  <c r="AN84" i="35"/>
  <c r="AM84" i="35"/>
  <c r="AL84" i="35"/>
  <c r="AK84" i="35"/>
  <c r="AJ84" i="35"/>
  <c r="AI84" i="35"/>
  <c r="AH84" i="35"/>
  <c r="AG84" i="35"/>
  <c r="AF84" i="35"/>
  <c r="AE84" i="35"/>
  <c r="AD84" i="35"/>
  <c r="AC84" i="35"/>
  <c r="AB84" i="35"/>
  <c r="AA84" i="35"/>
  <c r="Z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G84" i="35"/>
  <c r="G83" i="35"/>
  <c r="G82" i="35"/>
  <c r="G81" i="35"/>
  <c r="G80" i="35"/>
  <c r="DY77" i="35"/>
  <c r="DE53" i="35"/>
  <c r="DE54" i="35"/>
  <c r="DE55" i="35"/>
  <c r="DD53" i="35"/>
  <c r="DD54" i="35"/>
  <c r="DD55" i="35"/>
  <c r="DC53" i="35"/>
  <c r="DC54" i="35"/>
  <c r="DC55" i="35"/>
  <c r="DB53" i="35"/>
  <c r="DB54" i="35"/>
  <c r="DB55" i="35"/>
  <c r="DA53" i="35"/>
  <c r="DA54" i="35"/>
  <c r="DA55" i="35"/>
  <c r="CZ53" i="35"/>
  <c r="CZ54" i="35"/>
  <c r="CZ55" i="35"/>
  <c r="CY53" i="35"/>
  <c r="CY54" i="35"/>
  <c r="CY55" i="35"/>
  <c r="CX53" i="35"/>
  <c r="CX54" i="35"/>
  <c r="CX55" i="35"/>
  <c r="CW53" i="35"/>
  <c r="CW54" i="35"/>
  <c r="CW55" i="35"/>
  <c r="CV53" i="35"/>
  <c r="CV54" i="35"/>
  <c r="CV55" i="35"/>
  <c r="CU53" i="35"/>
  <c r="CU54" i="35"/>
  <c r="CU55" i="35"/>
  <c r="CT53" i="35"/>
  <c r="CT54" i="35"/>
  <c r="CT55" i="35"/>
  <c r="CS53" i="35"/>
  <c r="CS54" i="35"/>
  <c r="CS55" i="35"/>
  <c r="CR53" i="35"/>
  <c r="CR54" i="35"/>
  <c r="CR55" i="35"/>
  <c r="CQ53" i="35"/>
  <c r="CQ54" i="35"/>
  <c r="CQ55" i="35"/>
  <c r="CP53" i="35"/>
  <c r="CP54" i="35"/>
  <c r="CP55" i="35"/>
  <c r="CO53" i="35"/>
  <c r="CO54" i="35"/>
  <c r="CO55" i="35"/>
  <c r="CN53" i="35"/>
  <c r="CN54" i="35"/>
  <c r="CN55" i="35"/>
  <c r="CM53" i="35"/>
  <c r="CM54" i="35"/>
  <c r="CM55" i="35"/>
  <c r="CL53" i="35"/>
  <c r="CL54" i="35"/>
  <c r="CL55" i="35"/>
  <c r="CK53" i="35"/>
  <c r="CK54" i="35"/>
  <c r="CK55" i="35"/>
  <c r="CJ53" i="35"/>
  <c r="CJ54" i="35"/>
  <c r="CJ55" i="35"/>
  <c r="CI53" i="35"/>
  <c r="CI54" i="35"/>
  <c r="CI55" i="35"/>
  <c r="CH53" i="35"/>
  <c r="CH54" i="35"/>
  <c r="CH55" i="35"/>
  <c r="CG53" i="35"/>
  <c r="CG54" i="35"/>
  <c r="CG55" i="35"/>
  <c r="CF53" i="35"/>
  <c r="CF54" i="35"/>
  <c r="CF55" i="35"/>
  <c r="CE53" i="35"/>
  <c r="CE54" i="35"/>
  <c r="CE55" i="35"/>
  <c r="CD53" i="35"/>
  <c r="CD54" i="35"/>
  <c r="CD55" i="35"/>
  <c r="CC53" i="35"/>
  <c r="CC54" i="35"/>
  <c r="CC55" i="35"/>
  <c r="CB53" i="35"/>
  <c r="CB54" i="35"/>
  <c r="CB55" i="35"/>
  <c r="CA53" i="35"/>
  <c r="CA54" i="35"/>
  <c r="CA55" i="35"/>
  <c r="BZ53" i="35"/>
  <c r="BZ54" i="35"/>
  <c r="BZ55" i="35"/>
  <c r="BY53" i="35"/>
  <c r="BY54" i="35"/>
  <c r="BY55" i="35"/>
  <c r="BX53" i="35"/>
  <c r="BX54" i="35"/>
  <c r="BX55" i="35"/>
  <c r="BW53" i="35"/>
  <c r="BW54" i="35"/>
  <c r="BW55" i="35"/>
  <c r="BV53" i="35"/>
  <c r="BV54" i="35"/>
  <c r="BV55" i="35"/>
  <c r="BU53" i="35"/>
  <c r="BU54" i="35"/>
  <c r="BU55" i="35"/>
  <c r="BT53" i="35"/>
  <c r="BT54" i="35"/>
  <c r="BT55" i="35"/>
  <c r="BS53" i="35"/>
  <c r="BS54" i="35"/>
  <c r="BS55" i="35"/>
  <c r="BR53" i="35"/>
  <c r="BR54" i="35"/>
  <c r="BR55" i="35"/>
  <c r="BQ53" i="35"/>
  <c r="BQ54" i="35"/>
  <c r="BQ55" i="35"/>
  <c r="BP53" i="35"/>
  <c r="BP54" i="35"/>
  <c r="BP55" i="35"/>
  <c r="BO53" i="35"/>
  <c r="BO54" i="35"/>
  <c r="BO55" i="35"/>
  <c r="BN53" i="35"/>
  <c r="BN54" i="35"/>
  <c r="BN55" i="35"/>
  <c r="BM53" i="35"/>
  <c r="BM54" i="35"/>
  <c r="BM55" i="35"/>
  <c r="BL53" i="35"/>
  <c r="BL54" i="35"/>
  <c r="BL55" i="35"/>
  <c r="BK53" i="35"/>
  <c r="BK54" i="35"/>
  <c r="BK55" i="35"/>
  <c r="BJ53" i="35"/>
  <c r="BJ54" i="35"/>
  <c r="BJ55" i="35"/>
  <c r="BI53" i="35"/>
  <c r="BI54" i="35"/>
  <c r="BI55" i="35"/>
  <c r="BH53" i="35"/>
  <c r="BH54" i="35"/>
  <c r="BH55" i="35"/>
  <c r="BG53" i="35"/>
  <c r="BG54" i="35"/>
  <c r="BG55" i="35"/>
  <c r="BF53" i="35"/>
  <c r="BF54" i="35"/>
  <c r="BF55" i="35"/>
  <c r="BE53" i="35"/>
  <c r="BE54" i="35"/>
  <c r="BE55" i="35"/>
  <c r="BD53" i="35"/>
  <c r="BD54" i="35"/>
  <c r="BD55" i="35"/>
  <c r="BC53" i="35"/>
  <c r="BC54" i="35"/>
  <c r="BC55" i="35"/>
  <c r="BB53" i="35"/>
  <c r="BB54" i="35"/>
  <c r="BB55" i="35"/>
  <c r="BA53" i="35"/>
  <c r="BA54" i="35"/>
  <c r="BA55" i="35"/>
  <c r="AZ53" i="35"/>
  <c r="AZ54" i="35"/>
  <c r="AZ55" i="35"/>
  <c r="AY53" i="35"/>
  <c r="AY54" i="35"/>
  <c r="AY55" i="35"/>
  <c r="AX53" i="35"/>
  <c r="AX54" i="35"/>
  <c r="AX55" i="35"/>
  <c r="AW53" i="35"/>
  <c r="AW54" i="35"/>
  <c r="AW55" i="35"/>
  <c r="AV53" i="35"/>
  <c r="AV54" i="35"/>
  <c r="AV55" i="35"/>
  <c r="AU53" i="35"/>
  <c r="AU54" i="35"/>
  <c r="AU55" i="35"/>
  <c r="AT53" i="35"/>
  <c r="AT54" i="35"/>
  <c r="AT55" i="35"/>
  <c r="AS53" i="35"/>
  <c r="AS54" i="35"/>
  <c r="AS55" i="35"/>
  <c r="AR53" i="35"/>
  <c r="AR54" i="35"/>
  <c r="AR55" i="35"/>
  <c r="AQ53" i="35"/>
  <c r="AQ54" i="35"/>
  <c r="AQ55" i="35"/>
  <c r="AP53" i="35"/>
  <c r="AP54" i="35"/>
  <c r="AP55" i="35"/>
  <c r="AO53" i="35"/>
  <c r="AO54" i="35"/>
  <c r="AO55" i="35"/>
  <c r="AN53" i="35"/>
  <c r="AN54" i="35"/>
  <c r="AN55" i="35"/>
  <c r="AM53" i="35"/>
  <c r="AM54" i="35"/>
  <c r="AM55" i="35"/>
  <c r="AL53" i="35"/>
  <c r="AL54" i="35"/>
  <c r="AL55" i="35"/>
  <c r="AK53" i="35"/>
  <c r="AK54" i="35"/>
  <c r="AK55" i="35"/>
  <c r="AJ53" i="35"/>
  <c r="AJ54" i="35"/>
  <c r="AJ55" i="35"/>
  <c r="AI53" i="35"/>
  <c r="AI54" i="35"/>
  <c r="AI55" i="35"/>
  <c r="AH53" i="35"/>
  <c r="AH54" i="35"/>
  <c r="AH55" i="35"/>
  <c r="AG53" i="35"/>
  <c r="AG54" i="35"/>
  <c r="AG55" i="35"/>
  <c r="AF53" i="35"/>
  <c r="AF54" i="35"/>
  <c r="AF55" i="35"/>
  <c r="AE53" i="35"/>
  <c r="AE54" i="35"/>
  <c r="AE55" i="35"/>
  <c r="AD53" i="35"/>
  <c r="AD54" i="35"/>
  <c r="AD55" i="35"/>
  <c r="AC53" i="35"/>
  <c r="AC54" i="35"/>
  <c r="AC55" i="35"/>
  <c r="AB53" i="35"/>
  <c r="AB54" i="35"/>
  <c r="AB55" i="35"/>
  <c r="AA53" i="35"/>
  <c r="AA54" i="35"/>
  <c r="AA55" i="35"/>
  <c r="Z53" i="35"/>
  <c r="Z54" i="35"/>
  <c r="Z55" i="35"/>
  <c r="Y53" i="35"/>
  <c r="Y54" i="35"/>
  <c r="Y55" i="35"/>
  <c r="X53" i="35"/>
  <c r="X54" i="35"/>
  <c r="X55" i="35"/>
  <c r="W53" i="35"/>
  <c r="W54" i="35"/>
  <c r="W55" i="35"/>
  <c r="V53" i="35"/>
  <c r="V54" i="35"/>
  <c r="V55" i="35"/>
  <c r="U53" i="35"/>
  <c r="U54" i="35"/>
  <c r="U55" i="35"/>
  <c r="T53" i="35"/>
  <c r="T54" i="35"/>
  <c r="T55" i="35"/>
  <c r="S53" i="35"/>
  <c r="S54" i="35"/>
  <c r="S55" i="35"/>
  <c r="R53" i="35"/>
  <c r="R54" i="35"/>
  <c r="R55" i="35"/>
  <c r="Q53" i="35"/>
  <c r="Q54" i="35"/>
  <c r="Q55" i="35"/>
  <c r="P53" i="35"/>
  <c r="P54" i="35"/>
  <c r="P55" i="35"/>
  <c r="O53" i="35"/>
  <c r="O54" i="35"/>
  <c r="O55" i="35"/>
  <c r="N53" i="35"/>
  <c r="N54" i="35"/>
  <c r="N55" i="35"/>
  <c r="M53" i="35"/>
  <c r="M54" i="35"/>
  <c r="M55" i="35"/>
  <c r="G55" i="35"/>
  <c r="DY48" i="35"/>
  <c r="DX48" i="35"/>
  <c r="DW48" i="35"/>
  <c r="DV48" i="35"/>
  <c r="DU48" i="35"/>
  <c r="DT48" i="35"/>
  <c r="DS48" i="35"/>
  <c r="DR48" i="35"/>
  <c r="DQ48" i="35"/>
  <c r="DP48" i="35"/>
  <c r="DO48" i="35"/>
  <c r="DN48" i="35"/>
  <c r="DM48" i="35"/>
  <c r="DL48" i="35"/>
  <c r="DK48" i="35"/>
  <c r="DJ48" i="35"/>
  <c r="DI48" i="35"/>
  <c r="DH48" i="35"/>
  <c r="DG48" i="35"/>
  <c r="DF48" i="35"/>
  <c r="DE48" i="35"/>
  <c r="DD48" i="35"/>
  <c r="DC48" i="35"/>
  <c r="DB48" i="35"/>
  <c r="DA48" i="35"/>
  <c r="CZ48" i="35"/>
  <c r="CY48" i="35"/>
  <c r="CX48" i="35"/>
  <c r="CW48" i="35"/>
  <c r="CV48" i="35"/>
  <c r="CU48" i="35"/>
  <c r="CT48" i="35"/>
  <c r="CS48" i="35"/>
  <c r="CR48" i="35"/>
  <c r="CQ48" i="35"/>
  <c r="CP48" i="35"/>
  <c r="CO48" i="35"/>
  <c r="CN48" i="35"/>
  <c r="CM48" i="35"/>
  <c r="CL48" i="35"/>
  <c r="CK48" i="35"/>
  <c r="CJ48" i="35"/>
  <c r="CI48" i="35"/>
  <c r="CH48" i="35"/>
  <c r="CG48" i="35"/>
  <c r="CF48" i="35"/>
  <c r="CE48" i="35"/>
  <c r="CD48" i="35"/>
  <c r="CC48" i="35"/>
  <c r="CB48" i="35"/>
  <c r="CA48" i="35"/>
  <c r="BZ48" i="35"/>
  <c r="BY48" i="35"/>
  <c r="BX48" i="35"/>
  <c r="BW48" i="35"/>
  <c r="BV48" i="35"/>
  <c r="BU48" i="35"/>
  <c r="BT48" i="35"/>
  <c r="BS48" i="35"/>
  <c r="BR48" i="35"/>
  <c r="BQ48" i="35"/>
  <c r="BP48" i="35"/>
  <c r="BO48" i="35"/>
  <c r="BN48" i="35"/>
  <c r="BM48" i="35"/>
  <c r="BL48" i="35"/>
  <c r="BK48" i="35"/>
  <c r="BJ48" i="35"/>
  <c r="BI48" i="35"/>
  <c r="BH48" i="35"/>
  <c r="BG48" i="35"/>
  <c r="BF48" i="35"/>
  <c r="BE48" i="35"/>
  <c r="BD48" i="35"/>
  <c r="BC48" i="35"/>
  <c r="BB48" i="35"/>
  <c r="BA48" i="35"/>
  <c r="AZ48" i="35"/>
  <c r="AY48" i="35"/>
  <c r="AX48" i="35"/>
  <c r="AW48" i="35"/>
  <c r="AV48" i="35"/>
  <c r="AU48" i="35"/>
  <c r="AT48" i="35"/>
  <c r="AS48" i="35"/>
  <c r="AR48" i="35"/>
  <c r="AQ48" i="35"/>
  <c r="AP48" i="35"/>
  <c r="AO48" i="35"/>
  <c r="AN48" i="35"/>
  <c r="AM48" i="35"/>
  <c r="AL48" i="35"/>
  <c r="AK48" i="35"/>
  <c r="AJ48" i="35"/>
  <c r="AI48" i="35"/>
  <c r="AH48" i="35"/>
  <c r="AG48" i="35"/>
  <c r="AF48" i="35"/>
  <c r="AE48" i="35"/>
  <c r="AD48" i="35"/>
  <c r="AC48" i="35"/>
  <c r="AB48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G48" i="35"/>
  <c r="DY47" i="35"/>
  <c r="DX47" i="35"/>
  <c r="DW47" i="35"/>
  <c r="DV47" i="35"/>
  <c r="DU47" i="35"/>
  <c r="DT47" i="35"/>
  <c r="DS47" i="35"/>
  <c r="DR47" i="35"/>
  <c r="DQ47" i="35"/>
  <c r="DP47" i="35"/>
  <c r="DO47" i="35"/>
  <c r="DN47" i="35"/>
  <c r="DM47" i="35"/>
  <c r="DL47" i="35"/>
  <c r="DK47" i="35"/>
  <c r="DJ47" i="35"/>
  <c r="DI47" i="35"/>
  <c r="DH47" i="35"/>
  <c r="DG47" i="35"/>
  <c r="DF47" i="35"/>
  <c r="DE47" i="35"/>
  <c r="DD47" i="35"/>
  <c r="DC47" i="35"/>
  <c r="DB47" i="35"/>
  <c r="DA47" i="35"/>
  <c r="CZ47" i="35"/>
  <c r="CY47" i="35"/>
  <c r="CX47" i="35"/>
  <c r="CW47" i="35"/>
  <c r="CV47" i="35"/>
  <c r="CU47" i="35"/>
  <c r="CT47" i="35"/>
  <c r="CS47" i="35"/>
  <c r="CR47" i="35"/>
  <c r="CQ47" i="35"/>
  <c r="CP47" i="35"/>
  <c r="CO47" i="35"/>
  <c r="CN47" i="35"/>
  <c r="CM47" i="35"/>
  <c r="CL47" i="35"/>
  <c r="CK47" i="35"/>
  <c r="CJ47" i="35"/>
  <c r="CI47" i="35"/>
  <c r="CH47" i="35"/>
  <c r="CG47" i="35"/>
  <c r="CF47" i="35"/>
  <c r="CE47" i="35"/>
  <c r="CD47" i="35"/>
  <c r="CC47" i="35"/>
  <c r="CB47" i="35"/>
  <c r="CA47" i="35"/>
  <c r="BZ47" i="35"/>
  <c r="BY47" i="35"/>
  <c r="BX47" i="35"/>
  <c r="BW47" i="35"/>
  <c r="BV47" i="35"/>
  <c r="BU47" i="35"/>
  <c r="BT47" i="35"/>
  <c r="BS47" i="35"/>
  <c r="BR47" i="35"/>
  <c r="BQ47" i="35"/>
  <c r="BP47" i="35"/>
  <c r="BO47" i="35"/>
  <c r="BN47" i="35"/>
  <c r="BM47" i="35"/>
  <c r="BL47" i="35"/>
  <c r="BK47" i="35"/>
  <c r="BJ47" i="35"/>
  <c r="BI47" i="35"/>
  <c r="BH47" i="35"/>
  <c r="BG47" i="35"/>
  <c r="BF47" i="35"/>
  <c r="BE47" i="35"/>
  <c r="BD47" i="35"/>
  <c r="BC47" i="35"/>
  <c r="BB47" i="35"/>
  <c r="BA47" i="35"/>
  <c r="AZ47" i="35"/>
  <c r="AY47" i="35"/>
  <c r="AX47" i="35"/>
  <c r="AW47" i="35"/>
  <c r="AV47" i="35"/>
  <c r="AU47" i="35"/>
  <c r="AT47" i="35"/>
  <c r="AS47" i="35"/>
  <c r="AR47" i="35"/>
  <c r="AQ47" i="35"/>
  <c r="AP47" i="35"/>
  <c r="AO47" i="35"/>
  <c r="AN47" i="35"/>
  <c r="AM47" i="35"/>
  <c r="AL47" i="35"/>
  <c r="AK47" i="35"/>
  <c r="AJ47" i="35"/>
  <c r="AI47" i="35"/>
  <c r="AH47" i="35"/>
  <c r="AG47" i="35"/>
  <c r="AF47" i="35"/>
  <c r="AE47" i="35"/>
  <c r="AD47" i="35"/>
  <c r="AC47" i="35"/>
  <c r="AB47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G47" i="35"/>
  <c r="G46" i="35"/>
  <c r="G45" i="35"/>
  <c r="G43" i="35"/>
  <c r="G42" i="35"/>
  <c r="G40" i="35"/>
  <c r="G39" i="35"/>
  <c r="G38" i="35"/>
  <c r="G5" i="35"/>
  <c r="G107" i="35"/>
  <c r="D114" i="35"/>
  <c r="G108" i="35"/>
  <c r="D115" i="35"/>
  <c r="DR75" i="38"/>
  <c r="DS75" i="38"/>
  <c r="AP85" i="38"/>
  <c r="AV85" i="38"/>
  <c r="AW85" i="38"/>
  <c r="DH85" i="38"/>
  <c r="DT75" i="38"/>
  <c r="CL85" i="38"/>
  <c r="BM85" i="38"/>
  <c r="DI85" i="38"/>
  <c r="DU75" i="38"/>
  <c r="BN85" i="38"/>
  <c r="DV75" i="38"/>
  <c r="DB85" i="38"/>
  <c r="X85" i="38"/>
  <c r="BT85" i="38"/>
  <c r="DO75" i="38"/>
  <c r="DW75" i="38"/>
  <c r="Y85" i="38"/>
  <c r="CJ85" i="38"/>
  <c r="DX75" i="38"/>
  <c r="Z85" i="38"/>
  <c r="CK85" i="38"/>
  <c r="DY75" i="38"/>
  <c r="AF85" i="38"/>
  <c r="AX85" i="38"/>
  <c r="BU85" i="38"/>
  <c r="CR85" i="38"/>
  <c r="DJ85" i="38"/>
  <c r="J85" i="38"/>
  <c r="AG85" i="38"/>
  <c r="BD85" i="38"/>
  <c r="BV85" i="38"/>
  <c r="CS85" i="38"/>
  <c r="DP85" i="38"/>
  <c r="P85" i="38"/>
  <c r="AH85" i="38"/>
  <c r="BE85" i="38"/>
  <c r="CB85" i="38"/>
  <c r="CT85" i="38"/>
  <c r="DQ85" i="38"/>
  <c r="Q85" i="38"/>
  <c r="AN85" i="38"/>
  <c r="BF85" i="38"/>
  <c r="CC85" i="38"/>
  <c r="CZ85" i="38"/>
  <c r="R85" i="38"/>
  <c r="AO85" i="38"/>
  <c r="BL85" i="38"/>
  <c r="CD85" i="38"/>
  <c r="DA85" i="38"/>
  <c r="K85" i="38"/>
  <c r="K75" i="38"/>
  <c r="S85" i="38"/>
  <c r="AA85" i="38"/>
  <c r="AI85" i="38"/>
  <c r="AQ85" i="38"/>
  <c r="AY85" i="38"/>
  <c r="BG85" i="38"/>
  <c r="BO85" i="38"/>
  <c r="BW85" i="38"/>
  <c r="CE85" i="38"/>
  <c r="CM85" i="38"/>
  <c r="CU85" i="38"/>
  <c r="DC85" i="38"/>
  <c r="DK85" i="38"/>
  <c r="L85" i="38"/>
  <c r="T85" i="38"/>
  <c r="AB85" i="38"/>
  <c r="AJ85" i="38"/>
  <c r="AR85" i="38"/>
  <c r="AZ85" i="38"/>
  <c r="BH85" i="38"/>
  <c r="BP85" i="38"/>
  <c r="BX85" i="38"/>
  <c r="CF85" i="38"/>
  <c r="CN85" i="38"/>
  <c r="CV85" i="38"/>
  <c r="DD85" i="38"/>
  <c r="DL85" i="38"/>
  <c r="M85" i="38"/>
  <c r="U85" i="38"/>
  <c r="AC85" i="38"/>
  <c r="AK85" i="38"/>
  <c r="AS85" i="38"/>
  <c r="BA85" i="38"/>
  <c r="BI85" i="38"/>
  <c r="BQ85" i="38"/>
  <c r="BY85" i="38"/>
  <c r="CG85" i="38"/>
  <c r="CO85" i="38"/>
  <c r="CW85" i="38"/>
  <c r="DE85" i="38"/>
  <c r="DM85" i="38"/>
  <c r="N85" i="38"/>
  <c r="V85" i="38"/>
  <c r="AD85" i="38"/>
  <c r="AL85" i="38"/>
  <c r="AT85" i="38"/>
  <c r="BB85" i="38"/>
  <c r="BJ85" i="38"/>
  <c r="BR85" i="38"/>
  <c r="BZ85" i="38"/>
  <c r="CH85" i="38"/>
  <c r="CP85" i="38"/>
  <c r="CX85" i="38"/>
  <c r="DF85" i="38"/>
  <c r="DN85" i="38"/>
  <c r="O85" i="38"/>
  <c r="W85" i="38"/>
  <c r="AE85" i="38"/>
  <c r="AM85" i="38"/>
  <c r="AU85" i="38"/>
  <c r="BC85" i="38"/>
  <c r="BK85" i="38"/>
  <c r="BS85" i="38"/>
  <c r="CA85" i="38"/>
  <c r="CI85" i="38"/>
  <c r="CQ85" i="38"/>
  <c r="CY85" i="38"/>
  <c r="DG85" i="38"/>
  <c r="F19" i="38"/>
  <c r="J12" i="37" a="1"/>
  <c r="J3" i="37" a="1"/>
  <c r="J14" i="37" a="1"/>
  <c r="J3" i="38" a="1"/>
  <c r="DG10" i="38"/>
  <c r="J2" i="38" a="1"/>
  <c r="J11" i="37" a="1"/>
  <c r="J2" i="37" a="1"/>
  <c r="Z11" i="38"/>
  <c r="DN11" i="38"/>
  <c r="DI18" i="38"/>
  <c r="N18" i="38"/>
  <c r="CU8" i="38"/>
  <c r="CU96" i="38"/>
  <c r="O18" i="38"/>
  <c r="CS8" i="38"/>
  <c r="CS96" i="38"/>
  <c r="DH18" i="38"/>
  <c r="AQ11" i="38"/>
  <c r="BS11" i="38"/>
  <c r="BP18" i="38"/>
  <c r="Q11" i="38"/>
  <c r="DN10" i="38"/>
  <c r="DL11" i="38"/>
  <c r="BL8" i="38"/>
  <c r="BL96" i="38"/>
  <c r="AU18" i="38"/>
  <c r="DX18" i="38"/>
  <c r="CJ11" i="38"/>
  <c r="AP11" i="38"/>
  <c r="DB11" i="38"/>
  <c r="AY11" i="38"/>
  <c r="DK11" i="38"/>
  <c r="BI11" i="38"/>
  <c r="DU11" i="38"/>
  <c r="BR11" i="38"/>
  <c r="O11" i="38"/>
  <c r="CA11" i="38"/>
  <c r="CZ18" i="38"/>
  <c r="AO11" i="38"/>
  <c r="BM18" i="38"/>
  <c r="DY18" i="38"/>
  <c r="BN18" i="38"/>
  <c r="L18" i="38"/>
  <c r="BX18" i="38"/>
  <c r="U18" i="38"/>
  <c r="CG18" i="38"/>
  <c r="AD18" i="38"/>
  <c r="CP18" i="38"/>
  <c r="AM18" i="38"/>
  <c r="DK10" i="38"/>
  <c r="AC10" i="38"/>
  <c r="CE8" i="38"/>
  <c r="CE96" i="38"/>
  <c r="S8" i="38"/>
  <c r="S96" i="38"/>
  <c r="DI10" i="38"/>
  <c r="BX10" i="38"/>
  <c r="DE10" i="38"/>
  <c r="DV10" i="38"/>
  <c r="CV11" i="38"/>
  <c r="CT8" i="38"/>
  <c r="CT96" i="38"/>
  <c r="AH8" i="38"/>
  <c r="AH96" i="38"/>
  <c r="AF18" i="38"/>
  <c r="CM10" i="38"/>
  <c r="S10" i="38"/>
  <c r="CC8" i="38"/>
  <c r="CC96" i="38"/>
  <c r="Q8" i="38"/>
  <c r="Q96" i="38"/>
  <c r="CR11" i="38"/>
  <c r="BO10" i="38"/>
  <c r="DP8" i="38"/>
  <c r="DP96" i="38"/>
  <c r="BD8" i="38"/>
  <c r="BD96" i="38"/>
  <c r="BS18" i="38"/>
  <c r="DW10" i="38"/>
  <c r="AG10" i="38"/>
  <c r="CI8" i="38"/>
  <c r="CI96" i="38"/>
  <c r="W8" i="38"/>
  <c r="W96" i="38"/>
  <c r="Y11" i="38"/>
  <c r="CU11" i="38"/>
  <c r="DW11" i="38"/>
  <c r="DJ18" i="38"/>
  <c r="BZ18" i="38"/>
  <c r="AI8" i="38"/>
  <c r="AI96" i="38"/>
  <c r="DF10" i="38"/>
  <c r="AG11" i="38"/>
  <c r="CJ10" i="38"/>
  <c r="AM8" i="38"/>
  <c r="AM96" i="38"/>
  <c r="CT11" i="38"/>
  <c r="DV11" i="38"/>
  <c r="BF18" i="38"/>
  <c r="BG18" i="38"/>
  <c r="DR10" i="38"/>
  <c r="L11" i="38"/>
  <c r="AB11" i="38"/>
  <c r="X18" i="38"/>
  <c r="DC18" i="38"/>
  <c r="BM11" i="38"/>
  <c r="AX11" i="38"/>
  <c r="DJ11" i="38"/>
  <c r="BG11" i="38"/>
  <c r="DS11" i="38"/>
  <c r="BQ11" i="38"/>
  <c r="N11" i="38"/>
  <c r="BZ11" i="38"/>
  <c r="W11" i="38"/>
  <c r="CI11" i="38"/>
  <c r="CE18" i="38"/>
  <c r="T11" i="38"/>
  <c r="BU18" i="38"/>
  <c r="BV18" i="38"/>
  <c r="T18" i="38"/>
  <c r="CF18" i="38"/>
  <c r="AC18" i="38"/>
  <c r="CO18" i="38"/>
  <c r="AL18" i="38"/>
  <c r="CX18" i="38"/>
  <c r="P18" i="38"/>
  <c r="CQ10" i="38"/>
  <c r="U10" i="38"/>
  <c r="BW8" i="38"/>
  <c r="BW96" i="38"/>
  <c r="K8" i="38"/>
  <c r="K96" i="38"/>
  <c r="DQ10" i="38"/>
  <c r="CF10" i="38"/>
  <c r="DM10" i="38"/>
  <c r="DP18" i="38"/>
  <c r="CB11" i="38"/>
  <c r="CL8" i="38"/>
  <c r="CL96" i="38"/>
  <c r="Z8" i="38"/>
  <c r="Z96" i="38"/>
  <c r="K18" i="38"/>
  <c r="BZ10" i="38"/>
  <c r="K10" i="38"/>
  <c r="BU8" i="38"/>
  <c r="BU96" i="38"/>
  <c r="BU11" i="38"/>
  <c r="BF10" i="38"/>
  <c r="DH8" i="38"/>
  <c r="DH96" i="38"/>
  <c r="AV8" i="38"/>
  <c r="AV96" i="38"/>
  <c r="AV18" i="38"/>
  <c r="CZ10" i="38"/>
  <c r="Y10" i="38"/>
  <c r="CA8" i="38"/>
  <c r="CA96" i="38"/>
  <c r="O8" i="38"/>
  <c r="O96" i="38"/>
  <c r="CJ18" i="38"/>
  <c r="AI11" i="38"/>
  <c r="BB11" i="38"/>
  <c r="AW18" i="38"/>
  <c r="BH18" i="38"/>
  <c r="CB18" i="38"/>
  <c r="DJ10" i="38"/>
  <c r="AX8" i="38"/>
  <c r="AX96" i="38"/>
  <c r="AG8" i="38"/>
  <c r="AG96" i="38"/>
  <c r="BT8" i="38"/>
  <c r="BT96" i="38"/>
  <c r="AW10" i="38"/>
  <c r="BO18" i="38"/>
  <c r="BA11" i="38"/>
  <c r="BL11" i="38"/>
  <c r="DR18" i="38"/>
  <c r="CH18" i="38"/>
  <c r="AA8" i="38"/>
  <c r="AA96" i="38"/>
  <c r="DQ11" i="38"/>
  <c r="AA10" i="38"/>
  <c r="DX8" i="38"/>
  <c r="DX96" i="38"/>
  <c r="CM18" i="38"/>
  <c r="DH11" i="38"/>
  <c r="CI18" i="38"/>
  <c r="AR11" i="38"/>
  <c r="BF11" i="38"/>
  <c r="DR11" i="38"/>
  <c r="BO11" i="38"/>
  <c r="M11" i="38"/>
  <c r="BY11" i="38"/>
  <c r="V11" i="38"/>
  <c r="CH11" i="38"/>
  <c r="AE11" i="38"/>
  <c r="CQ11" i="38"/>
  <c r="BK18" i="38"/>
  <c r="Q18" i="38"/>
  <c r="CC18" i="38"/>
  <c r="R18" i="38"/>
  <c r="CD18" i="38"/>
  <c r="AB18" i="38"/>
  <c r="CN18" i="38"/>
  <c r="AK18" i="38"/>
  <c r="CW18" i="38"/>
  <c r="AT18" i="38"/>
  <c r="DF18" i="38"/>
  <c r="DT11" i="38"/>
  <c r="CB10" i="38"/>
  <c r="M10" i="38"/>
  <c r="BO8" i="38"/>
  <c r="BO96" i="38"/>
  <c r="BM10" i="38"/>
  <c r="DY10" i="38"/>
  <c r="CN10" i="38"/>
  <c r="DU10" i="38"/>
  <c r="CU18" i="38"/>
  <c r="BE11" i="38"/>
  <c r="CD8" i="38"/>
  <c r="CD96" i="38"/>
  <c r="R8" i="38"/>
  <c r="R96" i="38"/>
  <c r="DP11" i="38"/>
  <c r="BP10" i="38"/>
  <c r="DY8" i="38"/>
  <c r="DY96" i="38"/>
  <c r="BM8" i="38"/>
  <c r="BM96" i="38"/>
  <c r="DK18" i="38"/>
  <c r="AZ11" i="38"/>
  <c r="AX10" i="38"/>
  <c r="CZ8" i="38"/>
  <c r="CZ96" i="38"/>
  <c r="AN8" i="38"/>
  <c r="AN96" i="38"/>
  <c r="AA18" i="38"/>
  <c r="CI10" i="38"/>
  <c r="Q10" i="38"/>
  <c r="BS8" i="38"/>
  <c r="BS96" i="38"/>
  <c r="DY11" i="38"/>
  <c r="AS11" i="38"/>
  <c r="BK11" i="38"/>
  <c r="AX18" i="38"/>
  <c r="BQ18" i="38"/>
  <c r="AS10" i="38"/>
  <c r="DT10" i="38"/>
  <c r="BW18" i="38"/>
  <c r="AE18" i="38"/>
  <c r="AW11" i="38"/>
  <c r="DD11" i="38"/>
  <c r="DM11" i="38"/>
  <c r="DQ18" i="38"/>
  <c r="BY18" i="38"/>
  <c r="DA10" i="38"/>
  <c r="AP8" i="38"/>
  <c r="AP96" i="38"/>
  <c r="Y8" i="38"/>
  <c r="Y96" i="38"/>
  <c r="CQ8" i="38"/>
  <c r="CQ96" i="38"/>
  <c r="CK11" i="38"/>
  <c r="BL18" i="38"/>
  <c r="X11" i="38"/>
  <c r="BN11" i="38"/>
  <c r="K11" i="38"/>
  <c r="BW11" i="38"/>
  <c r="U11" i="38"/>
  <c r="CG11" i="38"/>
  <c r="AD11" i="38"/>
  <c r="CP11" i="38"/>
  <c r="AM11" i="38"/>
  <c r="CY11" i="38"/>
  <c r="AN18" i="38"/>
  <c r="Y18" i="38"/>
  <c r="CK18" i="38"/>
  <c r="Z18" i="38"/>
  <c r="CL18" i="38"/>
  <c r="AJ18" i="38"/>
  <c r="CV18" i="38"/>
  <c r="AS18" i="38"/>
  <c r="DE18" i="38"/>
  <c r="BB18" i="38"/>
  <c r="DN18" i="38"/>
  <c r="CZ11" i="38"/>
  <c r="BR10" i="38"/>
  <c r="DS8" i="38"/>
  <c r="DS96" i="38"/>
  <c r="BG8" i="38"/>
  <c r="BG96" i="38"/>
  <c r="BU10" i="38"/>
  <c r="CL10" i="38"/>
  <c r="CV10" i="38"/>
  <c r="CH10" i="38"/>
  <c r="CA18" i="38"/>
  <c r="AJ11" i="38"/>
  <c r="BV8" i="38"/>
  <c r="BV96" i="38"/>
  <c r="CS11" i="38"/>
  <c r="BG10" i="38"/>
  <c r="DQ8" i="38"/>
  <c r="DQ96" i="38"/>
  <c r="BE8" i="38"/>
  <c r="BE96" i="38"/>
  <c r="CQ18" i="38"/>
  <c r="AF11" i="38"/>
  <c r="AP10" i="38"/>
  <c r="CR8" i="38"/>
  <c r="CR96" i="38"/>
  <c r="AF8" i="38"/>
  <c r="AF96" i="38"/>
  <c r="DI11" i="38"/>
  <c r="BW10" i="38"/>
  <c r="DW8" i="38"/>
  <c r="DW96" i="38"/>
  <c r="BK8" i="38"/>
  <c r="BK96" i="38"/>
  <c r="DS18" i="38"/>
  <c r="CL11" i="38"/>
  <c r="DE11" i="38"/>
  <c r="CF11" i="38"/>
  <c r="DT18" i="38"/>
  <c r="AN11" i="38"/>
  <c r="CS10" i="38"/>
  <c r="DJ8" i="38"/>
  <c r="DJ96" i="38"/>
  <c r="AI10" i="38"/>
  <c r="R10" i="38"/>
  <c r="CY8" i="38"/>
  <c r="CY96" i="38"/>
  <c r="AH11" i="38"/>
  <c r="BJ11" i="38"/>
  <c r="M18" i="38"/>
  <c r="AK10" i="38"/>
  <c r="CW10" i="38"/>
  <c r="BC18" i="38"/>
  <c r="BY10" i="38"/>
  <c r="AO10" i="38"/>
  <c r="BP11" i="38"/>
  <c r="AQ18" i="38"/>
  <c r="BV11" i="38"/>
  <c r="S11" i="38"/>
  <c r="CE11" i="38"/>
  <c r="AC11" i="38"/>
  <c r="CO11" i="38"/>
  <c r="AL11" i="38"/>
  <c r="CX11" i="38"/>
  <c r="AU11" i="38"/>
  <c r="DG11" i="38"/>
  <c r="S18" i="38"/>
  <c r="AG18" i="38"/>
  <c r="CS18" i="38"/>
  <c r="AH18" i="38"/>
  <c r="CT18" i="38"/>
  <c r="AR18" i="38"/>
  <c r="DD18" i="38"/>
  <c r="BA18" i="38"/>
  <c r="DM18" i="38"/>
  <c r="BJ18" i="38"/>
  <c r="DV18" i="38"/>
  <c r="CC11" i="38"/>
  <c r="BI10" i="38"/>
  <c r="DK8" i="38"/>
  <c r="DK96" i="38"/>
  <c r="AY8" i="38"/>
  <c r="AY96" i="38"/>
  <c r="CC10" i="38"/>
  <c r="CT10" i="38"/>
  <c r="DD10" i="38"/>
  <c r="CP10" i="38"/>
  <c r="BD18" i="38"/>
  <c r="P11" i="38"/>
  <c r="BN8" i="38"/>
  <c r="BN96" i="38"/>
  <c r="DO18" i="38"/>
  <c r="BX11" i="38"/>
  <c r="AY10" i="38"/>
  <c r="DI8" i="38"/>
  <c r="DI96" i="38"/>
  <c r="AW8" i="38"/>
  <c r="AW96" i="38"/>
  <c r="BT18" i="38"/>
  <c r="DX10" i="38"/>
  <c r="AH10" i="38"/>
  <c r="CJ8" i="38"/>
  <c r="CJ96" i="38"/>
  <c r="X8" i="38"/>
  <c r="X96" i="38"/>
  <c r="CN11" i="38"/>
  <c r="BN10" i="38"/>
  <c r="DO8" i="38"/>
  <c r="DO96" i="38"/>
  <c r="BC8" i="38"/>
  <c r="BC96" i="38"/>
  <c r="T72" i="38"/>
  <c r="DS10" i="38"/>
  <c r="CY10" i="38"/>
  <c r="CG10" i="38"/>
  <c r="BV10" i="38"/>
  <c r="BL10" i="38"/>
  <c r="BD10" i="38"/>
  <c r="AV10" i="38"/>
  <c r="AN10" i="38"/>
  <c r="AF10" i="38"/>
  <c r="X10" i="38"/>
  <c r="P10" i="38"/>
  <c r="DW9" i="38"/>
  <c r="DO9" i="38"/>
  <c r="DG9" i="38"/>
  <c r="CY9" i="38"/>
  <c r="CQ9" i="38"/>
  <c r="CI9" i="38"/>
  <c r="CA9" i="38"/>
  <c r="BS9" i="38"/>
  <c r="BK9" i="38"/>
  <c r="BC9" i="38"/>
  <c r="AU9" i="38"/>
  <c r="AM9" i="38"/>
  <c r="AE9" i="38"/>
  <c r="W9" i="38"/>
  <c r="O9" i="38"/>
  <c r="DV8" i="38"/>
  <c r="DV96" i="38"/>
  <c r="DN8" i="38"/>
  <c r="DN96" i="38"/>
  <c r="DF8" i="38"/>
  <c r="DF96" i="38"/>
  <c r="CX8" i="38"/>
  <c r="CX96" i="38"/>
  <c r="CP8" i="38"/>
  <c r="CP96" i="38"/>
  <c r="CH8" i="38"/>
  <c r="CH96" i="38"/>
  <c r="BZ8" i="38"/>
  <c r="BZ96" i="38"/>
  <c r="BR8" i="38"/>
  <c r="BR96" i="38"/>
  <c r="BJ8" i="38"/>
  <c r="BJ96" i="38"/>
  <c r="BB8" i="38"/>
  <c r="BB96" i="38"/>
  <c r="AT8" i="38"/>
  <c r="AT96" i="38"/>
  <c r="AL8" i="38"/>
  <c r="AL96" i="38"/>
  <c r="AD8" i="38"/>
  <c r="AD96" i="38"/>
  <c r="V8" i="38"/>
  <c r="V96" i="38"/>
  <c r="N8" i="38"/>
  <c r="N96" i="38"/>
  <c r="DP10" i="38"/>
  <c r="CU10" i="38"/>
  <c r="CE10" i="38"/>
  <c r="BT10" i="38"/>
  <c r="BK10" i="38"/>
  <c r="BC10" i="38"/>
  <c r="AU10" i="38"/>
  <c r="AM10" i="38"/>
  <c r="AE10" i="38"/>
  <c r="W10" i="38"/>
  <c r="O10" i="38"/>
  <c r="DV9" i="38"/>
  <c r="DN9" i="38"/>
  <c r="DF9" i="38"/>
  <c r="CX9" i="38"/>
  <c r="CP9" i="38"/>
  <c r="CH9" i="38"/>
  <c r="BZ9" i="38"/>
  <c r="BR9" i="38"/>
  <c r="BJ9" i="38"/>
  <c r="BB9" i="38"/>
  <c r="AT9" i="38"/>
  <c r="AL9" i="38"/>
  <c r="AD9" i="38"/>
  <c r="V9" i="38"/>
  <c r="N9" i="38"/>
  <c r="DU8" i="38"/>
  <c r="DU96" i="38"/>
  <c r="DM8" i="38"/>
  <c r="DM96" i="38"/>
  <c r="DE8" i="38"/>
  <c r="DE96" i="38"/>
  <c r="CW8" i="38"/>
  <c r="CW96" i="38"/>
  <c r="CO8" i="38"/>
  <c r="CO96" i="38"/>
  <c r="CG8" i="38"/>
  <c r="CG96" i="38"/>
  <c r="BY8" i="38"/>
  <c r="BY96" i="38"/>
  <c r="BQ8" i="38"/>
  <c r="BQ96" i="38"/>
  <c r="BI8" i="38"/>
  <c r="BI96" i="38"/>
  <c r="BA8" i="38"/>
  <c r="BA96" i="38"/>
  <c r="AS8" i="38"/>
  <c r="AS96" i="38"/>
  <c r="AK8" i="38"/>
  <c r="AK96" i="38"/>
  <c r="AC8" i="38"/>
  <c r="AC96" i="38"/>
  <c r="U8" i="38"/>
  <c r="U96" i="38"/>
  <c r="M8" i="38"/>
  <c r="M96" i="38"/>
  <c r="DO10" i="38"/>
  <c r="CR10" i="38"/>
  <c r="CD10" i="38"/>
  <c r="BS10" i="38"/>
  <c r="BJ10" i="38"/>
  <c r="BB10" i="38"/>
  <c r="AT10" i="38"/>
  <c r="AL10" i="38"/>
  <c r="AD10" i="38"/>
  <c r="V10" i="38"/>
  <c r="N10" i="38"/>
  <c r="DU9" i="38"/>
  <c r="DM9" i="38"/>
  <c r="DE9" i="38"/>
  <c r="CW9" i="38"/>
  <c r="CO9" i="38"/>
  <c r="CG9" i="38"/>
  <c r="BY9" i="38"/>
  <c r="BQ9" i="38"/>
  <c r="BI9" i="38"/>
  <c r="BA9" i="38"/>
  <c r="AS9" i="38"/>
  <c r="AK9" i="38"/>
  <c r="AC9" i="38"/>
  <c r="U9" i="38"/>
  <c r="M9" i="38"/>
  <c r="DT8" i="38"/>
  <c r="DT96" i="38"/>
  <c r="DL8" i="38"/>
  <c r="DL96" i="38"/>
  <c r="DD8" i="38"/>
  <c r="DD96" i="38"/>
  <c r="CV8" i="38"/>
  <c r="CV96" i="38"/>
  <c r="CN8" i="38"/>
  <c r="CN96" i="38"/>
  <c r="CF8" i="38"/>
  <c r="CF96" i="38"/>
  <c r="BX8" i="38"/>
  <c r="BX96" i="38"/>
  <c r="BP8" i="38"/>
  <c r="BP96" i="38"/>
  <c r="BH8" i="38"/>
  <c r="BH96" i="38"/>
  <c r="AZ8" i="38"/>
  <c r="AZ96" i="38"/>
  <c r="AR8" i="38"/>
  <c r="AR96" i="38"/>
  <c r="AJ8" i="38"/>
  <c r="AJ96" i="38"/>
  <c r="AB8" i="38"/>
  <c r="AB96" i="38"/>
  <c r="T8" i="38"/>
  <c r="T96" i="38"/>
  <c r="L8" i="38"/>
  <c r="L96" i="38"/>
  <c r="DT9" i="38"/>
  <c r="DL9" i="38"/>
  <c r="DD9" i="38"/>
  <c r="CV9" i="38"/>
  <c r="CN9" i="38"/>
  <c r="CF9" i="38"/>
  <c r="BX9" i="38"/>
  <c r="BP9" i="38"/>
  <c r="BH9" i="38"/>
  <c r="AZ9" i="38"/>
  <c r="AR9" i="38"/>
  <c r="AJ9" i="38"/>
  <c r="AB9" i="38"/>
  <c r="T9" i="38"/>
  <c r="L9" i="38"/>
  <c r="DH10" i="38"/>
  <c r="CO10" i="38"/>
  <c r="CA10" i="38"/>
  <c r="BQ10" i="38"/>
  <c r="BH10" i="38"/>
  <c r="AZ10" i="38"/>
  <c r="AR10" i="38"/>
  <c r="AJ10" i="38"/>
  <c r="AB10" i="38"/>
  <c r="T10" i="38"/>
  <c r="L10" i="38"/>
  <c r="DS9" i="38"/>
  <c r="DK9" i="38"/>
  <c r="DC9" i="38"/>
  <c r="CU9" i="38"/>
  <c r="CM9" i="38"/>
  <c r="CE9" i="38"/>
  <c r="BW9" i="38"/>
  <c r="BO9" i="38"/>
  <c r="BG9" i="38"/>
  <c r="AY9" i="38"/>
  <c r="AQ9" i="38"/>
  <c r="AI9" i="38"/>
  <c r="AA9" i="38"/>
  <c r="S9" i="38"/>
  <c r="K9" i="38"/>
  <c r="DR9" i="38"/>
  <c r="DJ9" i="38"/>
  <c r="DB9" i="38"/>
  <c r="CT9" i="38"/>
  <c r="CL9" i="38"/>
  <c r="CD9" i="38"/>
  <c r="BV9" i="38"/>
  <c r="BN9" i="38"/>
  <c r="BF9" i="38"/>
  <c r="AX9" i="38"/>
  <c r="AP9" i="38"/>
  <c r="AH9" i="38"/>
  <c r="Z9" i="38"/>
  <c r="R9" i="38"/>
  <c r="DY9" i="38"/>
  <c r="DQ9" i="38"/>
  <c r="DI9" i="38"/>
  <c r="DA9" i="38"/>
  <c r="CS9" i="38"/>
  <c r="CK9" i="38"/>
  <c r="CC9" i="38"/>
  <c r="BU9" i="38"/>
  <c r="BM9" i="38"/>
  <c r="BE9" i="38"/>
  <c r="AW9" i="38"/>
  <c r="AO9" i="38"/>
  <c r="AG9" i="38"/>
  <c r="Y9" i="38"/>
  <c r="Q9" i="38"/>
  <c r="DX9" i="38"/>
  <c r="DP9" i="38"/>
  <c r="DH9" i="38"/>
  <c r="CZ9" i="38"/>
  <c r="CR9" i="38"/>
  <c r="CJ9" i="38"/>
  <c r="CB9" i="38"/>
  <c r="BT9" i="38"/>
  <c r="BL9" i="38"/>
  <c r="BD9" i="38"/>
  <c r="AV9" i="38"/>
  <c r="AN9" i="38"/>
  <c r="AF9" i="38"/>
  <c r="X9" i="38"/>
  <c r="P9" i="38"/>
  <c r="DC11" i="38"/>
  <c r="DW18" i="38"/>
  <c r="BE18" i="38"/>
  <c r="V18" i="38"/>
  <c r="CM8" i="38"/>
  <c r="CM96" i="38"/>
  <c r="DB8" i="38"/>
  <c r="DB96" i="38"/>
  <c r="CK8" i="38"/>
  <c r="CK96" i="38"/>
  <c r="AE8" i="38"/>
  <c r="AE96" i="38"/>
  <c r="DG18" i="38"/>
  <c r="AV11" i="38"/>
  <c r="W18" i="38"/>
  <c r="R11" i="38"/>
  <c r="CD11" i="38"/>
  <c r="AA11" i="38"/>
  <c r="CM11" i="38"/>
  <c r="AK11" i="38"/>
  <c r="CW11" i="38"/>
  <c r="AT11" i="38"/>
  <c r="DF11" i="38"/>
  <c r="BC11" i="38"/>
  <c r="DO11" i="38"/>
  <c r="DA11" i="38"/>
  <c r="AO18" i="38"/>
  <c r="DA18" i="38"/>
  <c r="AP18" i="38"/>
  <c r="DB18" i="38"/>
  <c r="AZ18" i="38"/>
  <c r="DL18" i="38"/>
  <c r="BI18" i="38"/>
  <c r="DU18" i="38"/>
  <c r="BR18" i="38"/>
  <c r="CY18" i="38"/>
  <c r="BH11" i="38"/>
  <c r="BA10" i="38"/>
  <c r="DC8" i="38"/>
  <c r="DC96" i="38"/>
  <c r="AQ8" i="38"/>
  <c r="AQ96" i="38"/>
  <c r="CK10" i="38"/>
  <c r="DB10" i="38"/>
  <c r="DL10" i="38"/>
  <c r="CX10" i="38"/>
  <c r="AI18" i="38"/>
  <c r="DR8" i="38"/>
  <c r="DR96" i="38"/>
  <c r="BF8" i="38"/>
  <c r="BF96" i="38"/>
  <c r="CR18" i="38"/>
  <c r="BD11" i="38"/>
  <c r="AQ10" i="38"/>
  <c r="DA8" i="38"/>
  <c r="DA96" i="38"/>
  <c r="AO8" i="38"/>
  <c r="AO96" i="38"/>
  <c r="AY18" i="38"/>
  <c r="DC10" i="38"/>
  <c r="Z10" i="38"/>
  <c r="CB8" i="38"/>
  <c r="CB96" i="38"/>
  <c r="P8" i="38"/>
  <c r="P96" i="38"/>
  <c r="BT11" i="38"/>
  <c r="BE10" i="38"/>
  <c r="DG8" i="38"/>
  <c r="DG96" i="38"/>
  <c r="AU8" i="38"/>
  <c r="AU96" i="38"/>
  <c r="DX11" i="38"/>
  <c r="AC89" i="38"/>
  <c r="AC75" i="38"/>
  <c r="CD89" i="38"/>
  <c r="CD75" i="38"/>
  <c r="AX89" i="38"/>
  <c r="AX75" i="38"/>
  <c r="DI89" i="38"/>
  <c r="DI75" i="38"/>
  <c r="AT89" i="38"/>
  <c r="AT75" i="38"/>
  <c r="U89" i="38"/>
  <c r="U75" i="38"/>
  <c r="BM89" i="38"/>
  <c r="BM75" i="38"/>
  <c r="BK89" i="38"/>
  <c r="BK75" i="38"/>
  <c r="L89" i="38"/>
  <c r="L75" i="38"/>
  <c r="Q89" i="38"/>
  <c r="Q75" i="38"/>
  <c r="BC89" i="38"/>
  <c r="BC75" i="38"/>
  <c r="DK89" i="38"/>
  <c r="DK75" i="38"/>
  <c r="BV89" i="38"/>
  <c r="BV75" i="38"/>
  <c r="AU89" i="38"/>
  <c r="AU75" i="38"/>
  <c r="AD89" i="38"/>
  <c r="AD75" i="38"/>
  <c r="BH89" i="38"/>
  <c r="BH75" i="38"/>
  <c r="DC89" i="38"/>
  <c r="DC75" i="38"/>
  <c r="AQ89" i="38"/>
  <c r="AQ75" i="38"/>
  <c r="AO89" i="38"/>
  <c r="AO75" i="38"/>
  <c r="CT89" i="38"/>
  <c r="CT75" i="38"/>
  <c r="BD89" i="38"/>
  <c r="BD75" i="38"/>
  <c r="BT89" i="38"/>
  <c r="BT75" i="38"/>
  <c r="CL89" i="38"/>
  <c r="CL75" i="38"/>
  <c r="CG89" i="38"/>
  <c r="CG75" i="38"/>
  <c r="BL89" i="38"/>
  <c r="BL75" i="38"/>
  <c r="AF89" i="38"/>
  <c r="AF75" i="38"/>
  <c r="CP89" i="38"/>
  <c r="CP75" i="38"/>
  <c r="CY89" i="38"/>
  <c r="CY75" i="38"/>
  <c r="V89" i="38"/>
  <c r="V75" i="38"/>
  <c r="BQ89" i="38"/>
  <c r="BQ75" i="38"/>
  <c r="DL89" i="38"/>
  <c r="DL75" i="38"/>
  <c r="AZ89" i="38"/>
  <c r="AZ75" i="38"/>
  <c r="CU89" i="38"/>
  <c r="CU75" i="38"/>
  <c r="AI89" i="38"/>
  <c r="AI75" i="38"/>
  <c r="R89" i="38"/>
  <c r="R75" i="38"/>
  <c r="CB89" i="38"/>
  <c r="CB75" i="38"/>
  <c r="AG89" i="38"/>
  <c r="AG75" i="38"/>
  <c r="CK89" i="38"/>
  <c r="CK75" i="38"/>
  <c r="X89" i="38"/>
  <c r="X75" i="38"/>
  <c r="CO89" i="38"/>
  <c r="CO75" i="38"/>
  <c r="BG89" i="38"/>
  <c r="BG75" i="38"/>
  <c r="CX89" i="38"/>
  <c r="CX75" i="38"/>
  <c r="AY89" i="38"/>
  <c r="AY75" i="38"/>
  <c r="M89" i="38"/>
  <c r="M75" i="38"/>
  <c r="AM89" i="38"/>
  <c r="AM75" i="38"/>
  <c r="CQ89" i="38"/>
  <c r="CQ75" i="38"/>
  <c r="AE89" i="38"/>
  <c r="AE75" i="38"/>
  <c r="BZ89" i="38"/>
  <c r="BZ75" i="38"/>
  <c r="N89" i="38"/>
  <c r="N75" i="38"/>
  <c r="BI89" i="38"/>
  <c r="BI75" i="38"/>
  <c r="DD89" i="38"/>
  <c r="DD75" i="38"/>
  <c r="AR89" i="38"/>
  <c r="AR75" i="38"/>
  <c r="CM89" i="38"/>
  <c r="CM75" i="38"/>
  <c r="AA89" i="38"/>
  <c r="AA75" i="38"/>
  <c r="CZ89" i="38"/>
  <c r="CZ75" i="38"/>
  <c r="BE89" i="38"/>
  <c r="BE75" i="38"/>
  <c r="J89" i="38"/>
  <c r="J75" i="38"/>
  <c r="Z89" i="38"/>
  <c r="Z75" i="38"/>
  <c r="DB89" i="38"/>
  <c r="DB75" i="38"/>
  <c r="DH89" i="38"/>
  <c r="DH75" i="38"/>
  <c r="W89" i="38"/>
  <c r="W75" i="38"/>
  <c r="BR89" i="38"/>
  <c r="BR75" i="38"/>
  <c r="DM89" i="38"/>
  <c r="DM75" i="38"/>
  <c r="BA89" i="38"/>
  <c r="BA75" i="38"/>
  <c r="CV89" i="38"/>
  <c r="CV75" i="38"/>
  <c r="AJ89" i="38"/>
  <c r="AJ75" i="38"/>
  <c r="CE89" i="38"/>
  <c r="CE75" i="38"/>
  <c r="S89" i="38"/>
  <c r="S75" i="38"/>
  <c r="CC89" i="38"/>
  <c r="CC75" i="38"/>
  <c r="AH89" i="38"/>
  <c r="AH75" i="38"/>
  <c r="DJ89" i="38"/>
  <c r="DJ75" i="38"/>
  <c r="AW89" i="38"/>
  <c r="AW75" i="38"/>
  <c r="DF89" i="38"/>
  <c r="DF75" i="38"/>
  <c r="BX89" i="38"/>
  <c r="BX75" i="38"/>
  <c r="CS89" i="38"/>
  <c r="CS75" i="38"/>
  <c r="AL89" i="38"/>
  <c r="AL75" i="38"/>
  <c r="BP89" i="38"/>
  <c r="BP75" i="38"/>
  <c r="DQ89" i="38"/>
  <c r="DQ75" i="38"/>
  <c r="DG89" i="38"/>
  <c r="DG75" i="38"/>
  <c r="BY89" i="38"/>
  <c r="BY75" i="38"/>
  <c r="CH89" i="38"/>
  <c r="CH75" i="38"/>
  <c r="CI89" i="38"/>
  <c r="CI75" i="38"/>
  <c r="CA89" i="38"/>
  <c r="CA75" i="38"/>
  <c r="BJ89" i="38"/>
  <c r="BJ75" i="38"/>
  <c r="AS89" i="38"/>
  <c r="AS75" i="38"/>
  <c r="AB89" i="38"/>
  <c r="AB75" i="38"/>
  <c r="BW89" i="38"/>
  <c r="BW75" i="38"/>
  <c r="BF89" i="38"/>
  <c r="BF75" i="38"/>
  <c r="P89" i="38"/>
  <c r="P75" i="38"/>
  <c r="CR89" i="38"/>
  <c r="CR75" i="38"/>
  <c r="CJ89" i="38"/>
  <c r="CJ75" i="38"/>
  <c r="BN89" i="38"/>
  <c r="BN75" i="38"/>
  <c r="AV89" i="38"/>
  <c r="AV75" i="38"/>
  <c r="O89" i="38"/>
  <c r="O75" i="38"/>
  <c r="DE89" i="38"/>
  <c r="DE75" i="38"/>
  <c r="CN89" i="38"/>
  <c r="CN75" i="38"/>
  <c r="BS89" i="38"/>
  <c r="BS75" i="38"/>
  <c r="DN89" i="38"/>
  <c r="DN75" i="38"/>
  <c r="BB89" i="38"/>
  <c r="BB75" i="38"/>
  <c r="CW89" i="38"/>
  <c r="CW75" i="38"/>
  <c r="AK89" i="38"/>
  <c r="AK75" i="38"/>
  <c r="CF89" i="38"/>
  <c r="CF75" i="38"/>
  <c r="T89" i="38"/>
  <c r="T75" i="38"/>
  <c r="BO89" i="38"/>
  <c r="BO75" i="38"/>
  <c r="DA89" i="38"/>
  <c r="DA75" i="38"/>
  <c r="AN89" i="38"/>
  <c r="AN75" i="38"/>
  <c r="DP89" i="38"/>
  <c r="DP75" i="38"/>
  <c r="BU89" i="38"/>
  <c r="BU75" i="38"/>
  <c r="Y89" i="38"/>
  <c r="Y75" i="38"/>
  <c r="AP89" i="38"/>
  <c r="AP75" i="38"/>
  <c r="K89" i="38"/>
  <c r="H85" i="38" a="1"/>
  <c r="H75" i="38"/>
  <c r="H17" i="38"/>
  <c r="BU45" i="38"/>
  <c r="DY72" i="38"/>
  <c r="BM72" i="38"/>
  <c r="DP45" i="38"/>
  <c r="BD45" i="38"/>
  <c r="DH72" i="38"/>
  <c r="AV72" i="38"/>
  <c r="CY45" i="38"/>
  <c r="AM45" i="38"/>
  <c r="CQ72" i="38"/>
  <c r="AE72" i="38"/>
  <c r="CH45" i="38"/>
  <c r="V45" i="38"/>
  <c r="BY45" i="38"/>
  <c r="M45" i="38"/>
  <c r="BQ72" i="38"/>
  <c r="DT45" i="38"/>
  <c r="BH45" i="38"/>
  <c r="DL72" i="38"/>
  <c r="AZ72" i="38"/>
  <c r="DY45" i="38"/>
  <c r="BM45" i="38"/>
  <c r="DQ72" i="38"/>
  <c r="BE72" i="38"/>
  <c r="DH45" i="38"/>
  <c r="AV45" i="38"/>
  <c r="CZ72" i="38"/>
  <c r="AN72" i="38"/>
  <c r="CQ45" i="38"/>
  <c r="AE45" i="38"/>
  <c r="CI72" i="38"/>
  <c r="W72" i="38"/>
  <c r="BZ45" i="38"/>
  <c r="N45" i="38"/>
  <c r="BQ45" i="38"/>
  <c r="DU72" i="38"/>
  <c r="BI72" i="38"/>
  <c r="DL45" i="38"/>
  <c r="AZ45" i="38"/>
  <c r="DD72" i="38"/>
  <c r="AR72" i="38"/>
  <c r="DQ45" i="38"/>
  <c r="DI72" i="38"/>
  <c r="CZ45" i="38"/>
  <c r="CR72" i="38"/>
  <c r="CI45" i="38"/>
  <c r="O72" i="38"/>
  <c r="DU45" i="38"/>
  <c r="BA72" i="38"/>
  <c r="AR45" i="38"/>
  <c r="CV72" i="38"/>
  <c r="AX45" i="38"/>
  <c r="AW45" i="38"/>
  <c r="DA72" i="38"/>
  <c r="AO72" i="38"/>
  <c r="CR45" i="38"/>
  <c r="AF45" i="38"/>
  <c r="CJ72" i="38"/>
  <c r="X72" i="38"/>
  <c r="CA45" i="38"/>
  <c r="O45" i="38"/>
  <c r="BS72" i="38"/>
  <c r="DV45" i="38"/>
  <c r="BJ45" i="38"/>
  <c r="DM45" i="38"/>
  <c r="BA45" i="38"/>
  <c r="DE72" i="38"/>
  <c r="AS72" i="38"/>
  <c r="CV45" i="38"/>
  <c r="AJ45" i="38"/>
  <c r="CN72" i="38"/>
  <c r="AB72" i="38"/>
  <c r="BV45" i="38"/>
  <c r="BN45" i="38"/>
  <c r="BF45" i="38"/>
  <c r="BE45" i="38"/>
  <c r="AW72" i="38"/>
  <c r="AN45" i="38"/>
  <c r="AF72" i="38"/>
  <c r="W45" i="38"/>
  <c r="CA72" i="38"/>
  <c r="BR45" i="38"/>
  <c r="BI45" i="38"/>
  <c r="DM72" i="38"/>
  <c r="DD45" i="38"/>
  <c r="AJ72" i="38"/>
  <c r="DJ45" i="38"/>
  <c r="DI45" i="38"/>
  <c r="DB45" i="38"/>
  <c r="AP45" i="38"/>
  <c r="DA45" i="38"/>
  <c r="AO45" i="38"/>
  <c r="CS72" i="38"/>
  <c r="AG72" i="38"/>
  <c r="CJ45" i="38"/>
  <c r="X45" i="38"/>
  <c r="CB72" i="38"/>
  <c r="P72" i="38"/>
  <c r="BS45" i="38"/>
  <c r="DW72" i="38"/>
  <c r="BK72" i="38"/>
  <c r="DN45" i="38"/>
  <c r="BB45" i="38"/>
  <c r="DE45" i="38"/>
  <c r="AS45" i="38"/>
  <c r="CW72" i="38"/>
  <c r="AK72" i="38"/>
  <c r="CN45" i="38"/>
  <c r="AB45" i="38"/>
  <c r="CF72" i="38"/>
  <c r="DR72" i="38"/>
  <c r="DJ72" i="38"/>
  <c r="DB72" i="38"/>
  <c r="CT72" i="38"/>
  <c r="CL72" i="38"/>
  <c r="CD72" i="38"/>
  <c r="BV72" i="38"/>
  <c r="BN72" i="38"/>
  <c r="BF72" i="38"/>
  <c r="AX72" i="38"/>
  <c r="AP72" i="38"/>
  <c r="AH72" i="38"/>
  <c r="Z72" i="38"/>
  <c r="R72" i="38"/>
  <c r="BW45" i="38"/>
  <c r="CM45" i="38"/>
  <c r="CE45" i="38"/>
  <c r="CU45" i="38"/>
  <c r="DV72" i="38"/>
  <c r="DN72" i="38"/>
  <c r="DF72" i="38"/>
  <c r="CX72" i="38"/>
  <c r="CP72" i="38"/>
  <c r="CH72" i="38"/>
  <c r="BZ72" i="38"/>
  <c r="BR72" i="38"/>
  <c r="BJ72" i="38"/>
  <c r="BB72" i="38"/>
  <c r="AT72" i="38"/>
  <c r="AL72" i="38"/>
  <c r="AD72" i="38"/>
  <c r="V72" i="38"/>
  <c r="N72" i="38"/>
  <c r="DC45" i="38"/>
  <c r="DK45" i="38"/>
  <c r="BO45" i="38"/>
  <c r="AY45" i="38"/>
  <c r="AI45" i="38"/>
  <c r="AA45" i="38"/>
  <c r="K45" i="38"/>
  <c r="DC72" i="38"/>
  <c r="CE72" i="38"/>
  <c r="BO72" i="38"/>
  <c r="AY72" i="38"/>
  <c r="AI72" i="38"/>
  <c r="S72" i="38"/>
  <c r="DS45" i="38"/>
  <c r="BG45" i="38"/>
  <c r="AQ45" i="38"/>
  <c r="S45" i="38"/>
  <c r="DS72" i="38"/>
  <c r="DK72" i="38"/>
  <c r="CU72" i="38"/>
  <c r="CM72" i="38"/>
  <c r="BW72" i="38"/>
  <c r="BG72" i="38"/>
  <c r="AQ72" i="38"/>
  <c r="AA72" i="38"/>
  <c r="K72" i="38"/>
  <c r="Z45" i="38"/>
  <c r="CC72" i="38"/>
  <c r="BT45" i="38"/>
  <c r="BL72" i="38"/>
  <c r="BC45" i="38"/>
  <c r="AU72" i="38"/>
  <c r="CX45" i="38"/>
  <c r="AL45" i="38"/>
  <c r="CO45" i="38"/>
  <c r="AC45" i="38"/>
  <c r="CG72" i="38"/>
  <c r="U72" i="38"/>
  <c r="BX45" i="38"/>
  <c r="L45" i="38"/>
  <c r="BP72" i="38"/>
  <c r="CT45" i="38"/>
  <c r="AH45" i="38"/>
  <c r="CS45" i="38"/>
  <c r="AG45" i="38"/>
  <c r="CK72" i="38"/>
  <c r="Y72" i="38"/>
  <c r="CB45" i="38"/>
  <c r="P45" i="38"/>
  <c r="BT72" i="38"/>
  <c r="DW45" i="38"/>
  <c r="BK45" i="38"/>
  <c r="DO72" i="38"/>
  <c r="BC72" i="38"/>
  <c r="DF45" i="38"/>
  <c r="AT45" i="38"/>
  <c r="CW45" i="38"/>
  <c r="AK45" i="38"/>
  <c r="CO72" i="38"/>
  <c r="AC72" i="38"/>
  <c r="CF45" i="38"/>
  <c r="T45" i="38"/>
  <c r="BX72" i="38"/>
  <c r="L72" i="38"/>
  <c r="CL45" i="38"/>
  <c r="CK45" i="38"/>
  <c r="Y45" i="38"/>
  <c r="Q72" i="38"/>
  <c r="DX72" i="38"/>
  <c r="DO45" i="38"/>
  <c r="DG72" i="38"/>
  <c r="CD45" i="38"/>
  <c r="R45" i="38"/>
  <c r="CC45" i="38"/>
  <c r="Q45" i="38"/>
  <c r="BU72" i="38"/>
  <c r="DX45" i="38"/>
  <c r="BL45" i="38"/>
  <c r="DP72" i="38"/>
  <c r="BD72" i="38"/>
  <c r="DG45" i="38"/>
  <c r="AU45" i="38"/>
  <c r="CY72" i="38"/>
  <c r="AM72" i="38"/>
  <c r="CP45" i="38"/>
  <c r="AD45" i="38"/>
  <c r="CG45" i="38"/>
  <c r="U45" i="38"/>
  <c r="BY72" i="38"/>
  <c r="M72" i="38"/>
  <c r="BP45" i="38"/>
  <c r="DT72" i="38"/>
  <c r="BH72" i="38"/>
  <c r="DR45" i="38"/>
  <c r="DR40" i="37"/>
  <c r="DJ40" i="37"/>
  <c r="DB40" i="37"/>
  <c r="CT40" i="37"/>
  <c r="CL40" i="37"/>
  <c r="CD40" i="37"/>
  <c r="BV40" i="37"/>
  <c r="BN40" i="37"/>
  <c r="BF40" i="37"/>
  <c r="AX40" i="37"/>
  <c r="AP40" i="37"/>
  <c r="AH40" i="37"/>
  <c r="Z40" i="37"/>
  <c r="R40" i="37"/>
  <c r="CM40" i="37"/>
  <c r="DY40" i="37"/>
  <c r="DQ40" i="37"/>
  <c r="DI40" i="37"/>
  <c r="DA40" i="37"/>
  <c r="CS40" i="37"/>
  <c r="CK40" i="37"/>
  <c r="CC40" i="37"/>
  <c r="BU40" i="37"/>
  <c r="BM40" i="37"/>
  <c r="BE40" i="37"/>
  <c r="AW40" i="37"/>
  <c r="AO40" i="37"/>
  <c r="AG40" i="37"/>
  <c r="Y40" i="37"/>
  <c r="Q40" i="37"/>
  <c r="CU40" i="37"/>
  <c r="DX40" i="37"/>
  <c r="DP40" i="37"/>
  <c r="DH40" i="37"/>
  <c r="CZ40" i="37"/>
  <c r="CR40" i="37"/>
  <c r="CJ40" i="37"/>
  <c r="CB40" i="37"/>
  <c r="BT40" i="37"/>
  <c r="BL40" i="37"/>
  <c r="BD40" i="37"/>
  <c r="AV40" i="37"/>
  <c r="AN40" i="37"/>
  <c r="AF40" i="37"/>
  <c r="X40" i="37"/>
  <c r="P40" i="37"/>
  <c r="CV40" i="37"/>
  <c r="DS40" i="37"/>
  <c r="DW40" i="37"/>
  <c r="DO40" i="37"/>
  <c r="DG40" i="37"/>
  <c r="CY40" i="37"/>
  <c r="CQ40" i="37"/>
  <c r="CI40" i="37"/>
  <c r="CA40" i="37"/>
  <c r="BS40" i="37"/>
  <c r="BK40" i="37"/>
  <c r="BC40" i="37"/>
  <c r="AU40" i="37"/>
  <c r="AM40" i="37"/>
  <c r="AE40" i="37"/>
  <c r="W40" i="37"/>
  <c r="O40" i="37"/>
  <c r="DL40" i="37"/>
  <c r="CN40" i="37"/>
  <c r="BX40" i="37"/>
  <c r="BH40" i="37"/>
  <c r="AR40" i="37"/>
  <c r="AB40" i="37"/>
  <c r="L40" i="37"/>
  <c r="DK40" i="37"/>
  <c r="CE40" i="37"/>
  <c r="BG40" i="37"/>
  <c r="AQ40" i="37"/>
  <c r="AI40" i="37"/>
  <c r="S40" i="37"/>
  <c r="DV40" i="37"/>
  <c r="DN40" i="37"/>
  <c r="DF40" i="37"/>
  <c r="CX40" i="37"/>
  <c r="CP40" i="37"/>
  <c r="CH40" i="37"/>
  <c r="BZ40" i="37"/>
  <c r="BR40" i="37"/>
  <c r="BJ40" i="37"/>
  <c r="BB40" i="37"/>
  <c r="AT40" i="37"/>
  <c r="AL40" i="37"/>
  <c r="AD40" i="37"/>
  <c r="V40" i="37"/>
  <c r="N40" i="37"/>
  <c r="DD40" i="37"/>
  <c r="CF40" i="37"/>
  <c r="BP40" i="37"/>
  <c r="AZ40" i="37"/>
  <c r="AJ40" i="37"/>
  <c r="T40" i="37"/>
  <c r="DC40" i="37"/>
  <c r="BW40" i="37"/>
  <c r="BO40" i="37"/>
  <c r="AY40" i="37"/>
  <c r="AA40" i="37"/>
  <c r="K40" i="37"/>
  <c r="DU40" i="37"/>
  <c r="DM40" i="37"/>
  <c r="DE40" i="37"/>
  <c r="CW40" i="37"/>
  <c r="CO40" i="37"/>
  <c r="CG40" i="37"/>
  <c r="BY40" i="37"/>
  <c r="BQ40" i="37"/>
  <c r="BI40" i="37"/>
  <c r="BA40" i="37"/>
  <c r="AS40" i="37"/>
  <c r="AK40" i="37"/>
  <c r="AC40" i="37"/>
  <c r="U40" i="37"/>
  <c r="M40" i="37"/>
  <c r="DT40" i="37"/>
  <c r="J15" i="37" a="1"/>
  <c r="H14" i="37" a="1"/>
  <c r="H89" i="38" a="1"/>
  <c r="J9" i="38"/>
  <c r="J11" i="38"/>
  <c r="J8" i="38"/>
  <c r="J96" i="38"/>
  <c r="J10" i="38"/>
  <c r="J18" i="38"/>
  <c r="H18" i="38" a="1"/>
  <c r="CG37" i="38"/>
  <c r="CG38" i="38"/>
  <c r="CG49" i="38"/>
  <c r="CG14" i="38"/>
  <c r="AY37" i="38"/>
  <c r="AY38" i="38"/>
  <c r="AY49" i="38"/>
  <c r="AY14" i="38"/>
  <c r="CF37" i="38"/>
  <c r="CF38" i="38"/>
  <c r="CF51" i="38"/>
  <c r="CF49" i="38"/>
  <c r="CF14" i="38"/>
  <c r="BJ49" i="38"/>
  <c r="BJ14" i="38"/>
  <c r="BJ37" i="38"/>
  <c r="BJ38" i="38"/>
  <c r="BJ51" i="38"/>
  <c r="DV49" i="38"/>
  <c r="DV14" i="38"/>
  <c r="DV37" i="38"/>
  <c r="DV38" i="38"/>
  <c r="DV39" i="38"/>
  <c r="DV50" i="38"/>
  <c r="DV15" i="38"/>
  <c r="AB49" i="38"/>
  <c r="AB14" i="38"/>
  <c r="AB37" i="38"/>
  <c r="AB38" i="38"/>
  <c r="AB51" i="38"/>
  <c r="AE49" i="38"/>
  <c r="AE14" i="38"/>
  <c r="AE37" i="38"/>
  <c r="AE38" i="38"/>
  <c r="AE51" i="38"/>
  <c r="CQ49" i="38"/>
  <c r="CQ14" i="38"/>
  <c r="CQ37" i="38"/>
  <c r="CQ38" i="38"/>
  <c r="CQ51" i="38"/>
  <c r="X49" i="38"/>
  <c r="X14" i="38"/>
  <c r="X37" i="38"/>
  <c r="X38" i="38"/>
  <c r="X51" i="38"/>
  <c r="CJ49" i="38"/>
  <c r="CJ14" i="38"/>
  <c r="CJ37" i="38"/>
  <c r="CJ38" i="38"/>
  <c r="CJ51" i="38"/>
  <c r="Y37" i="38"/>
  <c r="Y38" i="38"/>
  <c r="Y51" i="38"/>
  <c r="Y49" i="38"/>
  <c r="Y14" i="38"/>
  <c r="R37" i="38"/>
  <c r="R38" i="38"/>
  <c r="R49" i="38"/>
  <c r="R14" i="38"/>
  <c r="CD49" i="38"/>
  <c r="CD14" i="38"/>
  <c r="CD37" i="38"/>
  <c r="CD38" i="38"/>
  <c r="CD51" i="38"/>
  <c r="CO37" i="38"/>
  <c r="CO38" i="38"/>
  <c r="CO51" i="38"/>
  <c r="CO49" i="38"/>
  <c r="CO14" i="38"/>
  <c r="BO37" i="38"/>
  <c r="BO38" i="38"/>
  <c r="BO49" i="38"/>
  <c r="BO14" i="38"/>
  <c r="DD49" i="38"/>
  <c r="DD14" i="38"/>
  <c r="DD37" i="38"/>
  <c r="DD38" i="38"/>
  <c r="DD51" i="38"/>
  <c r="BR49" i="38"/>
  <c r="BR14" i="38"/>
  <c r="BR37" i="38"/>
  <c r="BR38" i="38"/>
  <c r="S49" i="38"/>
  <c r="S14" i="38"/>
  <c r="S37" i="38"/>
  <c r="S38" i="38"/>
  <c r="S51" i="38"/>
  <c r="AR49" i="38"/>
  <c r="AR14" i="38"/>
  <c r="AR37" i="38"/>
  <c r="AR38" i="38"/>
  <c r="AR51" i="38"/>
  <c r="AM49" i="38"/>
  <c r="AM14" i="38"/>
  <c r="AM37" i="38"/>
  <c r="AM38" i="38"/>
  <c r="AM51" i="38"/>
  <c r="CY49" i="38"/>
  <c r="CY14" i="38"/>
  <c r="CY37" i="38"/>
  <c r="CY38" i="38"/>
  <c r="CY51" i="38"/>
  <c r="AF49" i="38"/>
  <c r="AF14" i="38"/>
  <c r="AF37" i="38"/>
  <c r="AF38" i="38"/>
  <c r="AF51" i="38"/>
  <c r="CR49" i="38"/>
  <c r="CR14" i="38"/>
  <c r="CR37" i="38"/>
  <c r="CR38" i="38"/>
  <c r="CR51" i="38"/>
  <c r="AG49" i="38"/>
  <c r="AG14" i="38"/>
  <c r="AG37" i="38"/>
  <c r="AG38" i="38"/>
  <c r="AG51" i="38"/>
  <c r="CS49" i="38"/>
  <c r="CS14" i="38"/>
  <c r="CS37" i="38"/>
  <c r="CS38" i="38"/>
  <c r="CS39" i="38"/>
  <c r="CS50" i="38"/>
  <c r="CS15" i="38"/>
  <c r="Z37" i="38"/>
  <c r="Z38" i="38"/>
  <c r="Z49" i="38"/>
  <c r="Z14" i="38"/>
  <c r="CL49" i="38"/>
  <c r="CL14" i="38"/>
  <c r="CL37" i="38"/>
  <c r="CL38" i="38"/>
  <c r="CW37" i="38"/>
  <c r="CW38" i="38"/>
  <c r="CW49" i="38"/>
  <c r="CW14" i="38"/>
  <c r="BW49" i="38"/>
  <c r="BW14" i="38"/>
  <c r="BW37" i="38"/>
  <c r="BW38" i="38"/>
  <c r="BW51" i="38"/>
  <c r="N49" i="38"/>
  <c r="N14" i="38"/>
  <c r="N37" i="38"/>
  <c r="N38" i="38"/>
  <c r="N51" i="38"/>
  <c r="BZ49" i="38"/>
  <c r="BZ14" i="38"/>
  <c r="BZ37" i="38"/>
  <c r="BZ38" i="38"/>
  <c r="BZ51" i="38"/>
  <c r="AI37" i="38"/>
  <c r="AI38" i="38"/>
  <c r="AI49" i="38"/>
  <c r="AI14" i="38"/>
  <c r="BH37" i="38"/>
  <c r="BH38" i="38"/>
  <c r="BH49" i="38"/>
  <c r="BH14" i="38"/>
  <c r="AU49" i="38"/>
  <c r="AU14" i="38"/>
  <c r="AU37" i="38"/>
  <c r="AU38" i="38"/>
  <c r="AU51" i="38"/>
  <c r="DG49" i="38"/>
  <c r="DG14" i="38"/>
  <c r="DG37" i="38"/>
  <c r="DG38" i="38"/>
  <c r="DG51" i="38"/>
  <c r="AN49" i="38"/>
  <c r="AN14" i="38"/>
  <c r="AN37" i="38"/>
  <c r="AN38" i="38"/>
  <c r="AN51" i="38"/>
  <c r="CZ49" i="38"/>
  <c r="CZ14" i="38"/>
  <c r="CZ37" i="38"/>
  <c r="CZ38" i="38"/>
  <c r="AO49" i="38"/>
  <c r="AO14" i="38"/>
  <c r="AO37" i="38"/>
  <c r="AO38" i="38"/>
  <c r="AO51" i="38"/>
  <c r="DA49" i="38"/>
  <c r="DA14" i="38"/>
  <c r="DA37" i="38"/>
  <c r="DA38" i="38"/>
  <c r="DA51" i="38"/>
  <c r="AH37" i="38"/>
  <c r="AH38" i="38"/>
  <c r="AH49" i="38"/>
  <c r="AH14" i="38"/>
  <c r="CT49" i="38"/>
  <c r="CT14" i="38"/>
  <c r="CT37" i="38"/>
  <c r="CT38" i="38"/>
  <c r="CT51" i="38"/>
  <c r="AK49" i="38"/>
  <c r="AK14" i="38"/>
  <c r="AK37" i="38"/>
  <c r="AK38" i="38"/>
  <c r="AK51" i="38"/>
  <c r="DE37" i="38"/>
  <c r="DE38" i="38"/>
  <c r="DE51" i="38"/>
  <c r="DE49" i="38"/>
  <c r="DE14" i="38"/>
  <c r="DC49" i="38"/>
  <c r="DC14" i="38"/>
  <c r="DC37" i="38"/>
  <c r="DC38" i="38"/>
  <c r="DC51" i="38"/>
  <c r="V49" i="38"/>
  <c r="V14" i="38"/>
  <c r="V37" i="38"/>
  <c r="V38" i="38"/>
  <c r="CH49" i="38"/>
  <c r="CH14" i="38"/>
  <c r="CH37" i="38"/>
  <c r="CH38" i="38"/>
  <c r="CH51" i="38"/>
  <c r="AQ37" i="38"/>
  <c r="AQ38" i="38"/>
  <c r="AQ51" i="38"/>
  <c r="AQ49" i="38"/>
  <c r="AQ14" i="38"/>
  <c r="BX37" i="38"/>
  <c r="BX38" i="38"/>
  <c r="BX49" i="38"/>
  <c r="BX14" i="38"/>
  <c r="BC49" i="38"/>
  <c r="BC14" i="38"/>
  <c r="BC37" i="38"/>
  <c r="BC38" i="38"/>
  <c r="BC51" i="38"/>
  <c r="DO49" i="38"/>
  <c r="DO14" i="38"/>
  <c r="DO37" i="38"/>
  <c r="DO38" i="38"/>
  <c r="DO51" i="38"/>
  <c r="AV49" i="38"/>
  <c r="AV14" i="38"/>
  <c r="AV37" i="38"/>
  <c r="AV38" i="38"/>
  <c r="AV51" i="38"/>
  <c r="DH49" i="38"/>
  <c r="DH14" i="38"/>
  <c r="DH37" i="38"/>
  <c r="DH38" i="38"/>
  <c r="DH51" i="38"/>
  <c r="DI49" i="38"/>
  <c r="DI14" i="38"/>
  <c r="DI37" i="38"/>
  <c r="DI38" i="38"/>
  <c r="AP37" i="38"/>
  <c r="AP38" i="38"/>
  <c r="AP51" i="38"/>
  <c r="AP49" i="38"/>
  <c r="AP14" i="38"/>
  <c r="DB49" i="38"/>
  <c r="DB14" i="38"/>
  <c r="DB37" i="38"/>
  <c r="DB38" i="38"/>
  <c r="DB51" i="38"/>
  <c r="BA49" i="38"/>
  <c r="BA14" i="38"/>
  <c r="BA37" i="38"/>
  <c r="BA38" i="38"/>
  <c r="BA51" i="38"/>
  <c r="DM37" i="38"/>
  <c r="DM38" i="38"/>
  <c r="DM49" i="38"/>
  <c r="DM14" i="38"/>
  <c r="T49" i="38"/>
  <c r="T14" i="38"/>
  <c r="T37" i="38"/>
  <c r="T38" i="38"/>
  <c r="T51" i="38"/>
  <c r="AD49" i="38"/>
  <c r="AD14" i="38"/>
  <c r="AD37" i="38"/>
  <c r="AD38" i="38"/>
  <c r="AD51" i="38"/>
  <c r="CP37" i="38"/>
  <c r="CP38" i="38"/>
  <c r="CP51" i="38"/>
  <c r="CP49" i="38"/>
  <c r="CP14" i="38"/>
  <c r="BG37" i="38"/>
  <c r="BG38" i="38"/>
  <c r="BG49" i="38"/>
  <c r="BG14" i="38"/>
  <c r="CN49" i="38"/>
  <c r="CN14" i="38"/>
  <c r="CN37" i="38"/>
  <c r="CN38" i="38"/>
  <c r="CN51" i="38"/>
  <c r="BK49" i="38"/>
  <c r="BK14" i="38"/>
  <c r="BK37" i="38"/>
  <c r="BK38" i="38"/>
  <c r="BK51" i="38"/>
  <c r="DW49" i="38"/>
  <c r="DW14" i="38"/>
  <c r="DW37" i="38"/>
  <c r="DW38" i="38"/>
  <c r="DW51" i="38"/>
  <c r="BD49" i="38"/>
  <c r="BD14" i="38"/>
  <c r="BD37" i="38"/>
  <c r="BD38" i="38"/>
  <c r="BD51" i="38"/>
  <c r="DP49" i="38"/>
  <c r="DP14" i="38"/>
  <c r="DP37" i="38"/>
  <c r="DP38" i="38"/>
  <c r="DP51" i="38"/>
  <c r="BE49" i="38"/>
  <c r="BE14" i="38"/>
  <c r="BE37" i="38"/>
  <c r="BE38" i="38"/>
  <c r="BE51" i="38"/>
  <c r="DQ49" i="38"/>
  <c r="DQ14" i="38"/>
  <c r="DQ37" i="38"/>
  <c r="DQ38" i="38"/>
  <c r="DQ51" i="38"/>
  <c r="AX49" i="38"/>
  <c r="AX14" i="38"/>
  <c r="AX37" i="38"/>
  <c r="AX38" i="38"/>
  <c r="AX39" i="38"/>
  <c r="AX50" i="38"/>
  <c r="AX15" i="38"/>
  <c r="DJ49" i="38"/>
  <c r="DJ14" i="38"/>
  <c r="DJ37" i="38"/>
  <c r="DJ38" i="38"/>
  <c r="DJ51" i="38"/>
  <c r="AS49" i="38"/>
  <c r="AS14" i="38"/>
  <c r="AS37" i="38"/>
  <c r="AS38" i="38"/>
  <c r="AS51" i="38"/>
  <c r="BI49" i="38"/>
  <c r="BI14" i="38"/>
  <c r="BI37" i="38"/>
  <c r="BI38" i="38"/>
  <c r="BI51" i="38"/>
  <c r="DU37" i="38"/>
  <c r="DU38" i="38"/>
  <c r="DU51" i="38"/>
  <c r="DU49" i="38"/>
  <c r="DU14" i="38"/>
  <c r="AJ49" i="38"/>
  <c r="AJ14" i="38"/>
  <c r="AJ37" i="38"/>
  <c r="AJ38" i="38"/>
  <c r="AJ51" i="38"/>
  <c r="AL49" i="38"/>
  <c r="AL14" i="38"/>
  <c r="AL37" i="38"/>
  <c r="AL38" i="38"/>
  <c r="AL51" i="38"/>
  <c r="CX37" i="38"/>
  <c r="CX38" i="38"/>
  <c r="CX49" i="38"/>
  <c r="CX14" i="38"/>
  <c r="CE49" i="38"/>
  <c r="CE14" i="38"/>
  <c r="CE37" i="38"/>
  <c r="CE38" i="38"/>
  <c r="CE51" i="38"/>
  <c r="DL49" i="38"/>
  <c r="DL14" i="38"/>
  <c r="DL37" i="38"/>
  <c r="DL38" i="38"/>
  <c r="DL51" i="38"/>
  <c r="BS49" i="38"/>
  <c r="BS14" i="38"/>
  <c r="BS37" i="38"/>
  <c r="BS38" i="38"/>
  <c r="BS51" i="38"/>
  <c r="DS49" i="38"/>
  <c r="DS14" i="38"/>
  <c r="DS37" i="38"/>
  <c r="BL49" i="38"/>
  <c r="BL14" i="38"/>
  <c r="BL37" i="38"/>
  <c r="BL38" i="38"/>
  <c r="DX49" i="38"/>
  <c r="DX14" i="38"/>
  <c r="DX37" i="38"/>
  <c r="DX38" i="38"/>
  <c r="DX51" i="38"/>
  <c r="BM49" i="38"/>
  <c r="BM14" i="38"/>
  <c r="BM37" i="38"/>
  <c r="BM38" i="38"/>
  <c r="BM51" i="38"/>
  <c r="DY49" i="38"/>
  <c r="DY14" i="38"/>
  <c r="DY37" i="38"/>
  <c r="DY38" i="38"/>
  <c r="DY51" i="38"/>
  <c r="BF49" i="38"/>
  <c r="BF14" i="38"/>
  <c r="BF37" i="38"/>
  <c r="BF38" i="38"/>
  <c r="BF39" i="38"/>
  <c r="BF50" i="38"/>
  <c r="BF15" i="38"/>
  <c r="DR49" i="38"/>
  <c r="DR14" i="38"/>
  <c r="DR37" i="38"/>
  <c r="DR38" i="38"/>
  <c r="DR51" i="38"/>
  <c r="U49" i="38"/>
  <c r="U14" i="38"/>
  <c r="U37" i="38"/>
  <c r="U38" i="38"/>
  <c r="U51" i="38"/>
  <c r="DT49" i="38"/>
  <c r="DT14" i="38"/>
  <c r="DT37" i="38"/>
  <c r="DT38" i="38"/>
  <c r="DT51" i="38"/>
  <c r="K49" i="38"/>
  <c r="K14" i="38"/>
  <c r="K37" i="38"/>
  <c r="K38" i="38"/>
  <c r="K51" i="38"/>
  <c r="AZ37" i="38"/>
  <c r="AZ38" i="38"/>
  <c r="AZ51" i="38"/>
  <c r="AZ49" i="38"/>
  <c r="AZ14" i="38"/>
  <c r="AT49" i="38"/>
  <c r="AT14" i="38"/>
  <c r="AT37" i="38"/>
  <c r="AT38" i="38"/>
  <c r="AT39" i="38"/>
  <c r="AT50" i="38"/>
  <c r="AT15" i="38"/>
  <c r="DF37" i="38"/>
  <c r="DF38" i="38"/>
  <c r="DF49" i="38"/>
  <c r="DF14" i="38"/>
  <c r="DK49" i="38"/>
  <c r="DK14" i="38"/>
  <c r="DK37" i="38"/>
  <c r="DK38" i="38"/>
  <c r="DK51" i="38"/>
  <c r="O49" i="38"/>
  <c r="O14" i="38"/>
  <c r="O37" i="38"/>
  <c r="O38" i="38"/>
  <c r="O51" i="38"/>
  <c r="CA49" i="38"/>
  <c r="CA14" i="38"/>
  <c r="CA37" i="38"/>
  <c r="CA38" i="38"/>
  <c r="CA51" i="38"/>
  <c r="CV49" i="38"/>
  <c r="CV14" i="38"/>
  <c r="CV37" i="38"/>
  <c r="CV38" i="38"/>
  <c r="CV51" i="38"/>
  <c r="BT49" i="38"/>
  <c r="BT14" i="38"/>
  <c r="BT37" i="38"/>
  <c r="BT38" i="38"/>
  <c r="BT51" i="38"/>
  <c r="CU49" i="38"/>
  <c r="CU14" i="38"/>
  <c r="CU37" i="38"/>
  <c r="CU38" i="38"/>
  <c r="CU51" i="38"/>
  <c r="BU49" i="38"/>
  <c r="BU14" i="38"/>
  <c r="BU37" i="38"/>
  <c r="BU38" i="38"/>
  <c r="BU51" i="38"/>
  <c r="CM49" i="38"/>
  <c r="CM14" i="38"/>
  <c r="CM37" i="38"/>
  <c r="CM38" i="38"/>
  <c r="CM51" i="38"/>
  <c r="BN49" i="38"/>
  <c r="BN14" i="38"/>
  <c r="BN37" i="38"/>
  <c r="BN38" i="38"/>
  <c r="BN51" i="38"/>
  <c r="M49" i="38"/>
  <c r="M14" i="38"/>
  <c r="M37" i="38"/>
  <c r="M38" i="38"/>
  <c r="M51" i="38"/>
  <c r="BY37" i="38"/>
  <c r="BY38" i="38"/>
  <c r="BY49" i="38"/>
  <c r="BY14" i="38"/>
  <c r="AA49" i="38"/>
  <c r="AA14" i="38"/>
  <c r="AA37" i="38"/>
  <c r="AA38" i="38"/>
  <c r="AA51" i="38"/>
  <c r="BP37" i="38"/>
  <c r="BP38" i="38"/>
  <c r="BP49" i="38"/>
  <c r="BP14" i="38"/>
  <c r="BB49" i="38"/>
  <c r="BB14" i="38"/>
  <c r="BB37" i="38"/>
  <c r="BB38" i="38"/>
  <c r="BB51" i="38"/>
  <c r="DN37" i="38"/>
  <c r="DN38" i="38"/>
  <c r="DN51" i="38"/>
  <c r="DN49" i="38"/>
  <c r="DN14" i="38"/>
  <c r="L49" i="38"/>
  <c r="L14" i="38"/>
  <c r="L37" i="38"/>
  <c r="L38" i="38"/>
  <c r="L51" i="38"/>
  <c r="W49" i="38"/>
  <c r="W14" i="38"/>
  <c r="W37" i="38"/>
  <c r="W38" i="38"/>
  <c r="W51" i="38"/>
  <c r="CI49" i="38"/>
  <c r="CI14" i="38"/>
  <c r="CI37" i="38"/>
  <c r="CI38" i="38"/>
  <c r="CI51" i="38"/>
  <c r="P49" i="38"/>
  <c r="P14" i="38"/>
  <c r="P37" i="38"/>
  <c r="P38" i="38"/>
  <c r="P51" i="38"/>
  <c r="CB49" i="38"/>
  <c r="CB14" i="38"/>
  <c r="CB37" i="38"/>
  <c r="CB38" i="38"/>
  <c r="CB39" i="38"/>
  <c r="CB50" i="38"/>
  <c r="CB15" i="38"/>
  <c r="Q37" i="38"/>
  <c r="Q38" i="38"/>
  <c r="Q51" i="38"/>
  <c r="Q49" i="38"/>
  <c r="Q14" i="38"/>
  <c r="CC49" i="38"/>
  <c r="CC14" i="38"/>
  <c r="CC37" i="38"/>
  <c r="CC38" i="38"/>
  <c r="CC51" i="38"/>
  <c r="BV49" i="38"/>
  <c r="BV14" i="38"/>
  <c r="BV37" i="38"/>
  <c r="BV38" i="38"/>
  <c r="BV51" i="38"/>
  <c r="J72" i="38"/>
  <c r="J45" i="38"/>
  <c r="CP39" i="38"/>
  <c r="CP50" i="38"/>
  <c r="CP15" i="38"/>
  <c r="AI51" i="38"/>
  <c r="AI39" i="38"/>
  <c r="AI50" i="38"/>
  <c r="AI15" i="38"/>
  <c r="CS51" i="38"/>
  <c r="CZ51" i="38"/>
  <c r="AH51" i="38"/>
  <c r="AH39" i="38"/>
  <c r="AH50" i="38"/>
  <c r="AH15" i="38"/>
  <c r="BG51" i="38"/>
  <c r="BG39" i="38"/>
  <c r="BG50" i="38"/>
  <c r="BG15" i="38"/>
  <c r="CD39" i="38"/>
  <c r="CD50" i="38"/>
  <c r="CD15" i="38"/>
  <c r="DM51" i="38"/>
  <c r="CO39" i="38"/>
  <c r="CO50" i="38"/>
  <c r="CO15" i="38"/>
  <c r="J7" i="38" a="1"/>
  <c r="J33" i="38"/>
  <c r="J34" i="38"/>
  <c r="X39" i="38"/>
  <c r="X50" i="38"/>
  <c r="X15" i="38"/>
  <c r="BW39" i="38"/>
  <c r="BW50" i="38"/>
  <c r="BW15" i="38"/>
  <c r="CW51" i="38"/>
  <c r="CW39" i="38"/>
  <c r="CW50" i="38"/>
  <c r="CW15" i="38"/>
  <c r="V51" i="38"/>
  <c r="DF51" i="38"/>
  <c r="BH51" i="38"/>
  <c r="BH39" i="38"/>
  <c r="BH50" i="38"/>
  <c r="BH15" i="38"/>
  <c r="R51" i="38"/>
  <c r="R39" i="38"/>
  <c r="R50" i="38"/>
  <c r="R15" i="38"/>
  <c r="CL51" i="38"/>
  <c r="DV51" i="38"/>
  <c r="BO51" i="38"/>
  <c r="BR51" i="38"/>
  <c r="BR39" i="38"/>
  <c r="BR50" i="38"/>
  <c r="BR15" i="38"/>
  <c r="BL51" i="38"/>
  <c r="CG51" i="38"/>
  <c r="CG39" i="38"/>
  <c r="CG50" i="38"/>
  <c r="CG15" i="38"/>
  <c r="CY39" i="38"/>
  <c r="CY50" i="38"/>
  <c r="CY15" i="38"/>
  <c r="AE39" i="38"/>
  <c r="AE50" i="38"/>
  <c r="AE15" i="38"/>
  <c r="DG39" i="38"/>
  <c r="DG50" i="38"/>
  <c r="DG15" i="38"/>
  <c r="AY51" i="38"/>
  <c r="AY39" i="38"/>
  <c r="AY50" i="38"/>
  <c r="AY15" i="38"/>
  <c r="CX51" i="38"/>
  <c r="CX39" i="38"/>
  <c r="CX50" i="38"/>
  <c r="CX15" i="38"/>
  <c r="DI51" i="38"/>
  <c r="DI39" i="38"/>
  <c r="DI50" i="38"/>
  <c r="DI15" i="38"/>
  <c r="Z51" i="38"/>
  <c r="BP51" i="38"/>
  <c r="BY51" i="38"/>
  <c r="BX51" i="38"/>
  <c r="BX39" i="38"/>
  <c r="BX50" i="38"/>
  <c r="BX15" i="38"/>
  <c r="J71" i="38"/>
  <c r="J40" i="37"/>
  <c r="J54" i="37" a="1"/>
  <c r="J39" i="37" a="1"/>
  <c r="J22" i="37" a="1"/>
  <c r="J47" i="37" a="1"/>
  <c r="J30" i="37" a="1"/>
  <c r="H30" i="37" a="1"/>
  <c r="DH39" i="38"/>
  <c r="DH50" i="38"/>
  <c r="DH15" i="38"/>
  <c r="AP39" i="38"/>
  <c r="AP50" i="38"/>
  <c r="AP15" i="38"/>
  <c r="AZ39" i="38"/>
  <c r="AZ50" i="38"/>
  <c r="AZ15" i="38"/>
  <c r="BY39" i="38"/>
  <c r="BY50" i="38"/>
  <c r="BY15" i="38"/>
  <c r="V39" i="38"/>
  <c r="V50" i="38"/>
  <c r="V15" i="38"/>
  <c r="CT39" i="38"/>
  <c r="CT50" i="38"/>
  <c r="CT15" i="38"/>
  <c r="BC39" i="38"/>
  <c r="BC50" i="38"/>
  <c r="BC15" i="38"/>
  <c r="AM39" i="38"/>
  <c r="AM50" i="38"/>
  <c r="AM15" i="38"/>
  <c r="CN39" i="38"/>
  <c r="CN50" i="38"/>
  <c r="CN15" i="38"/>
  <c r="M39" i="38"/>
  <c r="M50" i="38"/>
  <c r="M15" i="38"/>
  <c r="BL39" i="38"/>
  <c r="BL50" i="38"/>
  <c r="BL15" i="38"/>
  <c r="AU39" i="38"/>
  <c r="AU50" i="38"/>
  <c r="AU15" i="38"/>
  <c r="AK39" i="38"/>
  <c r="AK50" i="38"/>
  <c r="AK15" i="38"/>
  <c r="T39" i="38"/>
  <c r="T50" i="38"/>
  <c r="T15" i="38"/>
  <c r="S39" i="38"/>
  <c r="S50" i="38"/>
  <c r="S15" i="38"/>
  <c r="DJ39" i="38"/>
  <c r="DJ50" i="38"/>
  <c r="DJ15" i="38"/>
  <c r="DP39" i="38"/>
  <c r="DP50" i="38"/>
  <c r="DP15" i="38"/>
  <c r="DO39" i="38"/>
  <c r="DO50" i="38"/>
  <c r="DO15" i="38"/>
  <c r="AO39" i="38"/>
  <c r="AO50" i="38"/>
  <c r="AO15" i="38"/>
  <c r="AB39" i="38"/>
  <c r="AB50" i="38"/>
  <c r="AB15" i="38"/>
  <c r="AF39" i="38"/>
  <c r="AF50" i="38"/>
  <c r="AF15" i="38"/>
  <c r="DX39" i="38"/>
  <c r="DX50" i="38"/>
  <c r="DX15" i="38"/>
  <c r="N39" i="38"/>
  <c r="N50" i="38"/>
  <c r="N15" i="38"/>
  <c r="AJ39" i="38"/>
  <c r="AJ50" i="38"/>
  <c r="AJ15" i="38"/>
  <c r="CJ39" i="38"/>
  <c r="CJ50" i="38"/>
  <c r="CJ15" i="38"/>
  <c r="DC39" i="38"/>
  <c r="DC50" i="38"/>
  <c r="DC15" i="38"/>
  <c r="Z39" i="38"/>
  <c r="Z50" i="38"/>
  <c r="Z15" i="38"/>
  <c r="BA39" i="38"/>
  <c r="BA50" i="38"/>
  <c r="BA15" i="38"/>
  <c r="DY39" i="38"/>
  <c r="DY50" i="38"/>
  <c r="DY15" i="38"/>
  <c r="AX51" i="38"/>
  <c r="DQ39" i="38"/>
  <c r="DQ50" i="38"/>
  <c r="DQ15" i="38"/>
  <c r="BS39" i="38"/>
  <c r="BS50" i="38"/>
  <c r="BS15" i="38"/>
  <c r="BP39" i="38"/>
  <c r="BP50" i="38"/>
  <c r="BP15" i="38"/>
  <c r="DU39" i="38"/>
  <c r="DU50" i="38"/>
  <c r="DU15" i="38"/>
  <c r="DM39" i="38"/>
  <c r="DM50" i="38"/>
  <c r="DM15" i="38"/>
  <c r="DB39" i="38"/>
  <c r="DB50" i="38"/>
  <c r="DB15" i="38"/>
  <c r="Q39" i="38"/>
  <c r="Q50" i="38"/>
  <c r="Q15" i="38"/>
  <c r="BF51" i="38"/>
  <c r="AA39" i="38"/>
  <c r="AA50" i="38"/>
  <c r="AA15" i="38"/>
  <c r="CH39" i="38"/>
  <c r="CH50" i="38"/>
  <c r="CH15" i="38"/>
  <c r="CZ39" i="38"/>
  <c r="CZ50" i="38"/>
  <c r="CZ15" i="38"/>
  <c r="DR39" i="38"/>
  <c r="DR50" i="38"/>
  <c r="DR15" i="38"/>
  <c r="BD39" i="38"/>
  <c r="BD50" i="38"/>
  <c r="BD15" i="38"/>
  <c r="DF39" i="38"/>
  <c r="DF50" i="38"/>
  <c r="DF15" i="38"/>
  <c r="CE39" i="38"/>
  <c r="CE50" i="38"/>
  <c r="CE15" i="38"/>
  <c r="O39" i="38"/>
  <c r="O50" i="38"/>
  <c r="O15" i="38"/>
  <c r="CU39" i="38"/>
  <c r="CU50" i="38"/>
  <c r="CU15" i="38"/>
  <c r="AL39" i="38"/>
  <c r="AL50" i="38"/>
  <c r="AL15" i="38"/>
  <c r="AD39" i="38"/>
  <c r="AD50" i="38"/>
  <c r="AD15" i="38"/>
  <c r="CL39" i="38"/>
  <c r="CL50" i="38"/>
  <c r="CL15" i="38"/>
  <c r="BZ39" i="38"/>
  <c r="BZ50" i="38"/>
  <c r="BZ15" i="38"/>
  <c r="BK39" i="38"/>
  <c r="BK50" i="38"/>
  <c r="BK15" i="38"/>
  <c r="AR39" i="38"/>
  <c r="AR50" i="38"/>
  <c r="AR15" i="38"/>
  <c r="DT39" i="38"/>
  <c r="DT50" i="38"/>
  <c r="DT15" i="38"/>
  <c r="AG39" i="38"/>
  <c r="AG50" i="38"/>
  <c r="AG15" i="38"/>
  <c r="CQ39" i="38"/>
  <c r="CQ50" i="38"/>
  <c r="CQ15" i="38"/>
  <c r="BM39" i="38"/>
  <c r="BM50" i="38"/>
  <c r="BM15" i="38"/>
  <c r="DN39" i="38"/>
  <c r="DN50" i="38"/>
  <c r="DN15" i="38"/>
  <c r="DE39" i="38"/>
  <c r="DE50" i="38"/>
  <c r="DE15" i="38"/>
  <c r="AV39" i="38"/>
  <c r="AV50" i="38"/>
  <c r="AV15" i="38"/>
  <c r="DK39" i="38"/>
  <c r="DK50" i="38"/>
  <c r="DK15" i="38"/>
  <c r="BJ39" i="38"/>
  <c r="BJ50" i="38"/>
  <c r="BJ15" i="38"/>
  <c r="AQ39" i="38"/>
  <c r="AQ50" i="38"/>
  <c r="AQ15" i="38"/>
  <c r="K39" i="38"/>
  <c r="K50" i="38"/>
  <c r="K15" i="38"/>
  <c r="CF39" i="38"/>
  <c r="CF50" i="38"/>
  <c r="CF15" i="38"/>
  <c r="AN39" i="38"/>
  <c r="AN50" i="38"/>
  <c r="AN15" i="38"/>
  <c r="BE39" i="38"/>
  <c r="BE50" i="38"/>
  <c r="BE15" i="38"/>
  <c r="AT51" i="38"/>
  <c r="DA39" i="38"/>
  <c r="DA50" i="38"/>
  <c r="DA15" i="38"/>
  <c r="AS39" i="38"/>
  <c r="AS50" i="38"/>
  <c r="AS15" i="38"/>
  <c r="CR39" i="38"/>
  <c r="CR50" i="38"/>
  <c r="CR15" i="38"/>
  <c r="DD39" i="38"/>
  <c r="DD50" i="38"/>
  <c r="DD15" i="38"/>
  <c r="Y39" i="38"/>
  <c r="Y50" i="38"/>
  <c r="Y15" i="38"/>
  <c r="BI39" i="38"/>
  <c r="BI50" i="38"/>
  <c r="BI15" i="38"/>
  <c r="BO39" i="38"/>
  <c r="BO50" i="38"/>
  <c r="BO15" i="38"/>
  <c r="DS38" i="38"/>
  <c r="DS51" i="38"/>
  <c r="CM39" i="38"/>
  <c r="CM50" i="38"/>
  <c r="CM15" i="38"/>
  <c r="BU39" i="38"/>
  <c r="BU50" i="38"/>
  <c r="BU15" i="38"/>
  <c r="J35" i="38"/>
  <c r="DY35" i="38"/>
  <c r="DQ35" i="38"/>
  <c r="DI35" i="38"/>
  <c r="Y35" i="38"/>
  <c r="Q35" i="38"/>
  <c r="DX35" i="38"/>
  <c r="DP35" i="38"/>
  <c r="DH35" i="38"/>
  <c r="X35" i="38"/>
  <c r="P35" i="38"/>
  <c r="DJ35" i="38"/>
  <c r="DW35" i="38"/>
  <c r="DO35" i="38"/>
  <c r="DG35" i="38"/>
  <c r="W35" i="38"/>
  <c r="O35" i="38"/>
  <c r="R35" i="38"/>
  <c r="DV35" i="38"/>
  <c r="DN35" i="38"/>
  <c r="DF35" i="38"/>
  <c r="V35" i="38"/>
  <c r="N35" i="38"/>
  <c r="DR35" i="38"/>
  <c r="DU35" i="38"/>
  <c r="DM35" i="38"/>
  <c r="AC35" i="38"/>
  <c r="U35" i="38"/>
  <c r="M35" i="38"/>
  <c r="DT35" i="38"/>
  <c r="DL35" i="38"/>
  <c r="AB35" i="38"/>
  <c r="T35" i="38"/>
  <c r="L35" i="38"/>
  <c r="DS35" i="38"/>
  <c r="DK35" i="38"/>
  <c r="AA35" i="38"/>
  <c r="S35" i="38"/>
  <c r="K35" i="38"/>
  <c r="Z35" i="38"/>
  <c r="BE35" i="38"/>
  <c r="BT35" i="38"/>
  <c r="CI35" i="38"/>
  <c r="CX35" i="38"/>
  <c r="AL35" i="38"/>
  <c r="BI35" i="38"/>
  <c r="BX35" i="38"/>
  <c r="BV35" i="38"/>
  <c r="BO35" i="38"/>
  <c r="AX35" i="38"/>
  <c r="AW35" i="38"/>
  <c r="BL35" i="38"/>
  <c r="CA35" i="38"/>
  <c r="CP35" i="38"/>
  <c r="AD35" i="38"/>
  <c r="BA35" i="38"/>
  <c r="BP35" i="38"/>
  <c r="BF35" i="38"/>
  <c r="BG35" i="38"/>
  <c r="AH35" i="38"/>
  <c r="DA35" i="38"/>
  <c r="AO35" i="38"/>
  <c r="BD35" i="38"/>
  <c r="BS35" i="38"/>
  <c r="CH35" i="38"/>
  <c r="DE35" i="38"/>
  <c r="AS35" i="38"/>
  <c r="BH35" i="38"/>
  <c r="AP35" i="38"/>
  <c r="AY35" i="38"/>
  <c r="CS35" i="38"/>
  <c r="AG35" i="38"/>
  <c r="AV35" i="38"/>
  <c r="BK35" i="38"/>
  <c r="BZ35" i="38"/>
  <c r="CW35" i="38"/>
  <c r="AK35" i="38"/>
  <c r="AZ35" i="38"/>
  <c r="DC35" i="38"/>
  <c r="AQ35" i="38"/>
  <c r="CK35" i="38"/>
  <c r="CZ35" i="38"/>
  <c r="AN35" i="38"/>
  <c r="BC35" i="38"/>
  <c r="BR35" i="38"/>
  <c r="CO35" i="38"/>
  <c r="DD35" i="38"/>
  <c r="AR35" i="38"/>
  <c r="CU35" i="38"/>
  <c r="AI35" i="38"/>
  <c r="CC35" i="38"/>
  <c r="CR35" i="38"/>
  <c r="AF35" i="38"/>
  <c r="AU35" i="38"/>
  <c r="BJ35" i="38"/>
  <c r="CG35" i="38"/>
  <c r="CV35" i="38"/>
  <c r="AJ35" i="38"/>
  <c r="CM35" i="38"/>
  <c r="CT35" i="38"/>
  <c r="BU35" i="38"/>
  <c r="CJ35" i="38"/>
  <c r="CY35" i="38"/>
  <c r="AM35" i="38"/>
  <c r="BB35" i="38"/>
  <c r="BY35" i="38"/>
  <c r="CN35" i="38"/>
  <c r="DB35" i="38"/>
  <c r="CE35" i="38"/>
  <c r="CD35" i="38"/>
  <c r="BM35" i="38"/>
  <c r="CB35" i="38"/>
  <c r="CQ35" i="38"/>
  <c r="AE35" i="38"/>
  <c r="AT35" i="38"/>
  <c r="BQ35" i="38"/>
  <c r="CF35" i="38"/>
  <c r="CL35" i="38"/>
  <c r="BW35" i="38"/>
  <c r="BN35" i="38"/>
  <c r="P39" i="38"/>
  <c r="P50" i="38"/>
  <c r="P15" i="38"/>
  <c r="CB51" i="38"/>
  <c r="BN39" i="38"/>
  <c r="BN50" i="38"/>
  <c r="BN15" i="38"/>
  <c r="CV39" i="38"/>
  <c r="CV50" i="38"/>
  <c r="CV15" i="38"/>
  <c r="CI39" i="38"/>
  <c r="CI50" i="38"/>
  <c r="CI15" i="38"/>
  <c r="CA39" i="38"/>
  <c r="CA50" i="38"/>
  <c r="CA15" i="38"/>
  <c r="BV39" i="38"/>
  <c r="BV50" i="38"/>
  <c r="BV15" i="38"/>
  <c r="CC39" i="38"/>
  <c r="CC50" i="38"/>
  <c r="CC15" i="38"/>
  <c r="BT39" i="38"/>
  <c r="BT50" i="38"/>
  <c r="BT15" i="38"/>
  <c r="U39" i="38"/>
  <c r="U50" i="38"/>
  <c r="U15" i="38"/>
  <c r="L39" i="38"/>
  <c r="L50" i="38"/>
  <c r="L15" i="38"/>
  <c r="BB39" i="38"/>
  <c r="BB50" i="38"/>
  <c r="BB15" i="38"/>
  <c r="DE80" i="38"/>
  <c r="DE81" i="38"/>
  <c r="AS80" i="38"/>
  <c r="AS81" i="38"/>
  <c r="CV80" i="38"/>
  <c r="CV81" i="38"/>
  <c r="AJ80" i="38"/>
  <c r="AJ81" i="38"/>
  <c r="CL80" i="38"/>
  <c r="CL81" i="38"/>
  <c r="Z80" i="38"/>
  <c r="Z81" i="38"/>
  <c r="DK80" i="38"/>
  <c r="DK81" i="38"/>
  <c r="AY80" i="38"/>
  <c r="AY81" i="38"/>
  <c r="DI80" i="38"/>
  <c r="DI81" i="38"/>
  <c r="AW80" i="38"/>
  <c r="AW81" i="38"/>
  <c r="CY80" i="38"/>
  <c r="CY81" i="38"/>
  <c r="CX80" i="38"/>
  <c r="CX81" i="38"/>
  <c r="N80" i="38"/>
  <c r="N81" i="38"/>
  <c r="BT80" i="38"/>
  <c r="BT81" i="38"/>
  <c r="CA80" i="38"/>
  <c r="CA81" i="38"/>
  <c r="CW80" i="38"/>
  <c r="CW81" i="38"/>
  <c r="AK80" i="38"/>
  <c r="AK81" i="38"/>
  <c r="CN80" i="38"/>
  <c r="CN81" i="38"/>
  <c r="AB80" i="38"/>
  <c r="AB81" i="38"/>
  <c r="CD80" i="38"/>
  <c r="CD81" i="38"/>
  <c r="R80" i="38"/>
  <c r="R81" i="38"/>
  <c r="DC80" i="38"/>
  <c r="DC81" i="38"/>
  <c r="AQ80" i="38"/>
  <c r="AQ81" i="38"/>
  <c r="DA80" i="38"/>
  <c r="DA81" i="38"/>
  <c r="AO80" i="38"/>
  <c r="AO81" i="38"/>
  <c r="CQ80" i="38"/>
  <c r="CQ81" i="38"/>
  <c r="CP80" i="38"/>
  <c r="CP81" i="38"/>
  <c r="DX80" i="38"/>
  <c r="DX81" i="38"/>
  <c r="BL80" i="38"/>
  <c r="BL81" i="38"/>
  <c r="BK80" i="38"/>
  <c r="BK81" i="38"/>
  <c r="CO80" i="38"/>
  <c r="CO81" i="38"/>
  <c r="AC80" i="38"/>
  <c r="AC81" i="38"/>
  <c r="CF80" i="38"/>
  <c r="CF81" i="38"/>
  <c r="T80" i="38"/>
  <c r="T81" i="38"/>
  <c r="BV80" i="38"/>
  <c r="BV81" i="38"/>
  <c r="DV80" i="38"/>
  <c r="DV81" i="38"/>
  <c r="CU80" i="38"/>
  <c r="CU81" i="38"/>
  <c r="AI80" i="38"/>
  <c r="AI81" i="38"/>
  <c r="CS80" i="38"/>
  <c r="CS81" i="38"/>
  <c r="AG80" i="38"/>
  <c r="AG81" i="38"/>
  <c r="CI80" i="38"/>
  <c r="CI81" i="38"/>
  <c r="BZ80" i="38"/>
  <c r="BZ81" i="38"/>
  <c r="DP80" i="38"/>
  <c r="DP81" i="38"/>
  <c r="BD80" i="38"/>
  <c r="BD81" i="38"/>
  <c r="AU80" i="38"/>
  <c r="AU81" i="38"/>
  <c r="CG80" i="38"/>
  <c r="CG81" i="38"/>
  <c r="U80" i="38"/>
  <c r="U81" i="38"/>
  <c r="BX80" i="38"/>
  <c r="BX81" i="38"/>
  <c r="L80" i="38"/>
  <c r="L81" i="38"/>
  <c r="BN80" i="38"/>
  <c r="BN81" i="38"/>
  <c r="DF80" i="38"/>
  <c r="DF81" i="38"/>
  <c r="CM80" i="38"/>
  <c r="CM81" i="38"/>
  <c r="AA80" i="38"/>
  <c r="AA81" i="38"/>
  <c r="CK80" i="38"/>
  <c r="CK81" i="38"/>
  <c r="Y80" i="38"/>
  <c r="Y81" i="38"/>
  <c r="BS80" i="38"/>
  <c r="BS81" i="38"/>
  <c r="BR80" i="38"/>
  <c r="BR81" i="38"/>
  <c r="DH80" i="38"/>
  <c r="DH81" i="38"/>
  <c r="AV80" i="38"/>
  <c r="AV81" i="38"/>
  <c r="AE80" i="38"/>
  <c r="AE81" i="38"/>
  <c r="BY80" i="38"/>
  <c r="BY81" i="38"/>
  <c r="M80" i="38"/>
  <c r="M81" i="38"/>
  <c r="BP80" i="38"/>
  <c r="BP81" i="38"/>
  <c r="DR80" i="38"/>
  <c r="DR81" i="38"/>
  <c r="BF80" i="38"/>
  <c r="BF81" i="38"/>
  <c r="CH80" i="38"/>
  <c r="CH81" i="38"/>
  <c r="CE80" i="38"/>
  <c r="CE81" i="38"/>
  <c r="S80" i="38"/>
  <c r="S81" i="38"/>
  <c r="CC80" i="38"/>
  <c r="CC81" i="38"/>
  <c r="Q80" i="38"/>
  <c r="Q81" i="38"/>
  <c r="BC80" i="38"/>
  <c r="BC81" i="38"/>
  <c r="BJ80" i="38"/>
  <c r="BJ81" i="38"/>
  <c r="CZ80" i="38"/>
  <c r="CZ81" i="38"/>
  <c r="AN80" i="38"/>
  <c r="AN81" i="38"/>
  <c r="O80" i="38"/>
  <c r="O81" i="38"/>
  <c r="BQ80" i="38"/>
  <c r="BQ81" i="38"/>
  <c r="DT80" i="38"/>
  <c r="DT81" i="38"/>
  <c r="BH80" i="38"/>
  <c r="BH81" i="38"/>
  <c r="DJ80" i="38"/>
  <c r="DJ81" i="38"/>
  <c r="AX80" i="38"/>
  <c r="AX81" i="38"/>
  <c r="BB80" i="38"/>
  <c r="BB81" i="38"/>
  <c r="BW80" i="38"/>
  <c r="BW81" i="38"/>
  <c r="K80" i="38"/>
  <c r="K81" i="38"/>
  <c r="BU80" i="38"/>
  <c r="BU81" i="38"/>
  <c r="DW80" i="38"/>
  <c r="DW81" i="38"/>
  <c r="AM80" i="38"/>
  <c r="AM81" i="38"/>
  <c r="AT80" i="38"/>
  <c r="AT81" i="38"/>
  <c r="CR80" i="38"/>
  <c r="CR81" i="38"/>
  <c r="AF80" i="38"/>
  <c r="AF81" i="38"/>
  <c r="DU80" i="38"/>
  <c r="DU81" i="38"/>
  <c r="BI80" i="38"/>
  <c r="BI81" i="38"/>
  <c r="DL80" i="38"/>
  <c r="DL81" i="38"/>
  <c r="AZ80" i="38"/>
  <c r="AZ81" i="38"/>
  <c r="DB80" i="38"/>
  <c r="DB81" i="38"/>
  <c r="AP80" i="38"/>
  <c r="AP81" i="38"/>
  <c r="AL80" i="38"/>
  <c r="AL81" i="38"/>
  <c r="BO80" i="38"/>
  <c r="BO81" i="38"/>
  <c r="DY80" i="38"/>
  <c r="DY81" i="38"/>
  <c r="BM80" i="38"/>
  <c r="BM81" i="38"/>
  <c r="DO80" i="38"/>
  <c r="DO81" i="38"/>
  <c r="W80" i="38"/>
  <c r="W81" i="38"/>
  <c r="AD80" i="38"/>
  <c r="AD81" i="38"/>
  <c r="CJ80" i="38"/>
  <c r="CJ81" i="38"/>
  <c r="X80" i="38"/>
  <c r="X81" i="38"/>
  <c r="DM80" i="38"/>
  <c r="DM81" i="38"/>
  <c r="BA80" i="38"/>
  <c r="BA81" i="38"/>
  <c r="DD80" i="38"/>
  <c r="DD81" i="38"/>
  <c r="AR80" i="38"/>
  <c r="AR81" i="38"/>
  <c r="CT80" i="38"/>
  <c r="CT81" i="38"/>
  <c r="AH80" i="38"/>
  <c r="AH81" i="38"/>
  <c r="DS80" i="38"/>
  <c r="DS81" i="38"/>
  <c r="BG80" i="38"/>
  <c r="BG81" i="38"/>
  <c r="DQ80" i="38"/>
  <c r="DQ81" i="38"/>
  <c r="BE80" i="38"/>
  <c r="BE81" i="38"/>
  <c r="DG80" i="38"/>
  <c r="DG81" i="38"/>
  <c r="DN80" i="38"/>
  <c r="DN81" i="38"/>
  <c r="V80" i="38"/>
  <c r="V81" i="38"/>
  <c r="CB80" i="38"/>
  <c r="CB81" i="38"/>
  <c r="P80" i="38"/>
  <c r="P81" i="38"/>
  <c r="J37" i="38"/>
  <c r="J38" i="38"/>
  <c r="J51" i="38"/>
  <c r="J49" i="38"/>
  <c r="W39" i="38"/>
  <c r="W50" i="38"/>
  <c r="W15" i="38"/>
  <c r="DL39" i="38"/>
  <c r="DL50" i="38"/>
  <c r="DL15" i="38"/>
  <c r="DW39" i="38"/>
  <c r="DW50" i="38"/>
  <c r="DW15" i="38"/>
  <c r="DA33" i="38"/>
  <c r="DA34" i="38"/>
  <c r="V33" i="38"/>
  <c r="V34" i="38"/>
  <c r="AS33" i="38"/>
  <c r="AS34" i="38"/>
  <c r="AA33" i="38"/>
  <c r="AA34" i="38"/>
  <c r="CR33" i="38"/>
  <c r="CR34" i="38"/>
  <c r="DY33" i="38"/>
  <c r="DY34" i="38"/>
  <c r="CI33" i="38"/>
  <c r="CI34" i="38"/>
  <c r="BY33" i="38"/>
  <c r="BY34" i="38"/>
  <c r="AH33" i="38"/>
  <c r="AH34" i="38"/>
  <c r="BU33" i="38"/>
  <c r="BU34" i="38"/>
  <c r="AK33" i="38"/>
  <c r="AK34" i="38"/>
  <c r="BM33" i="38"/>
  <c r="BM34" i="38"/>
  <c r="AC33" i="38"/>
  <c r="AC34" i="38"/>
  <c r="BQ33" i="38"/>
  <c r="BQ34" i="38"/>
  <c r="BE33" i="38"/>
  <c r="BE34" i="38"/>
  <c r="DN33" i="38"/>
  <c r="DN34" i="38"/>
  <c r="M33" i="38"/>
  <c r="M34" i="38"/>
  <c r="BR33" i="38"/>
  <c r="BR34" i="38"/>
  <c r="BN33" i="38"/>
  <c r="BN34" i="38"/>
  <c r="DX33" i="38"/>
  <c r="DX34" i="38"/>
  <c r="CN33" i="38"/>
  <c r="CN34" i="38"/>
  <c r="N33" i="38"/>
  <c r="N34" i="38"/>
  <c r="DP33" i="38"/>
  <c r="DP34" i="38"/>
  <c r="CF33" i="38"/>
  <c r="CF34" i="38"/>
  <c r="BH33" i="38"/>
  <c r="BH34" i="38"/>
  <c r="DH33" i="38"/>
  <c r="DH34" i="38"/>
  <c r="BX33" i="38"/>
  <c r="BX34" i="38"/>
  <c r="AJ33" i="38"/>
  <c r="AJ34" i="38"/>
  <c r="CZ33" i="38"/>
  <c r="CZ34" i="38"/>
  <c r="BP33" i="38"/>
  <c r="BP34" i="38"/>
  <c r="BZ33" i="38"/>
  <c r="BZ34" i="38"/>
  <c r="DU33" i="38"/>
  <c r="DU34" i="38"/>
  <c r="DM33" i="38"/>
  <c r="DM34" i="38"/>
  <c r="H7" i="38" a="1"/>
  <c r="H33" i="38"/>
  <c r="BL33" i="38"/>
  <c r="BL34" i="38"/>
  <c r="AB33" i="38"/>
  <c r="AB34" i="38"/>
  <c r="DK33" i="38"/>
  <c r="DK34" i="38"/>
  <c r="BD33" i="38"/>
  <c r="BD34" i="38"/>
  <c r="T33" i="38"/>
  <c r="T34" i="38"/>
  <c r="DB33" i="38"/>
  <c r="DB34" i="38"/>
  <c r="AV33" i="38"/>
  <c r="AV34" i="38"/>
  <c r="L33" i="38"/>
  <c r="L34" i="38"/>
  <c r="AN33" i="38"/>
  <c r="AN34" i="38"/>
  <c r="DS33" i="38"/>
  <c r="DS34" i="38"/>
  <c r="DT33" i="38"/>
  <c r="DT34" i="38"/>
  <c r="CS33" i="38"/>
  <c r="CS34" i="38"/>
  <c r="BI33" i="38"/>
  <c r="BI34" i="38"/>
  <c r="CK33" i="38"/>
  <c r="CK34" i="38"/>
  <c r="BA33" i="38"/>
  <c r="BA34" i="38"/>
  <c r="DO33" i="38"/>
  <c r="DO34" i="38"/>
  <c r="DO36" i="38"/>
  <c r="CE33" i="38"/>
  <c r="CE34" i="38"/>
  <c r="R33" i="38"/>
  <c r="R34" i="38"/>
  <c r="DG33" i="38"/>
  <c r="DG34" i="38"/>
  <c r="BW33" i="38"/>
  <c r="BW34" i="38"/>
  <c r="CY33" i="38"/>
  <c r="CY34" i="38"/>
  <c r="BO33" i="38"/>
  <c r="BO34" i="38"/>
  <c r="CQ33" i="38"/>
  <c r="CQ34" i="38"/>
  <c r="BG33" i="38"/>
  <c r="BG34" i="38"/>
  <c r="AY33" i="38"/>
  <c r="AY34" i="38"/>
  <c r="AG33" i="38"/>
  <c r="AG34" i="38"/>
  <c r="DL33" i="38"/>
  <c r="DL34" i="38"/>
  <c r="CC33" i="38"/>
  <c r="CC34" i="38"/>
  <c r="Y33" i="38"/>
  <c r="Y34" i="38"/>
  <c r="DD33" i="38"/>
  <c r="DD34" i="38"/>
  <c r="BC33" i="38"/>
  <c r="BC34" i="38"/>
  <c r="S33" i="38"/>
  <c r="S34" i="38"/>
  <c r="AU33" i="38"/>
  <c r="AU34" i="38"/>
  <c r="K33" i="38"/>
  <c r="K34" i="38"/>
  <c r="BK33" i="38"/>
  <c r="BK34" i="38"/>
  <c r="AM33" i="38"/>
  <c r="AM34" i="38"/>
  <c r="DJ33" i="38"/>
  <c r="DJ34" i="38"/>
  <c r="AE33" i="38"/>
  <c r="AE34" i="38"/>
  <c r="AX33" i="38"/>
  <c r="AX34" i="38"/>
  <c r="Q33" i="38"/>
  <c r="Q34" i="38"/>
  <c r="CJ33" i="38"/>
  <c r="CJ34" i="38"/>
  <c r="AZ33" i="38"/>
  <c r="AZ34" i="38"/>
  <c r="BT33" i="38"/>
  <c r="BT34" i="38"/>
  <c r="CB33" i="38"/>
  <c r="CB34" i="38"/>
  <c r="AR33" i="38"/>
  <c r="AR34" i="38"/>
  <c r="AL33" i="38"/>
  <c r="AL34" i="38"/>
  <c r="DF33" i="38"/>
  <c r="DF34" i="38"/>
  <c r="BV33" i="38"/>
  <c r="BV34" i="38"/>
  <c r="DW33" i="38"/>
  <c r="DW34" i="38"/>
  <c r="CX33" i="38"/>
  <c r="CX34" i="38"/>
  <c r="CL33" i="38"/>
  <c r="CL34" i="38"/>
  <c r="CM33" i="38"/>
  <c r="CM34" i="38"/>
  <c r="CP33" i="38"/>
  <c r="CP34" i="38"/>
  <c r="Z33" i="38"/>
  <c r="Z34" i="38"/>
  <c r="CH33" i="38"/>
  <c r="CH34" i="38"/>
  <c r="CD33" i="38"/>
  <c r="CD34" i="38"/>
  <c r="BB33" i="38"/>
  <c r="BB34" i="38"/>
  <c r="X33" i="38"/>
  <c r="X34" i="38"/>
  <c r="DC33" i="38"/>
  <c r="DC34" i="38"/>
  <c r="DE33" i="38"/>
  <c r="DE34" i="38"/>
  <c r="P33" i="38"/>
  <c r="P34" i="38"/>
  <c r="CU33" i="38"/>
  <c r="CU34" i="38"/>
  <c r="AT33" i="38"/>
  <c r="AT34" i="38"/>
  <c r="CV33" i="38"/>
  <c r="CV34" i="38"/>
  <c r="AD33" i="38"/>
  <c r="AD34" i="38"/>
  <c r="AQ33" i="38"/>
  <c r="AQ34" i="38"/>
  <c r="AI33" i="38"/>
  <c r="AI34" i="38"/>
  <c r="DV33" i="38"/>
  <c r="DV34" i="38"/>
  <c r="CA33" i="38"/>
  <c r="CA34" i="38"/>
  <c r="BS33" i="38"/>
  <c r="BS34" i="38"/>
  <c r="CW33" i="38"/>
  <c r="CW34" i="38"/>
  <c r="BF33" i="38"/>
  <c r="BF34" i="38"/>
  <c r="CO33" i="38"/>
  <c r="CO34" i="38"/>
  <c r="DQ33" i="38"/>
  <c r="DQ34" i="38"/>
  <c r="CG33" i="38"/>
  <c r="CG34" i="38"/>
  <c r="DI33" i="38"/>
  <c r="DI34" i="38"/>
  <c r="AO33" i="38"/>
  <c r="AO34" i="38"/>
  <c r="O33" i="38"/>
  <c r="O34" i="38"/>
  <c r="AP33" i="38"/>
  <c r="AP34" i="38"/>
  <c r="CT33" i="38"/>
  <c r="CT34" i="38"/>
  <c r="W33" i="38"/>
  <c r="W34" i="38"/>
  <c r="U33" i="38"/>
  <c r="U34" i="38"/>
  <c r="AW33" i="38"/>
  <c r="AW34" i="38"/>
  <c r="AF33" i="38"/>
  <c r="AF34" i="38"/>
  <c r="BJ33" i="38"/>
  <c r="BJ34" i="38"/>
  <c r="DR33" i="38"/>
  <c r="DR34" i="38"/>
  <c r="DY32" i="37"/>
  <c r="DM32" i="37"/>
  <c r="DH32" i="37"/>
  <c r="DT32" i="37"/>
  <c r="DN32" i="37"/>
  <c r="DQ32" i="37"/>
  <c r="DV32" i="37"/>
  <c r="DR32" i="37"/>
  <c r="DU32" i="37"/>
  <c r="DP32" i="37"/>
  <c r="DK32" i="37"/>
  <c r="DJ32" i="37"/>
  <c r="DG32" i="37"/>
  <c r="DS32" i="37"/>
  <c r="J44" i="38"/>
  <c r="J32" i="37"/>
  <c r="K32" i="37"/>
  <c r="H15" i="37" a="1"/>
  <c r="DO32" i="37"/>
  <c r="DI32" i="37"/>
  <c r="DW32" i="37"/>
  <c r="H22" i="37" a="1"/>
  <c r="J23" i="37" a="1"/>
  <c r="DL32" i="37"/>
  <c r="DF32" i="37"/>
  <c r="DX32" i="37"/>
  <c r="J14" i="38"/>
  <c r="J39" i="38"/>
  <c r="J50" i="38"/>
  <c r="DI36" i="38"/>
  <c r="J57" i="38"/>
  <c r="DF36" i="38"/>
  <c r="DM36" i="38"/>
  <c r="M36" i="38"/>
  <c r="DV36" i="38"/>
  <c r="DU36" i="38"/>
  <c r="DN36" i="38"/>
  <c r="DJ36" i="38"/>
  <c r="DP36" i="38"/>
  <c r="DQ36" i="38"/>
  <c r="N36" i="38"/>
  <c r="DY36" i="38"/>
  <c r="DL36" i="38"/>
  <c r="DG36" i="38"/>
  <c r="DT36" i="38"/>
  <c r="DK36" i="38"/>
  <c r="K36" i="38"/>
  <c r="DS36" i="38"/>
  <c r="AB36" i="38"/>
  <c r="DX36" i="38"/>
  <c r="DW36" i="38"/>
  <c r="H54" i="37" a="1"/>
  <c r="J64" i="37" a="1"/>
  <c r="J80" i="38"/>
  <c r="J81" i="38"/>
  <c r="J82" i="38"/>
  <c r="J36" i="38"/>
  <c r="DS39" i="38"/>
  <c r="DS50" i="38"/>
  <c r="DS15" i="38"/>
  <c r="DR36" i="38"/>
  <c r="DH36" i="38"/>
  <c r="L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Y32" i="37"/>
  <c r="Z32" i="37"/>
  <c r="AA32" i="37"/>
  <c r="AB32" i="37"/>
  <c r="AC32" i="37"/>
  <c r="AD32" i="37"/>
  <c r="AE32" i="37"/>
  <c r="AF32" i="37"/>
  <c r="AG32" i="37"/>
  <c r="AH32" i="37"/>
  <c r="AI32" i="37"/>
  <c r="AJ32" i="37"/>
  <c r="AK32" i="37"/>
  <c r="AL32" i="37"/>
  <c r="AM32" i="37"/>
  <c r="AN32" i="37"/>
  <c r="AO32" i="37"/>
  <c r="AP32" i="37"/>
  <c r="AQ32" i="37"/>
  <c r="AR32" i="37"/>
  <c r="AS32" i="37"/>
  <c r="AT32" i="37"/>
  <c r="AU32" i="37"/>
  <c r="AV32" i="37"/>
  <c r="AW32" i="37"/>
  <c r="AX32" i="37"/>
  <c r="AY32" i="37"/>
  <c r="AZ32" i="37"/>
  <c r="BA32" i="37"/>
  <c r="BB32" i="37"/>
  <c r="BC32" i="37"/>
  <c r="BD32" i="37"/>
  <c r="BE32" i="37"/>
  <c r="BF32" i="37"/>
  <c r="BG32" i="37"/>
  <c r="BH32" i="37"/>
  <c r="BI32" i="37"/>
  <c r="BJ32" i="37"/>
  <c r="BK32" i="37"/>
  <c r="BL32" i="37"/>
  <c r="BM32" i="37"/>
  <c r="BN32" i="37"/>
  <c r="BO32" i="37"/>
  <c r="BP32" i="37"/>
  <c r="BQ32" i="37"/>
  <c r="BR32" i="37"/>
  <c r="BS32" i="37"/>
  <c r="BT32" i="37"/>
  <c r="BU32" i="37"/>
  <c r="BV32" i="37"/>
  <c r="BW32" i="37"/>
  <c r="BX32" i="37"/>
  <c r="BY32" i="37"/>
  <c r="BZ32" i="37"/>
  <c r="CA32" i="37"/>
  <c r="CB32" i="37"/>
  <c r="CC32" i="37"/>
  <c r="CD32" i="37"/>
  <c r="CE32" i="37"/>
  <c r="CF32" i="37"/>
  <c r="CG32" i="37"/>
  <c r="CH32" i="37"/>
  <c r="CI32" i="37"/>
  <c r="CJ32" i="37"/>
  <c r="CK32" i="37"/>
  <c r="CL32" i="37"/>
  <c r="CM32" i="37"/>
  <c r="CN32" i="37"/>
  <c r="CO32" i="37"/>
  <c r="CP32" i="37"/>
  <c r="CQ32" i="37"/>
  <c r="CR32" i="37"/>
  <c r="CS32" i="37"/>
  <c r="CT32" i="37"/>
  <c r="CU32" i="37"/>
  <c r="CV32" i="37"/>
  <c r="CW32" i="37"/>
  <c r="CX32" i="37"/>
  <c r="CY32" i="37"/>
  <c r="CZ32" i="37"/>
  <c r="DA32" i="37"/>
  <c r="DB32" i="37"/>
  <c r="DC32" i="37"/>
  <c r="DD32" i="37"/>
  <c r="DE32" i="37"/>
  <c r="DE36" i="38"/>
  <c r="J60" i="38"/>
  <c r="J15" i="38"/>
  <c r="J73" i="38"/>
  <c r="J88" i="38"/>
  <c r="J90" i="38"/>
  <c r="J74" i="38"/>
  <c r="J17" i="38"/>
  <c r="X36" i="38"/>
  <c r="Q36" i="38"/>
  <c r="V36" i="38"/>
  <c r="Y36" i="38"/>
  <c r="L36" i="38"/>
  <c r="AJ36" i="38"/>
  <c r="AT36" i="38"/>
  <c r="Z36" i="38"/>
  <c r="BB36" i="38"/>
  <c r="AE36" i="38"/>
  <c r="U36" i="38"/>
  <c r="AD36" i="38"/>
  <c r="AC37" i="38"/>
  <c r="AC38" i="38"/>
  <c r="AC51" i="38"/>
  <c r="H51" i="38" a="1"/>
  <c r="S36" i="38"/>
  <c r="AN36" i="38"/>
  <c r="R36" i="38"/>
  <c r="W36" i="38"/>
  <c r="BN36" i="38"/>
  <c r="CS36" i="38"/>
  <c r="CY36" i="38"/>
  <c r="AW36" i="38"/>
  <c r="DD36" i="38"/>
  <c r="AH36" i="38"/>
  <c r="AX36" i="38"/>
  <c r="AW37" i="38"/>
  <c r="AW38" i="38"/>
  <c r="AW51" i="38"/>
  <c r="BX36" i="38"/>
  <c r="CV36" i="38"/>
  <c r="CO36" i="38"/>
  <c r="BW36" i="38"/>
  <c r="BY36" i="38"/>
  <c r="BG36" i="38"/>
  <c r="BL36" i="38"/>
  <c r="BF36" i="38"/>
  <c r="CC36" i="38"/>
  <c r="CI36" i="38"/>
  <c r="AL36" i="38"/>
  <c r="BH36" i="38"/>
  <c r="CH36" i="38"/>
  <c r="CW36" i="38"/>
  <c r="CT36" i="38"/>
  <c r="AM36" i="38"/>
  <c r="BE36" i="38"/>
  <c r="AR36" i="38"/>
  <c r="CF36" i="38"/>
  <c r="CA36" i="38"/>
  <c r="CE36" i="38"/>
  <c r="AP36" i="38"/>
  <c r="AG36" i="38"/>
  <c r="CR36" i="38"/>
  <c r="BK36" i="38"/>
  <c r="BQ36" i="38"/>
  <c r="CB36" i="38"/>
  <c r="CP36" i="38"/>
  <c r="CU36" i="38"/>
  <c r="AV36" i="38"/>
  <c r="AO36" i="38"/>
  <c r="AY36" i="38"/>
  <c r="AA36" i="38"/>
  <c r="AC36" i="38"/>
  <c r="BT36" i="38"/>
  <c r="CM36" i="38"/>
  <c r="BZ36" i="38"/>
  <c r="P36" i="38"/>
  <c r="DB36" i="38"/>
  <c r="BA36" i="38"/>
  <c r="BJ36" i="38"/>
  <c r="BV36" i="38"/>
  <c r="BU36" i="38"/>
  <c r="CD36" i="38"/>
  <c r="AS36" i="38"/>
  <c r="AU36" i="38"/>
  <c r="BM36" i="38"/>
  <c r="AZ36" i="38"/>
  <c r="CN36" i="38"/>
  <c r="CL36" i="38"/>
  <c r="CK37" i="38"/>
  <c r="CK38" i="38"/>
  <c r="CK51" i="38"/>
  <c r="BP36" i="38"/>
  <c r="T36" i="38"/>
  <c r="AI36" i="38"/>
  <c r="CK36" i="38"/>
  <c r="AF36" i="38"/>
  <c r="CQ36" i="38"/>
  <c r="BR36" i="38"/>
  <c r="BQ37" i="38"/>
  <c r="BQ38" i="38"/>
  <c r="BQ51" i="38"/>
  <c r="O36" i="38"/>
  <c r="AK36" i="38"/>
  <c r="CJ36" i="38"/>
  <c r="CX36" i="38"/>
  <c r="CZ36" i="38"/>
  <c r="DC36" i="38"/>
  <c r="BD36" i="38"/>
  <c r="AQ36" i="38"/>
  <c r="BI36" i="38"/>
  <c r="CG36" i="38"/>
  <c r="BO36" i="38"/>
  <c r="DA36" i="38"/>
  <c r="BC36" i="38"/>
  <c r="BS36" i="38"/>
  <c r="J46" i="38"/>
  <c r="J63" i="38"/>
  <c r="J48" i="38"/>
  <c r="J64" i="38"/>
  <c r="J16" i="38"/>
  <c r="J13" i="38"/>
  <c r="J76" i="38"/>
  <c r="K71" i="38"/>
  <c r="K82" i="38"/>
  <c r="K17" i="38"/>
  <c r="CK39" i="38"/>
  <c r="CK50" i="38"/>
  <c r="CK15" i="38"/>
  <c r="AC39" i="38"/>
  <c r="AC50" i="38"/>
  <c r="BQ39" i="38"/>
  <c r="BQ50" i="38"/>
  <c r="BQ15" i="38"/>
  <c r="AW39" i="38"/>
  <c r="AW50" i="38"/>
  <c r="AW15" i="38"/>
  <c r="J65" i="38"/>
  <c r="J47" i="38"/>
  <c r="AC15" i="38"/>
  <c r="H50" i="38" a="1"/>
  <c r="K88" i="38"/>
  <c r="K73" i="38"/>
  <c r="K74" i="38"/>
  <c r="J52" i="38"/>
  <c r="K44" i="38"/>
  <c r="K57" i="38"/>
  <c r="J12" i="38"/>
  <c r="K16" i="38"/>
  <c r="K90" i="38"/>
  <c r="K76" i="38"/>
  <c r="L71" i="38"/>
  <c r="L82" i="38"/>
  <c r="L74" i="38"/>
  <c r="L16" i="38"/>
  <c r="L17" i="38"/>
  <c r="K60" i="38"/>
  <c r="K48" i="38"/>
  <c r="J29" i="38"/>
  <c r="K46" i="38"/>
  <c r="K47" i="38"/>
  <c r="K63" i="38"/>
  <c r="K12" i="38"/>
  <c r="K13" i="38"/>
  <c r="K29" i="38"/>
  <c r="L88" i="38"/>
  <c r="L73" i="38"/>
  <c r="L76" i="38"/>
  <c r="M71" i="38"/>
  <c r="M17" i="38"/>
  <c r="K64" i="38"/>
  <c r="K65" i="38"/>
  <c r="K52" i="38"/>
  <c r="L44" i="38"/>
  <c r="L57" i="38"/>
  <c r="L90" i="38"/>
  <c r="M82" i="38"/>
  <c r="L60" i="38"/>
  <c r="M73" i="38"/>
  <c r="M88" i="38"/>
  <c r="M74" i="38"/>
  <c r="N17" i="38"/>
  <c r="L46" i="38"/>
  <c r="L63" i="38"/>
  <c r="L48" i="38"/>
  <c r="L64" i="38"/>
  <c r="L13" i="38"/>
  <c r="M76" i="38"/>
  <c r="N71" i="38"/>
  <c r="N82" i="38"/>
  <c r="M16" i="38"/>
  <c r="M90" i="38"/>
  <c r="O17" i="38"/>
  <c r="L65" i="38"/>
  <c r="L47" i="38"/>
  <c r="N74" i="38"/>
  <c r="N16" i="38"/>
  <c r="N73" i="38"/>
  <c r="N88" i="38"/>
  <c r="L52" i="38"/>
  <c r="M44" i="38"/>
  <c r="M57" i="38"/>
  <c r="L12" i="38"/>
  <c r="N76" i="38"/>
  <c r="O71" i="38"/>
  <c r="O82" i="38"/>
  <c r="O74" i="38"/>
  <c r="O73" i="38"/>
  <c r="O88" i="38"/>
  <c r="O90" i="38"/>
  <c r="O76" i="38"/>
  <c r="P71" i="38"/>
  <c r="P82" i="38"/>
  <c r="O16" i="38"/>
  <c r="N90" i="38"/>
  <c r="P17" i="38"/>
  <c r="M60" i="38"/>
  <c r="M48" i="38"/>
  <c r="L29" i="38"/>
  <c r="M46" i="38"/>
  <c r="M47" i="38"/>
  <c r="M12" i="38"/>
  <c r="M63" i="38"/>
  <c r="M13" i="38"/>
  <c r="P73" i="38"/>
  <c r="P88" i="38"/>
  <c r="P74" i="38"/>
  <c r="P16" i="38"/>
  <c r="M64" i="38"/>
  <c r="M65" i="38"/>
  <c r="M29" i="38"/>
  <c r="M52" i="38"/>
  <c r="N44" i="38"/>
  <c r="N57" i="38"/>
  <c r="P90" i="38"/>
  <c r="P76" i="38"/>
  <c r="Q71" i="38"/>
  <c r="Q82" i="38"/>
  <c r="N60" i="38"/>
  <c r="Q73" i="38"/>
  <c r="Q88" i="38"/>
  <c r="Q90" i="38"/>
  <c r="Q17" i="38"/>
  <c r="Q74" i="38"/>
  <c r="Q16" i="38"/>
  <c r="N46" i="38"/>
  <c r="N63" i="38"/>
  <c r="N64" i="38"/>
  <c r="N48" i="38"/>
  <c r="N13" i="38"/>
  <c r="Q76" i="38"/>
  <c r="R71" i="38"/>
  <c r="N65" i="38"/>
  <c r="N47" i="38"/>
  <c r="N12" i="38"/>
  <c r="R82" i="38"/>
  <c r="R17" i="38"/>
  <c r="N52" i="38"/>
  <c r="O44" i="38"/>
  <c r="N29" i="38"/>
  <c r="R88" i="38"/>
  <c r="R90" i="38"/>
  <c r="R73" i="38"/>
  <c r="R74" i="38"/>
  <c r="R16" i="38"/>
  <c r="O60" i="38"/>
  <c r="O48" i="38"/>
  <c r="O13" i="38"/>
  <c r="O57" i="38"/>
  <c r="O46" i="38"/>
  <c r="O47" i="38"/>
  <c r="O12" i="38"/>
  <c r="R76" i="38"/>
  <c r="S71" i="38"/>
  <c r="S82" i="38"/>
  <c r="S17" i="38"/>
  <c r="O63" i="38"/>
  <c r="O64" i="38"/>
  <c r="O29" i="38"/>
  <c r="O52" i="38"/>
  <c r="P44" i="38"/>
  <c r="P57" i="38"/>
  <c r="S88" i="38"/>
  <c r="S90" i="38"/>
  <c r="S73" i="38"/>
  <c r="S74" i="38"/>
  <c r="S16" i="38"/>
  <c r="O65" i="38"/>
  <c r="P60" i="38"/>
  <c r="S76" i="38"/>
  <c r="T71" i="38"/>
  <c r="P46" i="38"/>
  <c r="P63" i="38"/>
  <c r="P48" i="38"/>
  <c r="P13" i="38"/>
  <c r="P64" i="38"/>
  <c r="T82" i="38"/>
  <c r="T17" i="38"/>
  <c r="P65" i="38"/>
  <c r="P47" i="38"/>
  <c r="P12" i="38"/>
  <c r="T73" i="38"/>
  <c r="T88" i="38"/>
  <c r="T90" i="38"/>
  <c r="T74" i="38"/>
  <c r="T16" i="38"/>
  <c r="P52" i="38"/>
  <c r="Q44" i="38"/>
  <c r="Q57" i="38"/>
  <c r="P29" i="38"/>
  <c r="T76" i="38"/>
  <c r="U71" i="38"/>
  <c r="Q60" i="38"/>
  <c r="Q48" i="38"/>
  <c r="Q13" i="38"/>
  <c r="Q46" i="38"/>
  <c r="Q63" i="38"/>
  <c r="U17" i="38"/>
  <c r="U82" i="38"/>
  <c r="Q64" i="38"/>
  <c r="Q65" i="38"/>
  <c r="Q47" i="38"/>
  <c r="U73" i="38"/>
  <c r="U88" i="38"/>
  <c r="U90" i="38"/>
  <c r="U74" i="38"/>
  <c r="U16" i="38"/>
  <c r="Q52" i="38"/>
  <c r="R44" i="38"/>
  <c r="Q12" i="38"/>
  <c r="Q29" i="38"/>
  <c r="U76" i="38"/>
  <c r="V71" i="38"/>
  <c r="V82" i="38"/>
  <c r="V17" i="38"/>
  <c r="R60" i="38"/>
  <c r="R48" i="38"/>
  <c r="R13" i="38"/>
  <c r="R57" i="38"/>
  <c r="R46" i="38"/>
  <c r="R47" i="38"/>
  <c r="V73" i="38"/>
  <c r="V88" i="38"/>
  <c r="V90" i="38"/>
  <c r="V74" i="38"/>
  <c r="V16" i="38"/>
  <c r="R64" i="38"/>
  <c r="R63" i="38"/>
  <c r="R52" i="38"/>
  <c r="S44" i="38"/>
  <c r="R12" i="38"/>
  <c r="R29" i="38"/>
  <c r="V76" i="38"/>
  <c r="W71" i="38"/>
  <c r="R65" i="38"/>
  <c r="S60" i="38"/>
  <c r="S48" i="38"/>
  <c r="S13" i="38"/>
  <c r="S57" i="38"/>
  <c r="S46" i="38"/>
  <c r="W82" i="38"/>
  <c r="W17" i="38"/>
  <c r="S64" i="38"/>
  <c r="S63" i="38"/>
  <c r="S47" i="38"/>
  <c r="W73" i="38"/>
  <c r="W88" i="38"/>
  <c r="W90" i="38"/>
  <c r="W74" i="38"/>
  <c r="W16" i="38"/>
  <c r="S65" i="38"/>
  <c r="S52" i="38"/>
  <c r="T44" i="38"/>
  <c r="S12" i="38"/>
  <c r="S29" i="38"/>
  <c r="W76" i="38"/>
  <c r="X71" i="38"/>
  <c r="T60" i="38"/>
  <c r="T48" i="38"/>
  <c r="T13" i="38"/>
  <c r="T57" i="38"/>
  <c r="T46" i="38"/>
  <c r="X82" i="38"/>
  <c r="X17" i="38"/>
  <c r="T64" i="38"/>
  <c r="T63" i="38"/>
  <c r="T47" i="38"/>
  <c r="T12" i="38"/>
  <c r="T29" i="38"/>
  <c r="X73" i="38"/>
  <c r="X88" i="38"/>
  <c r="X90" i="38"/>
  <c r="X74" i="38"/>
  <c r="X16" i="38"/>
  <c r="T65" i="38"/>
  <c r="T52" i="38"/>
  <c r="U44" i="38"/>
  <c r="X76" i="38"/>
  <c r="Y71" i="38"/>
  <c r="Y82" i="38"/>
  <c r="U60" i="38"/>
  <c r="U64" i="38"/>
  <c r="U57" i="38"/>
  <c r="U63" i="38"/>
  <c r="Y73" i="38"/>
  <c r="Y88" i="38"/>
  <c r="Y90" i="38"/>
  <c r="Y17" i="38"/>
  <c r="Y74" i="38"/>
  <c r="Y16" i="38"/>
  <c r="U48" i="38"/>
  <c r="U13" i="38"/>
  <c r="U46" i="38"/>
  <c r="U47" i="38"/>
  <c r="U65" i="38"/>
  <c r="Y76" i="38"/>
  <c r="Z71" i="38"/>
  <c r="Z82" i="38"/>
  <c r="U52" i="38"/>
  <c r="V44" i="38"/>
  <c r="V57" i="38"/>
  <c r="U12" i="38"/>
  <c r="U29" i="38"/>
  <c r="Z88" i="38"/>
  <c r="Z90" i="38"/>
  <c r="Z73" i="38"/>
  <c r="Z17" i="38"/>
  <c r="Z74" i="38"/>
  <c r="Z16" i="38"/>
  <c r="V60" i="38"/>
  <c r="V48" i="38"/>
  <c r="V13" i="38"/>
  <c r="V63" i="38"/>
  <c r="V46" i="38"/>
  <c r="V47" i="38"/>
  <c r="V12" i="38"/>
  <c r="Z76" i="38"/>
  <c r="AA71" i="38"/>
  <c r="V29" i="38"/>
  <c r="V64" i="38"/>
  <c r="V65" i="38"/>
  <c r="V52" i="38"/>
  <c r="W44" i="38"/>
  <c r="W57" i="38"/>
  <c r="AA82" i="38"/>
  <c r="AA17" i="38"/>
  <c r="W60" i="38"/>
  <c r="AA88" i="38"/>
  <c r="AA90" i="38"/>
  <c r="AA73" i="38"/>
  <c r="AA74" i="38"/>
  <c r="AA16" i="38"/>
  <c r="W48" i="38"/>
  <c r="W13" i="38"/>
  <c r="W64" i="38"/>
  <c r="W46" i="38"/>
  <c r="W47" i="38"/>
  <c r="W12" i="38"/>
  <c r="W63" i="38"/>
  <c r="AA76" i="38"/>
  <c r="AB71" i="38"/>
  <c r="W65" i="38"/>
  <c r="W29" i="38"/>
  <c r="W52" i="38"/>
  <c r="X44" i="38"/>
  <c r="X57" i="38"/>
  <c r="AB82" i="38"/>
  <c r="AB17" i="38"/>
  <c r="X60" i="38"/>
  <c r="AB88" i="38"/>
  <c r="AB90" i="38"/>
  <c r="AB73" i="38"/>
  <c r="AB74" i="38"/>
  <c r="AB16" i="38"/>
  <c r="X46" i="38"/>
  <c r="X47" i="38"/>
  <c r="X12" i="38"/>
  <c r="X63" i="38"/>
  <c r="X64" i="38"/>
  <c r="X48" i="38"/>
  <c r="X13" i="38"/>
  <c r="AB76" i="38"/>
  <c r="AC71" i="38"/>
  <c r="AC82" i="38"/>
  <c r="X29" i="38"/>
  <c r="X65" i="38"/>
  <c r="X52" i="38"/>
  <c r="Y44" i="38"/>
  <c r="Y57" i="38"/>
  <c r="AC73" i="38"/>
  <c r="AC88" i="38"/>
  <c r="AC90" i="38"/>
  <c r="AC17" i="38"/>
  <c r="AC74" i="38"/>
  <c r="AC16" i="38"/>
  <c r="Y60" i="38"/>
  <c r="AC76" i="38"/>
  <c r="AD71" i="38"/>
  <c r="Y46" i="38"/>
  <c r="Y63" i="38"/>
  <c r="Y64" i="38"/>
  <c r="Y48" i="38"/>
  <c r="Y13" i="38"/>
  <c r="AD82" i="38"/>
  <c r="AD17" i="38"/>
  <c r="Y65" i="38"/>
  <c r="Y47" i="38"/>
  <c r="Y12" i="38"/>
  <c r="Y29" i="38"/>
  <c r="AD73" i="38"/>
  <c r="AD88" i="38"/>
  <c r="AD90" i="38"/>
  <c r="AD74" i="38"/>
  <c r="AD16" i="38"/>
  <c r="Y52" i="38"/>
  <c r="Z44" i="38"/>
  <c r="AD76" i="38"/>
  <c r="AE71" i="38"/>
  <c r="Z60" i="38"/>
  <c r="Z64" i="38"/>
  <c r="Z57" i="38"/>
  <c r="Z46" i="38"/>
  <c r="Z47" i="38"/>
  <c r="Z12" i="38"/>
  <c r="AE82" i="38"/>
  <c r="AE17" i="38"/>
  <c r="Z48" i="38"/>
  <c r="Z13" i="38"/>
  <c r="Z29" i="38"/>
  <c r="Z63" i="38"/>
  <c r="Z65" i="38"/>
  <c r="AE73" i="38"/>
  <c r="AE88" i="38"/>
  <c r="AE90" i="38"/>
  <c r="AE74" i="38"/>
  <c r="AE16" i="38"/>
  <c r="Z52" i="38"/>
  <c r="AA44" i="38"/>
  <c r="AA57" i="38"/>
  <c r="AE76" i="38"/>
  <c r="AF71" i="38"/>
  <c r="AF82" i="38"/>
  <c r="AA60" i="38"/>
  <c r="AA48" i="38"/>
  <c r="AA13" i="38"/>
  <c r="AA63" i="38"/>
  <c r="AA46" i="38"/>
  <c r="AF73" i="38"/>
  <c r="AF88" i="38"/>
  <c r="AF90" i="38"/>
  <c r="AF17" i="38"/>
  <c r="AF74" i="38"/>
  <c r="AF16" i="38"/>
  <c r="AA64" i="38"/>
  <c r="AA47" i="38"/>
  <c r="AA65" i="38"/>
  <c r="AF76" i="38"/>
  <c r="AG71" i="38"/>
  <c r="AG17" i="38"/>
  <c r="AA52" i="38"/>
  <c r="AB44" i="38"/>
  <c r="AA12" i="38"/>
  <c r="AA29" i="38"/>
  <c r="AG82" i="38"/>
  <c r="AB60" i="38"/>
  <c r="AB48" i="38"/>
  <c r="AB13" i="38"/>
  <c r="AB57" i="38"/>
  <c r="AB46" i="38"/>
  <c r="AG73" i="38"/>
  <c r="AG88" i="38"/>
  <c r="AG90" i="38"/>
  <c r="AG74" i="38"/>
  <c r="AG16" i="38"/>
  <c r="AB64" i="38"/>
  <c r="AB63" i="38"/>
  <c r="AB65" i="38"/>
  <c r="AB47" i="38"/>
  <c r="AG76" i="38"/>
  <c r="AH71" i="38"/>
  <c r="AH82" i="38"/>
  <c r="AH17" i="38"/>
  <c r="AB52" i="38"/>
  <c r="AC44" i="38"/>
  <c r="AB12" i="38"/>
  <c r="AB29" i="38"/>
  <c r="AH88" i="38"/>
  <c r="AH90" i="38"/>
  <c r="AH73" i="38"/>
  <c r="AH74" i="38"/>
  <c r="AH16" i="38"/>
  <c r="AC60" i="38"/>
  <c r="AC48" i="38"/>
  <c r="AC13" i="38"/>
  <c r="AC57" i="38"/>
  <c r="AC63" i="38"/>
  <c r="AH76" i="38"/>
  <c r="AI71" i="38"/>
  <c r="AI82" i="38"/>
  <c r="AC64" i="38"/>
  <c r="AC65" i="38"/>
  <c r="AC46" i="38"/>
  <c r="AC47" i="38"/>
  <c r="AC12" i="38"/>
  <c r="AC29" i="38"/>
  <c r="AI88" i="38"/>
  <c r="AI90" i="38"/>
  <c r="AI73" i="38"/>
  <c r="AI17" i="38"/>
  <c r="AI74" i="38"/>
  <c r="AI16" i="38"/>
  <c r="AC49" i="38"/>
  <c r="AC14" i="38"/>
  <c r="AI76" i="38"/>
  <c r="AJ71" i="38"/>
  <c r="AC52" i="38"/>
  <c r="AD44" i="38"/>
  <c r="AJ82" i="38"/>
  <c r="AJ17" i="38"/>
  <c r="AD57" i="38"/>
  <c r="AD46" i="38"/>
  <c r="AD47" i="38"/>
  <c r="AD60" i="38"/>
  <c r="AJ88" i="38"/>
  <c r="AJ90" i="38"/>
  <c r="AJ73" i="38"/>
  <c r="AJ74" i="38"/>
  <c r="AJ16" i="38"/>
  <c r="AD63" i="38"/>
  <c r="AD12" i="38"/>
  <c r="AD48" i="38"/>
  <c r="AD13" i="38"/>
  <c r="AD64" i="38"/>
  <c r="AJ76" i="38"/>
  <c r="AK71" i="38"/>
  <c r="AK82" i="38"/>
  <c r="AD65" i="38"/>
  <c r="AD29" i="38"/>
  <c r="AD52" i="38"/>
  <c r="AE44" i="38"/>
  <c r="AE57" i="38"/>
  <c r="AK73" i="38"/>
  <c r="AK88" i="38"/>
  <c r="AK90" i="38"/>
  <c r="AK17" i="38"/>
  <c r="AK74" i="38"/>
  <c r="AK16" i="38"/>
  <c r="AE60" i="38"/>
  <c r="AK76" i="38"/>
  <c r="AL71" i="38"/>
  <c r="AL82" i="38"/>
  <c r="AE46" i="38"/>
  <c r="AE63" i="38"/>
  <c r="AE64" i="38"/>
  <c r="AE48" i="38"/>
  <c r="AE13" i="38"/>
  <c r="AL73" i="38"/>
  <c r="AL88" i="38"/>
  <c r="AL90" i="38"/>
  <c r="AL17" i="38"/>
  <c r="AL74" i="38"/>
  <c r="AL16" i="38"/>
  <c r="AE65" i="38"/>
  <c r="AE47" i="38"/>
  <c r="AE12" i="38"/>
  <c r="AE29" i="38"/>
  <c r="AL76" i="38"/>
  <c r="AM71" i="38"/>
  <c r="AE52" i="38"/>
  <c r="AF44" i="38"/>
  <c r="AF57" i="38"/>
  <c r="AM82" i="38"/>
  <c r="AM17" i="38"/>
  <c r="AF60" i="38"/>
  <c r="AF64" i="38"/>
  <c r="AF46" i="38"/>
  <c r="AF47" i="38"/>
  <c r="AF63" i="38"/>
  <c r="AM73" i="38"/>
  <c r="AM88" i="38"/>
  <c r="AM90" i="38"/>
  <c r="AM74" i="38"/>
  <c r="AM16" i="38"/>
  <c r="AF48" i="38"/>
  <c r="AF13" i="38"/>
  <c r="AF65" i="38"/>
  <c r="AF12" i="38"/>
  <c r="AM76" i="38"/>
  <c r="AN71" i="38"/>
  <c r="AF29" i="38"/>
  <c r="AF52" i="38"/>
  <c r="AG44" i="38"/>
  <c r="AG57" i="38"/>
  <c r="AN17" i="38"/>
  <c r="AN82" i="38"/>
  <c r="AG60" i="38"/>
  <c r="AG64" i="38"/>
  <c r="AG63" i="38"/>
  <c r="AG46" i="38"/>
  <c r="AN73" i="38"/>
  <c r="AN88" i="38"/>
  <c r="AN90" i="38"/>
  <c r="AN74" i="38"/>
  <c r="AN16" i="38"/>
  <c r="AG48" i="38"/>
  <c r="AG13" i="38"/>
  <c r="AG65" i="38"/>
  <c r="AG47" i="38"/>
  <c r="AG12" i="38"/>
  <c r="AG29" i="38"/>
  <c r="AN76" i="38"/>
  <c r="AO71" i="38"/>
  <c r="AO82" i="38"/>
  <c r="AO17" i="38"/>
  <c r="AG52" i="38"/>
  <c r="AH44" i="38"/>
  <c r="AO73" i="38"/>
  <c r="AO88" i="38"/>
  <c r="AO90" i="38"/>
  <c r="AO74" i="38"/>
  <c r="AO16" i="38"/>
  <c r="AH60" i="38"/>
  <c r="AH64" i="38"/>
  <c r="AH57" i="38"/>
  <c r="AH63" i="38"/>
  <c r="AO76" i="38"/>
  <c r="AP71" i="38"/>
  <c r="AH48" i="38"/>
  <c r="AH13" i="38"/>
  <c r="AH46" i="38"/>
  <c r="AH47" i="38"/>
  <c r="AH12" i="38"/>
  <c r="AH65" i="38"/>
  <c r="AP82" i="38"/>
  <c r="AP17" i="38"/>
  <c r="AH29" i="38"/>
  <c r="AH52" i="38"/>
  <c r="AI44" i="38"/>
  <c r="AI57" i="38"/>
  <c r="AP88" i="38"/>
  <c r="AP90" i="38"/>
  <c r="AP73" i="38"/>
  <c r="AP74" i="38"/>
  <c r="AP16" i="38"/>
  <c r="AI60" i="38"/>
  <c r="AP76" i="38"/>
  <c r="AQ71" i="38"/>
  <c r="AQ82" i="38"/>
  <c r="AQ17" i="38"/>
  <c r="AI64" i="38"/>
  <c r="AI48" i="38"/>
  <c r="AI13" i="38"/>
  <c r="AI46" i="38"/>
  <c r="AI63" i="38"/>
  <c r="AQ88" i="38"/>
  <c r="AQ90" i="38"/>
  <c r="AQ73" i="38"/>
  <c r="AQ74" i="38"/>
  <c r="AQ16" i="38"/>
  <c r="AI65" i="38"/>
  <c r="AI47" i="38"/>
  <c r="AI12" i="38"/>
  <c r="AI29" i="38"/>
  <c r="AQ76" i="38"/>
  <c r="AR71" i="38"/>
  <c r="AI52" i="38"/>
  <c r="AJ44" i="38"/>
  <c r="AR82" i="38"/>
  <c r="AR17" i="38"/>
  <c r="AJ60" i="38"/>
  <c r="AJ64" i="38"/>
  <c r="AJ57" i="38"/>
  <c r="AJ46" i="38"/>
  <c r="AR88" i="38"/>
  <c r="AR90" i="38"/>
  <c r="AR73" i="38"/>
  <c r="AR74" i="38"/>
  <c r="AR16" i="38"/>
  <c r="AJ48" i="38"/>
  <c r="AJ13" i="38"/>
  <c r="AJ63" i="38"/>
  <c r="AJ65" i="38"/>
  <c r="AJ47" i="38"/>
  <c r="AJ12" i="38"/>
  <c r="AR76" i="38"/>
  <c r="AS71" i="38"/>
  <c r="AS82" i="38"/>
  <c r="AJ29" i="38"/>
  <c r="AJ52" i="38"/>
  <c r="AK44" i="38"/>
  <c r="AK57" i="38"/>
  <c r="AS73" i="38"/>
  <c r="AS88" i="38"/>
  <c r="AS90" i="38"/>
  <c r="AS17" i="38"/>
  <c r="AS74" i="38"/>
  <c r="AS16" i="38"/>
  <c r="AK60" i="38"/>
  <c r="AS76" i="38"/>
  <c r="AT71" i="38"/>
  <c r="AT17" i="38"/>
  <c r="AK63" i="38"/>
  <c r="AK46" i="38"/>
  <c r="AK47" i="38"/>
  <c r="AK48" i="38"/>
  <c r="AK13" i="38"/>
  <c r="AK64" i="38"/>
  <c r="AT82" i="38"/>
  <c r="AK52" i="38"/>
  <c r="AL44" i="38"/>
  <c r="AL57" i="38"/>
  <c r="AK12" i="38"/>
  <c r="AK29" i="38"/>
  <c r="AK65" i="38"/>
  <c r="AT74" i="38"/>
  <c r="AT16" i="38"/>
  <c r="AT73" i="38"/>
  <c r="AT88" i="38"/>
  <c r="AT90" i="38"/>
  <c r="AL60" i="38"/>
  <c r="AT76" i="38"/>
  <c r="AU71" i="38"/>
  <c r="AU82" i="38"/>
  <c r="AU17" i="38"/>
  <c r="AL48" i="38"/>
  <c r="AL13" i="38"/>
  <c r="AL64" i="38"/>
  <c r="AL46" i="38"/>
  <c r="AL47" i="38"/>
  <c r="AL63" i="38"/>
  <c r="AU73" i="38"/>
  <c r="AU88" i="38"/>
  <c r="AU90" i="38"/>
  <c r="AU74" i="38"/>
  <c r="AU16" i="38"/>
  <c r="AL65" i="38"/>
  <c r="AL52" i="38"/>
  <c r="AM44" i="38"/>
  <c r="AM57" i="38"/>
  <c r="AL12" i="38"/>
  <c r="AL29" i="38"/>
  <c r="AU76" i="38"/>
  <c r="AV71" i="38"/>
  <c r="AV82" i="38"/>
  <c r="AM60" i="38"/>
  <c r="AV73" i="38"/>
  <c r="AV88" i="38"/>
  <c r="AV90" i="38"/>
  <c r="AV17" i="38"/>
  <c r="AV74" i="38"/>
  <c r="AV16" i="38"/>
  <c r="AM64" i="38"/>
  <c r="AM48" i="38"/>
  <c r="AM13" i="38"/>
  <c r="AM46" i="38"/>
  <c r="AM47" i="38"/>
  <c r="AM63" i="38"/>
  <c r="AV76" i="38"/>
  <c r="AW71" i="38"/>
  <c r="AM65" i="38"/>
  <c r="AM52" i="38"/>
  <c r="AN44" i="38"/>
  <c r="AN57" i="38"/>
  <c r="AM12" i="38"/>
  <c r="AM29" i="38"/>
  <c r="AW82" i="38"/>
  <c r="AW17" i="38"/>
  <c r="AN60" i="38"/>
  <c r="AW73" i="38"/>
  <c r="AW88" i="38"/>
  <c r="AW90" i="38"/>
  <c r="AW74" i="38"/>
  <c r="AW16" i="38"/>
  <c r="AN63" i="38"/>
  <c r="AN46" i="38"/>
  <c r="AN47" i="38"/>
  <c r="AN48" i="38"/>
  <c r="AN13" i="38"/>
  <c r="AN64" i="38"/>
  <c r="AW76" i="38"/>
  <c r="AX71" i="38"/>
  <c r="AX82" i="38"/>
  <c r="AX17" i="38"/>
  <c r="AN52" i="38"/>
  <c r="AO44" i="38"/>
  <c r="AO57" i="38"/>
  <c r="AN12" i="38"/>
  <c r="AN29" i="38"/>
  <c r="AN65" i="38"/>
  <c r="AX73" i="38"/>
  <c r="AX88" i="38"/>
  <c r="AX90" i="38"/>
  <c r="AX74" i="38"/>
  <c r="AX16" i="38"/>
  <c r="AO60" i="38"/>
  <c r="AX76" i="38"/>
  <c r="AY71" i="38"/>
  <c r="AO64" i="38"/>
  <c r="AO48" i="38"/>
  <c r="AO13" i="38"/>
  <c r="AO46" i="38"/>
  <c r="AO47" i="38"/>
  <c r="AO63" i="38"/>
  <c r="AY82" i="38"/>
  <c r="AY17" i="38"/>
  <c r="AO65" i="38"/>
  <c r="AO52" i="38"/>
  <c r="AP44" i="38"/>
  <c r="AP57" i="38"/>
  <c r="AO12" i="38"/>
  <c r="AO29" i="38"/>
  <c r="AY88" i="38"/>
  <c r="AY90" i="38"/>
  <c r="AY73" i="38"/>
  <c r="AY74" i="38"/>
  <c r="AY16" i="38"/>
  <c r="AP60" i="38"/>
  <c r="AY76" i="38"/>
  <c r="AZ71" i="38"/>
  <c r="AZ82" i="38"/>
  <c r="AZ17" i="38"/>
  <c r="AP63" i="38"/>
  <c r="AP46" i="38"/>
  <c r="AP47" i="38"/>
  <c r="AP64" i="38"/>
  <c r="AP48" i="38"/>
  <c r="AP13" i="38"/>
  <c r="AZ88" i="38"/>
  <c r="AZ90" i="38"/>
  <c r="AZ73" i="38"/>
  <c r="AZ74" i="38"/>
  <c r="AZ16" i="38"/>
  <c r="AP52" i="38"/>
  <c r="AQ44" i="38"/>
  <c r="AQ57" i="38"/>
  <c r="AP12" i="38"/>
  <c r="AP29" i="38"/>
  <c r="AP65" i="38"/>
  <c r="AZ76" i="38"/>
  <c r="BA71" i="38"/>
  <c r="AQ60" i="38"/>
  <c r="BA82" i="38"/>
  <c r="BA17" i="38"/>
  <c r="AQ64" i="38"/>
  <c r="AQ48" i="38"/>
  <c r="AQ13" i="38"/>
  <c r="AQ46" i="38"/>
  <c r="AQ63" i="38"/>
  <c r="BA73" i="38"/>
  <c r="BA88" i="38"/>
  <c r="BA90" i="38"/>
  <c r="BA74" i="38"/>
  <c r="BA16" i="38"/>
  <c r="BA76" i="38"/>
  <c r="BB71" i="38"/>
  <c r="AQ65" i="38"/>
  <c r="AQ47" i="38"/>
  <c r="AQ12" i="38"/>
  <c r="AQ29" i="38"/>
  <c r="AQ52" i="38"/>
  <c r="AR44" i="38"/>
  <c r="AR57" i="38"/>
  <c r="BB17" i="38"/>
  <c r="BB82" i="38"/>
  <c r="AR60" i="38"/>
  <c r="BB73" i="38"/>
  <c r="BB88" i="38"/>
  <c r="BB90" i="38"/>
  <c r="BB74" i="38"/>
  <c r="BB16" i="38"/>
  <c r="AR46" i="38"/>
  <c r="AR47" i="38"/>
  <c r="AR63" i="38"/>
  <c r="AR64" i="38"/>
  <c r="AR48" i="38"/>
  <c r="AR13" i="38"/>
  <c r="BB76" i="38"/>
  <c r="BC71" i="38"/>
  <c r="AR65" i="38"/>
  <c r="AR52" i="38"/>
  <c r="AS44" i="38"/>
  <c r="AS57" i="38"/>
  <c r="AR12" i="38"/>
  <c r="AR29" i="38"/>
  <c r="BC82" i="38"/>
  <c r="BC17" i="38"/>
  <c r="AS60" i="38"/>
  <c r="BC73" i="38"/>
  <c r="BC88" i="38"/>
  <c r="BC90" i="38"/>
  <c r="BC74" i="38"/>
  <c r="BC16" i="38"/>
  <c r="AS46" i="38"/>
  <c r="AS63" i="38"/>
  <c r="AS64" i="38"/>
  <c r="AS48" i="38"/>
  <c r="AS13" i="38"/>
  <c r="BC76" i="38"/>
  <c r="BD71" i="38"/>
  <c r="AS47" i="38"/>
  <c r="AS12" i="38"/>
  <c r="AS29" i="38"/>
  <c r="AS65" i="38"/>
  <c r="BD17" i="38"/>
  <c r="BD82" i="38"/>
  <c r="AS52" i="38"/>
  <c r="AT44" i="38"/>
  <c r="AT57" i="38"/>
  <c r="BD73" i="38"/>
  <c r="BD88" i="38"/>
  <c r="BD90" i="38"/>
  <c r="BD74" i="38"/>
  <c r="BD16" i="38"/>
  <c r="AT60" i="38"/>
  <c r="AT64" i="38"/>
  <c r="AT46" i="38"/>
  <c r="AT63" i="38"/>
  <c r="BD76" i="38"/>
  <c r="BE71" i="38"/>
  <c r="AT65" i="38"/>
  <c r="AT48" i="38"/>
  <c r="AT13" i="38"/>
  <c r="AT47" i="38"/>
  <c r="AT12" i="38"/>
  <c r="AT29" i="38"/>
  <c r="BE82" i="38"/>
  <c r="BE17" i="38"/>
  <c r="AT52" i="38"/>
  <c r="AU44" i="38"/>
  <c r="AU57" i="38"/>
  <c r="BE73" i="38"/>
  <c r="BE88" i="38"/>
  <c r="BE90" i="38"/>
  <c r="BE74" i="38"/>
  <c r="BE16" i="38"/>
  <c r="AU60" i="38"/>
  <c r="AU64" i="38"/>
  <c r="AU46" i="38"/>
  <c r="AU47" i="38"/>
  <c r="AU63" i="38"/>
  <c r="BE76" i="38"/>
  <c r="BF71" i="38"/>
  <c r="AU65" i="38"/>
  <c r="AU48" i="38"/>
  <c r="AU13" i="38"/>
  <c r="AU52" i="38"/>
  <c r="AV44" i="38"/>
  <c r="AV57" i="38"/>
  <c r="AU12" i="38"/>
  <c r="BF82" i="38"/>
  <c r="BF17" i="38"/>
  <c r="AU29" i="38"/>
  <c r="AV60" i="38"/>
  <c r="BF88" i="38"/>
  <c r="BF90" i="38"/>
  <c r="BF73" i="38"/>
  <c r="BF74" i="38"/>
  <c r="BF16" i="38"/>
  <c r="BF76" i="38"/>
  <c r="BG71" i="38"/>
  <c r="AV48" i="38"/>
  <c r="AV13" i="38"/>
  <c r="AV64" i="38"/>
  <c r="AV63" i="38"/>
  <c r="AV46" i="38"/>
  <c r="BG82" i="38"/>
  <c r="BG17" i="38"/>
  <c r="AV47" i="38"/>
  <c r="AV12" i="38"/>
  <c r="AV29" i="38"/>
  <c r="AV65" i="38"/>
  <c r="BG88" i="38"/>
  <c r="BG90" i="38"/>
  <c r="BG73" i="38"/>
  <c r="BG74" i="38"/>
  <c r="BG16" i="38"/>
  <c r="BG76" i="38"/>
  <c r="BH71" i="38"/>
  <c r="AV52" i="38"/>
  <c r="AW44" i="38"/>
  <c r="BH17" i="38"/>
  <c r="BH82" i="38"/>
  <c r="AW60" i="38"/>
  <c r="AW64" i="38"/>
  <c r="AW57" i="38"/>
  <c r="AW63" i="38"/>
  <c r="BH88" i="38"/>
  <c r="BH90" i="38"/>
  <c r="BH73" i="38"/>
  <c r="BH74" i="38"/>
  <c r="BH16" i="38"/>
  <c r="AW48" i="38"/>
  <c r="AW13" i="38"/>
  <c r="AW46" i="38"/>
  <c r="AW47" i="38"/>
  <c r="AW65" i="38"/>
  <c r="AW12" i="38"/>
  <c r="AW49" i="38"/>
  <c r="BH76" i="38"/>
  <c r="BI71" i="38"/>
  <c r="AW29" i="38"/>
  <c r="AW52" i="38"/>
  <c r="AX44" i="38"/>
  <c r="AX57" i="38"/>
  <c r="AW14" i="38"/>
  <c r="BI82" i="38"/>
  <c r="BI17" i="38"/>
  <c r="AX60" i="38"/>
  <c r="BI73" i="38"/>
  <c r="BI88" i="38"/>
  <c r="BI90" i="38"/>
  <c r="BI74" i="38"/>
  <c r="BI16" i="38"/>
  <c r="AX63" i="38"/>
  <c r="AX46" i="38"/>
  <c r="AX48" i="38"/>
  <c r="AX13" i="38"/>
  <c r="AX64" i="38"/>
  <c r="BI76" i="38"/>
  <c r="BJ71" i="38"/>
  <c r="BJ82" i="38"/>
  <c r="BJ17" i="38"/>
  <c r="AX47" i="38"/>
  <c r="AX12" i="38"/>
  <c r="AX29" i="38"/>
  <c r="AX65" i="38"/>
  <c r="BJ73" i="38"/>
  <c r="BJ88" i="38"/>
  <c r="BJ90" i="38"/>
  <c r="BJ74" i="38"/>
  <c r="BJ16" i="38"/>
  <c r="BJ76" i="38"/>
  <c r="BK71" i="38"/>
  <c r="AX52" i="38"/>
  <c r="AY44" i="38"/>
  <c r="AY57" i="38"/>
  <c r="BK82" i="38"/>
  <c r="BK17" i="38"/>
  <c r="AY60" i="38"/>
  <c r="AY64" i="38"/>
  <c r="AY63" i="38"/>
  <c r="AY46" i="38"/>
  <c r="AY47" i="38"/>
  <c r="BK73" i="38"/>
  <c r="BK88" i="38"/>
  <c r="BK90" i="38"/>
  <c r="BK74" i="38"/>
  <c r="BK16" i="38"/>
  <c r="BK76" i="38"/>
  <c r="BL71" i="38"/>
  <c r="AY48" i="38"/>
  <c r="AY13" i="38"/>
  <c r="AY12" i="38"/>
  <c r="AY65" i="38"/>
  <c r="BL82" i="38"/>
  <c r="BL17" i="38"/>
  <c r="AY29" i="38"/>
  <c r="AY52" i="38"/>
  <c r="AZ44" i="38"/>
  <c r="AZ57" i="38"/>
  <c r="BL73" i="38"/>
  <c r="BL88" i="38"/>
  <c r="BL90" i="38"/>
  <c r="BL74" i="38"/>
  <c r="BL16" i="38"/>
  <c r="AZ60" i="38"/>
  <c r="AZ64" i="38"/>
  <c r="AZ63" i="38"/>
  <c r="AZ46" i="38"/>
  <c r="AZ47" i="38"/>
  <c r="BL76" i="38"/>
  <c r="BM71" i="38"/>
  <c r="BM82" i="38"/>
  <c r="BM17" i="38"/>
  <c r="AZ48" i="38"/>
  <c r="AZ13" i="38"/>
  <c r="AZ65" i="38"/>
  <c r="AZ52" i="38"/>
  <c r="BA44" i="38"/>
  <c r="BA57" i="38"/>
  <c r="AZ12" i="38"/>
  <c r="AZ29" i="38"/>
  <c r="BM73" i="38"/>
  <c r="BM88" i="38"/>
  <c r="BM90" i="38"/>
  <c r="BM74" i="38"/>
  <c r="BM16" i="38"/>
  <c r="BM76" i="38"/>
  <c r="BN71" i="38"/>
  <c r="BA60" i="38"/>
  <c r="BN82" i="38"/>
  <c r="BN17" i="38"/>
  <c r="BA46" i="38"/>
  <c r="BA47" i="38"/>
  <c r="BA63" i="38"/>
  <c r="BA64" i="38"/>
  <c r="BA48" i="38"/>
  <c r="BA13" i="38"/>
  <c r="BN88" i="38"/>
  <c r="BN90" i="38"/>
  <c r="BN73" i="38"/>
  <c r="BN74" i="38"/>
  <c r="BN16" i="38"/>
  <c r="BA52" i="38"/>
  <c r="BB44" i="38"/>
  <c r="BB57" i="38"/>
  <c r="BA12" i="38"/>
  <c r="BA29" i="38"/>
  <c r="BA65" i="38"/>
  <c r="BN76" i="38"/>
  <c r="BO71" i="38"/>
  <c r="BO82" i="38"/>
  <c r="BO17" i="38"/>
  <c r="BB60" i="38"/>
  <c r="BO88" i="38"/>
  <c r="BO90" i="38"/>
  <c r="BO73" i="38"/>
  <c r="BO74" i="38"/>
  <c r="BO16" i="38"/>
  <c r="BO76" i="38"/>
  <c r="BP71" i="38"/>
  <c r="BB48" i="38"/>
  <c r="BB13" i="38"/>
  <c r="BB64" i="38"/>
  <c r="BB46" i="38"/>
  <c r="BB47" i="38"/>
  <c r="BB63" i="38"/>
  <c r="BB65" i="38"/>
  <c r="BP82" i="38"/>
  <c r="BP17" i="38"/>
  <c r="BB52" i="38"/>
  <c r="BC44" i="38"/>
  <c r="BC57" i="38"/>
  <c r="BB12" i="38"/>
  <c r="BB29" i="38"/>
  <c r="BP88" i="38"/>
  <c r="BP90" i="38"/>
  <c r="BP73" i="38"/>
  <c r="BP74" i="38"/>
  <c r="BP16" i="38"/>
  <c r="BP76" i="38"/>
  <c r="BQ71" i="38"/>
  <c r="BC60" i="38"/>
  <c r="BQ82" i="38"/>
  <c r="BQ17" i="38"/>
  <c r="BC46" i="38"/>
  <c r="BC47" i="38"/>
  <c r="BC63" i="38"/>
  <c r="BC48" i="38"/>
  <c r="BC13" i="38"/>
  <c r="BC64" i="38"/>
  <c r="BQ73" i="38"/>
  <c r="BQ88" i="38"/>
  <c r="BQ90" i="38"/>
  <c r="BQ74" i="38"/>
  <c r="BQ16" i="38"/>
  <c r="BQ76" i="38"/>
  <c r="BR71" i="38"/>
  <c r="BC65" i="38"/>
  <c r="BC52" i="38"/>
  <c r="BD44" i="38"/>
  <c r="BD57" i="38"/>
  <c r="BC12" i="38"/>
  <c r="BC29" i="38"/>
  <c r="BR82" i="38"/>
  <c r="BR17" i="38"/>
  <c r="BD60" i="38"/>
  <c r="BR73" i="38"/>
  <c r="BR88" i="38"/>
  <c r="BR90" i="38"/>
  <c r="BR74" i="38"/>
  <c r="BR16" i="38"/>
  <c r="BD46" i="38"/>
  <c r="BD47" i="38"/>
  <c r="BD63" i="38"/>
  <c r="BD48" i="38"/>
  <c r="BD13" i="38"/>
  <c r="BD64" i="38"/>
  <c r="BR76" i="38"/>
  <c r="BS71" i="38"/>
  <c r="BS82" i="38"/>
  <c r="BS17" i="38"/>
  <c r="BD65" i="38"/>
  <c r="BD52" i="38"/>
  <c r="BE44" i="38"/>
  <c r="BE57" i="38"/>
  <c r="BD12" i="38"/>
  <c r="BD29" i="38"/>
  <c r="BS73" i="38"/>
  <c r="BS88" i="38"/>
  <c r="BS90" i="38"/>
  <c r="BS74" i="38"/>
  <c r="BS16" i="38"/>
  <c r="BE60" i="38"/>
  <c r="BS76" i="38"/>
  <c r="BT71" i="38"/>
  <c r="BT82" i="38"/>
  <c r="BT17" i="38"/>
  <c r="BE64" i="38"/>
  <c r="BE48" i="38"/>
  <c r="BE13" i="38"/>
  <c r="BE46" i="38"/>
  <c r="BE47" i="38"/>
  <c r="BE63" i="38"/>
  <c r="BT73" i="38"/>
  <c r="BT88" i="38"/>
  <c r="BT90" i="38"/>
  <c r="BT74" i="38"/>
  <c r="BT16" i="38"/>
  <c r="BT76" i="38"/>
  <c r="BU71" i="38"/>
  <c r="BE65" i="38"/>
  <c r="BE52" i="38"/>
  <c r="BF44" i="38"/>
  <c r="BF57" i="38"/>
  <c r="BE12" i="38"/>
  <c r="BE29" i="38"/>
  <c r="BU82" i="38"/>
  <c r="BU17" i="38"/>
  <c r="BF60" i="38"/>
  <c r="BU73" i="38"/>
  <c r="BU88" i="38"/>
  <c r="BU90" i="38"/>
  <c r="BU74" i="38"/>
  <c r="BU16" i="38"/>
  <c r="BF48" i="38"/>
  <c r="BF13" i="38"/>
  <c r="BF64" i="38"/>
  <c r="BF46" i="38"/>
  <c r="BF47" i="38"/>
  <c r="BF63" i="38"/>
  <c r="BF65" i="38"/>
  <c r="BU76" i="38"/>
  <c r="BV71" i="38"/>
  <c r="BV82" i="38"/>
  <c r="BV17" i="38"/>
  <c r="BF52" i="38"/>
  <c r="BG44" i="38"/>
  <c r="BG57" i="38"/>
  <c r="BF12" i="38"/>
  <c r="BF29" i="38"/>
  <c r="BV88" i="38"/>
  <c r="BV90" i="38"/>
  <c r="BV73" i="38"/>
  <c r="BV74" i="38"/>
  <c r="BV16" i="38"/>
  <c r="BG60" i="38"/>
  <c r="BV76" i="38"/>
  <c r="BW71" i="38"/>
  <c r="BW82" i="38"/>
  <c r="BW17" i="38"/>
  <c r="BG46" i="38"/>
  <c r="BG47" i="38"/>
  <c r="BG63" i="38"/>
  <c r="BG64" i="38"/>
  <c r="BG48" i="38"/>
  <c r="BG13" i="38"/>
  <c r="BW88" i="38"/>
  <c r="BW90" i="38"/>
  <c r="BW73" i="38"/>
  <c r="BW74" i="38"/>
  <c r="BW16" i="38"/>
  <c r="BG65" i="38"/>
  <c r="BG52" i="38"/>
  <c r="BH44" i="38"/>
  <c r="BH57" i="38"/>
  <c r="BG12" i="38"/>
  <c r="BG29" i="38"/>
  <c r="BW76" i="38"/>
  <c r="BX71" i="38"/>
  <c r="BX82" i="38"/>
  <c r="BX17" i="38"/>
  <c r="BH60" i="38"/>
  <c r="BH64" i="38"/>
  <c r="BH46" i="38"/>
  <c r="BH63" i="38"/>
  <c r="BX88" i="38"/>
  <c r="BX90" i="38"/>
  <c r="BX73" i="38"/>
  <c r="BX74" i="38"/>
  <c r="BX16" i="38"/>
  <c r="BH48" i="38"/>
  <c r="BH13" i="38"/>
  <c r="BH65" i="38"/>
  <c r="BH47" i="38"/>
  <c r="BX76" i="38"/>
  <c r="BY71" i="38"/>
  <c r="BY82" i="38"/>
  <c r="BY17" i="38"/>
  <c r="BH52" i="38"/>
  <c r="BI44" i="38"/>
  <c r="BI57" i="38"/>
  <c r="BH12" i="38"/>
  <c r="BH29" i="38"/>
  <c r="BY73" i="38"/>
  <c r="BY88" i="38"/>
  <c r="BY90" i="38"/>
  <c r="BY74" i="38"/>
  <c r="BY16" i="38"/>
  <c r="BI60" i="38"/>
  <c r="BY76" i="38"/>
  <c r="BZ71" i="38"/>
  <c r="BI64" i="38"/>
  <c r="BI48" i="38"/>
  <c r="BI13" i="38"/>
  <c r="BI46" i="38"/>
  <c r="BI63" i="38"/>
  <c r="BZ17" i="38"/>
  <c r="BZ82" i="38"/>
  <c r="BI65" i="38"/>
  <c r="BI47" i="38"/>
  <c r="BZ73" i="38"/>
  <c r="BZ88" i="38"/>
  <c r="BZ90" i="38"/>
  <c r="BZ74" i="38"/>
  <c r="BZ16" i="38"/>
  <c r="BI52" i="38"/>
  <c r="BJ44" i="38"/>
  <c r="BJ57" i="38"/>
  <c r="BI12" i="38"/>
  <c r="BI29" i="38"/>
  <c r="BZ76" i="38"/>
  <c r="CA71" i="38"/>
  <c r="BJ60" i="38"/>
  <c r="CA17" i="38"/>
  <c r="CA82" i="38"/>
  <c r="BJ64" i="38"/>
  <c r="BJ48" i="38"/>
  <c r="BJ13" i="38"/>
  <c r="BJ46" i="38"/>
  <c r="BJ63" i="38"/>
  <c r="CA73" i="38"/>
  <c r="CA88" i="38"/>
  <c r="CA90" i="38"/>
  <c r="CA74" i="38"/>
  <c r="CA16" i="38"/>
  <c r="CA76" i="38"/>
  <c r="CB71" i="38"/>
  <c r="BJ65" i="38"/>
  <c r="BJ47" i="38"/>
  <c r="CB82" i="38"/>
  <c r="CB17" i="38"/>
  <c r="BJ52" i="38"/>
  <c r="BK44" i="38"/>
  <c r="BK57" i="38"/>
  <c r="BJ12" i="38"/>
  <c r="BJ29" i="38"/>
  <c r="CB73" i="38"/>
  <c r="CB88" i="38"/>
  <c r="CB90" i="38"/>
  <c r="CB74" i="38"/>
  <c r="BK60" i="38"/>
  <c r="CB76" i="38"/>
  <c r="CC71" i="38"/>
  <c r="CB16" i="38"/>
  <c r="CC82" i="38"/>
  <c r="CC17" i="38"/>
  <c r="BK64" i="38"/>
  <c r="BK48" i="38"/>
  <c r="BK13" i="38"/>
  <c r="BK46" i="38"/>
  <c r="BK63" i="38"/>
  <c r="CC73" i="38"/>
  <c r="CC88" i="38"/>
  <c r="CC90" i="38"/>
  <c r="CC74" i="38"/>
  <c r="CC16" i="38"/>
  <c r="BK65" i="38"/>
  <c r="BK47" i="38"/>
  <c r="CC76" i="38"/>
  <c r="CD71" i="38"/>
  <c r="BK52" i="38"/>
  <c r="BL44" i="38"/>
  <c r="BL57" i="38"/>
  <c r="BK12" i="38"/>
  <c r="BK29" i="38"/>
  <c r="CD82" i="38"/>
  <c r="CD17" i="38"/>
  <c r="BL60" i="38"/>
  <c r="CD88" i="38"/>
  <c r="CD90" i="38"/>
  <c r="CD73" i="38"/>
  <c r="CD74" i="38"/>
  <c r="CD16" i="38"/>
  <c r="BL64" i="38"/>
  <c r="BL48" i="38"/>
  <c r="BL13" i="38"/>
  <c r="BL63" i="38"/>
  <c r="BL46" i="38"/>
  <c r="CD76" i="38"/>
  <c r="CE71" i="38"/>
  <c r="BL65" i="38"/>
  <c r="BL47" i="38"/>
  <c r="CE82" i="38"/>
  <c r="CE17" i="38"/>
  <c r="BL52" i="38"/>
  <c r="BM44" i="38"/>
  <c r="BM57" i="38"/>
  <c r="BL12" i="38"/>
  <c r="BL29" i="38"/>
  <c r="CE88" i="38"/>
  <c r="CE90" i="38"/>
  <c r="CE73" i="38"/>
  <c r="CE74" i="38"/>
  <c r="BM60" i="38"/>
  <c r="CE76" i="38"/>
  <c r="CF71" i="38"/>
  <c r="CF82" i="38"/>
  <c r="CE16" i="38"/>
  <c r="CF17" i="38"/>
  <c r="BM64" i="38"/>
  <c r="BM48" i="38"/>
  <c r="BM13" i="38"/>
  <c r="BM63" i="38"/>
  <c r="BM65" i="38"/>
  <c r="BM46" i="38"/>
  <c r="CF88" i="38"/>
  <c r="CF90" i="38"/>
  <c r="CF73" i="38"/>
  <c r="CF74" i="38"/>
  <c r="CF16" i="38"/>
  <c r="BM47" i="38"/>
  <c r="CF76" i="38"/>
  <c r="CG71" i="38"/>
  <c r="BM52" i="38"/>
  <c r="BN44" i="38"/>
  <c r="BN57" i="38"/>
  <c r="BM12" i="38"/>
  <c r="BM29" i="38"/>
  <c r="CG82" i="38"/>
  <c r="CG17" i="38"/>
  <c r="BN60" i="38"/>
  <c r="CG73" i="38"/>
  <c r="CG88" i="38"/>
  <c r="CG90" i="38"/>
  <c r="CG74" i="38"/>
  <c r="BN64" i="38"/>
  <c r="BN48" i="38"/>
  <c r="BN13" i="38"/>
  <c r="BN46" i="38"/>
  <c r="BN63" i="38"/>
  <c r="CG76" i="38"/>
  <c r="CH71" i="38"/>
  <c r="CH82" i="38"/>
  <c r="CG16" i="38"/>
  <c r="CH17" i="38"/>
  <c r="BN65" i="38"/>
  <c r="BN47" i="38"/>
  <c r="CH73" i="38"/>
  <c r="CH88" i="38"/>
  <c r="CH90" i="38"/>
  <c r="CH74" i="38"/>
  <c r="CH16" i="38"/>
  <c r="BN52" i="38"/>
  <c r="BO44" i="38"/>
  <c r="BO57" i="38"/>
  <c r="BN12" i="38"/>
  <c r="BN29" i="38"/>
  <c r="CH76" i="38"/>
  <c r="CI71" i="38"/>
  <c r="BO60" i="38"/>
  <c r="CI82" i="38"/>
  <c r="CI17" i="38"/>
  <c r="BO64" i="38"/>
  <c r="BO48" i="38"/>
  <c r="BO13" i="38"/>
  <c r="BO46" i="38"/>
  <c r="BO63" i="38"/>
  <c r="CI73" i="38"/>
  <c r="CI88" i="38"/>
  <c r="CI90" i="38"/>
  <c r="CI74" i="38"/>
  <c r="BO65" i="38"/>
  <c r="BO47" i="38"/>
  <c r="CI76" i="38"/>
  <c r="CJ71" i="38"/>
  <c r="CJ82" i="38"/>
  <c r="CI16" i="38"/>
  <c r="CJ17" i="38"/>
  <c r="BO52" i="38"/>
  <c r="BP44" i="38"/>
  <c r="BO12" i="38"/>
  <c r="BO29" i="38"/>
  <c r="CJ73" i="38"/>
  <c r="CJ88" i="38"/>
  <c r="CJ90" i="38"/>
  <c r="CJ74" i="38"/>
  <c r="CJ16" i="38"/>
  <c r="BP60" i="38"/>
  <c r="BP64" i="38"/>
  <c r="BP57" i="38"/>
  <c r="BP46" i="38"/>
  <c r="CJ76" i="38"/>
  <c r="CK71" i="38"/>
  <c r="BP63" i="38"/>
  <c r="BP65" i="38"/>
  <c r="BP48" i="38"/>
  <c r="BP13" i="38"/>
  <c r="BP47" i="38"/>
  <c r="CK82" i="38"/>
  <c r="CK17" i="38"/>
  <c r="BP52" i="38"/>
  <c r="BQ44" i="38"/>
  <c r="BQ57" i="38"/>
  <c r="BP12" i="38"/>
  <c r="BP29" i="38"/>
  <c r="CK73" i="38"/>
  <c r="CK88" i="38"/>
  <c r="CK90" i="38"/>
  <c r="CK74" i="38"/>
  <c r="CK16" i="38"/>
  <c r="BQ60" i="38"/>
  <c r="CK76" i="38"/>
  <c r="CL71" i="38"/>
  <c r="BQ64" i="38"/>
  <c r="BQ48" i="38"/>
  <c r="BQ13" i="38"/>
  <c r="BQ63" i="38"/>
  <c r="BQ46" i="38"/>
  <c r="CL82" i="38"/>
  <c r="CL17" i="38"/>
  <c r="BQ65" i="38"/>
  <c r="BQ47" i="38"/>
  <c r="BQ12" i="38"/>
  <c r="BQ29" i="38"/>
  <c r="CL73" i="38"/>
  <c r="CL88" i="38"/>
  <c r="CL90" i="38"/>
  <c r="CL74" i="38"/>
  <c r="CL16" i="38"/>
  <c r="BQ49" i="38"/>
  <c r="CL76" i="38"/>
  <c r="CM71" i="38"/>
  <c r="BQ52" i="38"/>
  <c r="BR44" i="38"/>
  <c r="BQ14" i="38"/>
  <c r="CM82" i="38"/>
  <c r="CM17" i="38"/>
  <c r="BR60" i="38"/>
  <c r="BR64" i="38"/>
  <c r="BR57" i="38"/>
  <c r="BR46" i="38"/>
  <c r="CM88" i="38"/>
  <c r="CM90" i="38"/>
  <c r="CM73" i="38"/>
  <c r="CM74" i="38"/>
  <c r="CM16" i="38"/>
  <c r="BR63" i="38"/>
  <c r="BR65" i="38"/>
  <c r="BR48" i="38"/>
  <c r="BR13" i="38"/>
  <c r="BR47" i="38"/>
  <c r="BR12" i="38"/>
  <c r="BR29" i="38"/>
  <c r="CM76" i="38"/>
  <c r="CN71" i="38"/>
  <c r="BR52" i="38"/>
  <c r="BS44" i="38"/>
  <c r="BS57" i="38"/>
  <c r="CN82" i="38"/>
  <c r="CN17" i="38"/>
  <c r="BS60" i="38"/>
  <c r="CN88" i="38"/>
  <c r="CN90" i="38"/>
  <c r="CN73" i="38"/>
  <c r="CN74" i="38"/>
  <c r="CN16" i="38"/>
  <c r="BS64" i="38"/>
  <c r="BS48" i="38"/>
  <c r="BS13" i="38"/>
  <c r="BS46" i="38"/>
  <c r="BS63" i="38"/>
  <c r="BS65" i="38"/>
  <c r="CN76" i="38"/>
  <c r="CO71" i="38"/>
  <c r="BS47" i="38"/>
  <c r="CO82" i="38"/>
  <c r="CO17" i="38"/>
  <c r="BS52" i="38"/>
  <c r="BT44" i="38"/>
  <c r="BT57" i="38"/>
  <c r="BS12" i="38"/>
  <c r="BS29" i="38"/>
  <c r="CO73" i="38"/>
  <c r="CO88" i="38"/>
  <c r="CO90" i="38"/>
  <c r="CO74" i="38"/>
  <c r="CO16" i="38"/>
  <c r="BT60" i="38"/>
  <c r="BT64" i="38"/>
  <c r="BT46" i="38"/>
  <c r="BT63" i="38"/>
  <c r="CO76" i="38"/>
  <c r="CP71" i="38"/>
  <c r="BT48" i="38"/>
  <c r="BT13" i="38"/>
  <c r="BT65" i="38"/>
  <c r="BT47" i="38"/>
  <c r="CP82" i="38"/>
  <c r="CP17" i="38"/>
  <c r="BT52" i="38"/>
  <c r="BU44" i="38"/>
  <c r="BT12" i="38"/>
  <c r="BT29" i="38"/>
  <c r="CP73" i="38"/>
  <c r="CP88" i="38"/>
  <c r="CP90" i="38"/>
  <c r="CP74" i="38"/>
  <c r="CP16" i="38"/>
  <c r="CP76" i="38"/>
  <c r="CQ71" i="38"/>
  <c r="BU60" i="38"/>
  <c r="BU64" i="38"/>
  <c r="BU57" i="38"/>
  <c r="BU46" i="38"/>
  <c r="CQ82" i="38"/>
  <c r="CQ17" i="38"/>
  <c r="BU48" i="38"/>
  <c r="BU13" i="38"/>
  <c r="BU63" i="38"/>
  <c r="BU65" i="38"/>
  <c r="BU47" i="38"/>
  <c r="CQ73" i="38"/>
  <c r="CQ88" i="38"/>
  <c r="CQ90" i="38"/>
  <c r="CQ74" i="38"/>
  <c r="CQ16" i="38"/>
  <c r="BU52" i="38"/>
  <c r="BV44" i="38"/>
  <c r="BV57" i="38"/>
  <c r="BU12" i="38"/>
  <c r="BU29" i="38"/>
  <c r="CQ76" i="38"/>
  <c r="CR71" i="38"/>
  <c r="BV60" i="38"/>
  <c r="CR82" i="38"/>
  <c r="CR17" i="38"/>
  <c r="BV64" i="38"/>
  <c r="BV48" i="38"/>
  <c r="BV13" i="38"/>
  <c r="BV46" i="38"/>
  <c r="BV63" i="38"/>
  <c r="CR73" i="38"/>
  <c r="CR88" i="38"/>
  <c r="CR90" i="38"/>
  <c r="CR74" i="38"/>
  <c r="CR16" i="38"/>
  <c r="BV65" i="38"/>
  <c r="BV47" i="38"/>
  <c r="CR76" i="38"/>
  <c r="CS71" i="38"/>
  <c r="BV52" i="38"/>
  <c r="BV12" i="38"/>
  <c r="BV29" i="38"/>
  <c r="BW44" i="38"/>
  <c r="BW57" i="38"/>
  <c r="CS82" i="38"/>
  <c r="CS17" i="38"/>
  <c r="BW60" i="38"/>
  <c r="CS73" i="38"/>
  <c r="CS88" i="38"/>
  <c r="CS90" i="38"/>
  <c r="CS74" i="38"/>
  <c r="CS16" i="38"/>
  <c r="BW64" i="38"/>
  <c r="BW48" i="38"/>
  <c r="BW13" i="38"/>
  <c r="BW46" i="38"/>
  <c r="BW63" i="38"/>
  <c r="CS76" i="38"/>
  <c r="CT71" i="38"/>
  <c r="BW65" i="38"/>
  <c r="BW47" i="38"/>
  <c r="CT82" i="38"/>
  <c r="CT17" i="38"/>
  <c r="BW52" i="38"/>
  <c r="BX44" i="38"/>
  <c r="BX57" i="38"/>
  <c r="BW12" i="38"/>
  <c r="BW29" i="38"/>
  <c r="CT88" i="38"/>
  <c r="CT90" i="38"/>
  <c r="CT73" i="38"/>
  <c r="CT74" i="38"/>
  <c r="BX60" i="38"/>
  <c r="BX64" i="38"/>
  <c r="BX46" i="38"/>
  <c r="BX63" i="38"/>
  <c r="CT76" i="38"/>
  <c r="CU71" i="38"/>
  <c r="CT16" i="38"/>
  <c r="CU82" i="38"/>
  <c r="CU17" i="38"/>
  <c r="BX48" i="38"/>
  <c r="BX13" i="38"/>
  <c r="BX65" i="38"/>
  <c r="BX47" i="38"/>
  <c r="CU88" i="38"/>
  <c r="CU90" i="38"/>
  <c r="CU73" i="38"/>
  <c r="CU74" i="38"/>
  <c r="CU16" i="38"/>
  <c r="BX52" i="38"/>
  <c r="BY44" i="38"/>
  <c r="BX12" i="38"/>
  <c r="BX29" i="38"/>
  <c r="CU76" i="38"/>
  <c r="CV71" i="38"/>
  <c r="BY60" i="38"/>
  <c r="BY64" i="38"/>
  <c r="BY57" i="38"/>
  <c r="BY63" i="38"/>
  <c r="BY65" i="38"/>
  <c r="CV82" i="38"/>
  <c r="CV17" i="38"/>
  <c r="BY46" i="38"/>
  <c r="BY47" i="38"/>
  <c r="BY48" i="38"/>
  <c r="BY13" i="38"/>
  <c r="CV88" i="38"/>
  <c r="CV90" i="38"/>
  <c r="CV73" i="38"/>
  <c r="CV74" i="38"/>
  <c r="CV16" i="38"/>
  <c r="BY52" i="38"/>
  <c r="BY12" i="38"/>
  <c r="BY29" i="38"/>
  <c r="BZ44" i="38"/>
  <c r="BZ57" i="38"/>
  <c r="CV76" i="38"/>
  <c r="CW71" i="38"/>
  <c r="BZ60" i="38"/>
  <c r="CW82" i="38"/>
  <c r="CW17" i="38"/>
  <c r="BZ64" i="38"/>
  <c r="BZ48" i="38"/>
  <c r="BZ13" i="38"/>
  <c r="BZ46" i="38"/>
  <c r="BZ63" i="38"/>
  <c r="CW73" i="38"/>
  <c r="CW88" i="38"/>
  <c r="CW90" i="38"/>
  <c r="CW74" i="38"/>
  <c r="CW16" i="38"/>
  <c r="BZ65" i="38"/>
  <c r="BZ47" i="38"/>
  <c r="CW76" i="38"/>
  <c r="CX71" i="38"/>
  <c r="BZ52" i="38"/>
  <c r="BZ12" i="38"/>
  <c r="BZ29" i="38"/>
  <c r="CA44" i="38"/>
  <c r="CA57" i="38"/>
  <c r="CX82" i="38"/>
  <c r="CX17" i="38"/>
  <c r="CA60" i="38"/>
  <c r="CX73" i="38"/>
  <c r="CX88" i="38"/>
  <c r="CX90" i="38"/>
  <c r="CX74" i="38"/>
  <c r="CX16" i="38"/>
  <c r="CA64" i="38"/>
  <c r="CA48" i="38"/>
  <c r="CA13" i="38"/>
  <c r="CA46" i="38"/>
  <c r="CA63" i="38"/>
  <c r="CX76" i="38"/>
  <c r="CY71" i="38"/>
  <c r="CA65" i="38"/>
  <c r="CA47" i="38"/>
  <c r="CY17" i="38"/>
  <c r="CY82" i="38"/>
  <c r="CA52" i="38"/>
  <c r="CB44" i="38"/>
  <c r="CB57" i="38"/>
  <c r="CA12" i="38"/>
  <c r="CA29" i="38"/>
  <c r="CY73" i="38"/>
  <c r="CY88" i="38"/>
  <c r="CY90" i="38"/>
  <c r="CY74" i="38"/>
  <c r="CY16" i="38"/>
  <c r="CB60" i="38"/>
  <c r="CY76" i="38"/>
  <c r="CZ71" i="38"/>
  <c r="CB64" i="38"/>
  <c r="CB48" i="38"/>
  <c r="CB13" i="38"/>
  <c r="CB63" i="38"/>
  <c r="CB65" i="38"/>
  <c r="CB46" i="38"/>
  <c r="CZ82" i="38"/>
  <c r="CZ17" i="38"/>
  <c r="CB47" i="38"/>
  <c r="CZ73" i="38"/>
  <c r="CZ88" i="38"/>
  <c r="CZ90" i="38"/>
  <c r="CZ74" i="38"/>
  <c r="CZ16" i="38"/>
  <c r="CB52" i="38"/>
  <c r="CB12" i="38"/>
  <c r="CB29" i="38"/>
  <c r="CC44" i="38"/>
  <c r="CC57" i="38"/>
  <c r="CZ76" i="38"/>
  <c r="DA71" i="38"/>
  <c r="DA82" i="38"/>
  <c r="DA17" i="38"/>
  <c r="CC60" i="38"/>
  <c r="DA73" i="38"/>
  <c r="DA88" i="38"/>
  <c r="DA90" i="38"/>
  <c r="DA74" i="38"/>
  <c r="DA16" i="38"/>
  <c r="DA76" i="38"/>
  <c r="DB71" i="38"/>
  <c r="CC64" i="38"/>
  <c r="CC48" i="38"/>
  <c r="CC13" i="38"/>
  <c r="CC63" i="38"/>
  <c r="CC46" i="38"/>
  <c r="DB82" i="38"/>
  <c r="DB17" i="38"/>
  <c r="CC65" i="38"/>
  <c r="CC47" i="38"/>
  <c r="DB88" i="38"/>
  <c r="DB90" i="38"/>
  <c r="DB73" i="38"/>
  <c r="DB74" i="38"/>
  <c r="DB16" i="38"/>
  <c r="DB76" i="38"/>
  <c r="DC71" i="38"/>
  <c r="CC52" i="38"/>
  <c r="CD44" i="38"/>
  <c r="CD57" i="38"/>
  <c r="CC12" i="38"/>
  <c r="CC29" i="38"/>
  <c r="DC82" i="38"/>
  <c r="DC17" i="38"/>
  <c r="CD60" i="38"/>
  <c r="DC88" i="38"/>
  <c r="DC90" i="38"/>
  <c r="DC73" i="38"/>
  <c r="DC74" i="38"/>
  <c r="DC16" i="38"/>
  <c r="CD64" i="38"/>
  <c r="CD48" i="38"/>
  <c r="CD13" i="38"/>
  <c r="CD46" i="38"/>
  <c r="CD63" i="38"/>
  <c r="CD65" i="38"/>
  <c r="DC76" i="38"/>
  <c r="DD71" i="38"/>
  <c r="CD47" i="38"/>
  <c r="DD17" i="38"/>
  <c r="DD82" i="38"/>
  <c r="CD52" i="38"/>
  <c r="CD12" i="38"/>
  <c r="CD29" i="38"/>
  <c r="CE44" i="38"/>
  <c r="CE57" i="38"/>
  <c r="DD73" i="38"/>
  <c r="DD88" i="38"/>
  <c r="DD90" i="38"/>
  <c r="DD74" i="38"/>
  <c r="DD16" i="38"/>
  <c r="CE60" i="38"/>
  <c r="DD76" i="38"/>
  <c r="DE71" i="38"/>
  <c r="CE64" i="38"/>
  <c r="CE48" i="38"/>
  <c r="CE13" i="38"/>
  <c r="CE46" i="38"/>
  <c r="CE63" i="38"/>
  <c r="DE82" i="38"/>
  <c r="DE17" i="38"/>
  <c r="CE65" i="38"/>
  <c r="CE47" i="38"/>
  <c r="CE12" i="38"/>
  <c r="CE29" i="38"/>
  <c r="DE73" i="38"/>
  <c r="DE88" i="38"/>
  <c r="DE90" i="38"/>
  <c r="DE74" i="38"/>
  <c r="DE16" i="38"/>
  <c r="CE52" i="38"/>
  <c r="CF44" i="38"/>
  <c r="CF57" i="38"/>
  <c r="DE76" i="38"/>
  <c r="DF71" i="38"/>
  <c r="CF60" i="38"/>
  <c r="DF17" i="38"/>
  <c r="DF82" i="38"/>
  <c r="CF64" i="38"/>
  <c r="CF48" i="38"/>
  <c r="CF13" i="38"/>
  <c r="CF46" i="38"/>
  <c r="CF63" i="38"/>
  <c r="CF65" i="38"/>
  <c r="DF73" i="38"/>
  <c r="DF88" i="38"/>
  <c r="DF90" i="38"/>
  <c r="DF74" i="38"/>
  <c r="DF16" i="38"/>
  <c r="CF47" i="38"/>
  <c r="DF76" i="38"/>
  <c r="DG71" i="38"/>
  <c r="CF52" i="38"/>
  <c r="CG44" i="38"/>
  <c r="CG57" i="38"/>
  <c r="CF12" i="38"/>
  <c r="CF29" i="38"/>
  <c r="DG82" i="38"/>
  <c r="DG17" i="38"/>
  <c r="CG60" i="38"/>
  <c r="DG73" i="38"/>
  <c r="DG88" i="38"/>
  <c r="DG90" i="38"/>
  <c r="DG74" i="38"/>
  <c r="DG16" i="38"/>
  <c r="CG64" i="38"/>
  <c r="CG48" i="38"/>
  <c r="CG13" i="38"/>
  <c r="CG46" i="38"/>
  <c r="CG63" i="38"/>
  <c r="CG65" i="38"/>
  <c r="DG76" i="38"/>
  <c r="DH71" i="38"/>
  <c r="DH82" i="38"/>
  <c r="DH17" i="38"/>
  <c r="CG47" i="38"/>
  <c r="DH73" i="38"/>
  <c r="DH88" i="38"/>
  <c r="DH90" i="38"/>
  <c r="DH74" i="38"/>
  <c r="DH16" i="38"/>
  <c r="CG52" i="38"/>
  <c r="CH44" i="38"/>
  <c r="CH57" i="38"/>
  <c r="CG12" i="38"/>
  <c r="CG29" i="38"/>
  <c r="DH76" i="38"/>
  <c r="DI71" i="38"/>
  <c r="CH60" i="38"/>
  <c r="DI82" i="38"/>
  <c r="DI17" i="38"/>
  <c r="CH64" i="38"/>
  <c r="CH48" i="38"/>
  <c r="CH13" i="38"/>
  <c r="CH46" i="38"/>
  <c r="CH63" i="38"/>
  <c r="CH65" i="38"/>
  <c r="DI73" i="38"/>
  <c r="DI88" i="38"/>
  <c r="DI90" i="38"/>
  <c r="DI74" i="38"/>
  <c r="DI16" i="38"/>
  <c r="CH47" i="38"/>
  <c r="DI76" i="38"/>
  <c r="DJ71" i="38"/>
  <c r="CH52" i="38"/>
  <c r="CH12" i="38"/>
  <c r="CH29" i="38"/>
  <c r="CI44" i="38"/>
  <c r="CI57" i="38"/>
  <c r="DJ17" i="38"/>
  <c r="DJ82" i="38"/>
  <c r="CI60" i="38"/>
  <c r="DJ88" i="38"/>
  <c r="DJ90" i="38"/>
  <c r="DJ73" i="38"/>
  <c r="DJ74" i="38"/>
  <c r="DJ16" i="38"/>
  <c r="CI64" i="38"/>
  <c r="CI48" i="38"/>
  <c r="CI13" i="38"/>
  <c r="CI46" i="38"/>
  <c r="CI63" i="38"/>
  <c r="DJ76" i="38"/>
  <c r="DK71" i="38"/>
  <c r="CI65" i="38"/>
  <c r="CI47" i="38"/>
  <c r="DK82" i="38"/>
  <c r="DK17" i="38"/>
  <c r="CI52" i="38"/>
  <c r="CJ44" i="38"/>
  <c r="CI12" i="38"/>
  <c r="CI29" i="38"/>
  <c r="DK88" i="38"/>
  <c r="DK90" i="38"/>
  <c r="DK73" i="38"/>
  <c r="DK74" i="38"/>
  <c r="DK16" i="38"/>
  <c r="DK76" i="38"/>
  <c r="DL71" i="38"/>
  <c r="CJ60" i="38"/>
  <c r="CJ64" i="38"/>
  <c r="CJ57" i="38"/>
  <c r="CJ63" i="38"/>
  <c r="CJ48" i="38"/>
  <c r="CJ13" i="38"/>
  <c r="DL17" i="38"/>
  <c r="DL82" i="38"/>
  <c r="CJ46" i="38"/>
  <c r="CJ65" i="38"/>
  <c r="CJ47" i="38"/>
  <c r="DL88" i="38"/>
  <c r="DL90" i="38"/>
  <c r="DL73" i="38"/>
  <c r="DL74" i="38"/>
  <c r="DL16" i="38"/>
  <c r="DL76" i="38"/>
  <c r="DM71" i="38"/>
  <c r="CJ52" i="38"/>
  <c r="CK44" i="38"/>
  <c r="CK57" i="38"/>
  <c r="CJ12" i="38"/>
  <c r="CJ29" i="38"/>
  <c r="DM82" i="38"/>
  <c r="DM17" i="38"/>
  <c r="CK60" i="38"/>
  <c r="DM73" i="38"/>
  <c r="DM88" i="38"/>
  <c r="DM90" i="38"/>
  <c r="DM74" i="38"/>
  <c r="DM16" i="38"/>
  <c r="CK64" i="38"/>
  <c r="CK48" i="38"/>
  <c r="CK13" i="38"/>
  <c r="CK63" i="38"/>
  <c r="CK65" i="38"/>
  <c r="CK46" i="38"/>
  <c r="DM76" i="38"/>
  <c r="DN71" i="38"/>
  <c r="CK47" i="38"/>
  <c r="CK12" i="38"/>
  <c r="CK29" i="38"/>
  <c r="DN82" i="38"/>
  <c r="DN17" i="38"/>
  <c r="CK49" i="38"/>
  <c r="H49" i="38" a="1"/>
  <c r="DN73" i="38"/>
  <c r="DN88" i="38"/>
  <c r="DN90" i="38"/>
  <c r="DN74" i="38"/>
  <c r="DN16" i="38"/>
  <c r="CK52" i="38"/>
  <c r="CL44" i="38"/>
  <c r="CK14" i="38"/>
  <c r="DN76" i="38"/>
  <c r="DO71" i="38"/>
  <c r="CL60" i="38"/>
  <c r="CL64" i="38"/>
  <c r="CL57" i="38"/>
  <c r="CL46" i="38"/>
  <c r="DO17" i="38"/>
  <c r="DO82" i="38"/>
  <c r="CL48" i="38"/>
  <c r="CL13" i="38"/>
  <c r="CL63" i="38"/>
  <c r="CL65" i="38"/>
  <c r="CL47" i="38"/>
  <c r="DO73" i="38"/>
  <c r="DO88" i="38"/>
  <c r="DO90" i="38"/>
  <c r="DO74" i="38"/>
  <c r="DO16" i="38"/>
  <c r="CL52" i="38"/>
  <c r="CM44" i="38"/>
  <c r="CM57" i="38"/>
  <c r="CL12" i="38"/>
  <c r="DO76" i="38"/>
  <c r="DP71" i="38"/>
  <c r="CL29" i="38"/>
  <c r="CM60" i="38"/>
  <c r="DP82" i="38"/>
  <c r="DP17" i="38"/>
  <c r="CM64" i="38"/>
  <c r="CM48" i="38"/>
  <c r="CM13" i="38"/>
  <c r="CM46" i="38"/>
  <c r="CM63" i="38"/>
  <c r="DP73" i="38"/>
  <c r="DP88" i="38"/>
  <c r="DP90" i="38"/>
  <c r="DP74" i="38"/>
  <c r="DP16" i="38"/>
  <c r="CM65" i="38"/>
  <c r="CM47" i="38"/>
  <c r="DP76" i="38"/>
  <c r="DQ71" i="38"/>
  <c r="CM52" i="38"/>
  <c r="CN44" i="38"/>
  <c r="CM12" i="38"/>
  <c r="DQ82" i="38"/>
  <c r="DQ17" i="38"/>
  <c r="CN60" i="38"/>
  <c r="CN64" i="38"/>
  <c r="CN57" i="38"/>
  <c r="CN63" i="38"/>
  <c r="CM29" i="38"/>
  <c r="DQ73" i="38"/>
  <c r="DQ88" i="38"/>
  <c r="DQ90" i="38"/>
  <c r="DQ74" i="38"/>
  <c r="DQ16" i="38"/>
  <c r="CN48" i="38"/>
  <c r="CN13" i="38"/>
  <c r="CN65" i="38"/>
  <c r="CN46" i="38"/>
  <c r="CN47" i="38"/>
  <c r="DQ76" i="38"/>
  <c r="DR71" i="38"/>
  <c r="CN52" i="38"/>
  <c r="CO44" i="38"/>
  <c r="CO57" i="38"/>
  <c r="CN12" i="38"/>
  <c r="DR82" i="38"/>
  <c r="DR17" i="38"/>
  <c r="CN29" i="38"/>
  <c r="CO60" i="38"/>
  <c r="DR88" i="38"/>
  <c r="DR90" i="38"/>
  <c r="DR73" i="38"/>
  <c r="DR74" i="38"/>
  <c r="DR16" i="38"/>
  <c r="CO64" i="38"/>
  <c r="CO48" i="38"/>
  <c r="CO13" i="38"/>
  <c r="CO46" i="38"/>
  <c r="CO63" i="38"/>
  <c r="CO65" i="38"/>
  <c r="DR76" i="38"/>
  <c r="DS71" i="38"/>
  <c r="CO47" i="38"/>
  <c r="DS82" i="38"/>
  <c r="DS17" i="38"/>
  <c r="CO52" i="38"/>
  <c r="CP44" i="38"/>
  <c r="CP57" i="38"/>
  <c r="CO12" i="38"/>
  <c r="CO29" i="38"/>
  <c r="DS88" i="38"/>
  <c r="DS90" i="38"/>
  <c r="DS73" i="38"/>
  <c r="DS74" i="38"/>
  <c r="DS16" i="38"/>
  <c r="CP60" i="38"/>
  <c r="DS76" i="38"/>
  <c r="DT71" i="38"/>
  <c r="CP64" i="38"/>
  <c r="CP48" i="38"/>
  <c r="CP13" i="38"/>
  <c r="CP63" i="38"/>
  <c r="CP65" i="38"/>
  <c r="CP46" i="38"/>
  <c r="DT82" i="38"/>
  <c r="DT17" i="38"/>
  <c r="CP47" i="38"/>
  <c r="DT88" i="38"/>
  <c r="DT90" i="38"/>
  <c r="DT73" i="38"/>
  <c r="DT74" i="38"/>
  <c r="DT16" i="38"/>
  <c r="CP52" i="38"/>
  <c r="CQ44" i="38"/>
  <c r="CQ57" i="38"/>
  <c r="CP12" i="38"/>
  <c r="CP29" i="38"/>
  <c r="DT76" i="38"/>
  <c r="DU71" i="38"/>
  <c r="DU82" i="38"/>
  <c r="DU17" i="38"/>
  <c r="CQ60" i="38"/>
  <c r="CQ64" i="38"/>
  <c r="CQ46" i="38"/>
  <c r="CQ63" i="38"/>
  <c r="DU73" i="38"/>
  <c r="DU88" i="38"/>
  <c r="DU90" i="38"/>
  <c r="DU74" i="38"/>
  <c r="DU16" i="38"/>
  <c r="CQ48" i="38"/>
  <c r="CQ13" i="38"/>
  <c r="CQ65" i="38"/>
  <c r="CQ47" i="38"/>
  <c r="DU76" i="38"/>
  <c r="DV71" i="38"/>
  <c r="DV82" i="38"/>
  <c r="DV17" i="38"/>
  <c r="CQ52" i="38"/>
  <c r="CR44" i="38"/>
  <c r="CR57" i="38"/>
  <c r="CQ12" i="38"/>
  <c r="CQ29" i="38"/>
  <c r="DV73" i="38"/>
  <c r="DV88" i="38"/>
  <c r="DV90" i="38"/>
  <c r="DV74" i="38"/>
  <c r="CR60" i="38"/>
  <c r="DV76" i="38"/>
  <c r="DW71" i="38"/>
  <c r="DV16" i="38"/>
  <c r="DW82" i="38"/>
  <c r="DW17" i="38"/>
  <c r="CR64" i="38"/>
  <c r="CR48" i="38"/>
  <c r="CR13" i="38"/>
  <c r="CR46" i="38"/>
  <c r="CR63" i="38"/>
  <c r="DW73" i="38"/>
  <c r="DW88" i="38"/>
  <c r="DW90" i="38"/>
  <c r="DW74" i="38"/>
  <c r="DW16" i="38"/>
  <c r="CR65" i="38"/>
  <c r="CR47" i="38"/>
  <c r="DW76" i="38"/>
  <c r="DX71" i="38"/>
  <c r="DX82" i="38"/>
  <c r="DX17" i="38"/>
  <c r="CR52" i="38"/>
  <c r="CS44" i="38"/>
  <c r="CS57" i="38"/>
  <c r="CR12" i="38"/>
  <c r="CR29" i="38"/>
  <c r="DX73" i="38"/>
  <c r="DX88" i="38"/>
  <c r="DX90" i="38"/>
  <c r="DX74" i="38"/>
  <c r="CS60" i="38"/>
  <c r="CS64" i="38"/>
  <c r="CS63" i="38"/>
  <c r="CS46" i="38"/>
  <c r="DX76" i="38"/>
  <c r="DY71" i="38"/>
  <c r="DY82" i="38"/>
  <c r="DX16" i="38"/>
  <c r="DY17" i="38"/>
  <c r="CS65" i="38"/>
  <c r="CS48" i="38"/>
  <c r="CS13" i="38"/>
  <c r="CS47" i="38"/>
  <c r="DY73" i="38"/>
  <c r="DY88" i="38"/>
  <c r="H82" i="38" a="1"/>
  <c r="H73" i="38"/>
  <c r="DY74" i="38"/>
  <c r="H74" i="38" a="1"/>
  <c r="H16" i="38"/>
  <c r="CS52" i="38"/>
  <c r="CT44" i="38"/>
  <c r="CS12" i="38"/>
  <c r="CS29" i="38"/>
  <c r="DY76" i="38"/>
  <c r="DY16" i="38"/>
  <c r="DY90" i="38"/>
  <c r="H88" i="38" a="1"/>
  <c r="CT60" i="38"/>
  <c r="CT48" i="38"/>
  <c r="CT13" i="38"/>
  <c r="CT57" i="38"/>
  <c r="CT46" i="38"/>
  <c r="CT64" i="38"/>
  <c r="CT63" i="38"/>
  <c r="CT65" i="38"/>
  <c r="CT47" i="38"/>
  <c r="CT52" i="38"/>
  <c r="CT12" i="38"/>
  <c r="CT29" i="38"/>
  <c r="CU44" i="38"/>
  <c r="CU57" i="38"/>
  <c r="CU60" i="38"/>
  <c r="CU64" i="38"/>
  <c r="CU48" i="38"/>
  <c r="CU13" i="38"/>
  <c r="CU46" i="38"/>
  <c r="CU63" i="38"/>
  <c r="CU65" i="38"/>
  <c r="CU47" i="38"/>
  <c r="CU52" i="38"/>
  <c r="CV44" i="38"/>
  <c r="CV57" i="38"/>
  <c r="CU12" i="38"/>
  <c r="CU29" i="38"/>
  <c r="CV60" i="38"/>
  <c r="CV63" i="38"/>
  <c r="CV64" i="38"/>
  <c r="CV65" i="38"/>
  <c r="CV48" i="38"/>
  <c r="CV13" i="38"/>
  <c r="CV46" i="38"/>
  <c r="CV47" i="38"/>
  <c r="CV12" i="38"/>
  <c r="CV29" i="38"/>
  <c r="CV52" i="38"/>
  <c r="CW44" i="38"/>
  <c r="CW57" i="38"/>
  <c r="CW60" i="38"/>
  <c r="CW64" i="38"/>
  <c r="CW48" i="38"/>
  <c r="CW13" i="38"/>
  <c r="CW46" i="38"/>
  <c r="CW63" i="38"/>
  <c r="CW65" i="38"/>
  <c r="CW47" i="38"/>
  <c r="CW52" i="38"/>
  <c r="CX44" i="38"/>
  <c r="CX57" i="38"/>
  <c r="CW12" i="38"/>
  <c r="CW29" i="38"/>
  <c r="CX60" i="38"/>
  <c r="CX64" i="38"/>
  <c r="CX46" i="38"/>
  <c r="CX63" i="38"/>
  <c r="CX48" i="38"/>
  <c r="CX13" i="38"/>
  <c r="CX65" i="38"/>
  <c r="CX47" i="38"/>
  <c r="CX52" i="38"/>
  <c r="CX12" i="38"/>
  <c r="CX29" i="38"/>
  <c r="CY44" i="38"/>
  <c r="CY57" i="38"/>
  <c r="CY60" i="38"/>
  <c r="CY64" i="38"/>
  <c r="CY48" i="38"/>
  <c r="CY13" i="38"/>
  <c r="CY63" i="38"/>
  <c r="CY46" i="38"/>
  <c r="CY65" i="38"/>
  <c r="CY47" i="38"/>
  <c r="CY52" i="38"/>
  <c r="CZ44" i="38"/>
  <c r="CZ57" i="38"/>
  <c r="CY12" i="38"/>
  <c r="CY29" i="38"/>
  <c r="CZ60" i="38"/>
  <c r="CZ64" i="38"/>
  <c r="CZ63" i="38"/>
  <c r="CZ46" i="38"/>
  <c r="CZ48" i="38"/>
  <c r="CZ13" i="38"/>
  <c r="CZ65" i="38"/>
  <c r="CZ47" i="38"/>
  <c r="CZ52" i="38"/>
  <c r="DA44" i="38"/>
  <c r="DA57" i="38"/>
  <c r="CZ12" i="38"/>
  <c r="CZ29" i="38"/>
  <c r="DA60" i="38"/>
  <c r="DA64" i="38"/>
  <c r="DA63" i="38"/>
  <c r="DA46" i="38"/>
  <c r="DA48" i="38"/>
  <c r="DA13" i="38"/>
  <c r="DA65" i="38"/>
  <c r="DA47" i="38"/>
  <c r="DA52" i="38"/>
  <c r="DB44" i="38"/>
  <c r="DB57" i="38"/>
  <c r="DA12" i="38"/>
  <c r="DA29" i="38"/>
  <c r="DB60" i="38"/>
  <c r="DB64" i="38"/>
  <c r="DB48" i="38"/>
  <c r="DB13" i="38"/>
  <c r="DB46" i="38"/>
  <c r="DB63" i="38"/>
  <c r="DB65" i="38"/>
  <c r="DB47" i="38"/>
  <c r="DB12" i="38"/>
  <c r="DB29" i="38"/>
  <c r="DB52" i="38"/>
  <c r="DC44" i="38"/>
  <c r="DC57" i="38"/>
  <c r="DC60" i="38"/>
  <c r="DC64" i="38"/>
  <c r="DC48" i="38"/>
  <c r="DC13" i="38"/>
  <c r="DC46" i="38"/>
  <c r="DC63" i="38"/>
  <c r="DC65" i="38"/>
  <c r="DC47" i="38"/>
  <c r="DC52" i="38"/>
  <c r="DD44" i="38"/>
  <c r="DD57" i="38"/>
  <c r="DC12" i="38"/>
  <c r="DC29" i="38"/>
  <c r="DD60" i="38"/>
  <c r="DD64" i="38"/>
  <c r="DD48" i="38"/>
  <c r="DD13" i="38"/>
  <c r="DD46" i="38"/>
  <c r="DD63" i="38"/>
  <c r="DD65" i="38"/>
  <c r="DD47" i="38"/>
  <c r="DD52" i="38"/>
  <c r="DE44" i="38"/>
  <c r="DE57" i="38"/>
  <c r="DD12" i="38"/>
  <c r="DD29" i="38"/>
  <c r="DE60" i="38"/>
  <c r="DE64" i="38"/>
  <c r="DE46" i="38"/>
  <c r="DE63" i="38"/>
  <c r="DE48" i="38"/>
  <c r="DE13" i="38"/>
  <c r="DE65" i="38"/>
  <c r="DE47" i="38"/>
  <c r="DE52" i="38"/>
  <c r="DF44" i="38"/>
  <c r="DE12" i="38"/>
  <c r="DE29" i="38"/>
  <c r="DF60" i="38"/>
  <c r="DF64" i="38"/>
  <c r="DF57" i="38"/>
  <c r="DF46" i="38"/>
  <c r="DF48" i="38"/>
  <c r="DF13" i="38"/>
  <c r="DF63" i="38"/>
  <c r="DF65" i="38"/>
  <c r="DF47" i="38"/>
  <c r="DF52" i="38"/>
  <c r="DG44" i="38"/>
  <c r="DG57" i="38"/>
  <c r="DF12" i="38"/>
  <c r="DF29" i="38"/>
  <c r="DG60" i="38"/>
  <c r="DG64" i="38"/>
  <c r="DG48" i="38"/>
  <c r="DG13" i="38"/>
  <c r="DG63" i="38"/>
  <c r="DG46" i="38"/>
  <c r="DG65" i="38"/>
  <c r="DG47" i="38"/>
  <c r="DG52" i="38"/>
  <c r="DH44" i="38"/>
  <c r="DH57" i="38"/>
  <c r="DG12" i="38"/>
  <c r="DG29" i="38"/>
  <c r="DH60" i="38"/>
  <c r="DH64" i="38"/>
  <c r="DH48" i="38"/>
  <c r="DH13" i="38"/>
  <c r="DH63" i="38"/>
  <c r="DH46" i="38"/>
  <c r="DH65" i="38"/>
  <c r="DH47" i="38"/>
  <c r="DH52" i="38"/>
  <c r="DI44" i="38"/>
  <c r="DI57" i="38"/>
  <c r="DH12" i="38"/>
  <c r="DH29" i="38"/>
  <c r="DI60" i="38"/>
  <c r="DI64" i="38"/>
  <c r="DI48" i="38"/>
  <c r="DI13" i="38"/>
  <c r="DI63" i="38"/>
  <c r="DI46" i="38"/>
  <c r="DI65" i="38"/>
  <c r="DI47" i="38"/>
  <c r="DI52" i="38"/>
  <c r="DI12" i="38"/>
  <c r="DI29" i="38"/>
  <c r="DJ44" i="38"/>
  <c r="DJ57" i="38"/>
  <c r="DJ60" i="38"/>
  <c r="DJ64" i="38"/>
  <c r="DJ48" i="38"/>
  <c r="DJ13" i="38"/>
  <c r="DJ46" i="38"/>
  <c r="DJ63" i="38"/>
  <c r="DJ65" i="38"/>
  <c r="DJ47" i="38"/>
  <c r="DJ52" i="38"/>
  <c r="DK44" i="38"/>
  <c r="DJ12" i="38"/>
  <c r="DJ29" i="38"/>
  <c r="DK60" i="38"/>
  <c r="DK64" i="38"/>
  <c r="DK57" i="38"/>
  <c r="DK63" i="38"/>
  <c r="DK48" i="38"/>
  <c r="DK13" i="38"/>
  <c r="DK46" i="38"/>
  <c r="DK65" i="38"/>
  <c r="DK47" i="38"/>
  <c r="DK52" i="38"/>
  <c r="DL44" i="38"/>
  <c r="DL57" i="38"/>
  <c r="DK12" i="38"/>
  <c r="DK29" i="38"/>
  <c r="DL60" i="38"/>
  <c r="DL64" i="38"/>
  <c r="DL48" i="38"/>
  <c r="DL13" i="38"/>
  <c r="DL63" i="38"/>
  <c r="DL46" i="38"/>
  <c r="DL65" i="38"/>
  <c r="DL47" i="38"/>
  <c r="DL52" i="38"/>
  <c r="DM44" i="38"/>
  <c r="DM57" i="38"/>
  <c r="DL12" i="38"/>
  <c r="DL29" i="38"/>
  <c r="DM60" i="38"/>
  <c r="DM64" i="38"/>
  <c r="DM48" i="38"/>
  <c r="DM13" i="38"/>
  <c r="DM46" i="38"/>
  <c r="DM63" i="38"/>
  <c r="DM65" i="38"/>
  <c r="DM47" i="38"/>
  <c r="DM12" i="38"/>
  <c r="DM29" i="38"/>
  <c r="DM52" i="38"/>
  <c r="DN44" i="38"/>
  <c r="DN57" i="38"/>
  <c r="DN60" i="38"/>
  <c r="DN64" i="38"/>
  <c r="DN48" i="38"/>
  <c r="DN13" i="38"/>
  <c r="DN46" i="38"/>
  <c r="DN63" i="38"/>
  <c r="DN65" i="38"/>
  <c r="DN47" i="38"/>
  <c r="DN52" i="38"/>
  <c r="DO44" i="38"/>
  <c r="DO57" i="38"/>
  <c r="DN12" i="38"/>
  <c r="DN29" i="38"/>
  <c r="DO60" i="38"/>
  <c r="DO64" i="38"/>
  <c r="DO48" i="38"/>
  <c r="DO13" i="38"/>
  <c r="DO63" i="38"/>
  <c r="DO46" i="38"/>
  <c r="DO65" i="38"/>
  <c r="DO47" i="38"/>
  <c r="DO52" i="38"/>
  <c r="DP44" i="38"/>
  <c r="DP57" i="38"/>
  <c r="DO12" i="38"/>
  <c r="DO29" i="38"/>
  <c r="DP60" i="38"/>
  <c r="DP64" i="38"/>
  <c r="DP63" i="38"/>
  <c r="DP46" i="38"/>
  <c r="DP65" i="38"/>
  <c r="DP48" i="38"/>
  <c r="DP13" i="38"/>
  <c r="DP47" i="38"/>
  <c r="DP52" i="38"/>
  <c r="DP12" i="38"/>
  <c r="DP29" i="38"/>
  <c r="DQ44" i="38"/>
  <c r="DQ57" i="38"/>
  <c r="DQ60" i="38"/>
  <c r="DQ64" i="38"/>
  <c r="DQ48" i="38"/>
  <c r="DQ13" i="38"/>
  <c r="DQ46" i="38"/>
  <c r="DQ63" i="38"/>
  <c r="DQ65" i="38"/>
  <c r="DQ47" i="38"/>
  <c r="DQ52" i="38"/>
  <c r="DR44" i="38"/>
  <c r="DR57" i="38"/>
  <c r="DQ12" i="38"/>
  <c r="DQ29" i="38"/>
  <c r="DR60" i="38"/>
  <c r="DR64" i="38"/>
  <c r="DR48" i="38"/>
  <c r="DR13" i="38"/>
  <c r="DR46" i="38"/>
  <c r="DR63" i="38"/>
  <c r="DR65" i="38"/>
  <c r="DR47" i="38"/>
  <c r="DR52" i="38"/>
  <c r="DS44" i="38"/>
  <c r="DS57" i="38"/>
  <c r="DR12" i="38"/>
  <c r="DR29" i="38"/>
  <c r="DS60" i="38"/>
  <c r="DS64" i="38"/>
  <c r="DS48" i="38"/>
  <c r="DS13" i="38"/>
  <c r="DS46" i="38"/>
  <c r="DS63" i="38"/>
  <c r="DS65" i="38"/>
  <c r="DS47" i="38"/>
  <c r="DS52" i="38"/>
  <c r="DT44" i="38"/>
  <c r="DT57" i="38"/>
  <c r="DS12" i="38"/>
  <c r="DS29" i="38"/>
  <c r="DT60" i="38"/>
  <c r="DT64" i="38"/>
  <c r="DT48" i="38"/>
  <c r="DT13" i="38"/>
  <c r="DT63" i="38"/>
  <c r="DT65" i="38"/>
  <c r="DT46" i="38"/>
  <c r="DT47" i="38"/>
  <c r="DT52" i="38"/>
  <c r="DU44" i="38"/>
  <c r="DU57" i="38"/>
  <c r="DT12" i="38"/>
  <c r="DT29" i="38"/>
  <c r="DU60" i="38"/>
  <c r="DU64" i="38"/>
  <c r="DU46" i="38"/>
  <c r="DU63" i="38"/>
  <c r="DU48" i="38"/>
  <c r="DU13" i="38"/>
  <c r="DU65" i="38"/>
  <c r="DU47" i="38"/>
  <c r="DU52" i="38"/>
  <c r="DV44" i="38"/>
  <c r="DV57" i="38"/>
  <c r="DU12" i="38"/>
  <c r="DU29" i="38"/>
  <c r="DV60" i="38"/>
  <c r="DV64" i="38"/>
  <c r="DV48" i="38"/>
  <c r="DV13" i="38"/>
  <c r="DV46" i="38"/>
  <c r="DV63" i="38"/>
  <c r="DV65" i="38"/>
  <c r="DV47" i="38"/>
  <c r="DV52" i="38"/>
  <c r="DV12" i="38"/>
  <c r="DV29" i="38"/>
  <c r="DW44" i="38"/>
  <c r="DW57" i="38"/>
  <c r="DW60" i="38"/>
  <c r="DW64" i="38"/>
  <c r="DW48" i="38"/>
  <c r="DW13" i="38"/>
  <c r="DW63" i="38"/>
  <c r="DW46" i="38"/>
  <c r="DW65" i="38"/>
  <c r="DW47" i="38"/>
  <c r="DW52" i="38"/>
  <c r="DW12" i="38"/>
  <c r="DW29" i="38"/>
  <c r="DX44" i="38"/>
  <c r="DX57" i="38"/>
  <c r="DX60" i="38"/>
  <c r="DX64" i="38"/>
  <c r="DX48" i="38"/>
  <c r="DX13" i="38"/>
  <c r="DX63" i="38"/>
  <c r="DX46" i="38"/>
  <c r="DX65" i="38"/>
  <c r="DX47" i="38"/>
  <c r="DX52" i="38"/>
  <c r="DY44" i="38"/>
  <c r="DY57" i="38"/>
  <c r="DX12" i="38"/>
  <c r="DX29" i="38"/>
  <c r="DY60" i="38"/>
  <c r="H60" i="38" a="1"/>
  <c r="H57" i="38" a="1"/>
  <c r="DY64" i="38"/>
  <c r="H64" i="38" a="1"/>
  <c r="DY48" i="38"/>
  <c r="DY63" i="38"/>
  <c r="DY46" i="38"/>
  <c r="DY13" i="38"/>
  <c r="H48" i="38" a="1"/>
  <c r="H63" i="38" a="1"/>
  <c r="DY65" i="38"/>
  <c r="DY47" i="38"/>
  <c r="H47" i="38" a="1"/>
  <c r="H15" i="38"/>
  <c r="H14" i="38"/>
  <c r="H13" i="38"/>
  <c r="H12" i="38"/>
  <c r="DY52" i="38"/>
  <c r="DY12" i="38"/>
  <c r="DY29" i="38"/>
  <c r="J19" i="38" a="1"/>
  <c r="DR20" i="38"/>
  <c r="DR97" i="38"/>
  <c r="DR98" i="38"/>
  <c r="DJ20" i="38"/>
  <c r="DJ97" i="38"/>
  <c r="DJ98" i="38"/>
  <c r="DB20" i="38"/>
  <c r="DB97" i="38"/>
  <c r="DB98" i="38"/>
  <c r="CT20" i="38"/>
  <c r="CT97" i="38"/>
  <c r="CT98" i="38"/>
  <c r="CL20" i="38"/>
  <c r="CL97" i="38"/>
  <c r="CL98" i="38"/>
  <c r="CD20" i="38"/>
  <c r="CD97" i="38"/>
  <c r="CD98" i="38"/>
  <c r="BV20" i="38"/>
  <c r="BV97" i="38"/>
  <c r="BV98" i="38"/>
  <c r="BN20" i="38"/>
  <c r="BN97" i="38"/>
  <c r="BN98" i="38"/>
  <c r="BF20" i="38"/>
  <c r="BF97" i="38"/>
  <c r="BF98" i="38"/>
  <c r="AX20" i="38"/>
  <c r="AX97" i="38"/>
  <c r="AX98" i="38"/>
  <c r="AP20" i="38"/>
  <c r="AP97" i="38"/>
  <c r="AP98" i="38"/>
  <c r="AH20" i="38"/>
  <c r="AH97" i="38"/>
  <c r="AH98" i="38"/>
  <c r="Z20" i="38"/>
  <c r="Z97" i="38"/>
  <c r="Z98" i="38"/>
  <c r="R20" i="38"/>
  <c r="R97" i="38"/>
  <c r="R98" i="38"/>
  <c r="DY20" i="38"/>
  <c r="DY97" i="38"/>
  <c r="DY98" i="38"/>
  <c r="DQ20" i="38"/>
  <c r="DQ97" i="38"/>
  <c r="DQ98" i="38"/>
  <c r="DI20" i="38"/>
  <c r="DI97" i="38"/>
  <c r="DI98" i="38"/>
  <c r="DA20" i="38"/>
  <c r="DA97" i="38"/>
  <c r="DA98" i="38"/>
  <c r="CS20" i="38"/>
  <c r="CS97" i="38"/>
  <c r="CS98" i="38"/>
  <c r="CK20" i="38"/>
  <c r="CK97" i="38"/>
  <c r="CK98" i="38"/>
  <c r="CC20" i="38"/>
  <c r="CC97" i="38"/>
  <c r="CC98" i="38"/>
  <c r="BU20" i="38"/>
  <c r="BU97" i="38"/>
  <c r="BU98" i="38"/>
  <c r="BM20" i="38"/>
  <c r="BM97" i="38"/>
  <c r="BM98" i="38"/>
  <c r="BE20" i="38"/>
  <c r="BE97" i="38"/>
  <c r="BE98" i="38"/>
  <c r="AW20" i="38"/>
  <c r="AW97" i="38"/>
  <c r="AW98" i="38"/>
  <c r="AO20" i="38"/>
  <c r="AO97" i="38"/>
  <c r="AO98" i="38"/>
  <c r="AG20" i="38"/>
  <c r="AG97" i="38"/>
  <c r="AG98" i="38"/>
  <c r="Y20" i="38"/>
  <c r="Y97" i="38"/>
  <c r="Y98" i="38"/>
  <c r="Q20" i="38"/>
  <c r="Q97" i="38"/>
  <c r="Q98" i="38"/>
  <c r="CU20" i="38"/>
  <c r="CU97" i="38"/>
  <c r="CU98" i="38"/>
  <c r="DX20" i="38"/>
  <c r="DX97" i="38"/>
  <c r="DX98" i="38"/>
  <c r="DP20" i="38"/>
  <c r="DP97" i="38"/>
  <c r="DP98" i="38"/>
  <c r="DH20" i="38"/>
  <c r="DH97" i="38"/>
  <c r="DH98" i="38"/>
  <c r="CZ20" i="38"/>
  <c r="CZ97" i="38"/>
  <c r="CZ98" i="38"/>
  <c r="CR20" i="38"/>
  <c r="CR97" i="38"/>
  <c r="CR98" i="38"/>
  <c r="CJ20" i="38"/>
  <c r="CJ97" i="38"/>
  <c r="CJ98" i="38"/>
  <c r="CB20" i="38"/>
  <c r="CB97" i="38"/>
  <c r="CB98" i="38"/>
  <c r="BT20" i="38"/>
  <c r="BT97" i="38"/>
  <c r="BT98" i="38"/>
  <c r="BL20" i="38"/>
  <c r="BL97" i="38"/>
  <c r="BL98" i="38"/>
  <c r="BD20" i="38"/>
  <c r="BD97" i="38"/>
  <c r="BD98" i="38"/>
  <c r="AV20" i="38"/>
  <c r="AV97" i="38"/>
  <c r="AV98" i="38"/>
  <c r="AN20" i="38"/>
  <c r="AN97" i="38"/>
  <c r="AN98" i="38"/>
  <c r="AF20" i="38"/>
  <c r="AF97" i="38"/>
  <c r="AF98" i="38"/>
  <c r="X20" i="38"/>
  <c r="X97" i="38"/>
  <c r="X98" i="38"/>
  <c r="P20" i="38"/>
  <c r="P97" i="38"/>
  <c r="P98" i="38"/>
  <c r="DW20" i="38"/>
  <c r="DW97" i="38"/>
  <c r="DW98" i="38"/>
  <c r="DO20" i="38"/>
  <c r="DO97" i="38"/>
  <c r="DO98" i="38"/>
  <c r="DG20" i="38"/>
  <c r="DG97" i="38"/>
  <c r="DG98" i="38"/>
  <c r="CY20" i="38"/>
  <c r="CY97" i="38"/>
  <c r="CY98" i="38"/>
  <c r="CQ20" i="38"/>
  <c r="CQ97" i="38"/>
  <c r="CQ98" i="38"/>
  <c r="CI20" i="38"/>
  <c r="CI97" i="38"/>
  <c r="CI98" i="38"/>
  <c r="CA20" i="38"/>
  <c r="CA97" i="38"/>
  <c r="CA98" i="38"/>
  <c r="BS20" i="38"/>
  <c r="BS97" i="38"/>
  <c r="BS98" i="38"/>
  <c r="BK20" i="38"/>
  <c r="BK97" i="38"/>
  <c r="BK98" i="38"/>
  <c r="BC20" i="38"/>
  <c r="BC97" i="38"/>
  <c r="BC98" i="38"/>
  <c r="AU20" i="38"/>
  <c r="AU97" i="38"/>
  <c r="AU98" i="38"/>
  <c r="AM20" i="38"/>
  <c r="AM97" i="38"/>
  <c r="AM98" i="38"/>
  <c r="AE20" i="38"/>
  <c r="AE97" i="38"/>
  <c r="AE98" i="38"/>
  <c r="W20" i="38"/>
  <c r="W97" i="38"/>
  <c r="W98" i="38"/>
  <c r="O20" i="38"/>
  <c r="O97" i="38"/>
  <c r="O98" i="38"/>
  <c r="CM20" i="38"/>
  <c r="CM97" i="38"/>
  <c r="CM98" i="38"/>
  <c r="DV20" i="38"/>
  <c r="DV97" i="38"/>
  <c r="DV98" i="38"/>
  <c r="DN20" i="38"/>
  <c r="DN97" i="38"/>
  <c r="DN98" i="38"/>
  <c r="DF20" i="38"/>
  <c r="DF97" i="38"/>
  <c r="DF98" i="38"/>
  <c r="CX20" i="38"/>
  <c r="CX97" i="38"/>
  <c r="CX98" i="38"/>
  <c r="CP20" i="38"/>
  <c r="CP97" i="38"/>
  <c r="CP98" i="38"/>
  <c r="CH20" i="38"/>
  <c r="CH97" i="38"/>
  <c r="CH98" i="38"/>
  <c r="BZ20" i="38"/>
  <c r="BZ97" i="38"/>
  <c r="BZ98" i="38"/>
  <c r="BR20" i="38"/>
  <c r="BR97" i="38"/>
  <c r="BR98" i="38"/>
  <c r="BJ20" i="38"/>
  <c r="BJ97" i="38"/>
  <c r="BJ98" i="38"/>
  <c r="BB20" i="38"/>
  <c r="BB97" i="38"/>
  <c r="BB98" i="38"/>
  <c r="AT20" i="38"/>
  <c r="AT97" i="38"/>
  <c r="AT98" i="38"/>
  <c r="AL20" i="38"/>
  <c r="AL97" i="38"/>
  <c r="AL98" i="38"/>
  <c r="AD20" i="38"/>
  <c r="AD97" i="38"/>
  <c r="AD98" i="38"/>
  <c r="V20" i="38"/>
  <c r="V97" i="38"/>
  <c r="V98" i="38"/>
  <c r="N20" i="38"/>
  <c r="N97" i="38"/>
  <c r="N98" i="38"/>
  <c r="DC20" i="38"/>
  <c r="DC97" i="38"/>
  <c r="DC98" i="38"/>
  <c r="CE20" i="38"/>
  <c r="CE97" i="38"/>
  <c r="CE98" i="38"/>
  <c r="BW20" i="38"/>
  <c r="BW97" i="38"/>
  <c r="BW98" i="38"/>
  <c r="BO20" i="38"/>
  <c r="BO97" i="38"/>
  <c r="BO98" i="38"/>
  <c r="AY20" i="38"/>
  <c r="AY97" i="38"/>
  <c r="AY98" i="38"/>
  <c r="AI20" i="38"/>
  <c r="AI97" i="38"/>
  <c r="AI98" i="38"/>
  <c r="S20" i="38"/>
  <c r="S97" i="38"/>
  <c r="S98" i="38"/>
  <c r="DU20" i="38"/>
  <c r="DU97" i="38"/>
  <c r="DU98" i="38"/>
  <c r="DM20" i="38"/>
  <c r="DM97" i="38"/>
  <c r="DM98" i="38"/>
  <c r="DE20" i="38"/>
  <c r="DE97" i="38"/>
  <c r="DE98" i="38"/>
  <c r="CW20" i="38"/>
  <c r="CW97" i="38"/>
  <c r="CW98" i="38"/>
  <c r="CO20" i="38"/>
  <c r="CO97" i="38"/>
  <c r="CO98" i="38"/>
  <c r="CG20" i="38"/>
  <c r="CG97" i="38"/>
  <c r="CG98" i="38"/>
  <c r="BY20" i="38"/>
  <c r="BY97" i="38"/>
  <c r="BY98" i="38"/>
  <c r="BQ20" i="38"/>
  <c r="BQ97" i="38"/>
  <c r="BQ98" i="38"/>
  <c r="BI20" i="38"/>
  <c r="BI97" i="38"/>
  <c r="BI98" i="38"/>
  <c r="BA20" i="38"/>
  <c r="BA97" i="38"/>
  <c r="BA98" i="38"/>
  <c r="AS20" i="38"/>
  <c r="AS97" i="38"/>
  <c r="AS98" i="38"/>
  <c r="AK20" i="38"/>
  <c r="AK97" i="38"/>
  <c r="AK98" i="38"/>
  <c r="AC20" i="38"/>
  <c r="AC97" i="38"/>
  <c r="AC98" i="38"/>
  <c r="U20" i="38"/>
  <c r="U97" i="38"/>
  <c r="U98" i="38"/>
  <c r="M20" i="38"/>
  <c r="M97" i="38"/>
  <c r="M98" i="38"/>
  <c r="DK20" i="38"/>
  <c r="DK97" i="38"/>
  <c r="DK98" i="38"/>
  <c r="DT20" i="38"/>
  <c r="DT97" i="38"/>
  <c r="DT98" i="38"/>
  <c r="DL20" i="38"/>
  <c r="DL97" i="38"/>
  <c r="DL98" i="38"/>
  <c r="DD20" i="38"/>
  <c r="DD97" i="38"/>
  <c r="DD98" i="38"/>
  <c r="CV20" i="38"/>
  <c r="CV97" i="38"/>
  <c r="CV98" i="38"/>
  <c r="CN20" i="38"/>
  <c r="CN97" i="38"/>
  <c r="CN98" i="38"/>
  <c r="CF20" i="38"/>
  <c r="CF97" i="38"/>
  <c r="CF98" i="38"/>
  <c r="BX20" i="38"/>
  <c r="BX97" i="38"/>
  <c r="BX98" i="38"/>
  <c r="BP20" i="38"/>
  <c r="BP97" i="38"/>
  <c r="BP98" i="38"/>
  <c r="BH20" i="38"/>
  <c r="BH97" i="38"/>
  <c r="BH98" i="38"/>
  <c r="AZ20" i="38"/>
  <c r="AZ97" i="38"/>
  <c r="AZ98" i="38"/>
  <c r="AR20" i="38"/>
  <c r="AR97" i="38"/>
  <c r="AR98" i="38"/>
  <c r="AJ20" i="38"/>
  <c r="AJ97" i="38"/>
  <c r="AJ98" i="38"/>
  <c r="AB20" i="38"/>
  <c r="AB97" i="38"/>
  <c r="AB98" i="38"/>
  <c r="T20" i="38"/>
  <c r="T97" i="38"/>
  <c r="T98" i="38"/>
  <c r="L20" i="38"/>
  <c r="L97" i="38"/>
  <c r="L98" i="38"/>
  <c r="DS20" i="38"/>
  <c r="DS97" i="38"/>
  <c r="DS98" i="38"/>
  <c r="BG20" i="38"/>
  <c r="BG97" i="38"/>
  <c r="BG98" i="38"/>
  <c r="AQ20" i="38"/>
  <c r="AQ97" i="38"/>
  <c r="AQ98" i="38"/>
  <c r="AA20" i="38"/>
  <c r="AA97" i="38"/>
  <c r="AA98" i="38"/>
  <c r="K20" i="38"/>
  <c r="K97" i="38"/>
  <c r="K98" i="38"/>
  <c r="J21" i="38" a="1"/>
  <c r="H21" i="38" a="1"/>
  <c r="J20" i="38"/>
  <c r="J97" i="38"/>
  <c r="J98" i="38"/>
  <c r="F103" i="38"/>
  <c r="F104" i="3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<sst xmlns="http://schemas.openxmlformats.org/spreadsheetml/2006/main" count="455" uniqueCount="224">
  <si>
    <t>[$]</t>
  </si>
  <si>
    <t>[#]</t>
  </si>
  <si>
    <t>[date]</t>
  </si>
  <si>
    <t>End Sheet</t>
  </si>
  <si>
    <t>[years]</t>
  </si>
  <si>
    <t>General Assumptions</t>
  </si>
  <si>
    <t>Assumptions</t>
  </si>
  <si>
    <t>Project Start Date (must be quarter end date)</t>
  </si>
  <si>
    <t>Initial quarter end date</t>
  </si>
  <si>
    <t>Number of years in project</t>
  </si>
  <si>
    <t>[# yrs]</t>
  </si>
  <si>
    <t>Final quarter end date (Project End Date)</t>
  </si>
  <si>
    <t>Acquisition Price of Asset at Project Start Date</t>
  </si>
  <si>
    <t>Terminal Value at End Date</t>
  </si>
  <si>
    <t>CFADS</t>
  </si>
  <si>
    <t>From Date</t>
  </si>
  <si>
    <t>[start of qtr date]</t>
  </si>
  <si>
    <t>Until Date (aligns with Senior Refinance Dates)</t>
  </si>
  <si>
    <t>[end of qtr date]</t>
  </si>
  <si>
    <t>CFADS per quarter</t>
  </si>
  <si>
    <t>[$ / qtr]</t>
  </si>
  <si>
    <t>Senior Facility</t>
  </si>
  <si>
    <t>Initial Drawdown Amount</t>
  </si>
  <si>
    <t>Initial Drawdown Date</t>
  </si>
  <si>
    <t>Initial Interest Rate</t>
  </si>
  <si>
    <t>[% p.a.]</t>
  </si>
  <si>
    <t>Facility Term (years)</t>
  </si>
  <si>
    <t>Maturity Date</t>
  </si>
  <si>
    <t>Senior Interest and Principal to be paid quarterly, in a mortgage / annuity / credit foncier style (level Principal + Interest each quarter)</t>
  </si>
  <si>
    <t>Senior Refinancing Details</t>
  </si>
  <si>
    <t>Refinance Number</t>
  </si>
  <si>
    <t>Refinance Date (must be quarter end dates)</t>
  </si>
  <si>
    <t>Refinance Fee</t>
  </si>
  <si>
    <t>[% of refi amount]</t>
  </si>
  <si>
    <t>New Interest Rate to apply</t>
  </si>
  <si>
    <t>You should take into account the updated interest rate and CFADS amount each refinance date to determine the required debt balance immediately after refinance.</t>
  </si>
  <si>
    <t>Remember to capitalize the refinance fee. More specifically, the total refinance amount will be the funds drawn down plus the refinance fee.</t>
  </si>
  <si>
    <t>Junior Facility</t>
  </si>
  <si>
    <t>Junior Interest Rate</t>
  </si>
  <si>
    <t>Equity</t>
  </si>
  <si>
    <t>Contribution amount at project start date</t>
  </si>
  <si>
    <t>Discount rate for Net Present Value Calculations</t>
  </si>
  <si>
    <t>Until Date</t>
  </si>
  <si>
    <t>Refinance Amounts should be sized such that the new quarterly debt service gives the same forecast DSCR each quarter as the initial drawdown.</t>
  </si>
  <si>
    <t>Calculations</t>
  </si>
  <si>
    <t>Period Start</t>
  </si>
  <si>
    <t>Period End</t>
  </si>
  <si>
    <t>Period Number</t>
  </si>
  <si>
    <t>Overall integrity</t>
  </si>
  <si>
    <t>Counters / Flags / Timing</t>
  </si>
  <si>
    <t>Refinance Period?</t>
  </si>
  <si>
    <t># of Refinancings already occurred</t>
  </si>
  <si>
    <t>Refinancing Number</t>
  </si>
  <si>
    <t>Refinancing Fee %</t>
  </si>
  <si>
    <t>Interest Rate in force</t>
  </si>
  <si>
    <t>Facility Active?</t>
  </si>
  <si>
    <t>[flag]</t>
  </si>
  <si>
    <t>Interest / Principal Repayment Period?</t>
  </si>
  <si>
    <t># of repayment periods remaining</t>
  </si>
  <si>
    <t>Project Active?</t>
  </si>
  <si>
    <t>CFADS column number (MATCH)</t>
  </si>
  <si>
    <t>CFADS (INDEX)</t>
  </si>
  <si>
    <t>Cash Flow Waterfall</t>
  </si>
  <si>
    <t>Cash Flow</t>
  </si>
  <si>
    <t>Equity Contribution</t>
  </si>
  <si>
    <t>Senior Initial Drawdown</t>
  </si>
  <si>
    <t>Junior Drawdown</t>
  </si>
  <si>
    <t>Acquisition of Asset</t>
  </si>
  <si>
    <t>Senior Interest Paid</t>
  </si>
  <si>
    <t>Senior Principal Paid</t>
  </si>
  <si>
    <t>Senior Bullet Repayment on Refinance</t>
  </si>
  <si>
    <t>Senior Refinance Drawdown</t>
  </si>
  <si>
    <t>Junior Interest Paid</t>
  </si>
  <si>
    <t>Junior Principal Paid</t>
  </si>
  <si>
    <t>Terminal Value of Asset</t>
  </si>
  <si>
    <t>Subtotal: Available for distributions</t>
  </si>
  <si>
    <t>Distributions paid</t>
  </si>
  <si>
    <t>Net cash flow for period (should be zero)</t>
  </si>
  <si>
    <t>Check subtotal available for dist's is not negative</t>
  </si>
  <si>
    <t>[check]</t>
  </si>
  <si>
    <t>Refinancing Calculations</t>
  </si>
  <si>
    <t>DSCR</t>
  </si>
  <si>
    <t>Target DSCR after each refinance</t>
  </si>
  <si>
    <t>[x]</t>
  </si>
  <si>
    <t>Actual DSCR</t>
  </si>
  <si>
    <t>Delta to target</t>
  </si>
  <si>
    <t>Check result</t>
  </si>
  <si>
    <t>Refinance Sizing</t>
  </si>
  <si>
    <t>Target DSCR</t>
  </si>
  <si>
    <t>Required Debt Service Amount per quarter</t>
  </si>
  <si>
    <t>Quarterly Interest Rate in force</t>
  </si>
  <si>
    <t>[% p.p]</t>
  </si>
  <si>
    <t>Implied new Opening Debt balance after refinance</t>
  </si>
  <si>
    <t>Target closing Balance including capitalised fee</t>
  </si>
  <si>
    <t>Refinance fee</t>
  </si>
  <si>
    <t>Refi Amount Drawndown (after fee consideration)</t>
  </si>
  <si>
    <t>Senior Facility Account</t>
  </si>
  <si>
    <t>Opening Balance</t>
  </si>
  <si>
    <t>Add: Initial Drawdown</t>
  </si>
  <si>
    <t>Add: Interest Expense</t>
  </si>
  <si>
    <t>Less: Interest Paid</t>
  </si>
  <si>
    <t>Less: Scheduled Principal Paid</t>
  </si>
  <si>
    <t>Less: Bullet Repayment on Refinance</t>
  </si>
  <si>
    <t>Add: Refinance Drawdown</t>
  </si>
  <si>
    <t>Add: Capitalised Refinance Fee</t>
  </si>
  <si>
    <t>Closing Balance</t>
  </si>
  <si>
    <t>Interest Rate for Period</t>
  </si>
  <si>
    <t>Interest Expense for Period (direct method)</t>
  </si>
  <si>
    <t>Interest Expense for Period (IPMT function)</t>
  </si>
  <si>
    <t>Check methods match</t>
  </si>
  <si>
    <t>Scheduled Principal Repayment</t>
  </si>
  <si>
    <t>Total Senior Debt Service</t>
  </si>
  <si>
    <t>Junior Facility Account</t>
  </si>
  <si>
    <t>Less: Principal Paid</t>
  </si>
  <si>
    <t>Interest Rate assumption column number</t>
  </si>
  <si>
    <t>Interest Rate per annum</t>
  </si>
  <si>
    <t>Interest Expense for Period</t>
  </si>
  <si>
    <t>Equity Returns</t>
  </si>
  <si>
    <t>Contributions</t>
  </si>
  <si>
    <t>Distributions</t>
  </si>
  <si>
    <t>Net Cash Flow to Equity</t>
  </si>
  <si>
    <t>Net Present Value</t>
  </si>
  <si>
    <t>Internal Rate of Return</t>
  </si>
  <si>
    <t>Tasks to Complete/Questions:</t>
  </si>
  <si>
    <t>a) See schedules above</t>
  </si>
  <si>
    <t>b) See waterfall schedule above</t>
  </si>
  <si>
    <t>NPV:</t>
  </si>
  <si>
    <t>IRR:</t>
  </si>
  <si>
    <t>c) See DSCR schedule above</t>
  </si>
  <si>
    <t>i) Total refinancing fees:</t>
  </si>
  <si>
    <t>ii) Total interest expense on Senior Facility:</t>
  </si>
  <si>
    <t>iii) Total interest expense on Junior Facility:</t>
  </si>
  <si>
    <t>d)  See schedules above for calculations:</t>
  </si>
  <si>
    <t>Junior Interest and Principal to be paid quarterly, with equal Principal each quarter.</t>
  </si>
  <si>
    <t>TMP SCHEDULE</t>
  </si>
  <si>
    <t>Model technical inputs</t>
  </si>
  <si>
    <t>Company name</t>
  </si>
  <si>
    <t>Investment Fund Asset</t>
  </si>
  <si>
    <t>Topic</t>
  </si>
  <si>
    <t>Debt</t>
  </si>
  <si>
    <t>Constant</t>
  </si>
  <si>
    <t>Unit</t>
  </si>
  <si>
    <t>Total</t>
  </si>
  <si>
    <t>[xxx]</t>
  </si>
  <si>
    <t>[xxx] addition / (repayment)</t>
  </si>
  <si>
    <t>[xxx] opening balance</t>
  </si>
  <si>
    <t>USD</t>
  </si>
  <si>
    <t>Corkscrew</t>
  </si>
  <si>
    <t>TIME SCHEDULE</t>
  </si>
  <si>
    <t>Model timeline</t>
  </si>
  <si>
    <t>Model start date</t>
  </si>
  <si>
    <t>date</t>
  </si>
  <si>
    <t>Number of years in the model</t>
  </si>
  <si>
    <t>years</t>
  </si>
  <si>
    <t>Number of quarters in the model</t>
  </si>
  <si>
    <t>quarters</t>
  </si>
  <si>
    <t>Model period beginning</t>
  </si>
  <si>
    <t>Model period ending</t>
  </si>
  <si>
    <t>Model period counter</t>
  </si>
  <si>
    <t>counter</t>
  </si>
  <si>
    <t>Model first period flag</t>
  </si>
  <si>
    <t>flag</t>
  </si>
  <si>
    <t>Senior Facility drawdown date</t>
  </si>
  <si>
    <t>CFADS table column counter</t>
  </si>
  <si>
    <t>CFADS period flag</t>
  </si>
  <si>
    <t>Senior Facility maturity date</t>
  </si>
  <si>
    <t>Senior Facility period flag</t>
  </si>
  <si>
    <t>Last refinancing date</t>
  </si>
  <si>
    <t>Refinancing term</t>
  </si>
  <si>
    <t>First refinancing date</t>
  </si>
  <si>
    <t>Junior Facility drawdown date</t>
  </si>
  <si>
    <t>Junior Facility maturity date</t>
  </si>
  <si>
    <t>Junior Facility period flag</t>
  </si>
  <si>
    <t>Rate reset periods</t>
  </si>
  <si>
    <t>Junior Facility reset counter</t>
  </si>
  <si>
    <t>Senior Facility refinancing counter</t>
  </si>
  <si>
    <t>Refinancing periods</t>
  </si>
  <si>
    <t>Refinancing</t>
  </si>
  <si>
    <t>Term</t>
  </si>
  <si>
    <t>CASHFLOW SCHEDULE</t>
  </si>
  <si>
    <t>Cashflow Waterfall</t>
  </si>
  <si>
    <t>Refinancing calculations</t>
  </si>
  <si>
    <t>multiple</t>
  </si>
  <si>
    <t>Refinance sizing</t>
  </si>
  <si>
    <t>Senior Facility opening balance</t>
  </si>
  <si>
    <t>Senior Facility initial drawdown</t>
  </si>
  <si>
    <t>Senior Facility ending balance</t>
  </si>
  <si>
    <t>Senior Facility scheduled interest payments</t>
  </si>
  <si>
    <t>Senior Facility interest expenses</t>
  </si>
  <si>
    <t>%</t>
  </si>
  <si>
    <t>Quarterly initial interest rate</t>
  </si>
  <si>
    <t>add</t>
  </si>
  <si>
    <t>Senior Facility interest paid</t>
  </si>
  <si>
    <t>Senior Facility scheduled principal payments</t>
  </si>
  <si>
    <t>less</t>
  </si>
  <si>
    <t>Senior Facility principal payments</t>
  </si>
  <si>
    <t>Senior Facility scheduled principal repayment</t>
  </si>
  <si>
    <t>Senior Facility Debt Service</t>
  </si>
  <si>
    <t>Senior Facility refinancing period flag</t>
  </si>
  <si>
    <t>Senior Facility refinancing date flag</t>
  </si>
  <si>
    <t>Senior Facility bullet repayment on refinance</t>
  </si>
  <si>
    <t>Senior Facility refinance drawdown</t>
  </si>
  <si>
    <t>Senior Facility Initial Drawdown</t>
  </si>
  <si>
    <t>Junior Facility Drawdown</t>
  </si>
  <si>
    <t>Required Senior Facility Debt Service</t>
  </si>
  <si>
    <t>Senior Facilty interest in force</t>
  </si>
  <si>
    <t>Senior Facility implied opening balance</t>
  </si>
  <si>
    <t>Target Senior Facilty closing balance (including fee)</t>
  </si>
  <si>
    <t>Senior Facility refinance free</t>
  </si>
  <si>
    <t>Senior Facility closing balance (after fee consideration)</t>
  </si>
  <si>
    <t>Senior Facility refinance fee</t>
  </si>
  <si>
    <t>Junior Facility opening balance</t>
  </si>
  <si>
    <t>Junior Facility initial drawdown</t>
  </si>
  <si>
    <t>Junior Facility interest paid</t>
  </si>
  <si>
    <t>Junior Facility ending balance</t>
  </si>
  <si>
    <t>Junior Facility interest expenses</t>
  </si>
  <si>
    <t>Junior Facility principal payments</t>
  </si>
  <si>
    <t>Junior Facility scheduled principal repayment</t>
  </si>
  <si>
    <t>Junior Facility Debt Service</t>
  </si>
  <si>
    <t>Senior Facility Principal repayment counter</t>
  </si>
  <si>
    <t>Junior Facility Principal repayment counter</t>
  </si>
  <si>
    <t>Equity cashflow</t>
  </si>
  <si>
    <t>Returns</t>
  </si>
  <si>
    <t>End of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</si>
</sst>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[$-C09]dd\-mmm\-yy;@"/>
    <numFmt numFmtId="178" formatCode="#,##0.000_);\(#,##0.000\);\-_)"/>
    <numFmt numFmtId="179" formatCode="#,##0_);\(#,##0\);&quot;-  &quot;;&quot; &quot;@"/>
    <numFmt numFmtId="180" formatCode="0.00%\ ;\-0.00%\ _);&quot;-  &quot;;&quot; &quot;@&quot; &quot;"/>
    <numFmt numFmtId="181" formatCode="#,##0.0000_);\(#,##0.0000\);&quot;-  &quot;;&quot; &quot;@&quot; &quot;"/>
    <numFmt numFmtId="182" formatCode="dd\ mmm\ yyyy_);\(###0\);&quot;-  &quot;;&quot; &quot;@&quot; &quot;"/>
    <numFmt numFmtId="183" formatCode="dd\ mmm\ yy_);\(###0\);&quot;-  &quot;;&quot; &quot;@&quot; &quot;"/>
    <numFmt numFmtId="184" formatCode="###0_);\(###0\);&quot;-  &quot;;&quot; &quot;@&quot; &quot;"/>
    <numFmt numFmtId="185" formatCode="#,##0_);\(#,##0\);&quot;-  &quot;;&quot; &quot;@&quot; &quot;"/>
  </numFmts>
  <fonts count="40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rgb="FF366092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2"/>
      <color theme="0"/>
      <name val="Arial"/>
      <family val="2"/>
    </font>
    <font>
      <sz val="12"/>
      <color rgb="FFFF00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rgb="FF0000FF"/>
      <name val="Arial"/>
      <family val="2"/>
    </font>
    <font>
      <u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DE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hair">
        <color rgb="FF0000FF"/>
      </left>
      <right style="hair">
        <color rgb="FF0000FF"/>
      </right>
      <top/>
      <bottom style="hair">
        <color rgb="FF0000F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5">
    <xf numFmtId="179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165" fontId="22" fillId="0" borderId="0" applyFont="0" applyFill="0" applyBorder="0" applyAlignment="0" applyProtection="0"/>
    <xf numFmtId="0" fontId="25" fillId="2" borderId="7" applyNumberFormat="0" applyAlignment="0" applyProtection="0"/>
    <xf numFmtId="4" fontId="7" fillId="4" borderId="14">
      <alignment horizontal="left"/>
    </xf>
    <xf numFmtId="180" fontId="24" fillId="0" borderId="0" applyFont="0" applyFill="0" applyBorder="0" applyProtection="0">
      <alignment vertical="top"/>
    </xf>
    <xf numFmtId="181" fontId="35" fillId="0" borderId="0" applyFont="0" applyFill="0" applyBorder="0" applyProtection="0">
      <alignment vertical="top"/>
    </xf>
    <xf numFmtId="182" fontId="35" fillId="0" borderId="0" applyFont="0" applyFill="0" applyBorder="0" applyProtection="0">
      <alignment vertical="top"/>
    </xf>
    <xf numFmtId="183" fontId="35" fillId="0" borderId="0" applyFont="0" applyFill="0" applyBorder="0" applyProtection="0">
      <alignment vertical="top"/>
    </xf>
    <xf numFmtId="184" fontId="35" fillId="0" borderId="0" applyFont="0" applyFill="0" applyBorder="0" applyProtection="0">
      <alignment vertical="top"/>
    </xf>
  </cellStyleXfs>
  <cellXfs count="99">
    <xf numFmtId="179" fontId="0" fillId="0" borderId="0" xfId="0">
      <alignment vertical="top"/>
    </xf>
    <xf numFmtId="175" fontId="8" fillId="0" borderId="0" xfId="44" applyFont="1"/>
    <xf numFmtId="168" fontId="26" fillId="0" borderId="0" xfId="16" applyFont="1"/>
    <xf numFmtId="168" fontId="1" fillId="0" borderId="0" xfId="13"/>
    <xf numFmtId="167" fontId="27" fillId="0" borderId="0" xfId="15" applyFont="1"/>
    <xf numFmtId="167" fontId="10" fillId="3" borderId="0" xfId="12" applyNumberFormat="1"/>
    <xf numFmtId="167" fontId="30" fillId="3" borderId="0" xfId="12" applyNumberFormat="1" applyFont="1"/>
    <xf numFmtId="168" fontId="0" fillId="0" borderId="0" xfId="13" applyFont="1"/>
    <xf numFmtId="4" fontId="7" fillId="4" borderId="14" xfId="49">
      <alignment horizontal="left"/>
    </xf>
    <xf numFmtId="167" fontId="11" fillId="0" borderId="0" xfId="15"/>
    <xf numFmtId="168" fontId="12" fillId="0" borderId="0" xfId="17" applyNumberFormat="1">
      <alignment horizontal="right"/>
    </xf>
    <xf numFmtId="175" fontId="12" fillId="0" borderId="8" xfId="46" applyFill="1">
      <protection locked="0"/>
    </xf>
    <xf numFmtId="175" fontId="1" fillId="0" borderId="0" xfId="44"/>
    <xf numFmtId="168" fontId="12" fillId="0" borderId="8" xfId="23"/>
    <xf numFmtId="168" fontId="12" fillId="5" borderId="8" xfId="18">
      <protection locked="0"/>
    </xf>
    <xf numFmtId="168" fontId="9" fillId="0" borderId="0" xfId="16"/>
    <xf numFmtId="170" fontId="12" fillId="5" borderId="8" xfId="20">
      <protection locked="0"/>
    </xf>
    <xf numFmtId="175" fontId="12" fillId="5" borderId="8" xfId="46">
      <protection locked="0"/>
    </xf>
    <xf numFmtId="177" fontId="30" fillId="3" borderId="0" xfId="12" applyNumberFormat="1" applyFont="1"/>
    <xf numFmtId="177" fontId="31" fillId="3" borderId="0" xfId="12" applyNumberFormat="1" applyFont="1"/>
    <xf numFmtId="167" fontId="31" fillId="3" borderId="0" xfId="12" applyNumberFormat="1" applyFont="1"/>
    <xf numFmtId="167" fontId="30" fillId="3" borderId="0" xfId="12" applyNumberFormat="1" applyFont="1" applyAlignment="1">
      <alignment horizontal="right"/>
    </xf>
    <xf numFmtId="172" fontId="15" fillId="8" borderId="10" xfId="27">
      <alignment horizontal="center"/>
    </xf>
    <xf numFmtId="168" fontId="1" fillId="9" borderId="11" xfId="37"/>
    <xf numFmtId="174" fontId="20" fillId="0" borderId="11" xfId="34" applyFill="1">
      <alignment horizontal="center"/>
    </xf>
    <xf numFmtId="170" fontId="2" fillId="0" borderId="0" xfId="36"/>
    <xf numFmtId="170" fontId="2" fillId="0" borderId="0" xfId="36" applyFill="1"/>
    <xf numFmtId="175" fontId="17" fillId="0" borderId="0" xfId="29" applyNumberFormat="1"/>
    <xf numFmtId="168" fontId="17" fillId="0" borderId="0" xfId="29" applyNumberFormat="1"/>
    <xf numFmtId="168" fontId="8" fillId="0" borderId="0" xfId="13" applyFont="1"/>
    <xf numFmtId="168" fontId="0" fillId="0" borderId="15" xfId="13" applyFont="1" applyBorder="1"/>
    <xf numFmtId="168" fontId="1" fillId="9" borderId="16" xfId="37" applyBorder="1"/>
    <xf numFmtId="168" fontId="1" fillId="0" borderId="15" xfId="13" applyBorder="1"/>
    <xf numFmtId="168" fontId="1" fillId="9" borderId="17" xfId="37" applyBorder="1"/>
    <xf numFmtId="168" fontId="0" fillId="0" borderId="0" xfId="13" applyFont="1" applyBorder="1"/>
    <xf numFmtId="172" fontId="13" fillId="0" borderId="9" xfId="25">
      <alignment horizontal="center"/>
    </xf>
    <xf numFmtId="178" fontId="8" fillId="0" borderId="3" xfId="33" applyNumberFormat="1" applyFont="1" applyBorder="1"/>
    <xf numFmtId="178" fontId="1" fillId="0" borderId="0" xfId="33" applyNumberFormat="1"/>
    <xf numFmtId="178" fontId="17" fillId="0" borderId="0" xfId="29" applyNumberFormat="1"/>
    <xf numFmtId="168" fontId="8" fillId="0" borderId="0" xfId="13" applyFont="1" applyAlignment="1">
      <alignment horizontal="right"/>
    </xf>
    <xf numFmtId="170" fontId="17" fillId="0" borderId="0" xfId="29" applyNumberFormat="1"/>
    <xf numFmtId="168" fontId="28" fillId="0" borderId="0" xfId="13" applyFont="1"/>
    <xf numFmtId="168" fontId="1" fillId="0" borderId="0" xfId="13" applyBorder="1"/>
    <xf numFmtId="168" fontId="9" fillId="10" borderId="3" xfId="16" applyFill="1" applyBorder="1"/>
    <xf numFmtId="170" fontId="29" fillId="10" borderId="3" xfId="36" applyFont="1" applyFill="1" applyBorder="1"/>
    <xf numFmtId="4" fontId="7" fillId="4" borderId="12" xfId="14" applyBorder="1">
      <alignment horizontal="left"/>
    </xf>
    <xf numFmtId="4" fontId="7" fillId="4" borderId="2" xfId="14">
      <alignment horizontal="left"/>
    </xf>
    <xf numFmtId="4" fontId="7" fillId="4" borderId="13" xfId="14" applyBorder="1">
      <alignment horizontal="left"/>
    </xf>
    <xf numFmtId="170" fontId="29" fillId="0" borderId="0" xfId="36" applyFont="1" applyFill="1" applyBorder="1"/>
    <xf numFmtId="168" fontId="2" fillId="0" borderId="0" xfId="17" applyNumberFormat="1" applyFont="1">
      <alignment horizontal="right"/>
    </xf>
    <xf numFmtId="10" fontId="2" fillId="0" borderId="0" xfId="17" applyNumberFormat="1" applyFont="1">
      <alignment horizontal="right"/>
    </xf>
    <xf numFmtId="168" fontId="1" fillId="0" borderId="0" xfId="16" applyFont="1"/>
    <xf numFmtId="168" fontId="2" fillId="0" borderId="0" xfId="16" applyFont="1"/>
    <xf numFmtId="179" fontId="32" fillId="11" borderId="0" xfId="0" applyFont="1" applyFill="1">
      <alignment vertical="top"/>
    </xf>
    <xf numFmtId="168" fontId="12" fillId="12" borderId="18" xfId="13" applyFont="1" applyFill="1" applyBorder="1"/>
    <xf numFmtId="168" fontId="12" fillId="12" borderId="19" xfId="13" applyFont="1" applyFill="1" applyBorder="1"/>
    <xf numFmtId="179" fontId="36" fillId="11" borderId="0" xfId="0" applyFont="1" applyFill="1" applyAlignment="1">
      <alignment horizontal="right"/>
    </xf>
    <xf numFmtId="179" fontId="37" fillId="0" borderId="0" xfId="0" applyFont="1" applyAlignment="1">
      <alignment horizontal="right"/>
    </xf>
    <xf numFmtId="179" fontId="0" fillId="12" borderId="18" xfId="0" applyFill="1" applyBorder="1">
      <alignment vertical="top"/>
    </xf>
    <xf numFmtId="179" fontId="0" fillId="13" borderId="0" xfId="0" applyFill="1">
      <alignment vertical="top"/>
    </xf>
    <xf numFmtId="179" fontId="37" fillId="13" borderId="0" xfId="0" applyFont="1" applyFill="1" applyAlignment="1">
      <alignment horizontal="right"/>
    </xf>
    <xf numFmtId="179" fontId="34" fillId="0" borderId="0" xfId="0" applyFont="1">
      <alignment vertical="top"/>
    </xf>
    <xf numFmtId="179" fontId="34" fillId="13" borderId="0" xfId="0" applyFont="1" applyFill="1">
      <alignment vertical="top"/>
    </xf>
    <xf numFmtId="182" fontId="0" fillId="0" borderId="0" xfId="52" applyFont="1">
      <alignment vertical="top"/>
    </xf>
    <xf numFmtId="183" fontId="33" fillId="12" borderId="19" xfId="53" applyFont="1" applyFill="1" applyBorder="1">
      <alignment vertical="top"/>
    </xf>
    <xf numFmtId="179" fontId="33" fillId="12" borderId="18" xfId="0" applyFont="1" applyFill="1" applyBorder="1">
      <alignment vertical="top"/>
    </xf>
    <xf numFmtId="183" fontId="0" fillId="0" borderId="0" xfId="53" applyFont="1">
      <alignment vertical="top"/>
    </xf>
    <xf numFmtId="183" fontId="32" fillId="11" borderId="0" xfId="53" applyFont="1" applyFill="1">
      <alignment vertical="top"/>
    </xf>
    <xf numFmtId="183" fontId="33" fillId="12" borderId="18" xfId="53" applyFont="1" applyFill="1" applyBorder="1">
      <alignment vertical="top"/>
    </xf>
    <xf numFmtId="179" fontId="0" fillId="0" borderId="0" xfId="0" applyFont="1">
      <alignment vertical="top"/>
    </xf>
    <xf numFmtId="170" fontId="12" fillId="5" borderId="20" xfId="20" applyBorder="1">
      <protection locked="0"/>
    </xf>
    <xf numFmtId="183" fontId="33" fillId="0" borderId="0" xfId="53" applyFont="1" applyFill="1" applyBorder="1">
      <alignment vertical="top"/>
    </xf>
    <xf numFmtId="179" fontId="38" fillId="12" borderId="18" xfId="0" applyFont="1" applyFill="1" applyBorder="1">
      <alignment vertical="top"/>
    </xf>
    <xf numFmtId="183" fontId="33" fillId="13" borderId="18" xfId="53" applyFont="1" applyFill="1" applyBorder="1">
      <alignment vertical="top"/>
    </xf>
    <xf numFmtId="183" fontId="33" fillId="13" borderId="21" xfId="53" applyFont="1" applyFill="1" applyBorder="1">
      <alignment vertical="top"/>
    </xf>
    <xf numFmtId="179" fontId="39" fillId="0" borderId="0" xfId="0" applyFont="1" applyAlignment="1">
      <alignment horizontal="left"/>
    </xf>
    <xf numFmtId="179" fontId="39" fillId="0" borderId="0" xfId="0" applyFont="1">
      <alignment vertical="top"/>
    </xf>
    <xf numFmtId="179" fontId="0" fillId="12" borderId="19" xfId="0" applyFill="1" applyBorder="1">
      <alignment vertical="top"/>
    </xf>
    <xf numFmtId="179" fontId="0" fillId="0" borderId="15" xfId="0" applyBorder="1">
      <alignment vertical="top"/>
    </xf>
    <xf numFmtId="179" fontId="0" fillId="0" borderId="0" xfId="0" applyFill="1" applyBorder="1">
      <alignment vertical="top"/>
    </xf>
    <xf numFmtId="179" fontId="34" fillId="0" borderId="15" xfId="0" applyFont="1" applyBorder="1">
      <alignment vertical="top"/>
    </xf>
    <xf numFmtId="179" fontId="34" fillId="0" borderId="15" xfId="0" applyFont="1" applyFill="1" applyBorder="1">
      <alignment vertical="top"/>
    </xf>
    <xf numFmtId="179" fontId="37" fillId="14" borderId="0" xfId="0" applyFont="1" applyFill="1" applyAlignment="1">
      <alignment horizontal="right"/>
    </xf>
    <xf numFmtId="179" fontId="37" fillId="15" borderId="0" xfId="0" applyFont="1" applyFill="1" applyAlignment="1">
      <alignment horizontal="right"/>
    </xf>
    <xf numFmtId="179" fontId="0" fillId="15" borderId="0" xfId="0" applyFill="1">
      <alignment vertical="top"/>
    </xf>
    <xf numFmtId="181" fontId="0" fillId="0" borderId="0" xfId="51" applyFont="1">
      <alignment vertical="top"/>
    </xf>
    <xf numFmtId="179" fontId="37" fillId="0" borderId="0" xfId="0" applyFont="1" applyAlignment="1">
      <alignment horizontal="right" vertical="center"/>
    </xf>
    <xf numFmtId="179" fontId="0" fillId="0" borderId="0" xfId="0" applyAlignment="1">
      <alignment horizontal="left" vertical="top" indent="2"/>
    </xf>
    <xf numFmtId="180" fontId="0" fillId="0" borderId="0" xfId="50" applyFont="1">
      <alignment vertical="top"/>
    </xf>
    <xf numFmtId="180" fontId="33" fillId="0" borderId="0" xfId="50" applyFont="1">
      <alignment vertical="top"/>
    </xf>
    <xf numFmtId="179" fontId="0" fillId="0" borderId="0" xfId="0" applyFill="1">
      <alignment vertical="top"/>
    </xf>
    <xf numFmtId="179" fontId="0" fillId="0" borderId="0" xfId="0" applyAlignment="1">
      <alignment horizontal="left" vertical="top"/>
    </xf>
    <xf numFmtId="184" fontId="0" fillId="0" borderId="0" xfId="54" applyFont="1">
      <alignment vertical="top"/>
    </xf>
    <xf numFmtId="179" fontId="0" fillId="16" borderId="0" xfId="0" applyFill="1">
      <alignment vertical="top"/>
    </xf>
    <xf numFmtId="185" fontId="34" fillId="0" borderId="0" xfId="51" applyNumberFormat="1" applyFont="1">
      <alignment vertical="top"/>
    </xf>
    <xf numFmtId="185" fontId="0" fillId="0" borderId="0" xfId="51" applyNumberFormat="1" applyFont="1">
      <alignment vertical="top"/>
    </xf>
    <xf numFmtId="185" fontId="0" fillId="0" borderId="0" xfId="51" applyNumberFormat="1" applyFont="1" applyAlignment="1">
      <alignment horizontal="left" vertical="top" indent="2"/>
    </xf>
    <xf numFmtId="179" fontId="0" fillId="0" borderId="0" xfId="0" applyFont="1" applyAlignment="1">
      <alignment horizontal="left" vertical="top" indent="2"/>
    </xf>
    <xf numFmtId="180" fontId="34" fillId="0" borderId="0" xfId="50" applyFont="1">
      <alignment vertical="top"/>
    </xf>
  </cellXfs>
  <cellStyles count="55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2" xr:uid="{D3A1442D-E790-488C-91E1-C47087BDF044}"/>
    <cellStyle name="DateShort" xfId="53" xr:uid="{3B56073B-1AFA-46CF-B185-4BD783BEBD84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1" xr:uid="{F1370E25-E3FB-4572-89FC-261390720B8A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0" builtinId="5" customBuiltin="1"/>
    <cellStyle name="Percent 2" xfId="11" xr:uid="{00000000-0005-0000-0000-00002E000000}"/>
    <cellStyle name="Year" xfId="54" xr:uid="{A565193F-4757-445C-B229-FC374E9CA799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3205AF-7F6B-4C9C-B347-A5D0AE2FC4A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8bd29b-abe0-454e-af81-33282db6e84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AE36-0C9E-451A-887F-17CCEBAFC471}">
  <sheetPr>
    <pageSetUpPr autoPageBreaks="0" fitToPage="1"/>
  </sheetPr>
  <dimension ref="A1:DY107"/>
  <sheetViews>
    <sheetView showGridLines="0" tabSelected="1" zoomScale="85" zoomScaleNormal="85" workbookViewId="0">
      <pane xSplit="9" ySplit="3" topLeftCell="O68" activePane="bottomRight" state="frozen"/>
      <selection pane="topRight" activeCell="J1" sqref="J1"/>
      <selection pane="bottomLeft" activeCell="A4" sqref="A4"/>
      <selection pane="bottomRight" activeCell="Q91" sqref="Q91"/>
    </sheetView>
  </sheetViews>
  <sheetFormatPr defaultColWidth="0" defaultRowHeight="13.8"/>
  <cols>
    <col min="1" max="1" width="1.59765625" style="61" customWidth="1"/>
    <col min="2" max="3" width="1.59765625" customWidth="1"/>
    <col min="4" max="4" width="1.59765625" style="57" customWidth="1"/>
    <col min="5" max="5" width="45.69921875" customWidth="1"/>
    <col min="6" max="6" width="12.69921875" customWidth="1"/>
    <col min="7" max="7" width="9.69921875" customWidth="1"/>
    <col min="8" max="8" width="11.69921875" customWidth="1"/>
    <col min="9" max="9" width="1.59765625" customWidth="1"/>
    <col min="10" max="129" width="11.59765625" customWidth="1"/>
    <col min="130" max="16384" width="10.69921875" hidden="1"/>
  </cols>
  <sheetData>
    <row r="1" spans="1:129" s="53" customFormat="1">
      <c r="A1" s="53" t="str" cm="1">
        <f t="array" ref="A1">company</f>
        <v>Investment Fund Asset</v>
      </c>
      <c r="D1" s="56"/>
    </row>
    <row r="2" spans="1:129" s="53" customFormat="1">
      <c r="A2" s="53" t="str" cm="1">
        <f t="array" ref="A2">topic</f>
        <v xml:space="preserve">CFM Topic: </v>
      </c>
      <c r="D2" s="56"/>
      <c r="J2" s="67" cm="1">
        <f t="array" ref="J2:DY2" xml:space="preserve"> EDATE( start_date + 1, _xlfn.SEQUENCE( 1, quarters, 0, 3 ) )</f>
        <v>44197</v>
      </c>
      <c r="K2" s="67">
        <v>44287</v>
      </c>
      <c r="L2" s="67">
        <v>44378</v>
      </c>
      <c r="M2" s="67">
        <v>44470</v>
      </c>
      <c r="N2" s="67">
        <v>44562</v>
      </c>
      <c r="O2" s="67">
        <v>44652</v>
      </c>
      <c r="P2" s="67">
        <v>44743</v>
      </c>
      <c r="Q2" s="67">
        <v>44835</v>
      </c>
      <c r="R2" s="67">
        <v>44927</v>
      </c>
      <c r="S2" s="67">
        <v>45017</v>
      </c>
      <c r="T2" s="67">
        <v>45108</v>
      </c>
      <c r="U2" s="67">
        <v>45200</v>
      </c>
      <c r="V2" s="67">
        <v>45292</v>
      </c>
      <c r="W2" s="67">
        <v>45383</v>
      </c>
      <c r="X2" s="67">
        <v>45474</v>
      </c>
      <c r="Y2" s="67">
        <v>45566</v>
      </c>
      <c r="Z2" s="67">
        <v>45658</v>
      </c>
      <c r="AA2" s="67">
        <v>45748</v>
      </c>
      <c r="AB2" s="67">
        <v>45839</v>
      </c>
      <c r="AC2" s="67">
        <v>45931</v>
      </c>
      <c r="AD2" s="67">
        <v>46023</v>
      </c>
      <c r="AE2" s="67">
        <v>46113</v>
      </c>
      <c r="AF2" s="67">
        <v>46204</v>
      </c>
      <c r="AG2" s="67">
        <v>46296</v>
      </c>
      <c r="AH2" s="67">
        <v>46388</v>
      </c>
      <c r="AI2" s="67">
        <v>46478</v>
      </c>
      <c r="AJ2" s="67">
        <v>46569</v>
      </c>
      <c r="AK2" s="67">
        <v>46661</v>
      </c>
      <c r="AL2" s="67">
        <v>46753</v>
      </c>
      <c r="AM2" s="67">
        <v>46844</v>
      </c>
      <c r="AN2" s="67">
        <v>46935</v>
      </c>
      <c r="AO2" s="67">
        <v>47027</v>
      </c>
      <c r="AP2" s="67">
        <v>47119</v>
      </c>
      <c r="AQ2" s="67">
        <v>47209</v>
      </c>
      <c r="AR2" s="67">
        <v>47300</v>
      </c>
      <c r="AS2" s="67">
        <v>47392</v>
      </c>
      <c r="AT2" s="67">
        <v>47484</v>
      </c>
      <c r="AU2" s="67">
        <v>47574</v>
      </c>
      <c r="AV2" s="67">
        <v>47665</v>
      </c>
      <c r="AW2" s="67">
        <v>47757</v>
      </c>
      <c r="AX2" s="67">
        <v>47849</v>
      </c>
      <c r="AY2" s="67">
        <v>47939</v>
      </c>
      <c r="AZ2" s="67">
        <v>48030</v>
      </c>
      <c r="BA2" s="67">
        <v>48122</v>
      </c>
      <c r="BB2" s="67">
        <v>48214</v>
      </c>
      <c r="BC2" s="67">
        <v>48305</v>
      </c>
      <c r="BD2" s="67">
        <v>48396</v>
      </c>
      <c r="BE2" s="67">
        <v>48488</v>
      </c>
      <c r="BF2" s="67">
        <v>48580</v>
      </c>
      <c r="BG2" s="67">
        <v>48670</v>
      </c>
      <c r="BH2" s="67">
        <v>48761</v>
      </c>
      <c r="BI2" s="67">
        <v>48853</v>
      </c>
      <c r="BJ2" s="67">
        <v>48945</v>
      </c>
      <c r="BK2" s="67">
        <v>49035</v>
      </c>
      <c r="BL2" s="67">
        <v>49126</v>
      </c>
      <c r="BM2" s="67">
        <v>49218</v>
      </c>
      <c r="BN2" s="67">
        <v>49310</v>
      </c>
      <c r="BO2" s="67">
        <v>49400</v>
      </c>
      <c r="BP2" s="67">
        <v>49491</v>
      </c>
      <c r="BQ2" s="67">
        <v>49583</v>
      </c>
      <c r="BR2" s="67">
        <v>49675</v>
      </c>
      <c r="BS2" s="67">
        <v>49766</v>
      </c>
      <c r="BT2" s="67">
        <v>49857</v>
      </c>
      <c r="BU2" s="67">
        <v>49949</v>
      </c>
      <c r="BV2" s="67">
        <v>50041</v>
      </c>
      <c r="BW2" s="67">
        <v>50131</v>
      </c>
      <c r="BX2" s="67">
        <v>50222</v>
      </c>
      <c r="BY2" s="67">
        <v>50314</v>
      </c>
      <c r="BZ2" s="67">
        <v>50406</v>
      </c>
      <c r="CA2" s="67">
        <v>50496</v>
      </c>
      <c r="CB2" s="67">
        <v>50587</v>
      </c>
      <c r="CC2" s="67">
        <v>50679</v>
      </c>
      <c r="CD2" s="67">
        <v>50771</v>
      </c>
      <c r="CE2" s="67">
        <v>50861</v>
      </c>
      <c r="CF2" s="67">
        <v>50952</v>
      </c>
      <c r="CG2" s="67">
        <v>51044</v>
      </c>
      <c r="CH2" s="67">
        <v>51136</v>
      </c>
      <c r="CI2" s="67">
        <v>51227</v>
      </c>
      <c r="CJ2" s="67">
        <v>51318</v>
      </c>
      <c r="CK2" s="67">
        <v>51410</v>
      </c>
      <c r="CL2" s="67">
        <v>51502</v>
      </c>
      <c r="CM2" s="67">
        <v>51592</v>
      </c>
      <c r="CN2" s="67">
        <v>51683</v>
      </c>
      <c r="CO2" s="67">
        <v>51775</v>
      </c>
      <c r="CP2" s="67">
        <v>51867</v>
      </c>
      <c r="CQ2" s="67">
        <v>51957</v>
      </c>
      <c r="CR2" s="67">
        <v>52048</v>
      </c>
      <c r="CS2" s="67">
        <v>52140</v>
      </c>
      <c r="CT2" s="67">
        <v>52232</v>
      </c>
      <c r="CU2" s="67">
        <v>52322</v>
      </c>
      <c r="CV2" s="67">
        <v>52413</v>
      </c>
      <c r="CW2" s="67">
        <v>52505</v>
      </c>
      <c r="CX2" s="67">
        <v>52597</v>
      </c>
      <c r="CY2" s="67">
        <v>52688</v>
      </c>
      <c r="CZ2" s="67">
        <v>52779</v>
      </c>
      <c r="DA2" s="67">
        <v>52871</v>
      </c>
      <c r="DB2" s="67">
        <v>52963</v>
      </c>
      <c r="DC2" s="67">
        <v>53053</v>
      </c>
      <c r="DD2" s="67">
        <v>53144</v>
      </c>
      <c r="DE2" s="67">
        <v>53236</v>
      </c>
      <c r="DF2" s="67">
        <v>53328</v>
      </c>
      <c r="DG2" s="67">
        <v>53418</v>
      </c>
      <c r="DH2" s="67">
        <v>53509</v>
      </c>
      <c r="DI2" s="67">
        <v>53601</v>
      </c>
      <c r="DJ2" s="67">
        <v>53693</v>
      </c>
      <c r="DK2" s="67">
        <v>53783</v>
      </c>
      <c r="DL2" s="67">
        <v>53874</v>
      </c>
      <c r="DM2" s="67">
        <v>53966</v>
      </c>
      <c r="DN2" s="67">
        <v>54058</v>
      </c>
      <c r="DO2" s="67">
        <v>54149</v>
      </c>
      <c r="DP2" s="67">
        <v>54240</v>
      </c>
      <c r="DQ2" s="67">
        <v>54332</v>
      </c>
      <c r="DR2" s="67">
        <v>54424</v>
      </c>
      <c r="DS2" s="67">
        <v>54514</v>
      </c>
      <c r="DT2" s="67">
        <v>54605</v>
      </c>
      <c r="DU2" s="67">
        <v>54697</v>
      </c>
      <c r="DV2" s="67">
        <v>54789</v>
      </c>
      <c r="DW2" s="67">
        <v>54879</v>
      </c>
      <c r="DX2" s="67">
        <v>54970</v>
      </c>
      <c r="DY2" s="67">
        <v>55062</v>
      </c>
    </row>
    <row r="3" spans="1:129" s="53" customFormat="1">
      <c r="A3" s="53" t="s">
        <v>179</v>
      </c>
      <c r="D3" s="56"/>
      <c r="F3" s="53" t="s">
        <v>140</v>
      </c>
      <c r="G3" s="53" t="s">
        <v>141</v>
      </c>
      <c r="H3" s="53" t="s">
        <v>142</v>
      </c>
      <c r="J3" s="67" cm="1">
        <f t="array" ref="J3:DY3">EOMONTH( start_date, _xlfn.SEQUENCE( 1, quarters, 3, 3 ) )</f>
        <v>44286</v>
      </c>
      <c r="K3" s="67">
        <v>44377</v>
      </c>
      <c r="L3" s="67">
        <v>44469</v>
      </c>
      <c r="M3" s="67">
        <v>44561</v>
      </c>
      <c r="N3" s="67">
        <v>44651</v>
      </c>
      <c r="O3" s="67">
        <v>44742</v>
      </c>
      <c r="P3" s="67">
        <v>44834</v>
      </c>
      <c r="Q3" s="67">
        <v>44926</v>
      </c>
      <c r="R3" s="67">
        <v>45016</v>
      </c>
      <c r="S3" s="67">
        <v>45107</v>
      </c>
      <c r="T3" s="67">
        <v>45199</v>
      </c>
      <c r="U3" s="67">
        <v>45291</v>
      </c>
      <c r="V3" s="67">
        <v>45382</v>
      </c>
      <c r="W3" s="67">
        <v>45473</v>
      </c>
      <c r="X3" s="67">
        <v>45565</v>
      </c>
      <c r="Y3" s="67">
        <v>45657</v>
      </c>
      <c r="Z3" s="67">
        <v>45747</v>
      </c>
      <c r="AA3" s="67">
        <v>45838</v>
      </c>
      <c r="AB3" s="67">
        <v>45930</v>
      </c>
      <c r="AC3" s="67">
        <v>46022</v>
      </c>
      <c r="AD3" s="67">
        <v>46112</v>
      </c>
      <c r="AE3" s="67">
        <v>46203</v>
      </c>
      <c r="AF3" s="67">
        <v>46295</v>
      </c>
      <c r="AG3" s="67">
        <v>46387</v>
      </c>
      <c r="AH3" s="67">
        <v>46477</v>
      </c>
      <c r="AI3" s="67">
        <v>46568</v>
      </c>
      <c r="AJ3" s="67">
        <v>46660</v>
      </c>
      <c r="AK3" s="67">
        <v>46752</v>
      </c>
      <c r="AL3" s="67">
        <v>46843</v>
      </c>
      <c r="AM3" s="67">
        <v>46934</v>
      </c>
      <c r="AN3" s="67">
        <v>47026</v>
      </c>
      <c r="AO3" s="67">
        <v>47118</v>
      </c>
      <c r="AP3" s="67">
        <v>47208</v>
      </c>
      <c r="AQ3" s="67">
        <v>47299</v>
      </c>
      <c r="AR3" s="67">
        <v>47391</v>
      </c>
      <c r="AS3" s="67">
        <v>47483</v>
      </c>
      <c r="AT3" s="67">
        <v>47573</v>
      </c>
      <c r="AU3" s="67">
        <v>47664</v>
      </c>
      <c r="AV3" s="67">
        <v>47756</v>
      </c>
      <c r="AW3" s="67">
        <v>47848</v>
      </c>
      <c r="AX3" s="67">
        <v>47938</v>
      </c>
      <c r="AY3" s="67">
        <v>48029</v>
      </c>
      <c r="AZ3" s="67">
        <v>48121</v>
      </c>
      <c r="BA3" s="67">
        <v>48213</v>
      </c>
      <c r="BB3" s="67">
        <v>48304</v>
      </c>
      <c r="BC3" s="67">
        <v>48395</v>
      </c>
      <c r="BD3" s="67">
        <v>48487</v>
      </c>
      <c r="BE3" s="67">
        <v>48579</v>
      </c>
      <c r="BF3" s="67">
        <v>48669</v>
      </c>
      <c r="BG3" s="67">
        <v>48760</v>
      </c>
      <c r="BH3" s="67">
        <v>48852</v>
      </c>
      <c r="BI3" s="67">
        <v>48944</v>
      </c>
      <c r="BJ3" s="67">
        <v>49034</v>
      </c>
      <c r="BK3" s="67">
        <v>49125</v>
      </c>
      <c r="BL3" s="67">
        <v>49217</v>
      </c>
      <c r="BM3" s="67">
        <v>49309</v>
      </c>
      <c r="BN3" s="67">
        <v>49399</v>
      </c>
      <c r="BO3" s="67">
        <v>49490</v>
      </c>
      <c r="BP3" s="67">
        <v>49582</v>
      </c>
      <c r="BQ3" s="67">
        <v>49674</v>
      </c>
      <c r="BR3" s="67">
        <v>49765</v>
      </c>
      <c r="BS3" s="67">
        <v>49856</v>
      </c>
      <c r="BT3" s="67">
        <v>49948</v>
      </c>
      <c r="BU3" s="67">
        <v>50040</v>
      </c>
      <c r="BV3" s="67">
        <v>50130</v>
      </c>
      <c r="BW3" s="67">
        <v>50221</v>
      </c>
      <c r="BX3" s="67">
        <v>50313</v>
      </c>
      <c r="BY3" s="67">
        <v>50405</v>
      </c>
      <c r="BZ3" s="67">
        <v>50495</v>
      </c>
      <c r="CA3" s="67">
        <v>50586</v>
      </c>
      <c r="CB3" s="67">
        <v>50678</v>
      </c>
      <c r="CC3" s="67">
        <v>50770</v>
      </c>
      <c r="CD3" s="67">
        <v>50860</v>
      </c>
      <c r="CE3" s="67">
        <v>50951</v>
      </c>
      <c r="CF3" s="67">
        <v>51043</v>
      </c>
      <c r="CG3" s="67">
        <v>51135</v>
      </c>
      <c r="CH3" s="67">
        <v>51226</v>
      </c>
      <c r="CI3" s="67">
        <v>51317</v>
      </c>
      <c r="CJ3" s="67">
        <v>51409</v>
      </c>
      <c r="CK3" s="67">
        <v>51501</v>
      </c>
      <c r="CL3" s="67">
        <v>51591</v>
      </c>
      <c r="CM3" s="67">
        <v>51682</v>
      </c>
      <c r="CN3" s="67">
        <v>51774</v>
      </c>
      <c r="CO3" s="67">
        <v>51866</v>
      </c>
      <c r="CP3" s="67">
        <v>51956</v>
      </c>
      <c r="CQ3" s="67">
        <v>52047</v>
      </c>
      <c r="CR3" s="67">
        <v>52139</v>
      </c>
      <c r="CS3" s="67">
        <v>52231</v>
      </c>
      <c r="CT3" s="67">
        <v>52321</v>
      </c>
      <c r="CU3" s="67">
        <v>52412</v>
      </c>
      <c r="CV3" s="67">
        <v>52504</v>
      </c>
      <c r="CW3" s="67">
        <v>52596</v>
      </c>
      <c r="CX3" s="67">
        <v>52687</v>
      </c>
      <c r="CY3" s="67">
        <v>52778</v>
      </c>
      <c r="CZ3" s="67">
        <v>52870</v>
      </c>
      <c r="DA3" s="67">
        <v>52962</v>
      </c>
      <c r="DB3" s="67">
        <v>53052</v>
      </c>
      <c r="DC3" s="67">
        <v>53143</v>
      </c>
      <c r="DD3" s="67">
        <v>53235</v>
      </c>
      <c r="DE3" s="67">
        <v>53327</v>
      </c>
      <c r="DF3" s="67">
        <v>53417</v>
      </c>
      <c r="DG3" s="67">
        <v>53508</v>
      </c>
      <c r="DH3" s="67">
        <v>53600</v>
      </c>
      <c r="DI3" s="67">
        <v>53692</v>
      </c>
      <c r="DJ3" s="67">
        <v>53782</v>
      </c>
      <c r="DK3" s="67">
        <v>53873</v>
      </c>
      <c r="DL3" s="67">
        <v>53965</v>
      </c>
      <c r="DM3" s="67">
        <v>54057</v>
      </c>
      <c r="DN3" s="67">
        <v>54148</v>
      </c>
      <c r="DO3" s="67">
        <v>54239</v>
      </c>
      <c r="DP3" s="67">
        <v>54331</v>
      </c>
      <c r="DQ3" s="67">
        <v>54423</v>
      </c>
      <c r="DR3" s="67">
        <v>54513</v>
      </c>
      <c r="DS3" s="67">
        <v>54604</v>
      </c>
      <c r="DT3" s="67">
        <v>54696</v>
      </c>
      <c r="DU3" s="67">
        <v>54788</v>
      </c>
      <c r="DV3" s="67">
        <v>54878</v>
      </c>
      <c r="DW3" s="67">
        <v>54969</v>
      </c>
      <c r="DX3" s="67">
        <v>55061</v>
      </c>
      <c r="DY3" s="67">
        <v>55153</v>
      </c>
    </row>
    <row r="5" spans="1:129" s="59" customFormat="1">
      <c r="A5" s="62" t="s">
        <v>180</v>
      </c>
      <c r="D5" s="60"/>
    </row>
    <row r="6" spans="1:129">
      <c r="F6" s="66">
        <f>start_date</f>
        <v>44196</v>
      </c>
    </row>
    <row r="7" spans="1:129">
      <c r="E7" t="s">
        <v>14</v>
      </c>
      <c r="F7" s="77">
        <v>0</v>
      </c>
      <c r="G7" t="s">
        <v>146</v>
      </c>
      <c r="H7" cm="1">
        <f t="array" ref="H7">_xlfn.BYROW(_xlfn.ANCHORARRAY( $J7), _xleta.SUM )</f>
        <v>51600000</v>
      </c>
      <c r="J7" cm="1">
        <f t="array" ref="J7:DY7" xml:space="preserve"> _xlfn.LET(
      _xlpm.cfads_data,    CaseData!$G$14:$K$14,
      _xlpm.cfads_columns, CaseData!$G$13:$K$13,
      _xlpm.current_date,_xlfn.ANCHORARRAY(  $J$3),
      _xlfn.XLOOKUP( _xlpm.current_date, _xlpm.cfads_columns, _xlpm.cfads_data,, 1 ) )</f>
        <v>350000</v>
      </c>
      <c r="K7">
        <v>350000</v>
      </c>
      <c r="L7">
        <v>350000</v>
      </c>
      <c r="M7">
        <v>350000</v>
      </c>
      <c r="N7">
        <v>350000</v>
      </c>
      <c r="O7">
        <v>350000</v>
      </c>
      <c r="P7">
        <v>350000</v>
      </c>
      <c r="Q7">
        <v>350000</v>
      </c>
      <c r="R7">
        <v>350000</v>
      </c>
      <c r="S7">
        <v>350000</v>
      </c>
      <c r="T7">
        <v>350000</v>
      </c>
      <c r="U7">
        <v>350000</v>
      </c>
      <c r="V7">
        <v>350000</v>
      </c>
      <c r="W7">
        <v>350000</v>
      </c>
      <c r="X7">
        <v>350000</v>
      </c>
      <c r="Y7">
        <v>350000</v>
      </c>
      <c r="Z7">
        <v>350000</v>
      </c>
      <c r="AA7">
        <v>350000</v>
      </c>
      <c r="AB7">
        <v>350000</v>
      </c>
      <c r="AC7">
        <v>350000</v>
      </c>
      <c r="AD7">
        <v>380000</v>
      </c>
      <c r="AE7">
        <v>380000</v>
      </c>
      <c r="AF7">
        <v>380000</v>
      </c>
      <c r="AG7">
        <v>380000</v>
      </c>
      <c r="AH7">
        <v>380000</v>
      </c>
      <c r="AI7">
        <v>380000</v>
      </c>
      <c r="AJ7">
        <v>380000</v>
      </c>
      <c r="AK7">
        <v>380000</v>
      </c>
      <c r="AL7">
        <v>380000</v>
      </c>
      <c r="AM7">
        <v>380000</v>
      </c>
      <c r="AN7">
        <v>380000</v>
      </c>
      <c r="AO7">
        <v>380000</v>
      </c>
      <c r="AP7">
        <v>380000</v>
      </c>
      <c r="AQ7">
        <v>380000</v>
      </c>
      <c r="AR7">
        <v>380000</v>
      </c>
      <c r="AS7">
        <v>380000</v>
      </c>
      <c r="AT7">
        <v>380000</v>
      </c>
      <c r="AU7">
        <v>380000</v>
      </c>
      <c r="AV7">
        <v>380000</v>
      </c>
      <c r="AW7">
        <v>380000</v>
      </c>
      <c r="AX7">
        <v>400000</v>
      </c>
      <c r="AY7">
        <v>400000</v>
      </c>
      <c r="AZ7">
        <v>400000</v>
      </c>
      <c r="BA7">
        <v>400000</v>
      </c>
      <c r="BB7">
        <v>400000</v>
      </c>
      <c r="BC7">
        <v>400000</v>
      </c>
      <c r="BD7">
        <v>400000</v>
      </c>
      <c r="BE7">
        <v>400000</v>
      </c>
      <c r="BF7">
        <v>400000</v>
      </c>
      <c r="BG7">
        <v>400000</v>
      </c>
      <c r="BH7">
        <v>400000</v>
      </c>
      <c r="BI7">
        <v>400000</v>
      </c>
      <c r="BJ7">
        <v>400000</v>
      </c>
      <c r="BK7">
        <v>400000</v>
      </c>
      <c r="BL7">
        <v>400000</v>
      </c>
      <c r="BM7">
        <v>400000</v>
      </c>
      <c r="BN7">
        <v>400000</v>
      </c>
      <c r="BO7">
        <v>400000</v>
      </c>
      <c r="BP7">
        <v>400000</v>
      </c>
      <c r="BQ7">
        <v>400000</v>
      </c>
      <c r="BR7">
        <v>450000</v>
      </c>
      <c r="BS7">
        <v>450000</v>
      </c>
      <c r="BT7">
        <v>450000</v>
      </c>
      <c r="BU7">
        <v>450000</v>
      </c>
      <c r="BV7">
        <v>450000</v>
      </c>
      <c r="BW7">
        <v>450000</v>
      </c>
      <c r="BX7">
        <v>450000</v>
      </c>
      <c r="BY7">
        <v>450000</v>
      </c>
      <c r="BZ7">
        <v>450000</v>
      </c>
      <c r="CA7">
        <v>450000</v>
      </c>
      <c r="CB7">
        <v>450000</v>
      </c>
      <c r="CC7">
        <v>450000</v>
      </c>
      <c r="CD7">
        <v>450000</v>
      </c>
      <c r="CE7">
        <v>450000</v>
      </c>
      <c r="CF7">
        <v>450000</v>
      </c>
      <c r="CG7">
        <v>450000</v>
      </c>
      <c r="CH7">
        <v>450000</v>
      </c>
      <c r="CI7">
        <v>450000</v>
      </c>
      <c r="CJ7">
        <v>450000</v>
      </c>
      <c r="CK7">
        <v>450000</v>
      </c>
      <c r="CL7">
        <v>500000</v>
      </c>
      <c r="CM7">
        <v>500000</v>
      </c>
      <c r="CN7">
        <v>500000</v>
      </c>
      <c r="CO7">
        <v>500000</v>
      </c>
      <c r="CP7">
        <v>500000</v>
      </c>
      <c r="CQ7">
        <v>500000</v>
      </c>
      <c r="CR7">
        <v>500000</v>
      </c>
      <c r="CS7">
        <v>500000</v>
      </c>
      <c r="CT7">
        <v>500000</v>
      </c>
      <c r="CU7">
        <v>500000</v>
      </c>
      <c r="CV7">
        <v>500000</v>
      </c>
      <c r="CW7">
        <v>500000</v>
      </c>
      <c r="CX7">
        <v>500000</v>
      </c>
      <c r="CY7">
        <v>500000</v>
      </c>
      <c r="CZ7">
        <v>500000</v>
      </c>
      <c r="DA7">
        <v>500000</v>
      </c>
      <c r="DB7">
        <v>500000</v>
      </c>
      <c r="DC7">
        <v>500000</v>
      </c>
      <c r="DD7">
        <v>500000</v>
      </c>
      <c r="DE7">
        <v>500000</v>
      </c>
      <c r="DF7">
        <v>500000</v>
      </c>
      <c r="DG7">
        <v>500000</v>
      </c>
      <c r="DH7">
        <v>500000</v>
      </c>
      <c r="DI7">
        <v>500000</v>
      </c>
      <c r="DJ7">
        <v>500000</v>
      </c>
      <c r="DK7">
        <v>500000</v>
      </c>
      <c r="DL7">
        <v>500000</v>
      </c>
      <c r="DM7">
        <v>500000</v>
      </c>
      <c r="DN7">
        <v>500000</v>
      </c>
      <c r="DO7">
        <v>500000</v>
      </c>
      <c r="DP7">
        <v>500000</v>
      </c>
      <c r="DQ7">
        <v>500000</v>
      </c>
      <c r="DR7">
        <v>500000</v>
      </c>
      <c r="DS7">
        <v>500000</v>
      </c>
      <c r="DT7">
        <v>500000</v>
      </c>
      <c r="DU7">
        <v>500000</v>
      </c>
      <c r="DV7">
        <v>500000</v>
      </c>
      <c r="DW7">
        <v>500000</v>
      </c>
      <c r="DX7">
        <v>500000</v>
      </c>
      <c r="DY7">
        <v>500000</v>
      </c>
    </row>
    <row r="8" spans="1:129">
      <c r="D8" s="82"/>
      <c r="E8" t="s">
        <v>64</v>
      </c>
      <c r="F8" s="58">
        <f>CaseData!$G$49</f>
        <v>5000000</v>
      </c>
      <c r="G8" t="s">
        <v>146</v>
      </c>
      <c r="J8">
        <f t="shared" ref="J8:S11" si="0" xml:space="preserve"> $F8 * ( J$3 = start_date )</f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ref="T8:AC11" si="1" xml:space="preserve"> $F8 * ( T$3 = start_date )</f>
        <v>0</v>
      </c>
      <c r="U8">
        <f t="shared" si="1"/>
        <v>0</v>
      </c>
      <c r="V8">
        <f t="shared" si="1"/>
        <v>0</v>
      </c>
      <c r="W8">
        <f t="shared" si="1"/>
        <v>0</v>
      </c>
      <c r="X8">
        <f t="shared" si="1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ref="AD8:AM11" si="2" xml:space="preserve"> $F8 * ( AD$3 = start_date )</f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ref="AN8:AW11" si="3" xml:space="preserve"> $F8 * ( AN$3 = start_date )</f>
        <v>0</v>
      </c>
      <c r="AO8">
        <f t="shared" si="3"/>
        <v>0</v>
      </c>
      <c r="AP8">
        <f t="shared" si="3"/>
        <v>0</v>
      </c>
      <c r="AQ8">
        <f t="shared" si="3"/>
        <v>0</v>
      </c>
      <c r="AR8">
        <f t="shared" si="3"/>
        <v>0</v>
      </c>
      <c r="AS8">
        <f t="shared" si="3"/>
        <v>0</v>
      </c>
      <c r="AT8">
        <f t="shared" si="3"/>
        <v>0</v>
      </c>
      <c r="AU8">
        <f t="shared" si="3"/>
        <v>0</v>
      </c>
      <c r="AV8">
        <f t="shared" si="3"/>
        <v>0</v>
      </c>
      <c r="AW8">
        <f t="shared" si="3"/>
        <v>0</v>
      </c>
      <c r="AX8">
        <f t="shared" ref="AX8:BG11" si="4" xml:space="preserve"> $F8 * ( AX$3 = start_date )</f>
        <v>0</v>
      </c>
      <c r="AY8">
        <f t="shared" si="4"/>
        <v>0</v>
      </c>
      <c r="AZ8">
        <f t="shared" si="4"/>
        <v>0</v>
      </c>
      <c r="BA8">
        <f t="shared" si="4"/>
        <v>0</v>
      </c>
      <c r="BB8">
        <f t="shared" si="4"/>
        <v>0</v>
      </c>
      <c r="BC8">
        <f t="shared" si="4"/>
        <v>0</v>
      </c>
      <c r="BD8">
        <f t="shared" si="4"/>
        <v>0</v>
      </c>
      <c r="BE8">
        <f t="shared" si="4"/>
        <v>0</v>
      </c>
      <c r="BF8">
        <f t="shared" si="4"/>
        <v>0</v>
      </c>
      <c r="BG8">
        <f t="shared" si="4"/>
        <v>0</v>
      </c>
      <c r="BH8">
        <f t="shared" ref="BH8:BQ11" si="5" xml:space="preserve"> $F8 * ( BH$3 = start_date )</f>
        <v>0</v>
      </c>
      <c r="BI8">
        <f t="shared" si="5"/>
        <v>0</v>
      </c>
      <c r="BJ8">
        <f t="shared" si="5"/>
        <v>0</v>
      </c>
      <c r="BK8">
        <f t="shared" si="5"/>
        <v>0</v>
      </c>
      <c r="BL8">
        <f t="shared" si="5"/>
        <v>0</v>
      </c>
      <c r="BM8">
        <f t="shared" si="5"/>
        <v>0</v>
      </c>
      <c r="BN8">
        <f t="shared" si="5"/>
        <v>0</v>
      </c>
      <c r="BO8">
        <f t="shared" si="5"/>
        <v>0</v>
      </c>
      <c r="BP8">
        <f t="shared" si="5"/>
        <v>0</v>
      </c>
      <c r="BQ8">
        <f t="shared" si="5"/>
        <v>0</v>
      </c>
      <c r="BR8">
        <f t="shared" ref="BR8:CA11" si="6" xml:space="preserve"> $F8 * ( BR$3 = start_date )</f>
        <v>0</v>
      </c>
      <c r="BS8">
        <f t="shared" si="6"/>
        <v>0</v>
      </c>
      <c r="BT8">
        <f t="shared" si="6"/>
        <v>0</v>
      </c>
      <c r="BU8">
        <f t="shared" si="6"/>
        <v>0</v>
      </c>
      <c r="BV8">
        <f t="shared" si="6"/>
        <v>0</v>
      </c>
      <c r="BW8">
        <f t="shared" si="6"/>
        <v>0</v>
      </c>
      <c r="BX8">
        <f t="shared" si="6"/>
        <v>0</v>
      </c>
      <c r="BY8">
        <f t="shared" si="6"/>
        <v>0</v>
      </c>
      <c r="BZ8">
        <f t="shared" si="6"/>
        <v>0</v>
      </c>
      <c r="CA8">
        <f t="shared" si="6"/>
        <v>0</v>
      </c>
      <c r="CB8">
        <f t="shared" ref="CB8:CK11" si="7" xml:space="preserve"> $F8 * ( CB$3 = start_date )</f>
        <v>0</v>
      </c>
      <c r="CC8">
        <f t="shared" si="7"/>
        <v>0</v>
      </c>
      <c r="CD8">
        <f t="shared" si="7"/>
        <v>0</v>
      </c>
      <c r="CE8">
        <f t="shared" si="7"/>
        <v>0</v>
      </c>
      <c r="CF8">
        <f t="shared" si="7"/>
        <v>0</v>
      </c>
      <c r="CG8">
        <f t="shared" si="7"/>
        <v>0</v>
      </c>
      <c r="CH8">
        <f t="shared" si="7"/>
        <v>0</v>
      </c>
      <c r="CI8">
        <f t="shared" si="7"/>
        <v>0</v>
      </c>
      <c r="CJ8">
        <f t="shared" si="7"/>
        <v>0</v>
      </c>
      <c r="CK8">
        <f t="shared" si="7"/>
        <v>0</v>
      </c>
      <c r="CL8">
        <f t="shared" ref="CL8:CU11" si="8" xml:space="preserve"> $F8 * ( CL$3 = start_date )</f>
        <v>0</v>
      </c>
      <c r="CM8">
        <f t="shared" si="8"/>
        <v>0</v>
      </c>
      <c r="CN8">
        <f t="shared" si="8"/>
        <v>0</v>
      </c>
      <c r="CO8">
        <f t="shared" si="8"/>
        <v>0</v>
      </c>
      <c r="CP8">
        <f t="shared" si="8"/>
        <v>0</v>
      </c>
      <c r="CQ8">
        <f t="shared" si="8"/>
        <v>0</v>
      </c>
      <c r="CR8">
        <f t="shared" si="8"/>
        <v>0</v>
      </c>
      <c r="CS8">
        <f t="shared" si="8"/>
        <v>0</v>
      </c>
      <c r="CT8">
        <f t="shared" si="8"/>
        <v>0</v>
      </c>
      <c r="CU8">
        <f t="shared" si="8"/>
        <v>0</v>
      </c>
      <c r="CV8">
        <f t="shared" ref="CV8:DE11" si="9" xml:space="preserve"> $F8 * ( CV$3 = start_date )</f>
        <v>0</v>
      </c>
      <c r="CW8">
        <f t="shared" si="9"/>
        <v>0</v>
      </c>
      <c r="CX8">
        <f t="shared" si="9"/>
        <v>0</v>
      </c>
      <c r="CY8">
        <f t="shared" si="9"/>
        <v>0</v>
      </c>
      <c r="CZ8">
        <f t="shared" si="9"/>
        <v>0</v>
      </c>
      <c r="DA8">
        <f t="shared" si="9"/>
        <v>0</v>
      </c>
      <c r="DB8">
        <f t="shared" si="9"/>
        <v>0</v>
      </c>
      <c r="DC8">
        <f t="shared" si="9"/>
        <v>0</v>
      </c>
      <c r="DD8">
        <f t="shared" si="9"/>
        <v>0</v>
      </c>
      <c r="DE8">
        <f t="shared" si="9"/>
        <v>0</v>
      </c>
      <c r="DF8">
        <f t="shared" ref="DF8:DO11" si="10" xml:space="preserve"> $F8 * ( DF$3 = start_date )</f>
        <v>0</v>
      </c>
      <c r="DG8">
        <f t="shared" si="10"/>
        <v>0</v>
      </c>
      <c r="DH8">
        <f t="shared" si="10"/>
        <v>0</v>
      </c>
      <c r="DI8">
        <f t="shared" si="10"/>
        <v>0</v>
      </c>
      <c r="DJ8">
        <f t="shared" si="10"/>
        <v>0</v>
      </c>
      <c r="DK8">
        <f t="shared" si="10"/>
        <v>0</v>
      </c>
      <c r="DL8">
        <f t="shared" si="10"/>
        <v>0</v>
      </c>
      <c r="DM8">
        <f t="shared" si="10"/>
        <v>0</v>
      </c>
      <c r="DN8">
        <f t="shared" si="10"/>
        <v>0</v>
      </c>
      <c r="DO8">
        <f t="shared" si="10"/>
        <v>0</v>
      </c>
      <c r="DP8">
        <f t="shared" ref="DP8:DY11" si="11" xml:space="preserve"> $F8 * ( DP$3 = start_date )</f>
        <v>0</v>
      </c>
      <c r="DQ8">
        <f t="shared" si="11"/>
        <v>0</v>
      </c>
      <c r="DR8">
        <f t="shared" si="11"/>
        <v>0</v>
      </c>
      <c r="DS8">
        <f t="shared" si="11"/>
        <v>0</v>
      </c>
      <c r="DT8">
        <f t="shared" si="11"/>
        <v>0</v>
      </c>
      <c r="DU8">
        <f t="shared" si="11"/>
        <v>0</v>
      </c>
      <c r="DV8">
        <f t="shared" si="11"/>
        <v>0</v>
      </c>
      <c r="DW8">
        <f t="shared" si="11"/>
        <v>0</v>
      </c>
      <c r="DX8">
        <f t="shared" si="11"/>
        <v>0</v>
      </c>
      <c r="DY8">
        <f t="shared" si="11"/>
        <v>0</v>
      </c>
    </row>
    <row r="9" spans="1:129">
      <c r="D9" s="82"/>
      <c r="E9" t="s">
        <v>202</v>
      </c>
      <c r="F9" s="58">
        <v>10000000</v>
      </c>
      <c r="G9" t="s">
        <v>146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3"/>
        <v>0</v>
      </c>
      <c r="AO9">
        <f t="shared" si="3"/>
        <v>0</v>
      </c>
      <c r="AP9">
        <f t="shared" si="3"/>
        <v>0</v>
      </c>
      <c r="AQ9">
        <f t="shared" si="3"/>
        <v>0</v>
      </c>
      <c r="AR9">
        <f t="shared" si="3"/>
        <v>0</v>
      </c>
      <c r="AS9">
        <f t="shared" si="3"/>
        <v>0</v>
      </c>
      <c r="AT9">
        <f t="shared" si="3"/>
        <v>0</v>
      </c>
      <c r="AU9">
        <f t="shared" si="3"/>
        <v>0</v>
      </c>
      <c r="AV9">
        <f t="shared" si="3"/>
        <v>0</v>
      </c>
      <c r="AW9">
        <f t="shared" si="3"/>
        <v>0</v>
      </c>
      <c r="AX9">
        <f t="shared" si="4"/>
        <v>0</v>
      </c>
      <c r="AY9">
        <f t="shared" si="4"/>
        <v>0</v>
      </c>
      <c r="AZ9">
        <f t="shared" si="4"/>
        <v>0</v>
      </c>
      <c r="BA9">
        <f t="shared" si="4"/>
        <v>0</v>
      </c>
      <c r="BB9">
        <f t="shared" si="4"/>
        <v>0</v>
      </c>
      <c r="BC9">
        <f t="shared" si="4"/>
        <v>0</v>
      </c>
      <c r="BD9">
        <f t="shared" si="4"/>
        <v>0</v>
      </c>
      <c r="BE9">
        <f t="shared" si="4"/>
        <v>0</v>
      </c>
      <c r="BF9">
        <f t="shared" si="4"/>
        <v>0</v>
      </c>
      <c r="BG9">
        <f t="shared" si="4"/>
        <v>0</v>
      </c>
      <c r="BH9">
        <f t="shared" si="5"/>
        <v>0</v>
      </c>
      <c r="BI9">
        <f t="shared" si="5"/>
        <v>0</v>
      </c>
      <c r="BJ9">
        <f t="shared" si="5"/>
        <v>0</v>
      </c>
      <c r="BK9">
        <f t="shared" si="5"/>
        <v>0</v>
      </c>
      <c r="BL9">
        <f t="shared" si="5"/>
        <v>0</v>
      </c>
      <c r="BM9">
        <f t="shared" si="5"/>
        <v>0</v>
      </c>
      <c r="BN9">
        <f t="shared" si="5"/>
        <v>0</v>
      </c>
      <c r="BO9">
        <f t="shared" si="5"/>
        <v>0</v>
      </c>
      <c r="BP9">
        <f t="shared" si="5"/>
        <v>0</v>
      </c>
      <c r="BQ9">
        <f t="shared" si="5"/>
        <v>0</v>
      </c>
      <c r="BR9">
        <f t="shared" si="6"/>
        <v>0</v>
      </c>
      <c r="BS9">
        <f t="shared" si="6"/>
        <v>0</v>
      </c>
      <c r="BT9">
        <f t="shared" si="6"/>
        <v>0</v>
      </c>
      <c r="BU9">
        <f t="shared" si="6"/>
        <v>0</v>
      </c>
      <c r="BV9">
        <f t="shared" si="6"/>
        <v>0</v>
      </c>
      <c r="BW9">
        <f t="shared" si="6"/>
        <v>0</v>
      </c>
      <c r="BX9">
        <f t="shared" si="6"/>
        <v>0</v>
      </c>
      <c r="BY9">
        <f t="shared" si="6"/>
        <v>0</v>
      </c>
      <c r="BZ9">
        <f t="shared" si="6"/>
        <v>0</v>
      </c>
      <c r="CA9">
        <f t="shared" si="6"/>
        <v>0</v>
      </c>
      <c r="CB9">
        <f t="shared" si="7"/>
        <v>0</v>
      </c>
      <c r="CC9">
        <f t="shared" si="7"/>
        <v>0</v>
      </c>
      <c r="CD9">
        <f t="shared" si="7"/>
        <v>0</v>
      </c>
      <c r="CE9">
        <f t="shared" si="7"/>
        <v>0</v>
      </c>
      <c r="CF9">
        <f t="shared" si="7"/>
        <v>0</v>
      </c>
      <c r="CG9">
        <f t="shared" si="7"/>
        <v>0</v>
      </c>
      <c r="CH9">
        <f t="shared" si="7"/>
        <v>0</v>
      </c>
      <c r="CI9">
        <f t="shared" si="7"/>
        <v>0</v>
      </c>
      <c r="CJ9">
        <f t="shared" si="7"/>
        <v>0</v>
      </c>
      <c r="CK9">
        <f t="shared" si="7"/>
        <v>0</v>
      </c>
      <c r="CL9">
        <f t="shared" si="8"/>
        <v>0</v>
      </c>
      <c r="CM9">
        <f t="shared" si="8"/>
        <v>0</v>
      </c>
      <c r="CN9">
        <f t="shared" si="8"/>
        <v>0</v>
      </c>
      <c r="CO9">
        <f t="shared" si="8"/>
        <v>0</v>
      </c>
      <c r="CP9">
        <f t="shared" si="8"/>
        <v>0</v>
      </c>
      <c r="CQ9">
        <f t="shared" si="8"/>
        <v>0</v>
      </c>
      <c r="CR9">
        <f t="shared" si="8"/>
        <v>0</v>
      </c>
      <c r="CS9">
        <f t="shared" si="8"/>
        <v>0</v>
      </c>
      <c r="CT9">
        <f t="shared" si="8"/>
        <v>0</v>
      </c>
      <c r="CU9">
        <f t="shared" si="8"/>
        <v>0</v>
      </c>
      <c r="CV9">
        <f t="shared" si="9"/>
        <v>0</v>
      </c>
      <c r="CW9">
        <f t="shared" si="9"/>
        <v>0</v>
      </c>
      <c r="CX9">
        <f t="shared" si="9"/>
        <v>0</v>
      </c>
      <c r="CY9">
        <f t="shared" si="9"/>
        <v>0</v>
      </c>
      <c r="CZ9">
        <f t="shared" si="9"/>
        <v>0</v>
      </c>
      <c r="DA9">
        <f t="shared" si="9"/>
        <v>0</v>
      </c>
      <c r="DB9">
        <f t="shared" si="9"/>
        <v>0</v>
      </c>
      <c r="DC9">
        <f t="shared" si="9"/>
        <v>0</v>
      </c>
      <c r="DD9">
        <f t="shared" si="9"/>
        <v>0</v>
      </c>
      <c r="DE9">
        <f t="shared" si="9"/>
        <v>0</v>
      </c>
      <c r="DF9">
        <f t="shared" si="10"/>
        <v>0</v>
      </c>
      <c r="DG9">
        <f t="shared" si="10"/>
        <v>0</v>
      </c>
      <c r="DH9">
        <f t="shared" si="10"/>
        <v>0</v>
      </c>
      <c r="DI9">
        <f t="shared" si="10"/>
        <v>0</v>
      </c>
      <c r="DJ9">
        <f t="shared" si="10"/>
        <v>0</v>
      </c>
      <c r="DK9">
        <f t="shared" si="10"/>
        <v>0</v>
      </c>
      <c r="DL9">
        <f t="shared" si="10"/>
        <v>0</v>
      </c>
      <c r="DM9">
        <f t="shared" si="10"/>
        <v>0</v>
      </c>
      <c r="DN9">
        <f t="shared" si="10"/>
        <v>0</v>
      </c>
      <c r="DO9">
        <f t="shared" si="10"/>
        <v>0</v>
      </c>
      <c r="DP9">
        <f t="shared" si="11"/>
        <v>0</v>
      </c>
      <c r="DQ9">
        <f t="shared" si="11"/>
        <v>0</v>
      </c>
      <c r="DR9">
        <f t="shared" si="11"/>
        <v>0</v>
      </c>
      <c r="DS9">
        <f t="shared" si="11"/>
        <v>0</v>
      </c>
      <c r="DT9">
        <f t="shared" si="11"/>
        <v>0</v>
      </c>
      <c r="DU9">
        <f t="shared" si="11"/>
        <v>0</v>
      </c>
      <c r="DV9">
        <f t="shared" si="11"/>
        <v>0</v>
      </c>
      <c r="DW9">
        <f t="shared" si="11"/>
        <v>0</v>
      </c>
      <c r="DX9">
        <f t="shared" si="11"/>
        <v>0</v>
      </c>
      <c r="DY9">
        <f t="shared" si="11"/>
        <v>0</v>
      </c>
    </row>
    <row r="10" spans="1:129">
      <c r="D10" s="82"/>
      <c r="E10" t="s">
        <v>203</v>
      </c>
      <c r="F10" s="77">
        <f>CaseData!$G$36</f>
        <v>3000000</v>
      </c>
      <c r="G10" t="s">
        <v>146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  <c r="AL10">
        <f t="shared" si="2"/>
        <v>0</v>
      </c>
      <c r="AM10">
        <f t="shared" si="2"/>
        <v>0</v>
      </c>
      <c r="AN10">
        <f t="shared" si="3"/>
        <v>0</v>
      </c>
      <c r="AO10">
        <f t="shared" si="3"/>
        <v>0</v>
      </c>
      <c r="AP10">
        <f t="shared" si="3"/>
        <v>0</v>
      </c>
      <c r="AQ10">
        <f t="shared" si="3"/>
        <v>0</v>
      </c>
      <c r="AR10">
        <f t="shared" si="3"/>
        <v>0</v>
      </c>
      <c r="AS10">
        <f t="shared" si="3"/>
        <v>0</v>
      </c>
      <c r="AT10">
        <f t="shared" si="3"/>
        <v>0</v>
      </c>
      <c r="AU10">
        <f t="shared" si="3"/>
        <v>0</v>
      </c>
      <c r="AV10">
        <f t="shared" si="3"/>
        <v>0</v>
      </c>
      <c r="AW10">
        <f t="shared" si="3"/>
        <v>0</v>
      </c>
      <c r="AX10">
        <f t="shared" si="4"/>
        <v>0</v>
      </c>
      <c r="AY10">
        <f t="shared" si="4"/>
        <v>0</v>
      </c>
      <c r="AZ10">
        <f t="shared" si="4"/>
        <v>0</v>
      </c>
      <c r="BA10">
        <f t="shared" si="4"/>
        <v>0</v>
      </c>
      <c r="BB10">
        <f t="shared" si="4"/>
        <v>0</v>
      </c>
      <c r="BC10">
        <f t="shared" si="4"/>
        <v>0</v>
      </c>
      <c r="BD10">
        <f t="shared" si="4"/>
        <v>0</v>
      </c>
      <c r="BE10">
        <f t="shared" si="4"/>
        <v>0</v>
      </c>
      <c r="BF10">
        <f t="shared" si="4"/>
        <v>0</v>
      </c>
      <c r="BG10">
        <f t="shared" si="4"/>
        <v>0</v>
      </c>
      <c r="BH10">
        <f t="shared" si="5"/>
        <v>0</v>
      </c>
      <c r="BI10">
        <f t="shared" si="5"/>
        <v>0</v>
      </c>
      <c r="BJ10">
        <f t="shared" si="5"/>
        <v>0</v>
      </c>
      <c r="BK10">
        <f t="shared" si="5"/>
        <v>0</v>
      </c>
      <c r="BL10">
        <f t="shared" si="5"/>
        <v>0</v>
      </c>
      <c r="BM10">
        <f t="shared" si="5"/>
        <v>0</v>
      </c>
      <c r="BN10">
        <f t="shared" si="5"/>
        <v>0</v>
      </c>
      <c r="BO10">
        <f t="shared" si="5"/>
        <v>0</v>
      </c>
      <c r="BP10">
        <f t="shared" si="5"/>
        <v>0</v>
      </c>
      <c r="BQ10">
        <f t="shared" si="5"/>
        <v>0</v>
      </c>
      <c r="BR10">
        <f t="shared" si="6"/>
        <v>0</v>
      </c>
      <c r="BS10">
        <f t="shared" si="6"/>
        <v>0</v>
      </c>
      <c r="BT10">
        <f t="shared" si="6"/>
        <v>0</v>
      </c>
      <c r="BU10">
        <f t="shared" si="6"/>
        <v>0</v>
      </c>
      <c r="BV10">
        <f t="shared" si="6"/>
        <v>0</v>
      </c>
      <c r="BW10">
        <f t="shared" si="6"/>
        <v>0</v>
      </c>
      <c r="BX10">
        <f t="shared" si="6"/>
        <v>0</v>
      </c>
      <c r="BY10">
        <f t="shared" si="6"/>
        <v>0</v>
      </c>
      <c r="BZ10">
        <f t="shared" si="6"/>
        <v>0</v>
      </c>
      <c r="CA10">
        <f t="shared" si="6"/>
        <v>0</v>
      </c>
      <c r="CB10">
        <f t="shared" si="7"/>
        <v>0</v>
      </c>
      <c r="CC10">
        <f t="shared" si="7"/>
        <v>0</v>
      </c>
      <c r="CD10">
        <f t="shared" si="7"/>
        <v>0</v>
      </c>
      <c r="CE10">
        <f t="shared" si="7"/>
        <v>0</v>
      </c>
      <c r="CF10">
        <f t="shared" si="7"/>
        <v>0</v>
      </c>
      <c r="CG10">
        <f t="shared" si="7"/>
        <v>0</v>
      </c>
      <c r="CH10">
        <f t="shared" si="7"/>
        <v>0</v>
      </c>
      <c r="CI10">
        <f t="shared" si="7"/>
        <v>0</v>
      </c>
      <c r="CJ10">
        <f t="shared" si="7"/>
        <v>0</v>
      </c>
      <c r="CK10">
        <f t="shared" si="7"/>
        <v>0</v>
      </c>
      <c r="CL10">
        <f t="shared" si="8"/>
        <v>0</v>
      </c>
      <c r="CM10">
        <f t="shared" si="8"/>
        <v>0</v>
      </c>
      <c r="CN10">
        <f t="shared" si="8"/>
        <v>0</v>
      </c>
      <c r="CO10">
        <f t="shared" si="8"/>
        <v>0</v>
      </c>
      <c r="CP10">
        <f t="shared" si="8"/>
        <v>0</v>
      </c>
      <c r="CQ10">
        <f t="shared" si="8"/>
        <v>0</v>
      </c>
      <c r="CR10">
        <f t="shared" si="8"/>
        <v>0</v>
      </c>
      <c r="CS10">
        <f t="shared" si="8"/>
        <v>0</v>
      </c>
      <c r="CT10">
        <f t="shared" si="8"/>
        <v>0</v>
      </c>
      <c r="CU10">
        <f t="shared" si="8"/>
        <v>0</v>
      </c>
      <c r="CV10">
        <f t="shared" si="9"/>
        <v>0</v>
      </c>
      <c r="CW10">
        <f t="shared" si="9"/>
        <v>0</v>
      </c>
      <c r="CX10">
        <f t="shared" si="9"/>
        <v>0</v>
      </c>
      <c r="CY10">
        <f t="shared" si="9"/>
        <v>0</v>
      </c>
      <c r="CZ10">
        <f t="shared" si="9"/>
        <v>0</v>
      </c>
      <c r="DA10">
        <f t="shared" si="9"/>
        <v>0</v>
      </c>
      <c r="DB10">
        <f t="shared" si="9"/>
        <v>0</v>
      </c>
      <c r="DC10">
        <f t="shared" si="9"/>
        <v>0</v>
      </c>
      <c r="DD10">
        <f t="shared" si="9"/>
        <v>0</v>
      </c>
      <c r="DE10">
        <f t="shared" si="9"/>
        <v>0</v>
      </c>
      <c r="DF10">
        <f t="shared" si="10"/>
        <v>0</v>
      </c>
      <c r="DG10">
        <f t="shared" si="10"/>
        <v>0</v>
      </c>
      <c r="DH10">
        <f t="shared" si="10"/>
        <v>0</v>
      </c>
      <c r="DI10">
        <f t="shared" si="10"/>
        <v>0</v>
      </c>
      <c r="DJ10">
        <f t="shared" si="10"/>
        <v>0</v>
      </c>
      <c r="DK10">
        <f t="shared" si="10"/>
        <v>0</v>
      </c>
      <c r="DL10">
        <f t="shared" si="10"/>
        <v>0</v>
      </c>
      <c r="DM10">
        <f t="shared" si="10"/>
        <v>0</v>
      </c>
      <c r="DN10">
        <f t="shared" si="10"/>
        <v>0</v>
      </c>
      <c r="DO10">
        <f t="shared" si="10"/>
        <v>0</v>
      </c>
      <c r="DP10">
        <f t="shared" si="11"/>
        <v>0</v>
      </c>
      <c r="DQ10">
        <f t="shared" si="11"/>
        <v>0</v>
      </c>
      <c r="DR10">
        <f t="shared" si="11"/>
        <v>0</v>
      </c>
      <c r="DS10">
        <f t="shared" si="11"/>
        <v>0</v>
      </c>
      <c r="DT10">
        <f t="shared" si="11"/>
        <v>0</v>
      </c>
      <c r="DU10">
        <f t="shared" si="11"/>
        <v>0</v>
      </c>
      <c r="DV10">
        <f t="shared" si="11"/>
        <v>0</v>
      </c>
      <c r="DW10">
        <f t="shared" si="11"/>
        <v>0</v>
      </c>
      <c r="DX10">
        <f t="shared" si="11"/>
        <v>0</v>
      </c>
      <c r="DY10">
        <f t="shared" si="11"/>
        <v>0</v>
      </c>
    </row>
    <row r="11" spans="1:129">
      <c r="D11" s="83"/>
      <c r="E11" s="84" t="s">
        <v>67</v>
      </c>
      <c r="F11" s="58">
        <f>CaseData!$G$8 * - 1</f>
        <v>-18000000</v>
      </c>
      <c r="G11" t="s">
        <v>146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1"/>
        <v>0</v>
      </c>
      <c r="U11">
        <f t="shared" si="1"/>
        <v>0</v>
      </c>
      <c r="V11">
        <f t="shared" si="1"/>
        <v>0</v>
      </c>
      <c r="W11">
        <f t="shared" si="1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3"/>
        <v>0</v>
      </c>
      <c r="AO11">
        <f t="shared" si="3"/>
        <v>0</v>
      </c>
      <c r="AP11">
        <f t="shared" si="3"/>
        <v>0</v>
      </c>
      <c r="AQ11">
        <f t="shared" si="3"/>
        <v>0</v>
      </c>
      <c r="AR11">
        <f t="shared" si="3"/>
        <v>0</v>
      </c>
      <c r="AS11">
        <f t="shared" si="3"/>
        <v>0</v>
      </c>
      <c r="AT11">
        <f t="shared" si="3"/>
        <v>0</v>
      </c>
      <c r="AU11">
        <f t="shared" si="3"/>
        <v>0</v>
      </c>
      <c r="AV11">
        <f t="shared" si="3"/>
        <v>0</v>
      </c>
      <c r="AW11">
        <f t="shared" si="3"/>
        <v>0</v>
      </c>
      <c r="AX11">
        <f t="shared" si="4"/>
        <v>0</v>
      </c>
      <c r="AY11">
        <f t="shared" si="4"/>
        <v>0</v>
      </c>
      <c r="AZ11">
        <f t="shared" si="4"/>
        <v>0</v>
      </c>
      <c r="BA11">
        <f t="shared" si="4"/>
        <v>0</v>
      </c>
      <c r="BB11">
        <f t="shared" si="4"/>
        <v>0</v>
      </c>
      <c r="BC11">
        <f t="shared" si="4"/>
        <v>0</v>
      </c>
      <c r="BD11">
        <f t="shared" si="4"/>
        <v>0</v>
      </c>
      <c r="BE11">
        <f t="shared" si="4"/>
        <v>0</v>
      </c>
      <c r="BF11">
        <f t="shared" si="4"/>
        <v>0</v>
      </c>
      <c r="BG11">
        <f t="shared" si="4"/>
        <v>0</v>
      </c>
      <c r="BH11">
        <f t="shared" si="5"/>
        <v>0</v>
      </c>
      <c r="BI11">
        <f t="shared" si="5"/>
        <v>0</v>
      </c>
      <c r="BJ11">
        <f t="shared" si="5"/>
        <v>0</v>
      </c>
      <c r="BK11">
        <f t="shared" si="5"/>
        <v>0</v>
      </c>
      <c r="BL11">
        <f t="shared" si="5"/>
        <v>0</v>
      </c>
      <c r="BM11">
        <f t="shared" si="5"/>
        <v>0</v>
      </c>
      <c r="BN11">
        <f t="shared" si="5"/>
        <v>0</v>
      </c>
      <c r="BO11">
        <f t="shared" si="5"/>
        <v>0</v>
      </c>
      <c r="BP11">
        <f t="shared" si="5"/>
        <v>0</v>
      </c>
      <c r="BQ11">
        <f t="shared" si="5"/>
        <v>0</v>
      </c>
      <c r="BR11">
        <f t="shared" si="6"/>
        <v>0</v>
      </c>
      <c r="BS11">
        <f t="shared" si="6"/>
        <v>0</v>
      </c>
      <c r="BT11">
        <f t="shared" si="6"/>
        <v>0</v>
      </c>
      <c r="BU11">
        <f t="shared" si="6"/>
        <v>0</v>
      </c>
      <c r="BV11">
        <f t="shared" si="6"/>
        <v>0</v>
      </c>
      <c r="BW11">
        <f t="shared" si="6"/>
        <v>0</v>
      </c>
      <c r="BX11">
        <f t="shared" si="6"/>
        <v>0</v>
      </c>
      <c r="BY11">
        <f t="shared" si="6"/>
        <v>0</v>
      </c>
      <c r="BZ11">
        <f t="shared" si="6"/>
        <v>0</v>
      </c>
      <c r="CA11">
        <f t="shared" si="6"/>
        <v>0</v>
      </c>
      <c r="CB11">
        <f t="shared" si="7"/>
        <v>0</v>
      </c>
      <c r="CC11">
        <f t="shared" si="7"/>
        <v>0</v>
      </c>
      <c r="CD11">
        <f t="shared" si="7"/>
        <v>0</v>
      </c>
      <c r="CE11">
        <f t="shared" si="7"/>
        <v>0</v>
      </c>
      <c r="CF11">
        <f t="shared" si="7"/>
        <v>0</v>
      </c>
      <c r="CG11">
        <f t="shared" si="7"/>
        <v>0</v>
      </c>
      <c r="CH11">
        <f t="shared" si="7"/>
        <v>0</v>
      </c>
      <c r="CI11">
        <f t="shared" si="7"/>
        <v>0</v>
      </c>
      <c r="CJ11">
        <f t="shared" si="7"/>
        <v>0</v>
      </c>
      <c r="CK11">
        <f t="shared" si="7"/>
        <v>0</v>
      </c>
      <c r="CL11">
        <f t="shared" si="8"/>
        <v>0</v>
      </c>
      <c r="CM11">
        <f t="shared" si="8"/>
        <v>0</v>
      </c>
      <c r="CN11">
        <f t="shared" si="8"/>
        <v>0</v>
      </c>
      <c r="CO11">
        <f t="shared" si="8"/>
        <v>0</v>
      </c>
      <c r="CP11">
        <f t="shared" si="8"/>
        <v>0</v>
      </c>
      <c r="CQ11">
        <f t="shared" si="8"/>
        <v>0</v>
      </c>
      <c r="CR11">
        <f t="shared" si="8"/>
        <v>0</v>
      </c>
      <c r="CS11">
        <f t="shared" si="8"/>
        <v>0</v>
      </c>
      <c r="CT11">
        <f t="shared" si="8"/>
        <v>0</v>
      </c>
      <c r="CU11">
        <f t="shared" si="8"/>
        <v>0</v>
      </c>
      <c r="CV11">
        <f t="shared" si="9"/>
        <v>0</v>
      </c>
      <c r="CW11">
        <f t="shared" si="9"/>
        <v>0</v>
      </c>
      <c r="CX11">
        <f t="shared" si="9"/>
        <v>0</v>
      </c>
      <c r="CY11">
        <f t="shared" si="9"/>
        <v>0</v>
      </c>
      <c r="CZ11">
        <f t="shared" si="9"/>
        <v>0</v>
      </c>
      <c r="DA11">
        <f t="shared" si="9"/>
        <v>0</v>
      </c>
      <c r="DB11">
        <f t="shared" si="9"/>
        <v>0</v>
      </c>
      <c r="DC11">
        <f t="shared" si="9"/>
        <v>0</v>
      </c>
      <c r="DD11">
        <f t="shared" si="9"/>
        <v>0</v>
      </c>
      <c r="DE11">
        <f t="shared" si="9"/>
        <v>0</v>
      </c>
      <c r="DF11">
        <f t="shared" si="10"/>
        <v>0</v>
      </c>
      <c r="DG11">
        <f t="shared" si="10"/>
        <v>0</v>
      </c>
      <c r="DH11">
        <f t="shared" si="10"/>
        <v>0</v>
      </c>
      <c r="DI11">
        <f t="shared" si="10"/>
        <v>0</v>
      </c>
      <c r="DJ11">
        <f t="shared" si="10"/>
        <v>0</v>
      </c>
      <c r="DK11">
        <f t="shared" si="10"/>
        <v>0</v>
      </c>
      <c r="DL11">
        <f t="shared" si="10"/>
        <v>0</v>
      </c>
      <c r="DM11">
        <f t="shared" si="10"/>
        <v>0</v>
      </c>
      <c r="DN11">
        <f t="shared" si="10"/>
        <v>0</v>
      </c>
      <c r="DO11">
        <f t="shared" si="10"/>
        <v>0</v>
      </c>
      <c r="DP11">
        <f t="shared" si="11"/>
        <v>0</v>
      </c>
      <c r="DQ11">
        <f t="shared" si="11"/>
        <v>0</v>
      </c>
      <c r="DR11">
        <f t="shared" si="11"/>
        <v>0</v>
      </c>
      <c r="DS11">
        <f t="shared" si="11"/>
        <v>0</v>
      </c>
      <c r="DT11">
        <f t="shared" si="11"/>
        <v>0</v>
      </c>
      <c r="DU11">
        <f t="shared" si="11"/>
        <v>0</v>
      </c>
      <c r="DV11">
        <f t="shared" si="11"/>
        <v>0</v>
      </c>
      <c r="DW11">
        <f t="shared" si="11"/>
        <v>0</v>
      </c>
      <c r="DX11">
        <f t="shared" si="11"/>
        <v>0</v>
      </c>
      <c r="DY11">
        <f t="shared" si="11"/>
        <v>0</v>
      </c>
    </row>
    <row r="12" spans="1:129">
      <c r="D12" s="60"/>
      <c r="E12" s="91" t="s">
        <v>192</v>
      </c>
      <c r="F12" s="79"/>
      <c r="G12" t="s">
        <v>146</v>
      </c>
      <c r="H12" s="90">
        <f xml:space="preserve"> H$47</f>
        <v>-8509627.8226838596</v>
      </c>
      <c r="J12" s="90">
        <f xml:space="preserve"> J$47</f>
        <v>-125000</v>
      </c>
      <c r="K12" s="90">
        <f t="shared" ref="K12:BV12" si="12" xml:space="preserve"> K$47</f>
        <v>-124365.71515447486</v>
      </c>
      <c r="L12" s="90">
        <f t="shared" si="12"/>
        <v>-123723.50174838066</v>
      </c>
      <c r="M12" s="90">
        <f t="shared" si="12"/>
        <v>-123073.26067471027</v>
      </c>
      <c r="N12" s="90">
        <f t="shared" si="12"/>
        <v>-122414.891587619</v>
      </c>
      <c r="O12" s="90">
        <f t="shared" si="12"/>
        <v>-121748.29288693909</v>
      </c>
      <c r="P12" s="90">
        <f t="shared" si="12"/>
        <v>-121073.36170250068</v>
      </c>
      <c r="Q12" s="90">
        <f t="shared" si="12"/>
        <v>-120389.99387825679</v>
      </c>
      <c r="R12" s="90">
        <f t="shared" si="12"/>
        <v>-119698.08395620986</v>
      </c>
      <c r="S12" s="90">
        <f t="shared" si="12"/>
        <v>-118997.52516013733</v>
      </c>
      <c r="T12" s="90">
        <f t="shared" si="12"/>
        <v>-118288.20937911392</v>
      </c>
      <c r="U12" s="90">
        <f t="shared" si="12"/>
        <v>-117570.02715082769</v>
      </c>
      <c r="V12" s="90">
        <f t="shared" si="12"/>
        <v>-116842.86764468791</v>
      </c>
      <c r="W12" s="90">
        <f t="shared" si="12"/>
        <v>-116106.61864472137</v>
      </c>
      <c r="X12" s="90">
        <f t="shared" si="12"/>
        <v>-115361.16653225524</v>
      </c>
      <c r="Y12" s="90">
        <f t="shared" si="12"/>
        <v>-114606.39626838331</v>
      </c>
      <c r="Z12" s="90">
        <f t="shared" si="12"/>
        <v>-113842.19137621294</v>
      </c>
      <c r="AA12" s="90">
        <f t="shared" si="12"/>
        <v>-113068.43392289046</v>
      </c>
      <c r="AB12" s="90">
        <f t="shared" si="12"/>
        <v>-112285.00450140145</v>
      </c>
      <c r="AC12" s="90">
        <f t="shared" si="12"/>
        <v>-111491.78221214382</v>
      </c>
      <c r="AD12" s="90">
        <f t="shared" si="12"/>
        <v>-120176.24275663645</v>
      </c>
      <c r="AE12" s="90">
        <f t="shared" si="12"/>
        <v>-119293.36510166711</v>
      </c>
      <c r="AF12" s="90">
        <f t="shared" si="12"/>
        <v>-118399.45147601064</v>
      </c>
      <c r="AG12" s="90">
        <f t="shared" si="12"/>
        <v>-117494.36393003348</v>
      </c>
      <c r="AH12" s="90">
        <f t="shared" si="12"/>
        <v>-116577.96278973159</v>
      </c>
      <c r="AI12" s="90">
        <f t="shared" si="12"/>
        <v>-115650.10663517595</v>
      </c>
      <c r="AJ12" s="90">
        <f t="shared" si="12"/>
        <v>-114710.65227868834</v>
      </c>
      <c r="AK12" s="90">
        <f t="shared" si="12"/>
        <v>-113759.45474274467</v>
      </c>
      <c r="AL12" s="90">
        <f t="shared" si="12"/>
        <v>-112796.36723760166</v>
      </c>
      <c r="AM12" s="90">
        <f t="shared" si="12"/>
        <v>-111821.24113864439</v>
      </c>
      <c r="AN12" s="90">
        <f t="shared" si="12"/>
        <v>-110833.92596345014</v>
      </c>
      <c r="AO12" s="90">
        <f t="shared" si="12"/>
        <v>-109834.26934856595</v>
      </c>
      <c r="AP12" s="90">
        <f t="shared" si="12"/>
        <v>-108822.11702599574</v>
      </c>
      <c r="AQ12" s="90">
        <f t="shared" si="12"/>
        <v>-107797.31279939339</v>
      </c>
      <c r="AR12" s="90">
        <f t="shared" si="12"/>
        <v>-106759.69851995852</v>
      </c>
      <c r="AS12" s="90">
        <f t="shared" si="12"/>
        <v>-105709.11406203068</v>
      </c>
      <c r="AT12" s="90">
        <f t="shared" si="12"/>
        <v>-104645.39729837877</v>
      </c>
      <c r="AU12" s="90">
        <f t="shared" si="12"/>
        <v>-103568.38407518119</v>
      </c>
      <c r="AV12" s="90">
        <f t="shared" si="12"/>
        <v>-102477.90818669366</v>
      </c>
      <c r="AW12" s="90">
        <f t="shared" si="12"/>
        <v>-101373.80134960003</v>
      </c>
      <c r="AX12" s="90">
        <f t="shared" si="12"/>
        <v>-109110.30218047449</v>
      </c>
      <c r="AY12" s="90">
        <f t="shared" si="12"/>
        <v>-107878.45449715546</v>
      </c>
      <c r="AZ12" s="90">
        <f t="shared" si="12"/>
        <v>-106631.20871779493</v>
      </c>
      <c r="BA12" s="90">
        <f t="shared" si="12"/>
        <v>-105368.3723661924</v>
      </c>
      <c r="BB12" s="90">
        <f t="shared" si="12"/>
        <v>-104089.75056019485</v>
      </c>
      <c r="BC12" s="90">
        <f t="shared" si="12"/>
        <v>-102795.14598162234</v>
      </c>
      <c r="BD12" s="90">
        <f t="shared" si="12"/>
        <v>-101484.35884581764</v>
      </c>
      <c r="BE12" s="90">
        <f t="shared" si="12"/>
        <v>-100157.18687081541</v>
      </c>
      <c r="BF12" s="90">
        <f t="shared" si="12"/>
        <v>-98813.425246125626</v>
      </c>
      <c r="BG12" s="90">
        <f t="shared" si="12"/>
        <v>-97452.866601127243</v>
      </c>
      <c r="BH12" s="90">
        <f t="shared" si="12"/>
        <v>-96075.300973066362</v>
      </c>
      <c r="BI12" s="90">
        <f t="shared" si="12"/>
        <v>-94680.515774654734</v>
      </c>
      <c r="BJ12" s="90">
        <f t="shared" si="12"/>
        <v>-93268.295761262954</v>
      </c>
      <c r="BK12" s="90">
        <f t="shared" si="12"/>
        <v>-91838.422997703776</v>
      </c>
      <c r="BL12" s="90">
        <f t="shared" si="12"/>
        <v>-90390.676824600116</v>
      </c>
      <c r="BM12" s="90">
        <f t="shared" si="12"/>
        <v>-88924.833824332658</v>
      </c>
      <c r="BN12" s="90">
        <f t="shared" si="12"/>
        <v>-87440.667786561855</v>
      </c>
      <c r="BO12" s="90">
        <f t="shared" si="12"/>
        <v>-85937.949673318915</v>
      </c>
      <c r="BP12" s="90">
        <f t="shared" si="12"/>
        <v>-84416.44758366044</v>
      </c>
      <c r="BQ12" s="90">
        <f t="shared" si="12"/>
        <v>-82875.92671788123</v>
      </c>
      <c r="BR12" s="90">
        <f t="shared" si="12"/>
        <v>-86455.386995429726</v>
      </c>
      <c r="BS12" s="90">
        <f t="shared" si="12"/>
        <v>-84776.30113996494</v>
      </c>
      <c r="BT12" s="90">
        <f t="shared" si="12"/>
        <v>-83076.226711306866</v>
      </c>
      <c r="BU12" s="90">
        <f t="shared" si="12"/>
        <v>-81354.901352290544</v>
      </c>
      <c r="BV12" s="90">
        <f t="shared" si="12"/>
        <v>-79612.059426286549</v>
      </c>
      <c r="BW12" s="90">
        <f t="shared" ref="BW12:DY12" si="13" xml:space="preserve"> BW$47</f>
        <v>-77847.431976207474</v>
      </c>
      <c r="BX12" s="90">
        <f t="shared" si="13"/>
        <v>-76060.74668300242</v>
      </c>
      <c r="BY12" s="90">
        <f t="shared" si="13"/>
        <v>-74251.727823632289</v>
      </c>
      <c r="BZ12" s="90">
        <f t="shared" si="13"/>
        <v>-72420.096228520051</v>
      </c>
      <c r="CA12" s="90">
        <f t="shared" si="13"/>
        <v>-70565.569238468917</v>
      </c>
      <c r="CB12" s="90">
        <f t="shared" si="13"/>
        <v>-68687.860661042112</v>
      </c>
      <c r="CC12" s="90">
        <f t="shared" si="13"/>
        <v>-66786.680726397492</v>
      </c>
      <c r="CD12" s="90">
        <f t="shared" si="13"/>
        <v>-64861.736042569813</v>
      </c>
      <c r="CE12" s="90">
        <f t="shared" si="13"/>
        <v>-62912.729550194286</v>
      </c>
      <c r="CF12" s="90">
        <f t="shared" si="13"/>
        <v>-60939.360476664086</v>
      </c>
      <c r="CG12" s="90">
        <f t="shared" si="13"/>
        <v>-58941.324289714721</v>
      </c>
      <c r="CH12" s="90">
        <f t="shared" si="13"/>
        <v>-56918.312650428503</v>
      </c>
      <c r="CI12" s="90">
        <f t="shared" si="13"/>
        <v>-54870.013365651219</v>
      </c>
      <c r="CJ12" s="90">
        <f t="shared" si="13"/>
        <v>-52796.110339814208</v>
      </c>
      <c r="CK12" s="90">
        <f t="shared" si="13"/>
        <v>-50696.283526154235</v>
      </c>
      <c r="CL12" s="90">
        <f t="shared" si="13"/>
        <v>-55231.301393247035</v>
      </c>
      <c r="CM12" s="90">
        <f t="shared" si="13"/>
        <v>-52783.428595626705</v>
      </c>
      <c r="CN12" s="90">
        <f t="shared" si="13"/>
        <v>-50304.95738803612</v>
      </c>
      <c r="CO12" s="90">
        <f t="shared" si="13"/>
        <v>-47795.505290350658</v>
      </c>
      <c r="CP12" s="90">
        <f t="shared" si="13"/>
        <v>-45254.685041444121</v>
      </c>
      <c r="CQ12" s="90">
        <f t="shared" si="13"/>
        <v>-42682.104539426255</v>
      </c>
      <c r="CR12" s="90">
        <f t="shared" si="13"/>
        <v>-40077.366781133169</v>
      </c>
      <c r="CS12" s="90">
        <f t="shared" si="13"/>
        <v>-37440.069800861413</v>
      </c>
      <c r="CT12" s="90">
        <f t="shared" si="13"/>
        <v>-34769.806608336265</v>
      </c>
      <c r="CU12" s="90">
        <f t="shared" si="13"/>
        <v>-32066.165125904547</v>
      </c>
      <c r="CV12" s="90">
        <f t="shared" si="13"/>
        <v>-29328.728124942441</v>
      </c>
      <c r="CW12" s="90">
        <f t="shared" si="13"/>
        <v>-26557.073161468306</v>
      </c>
      <c r="CX12" s="90">
        <f t="shared" si="13"/>
        <v>-23750.772510950745</v>
      </c>
      <c r="CY12" s="90">
        <f t="shared" si="13"/>
        <v>-20909.39310230171</v>
      </c>
      <c r="CZ12" s="90">
        <f t="shared" si="13"/>
        <v>-18032.496451044568</v>
      </c>
      <c r="DA12" s="90">
        <f t="shared" si="13"/>
        <v>-15119.638591646706</v>
      </c>
      <c r="DB12" s="90">
        <f t="shared" si="13"/>
        <v>-12170.370009006374</v>
      </c>
      <c r="DC12" s="90">
        <f t="shared" si="13"/>
        <v>-9184.2355690830373</v>
      </c>
      <c r="DD12" s="90">
        <f t="shared" si="13"/>
        <v>-6160.7744486606598</v>
      </c>
      <c r="DE12" s="90">
        <f t="shared" si="13"/>
        <v>-3099.5200642330028</v>
      </c>
      <c r="DF12" s="90">
        <f t="shared" si="13"/>
        <v>0</v>
      </c>
      <c r="DG12" s="90">
        <f t="shared" si="13"/>
        <v>0</v>
      </c>
      <c r="DH12" s="90">
        <f t="shared" si="13"/>
        <v>0</v>
      </c>
      <c r="DI12" s="90">
        <f t="shared" si="13"/>
        <v>0</v>
      </c>
      <c r="DJ12" s="90">
        <f t="shared" si="13"/>
        <v>0</v>
      </c>
      <c r="DK12" s="90">
        <f t="shared" si="13"/>
        <v>0</v>
      </c>
      <c r="DL12" s="90">
        <f t="shared" si="13"/>
        <v>0</v>
      </c>
      <c r="DM12" s="90">
        <f t="shared" si="13"/>
        <v>0</v>
      </c>
      <c r="DN12" s="90">
        <f t="shared" si="13"/>
        <v>0</v>
      </c>
      <c r="DO12" s="90">
        <f t="shared" si="13"/>
        <v>0</v>
      </c>
      <c r="DP12" s="90">
        <f t="shared" si="13"/>
        <v>0</v>
      </c>
      <c r="DQ12" s="90">
        <f t="shared" si="13"/>
        <v>0</v>
      </c>
      <c r="DR12" s="90">
        <f t="shared" si="13"/>
        <v>0</v>
      </c>
      <c r="DS12" s="90">
        <f t="shared" si="13"/>
        <v>0</v>
      </c>
      <c r="DT12" s="90">
        <f t="shared" si="13"/>
        <v>0</v>
      </c>
      <c r="DU12" s="90">
        <f t="shared" si="13"/>
        <v>0</v>
      </c>
      <c r="DV12" s="90">
        <f t="shared" si="13"/>
        <v>0</v>
      </c>
      <c r="DW12" s="90">
        <f t="shared" si="13"/>
        <v>0</v>
      </c>
      <c r="DX12" s="90">
        <f t="shared" si="13"/>
        <v>0</v>
      </c>
      <c r="DY12" s="90">
        <f t="shared" si="13"/>
        <v>0</v>
      </c>
    </row>
    <row r="13" spans="1:129">
      <c r="D13" s="60"/>
      <c r="E13" s="91" t="s">
        <v>193</v>
      </c>
      <c r="F13" s="79"/>
      <c r="G13" t="s">
        <v>146</v>
      </c>
      <c r="H13" s="90">
        <f t="shared" ref="H13:H15" si="14" xml:space="preserve"> H$47</f>
        <v>-8509627.8226838596</v>
      </c>
      <c r="J13" s="90">
        <f xml:space="preserve"> J48</f>
        <v>-50742.787642011492</v>
      </c>
      <c r="K13" s="90">
        <f t="shared" ref="K13:BV13" si="15" xml:space="preserve"> K48</f>
        <v>-51377.072487536629</v>
      </c>
      <c r="L13" s="90">
        <f t="shared" si="15"/>
        <v>-52019.285893630826</v>
      </c>
      <c r="M13" s="90">
        <f t="shared" si="15"/>
        <v>-52669.526967301208</v>
      </c>
      <c r="N13" s="90">
        <f t="shared" si="15"/>
        <v>-53327.896054392484</v>
      </c>
      <c r="O13" s="90">
        <f t="shared" si="15"/>
        <v>-53994.494755072381</v>
      </c>
      <c r="P13" s="90">
        <f t="shared" si="15"/>
        <v>-54669.425939510787</v>
      </c>
      <c r="Q13" s="90">
        <f t="shared" si="15"/>
        <v>-55352.793763754657</v>
      </c>
      <c r="R13" s="90">
        <f t="shared" si="15"/>
        <v>-56044.703685801622</v>
      </c>
      <c r="S13" s="90">
        <f t="shared" si="15"/>
        <v>-56745.262481874117</v>
      </c>
      <c r="T13" s="90">
        <f t="shared" si="15"/>
        <v>-57454.57826289755</v>
      </c>
      <c r="U13" s="90">
        <f t="shared" si="15"/>
        <v>-58172.760491183777</v>
      </c>
      <c r="V13" s="90">
        <f t="shared" si="15"/>
        <v>-58899.919997323588</v>
      </c>
      <c r="W13" s="90">
        <f t="shared" si="15"/>
        <v>-59636.168997290115</v>
      </c>
      <c r="X13" s="90">
        <f t="shared" si="15"/>
        <v>-60381.621109756248</v>
      </c>
      <c r="Y13" s="90">
        <f t="shared" si="15"/>
        <v>-61136.391373628227</v>
      </c>
      <c r="Z13" s="90">
        <f t="shared" si="15"/>
        <v>-61900.596265798551</v>
      </c>
      <c r="AA13" s="90">
        <f t="shared" si="15"/>
        <v>-62674.353719121049</v>
      </c>
      <c r="AB13" s="90">
        <f t="shared" si="15"/>
        <v>-63457.783140610045</v>
      </c>
      <c r="AC13" s="90">
        <f t="shared" si="15"/>
        <v>-64251.005429867684</v>
      </c>
      <c r="AD13" s="90">
        <f t="shared" si="15"/>
        <v>-70630.212397547351</v>
      </c>
      <c r="AE13" s="90">
        <f t="shared" si="15"/>
        <v>-71513.09005251668</v>
      </c>
      <c r="AF13" s="90">
        <f t="shared" si="15"/>
        <v>-72407.003678173147</v>
      </c>
      <c r="AG13" s="90">
        <f t="shared" si="15"/>
        <v>-73312.091224150325</v>
      </c>
      <c r="AH13" s="90">
        <f t="shared" si="15"/>
        <v>-74228.492364452191</v>
      </c>
      <c r="AI13" s="90">
        <f t="shared" si="15"/>
        <v>-75156.348519007835</v>
      </c>
      <c r="AJ13" s="90">
        <f t="shared" si="15"/>
        <v>-76095.802875495458</v>
      </c>
      <c r="AK13" s="90">
        <f t="shared" si="15"/>
        <v>-77047.000411439149</v>
      </c>
      <c r="AL13" s="90">
        <f t="shared" si="15"/>
        <v>-78010.087916582124</v>
      </c>
      <c r="AM13" s="90">
        <f t="shared" si="15"/>
        <v>-78985.214015539401</v>
      </c>
      <c r="AN13" s="90">
        <f t="shared" si="15"/>
        <v>-79972.529190733636</v>
      </c>
      <c r="AO13" s="90">
        <f t="shared" si="15"/>
        <v>-80972.185805617817</v>
      </c>
      <c r="AP13" s="90">
        <f t="shared" si="15"/>
        <v>-81984.338128188028</v>
      </c>
      <c r="AQ13" s="90">
        <f t="shared" si="15"/>
        <v>-83009.142354790369</v>
      </c>
      <c r="AR13" s="90">
        <f t="shared" si="15"/>
        <v>-84046.756634225254</v>
      </c>
      <c r="AS13" s="90">
        <f t="shared" si="15"/>
        <v>-85097.341092153074</v>
      </c>
      <c r="AT13" s="90">
        <f t="shared" si="15"/>
        <v>-86161.057855804989</v>
      </c>
      <c r="AU13" s="90">
        <f t="shared" si="15"/>
        <v>-87238.071079002519</v>
      </c>
      <c r="AV13" s="90">
        <f t="shared" si="15"/>
        <v>-88328.546967490038</v>
      </c>
      <c r="AW13" s="90">
        <f t="shared" si="15"/>
        <v>-89432.653804583664</v>
      </c>
      <c r="AX13" s="90">
        <f t="shared" si="15"/>
        <v>-98547.814665522557</v>
      </c>
      <c r="AY13" s="90">
        <f t="shared" si="15"/>
        <v>-99779.662348841579</v>
      </c>
      <c r="AZ13" s="90">
        <f t="shared" si="15"/>
        <v>-101026.90812820211</v>
      </c>
      <c r="BA13" s="90">
        <f t="shared" si="15"/>
        <v>-102289.74447980459</v>
      </c>
      <c r="BB13" s="90">
        <f t="shared" si="15"/>
        <v>-103568.36628580217</v>
      </c>
      <c r="BC13" s="90">
        <f t="shared" si="15"/>
        <v>-104862.97086437471</v>
      </c>
      <c r="BD13" s="90">
        <f t="shared" si="15"/>
        <v>-106173.75800017941</v>
      </c>
      <c r="BE13" s="90">
        <f t="shared" si="15"/>
        <v>-107500.92997518166</v>
      </c>
      <c r="BF13" s="90">
        <f t="shared" si="15"/>
        <v>-108844.69159987141</v>
      </c>
      <c r="BG13" s="90">
        <f t="shared" si="15"/>
        <v>-110205.25024486981</v>
      </c>
      <c r="BH13" s="90">
        <f t="shared" si="15"/>
        <v>-111582.81587293069</v>
      </c>
      <c r="BI13" s="90">
        <f t="shared" si="15"/>
        <v>-112977.60107134232</v>
      </c>
      <c r="BJ13" s="90">
        <f t="shared" si="15"/>
        <v>-114389.82108473411</v>
      </c>
      <c r="BK13" s="90">
        <f t="shared" si="15"/>
        <v>-115819.69384829327</v>
      </c>
      <c r="BL13" s="90">
        <f t="shared" si="15"/>
        <v>-117267.44002139695</v>
      </c>
      <c r="BM13" s="90">
        <f t="shared" si="15"/>
        <v>-118733.28302166439</v>
      </c>
      <c r="BN13" s="90">
        <f t="shared" si="15"/>
        <v>-120217.44905943522</v>
      </c>
      <c r="BO13" s="90">
        <f t="shared" si="15"/>
        <v>-121720.16717267815</v>
      </c>
      <c r="BP13" s="90">
        <f t="shared" si="15"/>
        <v>-123241.66926233664</v>
      </c>
      <c r="BQ13" s="90">
        <f t="shared" si="15"/>
        <v>-124782.19012811582</v>
      </c>
      <c r="BR13" s="90">
        <f t="shared" si="15"/>
        <v>-134326.86843718207</v>
      </c>
      <c r="BS13" s="90">
        <f t="shared" si="15"/>
        <v>-136005.95429264681</v>
      </c>
      <c r="BT13" s="90">
        <f t="shared" si="15"/>
        <v>-137706.02872130493</v>
      </c>
      <c r="BU13" s="90">
        <f t="shared" si="15"/>
        <v>-139427.35408032127</v>
      </c>
      <c r="BV13" s="90">
        <f t="shared" si="15"/>
        <v>-141170.19600632528</v>
      </c>
      <c r="BW13" s="90">
        <f t="shared" ref="BW13:DY13" si="16" xml:space="preserve"> BW48</f>
        <v>-142934.82345640435</v>
      </c>
      <c r="BX13" s="90">
        <f t="shared" si="16"/>
        <v>-144721.50874960941</v>
      </c>
      <c r="BY13" s="90">
        <f t="shared" si="16"/>
        <v>-146530.52760897949</v>
      </c>
      <c r="BZ13" s="90">
        <f t="shared" si="16"/>
        <v>-148362.15920409173</v>
      </c>
      <c r="CA13" s="90">
        <f t="shared" si="16"/>
        <v>-150216.68619414288</v>
      </c>
      <c r="CB13" s="90">
        <f t="shared" si="16"/>
        <v>-152094.39477156964</v>
      </c>
      <c r="CC13" s="90">
        <f t="shared" si="16"/>
        <v>-153995.57470621428</v>
      </c>
      <c r="CD13" s="90">
        <f t="shared" si="16"/>
        <v>-155920.51939004194</v>
      </c>
      <c r="CE13" s="90">
        <f t="shared" si="16"/>
        <v>-157869.52588241748</v>
      </c>
      <c r="CF13" s="90">
        <f t="shared" si="16"/>
        <v>-159842.89495594773</v>
      </c>
      <c r="CG13" s="90">
        <f t="shared" si="16"/>
        <v>-161840.93114289702</v>
      </c>
      <c r="CH13" s="90">
        <f t="shared" si="16"/>
        <v>-163863.94278218327</v>
      </c>
      <c r="CI13" s="90">
        <f t="shared" si="16"/>
        <v>-165912.24206696055</v>
      </c>
      <c r="CJ13" s="90">
        <f t="shared" si="16"/>
        <v>-167986.14509279755</v>
      </c>
      <c r="CK13" s="90">
        <f t="shared" si="16"/>
        <v>-170085.97190645747</v>
      </c>
      <c r="CL13" s="90">
        <f t="shared" si="16"/>
        <v>-195829.8238096264</v>
      </c>
      <c r="CM13" s="90">
        <f t="shared" si="16"/>
        <v>-198277.69660724665</v>
      </c>
      <c r="CN13" s="90">
        <f t="shared" si="16"/>
        <v>-200756.16781483724</v>
      </c>
      <c r="CO13" s="90">
        <f t="shared" si="16"/>
        <v>-203265.6199125227</v>
      </c>
      <c r="CP13" s="90">
        <f t="shared" si="16"/>
        <v>-205806.44016142923</v>
      </c>
      <c r="CQ13" s="90">
        <f t="shared" si="16"/>
        <v>-208379.02066344707</v>
      </c>
      <c r="CR13" s="90">
        <f t="shared" si="16"/>
        <v>-210983.75842174015</v>
      </c>
      <c r="CS13" s="90">
        <f t="shared" si="16"/>
        <v>-213621.05540201196</v>
      </c>
      <c r="CT13" s="90">
        <f t="shared" si="16"/>
        <v>-216291.31859453704</v>
      </c>
      <c r="CU13" s="90">
        <f t="shared" si="16"/>
        <v>-218994.96007696871</v>
      </c>
      <c r="CV13" s="90">
        <f t="shared" si="16"/>
        <v>-221732.39707793086</v>
      </c>
      <c r="CW13" s="90">
        <f t="shared" si="16"/>
        <v>-224504.05204140503</v>
      </c>
      <c r="CX13" s="90">
        <f t="shared" si="16"/>
        <v>-227310.35269192257</v>
      </c>
      <c r="CY13" s="90">
        <f t="shared" si="16"/>
        <v>-230151.73210057162</v>
      </c>
      <c r="CZ13" s="90">
        <f t="shared" si="16"/>
        <v>-233028.62875182877</v>
      </c>
      <c r="DA13" s="90">
        <f t="shared" si="16"/>
        <v>-235941.48661122657</v>
      </c>
      <c r="DB13" s="90">
        <f t="shared" si="16"/>
        <v>-238890.75519386691</v>
      </c>
      <c r="DC13" s="90">
        <f t="shared" si="16"/>
        <v>-241876.88963379024</v>
      </c>
      <c r="DD13" s="90">
        <f t="shared" si="16"/>
        <v>-244900.35075421256</v>
      </c>
      <c r="DE13" s="90">
        <f t="shared" si="16"/>
        <v>-247961.60513864027</v>
      </c>
      <c r="DF13" s="90">
        <f t="shared" si="16"/>
        <v>0</v>
      </c>
      <c r="DG13" s="90">
        <f t="shared" si="16"/>
        <v>0</v>
      </c>
      <c r="DH13" s="90">
        <f t="shared" si="16"/>
        <v>0</v>
      </c>
      <c r="DI13" s="90">
        <f t="shared" si="16"/>
        <v>0</v>
      </c>
      <c r="DJ13" s="90">
        <f t="shared" si="16"/>
        <v>0</v>
      </c>
      <c r="DK13" s="90">
        <f t="shared" si="16"/>
        <v>0</v>
      </c>
      <c r="DL13" s="90">
        <f t="shared" si="16"/>
        <v>0</v>
      </c>
      <c r="DM13" s="90">
        <f t="shared" si="16"/>
        <v>0</v>
      </c>
      <c r="DN13" s="90">
        <f t="shared" si="16"/>
        <v>0</v>
      </c>
      <c r="DO13" s="90">
        <f t="shared" si="16"/>
        <v>0</v>
      </c>
      <c r="DP13" s="90">
        <f t="shared" si="16"/>
        <v>0</v>
      </c>
      <c r="DQ13" s="90">
        <f t="shared" si="16"/>
        <v>0</v>
      </c>
      <c r="DR13" s="90">
        <f t="shared" si="16"/>
        <v>0</v>
      </c>
      <c r="DS13" s="90">
        <f t="shared" si="16"/>
        <v>0</v>
      </c>
      <c r="DT13" s="90">
        <f t="shared" si="16"/>
        <v>0</v>
      </c>
      <c r="DU13" s="90">
        <f t="shared" si="16"/>
        <v>0</v>
      </c>
      <c r="DV13" s="90">
        <f t="shared" si="16"/>
        <v>0</v>
      </c>
      <c r="DW13" s="90">
        <f t="shared" si="16"/>
        <v>0</v>
      </c>
      <c r="DX13" s="90">
        <f t="shared" si="16"/>
        <v>0</v>
      </c>
      <c r="DY13" s="90">
        <f t="shared" si="16"/>
        <v>0</v>
      </c>
    </row>
    <row r="14" spans="1:129">
      <c r="D14" s="60"/>
      <c r="E14" s="91" t="s">
        <v>200</v>
      </c>
      <c r="F14" s="79"/>
      <c r="G14" t="s">
        <v>146</v>
      </c>
      <c r="H14" s="90">
        <f t="shared" si="14"/>
        <v>-8509627.8226838596</v>
      </c>
      <c r="J14">
        <f xml:space="preserve"> J$49</f>
        <v>0</v>
      </c>
      <c r="K14">
        <f t="shared" ref="K14:BV14" si="17" xml:space="preserve"> K$49</f>
        <v>0</v>
      </c>
      <c r="L14">
        <f t="shared" si="17"/>
        <v>0</v>
      </c>
      <c r="M14">
        <f t="shared" si="17"/>
        <v>0</v>
      </c>
      <c r="N14">
        <f t="shared" si="17"/>
        <v>0</v>
      </c>
      <c r="O14">
        <f t="shared" si="17"/>
        <v>0</v>
      </c>
      <c r="P14">
        <f t="shared" si="17"/>
        <v>0</v>
      </c>
      <c r="Q14">
        <f t="shared" si="17"/>
        <v>0</v>
      </c>
      <c r="R14">
        <f t="shared" si="17"/>
        <v>0</v>
      </c>
      <c r="S14">
        <f t="shared" si="17"/>
        <v>0</v>
      </c>
      <c r="T14">
        <f t="shared" si="17"/>
        <v>0</v>
      </c>
      <c r="U14">
        <f t="shared" si="17"/>
        <v>0</v>
      </c>
      <c r="V14">
        <f t="shared" si="17"/>
        <v>0</v>
      </c>
      <c r="W14">
        <f t="shared" si="17"/>
        <v>0</v>
      </c>
      <c r="X14">
        <f t="shared" si="17"/>
        <v>0</v>
      </c>
      <c r="Y14">
        <f t="shared" si="17"/>
        <v>0</v>
      </c>
      <c r="Z14">
        <f t="shared" si="17"/>
        <v>0</v>
      </c>
      <c r="AA14">
        <f t="shared" si="17"/>
        <v>0</v>
      </c>
      <c r="AB14">
        <f t="shared" si="17"/>
        <v>0</v>
      </c>
      <c r="AC14">
        <f t="shared" si="17"/>
        <v>-8855091.5715416372</v>
      </c>
      <c r="AD14">
        <f t="shared" si="17"/>
        <v>0</v>
      </c>
      <c r="AE14">
        <f t="shared" si="17"/>
        <v>0</v>
      </c>
      <c r="AF14">
        <f t="shared" si="17"/>
        <v>0</v>
      </c>
      <c r="AG14">
        <f t="shared" si="17"/>
        <v>0</v>
      </c>
      <c r="AH14">
        <f t="shared" si="17"/>
        <v>0</v>
      </c>
      <c r="AI14">
        <f t="shared" si="17"/>
        <v>0</v>
      </c>
      <c r="AJ14">
        <f t="shared" si="17"/>
        <v>0</v>
      </c>
      <c r="AK14">
        <f t="shared" si="17"/>
        <v>0</v>
      </c>
      <c r="AL14">
        <f t="shared" si="17"/>
        <v>0</v>
      </c>
      <c r="AM14">
        <f t="shared" si="17"/>
        <v>0</v>
      </c>
      <c r="AN14">
        <f t="shared" si="17"/>
        <v>0</v>
      </c>
      <c r="AO14">
        <f t="shared" si="17"/>
        <v>0</v>
      </c>
      <c r="AP14">
        <f t="shared" si="17"/>
        <v>0</v>
      </c>
      <c r="AQ14">
        <f t="shared" si="17"/>
        <v>0</v>
      </c>
      <c r="AR14">
        <f t="shared" si="17"/>
        <v>0</v>
      </c>
      <c r="AS14">
        <f t="shared" si="17"/>
        <v>0</v>
      </c>
      <c r="AT14">
        <f t="shared" si="17"/>
        <v>0</v>
      </c>
      <c r="AU14">
        <f t="shared" si="17"/>
        <v>0</v>
      </c>
      <c r="AV14">
        <f t="shared" si="17"/>
        <v>0</v>
      </c>
      <c r="AW14">
        <f t="shared" si="17"/>
        <v>-8020471.4541634191</v>
      </c>
      <c r="AX14">
        <f t="shared" si="17"/>
        <v>0</v>
      </c>
      <c r="AY14">
        <f t="shared" si="17"/>
        <v>0</v>
      </c>
      <c r="AZ14">
        <f t="shared" si="17"/>
        <v>0</v>
      </c>
      <c r="BA14">
        <f t="shared" si="17"/>
        <v>0</v>
      </c>
      <c r="BB14">
        <f t="shared" si="17"/>
        <v>0</v>
      </c>
      <c r="BC14">
        <f t="shared" si="17"/>
        <v>0</v>
      </c>
      <c r="BD14">
        <f t="shared" si="17"/>
        <v>0</v>
      </c>
      <c r="BE14">
        <f t="shared" si="17"/>
        <v>0</v>
      </c>
      <c r="BF14">
        <f t="shared" si="17"/>
        <v>0</v>
      </c>
      <c r="BG14">
        <f t="shared" si="17"/>
        <v>0</v>
      </c>
      <c r="BH14">
        <f t="shared" si="17"/>
        <v>0</v>
      </c>
      <c r="BI14">
        <f t="shared" si="17"/>
        <v>0</v>
      </c>
      <c r="BJ14">
        <f t="shared" si="17"/>
        <v>0</v>
      </c>
      <c r="BK14">
        <f t="shared" si="17"/>
        <v>0</v>
      </c>
      <c r="BL14">
        <f t="shared" si="17"/>
        <v>0</v>
      </c>
      <c r="BM14">
        <f t="shared" si="17"/>
        <v>0</v>
      </c>
      <c r="BN14">
        <f t="shared" si="17"/>
        <v>0</v>
      </c>
      <c r="BO14">
        <f t="shared" si="17"/>
        <v>0</v>
      </c>
      <c r="BP14">
        <f t="shared" si="17"/>
        <v>0</v>
      </c>
      <c r="BQ14">
        <f t="shared" si="17"/>
        <v>-6505291.9473023824</v>
      </c>
      <c r="BR14">
        <f t="shared" si="17"/>
        <v>0</v>
      </c>
      <c r="BS14">
        <f t="shared" si="17"/>
        <v>0</v>
      </c>
      <c r="BT14">
        <f t="shared" si="17"/>
        <v>0</v>
      </c>
      <c r="BU14">
        <f t="shared" si="17"/>
        <v>0</v>
      </c>
      <c r="BV14">
        <f t="shared" si="17"/>
        <v>0</v>
      </c>
      <c r="BW14">
        <f t="shared" ref="BW14:DY14" si="18" xml:space="preserve"> BW$49</f>
        <v>0</v>
      </c>
      <c r="BX14">
        <f t="shared" si="18"/>
        <v>0</v>
      </c>
      <c r="BY14">
        <f t="shared" si="18"/>
        <v>0</v>
      </c>
      <c r="BZ14">
        <f t="shared" si="18"/>
        <v>0</v>
      </c>
      <c r="CA14">
        <f t="shared" si="18"/>
        <v>0</v>
      </c>
      <c r="CB14">
        <f t="shared" si="18"/>
        <v>0</v>
      </c>
      <c r="CC14">
        <f t="shared" si="18"/>
        <v>0</v>
      </c>
      <c r="CD14">
        <f t="shared" si="18"/>
        <v>0</v>
      </c>
      <c r="CE14">
        <f t="shared" si="18"/>
        <v>0</v>
      </c>
      <c r="CF14">
        <f t="shared" si="18"/>
        <v>0</v>
      </c>
      <c r="CG14">
        <f t="shared" si="18"/>
        <v>0</v>
      </c>
      <c r="CH14">
        <f t="shared" si="18"/>
        <v>0</v>
      </c>
      <c r="CI14">
        <f t="shared" si="18"/>
        <v>0</v>
      </c>
      <c r="CJ14">
        <f t="shared" si="18"/>
        <v>0</v>
      </c>
      <c r="CK14">
        <f t="shared" si="18"/>
        <v>-3885616.7101858812</v>
      </c>
      <c r="CL14">
        <f t="shared" si="18"/>
        <v>0</v>
      </c>
      <c r="CM14">
        <f t="shared" si="18"/>
        <v>0</v>
      </c>
      <c r="CN14">
        <f t="shared" si="18"/>
        <v>0</v>
      </c>
      <c r="CO14">
        <f t="shared" si="18"/>
        <v>0</v>
      </c>
      <c r="CP14">
        <f t="shared" si="18"/>
        <v>0</v>
      </c>
      <c r="CQ14">
        <f t="shared" si="18"/>
        <v>0</v>
      </c>
      <c r="CR14">
        <f t="shared" si="18"/>
        <v>0</v>
      </c>
      <c r="CS14">
        <f t="shared" si="18"/>
        <v>0</v>
      </c>
      <c r="CT14">
        <f t="shared" si="18"/>
        <v>0</v>
      </c>
      <c r="CU14">
        <f t="shared" si="18"/>
        <v>0</v>
      </c>
      <c r="CV14">
        <f t="shared" si="18"/>
        <v>0</v>
      </c>
      <c r="CW14">
        <f t="shared" si="18"/>
        <v>0</v>
      </c>
      <c r="CX14">
        <f t="shared" si="18"/>
        <v>0</v>
      </c>
      <c r="CY14">
        <f t="shared" si="18"/>
        <v>0</v>
      </c>
      <c r="CZ14">
        <f t="shared" si="18"/>
        <v>0</v>
      </c>
      <c r="DA14">
        <f t="shared" si="18"/>
        <v>0</v>
      </c>
      <c r="DB14">
        <f t="shared" si="18"/>
        <v>0</v>
      </c>
      <c r="DC14">
        <f t="shared" si="18"/>
        <v>0</v>
      </c>
      <c r="DD14">
        <f t="shared" si="18"/>
        <v>0</v>
      </c>
      <c r="DE14">
        <f t="shared" si="18"/>
        <v>0</v>
      </c>
      <c r="DF14">
        <f t="shared" si="18"/>
        <v>0</v>
      </c>
      <c r="DG14">
        <f t="shared" si="18"/>
        <v>0</v>
      </c>
      <c r="DH14">
        <f t="shared" si="18"/>
        <v>0</v>
      </c>
      <c r="DI14">
        <f t="shared" si="18"/>
        <v>0</v>
      </c>
      <c r="DJ14">
        <f t="shared" si="18"/>
        <v>0</v>
      </c>
      <c r="DK14">
        <f t="shared" si="18"/>
        <v>0</v>
      </c>
      <c r="DL14">
        <f t="shared" si="18"/>
        <v>0</v>
      </c>
      <c r="DM14">
        <f t="shared" si="18"/>
        <v>0</v>
      </c>
      <c r="DN14">
        <f t="shared" si="18"/>
        <v>0</v>
      </c>
      <c r="DO14">
        <f t="shared" si="18"/>
        <v>0</v>
      </c>
      <c r="DP14">
        <f t="shared" si="18"/>
        <v>0</v>
      </c>
      <c r="DQ14">
        <f t="shared" si="18"/>
        <v>0</v>
      </c>
      <c r="DR14">
        <f t="shared" si="18"/>
        <v>0</v>
      </c>
      <c r="DS14">
        <f t="shared" si="18"/>
        <v>0</v>
      </c>
      <c r="DT14">
        <f t="shared" si="18"/>
        <v>0</v>
      </c>
      <c r="DU14">
        <f t="shared" si="18"/>
        <v>0</v>
      </c>
      <c r="DV14">
        <f t="shared" si="18"/>
        <v>0</v>
      </c>
      <c r="DW14">
        <f t="shared" si="18"/>
        <v>0</v>
      </c>
      <c r="DX14">
        <f t="shared" si="18"/>
        <v>0</v>
      </c>
      <c r="DY14">
        <f t="shared" si="18"/>
        <v>0</v>
      </c>
    </row>
    <row r="15" spans="1:129">
      <c r="D15" s="60"/>
      <c r="E15" s="91" t="s">
        <v>201</v>
      </c>
      <c r="F15" s="79"/>
      <c r="G15" t="s">
        <v>146</v>
      </c>
      <c r="H15" s="90">
        <f t="shared" si="14"/>
        <v>-8509627.8226838596</v>
      </c>
      <c r="J15">
        <f xml:space="preserve"> J$50</f>
        <v>0</v>
      </c>
      <c r="K15">
        <f t="shared" ref="K15:BV15" si="19" xml:space="preserve"> K$50</f>
        <v>0</v>
      </c>
      <c r="L15">
        <f t="shared" si="19"/>
        <v>0</v>
      </c>
      <c r="M15">
        <f t="shared" si="19"/>
        <v>0</v>
      </c>
      <c r="N15">
        <f t="shared" si="19"/>
        <v>0</v>
      </c>
      <c r="O15">
        <f t="shared" si="19"/>
        <v>0</v>
      </c>
      <c r="P15">
        <f t="shared" si="19"/>
        <v>0</v>
      </c>
      <c r="Q15">
        <f t="shared" si="19"/>
        <v>0</v>
      </c>
      <c r="R15">
        <f t="shared" si="19"/>
        <v>0</v>
      </c>
      <c r="S15">
        <f t="shared" si="19"/>
        <v>0</v>
      </c>
      <c r="T15">
        <f t="shared" si="19"/>
        <v>0</v>
      </c>
      <c r="U15">
        <f t="shared" si="19"/>
        <v>0</v>
      </c>
      <c r="V15">
        <f t="shared" si="19"/>
        <v>0</v>
      </c>
      <c r="W15">
        <f t="shared" si="19"/>
        <v>0</v>
      </c>
      <c r="X15">
        <f t="shared" si="19"/>
        <v>0</v>
      </c>
      <c r="Y15">
        <f t="shared" si="19"/>
        <v>0</v>
      </c>
      <c r="Z15">
        <f t="shared" si="19"/>
        <v>0</v>
      </c>
      <c r="AA15">
        <f t="shared" si="19"/>
        <v>0</v>
      </c>
      <c r="AB15">
        <f t="shared" si="19"/>
        <v>0</v>
      </c>
      <c r="AC15">
        <f t="shared" si="19"/>
        <v>9517958.4263256062</v>
      </c>
      <c r="AD15">
        <f t="shared" si="19"/>
        <v>0</v>
      </c>
      <c r="AE15">
        <f t="shared" si="19"/>
        <v>0</v>
      </c>
      <c r="AF15">
        <f t="shared" si="19"/>
        <v>0</v>
      </c>
      <c r="AG15">
        <f t="shared" si="19"/>
        <v>0</v>
      </c>
      <c r="AH15">
        <f t="shared" si="19"/>
        <v>0</v>
      </c>
      <c r="AI15">
        <f t="shared" si="19"/>
        <v>0</v>
      </c>
      <c r="AJ15">
        <f t="shared" si="19"/>
        <v>0</v>
      </c>
      <c r="AK15">
        <f t="shared" si="19"/>
        <v>0</v>
      </c>
      <c r="AL15">
        <f t="shared" si="19"/>
        <v>0</v>
      </c>
      <c r="AM15">
        <f t="shared" si="19"/>
        <v>0</v>
      </c>
      <c r="AN15">
        <f t="shared" si="19"/>
        <v>0</v>
      </c>
      <c r="AO15">
        <f t="shared" si="19"/>
        <v>0</v>
      </c>
      <c r="AP15">
        <f t="shared" si="19"/>
        <v>0</v>
      </c>
      <c r="AQ15">
        <f t="shared" si="19"/>
        <v>0</v>
      </c>
      <c r="AR15">
        <f t="shared" si="19"/>
        <v>0</v>
      </c>
      <c r="AS15">
        <f t="shared" si="19"/>
        <v>0</v>
      </c>
      <c r="AT15">
        <f t="shared" si="19"/>
        <v>0</v>
      </c>
      <c r="AU15">
        <f t="shared" si="19"/>
        <v>0</v>
      </c>
      <c r="AV15">
        <f t="shared" si="19"/>
        <v>0</v>
      </c>
      <c r="AW15">
        <f t="shared" si="19"/>
        <v>8641535.9326935783</v>
      </c>
      <c r="AX15">
        <f t="shared" si="19"/>
        <v>0</v>
      </c>
      <c r="AY15">
        <f t="shared" si="19"/>
        <v>0</v>
      </c>
      <c r="AZ15">
        <f t="shared" si="19"/>
        <v>0</v>
      </c>
      <c r="BA15">
        <f t="shared" si="19"/>
        <v>0</v>
      </c>
      <c r="BB15">
        <f t="shared" si="19"/>
        <v>0</v>
      </c>
      <c r="BC15">
        <f t="shared" si="19"/>
        <v>0</v>
      </c>
      <c r="BD15">
        <f t="shared" si="19"/>
        <v>0</v>
      </c>
      <c r="BE15">
        <f t="shared" si="19"/>
        <v>0</v>
      </c>
      <c r="BF15">
        <f t="shared" si="19"/>
        <v>0</v>
      </c>
      <c r="BG15">
        <f t="shared" si="19"/>
        <v>0</v>
      </c>
      <c r="BH15">
        <f t="shared" si="19"/>
        <v>0</v>
      </c>
      <c r="BI15">
        <f t="shared" si="19"/>
        <v>0</v>
      </c>
      <c r="BJ15">
        <f t="shared" si="19"/>
        <v>0</v>
      </c>
      <c r="BK15">
        <f t="shared" si="19"/>
        <v>0</v>
      </c>
      <c r="BL15">
        <f t="shared" si="19"/>
        <v>0</v>
      </c>
      <c r="BM15">
        <f t="shared" si="19"/>
        <v>0</v>
      </c>
      <c r="BN15">
        <f t="shared" si="19"/>
        <v>0</v>
      </c>
      <c r="BO15">
        <f t="shared" si="19"/>
        <v>0</v>
      </c>
      <c r="BP15">
        <f t="shared" si="19"/>
        <v>0</v>
      </c>
      <c r="BQ15">
        <f t="shared" si="19"/>
        <v>6847266.6500380337</v>
      </c>
      <c r="BR15">
        <f t="shared" si="19"/>
        <v>0</v>
      </c>
      <c r="BS15">
        <f t="shared" si="19"/>
        <v>0</v>
      </c>
      <c r="BT15">
        <f t="shared" si="19"/>
        <v>0</v>
      </c>
      <c r="BU15">
        <f t="shared" si="19"/>
        <v>0</v>
      </c>
      <c r="BV15">
        <f t="shared" si="19"/>
        <v>0</v>
      </c>
      <c r="BW15">
        <f t="shared" ref="BW15:DY15" si="20" xml:space="preserve"> BW$50</f>
        <v>0</v>
      </c>
      <c r="BX15">
        <f t="shared" si="20"/>
        <v>0</v>
      </c>
      <c r="BY15">
        <f t="shared" si="20"/>
        <v>0</v>
      </c>
      <c r="BZ15">
        <f t="shared" si="20"/>
        <v>0</v>
      </c>
      <c r="CA15">
        <f t="shared" si="20"/>
        <v>0</v>
      </c>
      <c r="CB15">
        <f t="shared" si="20"/>
        <v>0</v>
      </c>
      <c r="CC15">
        <f t="shared" si="20"/>
        <v>0</v>
      </c>
      <c r="CD15">
        <f t="shared" si="20"/>
        <v>0</v>
      </c>
      <c r="CE15">
        <f t="shared" si="20"/>
        <v>0</v>
      </c>
      <c r="CF15">
        <f t="shared" si="20"/>
        <v>0</v>
      </c>
      <c r="CG15">
        <f t="shared" si="20"/>
        <v>0</v>
      </c>
      <c r="CH15">
        <f t="shared" si="20"/>
        <v>0</v>
      </c>
      <c r="CI15">
        <f t="shared" si="20"/>
        <v>0</v>
      </c>
      <c r="CJ15">
        <f t="shared" si="20"/>
        <v>0</v>
      </c>
      <c r="CK15">
        <f t="shared" si="20"/>
        <v>4374319.0703451652</v>
      </c>
      <c r="CL15">
        <f t="shared" si="20"/>
        <v>0</v>
      </c>
      <c r="CM15">
        <f t="shared" si="20"/>
        <v>0</v>
      </c>
      <c r="CN15">
        <f t="shared" si="20"/>
        <v>0</v>
      </c>
      <c r="CO15">
        <f t="shared" si="20"/>
        <v>0</v>
      </c>
      <c r="CP15">
        <f t="shared" si="20"/>
        <v>0</v>
      </c>
      <c r="CQ15">
        <f t="shared" si="20"/>
        <v>0</v>
      </c>
      <c r="CR15">
        <f t="shared" si="20"/>
        <v>0</v>
      </c>
      <c r="CS15">
        <f t="shared" si="20"/>
        <v>0</v>
      </c>
      <c r="CT15">
        <f t="shared" si="20"/>
        <v>0</v>
      </c>
      <c r="CU15">
        <f t="shared" si="20"/>
        <v>0</v>
      </c>
      <c r="CV15">
        <f t="shared" si="20"/>
        <v>0</v>
      </c>
      <c r="CW15">
        <f t="shared" si="20"/>
        <v>0</v>
      </c>
      <c r="CX15">
        <f t="shared" si="20"/>
        <v>0</v>
      </c>
      <c r="CY15">
        <f t="shared" si="20"/>
        <v>0</v>
      </c>
      <c r="CZ15">
        <f t="shared" si="20"/>
        <v>0</v>
      </c>
      <c r="DA15">
        <f t="shared" si="20"/>
        <v>0</v>
      </c>
      <c r="DB15">
        <f t="shared" si="20"/>
        <v>0</v>
      </c>
      <c r="DC15">
        <f t="shared" si="20"/>
        <v>0</v>
      </c>
      <c r="DD15">
        <f t="shared" si="20"/>
        <v>0</v>
      </c>
      <c r="DE15">
        <f t="shared" si="20"/>
        <v>0</v>
      </c>
      <c r="DF15">
        <f t="shared" si="20"/>
        <v>0</v>
      </c>
      <c r="DG15">
        <f t="shared" si="20"/>
        <v>0</v>
      </c>
      <c r="DH15">
        <f t="shared" si="20"/>
        <v>0</v>
      </c>
      <c r="DI15">
        <f t="shared" si="20"/>
        <v>0</v>
      </c>
      <c r="DJ15">
        <f t="shared" si="20"/>
        <v>0</v>
      </c>
      <c r="DK15">
        <f t="shared" si="20"/>
        <v>0</v>
      </c>
      <c r="DL15">
        <f t="shared" si="20"/>
        <v>0</v>
      </c>
      <c r="DM15">
        <f t="shared" si="20"/>
        <v>0</v>
      </c>
      <c r="DN15">
        <f t="shared" si="20"/>
        <v>0</v>
      </c>
      <c r="DO15">
        <f t="shared" si="20"/>
        <v>0</v>
      </c>
      <c r="DP15">
        <f t="shared" si="20"/>
        <v>0</v>
      </c>
      <c r="DQ15">
        <f t="shared" si="20"/>
        <v>0</v>
      </c>
      <c r="DR15">
        <f t="shared" si="20"/>
        <v>0</v>
      </c>
      <c r="DS15">
        <f t="shared" si="20"/>
        <v>0</v>
      </c>
      <c r="DT15">
        <f t="shared" si="20"/>
        <v>0</v>
      </c>
      <c r="DU15">
        <f t="shared" si="20"/>
        <v>0</v>
      </c>
      <c r="DV15">
        <f t="shared" si="20"/>
        <v>0</v>
      </c>
      <c r="DW15">
        <f t="shared" si="20"/>
        <v>0</v>
      </c>
      <c r="DX15">
        <f t="shared" si="20"/>
        <v>0</v>
      </c>
      <c r="DY15">
        <f t="shared" si="20"/>
        <v>0</v>
      </c>
    </row>
    <row r="16" spans="1:129">
      <c r="D16" s="60"/>
      <c r="E16" t="str">
        <f>E$74</f>
        <v>Junior Facility interest paid</v>
      </c>
      <c r="F16" s="90"/>
      <c r="G16" t="str">
        <f t="shared" ref="G16:BQ16" si="21">G$74</f>
        <v>USD</v>
      </c>
      <c r="H16">
        <f t="shared" si="21"/>
        <v>-3285000.0000000121</v>
      </c>
      <c r="I16">
        <f t="shared" si="21"/>
        <v>0</v>
      </c>
      <c r="J16">
        <f t="shared" si="21"/>
        <v>-56250</v>
      </c>
      <c r="K16">
        <f t="shared" si="21"/>
        <v>-55747.767857142862</v>
      </c>
      <c r="L16">
        <f t="shared" si="21"/>
        <v>-55245.535714285717</v>
      </c>
      <c r="M16">
        <f t="shared" si="21"/>
        <v>-54743.30357142858</v>
      </c>
      <c r="N16">
        <f t="shared" si="21"/>
        <v>-54241.071428571442</v>
      </c>
      <c r="O16">
        <f t="shared" si="21"/>
        <v>-53738.839285714304</v>
      </c>
      <c r="P16">
        <f t="shared" si="21"/>
        <v>-53236.607142857167</v>
      </c>
      <c r="Q16">
        <f t="shared" si="21"/>
        <v>-52734.375000000022</v>
      </c>
      <c r="R16">
        <f t="shared" si="21"/>
        <v>-52232.142857142884</v>
      </c>
      <c r="S16">
        <f t="shared" si="21"/>
        <v>-51729.910714285747</v>
      </c>
      <c r="T16">
        <f t="shared" si="21"/>
        <v>-51227.678571428609</v>
      </c>
      <c r="U16">
        <f t="shared" si="21"/>
        <v>-50725.446428571471</v>
      </c>
      <c r="V16">
        <f t="shared" si="21"/>
        <v>-50223.214285714326</v>
      </c>
      <c r="W16">
        <f t="shared" si="21"/>
        <v>-49720.982142857189</v>
      </c>
      <c r="X16">
        <f t="shared" si="21"/>
        <v>-49218.750000000051</v>
      </c>
      <c r="Y16">
        <f t="shared" si="21"/>
        <v>-48716.517857142913</v>
      </c>
      <c r="Z16">
        <f t="shared" si="21"/>
        <v>-48214.285714285776</v>
      </c>
      <c r="AA16">
        <f t="shared" si="21"/>
        <v>-47712.053571428631</v>
      </c>
      <c r="AB16">
        <f t="shared" si="21"/>
        <v>-47209.821428571493</v>
      </c>
      <c r="AC16">
        <f t="shared" si="21"/>
        <v>-46707.589285714355</v>
      </c>
      <c r="AD16">
        <f t="shared" si="21"/>
        <v>-46205.357142857218</v>
      </c>
      <c r="AE16">
        <f t="shared" si="21"/>
        <v>-45703.12500000008</v>
      </c>
      <c r="AF16">
        <f t="shared" si="21"/>
        <v>-45200.892857142935</v>
      </c>
      <c r="AG16">
        <f t="shared" si="21"/>
        <v>-44698.660714285797</v>
      </c>
      <c r="AH16">
        <f t="shared" si="21"/>
        <v>-44196.42857142866</v>
      </c>
      <c r="AI16">
        <f t="shared" si="21"/>
        <v>-43694.196428571522</v>
      </c>
      <c r="AJ16">
        <f t="shared" si="21"/>
        <v>-43191.964285714384</v>
      </c>
      <c r="AK16">
        <f t="shared" si="21"/>
        <v>-42689.73214285724</v>
      </c>
      <c r="AL16">
        <f t="shared" si="21"/>
        <v>-45000.000000000109</v>
      </c>
      <c r="AM16">
        <f t="shared" si="21"/>
        <v>-44464.285714285834</v>
      </c>
      <c r="AN16">
        <f t="shared" si="21"/>
        <v>-43928.571428571551</v>
      </c>
      <c r="AO16">
        <f t="shared" si="21"/>
        <v>-43392.857142857269</v>
      </c>
      <c r="AP16">
        <f t="shared" si="21"/>
        <v>-42857.142857142986</v>
      </c>
      <c r="AQ16">
        <f t="shared" si="21"/>
        <v>-42321.428571428703</v>
      </c>
      <c r="AR16">
        <f t="shared" si="21"/>
        <v>-41785.714285714421</v>
      </c>
      <c r="AS16">
        <f t="shared" si="21"/>
        <v>-41250.000000000131</v>
      </c>
      <c r="AT16">
        <f t="shared" si="21"/>
        <v>-40714.285714285841</v>
      </c>
      <c r="AU16">
        <f t="shared" si="21"/>
        <v>-40178.571428571551</v>
      </c>
      <c r="AV16">
        <f t="shared" si="21"/>
        <v>-39642.857142857269</v>
      </c>
      <c r="AW16">
        <f t="shared" si="21"/>
        <v>-39107.142857142979</v>
      </c>
      <c r="AX16">
        <f t="shared" si="21"/>
        <v>-38571.428571428696</v>
      </c>
      <c r="AY16">
        <f t="shared" si="21"/>
        <v>-38035.714285714406</v>
      </c>
      <c r="AZ16">
        <f t="shared" si="21"/>
        <v>-37500.000000000124</v>
      </c>
      <c r="BA16">
        <f t="shared" si="21"/>
        <v>-36964.285714285834</v>
      </c>
      <c r="BB16">
        <f t="shared" si="21"/>
        <v>-36428.571428571551</v>
      </c>
      <c r="BC16">
        <f t="shared" si="21"/>
        <v>-35892.857142857261</v>
      </c>
      <c r="BD16">
        <f t="shared" si="21"/>
        <v>-35357.142857142979</v>
      </c>
      <c r="BE16">
        <f t="shared" si="21"/>
        <v>-34821.428571428689</v>
      </c>
      <c r="BF16">
        <f t="shared" si="21"/>
        <v>-34285.714285714406</v>
      </c>
      <c r="BG16">
        <f t="shared" si="21"/>
        <v>-33750.000000000116</v>
      </c>
      <c r="BH16">
        <f t="shared" si="21"/>
        <v>-33214.285714285834</v>
      </c>
      <c r="BI16">
        <f t="shared" si="21"/>
        <v>-32678.571428571548</v>
      </c>
      <c r="BJ16">
        <f t="shared" si="21"/>
        <v>-32142.857142857261</v>
      </c>
      <c r="BK16">
        <f t="shared" si="21"/>
        <v>-31607.142857142975</v>
      </c>
      <c r="BL16">
        <f t="shared" si="21"/>
        <v>-31071.428571428689</v>
      </c>
      <c r="BM16">
        <f t="shared" si="21"/>
        <v>-30535.714285714403</v>
      </c>
      <c r="BN16">
        <f t="shared" si="21"/>
        <v>-28125.000000000109</v>
      </c>
      <c r="BO16">
        <f t="shared" si="21"/>
        <v>-27622.767857142964</v>
      </c>
      <c r="BP16">
        <f t="shared" si="21"/>
        <v>-27120.535714285823</v>
      </c>
      <c r="BQ16">
        <f t="shared" si="21"/>
        <v>-26618.303571428678</v>
      </c>
      <c r="BR16">
        <f t="shared" ref="BR16:DY16" si="22">BR$74</f>
        <v>-26116.071428571533</v>
      </c>
      <c r="BS16">
        <f t="shared" si="22"/>
        <v>-25613.839285714392</v>
      </c>
      <c r="BT16">
        <f t="shared" si="22"/>
        <v>-25111.607142857247</v>
      </c>
      <c r="BU16">
        <f t="shared" si="22"/>
        <v>-24609.375000000106</v>
      </c>
      <c r="BV16">
        <f t="shared" si="22"/>
        <v>-24107.142857142961</v>
      </c>
      <c r="BW16">
        <f t="shared" si="22"/>
        <v>-23604.910714285816</v>
      </c>
      <c r="BX16">
        <f t="shared" si="22"/>
        <v>-23102.678571428674</v>
      </c>
      <c r="BY16">
        <f t="shared" si="22"/>
        <v>-22600.446428571529</v>
      </c>
      <c r="BZ16">
        <f t="shared" si="22"/>
        <v>-22098.214285714388</v>
      </c>
      <c r="CA16">
        <f t="shared" si="22"/>
        <v>-21595.982142857243</v>
      </c>
      <c r="CB16">
        <f t="shared" si="22"/>
        <v>-21093.750000000098</v>
      </c>
      <c r="CC16">
        <f t="shared" si="22"/>
        <v>-20591.517857142957</v>
      </c>
      <c r="CD16">
        <f t="shared" si="22"/>
        <v>-20089.285714285812</v>
      </c>
      <c r="CE16">
        <f t="shared" si="22"/>
        <v>-19587.053571428671</v>
      </c>
      <c r="CF16">
        <f t="shared" si="22"/>
        <v>-19084.821428571526</v>
      </c>
      <c r="CG16">
        <f t="shared" si="22"/>
        <v>-18582.589285714381</v>
      </c>
      <c r="CH16">
        <f t="shared" si="22"/>
        <v>-18080.35714285724</v>
      </c>
      <c r="CI16">
        <f t="shared" si="22"/>
        <v>-17578.125000000095</v>
      </c>
      <c r="CJ16">
        <f t="shared" si="22"/>
        <v>-17075.892857142953</v>
      </c>
      <c r="CK16">
        <f t="shared" si="22"/>
        <v>-16573.660714285808</v>
      </c>
      <c r="CL16">
        <f t="shared" si="22"/>
        <v>-16071.428571428665</v>
      </c>
      <c r="CM16">
        <f t="shared" si="22"/>
        <v>-15569.196428571522</v>
      </c>
      <c r="CN16">
        <f t="shared" si="22"/>
        <v>-15066.964285714377</v>
      </c>
      <c r="CO16">
        <f t="shared" si="22"/>
        <v>-14564.732142857234</v>
      </c>
      <c r="CP16">
        <f t="shared" si="22"/>
        <v>-16875.000000000109</v>
      </c>
      <c r="CQ16">
        <f t="shared" si="22"/>
        <v>-16272.321428571537</v>
      </c>
      <c r="CR16">
        <f t="shared" si="22"/>
        <v>-15669.642857142964</v>
      </c>
      <c r="CS16">
        <f t="shared" si="22"/>
        <v>-15066.964285714394</v>
      </c>
      <c r="CT16">
        <f t="shared" si="22"/>
        <v>-14464.285714285821</v>
      </c>
      <c r="CU16">
        <f t="shared" si="22"/>
        <v>-13861.607142857249</v>
      </c>
      <c r="CV16">
        <f t="shared" si="22"/>
        <v>-13258.928571428676</v>
      </c>
      <c r="CW16">
        <f t="shared" si="22"/>
        <v>-12656.250000000104</v>
      </c>
      <c r="CX16">
        <f t="shared" si="22"/>
        <v>-12053.571428571533</v>
      </c>
      <c r="CY16">
        <f t="shared" si="22"/>
        <v>-11450.892857142961</v>
      </c>
      <c r="CZ16">
        <f t="shared" si="22"/>
        <v>-10848.21428571439</v>
      </c>
      <c r="DA16">
        <f t="shared" si="22"/>
        <v>-10245.535714285819</v>
      </c>
      <c r="DB16">
        <f t="shared" si="22"/>
        <v>-9642.8571428572486</v>
      </c>
      <c r="DC16">
        <f t="shared" si="22"/>
        <v>-9040.178571428678</v>
      </c>
      <c r="DD16">
        <f t="shared" si="22"/>
        <v>-8437.5000000001073</v>
      </c>
      <c r="DE16">
        <f t="shared" si="22"/>
        <v>-7834.8214285715367</v>
      </c>
      <c r="DF16">
        <f t="shared" si="22"/>
        <v>-7232.1428571429651</v>
      </c>
      <c r="DG16">
        <f t="shared" si="22"/>
        <v>-6629.4642857143945</v>
      </c>
      <c r="DH16">
        <f t="shared" si="22"/>
        <v>-6026.7857142858238</v>
      </c>
      <c r="DI16">
        <f t="shared" si="22"/>
        <v>-5424.1071428572523</v>
      </c>
      <c r="DJ16">
        <f t="shared" si="22"/>
        <v>-4821.4285714286807</v>
      </c>
      <c r="DK16">
        <f t="shared" si="22"/>
        <v>-4218.7500000001091</v>
      </c>
      <c r="DL16">
        <f t="shared" si="22"/>
        <v>-3616.0714285715376</v>
      </c>
      <c r="DM16">
        <f t="shared" si="22"/>
        <v>-3013.392857142966</v>
      </c>
      <c r="DN16">
        <f t="shared" si="22"/>
        <v>-2410.7142857143949</v>
      </c>
      <c r="DO16">
        <f t="shared" si="22"/>
        <v>-1808.0357142858231</v>
      </c>
      <c r="DP16">
        <f t="shared" si="22"/>
        <v>-1205.3571428572518</v>
      </c>
      <c r="DQ16">
        <f t="shared" si="22"/>
        <v>-602.67857142868024</v>
      </c>
      <c r="DR16">
        <f t="shared" si="22"/>
        <v>0</v>
      </c>
      <c r="DS16">
        <f t="shared" si="22"/>
        <v>0</v>
      </c>
      <c r="DT16">
        <f t="shared" si="22"/>
        <v>0</v>
      </c>
      <c r="DU16">
        <f t="shared" si="22"/>
        <v>0</v>
      </c>
      <c r="DV16">
        <f t="shared" si="22"/>
        <v>0</v>
      </c>
      <c r="DW16">
        <f t="shared" si="22"/>
        <v>0</v>
      </c>
      <c r="DX16">
        <f t="shared" si="22"/>
        <v>0</v>
      </c>
      <c r="DY16">
        <f t="shared" si="22"/>
        <v>0</v>
      </c>
    </row>
    <row r="17" spans="1:129">
      <c r="D17" s="60"/>
      <c r="E17" t="str">
        <f t="shared" ref="E17:H17" si="23" xml:space="preserve"> E75</f>
        <v>Junior Facility scheduled principal repayment</v>
      </c>
      <c r="G17" t="str">
        <f t="shared" si="23"/>
        <v>USD</v>
      </c>
      <c r="H17">
        <f t="shared" si="23"/>
        <v>2999999.9999999949</v>
      </c>
      <c r="J17">
        <f xml:space="preserve"> J75</f>
        <v>-26785.714285714286</v>
      </c>
      <c r="K17">
        <f t="shared" ref="K17:BV17" si="24" xml:space="preserve"> K75</f>
        <v>-26785.714285714286</v>
      </c>
      <c r="L17">
        <f t="shared" si="24"/>
        <v>-26785.714285714286</v>
      </c>
      <c r="M17">
        <f t="shared" si="24"/>
        <v>-26785.714285714286</v>
      </c>
      <c r="N17">
        <f t="shared" si="24"/>
        <v>-26785.714285714286</v>
      </c>
      <c r="O17">
        <f t="shared" si="24"/>
        <v>-26785.714285714286</v>
      </c>
      <c r="P17">
        <f t="shared" si="24"/>
        <v>-26785.714285714286</v>
      </c>
      <c r="Q17">
        <f t="shared" si="24"/>
        <v>-26785.714285714286</v>
      </c>
      <c r="R17">
        <f t="shared" si="24"/>
        <v>-26785.714285714286</v>
      </c>
      <c r="S17">
        <f t="shared" si="24"/>
        <v>-26785.714285714286</v>
      </c>
      <c r="T17">
        <f t="shared" si="24"/>
        <v>-26785.714285714286</v>
      </c>
      <c r="U17">
        <f t="shared" si="24"/>
        <v>-26785.714285714286</v>
      </c>
      <c r="V17">
        <f t="shared" si="24"/>
        <v>-26785.714285714286</v>
      </c>
      <c r="W17">
        <f t="shared" si="24"/>
        <v>-26785.714285714286</v>
      </c>
      <c r="X17">
        <f t="shared" si="24"/>
        <v>-26785.714285714286</v>
      </c>
      <c r="Y17">
        <f t="shared" si="24"/>
        <v>-26785.714285714286</v>
      </c>
      <c r="Z17">
        <f t="shared" si="24"/>
        <v>-26785.714285714286</v>
      </c>
      <c r="AA17">
        <f t="shared" si="24"/>
        <v>-26785.714285714286</v>
      </c>
      <c r="AB17">
        <f t="shared" si="24"/>
        <v>-26785.714285714286</v>
      </c>
      <c r="AC17">
        <f t="shared" si="24"/>
        <v>-26785.714285714286</v>
      </c>
      <c r="AD17">
        <f t="shared" si="24"/>
        <v>-26785.714285714286</v>
      </c>
      <c r="AE17">
        <f t="shared" si="24"/>
        <v>-26785.714285714286</v>
      </c>
      <c r="AF17">
        <f t="shared" si="24"/>
        <v>-26785.714285714286</v>
      </c>
      <c r="AG17">
        <f t="shared" si="24"/>
        <v>-26785.714285714286</v>
      </c>
      <c r="AH17">
        <f t="shared" si="24"/>
        <v>-26785.714285714286</v>
      </c>
      <c r="AI17">
        <f t="shared" si="24"/>
        <v>-26785.714285714286</v>
      </c>
      <c r="AJ17">
        <f t="shared" si="24"/>
        <v>-26785.714285714286</v>
      </c>
      <c r="AK17">
        <f t="shared" si="24"/>
        <v>-26785.714285714286</v>
      </c>
      <c r="AL17">
        <f t="shared" si="24"/>
        <v>-26785.714285714286</v>
      </c>
      <c r="AM17">
        <f t="shared" si="24"/>
        <v>-26785.714285714286</v>
      </c>
      <c r="AN17">
        <f t="shared" si="24"/>
        <v>-26785.714285714286</v>
      </c>
      <c r="AO17">
        <f t="shared" si="24"/>
        <v>-26785.714285714286</v>
      </c>
      <c r="AP17">
        <f t="shared" si="24"/>
        <v>-26785.714285714286</v>
      </c>
      <c r="AQ17">
        <f t="shared" si="24"/>
        <v>-26785.714285714286</v>
      </c>
      <c r="AR17">
        <f t="shared" si="24"/>
        <v>-26785.714285714286</v>
      </c>
      <c r="AS17">
        <f t="shared" si="24"/>
        <v>-26785.714285714286</v>
      </c>
      <c r="AT17">
        <f t="shared" si="24"/>
        <v>-26785.714285714286</v>
      </c>
      <c r="AU17">
        <f t="shared" si="24"/>
        <v>-26785.714285714286</v>
      </c>
      <c r="AV17">
        <f t="shared" si="24"/>
        <v>-26785.714285714286</v>
      </c>
      <c r="AW17">
        <f t="shared" si="24"/>
        <v>-26785.714285714286</v>
      </c>
      <c r="AX17">
        <f t="shared" si="24"/>
        <v>-26785.714285714286</v>
      </c>
      <c r="AY17">
        <f t="shared" si="24"/>
        <v>-26785.714285714286</v>
      </c>
      <c r="AZ17">
        <f t="shared" si="24"/>
        <v>-26785.714285714286</v>
      </c>
      <c r="BA17">
        <f t="shared" si="24"/>
        <v>-26785.714285714286</v>
      </c>
      <c r="BB17">
        <f t="shared" si="24"/>
        <v>-26785.714285714286</v>
      </c>
      <c r="BC17">
        <f t="shared" si="24"/>
        <v>-26785.714285714286</v>
      </c>
      <c r="BD17">
        <f t="shared" si="24"/>
        <v>-26785.714285714286</v>
      </c>
      <c r="BE17">
        <f t="shared" si="24"/>
        <v>-26785.714285714286</v>
      </c>
      <c r="BF17">
        <f t="shared" si="24"/>
        <v>-26785.714285714286</v>
      </c>
      <c r="BG17">
        <f t="shared" si="24"/>
        <v>-26785.714285714286</v>
      </c>
      <c r="BH17">
        <f t="shared" si="24"/>
        <v>-26785.714285714286</v>
      </c>
      <c r="BI17">
        <f t="shared" si="24"/>
        <v>-26785.714285714286</v>
      </c>
      <c r="BJ17">
        <f t="shared" si="24"/>
        <v>-26785.714285714286</v>
      </c>
      <c r="BK17">
        <f t="shared" si="24"/>
        <v>-26785.714285714286</v>
      </c>
      <c r="BL17">
        <f t="shared" si="24"/>
        <v>-26785.714285714286</v>
      </c>
      <c r="BM17">
        <f t="shared" si="24"/>
        <v>-26785.714285714286</v>
      </c>
      <c r="BN17">
        <f t="shared" si="24"/>
        <v>-26785.714285714286</v>
      </c>
      <c r="BO17">
        <f t="shared" si="24"/>
        <v>-26785.714285714286</v>
      </c>
      <c r="BP17">
        <f t="shared" si="24"/>
        <v>-26785.714285714286</v>
      </c>
      <c r="BQ17">
        <f t="shared" si="24"/>
        <v>-26785.714285714286</v>
      </c>
      <c r="BR17">
        <f t="shared" si="24"/>
        <v>-26785.714285714286</v>
      </c>
      <c r="BS17">
        <f t="shared" si="24"/>
        <v>-26785.714285714286</v>
      </c>
      <c r="BT17">
        <f t="shared" si="24"/>
        <v>-26785.714285714286</v>
      </c>
      <c r="BU17">
        <f t="shared" si="24"/>
        <v>-26785.714285714286</v>
      </c>
      <c r="BV17">
        <f t="shared" si="24"/>
        <v>-26785.714285714286</v>
      </c>
      <c r="BW17">
        <f t="shared" ref="BW17:DY17" si="25" xml:space="preserve"> BW75</f>
        <v>-26785.714285714286</v>
      </c>
      <c r="BX17">
        <f t="shared" si="25"/>
        <v>-26785.714285714286</v>
      </c>
      <c r="BY17">
        <f t="shared" si="25"/>
        <v>-26785.714285714286</v>
      </c>
      <c r="BZ17">
        <f t="shared" si="25"/>
        <v>-26785.714285714286</v>
      </c>
      <c r="CA17">
        <f t="shared" si="25"/>
        <v>-26785.714285714286</v>
      </c>
      <c r="CB17">
        <f t="shared" si="25"/>
        <v>-26785.714285714286</v>
      </c>
      <c r="CC17">
        <f t="shared" si="25"/>
        <v>-26785.714285714286</v>
      </c>
      <c r="CD17">
        <f t="shared" si="25"/>
        <v>-26785.714285714286</v>
      </c>
      <c r="CE17">
        <f t="shared" si="25"/>
        <v>-26785.714285714286</v>
      </c>
      <c r="CF17">
        <f t="shared" si="25"/>
        <v>-26785.714285714286</v>
      </c>
      <c r="CG17">
        <f t="shared" si="25"/>
        <v>-26785.714285714286</v>
      </c>
      <c r="CH17">
        <f t="shared" si="25"/>
        <v>-26785.714285714286</v>
      </c>
      <c r="CI17">
        <f t="shared" si="25"/>
        <v>-26785.714285714286</v>
      </c>
      <c r="CJ17">
        <f t="shared" si="25"/>
        <v>-26785.714285714286</v>
      </c>
      <c r="CK17">
        <f t="shared" si="25"/>
        <v>-26785.714285714286</v>
      </c>
      <c r="CL17">
        <f t="shared" si="25"/>
        <v>-26785.714285714286</v>
      </c>
      <c r="CM17">
        <f t="shared" si="25"/>
        <v>-26785.714285714286</v>
      </c>
      <c r="CN17">
        <f t="shared" si="25"/>
        <v>-26785.714285714286</v>
      </c>
      <c r="CO17">
        <f t="shared" si="25"/>
        <v>-26785.714285714286</v>
      </c>
      <c r="CP17">
        <f t="shared" si="25"/>
        <v>-26785.714285714286</v>
      </c>
      <c r="CQ17">
        <f t="shared" si="25"/>
        <v>-26785.714285714286</v>
      </c>
      <c r="CR17">
        <f t="shared" si="25"/>
        <v>-26785.714285714286</v>
      </c>
      <c r="CS17">
        <f t="shared" si="25"/>
        <v>-26785.714285714286</v>
      </c>
      <c r="CT17">
        <f t="shared" si="25"/>
        <v>-26785.714285714286</v>
      </c>
      <c r="CU17">
        <f t="shared" si="25"/>
        <v>-26785.714285714286</v>
      </c>
      <c r="CV17">
        <f t="shared" si="25"/>
        <v>-26785.714285714286</v>
      </c>
      <c r="CW17">
        <f t="shared" si="25"/>
        <v>-26785.714285714286</v>
      </c>
      <c r="CX17">
        <f t="shared" si="25"/>
        <v>-26785.714285714286</v>
      </c>
      <c r="CY17">
        <f t="shared" si="25"/>
        <v>-26785.714285714286</v>
      </c>
      <c r="CZ17">
        <f t="shared" si="25"/>
        <v>-26785.714285714286</v>
      </c>
      <c r="DA17">
        <f t="shared" si="25"/>
        <v>-26785.714285714286</v>
      </c>
      <c r="DB17">
        <f t="shared" si="25"/>
        <v>-26785.714285714286</v>
      </c>
      <c r="DC17">
        <f t="shared" si="25"/>
        <v>-26785.714285714286</v>
      </c>
      <c r="DD17">
        <f t="shared" si="25"/>
        <v>-26785.714285714286</v>
      </c>
      <c r="DE17">
        <f t="shared" si="25"/>
        <v>-26785.714285714286</v>
      </c>
      <c r="DF17">
        <f t="shared" si="25"/>
        <v>-26785.714285714286</v>
      </c>
      <c r="DG17">
        <f t="shared" si="25"/>
        <v>-26785.714285714286</v>
      </c>
      <c r="DH17">
        <f t="shared" si="25"/>
        <v>-26785.714285714286</v>
      </c>
      <c r="DI17">
        <f t="shared" si="25"/>
        <v>-26785.714285714286</v>
      </c>
      <c r="DJ17">
        <f t="shared" si="25"/>
        <v>-26785.714285714286</v>
      </c>
      <c r="DK17">
        <f t="shared" si="25"/>
        <v>-26785.714285714286</v>
      </c>
      <c r="DL17">
        <f t="shared" si="25"/>
        <v>-26785.714285714286</v>
      </c>
      <c r="DM17">
        <f t="shared" si="25"/>
        <v>-26785.714285714286</v>
      </c>
      <c r="DN17">
        <f t="shared" si="25"/>
        <v>-26785.714285714286</v>
      </c>
      <c r="DO17">
        <f t="shared" si="25"/>
        <v>-26785.714285714286</v>
      </c>
      <c r="DP17">
        <f t="shared" si="25"/>
        <v>-26785.714285714286</v>
      </c>
      <c r="DQ17">
        <f t="shared" si="25"/>
        <v>-26785.714285714286</v>
      </c>
      <c r="DR17">
        <f t="shared" si="25"/>
        <v>0</v>
      </c>
      <c r="DS17">
        <f t="shared" si="25"/>
        <v>0</v>
      </c>
      <c r="DT17">
        <f t="shared" si="25"/>
        <v>0</v>
      </c>
      <c r="DU17">
        <f t="shared" si="25"/>
        <v>0</v>
      </c>
      <c r="DV17">
        <f t="shared" si="25"/>
        <v>0</v>
      </c>
      <c r="DW17">
        <f t="shared" si="25"/>
        <v>0</v>
      </c>
      <c r="DX17">
        <f t="shared" si="25"/>
        <v>0</v>
      </c>
      <c r="DY17">
        <f t="shared" si="25"/>
        <v>0</v>
      </c>
    </row>
    <row r="18" spans="1:129">
      <c r="D18" s="83"/>
      <c r="E18" s="84" t="s">
        <v>74</v>
      </c>
      <c r="F18" s="77">
        <f>CaseData!$G$9</f>
        <v>25000000</v>
      </c>
      <c r="G18" t="s">
        <v>146</v>
      </c>
      <c r="H18" cm="1">
        <f t="array" ref="H18">_xlfn.BYROW( J18:DY18, _xleta.SUM )</f>
        <v>25000000</v>
      </c>
      <c r="J18">
        <f t="shared" ref="J18:AO18" si="26" xml:space="preserve"> $F$18 * ( J$3 = end_date )</f>
        <v>0</v>
      </c>
      <c r="K18">
        <f t="shared" si="26"/>
        <v>0</v>
      </c>
      <c r="L18">
        <f t="shared" si="26"/>
        <v>0</v>
      </c>
      <c r="M18">
        <f t="shared" si="26"/>
        <v>0</v>
      </c>
      <c r="N18">
        <f t="shared" si="26"/>
        <v>0</v>
      </c>
      <c r="O18">
        <f t="shared" si="26"/>
        <v>0</v>
      </c>
      <c r="P18">
        <f t="shared" si="26"/>
        <v>0</v>
      </c>
      <c r="Q18">
        <f t="shared" si="26"/>
        <v>0</v>
      </c>
      <c r="R18">
        <f t="shared" si="26"/>
        <v>0</v>
      </c>
      <c r="S18">
        <f t="shared" si="26"/>
        <v>0</v>
      </c>
      <c r="T18">
        <f t="shared" si="26"/>
        <v>0</v>
      </c>
      <c r="U18">
        <f t="shared" si="26"/>
        <v>0</v>
      </c>
      <c r="V18">
        <f t="shared" si="26"/>
        <v>0</v>
      </c>
      <c r="W18">
        <f t="shared" si="26"/>
        <v>0</v>
      </c>
      <c r="X18">
        <f t="shared" si="26"/>
        <v>0</v>
      </c>
      <c r="Y18">
        <f t="shared" si="26"/>
        <v>0</v>
      </c>
      <c r="Z18">
        <f t="shared" si="26"/>
        <v>0</v>
      </c>
      <c r="AA18">
        <f t="shared" si="26"/>
        <v>0</v>
      </c>
      <c r="AB18">
        <f t="shared" si="26"/>
        <v>0</v>
      </c>
      <c r="AC18">
        <f t="shared" si="26"/>
        <v>0</v>
      </c>
      <c r="AD18">
        <f t="shared" si="26"/>
        <v>0</v>
      </c>
      <c r="AE18">
        <f t="shared" si="26"/>
        <v>0</v>
      </c>
      <c r="AF18">
        <f t="shared" si="26"/>
        <v>0</v>
      </c>
      <c r="AG18">
        <f t="shared" si="26"/>
        <v>0</v>
      </c>
      <c r="AH18">
        <f t="shared" si="26"/>
        <v>0</v>
      </c>
      <c r="AI18">
        <f t="shared" si="26"/>
        <v>0</v>
      </c>
      <c r="AJ18">
        <f t="shared" si="26"/>
        <v>0</v>
      </c>
      <c r="AK18">
        <f t="shared" si="26"/>
        <v>0</v>
      </c>
      <c r="AL18">
        <f t="shared" si="26"/>
        <v>0</v>
      </c>
      <c r="AM18">
        <f t="shared" si="26"/>
        <v>0</v>
      </c>
      <c r="AN18">
        <f t="shared" si="26"/>
        <v>0</v>
      </c>
      <c r="AO18">
        <f t="shared" si="26"/>
        <v>0</v>
      </c>
      <c r="AP18">
        <f t="shared" ref="AP18:BU18" si="27" xml:space="preserve"> $F$18 * ( AP$3 = end_date )</f>
        <v>0</v>
      </c>
      <c r="AQ18">
        <f t="shared" si="27"/>
        <v>0</v>
      </c>
      <c r="AR18">
        <f t="shared" si="27"/>
        <v>0</v>
      </c>
      <c r="AS18">
        <f t="shared" si="27"/>
        <v>0</v>
      </c>
      <c r="AT18">
        <f t="shared" si="27"/>
        <v>0</v>
      </c>
      <c r="AU18">
        <f t="shared" si="27"/>
        <v>0</v>
      </c>
      <c r="AV18">
        <f t="shared" si="27"/>
        <v>0</v>
      </c>
      <c r="AW18">
        <f t="shared" si="27"/>
        <v>0</v>
      </c>
      <c r="AX18">
        <f t="shared" si="27"/>
        <v>0</v>
      </c>
      <c r="AY18">
        <f t="shared" si="27"/>
        <v>0</v>
      </c>
      <c r="AZ18">
        <f t="shared" si="27"/>
        <v>0</v>
      </c>
      <c r="BA18">
        <f t="shared" si="27"/>
        <v>0</v>
      </c>
      <c r="BB18">
        <f t="shared" si="27"/>
        <v>0</v>
      </c>
      <c r="BC18">
        <f t="shared" si="27"/>
        <v>0</v>
      </c>
      <c r="BD18">
        <f t="shared" si="27"/>
        <v>0</v>
      </c>
      <c r="BE18">
        <f t="shared" si="27"/>
        <v>0</v>
      </c>
      <c r="BF18">
        <f t="shared" si="27"/>
        <v>0</v>
      </c>
      <c r="BG18">
        <f t="shared" si="27"/>
        <v>0</v>
      </c>
      <c r="BH18">
        <f t="shared" si="27"/>
        <v>0</v>
      </c>
      <c r="BI18">
        <f t="shared" si="27"/>
        <v>0</v>
      </c>
      <c r="BJ18">
        <f t="shared" si="27"/>
        <v>0</v>
      </c>
      <c r="BK18">
        <f t="shared" si="27"/>
        <v>0</v>
      </c>
      <c r="BL18">
        <f t="shared" si="27"/>
        <v>0</v>
      </c>
      <c r="BM18">
        <f t="shared" si="27"/>
        <v>0</v>
      </c>
      <c r="BN18">
        <f t="shared" si="27"/>
        <v>0</v>
      </c>
      <c r="BO18">
        <f t="shared" si="27"/>
        <v>0</v>
      </c>
      <c r="BP18">
        <f t="shared" si="27"/>
        <v>0</v>
      </c>
      <c r="BQ18">
        <f t="shared" si="27"/>
        <v>0</v>
      </c>
      <c r="BR18">
        <f t="shared" si="27"/>
        <v>0</v>
      </c>
      <c r="BS18">
        <f t="shared" si="27"/>
        <v>0</v>
      </c>
      <c r="BT18">
        <f t="shared" si="27"/>
        <v>0</v>
      </c>
      <c r="BU18">
        <f t="shared" si="27"/>
        <v>0</v>
      </c>
      <c r="BV18">
        <f t="shared" ref="BV18:DA18" si="28" xml:space="preserve"> $F$18 * ( BV$3 = end_date )</f>
        <v>0</v>
      </c>
      <c r="BW18">
        <f t="shared" si="28"/>
        <v>0</v>
      </c>
      <c r="BX18">
        <f t="shared" si="28"/>
        <v>0</v>
      </c>
      <c r="BY18">
        <f t="shared" si="28"/>
        <v>0</v>
      </c>
      <c r="BZ18">
        <f t="shared" si="28"/>
        <v>0</v>
      </c>
      <c r="CA18">
        <f t="shared" si="28"/>
        <v>0</v>
      </c>
      <c r="CB18">
        <f t="shared" si="28"/>
        <v>0</v>
      </c>
      <c r="CC18">
        <f t="shared" si="28"/>
        <v>0</v>
      </c>
      <c r="CD18">
        <f t="shared" si="28"/>
        <v>0</v>
      </c>
      <c r="CE18">
        <f t="shared" si="28"/>
        <v>0</v>
      </c>
      <c r="CF18">
        <f t="shared" si="28"/>
        <v>0</v>
      </c>
      <c r="CG18">
        <f t="shared" si="28"/>
        <v>0</v>
      </c>
      <c r="CH18">
        <f t="shared" si="28"/>
        <v>0</v>
      </c>
      <c r="CI18">
        <f t="shared" si="28"/>
        <v>0</v>
      </c>
      <c r="CJ18">
        <f t="shared" si="28"/>
        <v>0</v>
      </c>
      <c r="CK18">
        <f t="shared" si="28"/>
        <v>0</v>
      </c>
      <c r="CL18">
        <f t="shared" si="28"/>
        <v>0</v>
      </c>
      <c r="CM18">
        <f t="shared" si="28"/>
        <v>0</v>
      </c>
      <c r="CN18">
        <f t="shared" si="28"/>
        <v>0</v>
      </c>
      <c r="CO18">
        <f t="shared" si="28"/>
        <v>0</v>
      </c>
      <c r="CP18">
        <f t="shared" si="28"/>
        <v>0</v>
      </c>
      <c r="CQ18">
        <f t="shared" si="28"/>
        <v>0</v>
      </c>
      <c r="CR18">
        <f t="shared" si="28"/>
        <v>0</v>
      </c>
      <c r="CS18">
        <f t="shared" si="28"/>
        <v>0</v>
      </c>
      <c r="CT18">
        <f t="shared" si="28"/>
        <v>0</v>
      </c>
      <c r="CU18">
        <f t="shared" si="28"/>
        <v>0</v>
      </c>
      <c r="CV18">
        <f t="shared" si="28"/>
        <v>0</v>
      </c>
      <c r="CW18">
        <f t="shared" si="28"/>
        <v>0</v>
      </c>
      <c r="CX18">
        <f t="shared" si="28"/>
        <v>0</v>
      </c>
      <c r="CY18">
        <f t="shared" si="28"/>
        <v>0</v>
      </c>
      <c r="CZ18">
        <f t="shared" si="28"/>
        <v>0</v>
      </c>
      <c r="DA18">
        <f t="shared" si="28"/>
        <v>0</v>
      </c>
      <c r="DB18">
        <f t="shared" ref="DB18:DY18" si="29" xml:space="preserve"> $F$18 * ( DB$3 = end_date )</f>
        <v>0</v>
      </c>
      <c r="DC18">
        <f t="shared" si="29"/>
        <v>0</v>
      </c>
      <c r="DD18">
        <f t="shared" si="29"/>
        <v>0</v>
      </c>
      <c r="DE18">
        <f t="shared" si="29"/>
        <v>0</v>
      </c>
      <c r="DF18">
        <f t="shared" si="29"/>
        <v>0</v>
      </c>
      <c r="DG18">
        <f t="shared" si="29"/>
        <v>0</v>
      </c>
      <c r="DH18">
        <f t="shared" si="29"/>
        <v>0</v>
      </c>
      <c r="DI18">
        <f t="shared" si="29"/>
        <v>0</v>
      </c>
      <c r="DJ18">
        <f t="shared" si="29"/>
        <v>0</v>
      </c>
      <c r="DK18">
        <f t="shared" si="29"/>
        <v>0</v>
      </c>
      <c r="DL18">
        <f t="shared" si="29"/>
        <v>0</v>
      </c>
      <c r="DM18">
        <f t="shared" si="29"/>
        <v>0</v>
      </c>
      <c r="DN18">
        <f t="shared" si="29"/>
        <v>0</v>
      </c>
      <c r="DO18">
        <f t="shared" si="29"/>
        <v>0</v>
      </c>
      <c r="DP18">
        <f t="shared" si="29"/>
        <v>0</v>
      </c>
      <c r="DQ18">
        <f t="shared" si="29"/>
        <v>0</v>
      </c>
      <c r="DR18">
        <f t="shared" si="29"/>
        <v>0</v>
      </c>
      <c r="DS18">
        <f t="shared" si="29"/>
        <v>0</v>
      </c>
      <c r="DT18">
        <f t="shared" si="29"/>
        <v>0</v>
      </c>
      <c r="DU18">
        <f t="shared" si="29"/>
        <v>0</v>
      </c>
      <c r="DV18">
        <f t="shared" si="29"/>
        <v>0</v>
      </c>
      <c r="DW18">
        <f t="shared" si="29"/>
        <v>0</v>
      </c>
      <c r="DX18">
        <f t="shared" si="29"/>
        <v>0</v>
      </c>
      <c r="DY18">
        <f t="shared" si="29"/>
        <v>25000000</v>
      </c>
    </row>
    <row r="19" spans="1:129">
      <c r="E19" s="78" t="s">
        <v>75</v>
      </c>
      <c r="F19" s="78">
        <f>SUM(F7:F18)</f>
        <v>25000000</v>
      </c>
      <c r="G19" s="78" t="s">
        <v>146</v>
      </c>
      <c r="H19" s="78"/>
      <c r="I19" s="78"/>
      <c r="J19" s="78" cm="1">
        <f t="array" ref="J19:DY19">_xlfn.BYCOL( J7:DY18, _xleta.SUM )</f>
        <v>91221.498072274233</v>
      </c>
      <c r="K19" s="78">
        <v>91723.730215131363</v>
      </c>
      <c r="L19" s="78">
        <v>92225.962357988523</v>
      </c>
      <c r="M19" s="78">
        <v>92728.194500845653</v>
      </c>
      <c r="N19" s="78">
        <v>93230.426643702784</v>
      </c>
      <c r="O19" s="78">
        <v>93732.658786559958</v>
      </c>
      <c r="P19" s="78">
        <v>94234.890929417103</v>
      </c>
      <c r="Q19" s="78">
        <v>94737.123072274233</v>
      </c>
      <c r="R19" s="78">
        <v>95239.355215131349</v>
      </c>
      <c r="S19" s="78">
        <v>95741.587357988523</v>
      </c>
      <c r="T19" s="78">
        <v>96243.819500845624</v>
      </c>
      <c r="U19" s="78">
        <v>96746.051643702755</v>
      </c>
      <c r="V19" s="78">
        <v>97248.283786559885</v>
      </c>
      <c r="W19" s="78">
        <v>97750.515929417044</v>
      </c>
      <c r="X19" s="78">
        <v>98252.748072274175</v>
      </c>
      <c r="Y19" s="78">
        <v>98754.980215131262</v>
      </c>
      <c r="Z19" s="78">
        <v>99257.212357988465</v>
      </c>
      <c r="AA19" s="78">
        <v>99759.444500845566</v>
      </c>
      <c r="AB19" s="78">
        <v>100261.67664370274</v>
      </c>
      <c r="AC19" s="78">
        <v>763630.76357052894</v>
      </c>
      <c r="AD19" s="78">
        <v>116202.47341724468</v>
      </c>
      <c r="AE19" s="78">
        <v>116704.70556010184</v>
      </c>
      <c r="AF19" s="78">
        <v>117206.937702959</v>
      </c>
      <c r="AG19" s="78">
        <v>117709.16984581613</v>
      </c>
      <c r="AH19" s="78">
        <v>118211.40198867329</v>
      </c>
      <c r="AI19" s="78">
        <v>118713.63413153039</v>
      </c>
      <c r="AJ19" s="78">
        <v>119215.86627438755</v>
      </c>
      <c r="AK19" s="78">
        <v>119718.09841724462</v>
      </c>
      <c r="AL19" s="78">
        <v>117407.83056010181</v>
      </c>
      <c r="AM19" s="78">
        <v>117943.5448458161</v>
      </c>
      <c r="AN19" s="78">
        <v>118479.25913153045</v>
      </c>
      <c r="AO19" s="78">
        <v>119014.97341724465</v>
      </c>
      <c r="AP19" s="78">
        <v>119550.68770295894</v>
      </c>
      <c r="AQ19" s="78">
        <v>120086.40198867329</v>
      </c>
      <c r="AR19" s="78">
        <v>120622.11627438749</v>
      </c>
      <c r="AS19" s="78">
        <v>121157.83056010181</v>
      </c>
      <c r="AT19" s="78">
        <v>121693.54484581613</v>
      </c>
      <c r="AU19" s="78">
        <v>122229.25913153045</v>
      </c>
      <c r="AV19" s="78">
        <v>122764.97341724471</v>
      </c>
      <c r="AW19" s="78">
        <v>744365.16623311862</v>
      </c>
      <c r="AX19" s="78">
        <v>126984.74029685996</v>
      </c>
      <c r="AY19" s="78">
        <v>127520.45458257428</v>
      </c>
      <c r="AZ19" s="78">
        <v>128056.16886828857</v>
      </c>
      <c r="BA19" s="78">
        <v>128591.88315400289</v>
      </c>
      <c r="BB19" s="78">
        <v>129127.59743971718</v>
      </c>
      <c r="BC19" s="78">
        <v>129663.31172543138</v>
      </c>
      <c r="BD19" s="78">
        <v>130199.02601114567</v>
      </c>
      <c r="BE19" s="78">
        <v>130734.74029685996</v>
      </c>
      <c r="BF19" s="78">
        <v>131270.45458257428</v>
      </c>
      <c r="BG19" s="78">
        <v>131806.16886828854</v>
      </c>
      <c r="BH19" s="78">
        <v>132341.88315400283</v>
      </c>
      <c r="BI19" s="78">
        <v>132877.59743971712</v>
      </c>
      <c r="BJ19" s="78">
        <v>133413.31172543138</v>
      </c>
      <c r="BK19" s="78">
        <v>133949.02601114567</v>
      </c>
      <c r="BL19" s="78">
        <v>134484.74029685996</v>
      </c>
      <c r="BM19" s="78">
        <v>135020.45458257422</v>
      </c>
      <c r="BN19" s="78">
        <v>137431.16886828849</v>
      </c>
      <c r="BO19" s="78">
        <v>137933.4010111457</v>
      </c>
      <c r="BP19" s="78">
        <v>138435.63315400283</v>
      </c>
      <c r="BQ19" s="78">
        <v>480912.56803251128</v>
      </c>
      <c r="BR19" s="78">
        <v>176315.95885310235</v>
      </c>
      <c r="BS19" s="78">
        <v>176818.19099595954</v>
      </c>
      <c r="BT19" s="78">
        <v>177320.4231388167</v>
      </c>
      <c r="BU19" s="78">
        <v>177822.6552816738</v>
      </c>
      <c r="BV19" s="78">
        <v>178324.88742453093</v>
      </c>
      <c r="BW19" s="78">
        <v>178827.11956738806</v>
      </c>
      <c r="BX19" s="78">
        <v>179329.35171024519</v>
      </c>
      <c r="BY19" s="78">
        <v>179831.58385310238</v>
      </c>
      <c r="BZ19" s="78">
        <v>180333.81599595957</v>
      </c>
      <c r="CA19" s="78">
        <v>180836.0481388167</v>
      </c>
      <c r="CB19" s="78">
        <v>181338.28028167388</v>
      </c>
      <c r="CC19" s="78">
        <v>181840.51242453099</v>
      </c>
      <c r="CD19" s="78">
        <v>182342.74456738817</v>
      </c>
      <c r="CE19" s="78">
        <v>182844.97671024528</v>
      </c>
      <c r="CF19" s="78">
        <v>183347.20885310235</v>
      </c>
      <c r="CG19" s="78">
        <v>183849.44099595957</v>
      </c>
      <c r="CH19" s="78">
        <v>184351.6731388167</v>
      </c>
      <c r="CI19" s="78">
        <v>184853.90528167383</v>
      </c>
      <c r="CJ19" s="78">
        <v>185356.13742453099</v>
      </c>
      <c r="CK19" s="78">
        <v>674560.72972667206</v>
      </c>
      <c r="CL19" s="78">
        <v>206081.73193998361</v>
      </c>
      <c r="CM19" s="78">
        <v>206583.9640828408</v>
      </c>
      <c r="CN19" s="78">
        <v>207086.19622569796</v>
      </c>
      <c r="CO19" s="78">
        <v>207588.42836855512</v>
      </c>
      <c r="CP19" s="78">
        <v>205278.16051141222</v>
      </c>
      <c r="CQ19" s="78">
        <v>205880.83908284083</v>
      </c>
      <c r="CR19" s="78">
        <v>206483.51765426944</v>
      </c>
      <c r="CS19" s="78">
        <v>207086.19622569793</v>
      </c>
      <c r="CT19" s="78">
        <v>207688.87479712657</v>
      </c>
      <c r="CU19" s="78">
        <v>208291.55336855521</v>
      </c>
      <c r="CV19" s="78">
        <v>208894.23193998373</v>
      </c>
      <c r="CW19" s="78">
        <v>209496.91051141225</v>
      </c>
      <c r="CX19" s="78">
        <v>210099.58908284086</v>
      </c>
      <c r="CY19" s="78">
        <v>210702.26765426944</v>
      </c>
      <c r="CZ19" s="78">
        <v>211304.94622569799</v>
      </c>
      <c r="DA19" s="78">
        <v>211907.62479712663</v>
      </c>
      <c r="DB19" s="78">
        <v>212510.30336855521</v>
      </c>
      <c r="DC19" s="78">
        <v>213112.98193998379</v>
      </c>
      <c r="DD19" s="78">
        <v>213715.66051141237</v>
      </c>
      <c r="DE19" s="78">
        <v>214318.33908284092</v>
      </c>
      <c r="DF19" s="78">
        <v>465982.14285714278</v>
      </c>
      <c r="DG19" s="78">
        <v>466584.82142857136</v>
      </c>
      <c r="DH19" s="78">
        <v>467187.49999999994</v>
      </c>
      <c r="DI19" s="78">
        <v>467790.17857142846</v>
      </c>
      <c r="DJ19" s="78">
        <v>468392.85714285704</v>
      </c>
      <c r="DK19" s="78">
        <v>468995.53571428562</v>
      </c>
      <c r="DL19" s="78">
        <v>469598.2142857142</v>
      </c>
      <c r="DM19" s="78">
        <v>470200.89285714278</v>
      </c>
      <c r="DN19" s="78">
        <v>470803.57142857136</v>
      </c>
      <c r="DO19" s="78">
        <v>471406.24999999994</v>
      </c>
      <c r="DP19" s="78">
        <v>472008.92857142846</v>
      </c>
      <c r="DQ19" s="78">
        <v>472611.60714285704</v>
      </c>
      <c r="DR19" s="78">
        <v>500000</v>
      </c>
      <c r="DS19" s="78">
        <v>500000</v>
      </c>
      <c r="DT19" s="78">
        <v>500000</v>
      </c>
      <c r="DU19" s="78">
        <v>500000</v>
      </c>
      <c r="DV19" s="78">
        <v>500000</v>
      </c>
      <c r="DW19" s="78">
        <v>500000</v>
      </c>
      <c r="DX19" s="78">
        <v>500000</v>
      </c>
      <c r="DY19" s="78">
        <v>25500000</v>
      </c>
    </row>
    <row r="20" spans="1:129">
      <c r="E20" t="s">
        <v>76</v>
      </c>
      <c r="G20" s="79" t="s">
        <v>146</v>
      </c>
      <c r="J20">
        <f xml:space="preserve"> J$19 * - 1</f>
        <v>-91221.498072274233</v>
      </c>
      <c r="K20">
        <f t="shared" ref="K20:BV20" si="30" xml:space="preserve"> K$19 * - 1</f>
        <v>-91723.730215131363</v>
      </c>
      <c r="L20">
        <f t="shared" si="30"/>
        <v>-92225.962357988523</v>
      </c>
      <c r="M20">
        <f t="shared" si="30"/>
        <v>-92728.194500845653</v>
      </c>
      <c r="N20">
        <f t="shared" si="30"/>
        <v>-93230.426643702784</v>
      </c>
      <c r="O20">
        <f t="shared" si="30"/>
        <v>-93732.658786559958</v>
      </c>
      <c r="P20">
        <f t="shared" si="30"/>
        <v>-94234.890929417103</v>
      </c>
      <c r="Q20">
        <f t="shared" si="30"/>
        <v>-94737.123072274233</v>
      </c>
      <c r="R20">
        <f t="shared" si="30"/>
        <v>-95239.355215131349</v>
      </c>
      <c r="S20">
        <f t="shared" si="30"/>
        <v>-95741.587357988523</v>
      </c>
      <c r="T20">
        <f t="shared" si="30"/>
        <v>-96243.819500845624</v>
      </c>
      <c r="U20">
        <f t="shared" si="30"/>
        <v>-96746.051643702755</v>
      </c>
      <c r="V20">
        <f t="shared" si="30"/>
        <v>-97248.283786559885</v>
      </c>
      <c r="W20">
        <f t="shared" si="30"/>
        <v>-97750.515929417044</v>
      </c>
      <c r="X20">
        <f t="shared" si="30"/>
        <v>-98252.748072274175</v>
      </c>
      <c r="Y20">
        <f t="shared" si="30"/>
        <v>-98754.980215131262</v>
      </c>
      <c r="Z20">
        <f t="shared" si="30"/>
        <v>-99257.212357988465</v>
      </c>
      <c r="AA20">
        <f t="shared" si="30"/>
        <v>-99759.444500845566</v>
      </c>
      <c r="AB20">
        <f t="shared" si="30"/>
        <v>-100261.67664370274</v>
      </c>
      <c r="AC20">
        <f t="shared" si="30"/>
        <v>-763630.76357052894</v>
      </c>
      <c r="AD20">
        <f t="shared" si="30"/>
        <v>-116202.47341724468</v>
      </c>
      <c r="AE20">
        <f t="shared" si="30"/>
        <v>-116704.70556010184</v>
      </c>
      <c r="AF20">
        <f t="shared" si="30"/>
        <v>-117206.937702959</v>
      </c>
      <c r="AG20">
        <f t="shared" si="30"/>
        <v>-117709.16984581613</v>
      </c>
      <c r="AH20">
        <f t="shared" si="30"/>
        <v>-118211.40198867329</v>
      </c>
      <c r="AI20">
        <f t="shared" si="30"/>
        <v>-118713.63413153039</v>
      </c>
      <c r="AJ20">
        <f t="shared" si="30"/>
        <v>-119215.86627438755</v>
      </c>
      <c r="AK20">
        <f t="shared" si="30"/>
        <v>-119718.09841724462</v>
      </c>
      <c r="AL20">
        <f t="shared" si="30"/>
        <v>-117407.83056010181</v>
      </c>
      <c r="AM20">
        <f t="shared" si="30"/>
        <v>-117943.5448458161</v>
      </c>
      <c r="AN20">
        <f t="shared" si="30"/>
        <v>-118479.25913153045</v>
      </c>
      <c r="AO20">
        <f t="shared" si="30"/>
        <v>-119014.97341724465</v>
      </c>
      <c r="AP20">
        <f t="shared" si="30"/>
        <v>-119550.68770295894</v>
      </c>
      <c r="AQ20">
        <f t="shared" si="30"/>
        <v>-120086.40198867329</v>
      </c>
      <c r="AR20">
        <f t="shared" si="30"/>
        <v>-120622.11627438749</v>
      </c>
      <c r="AS20">
        <f t="shared" si="30"/>
        <v>-121157.83056010181</v>
      </c>
      <c r="AT20">
        <f t="shared" si="30"/>
        <v>-121693.54484581613</v>
      </c>
      <c r="AU20">
        <f t="shared" si="30"/>
        <v>-122229.25913153045</v>
      </c>
      <c r="AV20">
        <f t="shared" si="30"/>
        <v>-122764.97341724471</v>
      </c>
      <c r="AW20">
        <f t="shared" si="30"/>
        <v>-744365.16623311862</v>
      </c>
      <c r="AX20">
        <f t="shared" si="30"/>
        <v>-126984.74029685996</v>
      </c>
      <c r="AY20">
        <f t="shared" si="30"/>
        <v>-127520.45458257428</v>
      </c>
      <c r="AZ20">
        <f t="shared" si="30"/>
        <v>-128056.16886828857</v>
      </c>
      <c r="BA20">
        <f t="shared" si="30"/>
        <v>-128591.88315400289</v>
      </c>
      <c r="BB20">
        <f t="shared" si="30"/>
        <v>-129127.59743971718</v>
      </c>
      <c r="BC20">
        <f t="shared" si="30"/>
        <v>-129663.31172543138</v>
      </c>
      <c r="BD20">
        <f t="shared" si="30"/>
        <v>-130199.02601114567</v>
      </c>
      <c r="BE20">
        <f t="shared" si="30"/>
        <v>-130734.74029685996</v>
      </c>
      <c r="BF20">
        <f t="shared" si="30"/>
        <v>-131270.45458257428</v>
      </c>
      <c r="BG20">
        <f t="shared" si="30"/>
        <v>-131806.16886828854</v>
      </c>
      <c r="BH20">
        <f t="shared" si="30"/>
        <v>-132341.88315400283</v>
      </c>
      <c r="BI20">
        <f t="shared" si="30"/>
        <v>-132877.59743971712</v>
      </c>
      <c r="BJ20">
        <f t="shared" si="30"/>
        <v>-133413.31172543138</v>
      </c>
      <c r="BK20">
        <f t="shared" si="30"/>
        <v>-133949.02601114567</v>
      </c>
      <c r="BL20">
        <f t="shared" si="30"/>
        <v>-134484.74029685996</v>
      </c>
      <c r="BM20">
        <f t="shared" si="30"/>
        <v>-135020.45458257422</v>
      </c>
      <c r="BN20">
        <f t="shared" si="30"/>
        <v>-137431.16886828849</v>
      </c>
      <c r="BO20">
        <f t="shared" si="30"/>
        <v>-137933.4010111457</v>
      </c>
      <c r="BP20">
        <f t="shared" si="30"/>
        <v>-138435.63315400283</v>
      </c>
      <c r="BQ20">
        <f t="shared" si="30"/>
        <v>-480912.56803251128</v>
      </c>
      <c r="BR20">
        <f t="shared" si="30"/>
        <v>-176315.95885310235</v>
      </c>
      <c r="BS20">
        <f t="shared" si="30"/>
        <v>-176818.19099595954</v>
      </c>
      <c r="BT20">
        <f t="shared" si="30"/>
        <v>-177320.4231388167</v>
      </c>
      <c r="BU20">
        <f t="shared" si="30"/>
        <v>-177822.6552816738</v>
      </c>
      <c r="BV20">
        <f t="shared" si="30"/>
        <v>-178324.88742453093</v>
      </c>
      <c r="BW20">
        <f t="shared" ref="BW20:DY20" si="31" xml:space="preserve"> BW$19 * - 1</f>
        <v>-178827.11956738806</v>
      </c>
      <c r="BX20">
        <f t="shared" si="31"/>
        <v>-179329.35171024519</v>
      </c>
      <c r="BY20">
        <f t="shared" si="31"/>
        <v>-179831.58385310238</v>
      </c>
      <c r="BZ20">
        <f t="shared" si="31"/>
        <v>-180333.81599595957</v>
      </c>
      <c r="CA20">
        <f t="shared" si="31"/>
        <v>-180836.0481388167</v>
      </c>
      <c r="CB20">
        <f t="shared" si="31"/>
        <v>-181338.28028167388</v>
      </c>
      <c r="CC20">
        <f t="shared" si="31"/>
        <v>-181840.51242453099</v>
      </c>
      <c r="CD20">
        <f t="shared" si="31"/>
        <v>-182342.74456738817</v>
      </c>
      <c r="CE20">
        <f t="shared" si="31"/>
        <v>-182844.97671024528</v>
      </c>
      <c r="CF20">
        <f t="shared" si="31"/>
        <v>-183347.20885310235</v>
      </c>
      <c r="CG20">
        <f t="shared" si="31"/>
        <v>-183849.44099595957</v>
      </c>
      <c r="CH20">
        <f t="shared" si="31"/>
        <v>-184351.6731388167</v>
      </c>
      <c r="CI20">
        <f t="shared" si="31"/>
        <v>-184853.90528167383</v>
      </c>
      <c r="CJ20">
        <f t="shared" si="31"/>
        <v>-185356.13742453099</v>
      </c>
      <c r="CK20">
        <f t="shared" si="31"/>
        <v>-674560.72972667206</v>
      </c>
      <c r="CL20">
        <f t="shared" si="31"/>
        <v>-206081.73193998361</v>
      </c>
      <c r="CM20">
        <f t="shared" si="31"/>
        <v>-206583.9640828408</v>
      </c>
      <c r="CN20">
        <f t="shared" si="31"/>
        <v>-207086.19622569796</v>
      </c>
      <c r="CO20">
        <f t="shared" si="31"/>
        <v>-207588.42836855512</v>
      </c>
      <c r="CP20">
        <f t="shared" si="31"/>
        <v>-205278.16051141222</v>
      </c>
      <c r="CQ20">
        <f t="shared" si="31"/>
        <v>-205880.83908284083</v>
      </c>
      <c r="CR20">
        <f t="shared" si="31"/>
        <v>-206483.51765426944</v>
      </c>
      <c r="CS20">
        <f t="shared" si="31"/>
        <v>-207086.19622569793</v>
      </c>
      <c r="CT20">
        <f t="shared" si="31"/>
        <v>-207688.87479712657</v>
      </c>
      <c r="CU20">
        <f t="shared" si="31"/>
        <v>-208291.55336855521</v>
      </c>
      <c r="CV20">
        <f t="shared" si="31"/>
        <v>-208894.23193998373</v>
      </c>
      <c r="CW20">
        <f t="shared" si="31"/>
        <v>-209496.91051141225</v>
      </c>
      <c r="CX20">
        <f t="shared" si="31"/>
        <v>-210099.58908284086</v>
      </c>
      <c r="CY20">
        <f t="shared" si="31"/>
        <v>-210702.26765426944</v>
      </c>
      <c r="CZ20">
        <f t="shared" si="31"/>
        <v>-211304.94622569799</v>
      </c>
      <c r="DA20">
        <f t="shared" si="31"/>
        <v>-211907.62479712663</v>
      </c>
      <c r="DB20">
        <f t="shared" si="31"/>
        <v>-212510.30336855521</v>
      </c>
      <c r="DC20">
        <f t="shared" si="31"/>
        <v>-213112.98193998379</v>
      </c>
      <c r="DD20">
        <f t="shared" si="31"/>
        <v>-213715.66051141237</v>
      </c>
      <c r="DE20">
        <f t="shared" si="31"/>
        <v>-214318.33908284092</v>
      </c>
      <c r="DF20">
        <f t="shared" si="31"/>
        <v>-465982.14285714278</v>
      </c>
      <c r="DG20">
        <f t="shared" si="31"/>
        <v>-466584.82142857136</v>
      </c>
      <c r="DH20">
        <f t="shared" si="31"/>
        <v>-467187.49999999994</v>
      </c>
      <c r="DI20">
        <f t="shared" si="31"/>
        <v>-467790.17857142846</v>
      </c>
      <c r="DJ20">
        <f t="shared" si="31"/>
        <v>-468392.85714285704</v>
      </c>
      <c r="DK20">
        <f t="shared" si="31"/>
        <v>-468995.53571428562</v>
      </c>
      <c r="DL20">
        <f t="shared" si="31"/>
        <v>-469598.2142857142</v>
      </c>
      <c r="DM20">
        <f t="shared" si="31"/>
        <v>-470200.89285714278</v>
      </c>
      <c r="DN20">
        <f t="shared" si="31"/>
        <v>-470803.57142857136</v>
      </c>
      <c r="DO20">
        <f t="shared" si="31"/>
        <v>-471406.24999999994</v>
      </c>
      <c r="DP20">
        <f t="shared" si="31"/>
        <v>-472008.92857142846</v>
      </c>
      <c r="DQ20">
        <f t="shared" si="31"/>
        <v>-472611.60714285704</v>
      </c>
      <c r="DR20">
        <f t="shared" si="31"/>
        <v>-500000</v>
      </c>
      <c r="DS20">
        <f t="shared" si="31"/>
        <v>-500000</v>
      </c>
      <c r="DT20">
        <f t="shared" si="31"/>
        <v>-500000</v>
      </c>
      <c r="DU20">
        <f t="shared" si="31"/>
        <v>-500000</v>
      </c>
      <c r="DV20">
        <f t="shared" si="31"/>
        <v>-500000</v>
      </c>
      <c r="DW20">
        <f t="shared" si="31"/>
        <v>-500000</v>
      </c>
      <c r="DX20">
        <f t="shared" si="31"/>
        <v>-500000</v>
      </c>
      <c r="DY20">
        <f t="shared" si="31"/>
        <v>-25500000</v>
      </c>
    </row>
    <row r="21" spans="1:129">
      <c r="E21" s="80" t="s">
        <v>77</v>
      </c>
      <c r="F21" s="80"/>
      <c r="G21" s="81" t="s">
        <v>146</v>
      </c>
      <c r="H21" s="80" cm="1">
        <f t="array" ref="H21">_xlfn.BYROW(_xlfn.ANCHORARRAY( J21), _xleta.SUM )</f>
        <v>0</v>
      </c>
      <c r="I21" s="80"/>
      <c r="J21" s="80" cm="1">
        <f t="array" ref="J21:DY21" xml:space="preserve"> _xlfn.BYCOL( J19:DY20, _xleta.SUM )</f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  <c r="Z21" s="80">
        <v>0</v>
      </c>
      <c r="AA21" s="80">
        <v>0</v>
      </c>
      <c r="AB21" s="80">
        <v>0</v>
      </c>
      <c r="AC21" s="80">
        <v>0</v>
      </c>
      <c r="AD21" s="80">
        <v>0</v>
      </c>
      <c r="AE21" s="80">
        <v>0</v>
      </c>
      <c r="AF21" s="80">
        <v>0</v>
      </c>
      <c r="AG21" s="80">
        <v>0</v>
      </c>
      <c r="AH21" s="80">
        <v>0</v>
      </c>
      <c r="AI21" s="80">
        <v>0</v>
      </c>
      <c r="AJ21" s="80">
        <v>0</v>
      </c>
      <c r="AK21" s="80">
        <v>0</v>
      </c>
      <c r="AL21" s="80">
        <v>0</v>
      </c>
      <c r="AM21" s="80">
        <v>0</v>
      </c>
      <c r="AN21" s="80">
        <v>0</v>
      </c>
      <c r="AO21" s="80">
        <v>0</v>
      </c>
      <c r="AP21" s="80">
        <v>0</v>
      </c>
      <c r="AQ21" s="80">
        <v>0</v>
      </c>
      <c r="AR21" s="80">
        <v>0</v>
      </c>
      <c r="AS21" s="80">
        <v>0</v>
      </c>
      <c r="AT21" s="80">
        <v>0</v>
      </c>
      <c r="AU21" s="80">
        <v>0</v>
      </c>
      <c r="AV21" s="80">
        <v>0</v>
      </c>
      <c r="AW21" s="80">
        <v>0</v>
      </c>
      <c r="AX21" s="80">
        <v>0</v>
      </c>
      <c r="AY21" s="80">
        <v>0</v>
      </c>
      <c r="AZ21" s="80">
        <v>0</v>
      </c>
      <c r="BA21" s="80">
        <v>0</v>
      </c>
      <c r="BB21" s="80">
        <v>0</v>
      </c>
      <c r="BC21" s="80">
        <v>0</v>
      </c>
      <c r="BD21" s="80">
        <v>0</v>
      </c>
      <c r="BE21" s="80">
        <v>0</v>
      </c>
      <c r="BF21" s="80">
        <v>0</v>
      </c>
      <c r="BG21" s="80">
        <v>0</v>
      </c>
      <c r="BH21" s="80">
        <v>0</v>
      </c>
      <c r="BI21" s="80">
        <v>0</v>
      </c>
      <c r="BJ21" s="80">
        <v>0</v>
      </c>
      <c r="BK21" s="80">
        <v>0</v>
      </c>
      <c r="BL21" s="80">
        <v>0</v>
      </c>
      <c r="BM21" s="80">
        <v>0</v>
      </c>
      <c r="BN21" s="80">
        <v>0</v>
      </c>
      <c r="BO21" s="80">
        <v>0</v>
      </c>
      <c r="BP21" s="80">
        <v>0</v>
      </c>
      <c r="BQ21" s="80">
        <v>0</v>
      </c>
      <c r="BR21" s="80">
        <v>0</v>
      </c>
      <c r="BS21" s="80">
        <v>0</v>
      </c>
      <c r="BT21" s="80">
        <v>0</v>
      </c>
      <c r="BU21" s="80">
        <v>0</v>
      </c>
      <c r="BV21" s="80">
        <v>0</v>
      </c>
      <c r="BW21" s="80">
        <v>0</v>
      </c>
      <c r="BX21" s="80">
        <v>0</v>
      </c>
      <c r="BY21" s="80">
        <v>0</v>
      </c>
      <c r="BZ21" s="80">
        <v>0</v>
      </c>
      <c r="CA21" s="80">
        <v>0</v>
      </c>
      <c r="CB21" s="80">
        <v>0</v>
      </c>
      <c r="CC21" s="80">
        <v>0</v>
      </c>
      <c r="CD21" s="80">
        <v>0</v>
      </c>
      <c r="CE21" s="80">
        <v>0</v>
      </c>
      <c r="CF21" s="80">
        <v>0</v>
      </c>
      <c r="CG21" s="80">
        <v>0</v>
      </c>
      <c r="CH21" s="80">
        <v>0</v>
      </c>
      <c r="CI21" s="80">
        <v>0</v>
      </c>
      <c r="CJ21" s="80">
        <v>0</v>
      </c>
      <c r="CK21" s="80">
        <v>0</v>
      </c>
      <c r="CL21" s="80">
        <v>0</v>
      </c>
      <c r="CM21" s="80">
        <v>0</v>
      </c>
      <c r="CN21" s="80">
        <v>0</v>
      </c>
      <c r="CO21" s="80">
        <v>0</v>
      </c>
      <c r="CP21" s="80">
        <v>0</v>
      </c>
      <c r="CQ21" s="80">
        <v>0</v>
      </c>
      <c r="CR21" s="80">
        <v>0</v>
      </c>
      <c r="CS21" s="80">
        <v>0</v>
      </c>
      <c r="CT21" s="80">
        <v>0</v>
      </c>
      <c r="CU21" s="80">
        <v>0</v>
      </c>
      <c r="CV21" s="80">
        <v>0</v>
      </c>
      <c r="CW21" s="80">
        <v>0</v>
      </c>
      <c r="CX21" s="80">
        <v>0</v>
      </c>
      <c r="CY21" s="80">
        <v>0</v>
      </c>
      <c r="CZ21" s="80">
        <v>0</v>
      </c>
      <c r="DA21" s="80">
        <v>0</v>
      </c>
      <c r="DB21" s="80">
        <v>0</v>
      </c>
      <c r="DC21" s="80">
        <v>0</v>
      </c>
      <c r="DD21" s="80">
        <v>0</v>
      </c>
      <c r="DE21" s="80">
        <v>0</v>
      </c>
      <c r="DF21" s="80">
        <v>0</v>
      </c>
      <c r="DG21" s="80">
        <v>0</v>
      </c>
      <c r="DH21" s="80">
        <v>0</v>
      </c>
      <c r="DI21" s="80">
        <v>0</v>
      </c>
      <c r="DJ21" s="80">
        <v>0</v>
      </c>
      <c r="DK21" s="80">
        <v>0</v>
      </c>
      <c r="DL21" s="80">
        <v>0</v>
      </c>
      <c r="DM21" s="80">
        <v>0</v>
      </c>
      <c r="DN21" s="80">
        <v>0</v>
      </c>
      <c r="DO21" s="80">
        <v>0</v>
      </c>
      <c r="DP21" s="80">
        <v>0</v>
      </c>
      <c r="DQ21" s="80">
        <v>0</v>
      </c>
      <c r="DR21" s="80">
        <v>0</v>
      </c>
      <c r="DS21" s="80">
        <v>0</v>
      </c>
      <c r="DT21" s="80">
        <v>0</v>
      </c>
      <c r="DU21" s="80">
        <v>0</v>
      </c>
      <c r="DV21" s="80">
        <v>0</v>
      </c>
      <c r="DW21" s="80">
        <v>0</v>
      </c>
      <c r="DX21" s="80">
        <v>0</v>
      </c>
      <c r="DY21" s="80">
        <v>0</v>
      </c>
    </row>
    <row r="22" spans="1:129">
      <c r="E22" t="s">
        <v>78</v>
      </c>
    </row>
    <row r="25" spans="1:129" s="59" customFormat="1">
      <c r="A25" s="62" t="s">
        <v>181</v>
      </c>
      <c r="D25" s="60"/>
    </row>
    <row r="27" spans="1:129">
      <c r="B27" s="61" t="s">
        <v>81</v>
      </c>
    </row>
    <row r="28" spans="1:129">
      <c r="E28" t="s">
        <v>82</v>
      </c>
      <c r="F28" s="85">
        <f xml:space="preserve"> _xlfn.LET(
      _xlpm.rate,     CaseData!$G$19 / 4,
      _xlpm.nper,     CaseData!$G$20 * 4,
      _xlpm.pv,       CaseData!$G$17,
      _xlpm.cfads,    CaseData!$G$14,
      _xlpm.cfads / PMT( _xlpm.rate, _xlpm.nper, _xlpm.pv ) * - 1 )</f>
        <v>1.9915468776616363</v>
      </c>
      <c r="G28" t="s">
        <v>182</v>
      </c>
    </row>
    <row r="29" spans="1:129">
      <c r="E29" t="s">
        <v>84</v>
      </c>
      <c r="G29" t="s">
        <v>182</v>
      </c>
      <c r="J29" s="85">
        <f xml:space="preserve"> _xlfn.LET(
       _xlpm.cfads,     J$7,
       _xlpm.interest,  J$12,
       _xlpm.principal, J$13,
       IF( _xlpm.interest + _xlpm.principal = 0, 0, _xlpm.cfads / ( _xlpm.interest + _xlpm.principal ) * - 1 ) )</f>
        <v>1.9915468776616365</v>
      </c>
      <c r="K29" s="85">
        <f t="shared" ref="K29:BV29" si="32" xml:space="preserve"> _xlfn.LET(
       _xlpm.cfads,     K$7,
       _xlpm.interest,  K$12,
       _xlpm.principal, K$13,
       IF( _xlpm.interest + _xlpm.principal = 0, 0, _xlpm.cfads / ( _xlpm.interest + _xlpm.principal ) * - 1 ) )</f>
        <v>1.9915468776616365</v>
      </c>
      <c r="L29" s="85">
        <f t="shared" si="32"/>
        <v>1.9915468776616365</v>
      </c>
      <c r="M29" s="85">
        <f t="shared" si="32"/>
        <v>1.9915468776616365</v>
      </c>
      <c r="N29" s="85">
        <f t="shared" si="32"/>
        <v>1.9915468776616365</v>
      </c>
      <c r="O29" s="85">
        <f t="shared" si="32"/>
        <v>1.9915468776616365</v>
      </c>
      <c r="P29" s="85">
        <f t="shared" si="32"/>
        <v>1.9915468776616365</v>
      </c>
      <c r="Q29" s="85">
        <f t="shared" si="32"/>
        <v>1.991546877661637</v>
      </c>
      <c r="R29" s="85">
        <f t="shared" si="32"/>
        <v>1.9915468776616365</v>
      </c>
      <c r="S29" s="85">
        <f t="shared" si="32"/>
        <v>1.991546877661637</v>
      </c>
      <c r="T29" s="85">
        <f t="shared" si="32"/>
        <v>1.9915468776616365</v>
      </c>
      <c r="U29" s="85">
        <f t="shared" si="32"/>
        <v>1.9915468776616365</v>
      </c>
      <c r="V29" s="85">
        <f t="shared" si="32"/>
        <v>1.9915468776616363</v>
      </c>
      <c r="W29" s="85">
        <f t="shared" si="32"/>
        <v>1.9915468776616365</v>
      </c>
      <c r="X29" s="85">
        <f t="shared" si="32"/>
        <v>1.9915468776616365</v>
      </c>
      <c r="Y29" s="85">
        <f t="shared" si="32"/>
        <v>1.9915468776616359</v>
      </c>
      <c r="Z29" s="85">
        <f t="shared" si="32"/>
        <v>1.9915468776616365</v>
      </c>
      <c r="AA29" s="85">
        <f t="shared" si="32"/>
        <v>1.9915468776616363</v>
      </c>
      <c r="AB29" s="85">
        <f t="shared" si="32"/>
        <v>1.9915468776616365</v>
      </c>
      <c r="AC29" s="85">
        <f t="shared" si="32"/>
        <v>1.9915468776616363</v>
      </c>
      <c r="AD29" s="85">
        <f t="shared" si="32"/>
        <v>1.9915468776616376</v>
      </c>
      <c r="AE29" s="85">
        <f t="shared" si="32"/>
        <v>1.9915468776616376</v>
      </c>
      <c r="AF29" s="85">
        <f t="shared" si="32"/>
        <v>1.9915468776616376</v>
      </c>
      <c r="AG29" s="85">
        <f t="shared" si="32"/>
        <v>1.9915468776616376</v>
      </c>
      <c r="AH29" s="85">
        <f t="shared" si="32"/>
        <v>1.9915468776616376</v>
      </c>
      <c r="AI29" s="85">
        <f t="shared" si="32"/>
        <v>1.9915468776616376</v>
      </c>
      <c r="AJ29" s="85">
        <f t="shared" si="32"/>
        <v>1.9915468776616376</v>
      </c>
      <c r="AK29" s="85">
        <f t="shared" si="32"/>
        <v>1.9915468776616374</v>
      </c>
      <c r="AL29" s="85">
        <f t="shared" si="32"/>
        <v>1.9915468776616376</v>
      </c>
      <c r="AM29" s="85">
        <f t="shared" si="32"/>
        <v>1.9915468776616376</v>
      </c>
      <c r="AN29" s="85">
        <f t="shared" si="32"/>
        <v>1.9915468776616376</v>
      </c>
      <c r="AO29" s="85">
        <f t="shared" si="32"/>
        <v>1.9915468776616376</v>
      </c>
      <c r="AP29" s="85">
        <f t="shared" si="32"/>
        <v>1.9915468776616376</v>
      </c>
      <c r="AQ29" s="85">
        <f t="shared" si="32"/>
        <v>1.9915468776616378</v>
      </c>
      <c r="AR29" s="85">
        <f t="shared" si="32"/>
        <v>1.9915468776616376</v>
      </c>
      <c r="AS29" s="85">
        <f t="shared" si="32"/>
        <v>1.9915468776616378</v>
      </c>
      <c r="AT29" s="85">
        <f t="shared" si="32"/>
        <v>1.9915468776616378</v>
      </c>
      <c r="AU29" s="85">
        <f t="shared" si="32"/>
        <v>1.9915468776616383</v>
      </c>
      <c r="AV29" s="85">
        <f t="shared" si="32"/>
        <v>1.9915468776616385</v>
      </c>
      <c r="AW29" s="85">
        <f t="shared" si="32"/>
        <v>1.9915468776616385</v>
      </c>
      <c r="AX29" s="85">
        <f t="shared" si="32"/>
        <v>1.9262430290487855</v>
      </c>
      <c r="AY29" s="85">
        <f t="shared" si="32"/>
        <v>1.9262430290487855</v>
      </c>
      <c r="AZ29" s="85">
        <f t="shared" si="32"/>
        <v>1.9262430290487855</v>
      </c>
      <c r="BA29" s="85">
        <f t="shared" si="32"/>
        <v>1.9262430290487862</v>
      </c>
      <c r="BB29" s="85">
        <f t="shared" si="32"/>
        <v>1.9262430290487857</v>
      </c>
      <c r="BC29" s="85">
        <f t="shared" si="32"/>
        <v>1.9262430290487855</v>
      </c>
      <c r="BD29" s="85">
        <f t="shared" si="32"/>
        <v>1.9262430290487855</v>
      </c>
      <c r="BE29" s="85">
        <f t="shared" si="32"/>
        <v>1.9262430290487855</v>
      </c>
      <c r="BF29" s="85">
        <f t="shared" si="32"/>
        <v>1.9262430290487855</v>
      </c>
      <c r="BG29" s="85">
        <f t="shared" si="32"/>
        <v>1.9262430290487855</v>
      </c>
      <c r="BH29" s="85">
        <f t="shared" si="32"/>
        <v>1.9262430290487855</v>
      </c>
      <c r="BI29" s="85">
        <f t="shared" si="32"/>
        <v>1.9262430290487855</v>
      </c>
      <c r="BJ29" s="85">
        <f t="shared" si="32"/>
        <v>1.9262430290487855</v>
      </c>
      <c r="BK29" s="85">
        <f t="shared" si="32"/>
        <v>1.9262430290487855</v>
      </c>
      <c r="BL29" s="85">
        <f t="shared" si="32"/>
        <v>1.9262430290487855</v>
      </c>
      <c r="BM29" s="85">
        <f t="shared" si="32"/>
        <v>1.9262430290487855</v>
      </c>
      <c r="BN29" s="85">
        <f t="shared" si="32"/>
        <v>1.9262430290487853</v>
      </c>
      <c r="BO29" s="85">
        <f t="shared" si="32"/>
        <v>1.9262430290487855</v>
      </c>
      <c r="BP29" s="85">
        <f t="shared" si="32"/>
        <v>1.9262430290487853</v>
      </c>
      <c r="BQ29" s="85">
        <f t="shared" si="32"/>
        <v>1.9262430290487855</v>
      </c>
      <c r="BR29" s="85">
        <f t="shared" si="32"/>
        <v>2.0382072785616194</v>
      </c>
      <c r="BS29" s="85">
        <f t="shared" si="32"/>
        <v>2.0382072785616199</v>
      </c>
      <c r="BT29" s="85">
        <f t="shared" si="32"/>
        <v>2.0382072785616194</v>
      </c>
      <c r="BU29" s="85">
        <f t="shared" si="32"/>
        <v>2.0382072785616194</v>
      </c>
      <c r="BV29" s="85">
        <f t="shared" si="32"/>
        <v>2.038207278561619</v>
      </c>
      <c r="BW29" s="85">
        <f t="shared" ref="BW29:DY29" si="33" xml:space="preserve"> _xlfn.LET(
       _xlpm.cfads,     BW$7,
       _xlpm.interest,  BW$12,
       _xlpm.principal, BW$13,
       IF( _xlpm.interest + _xlpm.principal = 0, 0, _xlpm.cfads / ( _xlpm.interest + _xlpm.principal ) * - 1 ) )</f>
        <v>2.038207278561619</v>
      </c>
      <c r="BX29" s="85">
        <f t="shared" si="33"/>
        <v>2.038207278561619</v>
      </c>
      <c r="BY29" s="85">
        <f t="shared" si="33"/>
        <v>2.0382072785616194</v>
      </c>
      <c r="BZ29" s="85">
        <f t="shared" si="33"/>
        <v>2.0382072785616194</v>
      </c>
      <c r="CA29" s="85">
        <f t="shared" si="33"/>
        <v>2.0382072785616194</v>
      </c>
      <c r="CB29" s="85">
        <f t="shared" si="33"/>
        <v>2.0382072785616199</v>
      </c>
      <c r="CC29" s="85">
        <f t="shared" si="33"/>
        <v>2.0382072785616199</v>
      </c>
      <c r="CD29" s="85">
        <f t="shared" si="33"/>
        <v>2.0382072785616199</v>
      </c>
      <c r="CE29" s="85">
        <f t="shared" si="33"/>
        <v>2.0382072785616199</v>
      </c>
      <c r="CF29" s="85">
        <f t="shared" si="33"/>
        <v>2.038207278561619</v>
      </c>
      <c r="CG29" s="85">
        <f t="shared" si="33"/>
        <v>2.0382072785616199</v>
      </c>
      <c r="CH29" s="85">
        <f t="shared" si="33"/>
        <v>2.0382072785616199</v>
      </c>
      <c r="CI29" s="85">
        <f t="shared" si="33"/>
        <v>2.0382072785616199</v>
      </c>
      <c r="CJ29" s="85">
        <f t="shared" si="33"/>
        <v>2.0382072785616199</v>
      </c>
      <c r="CK29" s="85">
        <f t="shared" si="33"/>
        <v>2.0382072785616203</v>
      </c>
      <c r="CL29" s="85">
        <f t="shared" si="33"/>
        <v>1.9915468776616374</v>
      </c>
      <c r="CM29" s="85">
        <f t="shared" si="33"/>
        <v>1.9915468776616381</v>
      </c>
      <c r="CN29" s="85">
        <f t="shared" si="33"/>
        <v>1.9915468776616378</v>
      </c>
      <c r="CO29" s="85">
        <f t="shared" si="33"/>
        <v>1.9915468776616378</v>
      </c>
      <c r="CP29" s="85">
        <f t="shared" si="33"/>
        <v>1.9915468776616381</v>
      </c>
      <c r="CQ29" s="85">
        <f t="shared" si="33"/>
        <v>1.9915468776616383</v>
      </c>
      <c r="CR29" s="85">
        <f t="shared" si="33"/>
        <v>1.9915468776616383</v>
      </c>
      <c r="CS29" s="85">
        <f t="shared" si="33"/>
        <v>1.9915468776616378</v>
      </c>
      <c r="CT29" s="85">
        <f t="shared" si="33"/>
        <v>1.9915468776616383</v>
      </c>
      <c r="CU29" s="85">
        <f t="shared" si="33"/>
        <v>1.9915468776616387</v>
      </c>
      <c r="CV29" s="85">
        <f t="shared" si="33"/>
        <v>1.9915468776616383</v>
      </c>
      <c r="CW29" s="85">
        <f t="shared" si="33"/>
        <v>1.9915468776616381</v>
      </c>
      <c r="CX29" s="85">
        <f t="shared" si="33"/>
        <v>1.9915468776616383</v>
      </c>
      <c r="CY29" s="85">
        <f t="shared" si="33"/>
        <v>1.9915468776616381</v>
      </c>
      <c r="CZ29" s="85">
        <f t="shared" si="33"/>
        <v>1.9915468776616381</v>
      </c>
      <c r="DA29" s="85">
        <f t="shared" si="33"/>
        <v>1.9915468776616385</v>
      </c>
      <c r="DB29" s="85">
        <f t="shared" si="33"/>
        <v>1.9915468776616385</v>
      </c>
      <c r="DC29" s="85">
        <f t="shared" si="33"/>
        <v>1.9915468776616385</v>
      </c>
      <c r="DD29" s="85">
        <f t="shared" si="33"/>
        <v>1.991546877661639</v>
      </c>
      <c r="DE29" s="85">
        <f t="shared" si="33"/>
        <v>1.9915468776616385</v>
      </c>
      <c r="DF29" s="85">
        <f t="shared" si="33"/>
        <v>0</v>
      </c>
      <c r="DG29" s="85">
        <f t="shared" si="33"/>
        <v>0</v>
      </c>
      <c r="DH29" s="85">
        <f t="shared" si="33"/>
        <v>0</v>
      </c>
      <c r="DI29" s="85">
        <f t="shared" si="33"/>
        <v>0</v>
      </c>
      <c r="DJ29" s="85">
        <f t="shared" si="33"/>
        <v>0</v>
      </c>
      <c r="DK29" s="85">
        <f t="shared" si="33"/>
        <v>0</v>
      </c>
      <c r="DL29" s="85">
        <f t="shared" si="33"/>
        <v>0</v>
      </c>
      <c r="DM29" s="85">
        <f t="shared" si="33"/>
        <v>0</v>
      </c>
      <c r="DN29" s="85">
        <f t="shared" si="33"/>
        <v>0</v>
      </c>
      <c r="DO29" s="85">
        <f t="shared" si="33"/>
        <v>0</v>
      </c>
      <c r="DP29" s="85">
        <f t="shared" si="33"/>
        <v>0</v>
      </c>
      <c r="DQ29" s="85">
        <f t="shared" si="33"/>
        <v>0</v>
      </c>
      <c r="DR29" s="85">
        <f t="shared" si="33"/>
        <v>0</v>
      </c>
      <c r="DS29" s="85">
        <f t="shared" si="33"/>
        <v>0</v>
      </c>
      <c r="DT29" s="85">
        <f t="shared" si="33"/>
        <v>0</v>
      </c>
      <c r="DU29" s="85">
        <f t="shared" si="33"/>
        <v>0</v>
      </c>
      <c r="DV29" s="85">
        <f t="shared" si="33"/>
        <v>0</v>
      </c>
      <c r="DW29" s="85">
        <f t="shared" si="33"/>
        <v>0</v>
      </c>
      <c r="DX29" s="85">
        <f t="shared" si="33"/>
        <v>0</v>
      </c>
      <c r="DY29" s="85">
        <f t="shared" si="33"/>
        <v>0</v>
      </c>
    </row>
    <row r="32" spans="1:129">
      <c r="B32" s="61" t="s">
        <v>183</v>
      </c>
    </row>
    <row r="33" spans="1:129">
      <c r="E33" t="str">
        <f>E$7</f>
        <v>CFADS</v>
      </c>
      <c r="G33" t="str">
        <f t="shared" ref="G33:BQ33" si="34">G$7</f>
        <v>USD</v>
      </c>
      <c r="H33">
        <f t="shared" si="34"/>
        <v>51600000</v>
      </c>
      <c r="I33">
        <f t="shared" si="34"/>
        <v>0</v>
      </c>
      <c r="J33">
        <f t="shared" si="34"/>
        <v>350000</v>
      </c>
      <c r="K33">
        <f t="shared" si="34"/>
        <v>350000</v>
      </c>
      <c r="L33">
        <f t="shared" si="34"/>
        <v>350000</v>
      </c>
      <c r="M33">
        <f t="shared" si="34"/>
        <v>350000</v>
      </c>
      <c r="N33">
        <f t="shared" si="34"/>
        <v>350000</v>
      </c>
      <c r="O33">
        <f t="shared" si="34"/>
        <v>350000</v>
      </c>
      <c r="P33">
        <f t="shared" si="34"/>
        <v>350000</v>
      </c>
      <c r="Q33">
        <f t="shared" si="34"/>
        <v>350000</v>
      </c>
      <c r="R33">
        <f t="shared" si="34"/>
        <v>350000</v>
      </c>
      <c r="S33">
        <f t="shared" si="34"/>
        <v>350000</v>
      </c>
      <c r="T33">
        <f t="shared" si="34"/>
        <v>350000</v>
      </c>
      <c r="U33">
        <f t="shared" si="34"/>
        <v>350000</v>
      </c>
      <c r="V33">
        <f t="shared" si="34"/>
        <v>350000</v>
      </c>
      <c r="W33">
        <f t="shared" si="34"/>
        <v>350000</v>
      </c>
      <c r="X33">
        <f t="shared" si="34"/>
        <v>350000</v>
      </c>
      <c r="Y33">
        <f t="shared" si="34"/>
        <v>350000</v>
      </c>
      <c r="Z33">
        <f t="shared" si="34"/>
        <v>350000</v>
      </c>
      <c r="AA33">
        <f t="shared" si="34"/>
        <v>350000</v>
      </c>
      <c r="AB33">
        <f t="shared" si="34"/>
        <v>350000</v>
      </c>
      <c r="AC33">
        <f t="shared" si="34"/>
        <v>350000</v>
      </c>
      <c r="AD33">
        <f t="shared" si="34"/>
        <v>380000</v>
      </c>
      <c r="AE33">
        <f t="shared" si="34"/>
        <v>380000</v>
      </c>
      <c r="AF33">
        <f t="shared" si="34"/>
        <v>380000</v>
      </c>
      <c r="AG33">
        <f t="shared" si="34"/>
        <v>380000</v>
      </c>
      <c r="AH33">
        <f t="shared" si="34"/>
        <v>380000</v>
      </c>
      <c r="AI33">
        <f t="shared" si="34"/>
        <v>380000</v>
      </c>
      <c r="AJ33">
        <f t="shared" si="34"/>
        <v>380000</v>
      </c>
      <c r="AK33">
        <f t="shared" si="34"/>
        <v>380000</v>
      </c>
      <c r="AL33">
        <f t="shared" si="34"/>
        <v>380000</v>
      </c>
      <c r="AM33">
        <f t="shared" si="34"/>
        <v>380000</v>
      </c>
      <c r="AN33">
        <f t="shared" si="34"/>
        <v>380000</v>
      </c>
      <c r="AO33">
        <f t="shared" si="34"/>
        <v>380000</v>
      </c>
      <c r="AP33">
        <f t="shared" si="34"/>
        <v>380000</v>
      </c>
      <c r="AQ33">
        <f t="shared" si="34"/>
        <v>380000</v>
      </c>
      <c r="AR33">
        <f t="shared" si="34"/>
        <v>380000</v>
      </c>
      <c r="AS33">
        <f t="shared" si="34"/>
        <v>380000</v>
      </c>
      <c r="AT33">
        <f t="shared" si="34"/>
        <v>380000</v>
      </c>
      <c r="AU33">
        <f t="shared" si="34"/>
        <v>380000</v>
      </c>
      <c r="AV33">
        <f t="shared" si="34"/>
        <v>380000</v>
      </c>
      <c r="AW33">
        <f t="shared" si="34"/>
        <v>380000</v>
      </c>
      <c r="AX33">
        <f t="shared" si="34"/>
        <v>400000</v>
      </c>
      <c r="AY33">
        <f t="shared" si="34"/>
        <v>400000</v>
      </c>
      <c r="AZ33">
        <f t="shared" si="34"/>
        <v>400000</v>
      </c>
      <c r="BA33">
        <f t="shared" si="34"/>
        <v>400000</v>
      </c>
      <c r="BB33">
        <f t="shared" si="34"/>
        <v>400000</v>
      </c>
      <c r="BC33">
        <f t="shared" si="34"/>
        <v>400000</v>
      </c>
      <c r="BD33">
        <f t="shared" si="34"/>
        <v>400000</v>
      </c>
      <c r="BE33">
        <f t="shared" si="34"/>
        <v>400000</v>
      </c>
      <c r="BF33">
        <f t="shared" si="34"/>
        <v>400000</v>
      </c>
      <c r="BG33">
        <f t="shared" si="34"/>
        <v>400000</v>
      </c>
      <c r="BH33">
        <f t="shared" si="34"/>
        <v>400000</v>
      </c>
      <c r="BI33">
        <f t="shared" si="34"/>
        <v>400000</v>
      </c>
      <c r="BJ33">
        <f t="shared" si="34"/>
        <v>400000</v>
      </c>
      <c r="BK33">
        <f t="shared" si="34"/>
        <v>400000</v>
      </c>
      <c r="BL33">
        <f t="shared" si="34"/>
        <v>400000</v>
      </c>
      <c r="BM33">
        <f t="shared" si="34"/>
        <v>400000</v>
      </c>
      <c r="BN33">
        <f t="shared" si="34"/>
        <v>400000</v>
      </c>
      <c r="BO33">
        <f t="shared" si="34"/>
        <v>400000</v>
      </c>
      <c r="BP33">
        <f t="shared" si="34"/>
        <v>400000</v>
      </c>
      <c r="BQ33">
        <f t="shared" si="34"/>
        <v>400000</v>
      </c>
      <c r="BR33">
        <f t="shared" ref="BR33:DY33" si="35">BR$7</f>
        <v>450000</v>
      </c>
      <c r="BS33">
        <f t="shared" si="35"/>
        <v>450000</v>
      </c>
      <c r="BT33">
        <f t="shared" si="35"/>
        <v>450000</v>
      </c>
      <c r="BU33">
        <f t="shared" si="35"/>
        <v>450000</v>
      </c>
      <c r="BV33">
        <f t="shared" si="35"/>
        <v>450000</v>
      </c>
      <c r="BW33">
        <f t="shared" si="35"/>
        <v>450000</v>
      </c>
      <c r="BX33">
        <f t="shared" si="35"/>
        <v>450000</v>
      </c>
      <c r="BY33">
        <f t="shared" si="35"/>
        <v>450000</v>
      </c>
      <c r="BZ33">
        <f t="shared" si="35"/>
        <v>450000</v>
      </c>
      <c r="CA33">
        <f t="shared" si="35"/>
        <v>450000</v>
      </c>
      <c r="CB33">
        <f t="shared" si="35"/>
        <v>450000</v>
      </c>
      <c r="CC33">
        <f t="shared" si="35"/>
        <v>450000</v>
      </c>
      <c r="CD33">
        <f t="shared" si="35"/>
        <v>450000</v>
      </c>
      <c r="CE33">
        <f t="shared" si="35"/>
        <v>450000</v>
      </c>
      <c r="CF33">
        <f t="shared" si="35"/>
        <v>450000</v>
      </c>
      <c r="CG33">
        <f t="shared" si="35"/>
        <v>450000</v>
      </c>
      <c r="CH33">
        <f t="shared" si="35"/>
        <v>450000</v>
      </c>
      <c r="CI33">
        <f t="shared" si="35"/>
        <v>450000</v>
      </c>
      <c r="CJ33">
        <f t="shared" si="35"/>
        <v>450000</v>
      </c>
      <c r="CK33">
        <f t="shared" si="35"/>
        <v>450000</v>
      </c>
      <c r="CL33">
        <f t="shared" si="35"/>
        <v>500000</v>
      </c>
      <c r="CM33">
        <f t="shared" si="35"/>
        <v>500000</v>
      </c>
      <c r="CN33">
        <f t="shared" si="35"/>
        <v>500000</v>
      </c>
      <c r="CO33">
        <f t="shared" si="35"/>
        <v>500000</v>
      </c>
      <c r="CP33">
        <f t="shared" si="35"/>
        <v>500000</v>
      </c>
      <c r="CQ33">
        <f t="shared" si="35"/>
        <v>500000</v>
      </c>
      <c r="CR33">
        <f t="shared" si="35"/>
        <v>500000</v>
      </c>
      <c r="CS33">
        <f t="shared" si="35"/>
        <v>500000</v>
      </c>
      <c r="CT33">
        <f t="shared" si="35"/>
        <v>500000</v>
      </c>
      <c r="CU33">
        <f t="shared" si="35"/>
        <v>500000</v>
      </c>
      <c r="CV33">
        <f t="shared" si="35"/>
        <v>500000</v>
      </c>
      <c r="CW33">
        <f t="shared" si="35"/>
        <v>500000</v>
      </c>
      <c r="CX33">
        <f t="shared" si="35"/>
        <v>500000</v>
      </c>
      <c r="CY33">
        <f t="shared" si="35"/>
        <v>500000</v>
      </c>
      <c r="CZ33">
        <f t="shared" si="35"/>
        <v>500000</v>
      </c>
      <c r="DA33">
        <f t="shared" si="35"/>
        <v>500000</v>
      </c>
      <c r="DB33">
        <f t="shared" si="35"/>
        <v>500000</v>
      </c>
      <c r="DC33">
        <f t="shared" si="35"/>
        <v>500000</v>
      </c>
      <c r="DD33">
        <f t="shared" si="35"/>
        <v>500000</v>
      </c>
      <c r="DE33">
        <f t="shared" si="35"/>
        <v>500000</v>
      </c>
      <c r="DF33">
        <f t="shared" si="35"/>
        <v>500000</v>
      </c>
      <c r="DG33">
        <f t="shared" si="35"/>
        <v>500000</v>
      </c>
      <c r="DH33">
        <f t="shared" si="35"/>
        <v>500000</v>
      </c>
      <c r="DI33">
        <f t="shared" si="35"/>
        <v>500000</v>
      </c>
      <c r="DJ33">
        <f t="shared" si="35"/>
        <v>500000</v>
      </c>
      <c r="DK33">
        <f t="shared" si="35"/>
        <v>500000</v>
      </c>
      <c r="DL33">
        <f t="shared" si="35"/>
        <v>500000</v>
      </c>
      <c r="DM33">
        <f t="shared" si="35"/>
        <v>500000</v>
      </c>
      <c r="DN33">
        <f t="shared" si="35"/>
        <v>500000</v>
      </c>
      <c r="DO33">
        <f t="shared" si="35"/>
        <v>500000</v>
      </c>
      <c r="DP33">
        <f t="shared" si="35"/>
        <v>500000</v>
      </c>
      <c r="DQ33">
        <f t="shared" si="35"/>
        <v>500000</v>
      </c>
      <c r="DR33">
        <f t="shared" si="35"/>
        <v>500000</v>
      </c>
      <c r="DS33">
        <f t="shared" si="35"/>
        <v>500000</v>
      </c>
      <c r="DT33">
        <f t="shared" si="35"/>
        <v>500000</v>
      </c>
      <c r="DU33">
        <f t="shared" si="35"/>
        <v>500000</v>
      </c>
      <c r="DV33">
        <f t="shared" si="35"/>
        <v>500000</v>
      </c>
      <c r="DW33">
        <f t="shared" si="35"/>
        <v>500000</v>
      </c>
      <c r="DX33">
        <f t="shared" si="35"/>
        <v>500000</v>
      </c>
      <c r="DY33">
        <f t="shared" si="35"/>
        <v>500000</v>
      </c>
    </row>
    <row r="34" spans="1:129">
      <c r="E34" t="s">
        <v>204</v>
      </c>
      <c r="F34" s="85"/>
      <c r="G34" t="s">
        <v>146</v>
      </c>
      <c r="J34">
        <f xml:space="preserve"> J$33 / $F$28</f>
        <v>175742.78764201151</v>
      </c>
      <c r="K34">
        <f t="shared" ref="K34:BV34" si="36" xml:space="preserve"> K$33 / $F$28</f>
        <v>175742.78764201151</v>
      </c>
      <c r="L34">
        <f t="shared" si="36"/>
        <v>175742.78764201151</v>
      </c>
      <c r="M34">
        <f t="shared" si="36"/>
        <v>175742.78764201151</v>
      </c>
      <c r="N34">
        <f t="shared" si="36"/>
        <v>175742.78764201151</v>
      </c>
      <c r="O34">
        <f t="shared" si="36"/>
        <v>175742.78764201151</v>
      </c>
      <c r="P34">
        <f t="shared" si="36"/>
        <v>175742.78764201151</v>
      </c>
      <c r="Q34">
        <f t="shared" si="36"/>
        <v>175742.78764201151</v>
      </c>
      <c r="R34">
        <f t="shared" si="36"/>
        <v>175742.78764201151</v>
      </c>
      <c r="S34">
        <f t="shared" si="36"/>
        <v>175742.78764201151</v>
      </c>
      <c r="T34">
        <f t="shared" si="36"/>
        <v>175742.78764201151</v>
      </c>
      <c r="U34">
        <f t="shared" si="36"/>
        <v>175742.78764201151</v>
      </c>
      <c r="V34">
        <f t="shared" si="36"/>
        <v>175742.78764201151</v>
      </c>
      <c r="W34">
        <f t="shared" si="36"/>
        <v>175742.78764201151</v>
      </c>
      <c r="X34">
        <f t="shared" si="36"/>
        <v>175742.78764201151</v>
      </c>
      <c r="Y34">
        <f t="shared" si="36"/>
        <v>175742.78764201151</v>
      </c>
      <c r="Z34">
        <f t="shared" si="36"/>
        <v>175742.78764201151</v>
      </c>
      <c r="AA34">
        <f t="shared" si="36"/>
        <v>175742.78764201151</v>
      </c>
      <c r="AB34">
        <f t="shared" si="36"/>
        <v>175742.78764201151</v>
      </c>
      <c r="AC34">
        <f t="shared" si="36"/>
        <v>175742.78764201151</v>
      </c>
      <c r="AD34">
        <f t="shared" si="36"/>
        <v>190806.4551541839</v>
      </c>
      <c r="AE34">
        <f t="shared" si="36"/>
        <v>190806.4551541839</v>
      </c>
      <c r="AF34">
        <f t="shared" si="36"/>
        <v>190806.4551541839</v>
      </c>
      <c r="AG34">
        <f t="shared" si="36"/>
        <v>190806.4551541839</v>
      </c>
      <c r="AH34">
        <f t="shared" si="36"/>
        <v>190806.4551541839</v>
      </c>
      <c r="AI34">
        <f t="shared" si="36"/>
        <v>190806.4551541839</v>
      </c>
      <c r="AJ34">
        <f t="shared" si="36"/>
        <v>190806.4551541839</v>
      </c>
      <c r="AK34">
        <f t="shared" si="36"/>
        <v>190806.4551541839</v>
      </c>
      <c r="AL34">
        <f t="shared" si="36"/>
        <v>190806.4551541839</v>
      </c>
      <c r="AM34">
        <f t="shared" si="36"/>
        <v>190806.4551541839</v>
      </c>
      <c r="AN34">
        <f t="shared" si="36"/>
        <v>190806.4551541839</v>
      </c>
      <c r="AO34">
        <f t="shared" si="36"/>
        <v>190806.4551541839</v>
      </c>
      <c r="AP34">
        <f t="shared" si="36"/>
        <v>190806.4551541839</v>
      </c>
      <c r="AQ34">
        <f t="shared" si="36"/>
        <v>190806.4551541839</v>
      </c>
      <c r="AR34">
        <f t="shared" si="36"/>
        <v>190806.4551541839</v>
      </c>
      <c r="AS34">
        <f t="shared" si="36"/>
        <v>190806.4551541839</v>
      </c>
      <c r="AT34">
        <f t="shared" si="36"/>
        <v>190806.4551541839</v>
      </c>
      <c r="AU34">
        <f t="shared" si="36"/>
        <v>190806.4551541839</v>
      </c>
      <c r="AV34">
        <f t="shared" si="36"/>
        <v>190806.4551541839</v>
      </c>
      <c r="AW34">
        <f t="shared" si="36"/>
        <v>190806.4551541839</v>
      </c>
      <c r="AX34">
        <f t="shared" si="36"/>
        <v>200848.90016229884</v>
      </c>
      <c r="AY34">
        <f t="shared" si="36"/>
        <v>200848.90016229884</v>
      </c>
      <c r="AZ34">
        <f t="shared" si="36"/>
        <v>200848.90016229884</v>
      </c>
      <c r="BA34">
        <f t="shared" si="36"/>
        <v>200848.90016229884</v>
      </c>
      <c r="BB34">
        <f t="shared" si="36"/>
        <v>200848.90016229884</v>
      </c>
      <c r="BC34">
        <f t="shared" si="36"/>
        <v>200848.90016229884</v>
      </c>
      <c r="BD34">
        <f t="shared" si="36"/>
        <v>200848.90016229884</v>
      </c>
      <c r="BE34">
        <f t="shared" si="36"/>
        <v>200848.90016229884</v>
      </c>
      <c r="BF34">
        <f t="shared" si="36"/>
        <v>200848.90016229884</v>
      </c>
      <c r="BG34">
        <f t="shared" si="36"/>
        <v>200848.90016229884</v>
      </c>
      <c r="BH34">
        <f t="shared" si="36"/>
        <v>200848.90016229884</v>
      </c>
      <c r="BI34">
        <f t="shared" si="36"/>
        <v>200848.90016229884</v>
      </c>
      <c r="BJ34">
        <f t="shared" si="36"/>
        <v>200848.90016229884</v>
      </c>
      <c r="BK34">
        <f t="shared" si="36"/>
        <v>200848.90016229884</v>
      </c>
      <c r="BL34">
        <f t="shared" si="36"/>
        <v>200848.90016229884</v>
      </c>
      <c r="BM34">
        <f t="shared" si="36"/>
        <v>200848.90016229884</v>
      </c>
      <c r="BN34">
        <f t="shared" si="36"/>
        <v>200848.90016229884</v>
      </c>
      <c r="BO34">
        <f t="shared" si="36"/>
        <v>200848.90016229884</v>
      </c>
      <c r="BP34">
        <f t="shared" si="36"/>
        <v>200848.90016229884</v>
      </c>
      <c r="BQ34">
        <f t="shared" si="36"/>
        <v>200848.90016229884</v>
      </c>
      <c r="BR34">
        <f t="shared" si="36"/>
        <v>225955.01268258621</v>
      </c>
      <c r="BS34">
        <f t="shared" si="36"/>
        <v>225955.01268258621</v>
      </c>
      <c r="BT34">
        <f t="shared" si="36"/>
        <v>225955.01268258621</v>
      </c>
      <c r="BU34">
        <f t="shared" si="36"/>
        <v>225955.01268258621</v>
      </c>
      <c r="BV34">
        <f t="shared" si="36"/>
        <v>225955.01268258621</v>
      </c>
      <c r="BW34">
        <f t="shared" ref="BW34:DY34" si="37" xml:space="preserve"> BW$33 / $F$28</f>
        <v>225955.01268258621</v>
      </c>
      <c r="BX34">
        <f t="shared" si="37"/>
        <v>225955.01268258621</v>
      </c>
      <c r="BY34">
        <f t="shared" si="37"/>
        <v>225955.01268258621</v>
      </c>
      <c r="BZ34">
        <f t="shared" si="37"/>
        <v>225955.01268258621</v>
      </c>
      <c r="CA34">
        <f t="shared" si="37"/>
        <v>225955.01268258621</v>
      </c>
      <c r="CB34">
        <f t="shared" si="37"/>
        <v>225955.01268258621</v>
      </c>
      <c r="CC34">
        <f t="shared" si="37"/>
        <v>225955.01268258621</v>
      </c>
      <c r="CD34">
        <f t="shared" si="37"/>
        <v>225955.01268258621</v>
      </c>
      <c r="CE34">
        <f t="shared" si="37"/>
        <v>225955.01268258621</v>
      </c>
      <c r="CF34">
        <f t="shared" si="37"/>
        <v>225955.01268258621</v>
      </c>
      <c r="CG34">
        <f t="shared" si="37"/>
        <v>225955.01268258621</v>
      </c>
      <c r="CH34">
        <f t="shared" si="37"/>
        <v>225955.01268258621</v>
      </c>
      <c r="CI34">
        <f t="shared" si="37"/>
        <v>225955.01268258621</v>
      </c>
      <c r="CJ34">
        <f t="shared" si="37"/>
        <v>225955.01268258621</v>
      </c>
      <c r="CK34">
        <f t="shared" si="37"/>
        <v>225955.01268258621</v>
      </c>
      <c r="CL34">
        <f t="shared" si="37"/>
        <v>251061.12520287358</v>
      </c>
      <c r="CM34">
        <f t="shared" si="37"/>
        <v>251061.12520287358</v>
      </c>
      <c r="CN34">
        <f t="shared" si="37"/>
        <v>251061.12520287358</v>
      </c>
      <c r="CO34">
        <f t="shared" si="37"/>
        <v>251061.12520287358</v>
      </c>
      <c r="CP34">
        <f t="shared" si="37"/>
        <v>251061.12520287358</v>
      </c>
      <c r="CQ34">
        <f t="shared" si="37"/>
        <v>251061.12520287358</v>
      </c>
      <c r="CR34">
        <f t="shared" si="37"/>
        <v>251061.12520287358</v>
      </c>
      <c r="CS34">
        <f t="shared" si="37"/>
        <v>251061.12520287358</v>
      </c>
      <c r="CT34">
        <f t="shared" si="37"/>
        <v>251061.12520287358</v>
      </c>
      <c r="CU34">
        <f t="shared" si="37"/>
        <v>251061.12520287358</v>
      </c>
      <c r="CV34">
        <f t="shared" si="37"/>
        <v>251061.12520287358</v>
      </c>
      <c r="CW34">
        <f t="shared" si="37"/>
        <v>251061.12520287358</v>
      </c>
      <c r="CX34">
        <f t="shared" si="37"/>
        <v>251061.12520287358</v>
      </c>
      <c r="CY34">
        <f t="shared" si="37"/>
        <v>251061.12520287358</v>
      </c>
      <c r="CZ34">
        <f t="shared" si="37"/>
        <v>251061.12520287358</v>
      </c>
      <c r="DA34">
        <f t="shared" si="37"/>
        <v>251061.12520287358</v>
      </c>
      <c r="DB34">
        <f t="shared" si="37"/>
        <v>251061.12520287358</v>
      </c>
      <c r="DC34">
        <f t="shared" si="37"/>
        <v>251061.12520287358</v>
      </c>
      <c r="DD34">
        <f t="shared" si="37"/>
        <v>251061.12520287358</v>
      </c>
      <c r="DE34">
        <f t="shared" si="37"/>
        <v>251061.12520287358</v>
      </c>
      <c r="DF34">
        <f t="shared" si="37"/>
        <v>251061.12520287358</v>
      </c>
      <c r="DG34">
        <f t="shared" si="37"/>
        <v>251061.12520287358</v>
      </c>
      <c r="DH34">
        <f t="shared" si="37"/>
        <v>251061.12520287358</v>
      </c>
      <c r="DI34">
        <f t="shared" si="37"/>
        <v>251061.12520287358</v>
      </c>
      <c r="DJ34">
        <f t="shared" si="37"/>
        <v>251061.12520287358</v>
      </c>
      <c r="DK34">
        <f t="shared" si="37"/>
        <v>251061.12520287358</v>
      </c>
      <c r="DL34">
        <f t="shared" si="37"/>
        <v>251061.12520287358</v>
      </c>
      <c r="DM34">
        <f t="shared" si="37"/>
        <v>251061.12520287358</v>
      </c>
      <c r="DN34">
        <f t="shared" si="37"/>
        <v>251061.12520287358</v>
      </c>
      <c r="DO34">
        <f t="shared" si="37"/>
        <v>251061.12520287358</v>
      </c>
      <c r="DP34">
        <f t="shared" si="37"/>
        <v>251061.12520287358</v>
      </c>
      <c r="DQ34">
        <f t="shared" si="37"/>
        <v>251061.12520287358</v>
      </c>
      <c r="DR34">
        <f t="shared" si="37"/>
        <v>251061.12520287358</v>
      </c>
      <c r="DS34">
        <f t="shared" si="37"/>
        <v>251061.12520287358</v>
      </c>
      <c r="DT34">
        <f t="shared" si="37"/>
        <v>251061.12520287358</v>
      </c>
      <c r="DU34">
        <f t="shared" si="37"/>
        <v>251061.12520287358</v>
      </c>
      <c r="DV34">
        <f t="shared" si="37"/>
        <v>251061.12520287358</v>
      </c>
      <c r="DW34">
        <f t="shared" si="37"/>
        <v>251061.12520287358</v>
      </c>
      <c r="DX34">
        <f t="shared" si="37"/>
        <v>251061.12520287358</v>
      </c>
      <c r="DY34">
        <f t="shared" si="37"/>
        <v>251061.12520287358</v>
      </c>
    </row>
    <row r="35" spans="1:129">
      <c r="E35" t="s">
        <v>205</v>
      </c>
      <c r="F35" s="85"/>
      <c r="G35" t="s">
        <v>189</v>
      </c>
      <c r="J35" s="88">
        <f xml:space="preserve"> IF( Time!J$47 = 0, CaseData!$G$19, _xlfn.XLOOKUP( J$3, CaseData!$G$27:$J$27, CaseData!$G$29:$J$29,, -1 ) ) / 4</f>
        <v>1.2500000000000001E-2</v>
      </c>
      <c r="K35" s="88">
        <f xml:space="preserve"> IF( Time!K$47 = 0, CaseData!$G$19, _xlfn.XLOOKUP( K$3, CaseData!$G$27:$J$27, CaseData!$G$29:$J$29,, -1 ) ) / 4</f>
        <v>1.2500000000000001E-2</v>
      </c>
      <c r="L35" s="88">
        <f xml:space="preserve"> IF( Time!L$47 = 0, CaseData!$G$19, _xlfn.XLOOKUP( L$3, CaseData!$G$27:$J$27, CaseData!$G$29:$J$29,, -1 ) ) / 4</f>
        <v>1.2500000000000001E-2</v>
      </c>
      <c r="M35" s="88">
        <f xml:space="preserve"> IF( Time!M$47 = 0, CaseData!$G$19, _xlfn.XLOOKUP( M$3, CaseData!$G$27:$J$27, CaseData!$G$29:$J$29,, -1 ) ) / 4</f>
        <v>1.2500000000000001E-2</v>
      </c>
      <c r="N35" s="88">
        <f xml:space="preserve"> IF( Time!N$47 = 0, CaseData!$G$19, _xlfn.XLOOKUP( N$3, CaseData!$G$27:$J$27, CaseData!$G$29:$J$29,, -1 ) ) / 4</f>
        <v>1.2500000000000001E-2</v>
      </c>
      <c r="O35" s="88">
        <f xml:space="preserve"> IF( Time!O$47 = 0, CaseData!$G$19, _xlfn.XLOOKUP( O$3, CaseData!$G$27:$J$27, CaseData!$G$29:$J$29,, -1 ) ) / 4</f>
        <v>1.2500000000000001E-2</v>
      </c>
      <c r="P35" s="88">
        <f xml:space="preserve"> IF( Time!P$47 = 0, CaseData!$G$19, _xlfn.XLOOKUP( P$3, CaseData!$G$27:$J$27, CaseData!$G$29:$J$29,, -1 ) ) / 4</f>
        <v>1.2500000000000001E-2</v>
      </c>
      <c r="Q35" s="88">
        <f xml:space="preserve"> IF( Time!Q$47 = 0, CaseData!$G$19, _xlfn.XLOOKUP( Q$3, CaseData!$G$27:$J$27, CaseData!$G$29:$J$29,, -1 ) ) / 4</f>
        <v>1.2500000000000001E-2</v>
      </c>
      <c r="R35" s="88">
        <f xml:space="preserve"> IF( Time!R$47 = 0, CaseData!$G$19, _xlfn.XLOOKUP( R$3, CaseData!$G$27:$J$27, CaseData!$G$29:$J$29,, -1 ) ) / 4</f>
        <v>1.2500000000000001E-2</v>
      </c>
      <c r="S35" s="88">
        <f xml:space="preserve"> IF( Time!S$47 = 0, CaseData!$G$19, _xlfn.XLOOKUP( S$3, CaseData!$G$27:$J$27, CaseData!$G$29:$J$29,, -1 ) ) / 4</f>
        <v>1.2500000000000001E-2</v>
      </c>
      <c r="T35" s="88">
        <f xml:space="preserve"> IF( Time!T$47 = 0, CaseData!$G$19, _xlfn.XLOOKUP( T$3, CaseData!$G$27:$J$27, CaseData!$G$29:$J$29,, -1 ) ) / 4</f>
        <v>1.2500000000000001E-2</v>
      </c>
      <c r="U35" s="88">
        <f xml:space="preserve"> IF( Time!U$47 = 0, CaseData!$G$19, _xlfn.XLOOKUP( U$3, CaseData!$G$27:$J$27, CaseData!$G$29:$J$29,, -1 ) ) / 4</f>
        <v>1.2500000000000001E-2</v>
      </c>
      <c r="V35" s="88">
        <f xml:space="preserve"> IF( Time!V$47 = 0, CaseData!$G$19, _xlfn.XLOOKUP( V$3, CaseData!$G$27:$J$27, CaseData!$G$29:$J$29,, -1 ) ) / 4</f>
        <v>1.2500000000000001E-2</v>
      </c>
      <c r="W35" s="88">
        <f xml:space="preserve"> IF( Time!W$47 = 0, CaseData!$G$19, _xlfn.XLOOKUP( W$3, CaseData!$G$27:$J$27, CaseData!$G$29:$J$29,, -1 ) ) / 4</f>
        <v>1.2500000000000001E-2</v>
      </c>
      <c r="X35" s="88">
        <f xml:space="preserve"> IF( Time!X$47 = 0, CaseData!$G$19, _xlfn.XLOOKUP( X$3, CaseData!$G$27:$J$27, CaseData!$G$29:$J$29,, -1 ) ) / 4</f>
        <v>1.2500000000000001E-2</v>
      </c>
      <c r="Y35" s="88">
        <f xml:space="preserve"> IF( Time!Y$47 = 0, CaseData!$G$19, _xlfn.XLOOKUP( Y$3, CaseData!$G$27:$J$27, CaseData!$G$29:$J$29,, -1 ) ) / 4</f>
        <v>1.2500000000000001E-2</v>
      </c>
      <c r="Z35" s="88">
        <f xml:space="preserve"> IF( Time!Z$47 = 0, CaseData!$G$19, _xlfn.XLOOKUP( Z$3, CaseData!$G$27:$J$27, CaseData!$G$29:$J$29,, -1 ) ) / 4</f>
        <v>1.2500000000000001E-2</v>
      </c>
      <c r="AA35" s="88">
        <f xml:space="preserve"> IF( Time!AA$47 = 0, CaseData!$G$19, _xlfn.XLOOKUP( AA$3, CaseData!$G$27:$J$27, CaseData!$G$29:$J$29,, -1 ) ) / 4</f>
        <v>1.2500000000000001E-2</v>
      </c>
      <c r="AB35" s="88">
        <f xml:space="preserve"> IF( Time!AB$47 = 0, CaseData!$G$19, _xlfn.XLOOKUP( AB$3, CaseData!$G$27:$J$27, CaseData!$G$29:$J$29,, -1 ) ) / 4</f>
        <v>1.2500000000000001E-2</v>
      </c>
      <c r="AC35" s="88">
        <f xml:space="preserve"> IF( Time!AC$47 = 0, CaseData!$G$19, _xlfn.XLOOKUP( AC$3, CaseData!$G$27:$J$27, CaseData!$G$29:$J$29,, -1 ) ) / 4</f>
        <v>1.2500000000000001E-2</v>
      </c>
      <c r="AD35" s="88">
        <f xml:space="preserve"> IF( Time!AD$47 = 0, CaseData!$G$19, _xlfn.XLOOKUP( AD$3, CaseData!$G$27:$J$27, CaseData!$G$29:$J$29,, -1 ) ) / 4</f>
        <v>1.2500000000000001E-2</v>
      </c>
      <c r="AE35" s="88">
        <f xml:space="preserve"> IF( Time!AE$47 = 0, CaseData!$G$19, _xlfn.XLOOKUP( AE$3, CaseData!$G$27:$J$27, CaseData!$G$29:$J$29,, -1 ) ) / 4</f>
        <v>1.2500000000000001E-2</v>
      </c>
      <c r="AF35" s="88">
        <f xml:space="preserve"> IF( Time!AF$47 = 0, CaseData!$G$19, _xlfn.XLOOKUP( AF$3, CaseData!$G$27:$J$27, CaseData!$G$29:$J$29,, -1 ) ) / 4</f>
        <v>1.2500000000000001E-2</v>
      </c>
      <c r="AG35" s="88">
        <f xml:space="preserve"> IF( Time!AG$47 = 0, CaseData!$G$19, _xlfn.XLOOKUP( AG$3, CaseData!$G$27:$J$27, CaseData!$G$29:$J$29,, -1 ) ) / 4</f>
        <v>1.2500000000000001E-2</v>
      </c>
      <c r="AH35" s="88">
        <f xml:space="preserve"> IF( Time!AH$47 = 0, CaseData!$G$19, _xlfn.XLOOKUP( AH$3, CaseData!$G$27:$J$27, CaseData!$G$29:$J$29,, -1 ) ) / 4</f>
        <v>1.2500000000000001E-2</v>
      </c>
      <c r="AI35" s="88">
        <f xml:space="preserve"> IF( Time!AI$47 = 0, CaseData!$G$19, _xlfn.XLOOKUP( AI$3, CaseData!$G$27:$J$27, CaseData!$G$29:$J$29,, -1 ) ) / 4</f>
        <v>1.2500000000000001E-2</v>
      </c>
      <c r="AJ35" s="88">
        <f xml:space="preserve"> IF( Time!AJ$47 = 0, CaseData!$G$19, _xlfn.XLOOKUP( AJ$3, CaseData!$G$27:$J$27, CaseData!$G$29:$J$29,, -1 ) ) / 4</f>
        <v>1.2500000000000001E-2</v>
      </c>
      <c r="AK35" s="88">
        <f xml:space="preserve"> IF( Time!AK$47 = 0, CaseData!$G$19, _xlfn.XLOOKUP( AK$3, CaseData!$G$27:$J$27, CaseData!$G$29:$J$29,, -1 ) ) / 4</f>
        <v>1.2500000000000001E-2</v>
      </c>
      <c r="AL35" s="88">
        <f xml:space="preserve"> IF( Time!AL$47 = 0, CaseData!$G$19, _xlfn.XLOOKUP( AL$3, CaseData!$G$27:$J$27, CaseData!$G$29:$J$29,, -1 ) ) / 4</f>
        <v>1.2500000000000001E-2</v>
      </c>
      <c r="AM35" s="88">
        <f xml:space="preserve"> IF( Time!AM$47 = 0, CaseData!$G$19, _xlfn.XLOOKUP( AM$3, CaseData!$G$27:$J$27, CaseData!$G$29:$J$29,, -1 ) ) / 4</f>
        <v>1.2500000000000001E-2</v>
      </c>
      <c r="AN35" s="88">
        <f xml:space="preserve"> IF( Time!AN$47 = 0, CaseData!$G$19, _xlfn.XLOOKUP( AN$3, CaseData!$G$27:$J$27, CaseData!$G$29:$J$29,, -1 ) ) / 4</f>
        <v>1.2500000000000001E-2</v>
      </c>
      <c r="AO35" s="88">
        <f xml:space="preserve"> IF( Time!AO$47 = 0, CaseData!$G$19, _xlfn.XLOOKUP( AO$3, CaseData!$G$27:$J$27, CaseData!$G$29:$J$29,, -1 ) ) / 4</f>
        <v>1.2500000000000001E-2</v>
      </c>
      <c r="AP35" s="88">
        <f xml:space="preserve"> IF( Time!AP$47 = 0, CaseData!$G$19, _xlfn.XLOOKUP( AP$3, CaseData!$G$27:$J$27, CaseData!$G$29:$J$29,, -1 ) ) / 4</f>
        <v>1.2500000000000001E-2</v>
      </c>
      <c r="AQ35" s="88">
        <f xml:space="preserve"> IF( Time!AQ$47 = 0, CaseData!$G$19, _xlfn.XLOOKUP( AQ$3, CaseData!$G$27:$J$27, CaseData!$G$29:$J$29,, -1 ) ) / 4</f>
        <v>1.2500000000000001E-2</v>
      </c>
      <c r="AR35" s="88">
        <f xml:space="preserve"> IF( Time!AR$47 = 0, CaseData!$G$19, _xlfn.XLOOKUP( AR$3, CaseData!$G$27:$J$27, CaseData!$G$29:$J$29,, -1 ) ) / 4</f>
        <v>1.2500000000000001E-2</v>
      </c>
      <c r="AS35" s="88">
        <f xml:space="preserve"> IF( Time!AS$47 = 0, CaseData!$G$19, _xlfn.XLOOKUP( AS$3, CaseData!$G$27:$J$27, CaseData!$G$29:$J$29,, -1 ) ) / 4</f>
        <v>1.2500000000000001E-2</v>
      </c>
      <c r="AT35" s="88">
        <f xml:space="preserve"> IF( Time!AT$47 = 0, CaseData!$G$19, _xlfn.XLOOKUP( AT$3, CaseData!$G$27:$J$27, CaseData!$G$29:$J$29,, -1 ) ) / 4</f>
        <v>1.2500000000000001E-2</v>
      </c>
      <c r="AU35" s="88">
        <f xml:space="preserve"> IF( Time!AU$47 = 0, CaseData!$G$19, _xlfn.XLOOKUP( AU$3, CaseData!$G$27:$J$27, CaseData!$G$29:$J$29,, -1 ) ) / 4</f>
        <v>1.2500000000000001E-2</v>
      </c>
      <c r="AV35" s="88">
        <f xml:space="preserve"> IF( Time!AV$47 = 0, CaseData!$G$19, _xlfn.XLOOKUP( AV$3, CaseData!$G$27:$J$27, CaseData!$G$29:$J$29,, -1 ) ) / 4</f>
        <v>1.2500000000000001E-2</v>
      </c>
      <c r="AW35" s="88">
        <f xml:space="preserve"> IF( Time!AW$47 = 0, CaseData!$G$19, _xlfn.XLOOKUP( AW$3, CaseData!$G$27:$J$27, CaseData!$G$29:$J$29,, -1 ) ) / 4</f>
        <v>1.125E-2</v>
      </c>
      <c r="AX35" s="88">
        <f xml:space="preserve"> IF( Time!AX$47 = 0, CaseData!$G$19, _xlfn.XLOOKUP( AX$3, CaseData!$G$27:$J$27, CaseData!$G$29:$J$29,, -1 ) ) / 4</f>
        <v>1.125E-2</v>
      </c>
      <c r="AY35" s="88">
        <f xml:space="preserve"> IF( Time!AY$47 = 0, CaseData!$G$19, _xlfn.XLOOKUP( AY$3, CaseData!$G$27:$J$27, CaseData!$G$29:$J$29,, -1 ) ) / 4</f>
        <v>1.125E-2</v>
      </c>
      <c r="AZ35" s="88">
        <f xml:space="preserve"> IF( Time!AZ$47 = 0, CaseData!$G$19, _xlfn.XLOOKUP( AZ$3, CaseData!$G$27:$J$27, CaseData!$G$29:$J$29,, -1 ) ) / 4</f>
        <v>1.125E-2</v>
      </c>
      <c r="BA35" s="88">
        <f xml:space="preserve"> IF( Time!BA$47 = 0, CaseData!$G$19, _xlfn.XLOOKUP( BA$3, CaseData!$G$27:$J$27, CaseData!$G$29:$J$29,, -1 ) ) / 4</f>
        <v>1.125E-2</v>
      </c>
      <c r="BB35" s="88">
        <f xml:space="preserve"> IF( Time!BB$47 = 0, CaseData!$G$19, _xlfn.XLOOKUP( BB$3, CaseData!$G$27:$J$27, CaseData!$G$29:$J$29,, -1 ) ) / 4</f>
        <v>1.125E-2</v>
      </c>
      <c r="BC35" s="88">
        <f xml:space="preserve"> IF( Time!BC$47 = 0, CaseData!$G$19, _xlfn.XLOOKUP( BC$3, CaseData!$G$27:$J$27, CaseData!$G$29:$J$29,, -1 ) ) / 4</f>
        <v>1.125E-2</v>
      </c>
      <c r="BD35" s="88">
        <f xml:space="preserve"> IF( Time!BD$47 = 0, CaseData!$G$19, _xlfn.XLOOKUP( BD$3, CaseData!$G$27:$J$27, CaseData!$G$29:$J$29,, -1 ) ) / 4</f>
        <v>1.125E-2</v>
      </c>
      <c r="BE35" s="88">
        <f xml:space="preserve"> IF( Time!BE$47 = 0, CaseData!$G$19, _xlfn.XLOOKUP( BE$3, CaseData!$G$27:$J$27, CaseData!$G$29:$J$29,, -1 ) ) / 4</f>
        <v>1.125E-2</v>
      </c>
      <c r="BF35" s="88">
        <f xml:space="preserve"> IF( Time!BF$47 = 0, CaseData!$G$19, _xlfn.XLOOKUP( BF$3, CaseData!$G$27:$J$27, CaseData!$G$29:$J$29,, -1 ) ) / 4</f>
        <v>1.125E-2</v>
      </c>
      <c r="BG35" s="88">
        <f xml:space="preserve"> IF( Time!BG$47 = 0, CaseData!$G$19, _xlfn.XLOOKUP( BG$3, CaseData!$G$27:$J$27, CaseData!$G$29:$J$29,, -1 ) ) / 4</f>
        <v>1.125E-2</v>
      </c>
      <c r="BH35" s="88">
        <f xml:space="preserve"> IF( Time!BH$47 = 0, CaseData!$G$19, _xlfn.XLOOKUP( BH$3, CaseData!$G$27:$J$27, CaseData!$G$29:$J$29,, -1 ) ) / 4</f>
        <v>1.125E-2</v>
      </c>
      <c r="BI35" s="88">
        <f xml:space="preserve"> IF( Time!BI$47 = 0, CaseData!$G$19, _xlfn.XLOOKUP( BI$3, CaseData!$G$27:$J$27, CaseData!$G$29:$J$29,, -1 ) ) / 4</f>
        <v>1.125E-2</v>
      </c>
      <c r="BJ35" s="88">
        <f xml:space="preserve"> IF( Time!BJ$47 = 0, CaseData!$G$19, _xlfn.XLOOKUP( BJ$3, CaseData!$G$27:$J$27, CaseData!$G$29:$J$29,, -1 ) ) / 4</f>
        <v>1.125E-2</v>
      </c>
      <c r="BK35" s="88">
        <f xml:space="preserve"> IF( Time!BK$47 = 0, CaseData!$G$19, _xlfn.XLOOKUP( BK$3, CaseData!$G$27:$J$27, CaseData!$G$29:$J$29,, -1 ) ) / 4</f>
        <v>1.125E-2</v>
      </c>
      <c r="BL35" s="88">
        <f xml:space="preserve"> IF( Time!BL$47 = 0, CaseData!$G$19, _xlfn.XLOOKUP( BL$3, CaseData!$G$27:$J$27, CaseData!$G$29:$J$29,, -1 ) ) / 4</f>
        <v>1.125E-2</v>
      </c>
      <c r="BM35" s="88">
        <f xml:space="preserve"> IF( Time!BM$47 = 0, CaseData!$G$19, _xlfn.XLOOKUP( BM$3, CaseData!$G$27:$J$27, CaseData!$G$29:$J$29,, -1 ) ) / 4</f>
        <v>1.125E-2</v>
      </c>
      <c r="BN35" s="88">
        <f xml:space="preserve"> IF( Time!BN$47 = 0, CaseData!$G$19, _xlfn.XLOOKUP( BN$3, CaseData!$G$27:$J$27, CaseData!$G$29:$J$29,, -1 ) ) / 4</f>
        <v>1.125E-2</v>
      </c>
      <c r="BO35" s="88">
        <f xml:space="preserve"> IF( Time!BO$47 = 0, CaseData!$G$19, _xlfn.XLOOKUP( BO$3, CaseData!$G$27:$J$27, CaseData!$G$29:$J$29,, -1 ) ) / 4</f>
        <v>1.125E-2</v>
      </c>
      <c r="BP35" s="88">
        <f xml:space="preserve"> IF( Time!BP$47 = 0, CaseData!$G$19, _xlfn.XLOOKUP( BP$3, CaseData!$G$27:$J$27, CaseData!$G$29:$J$29,, -1 ) ) / 4</f>
        <v>1.125E-2</v>
      </c>
      <c r="BQ35" s="88">
        <f xml:space="preserve"> IF( Time!BQ$47 = 0, CaseData!$G$19, _xlfn.XLOOKUP( BQ$3, CaseData!$G$27:$J$27, CaseData!$G$29:$J$29,, -1 ) ) / 4</f>
        <v>1.375E-2</v>
      </c>
      <c r="BR35" s="88">
        <f xml:space="preserve"> IF( Time!BR$47 = 0, CaseData!$G$19, _xlfn.XLOOKUP( BR$3, CaseData!$G$27:$J$27, CaseData!$G$29:$J$29,, -1 ) ) / 4</f>
        <v>1.375E-2</v>
      </c>
      <c r="BS35" s="88">
        <f xml:space="preserve"> IF( Time!BS$47 = 0, CaseData!$G$19, _xlfn.XLOOKUP( BS$3, CaseData!$G$27:$J$27, CaseData!$G$29:$J$29,, -1 ) ) / 4</f>
        <v>1.375E-2</v>
      </c>
      <c r="BT35" s="88">
        <f xml:space="preserve"> IF( Time!BT$47 = 0, CaseData!$G$19, _xlfn.XLOOKUP( BT$3, CaseData!$G$27:$J$27, CaseData!$G$29:$J$29,, -1 ) ) / 4</f>
        <v>1.375E-2</v>
      </c>
      <c r="BU35" s="88">
        <f xml:space="preserve"> IF( Time!BU$47 = 0, CaseData!$G$19, _xlfn.XLOOKUP( BU$3, CaseData!$G$27:$J$27, CaseData!$G$29:$J$29,, -1 ) ) / 4</f>
        <v>1.375E-2</v>
      </c>
      <c r="BV35" s="88">
        <f xml:space="preserve"> IF( Time!BV$47 = 0, CaseData!$G$19, _xlfn.XLOOKUP( BV$3, CaseData!$G$27:$J$27, CaseData!$G$29:$J$29,, -1 ) ) / 4</f>
        <v>1.375E-2</v>
      </c>
      <c r="BW35" s="88">
        <f xml:space="preserve"> IF( Time!BW$47 = 0, CaseData!$G$19, _xlfn.XLOOKUP( BW$3, CaseData!$G$27:$J$27, CaseData!$G$29:$J$29,, -1 ) ) / 4</f>
        <v>1.375E-2</v>
      </c>
      <c r="BX35" s="88">
        <f xml:space="preserve"> IF( Time!BX$47 = 0, CaseData!$G$19, _xlfn.XLOOKUP( BX$3, CaseData!$G$27:$J$27, CaseData!$G$29:$J$29,, -1 ) ) / 4</f>
        <v>1.375E-2</v>
      </c>
      <c r="BY35" s="88">
        <f xml:space="preserve"> IF( Time!BY$47 = 0, CaseData!$G$19, _xlfn.XLOOKUP( BY$3, CaseData!$G$27:$J$27, CaseData!$G$29:$J$29,, -1 ) ) / 4</f>
        <v>1.375E-2</v>
      </c>
      <c r="BZ35" s="88">
        <f xml:space="preserve"> IF( Time!BZ$47 = 0, CaseData!$G$19, _xlfn.XLOOKUP( BZ$3, CaseData!$G$27:$J$27, CaseData!$G$29:$J$29,, -1 ) ) / 4</f>
        <v>1.375E-2</v>
      </c>
      <c r="CA35" s="88">
        <f xml:space="preserve"> IF( Time!CA$47 = 0, CaseData!$G$19, _xlfn.XLOOKUP( CA$3, CaseData!$G$27:$J$27, CaseData!$G$29:$J$29,, -1 ) ) / 4</f>
        <v>1.375E-2</v>
      </c>
      <c r="CB35" s="88">
        <f xml:space="preserve"> IF( Time!CB$47 = 0, CaseData!$G$19, _xlfn.XLOOKUP( CB$3, CaseData!$G$27:$J$27, CaseData!$G$29:$J$29,, -1 ) ) / 4</f>
        <v>1.375E-2</v>
      </c>
      <c r="CC35" s="88">
        <f xml:space="preserve"> IF( Time!CC$47 = 0, CaseData!$G$19, _xlfn.XLOOKUP( CC$3, CaseData!$G$27:$J$27, CaseData!$G$29:$J$29,, -1 ) ) / 4</f>
        <v>1.375E-2</v>
      </c>
      <c r="CD35" s="88">
        <f xml:space="preserve"> IF( Time!CD$47 = 0, CaseData!$G$19, _xlfn.XLOOKUP( CD$3, CaseData!$G$27:$J$27, CaseData!$G$29:$J$29,, -1 ) ) / 4</f>
        <v>1.375E-2</v>
      </c>
      <c r="CE35" s="88">
        <f xml:space="preserve"> IF( Time!CE$47 = 0, CaseData!$G$19, _xlfn.XLOOKUP( CE$3, CaseData!$G$27:$J$27, CaseData!$G$29:$J$29,, -1 ) ) / 4</f>
        <v>1.375E-2</v>
      </c>
      <c r="CF35" s="88">
        <f xml:space="preserve"> IF( Time!CF$47 = 0, CaseData!$G$19, _xlfn.XLOOKUP( CF$3, CaseData!$G$27:$J$27, CaseData!$G$29:$J$29,, -1 ) ) / 4</f>
        <v>1.375E-2</v>
      </c>
      <c r="CG35" s="88">
        <f xml:space="preserve"> IF( Time!CG$47 = 0, CaseData!$G$19, _xlfn.XLOOKUP( CG$3, CaseData!$G$27:$J$27, CaseData!$G$29:$J$29,, -1 ) ) / 4</f>
        <v>1.375E-2</v>
      </c>
      <c r="CH35" s="88">
        <f xml:space="preserve"> IF( Time!CH$47 = 0, CaseData!$G$19, _xlfn.XLOOKUP( CH$3, CaseData!$G$27:$J$27, CaseData!$G$29:$J$29,, -1 ) ) / 4</f>
        <v>1.375E-2</v>
      </c>
      <c r="CI35" s="88">
        <f xml:space="preserve"> IF( Time!CI$47 = 0, CaseData!$G$19, _xlfn.XLOOKUP( CI$3, CaseData!$G$27:$J$27, CaseData!$G$29:$J$29,, -1 ) ) / 4</f>
        <v>1.375E-2</v>
      </c>
      <c r="CJ35" s="88">
        <f xml:space="preserve"> IF( Time!CJ$47 = 0, CaseData!$G$19, _xlfn.XLOOKUP( CJ$3, CaseData!$G$27:$J$27, CaseData!$G$29:$J$29,, -1 ) ) / 4</f>
        <v>1.375E-2</v>
      </c>
      <c r="CK35" s="88">
        <f xml:space="preserve"> IF( Time!CK$47 = 0, CaseData!$G$19, _xlfn.XLOOKUP( CK$3, CaseData!$G$27:$J$27, CaseData!$G$29:$J$29,, -1 ) ) / 4</f>
        <v>1.2500000000000001E-2</v>
      </c>
      <c r="CL35" s="88">
        <f xml:space="preserve"> IF( Time!CL$47 = 0, CaseData!$G$19, _xlfn.XLOOKUP( CL$3, CaseData!$G$27:$J$27, CaseData!$G$29:$J$29,, -1 ) ) / 4</f>
        <v>1.2500000000000001E-2</v>
      </c>
      <c r="CM35" s="88">
        <f xml:space="preserve"> IF( Time!CM$47 = 0, CaseData!$G$19, _xlfn.XLOOKUP( CM$3, CaseData!$G$27:$J$27, CaseData!$G$29:$J$29,, -1 ) ) / 4</f>
        <v>1.2500000000000001E-2</v>
      </c>
      <c r="CN35" s="88">
        <f xml:space="preserve"> IF( Time!CN$47 = 0, CaseData!$G$19, _xlfn.XLOOKUP( CN$3, CaseData!$G$27:$J$27, CaseData!$G$29:$J$29,, -1 ) ) / 4</f>
        <v>1.2500000000000001E-2</v>
      </c>
      <c r="CO35" s="88">
        <f xml:space="preserve"> IF( Time!CO$47 = 0, CaseData!$G$19, _xlfn.XLOOKUP( CO$3, CaseData!$G$27:$J$27, CaseData!$G$29:$J$29,, -1 ) ) / 4</f>
        <v>1.2500000000000001E-2</v>
      </c>
      <c r="CP35" s="88">
        <f xml:space="preserve"> IF( Time!CP$47 = 0, CaseData!$G$19, _xlfn.XLOOKUP( CP$3, CaseData!$G$27:$J$27, CaseData!$G$29:$J$29,, -1 ) ) / 4</f>
        <v>1.2500000000000001E-2</v>
      </c>
      <c r="CQ35" s="88">
        <f xml:space="preserve"> IF( Time!CQ$47 = 0, CaseData!$G$19, _xlfn.XLOOKUP( CQ$3, CaseData!$G$27:$J$27, CaseData!$G$29:$J$29,, -1 ) ) / 4</f>
        <v>1.2500000000000001E-2</v>
      </c>
      <c r="CR35" s="88">
        <f xml:space="preserve"> IF( Time!CR$47 = 0, CaseData!$G$19, _xlfn.XLOOKUP( CR$3, CaseData!$G$27:$J$27, CaseData!$G$29:$J$29,, -1 ) ) / 4</f>
        <v>1.2500000000000001E-2</v>
      </c>
      <c r="CS35" s="88">
        <f xml:space="preserve"> IF( Time!CS$47 = 0, CaseData!$G$19, _xlfn.XLOOKUP( CS$3, CaseData!$G$27:$J$27, CaseData!$G$29:$J$29,, -1 ) ) / 4</f>
        <v>1.2500000000000001E-2</v>
      </c>
      <c r="CT35" s="88">
        <f xml:space="preserve"> IF( Time!CT$47 = 0, CaseData!$G$19, _xlfn.XLOOKUP( CT$3, CaseData!$G$27:$J$27, CaseData!$G$29:$J$29,, -1 ) ) / 4</f>
        <v>1.2500000000000001E-2</v>
      </c>
      <c r="CU35" s="88">
        <f xml:space="preserve"> IF( Time!CU$47 = 0, CaseData!$G$19, _xlfn.XLOOKUP( CU$3, CaseData!$G$27:$J$27, CaseData!$G$29:$J$29,, -1 ) ) / 4</f>
        <v>1.2500000000000001E-2</v>
      </c>
      <c r="CV35" s="88">
        <f xml:space="preserve"> IF( Time!CV$47 = 0, CaseData!$G$19, _xlfn.XLOOKUP( CV$3, CaseData!$G$27:$J$27, CaseData!$G$29:$J$29,, -1 ) ) / 4</f>
        <v>1.2500000000000001E-2</v>
      </c>
      <c r="CW35" s="88">
        <f xml:space="preserve"> IF( Time!CW$47 = 0, CaseData!$G$19, _xlfn.XLOOKUP( CW$3, CaseData!$G$27:$J$27, CaseData!$G$29:$J$29,, -1 ) ) / 4</f>
        <v>1.2500000000000001E-2</v>
      </c>
      <c r="CX35" s="88">
        <f xml:space="preserve"> IF( Time!CX$47 = 0, CaseData!$G$19, _xlfn.XLOOKUP( CX$3, CaseData!$G$27:$J$27, CaseData!$G$29:$J$29,, -1 ) ) / 4</f>
        <v>1.2500000000000001E-2</v>
      </c>
      <c r="CY35" s="88">
        <f xml:space="preserve"> IF( Time!CY$47 = 0, CaseData!$G$19, _xlfn.XLOOKUP( CY$3, CaseData!$G$27:$J$27, CaseData!$G$29:$J$29,, -1 ) ) / 4</f>
        <v>1.2500000000000001E-2</v>
      </c>
      <c r="CZ35" s="88">
        <f xml:space="preserve"> IF( Time!CZ$47 = 0, CaseData!$G$19, _xlfn.XLOOKUP( CZ$3, CaseData!$G$27:$J$27, CaseData!$G$29:$J$29,, -1 ) ) / 4</f>
        <v>1.2500000000000001E-2</v>
      </c>
      <c r="DA35" s="88">
        <f xml:space="preserve"> IF( Time!DA$47 = 0, CaseData!$G$19, _xlfn.XLOOKUP( DA$3, CaseData!$G$27:$J$27, CaseData!$G$29:$J$29,, -1 ) ) / 4</f>
        <v>1.2500000000000001E-2</v>
      </c>
      <c r="DB35" s="88">
        <f xml:space="preserve"> IF( Time!DB$47 = 0, CaseData!$G$19, _xlfn.XLOOKUP( DB$3, CaseData!$G$27:$J$27, CaseData!$G$29:$J$29,, -1 ) ) / 4</f>
        <v>1.2500000000000001E-2</v>
      </c>
      <c r="DC35" s="88">
        <f xml:space="preserve"> IF( Time!DC$47 = 0, CaseData!$G$19, _xlfn.XLOOKUP( DC$3, CaseData!$G$27:$J$27, CaseData!$G$29:$J$29,, -1 ) ) / 4</f>
        <v>1.2500000000000001E-2</v>
      </c>
      <c r="DD35" s="88">
        <f xml:space="preserve"> IF( Time!DD$47 = 0, CaseData!$G$19, _xlfn.XLOOKUP( DD$3, CaseData!$G$27:$J$27, CaseData!$G$29:$J$29,, -1 ) ) / 4</f>
        <v>1.2500000000000001E-2</v>
      </c>
      <c r="DE35" s="88">
        <f xml:space="preserve"> IF( Time!DE$47 = 0, CaseData!$G$19, _xlfn.XLOOKUP( DE$3, CaseData!$G$27:$J$27, CaseData!$G$29:$J$29,, -1 ) ) / 4</f>
        <v>1.2500000000000001E-2</v>
      </c>
      <c r="DF35" s="88">
        <f xml:space="preserve"> IF( Time!DF$47 = 0, CaseData!$G$19, _xlfn.XLOOKUP( DF$3, CaseData!$G$27:$J$27, CaseData!$G$29:$J$29,, -1 ) ) / 4</f>
        <v>1.2500000000000001E-2</v>
      </c>
      <c r="DG35" s="88">
        <f xml:space="preserve"> IF( Time!DG$47 = 0, CaseData!$G$19, _xlfn.XLOOKUP( DG$3, CaseData!$G$27:$J$27, CaseData!$G$29:$J$29,, -1 ) ) / 4</f>
        <v>1.2500000000000001E-2</v>
      </c>
      <c r="DH35" s="88">
        <f xml:space="preserve"> IF( Time!DH$47 = 0, CaseData!$G$19, _xlfn.XLOOKUP( DH$3, CaseData!$G$27:$J$27, CaseData!$G$29:$J$29,, -1 ) ) / 4</f>
        <v>1.2500000000000001E-2</v>
      </c>
      <c r="DI35" s="88">
        <f xml:space="preserve"> IF( Time!DI$47 = 0, CaseData!$G$19, _xlfn.XLOOKUP( DI$3, CaseData!$G$27:$J$27, CaseData!$G$29:$J$29,, -1 ) ) / 4</f>
        <v>1.2500000000000001E-2</v>
      </c>
      <c r="DJ35" s="88">
        <f xml:space="preserve"> IF( Time!DJ$47 = 0, CaseData!$G$19, _xlfn.XLOOKUP( DJ$3, CaseData!$G$27:$J$27, CaseData!$G$29:$J$29,, -1 ) ) / 4</f>
        <v>1.2500000000000001E-2</v>
      </c>
      <c r="DK35" s="88">
        <f xml:space="preserve"> IF( Time!DK$47 = 0, CaseData!$G$19, _xlfn.XLOOKUP( DK$3, CaseData!$G$27:$J$27, CaseData!$G$29:$J$29,, -1 ) ) / 4</f>
        <v>1.2500000000000001E-2</v>
      </c>
      <c r="DL35" s="88">
        <f xml:space="preserve"> IF( Time!DL$47 = 0, CaseData!$G$19, _xlfn.XLOOKUP( DL$3, CaseData!$G$27:$J$27, CaseData!$G$29:$J$29,, -1 ) ) / 4</f>
        <v>1.2500000000000001E-2</v>
      </c>
      <c r="DM35" s="88">
        <f xml:space="preserve"> IF( Time!DM$47 = 0, CaseData!$G$19, _xlfn.XLOOKUP( DM$3, CaseData!$G$27:$J$27, CaseData!$G$29:$J$29,, -1 ) ) / 4</f>
        <v>1.2500000000000001E-2</v>
      </c>
      <c r="DN35" s="88">
        <f xml:space="preserve"> IF( Time!DN$47 = 0, CaseData!$G$19, _xlfn.XLOOKUP( DN$3, CaseData!$G$27:$J$27, CaseData!$G$29:$J$29,, -1 ) ) / 4</f>
        <v>1.2500000000000001E-2</v>
      </c>
      <c r="DO35" s="88">
        <f xml:space="preserve"> IF( Time!DO$47 = 0, CaseData!$G$19, _xlfn.XLOOKUP( DO$3, CaseData!$G$27:$J$27, CaseData!$G$29:$J$29,, -1 ) ) / 4</f>
        <v>1.2500000000000001E-2</v>
      </c>
      <c r="DP35" s="88">
        <f xml:space="preserve"> IF( Time!DP$47 = 0, CaseData!$G$19, _xlfn.XLOOKUP( DP$3, CaseData!$G$27:$J$27, CaseData!$G$29:$J$29,, -1 ) ) / 4</f>
        <v>1.2500000000000001E-2</v>
      </c>
      <c r="DQ35" s="88">
        <f xml:space="preserve"> IF( Time!DQ$47 = 0, CaseData!$G$19, _xlfn.XLOOKUP( DQ$3, CaseData!$G$27:$J$27, CaseData!$G$29:$J$29,, -1 ) ) / 4</f>
        <v>1.2500000000000001E-2</v>
      </c>
      <c r="DR35" s="88">
        <f xml:space="preserve"> IF( Time!DR$47 = 0, CaseData!$G$19, _xlfn.XLOOKUP( DR$3, CaseData!$G$27:$J$27, CaseData!$G$29:$J$29,, -1 ) ) / 4</f>
        <v>1.2500000000000001E-2</v>
      </c>
      <c r="DS35" s="88">
        <f xml:space="preserve"> IF( Time!DS$47 = 0, CaseData!$G$19, _xlfn.XLOOKUP( DS$3, CaseData!$G$27:$J$27, CaseData!$G$29:$J$29,, -1 ) ) / 4</f>
        <v>1.2500000000000001E-2</v>
      </c>
      <c r="DT35" s="88">
        <f xml:space="preserve"> IF( Time!DT$47 = 0, CaseData!$G$19, _xlfn.XLOOKUP( DT$3, CaseData!$G$27:$J$27, CaseData!$G$29:$J$29,, -1 ) ) / 4</f>
        <v>1.2500000000000001E-2</v>
      </c>
      <c r="DU35" s="88">
        <f xml:space="preserve"> IF( Time!DU$47 = 0, CaseData!$G$19, _xlfn.XLOOKUP( DU$3, CaseData!$G$27:$J$27, CaseData!$G$29:$J$29,, -1 ) ) / 4</f>
        <v>1.2500000000000001E-2</v>
      </c>
      <c r="DV35" s="88">
        <f xml:space="preserve"> IF( Time!DV$47 = 0, CaseData!$G$19, _xlfn.XLOOKUP( DV$3, CaseData!$G$27:$J$27, CaseData!$G$29:$J$29,, -1 ) ) / 4</f>
        <v>1.2500000000000001E-2</v>
      </c>
      <c r="DW35" s="88">
        <f xml:space="preserve"> IF( Time!DW$47 = 0, CaseData!$G$19, _xlfn.XLOOKUP( DW$3, CaseData!$G$27:$J$27, CaseData!$G$29:$J$29,, -1 ) ) / 4</f>
        <v>1.2500000000000001E-2</v>
      </c>
      <c r="DX35" s="88">
        <f xml:space="preserve"> IF( Time!DX$47 = 0, CaseData!$G$19, _xlfn.XLOOKUP( DX$3, CaseData!$G$27:$J$27, CaseData!$G$29:$J$29,, -1 ) ) / 4</f>
        <v>1.2500000000000001E-2</v>
      </c>
      <c r="DY35" s="88">
        <f xml:space="preserve"> IF( Time!DY$47 = 0, CaseData!$G$19, _xlfn.XLOOKUP( DY$3, CaseData!$G$27:$J$27, CaseData!$G$29:$J$29,, -1 ) ) / 4</f>
        <v>1.2500000000000001E-2</v>
      </c>
    </row>
    <row r="36" spans="1:129">
      <c r="E36" t="s">
        <v>206</v>
      </c>
      <c r="F36" s="85"/>
      <c r="G36" t="s">
        <v>146</v>
      </c>
      <c r="J36" s="93">
        <f xml:space="preserve"> PV( J$35, Time!J$32, Cashflow!J$34 ) * - 1</f>
        <v>9999999.9999999963</v>
      </c>
      <c r="K36">
        <f xml:space="preserve"> PV( K$35, Time!K$32, Cashflow!K$34 ) * - 1</f>
        <v>9949257.2123579849</v>
      </c>
      <c r="L36">
        <f xml:space="preserve"> PV( L$35, Time!L$32, Cashflow!L$34 ) * - 1</f>
        <v>9897880.1398704499</v>
      </c>
      <c r="M36">
        <f xml:space="preserve"> PV( M$35, Time!M$32, Cashflow!M$34 ) * - 1</f>
        <v>9845860.8539768178</v>
      </c>
      <c r="N36">
        <f xml:space="preserve"> PV( N$35, Time!N$32, Cashflow!N$34 ) * - 1</f>
        <v>9793191.3270095158</v>
      </c>
      <c r="O36">
        <f xml:space="preserve"> PV( O$35, Time!O$32, Cashflow!O$34 ) * - 1</f>
        <v>9739863.4309551232</v>
      </c>
      <c r="P36">
        <f xml:space="preserve"> PV( P$35, Time!P$32, Cashflow!P$34 ) * - 1</f>
        <v>9685868.9362000525</v>
      </c>
      <c r="Q36">
        <f xml:space="preserve"> PV( Q$35, Time!Q$32, Cashflow!Q$34 ) * - 1</f>
        <v>9631199.5102605391</v>
      </c>
      <c r="R36">
        <f xml:space="preserve"> PV( R$35, Time!R$32, Cashflow!R$34 ) * - 1</f>
        <v>9575846.7164967861</v>
      </c>
      <c r="S36">
        <f xml:space="preserve"> PV( S$35, Time!S$32, Cashflow!S$34 ) * - 1</f>
        <v>9519802.0128109846</v>
      </c>
      <c r="T36">
        <f xml:space="preserve"> PV( T$35, Time!T$32, Cashflow!T$34 ) * - 1</f>
        <v>9463056.7503291108</v>
      </c>
      <c r="U36">
        <f xml:space="preserve"> PV( U$35, Time!U$32, Cashflow!U$34 ) * - 1</f>
        <v>9405602.1720662117</v>
      </c>
      <c r="V36">
        <f xml:space="preserve"> PV( V$35, Time!V$32, Cashflow!V$34 ) * - 1</f>
        <v>9347429.4115750287</v>
      </c>
      <c r="W36">
        <f xml:space="preserve"> PV( W$35, Time!W$32, Cashflow!W$34 ) * - 1</f>
        <v>9288529.4915777035</v>
      </c>
      <c r="X36">
        <f xml:space="preserve"> PV( X$35, Time!X$32, Cashflow!X$34 ) * - 1</f>
        <v>9228893.3225804158</v>
      </c>
      <c r="Y36">
        <f xml:space="preserve"> PV( Y$35, Time!Y$32, Cashflow!Y$34 ) * - 1</f>
        <v>9168511.7014706582</v>
      </c>
      <c r="Z36">
        <f xml:space="preserve"> PV( Z$35, Time!Z$32, Cashflow!Z$34 ) * - 1</f>
        <v>9107375.3100970313</v>
      </c>
      <c r="AA36">
        <f xml:space="preserve"> PV( AA$35, Time!AA$32, Cashflow!AA$34 ) * - 1</f>
        <v>9045474.713831231</v>
      </c>
      <c r="AB36">
        <f xml:space="preserve"> PV( AB$35, Time!AB$32, Cashflow!AB$34 ) * - 1</f>
        <v>8982800.360112112</v>
      </c>
      <c r="AC36">
        <f xml:space="preserve"> PV( AC$35, Time!AC$32, Cashflow!AC$34 ) * - 1</f>
        <v>8919342.5769715011</v>
      </c>
      <c r="AD36">
        <f xml:space="preserve"> PV( AD$35, Time!AD$32, Cashflow!AD$34 ) * - 1</f>
        <v>9614099.4205309153</v>
      </c>
      <c r="AE36">
        <f xml:space="preserve"> PV( AE$35, Time!AE$32, Cashflow!AE$34 ) * - 1</f>
        <v>9543469.2081333678</v>
      </c>
      <c r="AF36">
        <f xml:space="preserve"> PV( AF$35, Time!AF$32, Cashflow!AF$34 ) * - 1</f>
        <v>9471956.1180808526</v>
      </c>
      <c r="AG36">
        <f xml:space="preserve"> PV( AG$35, Time!AG$32, Cashflow!AG$34 ) * - 1</f>
        <v>9399549.114402676</v>
      </c>
      <c r="AH36">
        <f xml:space="preserve"> PV( AH$35, Time!AH$32, Cashflow!AH$34 ) * - 1</f>
        <v>9326237.023178529</v>
      </c>
      <c r="AI36">
        <f xml:space="preserve"> PV( AI$35, Time!AI$32, Cashflow!AI$34 ) * - 1</f>
        <v>9252008.5308140758</v>
      </c>
      <c r="AJ36">
        <f xml:space="preserve"> PV( AJ$35, Time!AJ$32, Cashflow!AJ$34 ) * - 1</f>
        <v>9176852.1822950691</v>
      </c>
      <c r="AK36">
        <f xml:space="preserve"> PV( AK$35, Time!AK$32, Cashflow!AK$34 ) * - 1</f>
        <v>9100756.3794195727</v>
      </c>
      <c r="AL36">
        <f xml:space="preserve"> PV( AL$35, Time!AL$32, Cashflow!AL$34 ) * - 1</f>
        <v>9023709.379008133</v>
      </c>
      <c r="AM36">
        <f xml:space="preserve"> PV( AM$35, Time!AM$32, Cashflow!AM$34 ) * - 1</f>
        <v>8945699.2910915501</v>
      </c>
      <c r="AN36">
        <f xml:space="preserve"> PV( AN$35, Time!AN$32, Cashflow!AN$34 ) * - 1</f>
        <v>8866714.0770760123</v>
      </c>
      <c r="AO36">
        <f xml:space="preserve"> PV( AO$35, Time!AO$32, Cashflow!AO$34 ) * - 1</f>
        <v>8786741.5478852764</v>
      </c>
      <c r="AP36">
        <f xml:space="preserve"> PV( AP$35, Time!AP$32, Cashflow!AP$34 ) * - 1</f>
        <v>8705769.3620796613</v>
      </c>
      <c r="AQ36">
        <f xml:space="preserve"> PV( AQ$35, Time!AQ$32, Cashflow!AQ$34 ) * - 1</f>
        <v>8623785.0239514709</v>
      </c>
      <c r="AR36">
        <f xml:space="preserve"> PV( AR$35, Time!AR$32, Cashflow!AR$34 ) * - 1</f>
        <v>8540775.8815966826</v>
      </c>
      <c r="AS36">
        <f xml:space="preserve"> PV( AS$35, Time!AS$32, Cashflow!AS$34 ) * - 1</f>
        <v>8456729.1249624565</v>
      </c>
      <c r="AT36">
        <f xml:space="preserve"> PV( AT$35, Time!AT$32, Cashflow!AT$34 ) * - 1</f>
        <v>8371631.7838703031</v>
      </c>
      <c r="AU36">
        <f xml:space="preserve"> PV( AU$35, Time!AU$32, Cashflow!AU$34 ) * - 1</f>
        <v>8285470.7260144977</v>
      </c>
      <c r="AV36">
        <f xml:space="preserve"> PV( AV$35, Time!AV$32, Cashflow!AV$34 ) * - 1</f>
        <v>8198232.6549354969</v>
      </c>
      <c r="AW36">
        <f xml:space="preserve"> PV( AW$35, Time!AW$32, Cashflow!AW$34 ) * - 1</f>
        <v>8388815.2493154444</v>
      </c>
      <c r="AX36">
        <f xml:space="preserve"> PV( AX$35, Time!AX$32, Cashflow!AX$34 ) * - 1</f>
        <v>8728824.1744379587</v>
      </c>
      <c r="AY36">
        <f xml:space="preserve"> PV( AY$35, Time!AY$32, Cashflow!AY$34 ) * - 1</f>
        <v>8626174.546238089</v>
      </c>
      <c r="AZ36">
        <f xml:space="preserve"> PV( AZ$35, Time!AZ$32, Cashflow!AZ$34 ) * - 1</f>
        <v>8522370.1097209696</v>
      </c>
      <c r="BA36">
        <f xml:space="preserve"> PV( BA$35, Time!BA$32, Cashflow!BA$34 ) * - 1</f>
        <v>8417397.873293031</v>
      </c>
      <c r="BB36">
        <f xml:space="preserve"> PV( BB$35, Time!BB$32, Cashflow!BB$34 ) * - 1</f>
        <v>8311244.6992052784</v>
      </c>
      <c r="BC36">
        <f xml:space="preserve"> PV( BC$35, Time!BC$32, Cashflow!BC$34 ) * - 1</f>
        <v>8203897.301909036</v>
      </c>
      <c r="BD36">
        <f xml:space="preserve"> PV( BD$35, Time!BD$32, Cashflow!BD$34 ) * - 1</f>
        <v>8095342.2463932177</v>
      </c>
      <c r="BE36">
        <f xml:space="preserve"> PV( BE$35, Time!BE$32, Cashflow!BE$34 ) * - 1</f>
        <v>7985565.9465028429</v>
      </c>
      <c r="BF36">
        <f xml:space="preserve"> PV( BF$35, Time!BF$32, Cashflow!BF$34 ) * - 1</f>
        <v>7874554.6632387014</v>
      </c>
      <c r="BG36">
        <f xml:space="preserve"> PV( BG$35, Time!BG$32, Cashflow!BG$34 ) * - 1</f>
        <v>7762294.5030378364</v>
      </c>
      <c r="BH36">
        <f xml:space="preserve"> PV( BH$35, Time!BH$32, Cashflow!BH$34 ) * - 1</f>
        <v>7648771.4160347153</v>
      </c>
      <c r="BI36">
        <f xml:space="preserve"> PV( BI$35, Time!BI$32, Cashflow!BI$34 ) * - 1</f>
        <v>7533971.1943028066</v>
      </c>
      <c r="BJ36">
        <f xml:space="preserve"> PV( BJ$35, Time!BJ$32, Cashflow!BJ$34 ) * - 1</f>
        <v>7417879.4700764148</v>
      </c>
      <c r="BK36">
        <f xml:space="preserve"> PV( BK$35, Time!BK$32, Cashflow!BK$34 ) * - 1</f>
        <v>7300481.7139524724</v>
      </c>
      <c r="BL36">
        <f xml:space="preserve"> PV( BL$35, Time!BL$32, Cashflow!BL$34 ) * - 1</f>
        <v>7181763.2330721421</v>
      </c>
      <c r="BM36">
        <f xml:space="preserve"> PV( BM$35, Time!BM$32, Cashflow!BM$34 ) * - 1</f>
        <v>7061709.1692819046</v>
      </c>
      <c r="BN36">
        <f xml:space="preserve"> PV( BN$35, Time!BN$32, Cashflow!BN$34 ) * - 1</f>
        <v>6940304.4972740281</v>
      </c>
      <c r="BO36">
        <f xml:space="preserve"> PV( BO$35, Time!BO$32, Cashflow!BO$34 ) * - 1</f>
        <v>6817534.0227060616</v>
      </c>
      <c r="BP36">
        <f xml:space="preserve"> PV( BP$35, Time!BP$32, Cashflow!BP$34 ) * - 1</f>
        <v>6693382.3802992068</v>
      </c>
      <c r="BQ36">
        <f xml:space="preserve"> PV( BQ$35, Time!BQ$32, Cashflow!BQ$34 ) * - 1</f>
        <v>6262675.739529876</v>
      </c>
      <c r="BR36">
        <f xml:space="preserve"> PV( BR$35, Time!BR$32, Cashflow!BR$34 ) * - 1</f>
        <v>6916430.9596343776</v>
      </c>
      <c r="BS36">
        <f xml:space="preserve"> PV( BS$35, Time!BS$32, Cashflow!BS$34 ) * - 1</f>
        <v>6785576.8726467649</v>
      </c>
      <c r="BT36">
        <f xml:space="preserve"> PV( BT$35, Time!BT$32, Cashflow!BT$34 ) * - 1</f>
        <v>6652923.5419630697</v>
      </c>
      <c r="BU36">
        <f xml:space="preserve"> PV( BU$35, Time!BU$32, Cashflow!BU$34 ) * - 1</f>
        <v>6518446.2279824764</v>
      </c>
      <c r="BV36">
        <f xml:space="preserve"> PV( BV$35, Time!BV$32, Cashflow!BV$34 ) * - 1</f>
        <v>6382119.8509346498</v>
      </c>
      <c r="BW36">
        <f xml:space="preserve"> PV( BW$35, Time!BW$32, Cashflow!BW$34 ) * - 1</f>
        <v>6243918.9862024151</v>
      </c>
      <c r="BX36">
        <f xml:space="preserve"> PV( BX$35, Time!BX$32, Cashflow!BX$34 ) * - 1</f>
        <v>6103817.8595801117</v>
      </c>
      <c r="BY36">
        <f xml:space="preserve"> PV( BY$35, Time!BY$32, Cashflow!BY$34 ) * - 1</f>
        <v>5961790.3424667539</v>
      </c>
      <c r="BZ36">
        <f xml:space="preserve"> PV( BZ$35, Time!BZ$32, Cashflow!BZ$34 ) * - 1</f>
        <v>5817809.9469930846</v>
      </c>
      <c r="CA36">
        <f xml:space="preserve"> PV( CA$35, Time!CA$32, Cashflow!CA$34 ) * - 1</f>
        <v>5671849.8210816542</v>
      </c>
      <c r="CB36">
        <f xml:space="preserve"> PV( CB$35, Time!CB$32, Cashflow!CB$34 ) * - 1</f>
        <v>5523882.7434389405</v>
      </c>
      <c r="CC36">
        <f xml:space="preserve"> PV( CC$35, Time!CC$32, Cashflow!CC$34 ) * - 1</f>
        <v>5373881.1184786391</v>
      </c>
      <c r="CD36">
        <f xml:space="preserve"> PV( CD$35, Time!CD$32, Cashflow!CD$34 ) * - 1</f>
        <v>5221816.9711751342</v>
      </c>
      <c r="CE36">
        <f xml:space="preserve"> PV( CE$35, Time!CE$32, Cashflow!CE$34 ) * - 1</f>
        <v>5067661.9418462086</v>
      </c>
      <c r="CF36">
        <f xml:space="preserve"> PV( CF$35, Time!CF$32, Cashflow!CF$34 ) * - 1</f>
        <v>4911387.2808640059</v>
      </c>
      <c r="CG36">
        <f xml:space="preserve"> PV( CG$35, Time!CG$32, Cashflow!CG$34 ) * - 1</f>
        <v>4752963.8432933018</v>
      </c>
      <c r="CH36">
        <f xml:space="preserve"> PV( CH$35, Time!CH$32, Cashflow!CH$34 ) * - 1</f>
        <v>4592362.0834559975</v>
      </c>
      <c r="CI36">
        <f xml:space="preserve"> PV( CI$35, Time!CI$32, Cashflow!CI$34 ) * - 1</f>
        <v>4429552.0494209314</v>
      </c>
      <c r="CJ36">
        <f xml:space="preserve"> PV( CJ$35, Time!CJ$32, Cashflow!CJ$34 ) * - 1</f>
        <v>4264503.3774178829</v>
      </c>
      <c r="CK36">
        <f xml:space="preserve"> PV( CK$35, Time!CK$32, Cashflow!CK$34 ) * - 1</f>
        <v>4150724.654811231</v>
      </c>
      <c r="CL36">
        <f xml:space="preserve"> PV( CL$35, Time!CL$32, Cashflow!CL$34 ) * - 1</f>
        <v>4418504.1114597628</v>
      </c>
      <c r="CM36">
        <f xml:space="preserve"> PV( CM$35, Time!CM$32, Cashflow!CM$34 ) * - 1</f>
        <v>4222674.2876501363</v>
      </c>
      <c r="CN36">
        <f xml:space="preserve"> PV( CN$35, Time!CN$32, Cashflow!CN$34 ) * - 1</f>
        <v>4024396.5910428921</v>
      </c>
      <c r="CO36">
        <f xml:space="preserve"> PV( CO$35, Time!CO$32, Cashflow!CO$34 ) * - 1</f>
        <v>3823640.4232280529</v>
      </c>
      <c r="CP36">
        <f xml:space="preserve"> PV( CP$35, Time!CP$32, Cashflow!CP$34 ) * - 1</f>
        <v>3620374.8033155305</v>
      </c>
      <c r="CQ36">
        <f xml:space="preserve"> PV( CQ$35, Time!CQ$32, Cashflow!CQ$34 ) * - 1</f>
        <v>3414568.3631540979</v>
      </c>
      <c r="CR36">
        <f xml:space="preserve"> PV( CR$35, Time!CR$32, Cashflow!CR$34 ) * - 1</f>
        <v>3206189.342490654</v>
      </c>
      <c r="CS36">
        <f xml:space="preserve"> PV( CS$35, Time!CS$32, Cashflow!CS$34 ) * - 1</f>
        <v>2995205.5840689107</v>
      </c>
      <c r="CT36">
        <f xml:space="preserve"> PV( CT$35, Time!CT$32, Cashflow!CT$34 ) * - 1</f>
        <v>2781584.5286669019</v>
      </c>
      <c r="CU36">
        <f xml:space="preserve"> PV( CU$35, Time!CU$32, Cashflow!CU$34 ) * - 1</f>
        <v>2565293.2100723614</v>
      </c>
      <c r="CV36">
        <f xml:space="preserve"> PV( CV$35, Time!CV$32, Cashflow!CV$34 ) * - 1</f>
        <v>2346298.2499953969</v>
      </c>
      <c r="CW36">
        <f xml:space="preserve"> PV( CW$35, Time!CW$32, Cashflow!CW$34 ) * - 1</f>
        <v>2124565.852917464</v>
      </c>
      <c r="CX36">
        <f xml:space="preserve"> PV( CX$35, Time!CX$32, Cashflow!CX$34 ) * - 1</f>
        <v>1900061.8008760598</v>
      </c>
      <c r="CY36">
        <f xml:space="preserve"> PV( CY$35, Time!CY$32, Cashflow!CY$34 ) * - 1</f>
        <v>1672751.4481841335</v>
      </c>
      <c r="CZ36">
        <f xml:space="preserve"> PV( CZ$35, Time!CZ$32, Cashflow!CZ$34 ) * - 1</f>
        <v>1442599.7160835643</v>
      </c>
      <c r="DA36">
        <f xml:space="preserve"> PV( DA$35, Time!DA$32, Cashflow!DA$34 ) * - 1</f>
        <v>1209571.0873317344</v>
      </c>
      <c r="DB36">
        <f xml:space="preserve"> PV( DB$35, Time!DB$32, Cashflow!DB$34 ) * - 1</f>
        <v>973629.60072051024</v>
      </c>
      <c r="DC36">
        <f xml:space="preserve"> PV( DC$35, Time!DC$32, Cashflow!DC$34 ) * - 1</f>
        <v>734738.845526641</v>
      </c>
      <c r="DD36">
        <f xml:space="preserve"> PV( DD$35, Time!DD$32, Cashflow!DD$34 ) * - 1</f>
        <v>492861.95589285332</v>
      </c>
      <c r="DE36">
        <f xml:space="preserve"> PV( DE$35, Time!DE$32, Cashflow!DE$34 ) * - 1</f>
        <v>247961.60513863969</v>
      </c>
      <c r="DF36">
        <f xml:space="preserve"> PV( DF$35, Time!DF$32, Cashflow!DF$34 ) * - 1</f>
        <v>0</v>
      </c>
      <c r="DG36">
        <f xml:space="preserve"> PV( DG$35, Time!DG$32, Cashflow!DG$34 ) * - 1</f>
        <v>0</v>
      </c>
      <c r="DH36">
        <f xml:space="preserve"> PV( DH$35, Time!DH$32, Cashflow!DH$34 ) * - 1</f>
        <v>0</v>
      </c>
      <c r="DI36">
        <f xml:space="preserve"> PV( DI$35, Time!DI$32, Cashflow!DI$34 ) * - 1</f>
        <v>0</v>
      </c>
      <c r="DJ36">
        <f xml:space="preserve"> PV( DJ$35, Time!DJ$32, Cashflow!DJ$34 ) * - 1</f>
        <v>0</v>
      </c>
      <c r="DK36">
        <f xml:space="preserve"> PV( DK$35, Time!DK$32, Cashflow!DK$34 ) * - 1</f>
        <v>0</v>
      </c>
      <c r="DL36">
        <f xml:space="preserve"> PV( DL$35, Time!DL$32, Cashflow!DL$34 ) * - 1</f>
        <v>0</v>
      </c>
      <c r="DM36">
        <f xml:space="preserve"> PV( DM$35, Time!DM$32, Cashflow!DM$34 ) * - 1</f>
        <v>0</v>
      </c>
      <c r="DN36">
        <f xml:space="preserve"> PV( DN$35, Time!DN$32, Cashflow!DN$34 ) * - 1</f>
        <v>0</v>
      </c>
      <c r="DO36">
        <f xml:space="preserve"> PV( DO$35, Time!DO$32, Cashflow!DO$34 ) * - 1</f>
        <v>0</v>
      </c>
      <c r="DP36">
        <f xml:space="preserve"> PV( DP$35, Time!DP$32, Cashflow!DP$34 ) * - 1</f>
        <v>0</v>
      </c>
      <c r="DQ36">
        <f xml:space="preserve"> PV( DQ$35, Time!DQ$32, Cashflow!DQ$34 ) * - 1</f>
        <v>0</v>
      </c>
      <c r="DR36">
        <f xml:space="preserve"> PV( DR$35, Time!DR$32, Cashflow!DR$34 ) * - 1</f>
        <v>0</v>
      </c>
      <c r="DS36">
        <f xml:space="preserve"> PV( DS$35, Time!DS$32, Cashflow!DS$34 ) * - 1</f>
        <v>0</v>
      </c>
      <c r="DT36">
        <f xml:space="preserve"> PV( DT$35, Time!DT$32, Cashflow!DT$34 ) * - 1</f>
        <v>0</v>
      </c>
      <c r="DU36">
        <f xml:space="preserve"> PV( DU$35, Time!DU$32, Cashflow!DU$34 ) * - 1</f>
        <v>0</v>
      </c>
      <c r="DV36">
        <f xml:space="preserve"> PV( DV$35, Time!DV$32, Cashflow!DV$34 ) * - 1</f>
        <v>0</v>
      </c>
      <c r="DW36">
        <f xml:space="preserve"> PV( DW$35, Time!DW$32, Cashflow!DW$34 ) * - 1</f>
        <v>0</v>
      </c>
      <c r="DX36">
        <f xml:space="preserve"> PV( DX$35, Time!DX$32, Cashflow!DX$34 ) * - 1</f>
        <v>0</v>
      </c>
      <c r="DY36">
        <f xml:space="preserve"> PV( DY$35, Time!DY$32, Cashflow!DY$34 ) * - 1</f>
        <v>0</v>
      </c>
    </row>
    <row r="37" spans="1:129">
      <c r="E37" t="s">
        <v>207</v>
      </c>
      <c r="G37" t="s">
        <v>146</v>
      </c>
      <c r="J37">
        <f xml:space="preserve"> IF( Time!J$40, Cashflow!K$36, 0 )</f>
        <v>0</v>
      </c>
      <c r="K37">
        <f xml:space="preserve"> IF( Time!K$40, Cashflow!L$36, 0 )</f>
        <v>0</v>
      </c>
      <c r="L37">
        <f xml:space="preserve"> IF( Time!L$40, Cashflow!M$36, 0 )</f>
        <v>0</v>
      </c>
      <c r="M37">
        <f xml:space="preserve"> IF( Time!M$40, Cashflow!N$36, 0 )</f>
        <v>0</v>
      </c>
      <c r="N37">
        <f xml:space="preserve"> IF( Time!N$40, Cashflow!O$36, 0 )</f>
        <v>0</v>
      </c>
      <c r="O37">
        <f xml:space="preserve"> IF( Time!O$40, Cashflow!P$36, 0 )</f>
        <v>0</v>
      </c>
      <c r="P37">
        <f xml:space="preserve"> IF( Time!P$40, Cashflow!Q$36, 0 )</f>
        <v>0</v>
      </c>
      <c r="Q37">
        <f xml:space="preserve"> IF( Time!Q$40, Cashflow!R$36, 0 )</f>
        <v>0</v>
      </c>
      <c r="R37">
        <f xml:space="preserve"> IF( Time!R$40, Cashflow!S$36, 0 )</f>
        <v>0</v>
      </c>
      <c r="S37">
        <f xml:space="preserve"> IF( Time!S$40, Cashflow!T$36, 0 )</f>
        <v>0</v>
      </c>
      <c r="T37">
        <f xml:space="preserve"> IF( Time!T$40, Cashflow!U$36, 0 )</f>
        <v>0</v>
      </c>
      <c r="U37">
        <f xml:space="preserve"> IF( Time!U$40, Cashflow!V$36, 0 )</f>
        <v>0</v>
      </c>
      <c r="V37">
        <f xml:space="preserve"> IF( Time!V$40, Cashflow!W$36, 0 )</f>
        <v>0</v>
      </c>
      <c r="W37">
        <f xml:space="preserve"> IF( Time!W$40, Cashflow!X$36, 0 )</f>
        <v>0</v>
      </c>
      <c r="X37">
        <f xml:space="preserve"> IF( Time!X$40, Cashflow!Y$36, 0 )</f>
        <v>0</v>
      </c>
      <c r="Y37">
        <f xml:space="preserve"> IF( Time!Y$40, Cashflow!Z$36, 0 )</f>
        <v>0</v>
      </c>
      <c r="Z37">
        <f xml:space="preserve"> IF( Time!Z$40, Cashflow!AA$36, 0 )</f>
        <v>0</v>
      </c>
      <c r="AA37">
        <f xml:space="preserve"> IF( Time!AA$40, Cashflow!AB$36, 0 )</f>
        <v>0</v>
      </c>
      <c r="AB37">
        <f xml:space="preserve"> IF( Time!AB$40, Cashflow!AC$36, 0 )</f>
        <v>0</v>
      </c>
      <c r="AC37">
        <f xml:space="preserve"> IF( Time!AC$40, Cashflow!AD$36, 0 )</f>
        <v>9614099.4205309153</v>
      </c>
      <c r="AD37">
        <f xml:space="preserve"> IF( Time!AD$40, Cashflow!AE$36, 0 )</f>
        <v>0</v>
      </c>
      <c r="AE37">
        <f xml:space="preserve"> IF( Time!AE$40, Cashflow!AF$36, 0 )</f>
        <v>0</v>
      </c>
      <c r="AF37">
        <f xml:space="preserve"> IF( Time!AF$40, Cashflow!AG$36, 0 )</f>
        <v>0</v>
      </c>
      <c r="AG37">
        <f xml:space="preserve"> IF( Time!AG$40, Cashflow!AH$36, 0 )</f>
        <v>0</v>
      </c>
      <c r="AH37">
        <f xml:space="preserve"> IF( Time!AH$40, Cashflow!AI$36, 0 )</f>
        <v>0</v>
      </c>
      <c r="AI37">
        <f xml:space="preserve"> IF( Time!AI$40, Cashflow!AJ$36, 0 )</f>
        <v>0</v>
      </c>
      <c r="AJ37">
        <f xml:space="preserve"> IF( Time!AJ$40, Cashflow!AK$36, 0 )</f>
        <v>0</v>
      </c>
      <c r="AK37">
        <f xml:space="preserve"> IF( Time!AK$40, Cashflow!AL$36, 0 )</f>
        <v>0</v>
      </c>
      <c r="AL37">
        <f xml:space="preserve"> IF( Time!AL$40, Cashflow!AM$36, 0 )</f>
        <v>0</v>
      </c>
      <c r="AM37">
        <f xml:space="preserve"> IF( Time!AM$40, Cashflow!AN$36, 0 )</f>
        <v>0</v>
      </c>
      <c r="AN37">
        <f xml:space="preserve"> IF( Time!AN$40, Cashflow!AO$36, 0 )</f>
        <v>0</v>
      </c>
      <c r="AO37">
        <f xml:space="preserve"> IF( Time!AO$40, Cashflow!AP$36, 0 )</f>
        <v>0</v>
      </c>
      <c r="AP37">
        <f xml:space="preserve"> IF( Time!AP$40, Cashflow!AQ$36, 0 )</f>
        <v>0</v>
      </c>
      <c r="AQ37">
        <f xml:space="preserve"> IF( Time!AQ$40, Cashflow!AR$36, 0 )</f>
        <v>0</v>
      </c>
      <c r="AR37">
        <f xml:space="preserve"> IF( Time!AR$40, Cashflow!AS$36, 0 )</f>
        <v>0</v>
      </c>
      <c r="AS37">
        <f xml:space="preserve"> IF( Time!AS$40, Cashflow!AT$36, 0 )</f>
        <v>0</v>
      </c>
      <c r="AT37">
        <f xml:space="preserve"> IF( Time!AT$40, Cashflow!AU$36, 0 )</f>
        <v>0</v>
      </c>
      <c r="AU37">
        <f xml:space="preserve"> IF( Time!AU$40, Cashflow!AV$36, 0 )</f>
        <v>0</v>
      </c>
      <c r="AV37">
        <f xml:space="preserve"> IF( Time!AV$40, Cashflow!AW$36, 0 )</f>
        <v>0</v>
      </c>
      <c r="AW37">
        <f xml:space="preserve"> IF( Time!AW$40, Cashflow!AX$36, 0 )</f>
        <v>8728824.1744379587</v>
      </c>
      <c r="AX37">
        <f xml:space="preserve"> IF( Time!AX$40, Cashflow!AY$36, 0 )</f>
        <v>0</v>
      </c>
      <c r="AY37">
        <f xml:space="preserve"> IF( Time!AY$40, Cashflow!AZ$36, 0 )</f>
        <v>0</v>
      </c>
      <c r="AZ37">
        <f xml:space="preserve"> IF( Time!AZ$40, Cashflow!BA$36, 0 )</f>
        <v>0</v>
      </c>
      <c r="BA37">
        <f xml:space="preserve"> IF( Time!BA$40, Cashflow!BB$36, 0 )</f>
        <v>0</v>
      </c>
      <c r="BB37">
        <f xml:space="preserve"> IF( Time!BB$40, Cashflow!BC$36, 0 )</f>
        <v>0</v>
      </c>
      <c r="BC37">
        <f xml:space="preserve"> IF( Time!BC$40, Cashflow!BD$36, 0 )</f>
        <v>0</v>
      </c>
      <c r="BD37">
        <f xml:space="preserve"> IF( Time!BD$40, Cashflow!BE$36, 0 )</f>
        <v>0</v>
      </c>
      <c r="BE37">
        <f xml:space="preserve"> IF( Time!BE$40, Cashflow!BF$36, 0 )</f>
        <v>0</v>
      </c>
      <c r="BF37">
        <f xml:space="preserve"> IF( Time!BF$40, Cashflow!BG$36, 0 )</f>
        <v>0</v>
      </c>
      <c r="BG37">
        <f xml:space="preserve"> IF( Time!BG$40, Cashflow!BH$36, 0 )</f>
        <v>0</v>
      </c>
      <c r="BH37">
        <f xml:space="preserve"> IF( Time!BH$40, Cashflow!BI$36, 0 )</f>
        <v>0</v>
      </c>
      <c r="BI37">
        <f xml:space="preserve"> IF( Time!BI$40, Cashflow!BJ$36, 0 )</f>
        <v>0</v>
      </c>
      <c r="BJ37">
        <f xml:space="preserve"> IF( Time!BJ$40, Cashflow!BK$36, 0 )</f>
        <v>0</v>
      </c>
      <c r="BK37">
        <f xml:space="preserve"> IF( Time!BK$40, Cashflow!BL$36, 0 )</f>
        <v>0</v>
      </c>
      <c r="BL37">
        <f xml:space="preserve"> IF( Time!BL$40, Cashflow!BM$36, 0 )</f>
        <v>0</v>
      </c>
      <c r="BM37">
        <f xml:space="preserve"> IF( Time!BM$40, Cashflow!BN$36, 0 )</f>
        <v>0</v>
      </c>
      <c r="BN37">
        <f xml:space="preserve"> IF( Time!BN$40, Cashflow!BO$36, 0 )</f>
        <v>0</v>
      </c>
      <c r="BO37">
        <f xml:space="preserve"> IF( Time!BO$40, Cashflow!BP$36, 0 )</f>
        <v>0</v>
      </c>
      <c r="BP37">
        <f xml:space="preserve"> IF( Time!BP$40, Cashflow!BQ$36, 0 )</f>
        <v>0</v>
      </c>
      <c r="BQ37">
        <f xml:space="preserve"> IF( Time!BQ$40, Cashflow!BR$36, 0 )</f>
        <v>6916430.9596343776</v>
      </c>
      <c r="BR37">
        <f xml:space="preserve"> IF( Time!BR$40, Cashflow!BS$36, 0 )</f>
        <v>0</v>
      </c>
      <c r="BS37">
        <f xml:space="preserve"> IF( Time!BS$40, Cashflow!BT$36, 0 )</f>
        <v>0</v>
      </c>
      <c r="BT37">
        <f xml:space="preserve"> IF( Time!BT$40, Cashflow!BU$36, 0 )</f>
        <v>0</v>
      </c>
      <c r="BU37">
        <f xml:space="preserve"> IF( Time!BU$40, Cashflow!BV$36, 0 )</f>
        <v>0</v>
      </c>
      <c r="BV37">
        <f xml:space="preserve"> IF( Time!BV$40, Cashflow!BW$36, 0 )</f>
        <v>0</v>
      </c>
      <c r="BW37">
        <f xml:space="preserve"> IF( Time!BW$40, Cashflow!BX$36, 0 )</f>
        <v>0</v>
      </c>
      <c r="BX37">
        <f xml:space="preserve"> IF( Time!BX$40, Cashflow!BY$36, 0 )</f>
        <v>0</v>
      </c>
      <c r="BY37">
        <f xml:space="preserve"> IF( Time!BY$40, Cashflow!BZ$36, 0 )</f>
        <v>0</v>
      </c>
      <c r="BZ37">
        <f xml:space="preserve"> IF( Time!BZ$40, Cashflow!CA$36, 0 )</f>
        <v>0</v>
      </c>
      <c r="CA37">
        <f xml:space="preserve"> IF( Time!CA$40, Cashflow!CB$36, 0 )</f>
        <v>0</v>
      </c>
      <c r="CB37">
        <f xml:space="preserve"> IF( Time!CB$40, Cashflow!CC$36, 0 )</f>
        <v>0</v>
      </c>
      <c r="CC37">
        <f xml:space="preserve"> IF( Time!CC$40, Cashflow!CD$36, 0 )</f>
        <v>0</v>
      </c>
      <c r="CD37">
        <f xml:space="preserve"> IF( Time!CD$40, Cashflow!CE$36, 0 )</f>
        <v>0</v>
      </c>
      <c r="CE37">
        <f xml:space="preserve"> IF( Time!CE$40, Cashflow!CF$36, 0 )</f>
        <v>0</v>
      </c>
      <c r="CF37">
        <f xml:space="preserve"> IF( Time!CF$40, Cashflow!CG$36, 0 )</f>
        <v>0</v>
      </c>
      <c r="CG37">
        <f xml:space="preserve"> IF( Time!CG$40, Cashflow!CH$36, 0 )</f>
        <v>0</v>
      </c>
      <c r="CH37">
        <f xml:space="preserve"> IF( Time!CH$40, Cashflow!CI$36, 0 )</f>
        <v>0</v>
      </c>
      <c r="CI37">
        <f xml:space="preserve"> IF( Time!CI$40, Cashflow!CJ$36, 0 )</f>
        <v>0</v>
      </c>
      <c r="CJ37">
        <f xml:space="preserve"> IF( Time!CJ$40, Cashflow!CK$36, 0 )</f>
        <v>0</v>
      </c>
      <c r="CK37">
        <f xml:space="preserve"> IF( Time!CK$40, Cashflow!CL$36, 0 )</f>
        <v>4418504.1114597628</v>
      </c>
      <c r="CL37">
        <f xml:space="preserve"> IF( Time!CL$40, Cashflow!CM$36, 0 )</f>
        <v>0</v>
      </c>
      <c r="CM37">
        <f xml:space="preserve"> IF( Time!CM$40, Cashflow!CN$36, 0 )</f>
        <v>0</v>
      </c>
      <c r="CN37">
        <f xml:space="preserve"> IF( Time!CN$40, Cashflow!CO$36, 0 )</f>
        <v>0</v>
      </c>
      <c r="CO37">
        <f xml:space="preserve"> IF( Time!CO$40, Cashflow!CP$36, 0 )</f>
        <v>0</v>
      </c>
      <c r="CP37">
        <f xml:space="preserve"> IF( Time!CP$40, Cashflow!CQ$36, 0 )</f>
        <v>0</v>
      </c>
      <c r="CQ37">
        <f xml:space="preserve"> IF( Time!CQ$40, Cashflow!CR$36, 0 )</f>
        <v>0</v>
      </c>
      <c r="CR37">
        <f xml:space="preserve"> IF( Time!CR$40, Cashflow!CS$36, 0 )</f>
        <v>0</v>
      </c>
      <c r="CS37">
        <f xml:space="preserve"> IF( Time!CS$40, Cashflow!CT$36, 0 )</f>
        <v>0</v>
      </c>
      <c r="CT37">
        <f xml:space="preserve"> IF( Time!CT$40, Cashflow!CU$36, 0 )</f>
        <v>0</v>
      </c>
      <c r="CU37">
        <f xml:space="preserve"> IF( Time!CU$40, Cashflow!CV$36, 0 )</f>
        <v>0</v>
      </c>
      <c r="CV37">
        <f xml:space="preserve"> IF( Time!CV$40, Cashflow!CW$36, 0 )</f>
        <v>0</v>
      </c>
      <c r="CW37">
        <f xml:space="preserve"> IF( Time!CW$40, Cashflow!CX$36, 0 )</f>
        <v>0</v>
      </c>
      <c r="CX37">
        <f xml:space="preserve"> IF( Time!CX$40, Cashflow!CY$36, 0 )</f>
        <v>0</v>
      </c>
      <c r="CY37">
        <f xml:space="preserve"> IF( Time!CY$40, Cashflow!CZ$36, 0 )</f>
        <v>0</v>
      </c>
      <c r="CZ37">
        <f xml:space="preserve"> IF( Time!CZ$40, Cashflow!DA$36, 0 )</f>
        <v>0</v>
      </c>
      <c r="DA37">
        <f xml:space="preserve"> IF( Time!DA$40, Cashflow!DB$36, 0 )</f>
        <v>0</v>
      </c>
      <c r="DB37">
        <f xml:space="preserve"> IF( Time!DB$40, Cashflow!DC$36, 0 )</f>
        <v>0</v>
      </c>
      <c r="DC37">
        <f xml:space="preserve"> IF( Time!DC$40, Cashflow!DD$36, 0 )</f>
        <v>0</v>
      </c>
      <c r="DD37">
        <f xml:space="preserve"> IF( Time!DD$40, Cashflow!DE$36, 0 )</f>
        <v>0</v>
      </c>
      <c r="DE37">
        <f xml:space="preserve"> IF( Time!DE$40, Cashflow!DF$36, 0 )</f>
        <v>0</v>
      </c>
      <c r="DF37">
        <f xml:space="preserve"> IF( Time!DF$40, Cashflow!DG$36, 0 )</f>
        <v>0</v>
      </c>
      <c r="DG37">
        <f xml:space="preserve"> IF( Time!DG$40, Cashflow!DH$36, 0 )</f>
        <v>0</v>
      </c>
      <c r="DH37">
        <f xml:space="preserve"> IF( Time!DH$40, Cashflow!DI$36, 0 )</f>
        <v>0</v>
      </c>
      <c r="DI37">
        <f xml:space="preserve"> IF( Time!DI$40, Cashflow!DJ$36, 0 )</f>
        <v>0</v>
      </c>
      <c r="DJ37">
        <f xml:space="preserve"> IF( Time!DJ$40, Cashflow!DK$36, 0 )</f>
        <v>0</v>
      </c>
      <c r="DK37">
        <f xml:space="preserve"> IF( Time!DK$40, Cashflow!DL$36, 0 )</f>
        <v>0</v>
      </c>
      <c r="DL37">
        <f xml:space="preserve"> IF( Time!DL$40, Cashflow!DM$36, 0 )</f>
        <v>0</v>
      </c>
      <c r="DM37">
        <f xml:space="preserve"> IF( Time!DM$40, Cashflow!DN$36, 0 )</f>
        <v>0</v>
      </c>
      <c r="DN37">
        <f xml:space="preserve"> IF( Time!DN$40, Cashflow!DO$36, 0 )</f>
        <v>0</v>
      </c>
      <c r="DO37">
        <f xml:space="preserve"> IF( Time!DO$40, Cashflow!DP$36, 0 )</f>
        <v>0</v>
      </c>
      <c r="DP37">
        <f xml:space="preserve"> IF( Time!DP$40, Cashflow!DQ$36, 0 )</f>
        <v>0</v>
      </c>
      <c r="DQ37">
        <f xml:space="preserve"> IF( Time!DQ$40, Cashflow!DR$36, 0 )</f>
        <v>0</v>
      </c>
      <c r="DR37">
        <f xml:space="preserve"> IF( Time!DR$40, Cashflow!DS$36, 0 )</f>
        <v>0</v>
      </c>
      <c r="DS37">
        <f xml:space="preserve"> IF( Time!DS$40, Cashflow!DT$36, 0 )</f>
        <v>0</v>
      </c>
      <c r="DT37">
        <f xml:space="preserve"> IF( Time!DT$40, Cashflow!DU$36, 0 )</f>
        <v>0</v>
      </c>
      <c r="DU37">
        <f xml:space="preserve"> IF( Time!DU$40, Cashflow!DV$36, 0 )</f>
        <v>0</v>
      </c>
      <c r="DV37">
        <f xml:space="preserve"> IF( Time!DV$40, Cashflow!DW$36, 0 )</f>
        <v>0</v>
      </c>
      <c r="DW37">
        <f xml:space="preserve"> IF( Time!DW$40, Cashflow!DX$36, 0 )</f>
        <v>0</v>
      </c>
      <c r="DX37">
        <f xml:space="preserve"> IF( Time!DX$40, Cashflow!DY$36, 0 )</f>
        <v>0</v>
      </c>
      <c r="DY37">
        <f xml:space="preserve"> IF( Time!DY$40, Cashflow!DZ$36, 0 )</f>
        <v>0</v>
      </c>
    </row>
    <row r="38" spans="1:129">
      <c r="E38" t="s">
        <v>208</v>
      </c>
      <c r="G38" t="s">
        <v>146</v>
      </c>
      <c r="J38" s="92">
        <f xml:space="preserve"> J$37 * _xlfn.XLOOKUP( J$3, CaseData!$G$27:$J$27, CaseData!$G$28:$J$28, 0 )</f>
        <v>0</v>
      </c>
      <c r="K38" s="92">
        <f xml:space="preserve"> K$37 * _xlfn.XLOOKUP( K$3, CaseData!$G$27:$J$27, CaseData!$G$28:$J$28, 0 )</f>
        <v>0</v>
      </c>
      <c r="L38" s="92">
        <f xml:space="preserve"> L$37 * _xlfn.XLOOKUP( L$3, CaseData!$G$27:$J$27, CaseData!$G$28:$J$28, 0 )</f>
        <v>0</v>
      </c>
      <c r="M38" s="92">
        <f xml:space="preserve"> M$37 * _xlfn.XLOOKUP( M$3, CaseData!$G$27:$J$27, CaseData!$G$28:$J$28, 0 )</f>
        <v>0</v>
      </c>
      <c r="N38" s="92">
        <f xml:space="preserve"> N$37 * _xlfn.XLOOKUP( N$3, CaseData!$G$27:$J$27, CaseData!$G$28:$J$28, 0 )</f>
        <v>0</v>
      </c>
      <c r="O38" s="92">
        <f xml:space="preserve"> O$37 * _xlfn.XLOOKUP( O$3, CaseData!$G$27:$J$27, CaseData!$G$28:$J$28, 0 )</f>
        <v>0</v>
      </c>
      <c r="P38" s="92">
        <f xml:space="preserve"> P$37 * _xlfn.XLOOKUP( P$3, CaseData!$G$27:$J$27, CaseData!$G$28:$J$28, 0 )</f>
        <v>0</v>
      </c>
      <c r="Q38" s="92">
        <f xml:space="preserve"> Q$37 * _xlfn.XLOOKUP( Q$3, CaseData!$G$27:$J$27, CaseData!$G$28:$J$28, 0 )</f>
        <v>0</v>
      </c>
      <c r="R38" s="92">
        <f xml:space="preserve"> R$37 * _xlfn.XLOOKUP( R$3, CaseData!$G$27:$J$27, CaseData!$G$28:$J$28, 0 )</f>
        <v>0</v>
      </c>
      <c r="S38" s="92">
        <f xml:space="preserve"> S$37 * _xlfn.XLOOKUP( S$3, CaseData!$G$27:$J$27, CaseData!$G$28:$J$28, 0 )</f>
        <v>0</v>
      </c>
      <c r="T38" s="92">
        <f xml:space="preserve"> T$37 * _xlfn.XLOOKUP( T$3, CaseData!$G$27:$J$27, CaseData!$G$28:$J$28, 0 )</f>
        <v>0</v>
      </c>
      <c r="U38" s="92">
        <f xml:space="preserve"> U$37 * _xlfn.XLOOKUP( U$3, CaseData!$G$27:$J$27, CaseData!$G$28:$J$28, 0 )</f>
        <v>0</v>
      </c>
      <c r="V38" s="92">
        <f xml:space="preserve"> V$37 * _xlfn.XLOOKUP( V$3, CaseData!$G$27:$J$27, CaseData!$G$28:$J$28, 0 )</f>
        <v>0</v>
      </c>
      <c r="W38" s="92">
        <f xml:space="preserve"> W$37 * _xlfn.XLOOKUP( W$3, CaseData!$G$27:$J$27, CaseData!$G$28:$J$28, 0 )</f>
        <v>0</v>
      </c>
      <c r="X38" s="92">
        <f xml:space="preserve"> X$37 * _xlfn.XLOOKUP( X$3, CaseData!$G$27:$J$27, CaseData!$G$28:$J$28, 0 )</f>
        <v>0</v>
      </c>
      <c r="Y38" s="92">
        <f xml:space="preserve"> Y$37 * _xlfn.XLOOKUP( Y$3, CaseData!$G$27:$J$27, CaseData!$G$28:$J$28, 0 )</f>
        <v>0</v>
      </c>
      <c r="Z38" s="92">
        <f xml:space="preserve"> Z$37 * _xlfn.XLOOKUP( Z$3, CaseData!$G$27:$J$27, CaseData!$G$28:$J$28, 0 )</f>
        <v>0</v>
      </c>
      <c r="AA38" s="92">
        <f xml:space="preserve"> AA$37 * _xlfn.XLOOKUP( AA$3, CaseData!$G$27:$J$27, CaseData!$G$28:$J$28, 0 )</f>
        <v>0</v>
      </c>
      <c r="AB38" s="92">
        <f xml:space="preserve"> AB$37 * _xlfn.XLOOKUP( AB$3, CaseData!$G$27:$J$27, CaseData!$G$28:$J$28, 0 )</f>
        <v>0</v>
      </c>
      <c r="AC38" s="92">
        <f xml:space="preserve"> AC$37 * _xlfn.XLOOKUP( AC$3, CaseData!$G$27:$J$27, CaseData!$G$28:$J$28, 0 )</f>
        <v>96140.994205309151</v>
      </c>
      <c r="AD38" s="92">
        <f xml:space="preserve"> AD$37 * _xlfn.XLOOKUP( AD$3, CaseData!$G$27:$J$27, CaseData!$G$28:$J$28, 0 )</f>
        <v>0</v>
      </c>
      <c r="AE38" s="92">
        <f xml:space="preserve"> AE$37 * _xlfn.XLOOKUP( AE$3, CaseData!$G$27:$J$27, CaseData!$G$28:$J$28, 0 )</f>
        <v>0</v>
      </c>
      <c r="AF38" s="92">
        <f xml:space="preserve"> AF$37 * _xlfn.XLOOKUP( AF$3, CaseData!$G$27:$J$27, CaseData!$G$28:$J$28, 0 )</f>
        <v>0</v>
      </c>
      <c r="AG38" s="92">
        <f xml:space="preserve"> AG$37 * _xlfn.XLOOKUP( AG$3, CaseData!$G$27:$J$27, CaseData!$G$28:$J$28, 0 )</f>
        <v>0</v>
      </c>
      <c r="AH38" s="92">
        <f xml:space="preserve"> AH$37 * _xlfn.XLOOKUP( AH$3, CaseData!$G$27:$J$27, CaseData!$G$28:$J$28, 0 )</f>
        <v>0</v>
      </c>
      <c r="AI38" s="92">
        <f xml:space="preserve"> AI$37 * _xlfn.XLOOKUP( AI$3, CaseData!$G$27:$J$27, CaseData!$G$28:$J$28, 0 )</f>
        <v>0</v>
      </c>
      <c r="AJ38" s="92">
        <f xml:space="preserve"> AJ$37 * _xlfn.XLOOKUP( AJ$3, CaseData!$G$27:$J$27, CaseData!$G$28:$J$28, 0 )</f>
        <v>0</v>
      </c>
      <c r="AK38" s="92">
        <f xml:space="preserve"> AK$37 * _xlfn.XLOOKUP( AK$3, CaseData!$G$27:$J$27, CaseData!$G$28:$J$28, 0 )</f>
        <v>0</v>
      </c>
      <c r="AL38" s="92">
        <f xml:space="preserve"> AL$37 * _xlfn.XLOOKUP( AL$3, CaseData!$G$27:$J$27, CaseData!$G$28:$J$28, 0 )</f>
        <v>0</v>
      </c>
      <c r="AM38" s="92">
        <f xml:space="preserve"> AM$37 * _xlfn.XLOOKUP( AM$3, CaseData!$G$27:$J$27, CaseData!$G$28:$J$28, 0 )</f>
        <v>0</v>
      </c>
      <c r="AN38" s="92">
        <f xml:space="preserve"> AN$37 * _xlfn.XLOOKUP( AN$3, CaseData!$G$27:$J$27, CaseData!$G$28:$J$28, 0 )</f>
        <v>0</v>
      </c>
      <c r="AO38" s="92">
        <f xml:space="preserve"> AO$37 * _xlfn.XLOOKUP( AO$3, CaseData!$G$27:$J$27, CaseData!$G$28:$J$28, 0 )</f>
        <v>0</v>
      </c>
      <c r="AP38" s="92">
        <f xml:space="preserve"> AP$37 * _xlfn.XLOOKUP( AP$3, CaseData!$G$27:$J$27, CaseData!$G$28:$J$28, 0 )</f>
        <v>0</v>
      </c>
      <c r="AQ38" s="92">
        <f xml:space="preserve"> AQ$37 * _xlfn.XLOOKUP( AQ$3, CaseData!$G$27:$J$27, CaseData!$G$28:$J$28, 0 )</f>
        <v>0</v>
      </c>
      <c r="AR38" s="92">
        <f xml:space="preserve"> AR$37 * _xlfn.XLOOKUP( AR$3, CaseData!$G$27:$J$27, CaseData!$G$28:$J$28, 0 )</f>
        <v>0</v>
      </c>
      <c r="AS38" s="92">
        <f xml:space="preserve"> AS$37 * _xlfn.XLOOKUP( AS$3, CaseData!$G$27:$J$27, CaseData!$G$28:$J$28, 0 )</f>
        <v>0</v>
      </c>
      <c r="AT38" s="92">
        <f xml:space="preserve"> AT$37 * _xlfn.XLOOKUP( AT$3, CaseData!$G$27:$J$27, CaseData!$G$28:$J$28, 0 )</f>
        <v>0</v>
      </c>
      <c r="AU38" s="92">
        <f xml:space="preserve"> AU$37 * _xlfn.XLOOKUP( AU$3, CaseData!$G$27:$J$27, CaseData!$G$28:$J$28, 0 )</f>
        <v>0</v>
      </c>
      <c r="AV38" s="92">
        <f xml:space="preserve"> AV$37 * _xlfn.XLOOKUP( AV$3, CaseData!$G$27:$J$27, CaseData!$G$28:$J$28, 0 )</f>
        <v>0</v>
      </c>
      <c r="AW38" s="92">
        <f xml:space="preserve"> AW$37 * _xlfn.XLOOKUP( AW$3, CaseData!$G$27:$J$27, CaseData!$G$28:$J$28, 0 )</f>
        <v>87288.241744379586</v>
      </c>
      <c r="AX38" s="92">
        <f xml:space="preserve"> AX$37 * _xlfn.XLOOKUP( AX$3, CaseData!$G$27:$J$27, CaseData!$G$28:$J$28, 0 )</f>
        <v>0</v>
      </c>
      <c r="AY38" s="92">
        <f xml:space="preserve"> AY$37 * _xlfn.XLOOKUP( AY$3, CaseData!$G$27:$J$27, CaseData!$G$28:$J$28, 0 )</f>
        <v>0</v>
      </c>
      <c r="AZ38" s="92">
        <f xml:space="preserve"> AZ$37 * _xlfn.XLOOKUP( AZ$3, CaseData!$G$27:$J$27, CaseData!$G$28:$J$28, 0 )</f>
        <v>0</v>
      </c>
      <c r="BA38" s="92">
        <f xml:space="preserve"> BA$37 * _xlfn.XLOOKUP( BA$3, CaseData!$G$27:$J$27, CaseData!$G$28:$J$28, 0 )</f>
        <v>0</v>
      </c>
      <c r="BB38" s="92">
        <f xml:space="preserve"> BB$37 * _xlfn.XLOOKUP( BB$3, CaseData!$G$27:$J$27, CaseData!$G$28:$J$28, 0 )</f>
        <v>0</v>
      </c>
      <c r="BC38" s="92">
        <f xml:space="preserve"> BC$37 * _xlfn.XLOOKUP( BC$3, CaseData!$G$27:$J$27, CaseData!$G$28:$J$28, 0 )</f>
        <v>0</v>
      </c>
      <c r="BD38" s="92">
        <f xml:space="preserve"> BD$37 * _xlfn.XLOOKUP( BD$3, CaseData!$G$27:$J$27, CaseData!$G$28:$J$28, 0 )</f>
        <v>0</v>
      </c>
      <c r="BE38" s="92">
        <f xml:space="preserve"> BE$37 * _xlfn.XLOOKUP( BE$3, CaseData!$G$27:$J$27, CaseData!$G$28:$J$28, 0 )</f>
        <v>0</v>
      </c>
      <c r="BF38" s="92">
        <f xml:space="preserve"> BF$37 * _xlfn.XLOOKUP( BF$3, CaseData!$G$27:$J$27, CaseData!$G$28:$J$28, 0 )</f>
        <v>0</v>
      </c>
      <c r="BG38" s="92">
        <f xml:space="preserve"> BG$37 * _xlfn.XLOOKUP( BG$3, CaseData!$G$27:$J$27, CaseData!$G$28:$J$28, 0 )</f>
        <v>0</v>
      </c>
      <c r="BH38" s="92">
        <f xml:space="preserve"> BH$37 * _xlfn.XLOOKUP( BH$3, CaseData!$G$27:$J$27, CaseData!$G$28:$J$28, 0 )</f>
        <v>0</v>
      </c>
      <c r="BI38" s="92">
        <f xml:space="preserve"> BI$37 * _xlfn.XLOOKUP( BI$3, CaseData!$G$27:$J$27, CaseData!$G$28:$J$28, 0 )</f>
        <v>0</v>
      </c>
      <c r="BJ38" s="92">
        <f xml:space="preserve"> BJ$37 * _xlfn.XLOOKUP( BJ$3, CaseData!$G$27:$J$27, CaseData!$G$28:$J$28, 0 )</f>
        <v>0</v>
      </c>
      <c r="BK38" s="92">
        <f xml:space="preserve"> BK$37 * _xlfn.XLOOKUP( BK$3, CaseData!$G$27:$J$27, CaseData!$G$28:$J$28, 0 )</f>
        <v>0</v>
      </c>
      <c r="BL38" s="92">
        <f xml:space="preserve"> BL$37 * _xlfn.XLOOKUP( BL$3, CaseData!$G$27:$J$27, CaseData!$G$28:$J$28, 0 )</f>
        <v>0</v>
      </c>
      <c r="BM38" s="92">
        <f xml:space="preserve"> BM$37 * _xlfn.XLOOKUP( BM$3, CaseData!$G$27:$J$27, CaseData!$G$28:$J$28, 0 )</f>
        <v>0</v>
      </c>
      <c r="BN38" s="92">
        <f xml:space="preserve"> BN$37 * _xlfn.XLOOKUP( BN$3, CaseData!$G$27:$J$27, CaseData!$G$28:$J$28, 0 )</f>
        <v>0</v>
      </c>
      <c r="BO38" s="92">
        <f xml:space="preserve"> BO$37 * _xlfn.XLOOKUP( BO$3, CaseData!$G$27:$J$27, CaseData!$G$28:$J$28, 0 )</f>
        <v>0</v>
      </c>
      <c r="BP38" s="92">
        <f xml:space="preserve"> BP$37 * _xlfn.XLOOKUP( BP$3, CaseData!$G$27:$J$27, CaseData!$G$28:$J$28, 0 )</f>
        <v>0</v>
      </c>
      <c r="BQ38" s="92">
        <f xml:space="preserve"> BQ$37 * _xlfn.XLOOKUP( BQ$3, CaseData!$G$27:$J$27, CaseData!$G$28:$J$28, 0 )</f>
        <v>69164.309596343781</v>
      </c>
      <c r="BR38" s="92">
        <f xml:space="preserve"> BR$37 * _xlfn.XLOOKUP( BR$3, CaseData!$G$27:$J$27, CaseData!$G$28:$J$28, 0 )</f>
        <v>0</v>
      </c>
      <c r="BS38" s="92">
        <f xml:space="preserve"> BS$37 * _xlfn.XLOOKUP( BS$3, CaseData!$G$27:$J$27, CaseData!$G$28:$J$28, 0 )</f>
        <v>0</v>
      </c>
      <c r="BT38" s="92">
        <f xml:space="preserve"> BT$37 * _xlfn.XLOOKUP( BT$3, CaseData!$G$27:$J$27, CaseData!$G$28:$J$28, 0 )</f>
        <v>0</v>
      </c>
      <c r="BU38" s="92">
        <f xml:space="preserve"> BU$37 * _xlfn.XLOOKUP( BU$3, CaseData!$G$27:$J$27, CaseData!$G$28:$J$28, 0 )</f>
        <v>0</v>
      </c>
      <c r="BV38" s="92">
        <f xml:space="preserve"> BV$37 * _xlfn.XLOOKUP( BV$3, CaseData!$G$27:$J$27, CaseData!$G$28:$J$28, 0 )</f>
        <v>0</v>
      </c>
      <c r="BW38" s="92">
        <f xml:space="preserve"> BW$37 * _xlfn.XLOOKUP( BW$3, CaseData!$G$27:$J$27, CaseData!$G$28:$J$28, 0 )</f>
        <v>0</v>
      </c>
      <c r="BX38" s="92">
        <f xml:space="preserve"> BX$37 * _xlfn.XLOOKUP( BX$3, CaseData!$G$27:$J$27, CaseData!$G$28:$J$28, 0 )</f>
        <v>0</v>
      </c>
      <c r="BY38" s="92">
        <f xml:space="preserve"> BY$37 * _xlfn.XLOOKUP( BY$3, CaseData!$G$27:$J$27, CaseData!$G$28:$J$28, 0 )</f>
        <v>0</v>
      </c>
      <c r="BZ38" s="92">
        <f xml:space="preserve"> BZ$37 * _xlfn.XLOOKUP( BZ$3, CaseData!$G$27:$J$27, CaseData!$G$28:$J$28, 0 )</f>
        <v>0</v>
      </c>
      <c r="CA38" s="92">
        <f xml:space="preserve"> CA$37 * _xlfn.XLOOKUP( CA$3, CaseData!$G$27:$J$27, CaseData!$G$28:$J$28, 0 )</f>
        <v>0</v>
      </c>
      <c r="CB38" s="92">
        <f xml:space="preserve"> CB$37 * _xlfn.XLOOKUP( CB$3, CaseData!$G$27:$J$27, CaseData!$G$28:$J$28, 0 )</f>
        <v>0</v>
      </c>
      <c r="CC38" s="92">
        <f xml:space="preserve"> CC$37 * _xlfn.XLOOKUP( CC$3, CaseData!$G$27:$J$27, CaseData!$G$28:$J$28, 0 )</f>
        <v>0</v>
      </c>
      <c r="CD38" s="92">
        <f xml:space="preserve"> CD$37 * _xlfn.XLOOKUP( CD$3, CaseData!$G$27:$J$27, CaseData!$G$28:$J$28, 0 )</f>
        <v>0</v>
      </c>
      <c r="CE38" s="92">
        <f xml:space="preserve"> CE$37 * _xlfn.XLOOKUP( CE$3, CaseData!$G$27:$J$27, CaseData!$G$28:$J$28, 0 )</f>
        <v>0</v>
      </c>
      <c r="CF38" s="92">
        <f xml:space="preserve"> CF$37 * _xlfn.XLOOKUP( CF$3, CaseData!$G$27:$J$27, CaseData!$G$28:$J$28, 0 )</f>
        <v>0</v>
      </c>
      <c r="CG38" s="92">
        <f xml:space="preserve"> CG$37 * _xlfn.XLOOKUP( CG$3, CaseData!$G$27:$J$27, CaseData!$G$28:$J$28, 0 )</f>
        <v>0</v>
      </c>
      <c r="CH38" s="92">
        <f xml:space="preserve"> CH$37 * _xlfn.XLOOKUP( CH$3, CaseData!$G$27:$J$27, CaseData!$G$28:$J$28, 0 )</f>
        <v>0</v>
      </c>
      <c r="CI38" s="92">
        <f xml:space="preserve"> CI$37 * _xlfn.XLOOKUP( CI$3, CaseData!$G$27:$J$27, CaseData!$G$28:$J$28, 0 )</f>
        <v>0</v>
      </c>
      <c r="CJ38" s="92">
        <f xml:space="preserve"> CJ$37 * _xlfn.XLOOKUP( CJ$3, CaseData!$G$27:$J$27, CaseData!$G$28:$J$28, 0 )</f>
        <v>0</v>
      </c>
      <c r="CK38" s="92">
        <f xml:space="preserve"> CK$37 * _xlfn.XLOOKUP( CK$3, CaseData!$G$27:$J$27, CaseData!$G$28:$J$28, 0 )</f>
        <v>44185.041114597632</v>
      </c>
      <c r="CL38" s="92">
        <f xml:space="preserve"> CL$37 * _xlfn.XLOOKUP( CL$3, CaseData!$G$27:$J$27, CaseData!$G$28:$J$28, 0 )</f>
        <v>0</v>
      </c>
      <c r="CM38" s="92">
        <f xml:space="preserve"> CM$37 * _xlfn.XLOOKUP( CM$3, CaseData!$G$27:$J$27, CaseData!$G$28:$J$28, 0 )</f>
        <v>0</v>
      </c>
      <c r="CN38" s="92">
        <f xml:space="preserve"> CN$37 * _xlfn.XLOOKUP( CN$3, CaseData!$G$27:$J$27, CaseData!$G$28:$J$28, 0 )</f>
        <v>0</v>
      </c>
      <c r="CO38" s="92">
        <f xml:space="preserve"> CO$37 * _xlfn.XLOOKUP( CO$3, CaseData!$G$27:$J$27, CaseData!$G$28:$J$28, 0 )</f>
        <v>0</v>
      </c>
      <c r="CP38" s="92">
        <f xml:space="preserve"> CP$37 * _xlfn.XLOOKUP( CP$3, CaseData!$G$27:$J$27, CaseData!$G$28:$J$28, 0 )</f>
        <v>0</v>
      </c>
      <c r="CQ38" s="92">
        <f xml:space="preserve"> CQ$37 * _xlfn.XLOOKUP( CQ$3, CaseData!$G$27:$J$27, CaseData!$G$28:$J$28, 0 )</f>
        <v>0</v>
      </c>
      <c r="CR38" s="92">
        <f xml:space="preserve"> CR$37 * _xlfn.XLOOKUP( CR$3, CaseData!$G$27:$J$27, CaseData!$G$28:$J$28, 0 )</f>
        <v>0</v>
      </c>
      <c r="CS38" s="92">
        <f xml:space="preserve"> CS$37 * _xlfn.XLOOKUP( CS$3, CaseData!$G$27:$J$27, CaseData!$G$28:$J$28, 0 )</f>
        <v>0</v>
      </c>
      <c r="CT38" s="92">
        <f xml:space="preserve"> CT$37 * _xlfn.XLOOKUP( CT$3, CaseData!$G$27:$J$27, CaseData!$G$28:$J$28, 0 )</f>
        <v>0</v>
      </c>
      <c r="CU38" s="92">
        <f xml:space="preserve"> CU$37 * _xlfn.XLOOKUP( CU$3, CaseData!$G$27:$J$27, CaseData!$G$28:$J$28, 0 )</f>
        <v>0</v>
      </c>
      <c r="CV38" s="92">
        <f xml:space="preserve"> CV$37 * _xlfn.XLOOKUP( CV$3, CaseData!$G$27:$J$27, CaseData!$G$28:$J$28, 0 )</f>
        <v>0</v>
      </c>
      <c r="CW38" s="92">
        <f xml:space="preserve"> CW$37 * _xlfn.XLOOKUP( CW$3, CaseData!$G$27:$J$27, CaseData!$G$28:$J$28, 0 )</f>
        <v>0</v>
      </c>
      <c r="CX38" s="92">
        <f xml:space="preserve"> CX$37 * _xlfn.XLOOKUP( CX$3, CaseData!$G$27:$J$27, CaseData!$G$28:$J$28, 0 )</f>
        <v>0</v>
      </c>
      <c r="CY38" s="92">
        <f xml:space="preserve"> CY$37 * _xlfn.XLOOKUP( CY$3, CaseData!$G$27:$J$27, CaseData!$G$28:$J$28, 0 )</f>
        <v>0</v>
      </c>
      <c r="CZ38" s="92">
        <f xml:space="preserve"> CZ$37 * _xlfn.XLOOKUP( CZ$3, CaseData!$G$27:$J$27, CaseData!$G$28:$J$28, 0 )</f>
        <v>0</v>
      </c>
      <c r="DA38" s="92">
        <f xml:space="preserve"> DA$37 * _xlfn.XLOOKUP( DA$3, CaseData!$G$27:$J$27, CaseData!$G$28:$J$28, 0 )</f>
        <v>0</v>
      </c>
      <c r="DB38" s="92">
        <f xml:space="preserve"> DB$37 * _xlfn.XLOOKUP( DB$3, CaseData!$G$27:$J$27, CaseData!$G$28:$J$28, 0 )</f>
        <v>0</v>
      </c>
      <c r="DC38" s="92">
        <f xml:space="preserve"> DC$37 * _xlfn.XLOOKUP( DC$3, CaseData!$G$27:$J$27, CaseData!$G$28:$J$28, 0 )</f>
        <v>0</v>
      </c>
      <c r="DD38" s="92">
        <f xml:space="preserve"> DD$37 * _xlfn.XLOOKUP( DD$3, CaseData!$G$27:$J$27, CaseData!$G$28:$J$28, 0 )</f>
        <v>0</v>
      </c>
      <c r="DE38" s="92">
        <f xml:space="preserve"> DE$37 * _xlfn.XLOOKUP( DE$3, CaseData!$G$27:$J$27, CaseData!$G$28:$J$28, 0 )</f>
        <v>0</v>
      </c>
      <c r="DF38" s="92">
        <f xml:space="preserve"> DF$37 * _xlfn.XLOOKUP( DF$3, CaseData!$G$27:$J$27, CaseData!$G$28:$J$28, 0 )</f>
        <v>0</v>
      </c>
      <c r="DG38" s="92">
        <f xml:space="preserve"> DG$37 * _xlfn.XLOOKUP( DG$3, CaseData!$G$27:$J$27, CaseData!$G$28:$J$28, 0 )</f>
        <v>0</v>
      </c>
      <c r="DH38" s="92">
        <f xml:space="preserve"> DH$37 * _xlfn.XLOOKUP( DH$3, CaseData!$G$27:$J$27, CaseData!$G$28:$J$28, 0 )</f>
        <v>0</v>
      </c>
      <c r="DI38" s="92">
        <f xml:space="preserve"> DI$37 * _xlfn.XLOOKUP( DI$3, CaseData!$G$27:$J$27, CaseData!$G$28:$J$28, 0 )</f>
        <v>0</v>
      </c>
      <c r="DJ38" s="92">
        <f xml:space="preserve"> DJ$37 * _xlfn.XLOOKUP( DJ$3, CaseData!$G$27:$J$27, CaseData!$G$28:$J$28, 0 )</f>
        <v>0</v>
      </c>
      <c r="DK38" s="92">
        <f xml:space="preserve"> DK$37 * _xlfn.XLOOKUP( DK$3, CaseData!$G$27:$J$27, CaseData!$G$28:$J$28, 0 )</f>
        <v>0</v>
      </c>
      <c r="DL38" s="92">
        <f xml:space="preserve"> DL$37 * _xlfn.XLOOKUP( DL$3, CaseData!$G$27:$J$27, CaseData!$G$28:$J$28, 0 )</f>
        <v>0</v>
      </c>
      <c r="DM38" s="92">
        <f xml:space="preserve"> DM$37 * _xlfn.XLOOKUP( DM$3, CaseData!$G$27:$J$27, CaseData!$G$28:$J$28, 0 )</f>
        <v>0</v>
      </c>
      <c r="DN38" s="92">
        <f xml:space="preserve"> DN$37 * _xlfn.XLOOKUP( DN$3, CaseData!$G$27:$J$27, CaseData!$G$28:$J$28, 0 )</f>
        <v>0</v>
      </c>
      <c r="DO38" s="92">
        <f xml:space="preserve"> DO$37 * _xlfn.XLOOKUP( DO$3, CaseData!$G$27:$J$27, CaseData!$G$28:$J$28, 0 )</f>
        <v>0</v>
      </c>
      <c r="DP38" s="92">
        <f xml:space="preserve"> DP$37 * _xlfn.XLOOKUP( DP$3, CaseData!$G$27:$J$27, CaseData!$G$28:$J$28, 0 )</f>
        <v>0</v>
      </c>
      <c r="DQ38" s="92">
        <f xml:space="preserve"> DQ$37 * _xlfn.XLOOKUP( DQ$3, CaseData!$G$27:$J$27, CaseData!$G$28:$J$28, 0 )</f>
        <v>0</v>
      </c>
      <c r="DR38" s="92">
        <f xml:space="preserve"> DR$37 * _xlfn.XLOOKUP( DR$3, CaseData!$G$27:$J$27, CaseData!$G$28:$J$28, 0 )</f>
        <v>0</v>
      </c>
      <c r="DS38" s="92">
        <f xml:space="preserve"> DS$37 * _xlfn.XLOOKUP( DS$3, CaseData!$G$27:$J$27, CaseData!$G$28:$J$28, 0 )</f>
        <v>0</v>
      </c>
      <c r="DT38" s="92">
        <f xml:space="preserve"> DT$37 * _xlfn.XLOOKUP( DT$3, CaseData!$G$27:$J$27, CaseData!$G$28:$J$28, 0 )</f>
        <v>0</v>
      </c>
      <c r="DU38" s="92">
        <f xml:space="preserve"> DU$37 * _xlfn.XLOOKUP( DU$3, CaseData!$G$27:$J$27, CaseData!$G$28:$J$28, 0 )</f>
        <v>0</v>
      </c>
      <c r="DV38" s="92">
        <f xml:space="preserve"> DV$37 * _xlfn.XLOOKUP( DV$3, CaseData!$G$27:$J$27, CaseData!$G$28:$J$28, 0 )</f>
        <v>0</v>
      </c>
      <c r="DW38" s="92">
        <f xml:space="preserve"> DW$37 * _xlfn.XLOOKUP( DW$3, CaseData!$G$27:$J$27, CaseData!$G$28:$J$28, 0 )</f>
        <v>0</v>
      </c>
      <c r="DX38" s="92">
        <f xml:space="preserve"> DX$37 * _xlfn.XLOOKUP( DX$3, CaseData!$G$27:$J$27, CaseData!$G$28:$J$28, 0 )</f>
        <v>0</v>
      </c>
      <c r="DY38" s="92">
        <f xml:space="preserve"> DY$37 * _xlfn.XLOOKUP( DY$3, CaseData!$G$27:$J$27, CaseData!$G$28:$J$28, 0 )</f>
        <v>0</v>
      </c>
    </row>
    <row r="39" spans="1:129">
      <c r="E39" t="s">
        <v>209</v>
      </c>
      <c r="G39" t="s">
        <v>146</v>
      </c>
      <c r="J39">
        <f xml:space="preserve"> J$37 - J$38</f>
        <v>0</v>
      </c>
      <c r="K39">
        <f t="shared" ref="K39:BV39" si="38" xml:space="preserve"> K$37 - K$38</f>
        <v>0</v>
      </c>
      <c r="L39">
        <f t="shared" si="38"/>
        <v>0</v>
      </c>
      <c r="M39">
        <f t="shared" si="38"/>
        <v>0</v>
      </c>
      <c r="N39">
        <f t="shared" si="38"/>
        <v>0</v>
      </c>
      <c r="O39">
        <f t="shared" si="38"/>
        <v>0</v>
      </c>
      <c r="P39">
        <f t="shared" si="38"/>
        <v>0</v>
      </c>
      <c r="Q39">
        <f t="shared" si="38"/>
        <v>0</v>
      </c>
      <c r="R39">
        <f t="shared" si="38"/>
        <v>0</v>
      </c>
      <c r="S39">
        <f t="shared" si="38"/>
        <v>0</v>
      </c>
      <c r="T39">
        <f t="shared" si="38"/>
        <v>0</v>
      </c>
      <c r="U39">
        <f t="shared" si="38"/>
        <v>0</v>
      </c>
      <c r="V39">
        <f t="shared" si="38"/>
        <v>0</v>
      </c>
      <c r="W39">
        <f t="shared" si="38"/>
        <v>0</v>
      </c>
      <c r="X39">
        <f t="shared" si="38"/>
        <v>0</v>
      </c>
      <c r="Y39">
        <f t="shared" si="38"/>
        <v>0</v>
      </c>
      <c r="Z39">
        <f t="shared" si="38"/>
        <v>0</v>
      </c>
      <c r="AA39">
        <f t="shared" si="38"/>
        <v>0</v>
      </c>
      <c r="AB39">
        <f t="shared" si="38"/>
        <v>0</v>
      </c>
      <c r="AC39">
        <f t="shared" si="38"/>
        <v>9517958.4263256062</v>
      </c>
      <c r="AD39">
        <f t="shared" si="38"/>
        <v>0</v>
      </c>
      <c r="AE39">
        <f t="shared" si="38"/>
        <v>0</v>
      </c>
      <c r="AF39">
        <f t="shared" si="38"/>
        <v>0</v>
      </c>
      <c r="AG39">
        <f t="shared" si="38"/>
        <v>0</v>
      </c>
      <c r="AH39">
        <f t="shared" si="38"/>
        <v>0</v>
      </c>
      <c r="AI39">
        <f t="shared" si="38"/>
        <v>0</v>
      </c>
      <c r="AJ39">
        <f t="shared" si="38"/>
        <v>0</v>
      </c>
      <c r="AK39">
        <f t="shared" si="38"/>
        <v>0</v>
      </c>
      <c r="AL39">
        <f t="shared" si="38"/>
        <v>0</v>
      </c>
      <c r="AM39">
        <f t="shared" si="38"/>
        <v>0</v>
      </c>
      <c r="AN39">
        <f t="shared" si="38"/>
        <v>0</v>
      </c>
      <c r="AO39">
        <f t="shared" si="38"/>
        <v>0</v>
      </c>
      <c r="AP39">
        <f t="shared" si="38"/>
        <v>0</v>
      </c>
      <c r="AQ39">
        <f t="shared" si="38"/>
        <v>0</v>
      </c>
      <c r="AR39">
        <f t="shared" si="38"/>
        <v>0</v>
      </c>
      <c r="AS39">
        <f t="shared" si="38"/>
        <v>0</v>
      </c>
      <c r="AT39">
        <f t="shared" si="38"/>
        <v>0</v>
      </c>
      <c r="AU39">
        <f t="shared" si="38"/>
        <v>0</v>
      </c>
      <c r="AV39">
        <f t="shared" si="38"/>
        <v>0</v>
      </c>
      <c r="AW39">
        <f t="shared" si="38"/>
        <v>8641535.9326935783</v>
      </c>
      <c r="AX39">
        <f t="shared" si="38"/>
        <v>0</v>
      </c>
      <c r="AY39">
        <f t="shared" si="38"/>
        <v>0</v>
      </c>
      <c r="AZ39">
        <f t="shared" si="38"/>
        <v>0</v>
      </c>
      <c r="BA39">
        <f t="shared" si="38"/>
        <v>0</v>
      </c>
      <c r="BB39">
        <f t="shared" si="38"/>
        <v>0</v>
      </c>
      <c r="BC39">
        <f t="shared" si="38"/>
        <v>0</v>
      </c>
      <c r="BD39">
        <f t="shared" si="38"/>
        <v>0</v>
      </c>
      <c r="BE39">
        <f t="shared" si="38"/>
        <v>0</v>
      </c>
      <c r="BF39">
        <f t="shared" si="38"/>
        <v>0</v>
      </c>
      <c r="BG39">
        <f t="shared" si="38"/>
        <v>0</v>
      </c>
      <c r="BH39">
        <f t="shared" si="38"/>
        <v>0</v>
      </c>
      <c r="BI39">
        <f t="shared" si="38"/>
        <v>0</v>
      </c>
      <c r="BJ39">
        <f t="shared" si="38"/>
        <v>0</v>
      </c>
      <c r="BK39">
        <f t="shared" si="38"/>
        <v>0</v>
      </c>
      <c r="BL39">
        <f t="shared" si="38"/>
        <v>0</v>
      </c>
      <c r="BM39">
        <f t="shared" si="38"/>
        <v>0</v>
      </c>
      <c r="BN39">
        <f t="shared" si="38"/>
        <v>0</v>
      </c>
      <c r="BO39">
        <f t="shared" si="38"/>
        <v>0</v>
      </c>
      <c r="BP39">
        <f t="shared" si="38"/>
        <v>0</v>
      </c>
      <c r="BQ39">
        <f t="shared" si="38"/>
        <v>6847266.6500380337</v>
      </c>
      <c r="BR39">
        <f t="shared" si="38"/>
        <v>0</v>
      </c>
      <c r="BS39">
        <f t="shared" si="38"/>
        <v>0</v>
      </c>
      <c r="BT39">
        <f t="shared" si="38"/>
        <v>0</v>
      </c>
      <c r="BU39">
        <f t="shared" si="38"/>
        <v>0</v>
      </c>
      <c r="BV39">
        <f t="shared" si="38"/>
        <v>0</v>
      </c>
      <c r="BW39">
        <f t="shared" ref="BW39:DY39" si="39" xml:space="preserve"> BW$37 - BW$38</f>
        <v>0</v>
      </c>
      <c r="BX39">
        <f t="shared" si="39"/>
        <v>0</v>
      </c>
      <c r="BY39">
        <f t="shared" si="39"/>
        <v>0</v>
      </c>
      <c r="BZ39">
        <f t="shared" si="39"/>
        <v>0</v>
      </c>
      <c r="CA39">
        <f t="shared" si="39"/>
        <v>0</v>
      </c>
      <c r="CB39">
        <f t="shared" si="39"/>
        <v>0</v>
      </c>
      <c r="CC39">
        <f t="shared" si="39"/>
        <v>0</v>
      </c>
      <c r="CD39">
        <f t="shared" si="39"/>
        <v>0</v>
      </c>
      <c r="CE39">
        <f t="shared" si="39"/>
        <v>0</v>
      </c>
      <c r="CF39">
        <f t="shared" si="39"/>
        <v>0</v>
      </c>
      <c r="CG39">
        <f t="shared" si="39"/>
        <v>0</v>
      </c>
      <c r="CH39">
        <f t="shared" si="39"/>
        <v>0</v>
      </c>
      <c r="CI39">
        <f t="shared" si="39"/>
        <v>0</v>
      </c>
      <c r="CJ39">
        <f t="shared" si="39"/>
        <v>0</v>
      </c>
      <c r="CK39">
        <f t="shared" si="39"/>
        <v>4374319.0703451652</v>
      </c>
      <c r="CL39">
        <f t="shared" si="39"/>
        <v>0</v>
      </c>
      <c r="CM39">
        <f t="shared" si="39"/>
        <v>0</v>
      </c>
      <c r="CN39">
        <f t="shared" si="39"/>
        <v>0</v>
      </c>
      <c r="CO39">
        <f t="shared" si="39"/>
        <v>0</v>
      </c>
      <c r="CP39">
        <f t="shared" si="39"/>
        <v>0</v>
      </c>
      <c r="CQ39">
        <f t="shared" si="39"/>
        <v>0</v>
      </c>
      <c r="CR39">
        <f t="shared" si="39"/>
        <v>0</v>
      </c>
      <c r="CS39">
        <f t="shared" si="39"/>
        <v>0</v>
      </c>
      <c r="CT39">
        <f t="shared" si="39"/>
        <v>0</v>
      </c>
      <c r="CU39">
        <f t="shared" si="39"/>
        <v>0</v>
      </c>
      <c r="CV39">
        <f t="shared" si="39"/>
        <v>0</v>
      </c>
      <c r="CW39">
        <f t="shared" si="39"/>
        <v>0</v>
      </c>
      <c r="CX39">
        <f t="shared" si="39"/>
        <v>0</v>
      </c>
      <c r="CY39">
        <f t="shared" si="39"/>
        <v>0</v>
      </c>
      <c r="CZ39">
        <f t="shared" si="39"/>
        <v>0</v>
      </c>
      <c r="DA39">
        <f t="shared" si="39"/>
        <v>0</v>
      </c>
      <c r="DB39">
        <f t="shared" si="39"/>
        <v>0</v>
      </c>
      <c r="DC39">
        <f t="shared" si="39"/>
        <v>0</v>
      </c>
      <c r="DD39">
        <f t="shared" si="39"/>
        <v>0</v>
      </c>
      <c r="DE39">
        <f t="shared" si="39"/>
        <v>0</v>
      </c>
      <c r="DF39">
        <f t="shared" si="39"/>
        <v>0</v>
      </c>
      <c r="DG39">
        <f t="shared" si="39"/>
        <v>0</v>
      </c>
      <c r="DH39">
        <f t="shared" si="39"/>
        <v>0</v>
      </c>
      <c r="DI39">
        <f t="shared" si="39"/>
        <v>0</v>
      </c>
      <c r="DJ39">
        <f t="shared" si="39"/>
        <v>0</v>
      </c>
      <c r="DK39">
        <f t="shared" si="39"/>
        <v>0</v>
      </c>
      <c r="DL39">
        <f t="shared" si="39"/>
        <v>0</v>
      </c>
      <c r="DM39">
        <f t="shared" si="39"/>
        <v>0</v>
      </c>
      <c r="DN39">
        <f t="shared" si="39"/>
        <v>0</v>
      </c>
      <c r="DO39">
        <f t="shared" si="39"/>
        <v>0</v>
      </c>
      <c r="DP39">
        <f t="shared" si="39"/>
        <v>0</v>
      </c>
      <c r="DQ39">
        <f t="shared" si="39"/>
        <v>0</v>
      </c>
      <c r="DR39">
        <f t="shared" si="39"/>
        <v>0</v>
      </c>
      <c r="DS39">
        <f t="shared" si="39"/>
        <v>0</v>
      </c>
      <c r="DT39">
        <f t="shared" si="39"/>
        <v>0</v>
      </c>
      <c r="DU39">
        <f t="shared" si="39"/>
        <v>0</v>
      </c>
      <c r="DV39">
        <f t="shared" si="39"/>
        <v>0</v>
      </c>
      <c r="DW39">
        <f t="shared" si="39"/>
        <v>0</v>
      </c>
      <c r="DX39">
        <f t="shared" si="39"/>
        <v>0</v>
      </c>
      <c r="DY39">
        <f t="shared" si="39"/>
        <v>0</v>
      </c>
    </row>
    <row r="41" spans="1:129" s="59" customFormat="1">
      <c r="A41" s="62" t="s">
        <v>21</v>
      </c>
      <c r="D41" s="60"/>
    </row>
    <row r="43" spans="1:129">
      <c r="B43" s="61" t="s">
        <v>21</v>
      </c>
      <c r="F43" s="66">
        <f>start_date</f>
        <v>44196</v>
      </c>
    </row>
    <row r="44" spans="1:129">
      <c r="E44" t="s">
        <v>184</v>
      </c>
      <c r="G44" t="s">
        <v>146</v>
      </c>
      <c r="J44">
        <f xml:space="preserve"> IF( Time!J$15 = 1, Cashflow!$F$45, Cashflow!I$52 )</f>
        <v>10000000</v>
      </c>
      <c r="K44">
        <f xml:space="preserve"> IF( Time!K$15 = 1, Cashflow!$F$45, Cashflow!J$52 )</f>
        <v>9949257.2123579886</v>
      </c>
      <c r="L44">
        <f xml:space="preserve"> IF( Time!L$15 = 1, Cashflow!$F$45, Cashflow!K$52 )</f>
        <v>9897880.1398704518</v>
      </c>
      <c r="M44">
        <f xml:space="preserve"> IF( Time!M$15 = 1, Cashflow!$F$45, Cashflow!L$52 )</f>
        <v>9845860.8539768215</v>
      </c>
      <c r="N44">
        <f xml:space="preserve"> IF( Time!N$15 = 1, Cashflow!$F$45, Cashflow!M$52 )</f>
        <v>9793191.3270095196</v>
      </c>
      <c r="O44">
        <f xml:space="preserve"> IF( Time!O$15 = 1, Cashflow!$F$45, Cashflow!N$52 )</f>
        <v>9739863.4309551269</v>
      </c>
      <c r="P44">
        <f xml:space="preserve"> IF( Time!P$15 = 1, Cashflow!$F$45, Cashflow!O$52 )</f>
        <v>9685868.9362000544</v>
      </c>
      <c r="Q44">
        <f xml:space="preserve"> IF( Time!Q$15 = 1, Cashflow!$F$45, Cashflow!P$52 )</f>
        <v>9631199.5102605429</v>
      </c>
      <c r="R44">
        <f xml:space="preserve"> IF( Time!R$15 = 1, Cashflow!$F$45, Cashflow!Q$52 )</f>
        <v>9575846.716496788</v>
      </c>
      <c r="S44">
        <f xml:space="preserve"> IF( Time!S$15 = 1, Cashflow!$F$45, Cashflow!R$52 )</f>
        <v>9519802.0128109865</v>
      </c>
      <c r="T44">
        <f xml:space="preserve"> IF( Time!T$15 = 1, Cashflow!$F$45, Cashflow!S$52 )</f>
        <v>9463056.7503291126</v>
      </c>
      <c r="U44">
        <f xml:space="preserve"> IF( Time!U$15 = 1, Cashflow!$F$45, Cashflow!T$52 )</f>
        <v>9405602.1720662154</v>
      </c>
      <c r="V44">
        <f xml:space="preserve"> IF( Time!V$15 = 1, Cashflow!$F$45, Cashflow!U$52 )</f>
        <v>9347429.4115750324</v>
      </c>
      <c r="W44">
        <f xml:space="preserve"> IF( Time!W$15 = 1, Cashflow!$F$45, Cashflow!V$52 )</f>
        <v>9288529.4915777091</v>
      </c>
      <c r="X44">
        <f xml:space="preserve"> IF( Time!X$15 = 1, Cashflow!$F$45, Cashflow!W$52 )</f>
        <v>9228893.3225804195</v>
      </c>
      <c r="Y44">
        <f xml:space="preserve"> IF( Time!Y$15 = 1, Cashflow!$F$45, Cashflow!X$52 )</f>
        <v>9168511.7014706638</v>
      </c>
      <c r="Z44">
        <f xml:space="preserve"> IF( Time!Z$15 = 1, Cashflow!$F$45, Cashflow!Y$52 )</f>
        <v>9107375.310097035</v>
      </c>
      <c r="AA44">
        <f xml:space="preserve"> IF( Time!AA$15 = 1, Cashflow!$F$45, Cashflow!Z$52 )</f>
        <v>9045474.7138312366</v>
      </c>
      <c r="AB44">
        <f xml:space="preserve"> IF( Time!AB$15 = 1, Cashflow!$F$45, Cashflow!AA$52 )</f>
        <v>8982800.3601121157</v>
      </c>
      <c r="AC44">
        <f xml:space="preserve"> IF( Time!AC$15 = 1, Cashflow!$F$45, Cashflow!AB$52 )</f>
        <v>8919342.5769715048</v>
      </c>
      <c r="AD44">
        <f xml:space="preserve"> IF( Time!AD$15 = 1, Cashflow!$F$45, Cashflow!AC$52 )</f>
        <v>9614099.4205309153</v>
      </c>
      <c r="AE44">
        <f xml:space="preserve"> IF( Time!AE$15 = 1, Cashflow!$F$45, Cashflow!AD$52 )</f>
        <v>9543469.2081333678</v>
      </c>
      <c r="AF44">
        <f xml:space="preserve"> IF( Time!AF$15 = 1, Cashflow!$F$45, Cashflow!AE$52 )</f>
        <v>9471956.1180808507</v>
      </c>
      <c r="AG44">
        <f xml:space="preserve"> IF( Time!AG$15 = 1, Cashflow!$F$45, Cashflow!AF$52 )</f>
        <v>9399549.1144026779</v>
      </c>
      <c r="AH44">
        <f xml:space="preserve"> IF( Time!AH$15 = 1, Cashflow!$F$45, Cashflow!AG$52 )</f>
        <v>9326237.0231785271</v>
      </c>
      <c r="AI44">
        <f xml:space="preserve"> IF( Time!AI$15 = 1, Cashflow!$F$45, Cashflow!AH$52 )</f>
        <v>9252008.5308140758</v>
      </c>
      <c r="AJ44">
        <f xml:space="preserve"> IF( Time!AJ$15 = 1, Cashflow!$F$45, Cashflow!AI$52 )</f>
        <v>9176852.1822950672</v>
      </c>
      <c r="AK44">
        <f xml:space="preserve"> IF( Time!AK$15 = 1, Cashflow!$F$45, Cashflow!AJ$52 )</f>
        <v>9100756.3794195727</v>
      </c>
      <c r="AL44">
        <f xml:space="preserve"> IF( Time!AL$15 = 1, Cashflow!$F$45, Cashflow!AK$52 )</f>
        <v>9023709.379008133</v>
      </c>
      <c r="AM44">
        <f xml:space="preserve"> IF( Time!AM$15 = 1, Cashflow!$F$45, Cashflow!AL$52 )</f>
        <v>8945699.2910915501</v>
      </c>
      <c r="AN44">
        <f xml:space="preserve"> IF( Time!AN$15 = 1, Cashflow!$F$45, Cashflow!AM$52 )</f>
        <v>8866714.0770760104</v>
      </c>
      <c r="AO44">
        <f xml:space="preserve"> IF( Time!AO$15 = 1, Cashflow!$F$45, Cashflow!AN$52 )</f>
        <v>8786741.5478852764</v>
      </c>
      <c r="AP44">
        <f xml:space="preserve"> IF( Time!AP$15 = 1, Cashflow!$F$45, Cashflow!AO$52 )</f>
        <v>8705769.3620796595</v>
      </c>
      <c r="AQ44">
        <f xml:space="preserve"> IF( Time!AQ$15 = 1, Cashflow!$F$45, Cashflow!AP$52 )</f>
        <v>8623785.0239514709</v>
      </c>
      <c r="AR44">
        <f xml:space="preserve"> IF( Time!AR$15 = 1, Cashflow!$F$45, Cashflow!AQ$52 )</f>
        <v>8540775.8815966807</v>
      </c>
      <c r="AS44">
        <f xml:space="preserve"> IF( Time!AS$15 = 1, Cashflow!$F$45, Cashflow!AR$52 )</f>
        <v>8456729.1249624547</v>
      </c>
      <c r="AT44">
        <f xml:space="preserve"> IF( Time!AT$15 = 1, Cashflow!$F$45, Cashflow!AS$52 )</f>
        <v>8371631.7838703012</v>
      </c>
      <c r="AU44">
        <f xml:space="preserve"> IF( Time!AU$15 = 1, Cashflow!$F$45, Cashflow!AT$52 )</f>
        <v>8285470.7260144949</v>
      </c>
      <c r="AV44">
        <f xml:space="preserve"> IF( Time!AV$15 = 1, Cashflow!$F$45, Cashflow!AU$52 )</f>
        <v>8198232.6549354922</v>
      </c>
      <c r="AW44">
        <f xml:space="preserve"> IF( Time!AW$15 = 1, Cashflow!$F$45, Cashflow!AV$52 )</f>
        <v>8109904.1079680026</v>
      </c>
      <c r="AX44">
        <f xml:space="preserve"> IF( Time!AX$15 = 1, Cashflow!$F$45, Cashflow!AW$52 )</f>
        <v>8728824.1744379587</v>
      </c>
      <c r="AY44">
        <f xml:space="preserve"> IF( Time!AY$15 = 1, Cashflow!$F$45, Cashflow!AX$52 )</f>
        <v>8630276.3597724363</v>
      </c>
      <c r="AZ44">
        <f xml:space="preserve"> IF( Time!AZ$15 = 1, Cashflow!$F$45, Cashflow!AY$52 )</f>
        <v>8530496.6974235941</v>
      </c>
      <c r="BA44">
        <f xml:space="preserve"> IF( Time!BA$15 = 1, Cashflow!$F$45, Cashflow!AZ$52 )</f>
        <v>8429469.7892953921</v>
      </c>
      <c r="BB44">
        <f xml:space="preserve"> IF( Time!BB$15 = 1, Cashflow!$F$45, Cashflow!BA$52 )</f>
        <v>8327180.0448155878</v>
      </c>
      <c r="BC44">
        <f xml:space="preserve"> IF( Time!BC$15 = 1, Cashflow!$F$45, Cashflow!BB$52 )</f>
        <v>8223611.6785297859</v>
      </c>
      <c r="BD44">
        <f xml:space="preserve"> IF( Time!BD$15 = 1, Cashflow!$F$45, Cashflow!BC$52 )</f>
        <v>8118748.7076654108</v>
      </c>
      <c r="BE44">
        <f xml:space="preserve"> IF( Time!BE$15 = 1, Cashflow!$F$45, Cashflow!BD$52 )</f>
        <v>8012574.9496652316</v>
      </c>
      <c r="BF44">
        <f xml:space="preserve"> IF( Time!BF$15 = 1, Cashflow!$F$45, Cashflow!BE$52 )</f>
        <v>7905074.0196900498</v>
      </c>
      <c r="BG44">
        <f xml:space="preserve"> IF( Time!BG$15 = 1, Cashflow!$F$45, Cashflow!BF$52 )</f>
        <v>7796229.3280901788</v>
      </c>
      <c r="BH44">
        <f xml:space="preserve"> IF( Time!BH$15 = 1, Cashflow!$F$45, Cashflow!BG$52 )</f>
        <v>7686024.0778453089</v>
      </c>
      <c r="BI44">
        <f xml:space="preserve"> IF( Time!BI$15 = 1, Cashflow!$F$45, Cashflow!BH$52 )</f>
        <v>7574441.261972378</v>
      </c>
      <c r="BJ44">
        <f xml:space="preserve"> IF( Time!BJ$15 = 1, Cashflow!$F$45, Cashflow!BI$52 )</f>
        <v>7461463.6609010361</v>
      </c>
      <c r="BK44">
        <f xml:space="preserve"> IF( Time!BK$15 = 1, Cashflow!$F$45, Cashflow!BJ$52 )</f>
        <v>7347073.8398163021</v>
      </c>
      <c r="BL44">
        <f xml:space="preserve"> IF( Time!BL$15 = 1, Cashflow!$F$45, Cashflow!BK$52 )</f>
        <v>7231254.1459680088</v>
      </c>
      <c r="BM44">
        <f xml:space="preserve"> IF( Time!BM$15 = 1, Cashflow!$F$45, Cashflow!BL$52 )</f>
        <v>7113986.7059466122</v>
      </c>
      <c r="BN44">
        <f xml:space="preserve"> IF( Time!BN$15 = 1, Cashflow!$F$45, Cashflow!BM$52 )</f>
        <v>6995253.4229249479</v>
      </c>
      <c r="BO44">
        <f xml:space="preserve"> IF( Time!BO$15 = 1, Cashflow!$F$45, Cashflow!BN$52 )</f>
        <v>6875035.9738655128</v>
      </c>
      <c r="BP44">
        <f xml:space="preserve"> IF( Time!BP$15 = 1, Cashflow!$F$45, Cashflow!BO$52 )</f>
        <v>6753315.8066928349</v>
      </c>
      <c r="BQ44">
        <f xml:space="preserve"> IF( Time!BQ$15 = 1, Cashflow!$F$45, Cashflow!BP$52 )</f>
        <v>6630074.1374304984</v>
      </c>
      <c r="BR44">
        <f xml:space="preserve"> IF( Time!BR$15 = 1, Cashflow!$F$45, Cashflow!BQ$52 )</f>
        <v>6916430.9596343776</v>
      </c>
      <c r="BS44">
        <f xml:space="preserve"> IF( Time!BS$15 = 1, Cashflow!$F$45, Cashflow!BR$52 )</f>
        <v>6782104.0911971955</v>
      </c>
      <c r="BT44">
        <f xml:space="preserve"> IF( Time!BT$15 = 1, Cashflow!$F$45, Cashflow!BS$52 )</f>
        <v>6646098.1369045489</v>
      </c>
      <c r="BU44">
        <f xml:space="preserve"> IF( Time!BU$15 = 1, Cashflow!$F$45, Cashflow!BT$52 )</f>
        <v>6508392.1081832442</v>
      </c>
      <c r="BV44">
        <f xml:space="preserve"> IF( Time!BV$15 = 1, Cashflow!$F$45, Cashflow!BU$52 )</f>
        <v>6368964.754102923</v>
      </c>
      <c r="BW44">
        <f xml:space="preserve"> IF( Time!BW$15 = 1, Cashflow!$F$45, Cashflow!BV$52 )</f>
        <v>6227794.5580965979</v>
      </c>
      <c r="BX44">
        <f xml:space="preserve"> IF( Time!BX$15 = 1, Cashflow!$F$45, Cashflow!BW$52 )</f>
        <v>6084859.7346401932</v>
      </c>
      <c r="BY44">
        <f xml:space="preserve"> IF( Time!BY$15 = 1, Cashflow!$F$45, Cashflow!BX$52 )</f>
        <v>5940138.2258905834</v>
      </c>
      <c r="BZ44">
        <f xml:space="preserve"> IF( Time!BZ$15 = 1, Cashflow!$F$45, Cashflow!BY$52 )</f>
        <v>5793607.6982816039</v>
      </c>
      <c r="CA44">
        <f xml:space="preserve"> IF( Time!CA$15 = 1, Cashflow!$F$45, Cashflow!BZ$52 )</f>
        <v>5645245.539077512</v>
      </c>
      <c r="CB44">
        <f xml:space="preserve"> IF( Time!CB$15 = 1, Cashflow!$F$45, Cashflow!CA$52 )</f>
        <v>5495028.8528833687</v>
      </c>
      <c r="CC44">
        <f xml:space="preserve"> IF( Time!CC$15 = 1, Cashflow!$F$45, Cashflow!CB$52 )</f>
        <v>5342934.4581117993</v>
      </c>
      <c r="CD44">
        <f xml:space="preserve"> IF( Time!CD$15 = 1, Cashflow!$F$45, Cashflow!CC$52 )</f>
        <v>5188938.8834055848</v>
      </c>
      <c r="CE44">
        <f xml:space="preserve"> IF( Time!CE$15 = 1, Cashflow!$F$45, Cashflow!CD$52 )</f>
        <v>5033018.3640155429</v>
      </c>
      <c r="CF44">
        <f xml:space="preserve"> IF( Time!CF$15 = 1, Cashflow!$F$45, Cashflow!CE$52 )</f>
        <v>4875148.8381331256</v>
      </c>
      <c r="CG44">
        <f xml:space="preserve"> IF( Time!CG$15 = 1, Cashflow!$F$45, Cashflow!CF$52 )</f>
        <v>4715305.9431771776</v>
      </c>
      <c r="CH44">
        <f xml:space="preserve"> IF( Time!CH$15 = 1, Cashflow!$F$45, Cashflow!CG$52 )</f>
        <v>4553465.0120342802</v>
      </c>
      <c r="CI44">
        <f xml:space="preserve"> IF( Time!CI$15 = 1, Cashflow!$F$45, Cashflow!CH$52 )</f>
        <v>4389601.069252097</v>
      </c>
      <c r="CJ44">
        <f xml:space="preserve"> IF( Time!CJ$15 = 1, Cashflow!$F$45, Cashflow!CI$52 )</f>
        <v>4223688.8271851363</v>
      </c>
      <c r="CK44">
        <f xml:space="preserve"> IF( Time!CK$15 = 1, Cashflow!$F$45, Cashflow!CJ$52 )</f>
        <v>4055702.6820923388</v>
      </c>
      <c r="CL44">
        <f xml:space="preserve"> IF( Time!CL$15 = 1, Cashflow!$F$45, Cashflow!CK$52 )</f>
        <v>4418504.1114597628</v>
      </c>
      <c r="CM44">
        <f xml:space="preserve"> IF( Time!CM$15 = 1, Cashflow!$F$45, Cashflow!CL$52 )</f>
        <v>4222674.2876501363</v>
      </c>
      <c r="CN44">
        <f xml:space="preserve"> IF( Time!CN$15 = 1, Cashflow!$F$45, Cashflow!CM$52 )</f>
        <v>4024396.5910428897</v>
      </c>
      <c r="CO44">
        <f xml:space="preserve"> IF( Time!CO$15 = 1, Cashflow!$F$45, Cashflow!CN$52 )</f>
        <v>3823640.4232280524</v>
      </c>
      <c r="CP44">
        <f xml:space="preserve"> IF( Time!CP$15 = 1, Cashflow!$F$45, Cashflow!CO$52 )</f>
        <v>3620374.8033155296</v>
      </c>
      <c r="CQ44">
        <f xml:space="preserve"> IF( Time!CQ$15 = 1, Cashflow!$F$45, Cashflow!CP$52 )</f>
        <v>3414568.3631541003</v>
      </c>
      <c r="CR44">
        <f xml:space="preserve"> IF( Time!CR$15 = 1, Cashflow!$F$45, Cashflow!CQ$52 )</f>
        <v>3206189.342490653</v>
      </c>
      <c r="CS44">
        <f xml:space="preserve"> IF( Time!CS$15 = 1, Cashflow!$F$45, Cashflow!CR$52 )</f>
        <v>2995205.584068913</v>
      </c>
      <c r="CT44">
        <f xml:space="preserve"> IF( Time!CT$15 = 1, Cashflow!$F$45, Cashflow!CS$52 )</f>
        <v>2781584.5286669009</v>
      </c>
      <c r="CU44">
        <f xml:space="preserve"> IF( Time!CU$15 = 1, Cashflow!$F$45, Cashflow!CT$52 )</f>
        <v>2565293.2100723637</v>
      </c>
      <c r="CV44">
        <f xml:space="preserve"> IF( Time!CV$15 = 1, Cashflow!$F$45, Cashflow!CU$52 )</f>
        <v>2346298.2499953951</v>
      </c>
      <c r="CW44">
        <f xml:space="preserve"> IF( Time!CW$15 = 1, Cashflow!$F$45, Cashflow!CV$52 )</f>
        <v>2124565.8529174645</v>
      </c>
      <c r="CX44">
        <f xml:space="preserve"> IF( Time!CX$15 = 1, Cashflow!$F$45, Cashflow!CW$52 )</f>
        <v>1900061.8008760593</v>
      </c>
      <c r="CY44">
        <f xml:space="preserve"> IF( Time!CY$15 = 1, Cashflow!$F$45, Cashflow!CX$52 )</f>
        <v>1672751.4481841368</v>
      </c>
      <c r="CZ44">
        <f xml:space="preserve"> IF( Time!CZ$15 = 1, Cashflow!$F$45, Cashflow!CY$52 )</f>
        <v>1442599.7160835653</v>
      </c>
      <c r="DA44">
        <f xml:space="preserve"> IF( Time!DA$15 = 1, Cashflow!$F$45, Cashflow!CZ$52 )</f>
        <v>1209571.0873317365</v>
      </c>
      <c r="DB44">
        <f xml:space="preserve"> IF( Time!DB$15 = 1, Cashflow!$F$45, Cashflow!DA$52 )</f>
        <v>973629.60072050989</v>
      </c>
      <c r="DC44">
        <f xml:space="preserve"> IF( Time!DC$15 = 1, Cashflow!$F$45, Cashflow!DB$52 )</f>
        <v>734738.84552664298</v>
      </c>
      <c r="DD44">
        <f xml:space="preserve"> IF( Time!DD$15 = 1, Cashflow!$F$45, Cashflow!DC$52 )</f>
        <v>492861.95589285274</v>
      </c>
      <c r="DE44">
        <f xml:space="preserve"> IF( Time!DE$15 = 1, Cashflow!$F$45, Cashflow!DD$52 )</f>
        <v>247961.60513864018</v>
      </c>
      <c r="DF44">
        <f xml:space="preserve"> IF( Time!DF$15 = 1, Cashflow!$F$45, Cashflow!DE$52 )</f>
        <v>0</v>
      </c>
      <c r="DG44">
        <f xml:space="preserve"> IF( Time!DG$15 = 1, Cashflow!$F$45, Cashflow!DF$52 )</f>
        <v>0</v>
      </c>
      <c r="DH44">
        <f xml:space="preserve"> IF( Time!DH$15 = 1, Cashflow!$F$45, Cashflow!DG$52 )</f>
        <v>0</v>
      </c>
      <c r="DI44">
        <f xml:space="preserve"> IF( Time!DI$15 = 1, Cashflow!$F$45, Cashflow!DH$52 )</f>
        <v>0</v>
      </c>
      <c r="DJ44">
        <f xml:space="preserve"> IF( Time!DJ$15 = 1, Cashflow!$F$45, Cashflow!DI$52 )</f>
        <v>0</v>
      </c>
      <c r="DK44">
        <f xml:space="preserve"> IF( Time!DK$15 = 1, Cashflow!$F$45, Cashflow!DJ$52 )</f>
        <v>0</v>
      </c>
      <c r="DL44">
        <f xml:space="preserve"> IF( Time!DL$15 = 1, Cashflow!$F$45, Cashflow!DK$52 )</f>
        <v>0</v>
      </c>
      <c r="DM44">
        <f xml:space="preserve"> IF( Time!DM$15 = 1, Cashflow!$F$45, Cashflow!DL$52 )</f>
        <v>0</v>
      </c>
      <c r="DN44">
        <f xml:space="preserve"> IF( Time!DN$15 = 1, Cashflow!$F$45, Cashflow!DM$52 )</f>
        <v>0</v>
      </c>
      <c r="DO44">
        <f xml:space="preserve"> IF( Time!DO$15 = 1, Cashflow!$F$45, Cashflow!DN$52 )</f>
        <v>0</v>
      </c>
      <c r="DP44">
        <f xml:space="preserve"> IF( Time!DP$15 = 1, Cashflow!$F$45, Cashflow!DO$52 )</f>
        <v>0</v>
      </c>
      <c r="DQ44">
        <f xml:space="preserve"> IF( Time!DQ$15 = 1, Cashflow!$F$45, Cashflow!DP$52 )</f>
        <v>0</v>
      </c>
      <c r="DR44">
        <f xml:space="preserve"> IF( Time!DR$15 = 1, Cashflow!$F$45, Cashflow!DQ$52 )</f>
        <v>0</v>
      </c>
      <c r="DS44">
        <f xml:space="preserve"> IF( Time!DS$15 = 1, Cashflow!$F$45, Cashflow!DR$52 )</f>
        <v>0</v>
      </c>
      <c r="DT44">
        <f xml:space="preserve"> IF( Time!DT$15 = 1, Cashflow!$F$45, Cashflow!DS$52 )</f>
        <v>0</v>
      </c>
      <c r="DU44">
        <f xml:space="preserve"> IF( Time!DU$15 = 1, Cashflow!$F$45, Cashflow!DT$52 )</f>
        <v>0</v>
      </c>
      <c r="DV44">
        <f xml:space="preserve"> IF( Time!DV$15 = 1, Cashflow!$F$45, Cashflow!DU$52 )</f>
        <v>0</v>
      </c>
      <c r="DW44">
        <f xml:space="preserve"> IF( Time!DW$15 = 1, Cashflow!$F$45, Cashflow!DV$52 )</f>
        <v>0</v>
      </c>
      <c r="DX44">
        <f xml:space="preserve"> IF( Time!DX$15 = 1, Cashflow!$F$45, Cashflow!DW$52 )</f>
        <v>0</v>
      </c>
      <c r="DY44">
        <f xml:space="preserve"> IF( Time!DY$15 = 1, Cashflow!$F$45, Cashflow!DX$52 )</f>
        <v>0</v>
      </c>
    </row>
    <row r="45" spans="1:129">
      <c r="D45" s="86" t="s">
        <v>191</v>
      </c>
      <c r="E45" s="87" t="s">
        <v>185</v>
      </c>
      <c r="F45" s="65">
        <f>CaseData!$G$17</f>
        <v>10000000</v>
      </c>
      <c r="G45" t="s">
        <v>146</v>
      </c>
      <c r="J45">
        <f t="shared" ref="J45:AO45" si="40" xml:space="preserve"> $F$45 * ( J$3 = start_date )</f>
        <v>0</v>
      </c>
      <c r="K45">
        <f t="shared" si="40"/>
        <v>0</v>
      </c>
      <c r="L45">
        <f t="shared" si="40"/>
        <v>0</v>
      </c>
      <c r="M45">
        <f t="shared" si="40"/>
        <v>0</v>
      </c>
      <c r="N45">
        <f t="shared" si="40"/>
        <v>0</v>
      </c>
      <c r="O45">
        <f t="shared" si="40"/>
        <v>0</v>
      </c>
      <c r="P45">
        <f t="shared" si="40"/>
        <v>0</v>
      </c>
      <c r="Q45">
        <f t="shared" si="40"/>
        <v>0</v>
      </c>
      <c r="R45">
        <f t="shared" si="40"/>
        <v>0</v>
      </c>
      <c r="S45">
        <f t="shared" si="40"/>
        <v>0</v>
      </c>
      <c r="T45">
        <f t="shared" si="40"/>
        <v>0</v>
      </c>
      <c r="U45">
        <f t="shared" si="40"/>
        <v>0</v>
      </c>
      <c r="V45">
        <f t="shared" si="40"/>
        <v>0</v>
      </c>
      <c r="W45">
        <f t="shared" si="40"/>
        <v>0</v>
      </c>
      <c r="X45">
        <f t="shared" si="40"/>
        <v>0</v>
      </c>
      <c r="Y45">
        <f t="shared" si="40"/>
        <v>0</v>
      </c>
      <c r="Z45">
        <f t="shared" si="40"/>
        <v>0</v>
      </c>
      <c r="AA45">
        <f t="shared" si="40"/>
        <v>0</v>
      </c>
      <c r="AB45">
        <f t="shared" si="40"/>
        <v>0</v>
      </c>
      <c r="AC45">
        <f t="shared" si="40"/>
        <v>0</v>
      </c>
      <c r="AD45">
        <f t="shared" si="40"/>
        <v>0</v>
      </c>
      <c r="AE45">
        <f t="shared" si="40"/>
        <v>0</v>
      </c>
      <c r="AF45">
        <f t="shared" si="40"/>
        <v>0</v>
      </c>
      <c r="AG45">
        <f t="shared" si="40"/>
        <v>0</v>
      </c>
      <c r="AH45">
        <f t="shared" si="40"/>
        <v>0</v>
      </c>
      <c r="AI45">
        <f t="shared" si="40"/>
        <v>0</v>
      </c>
      <c r="AJ45">
        <f t="shared" si="40"/>
        <v>0</v>
      </c>
      <c r="AK45">
        <f t="shared" si="40"/>
        <v>0</v>
      </c>
      <c r="AL45">
        <f t="shared" si="40"/>
        <v>0</v>
      </c>
      <c r="AM45">
        <f t="shared" si="40"/>
        <v>0</v>
      </c>
      <c r="AN45">
        <f t="shared" si="40"/>
        <v>0</v>
      </c>
      <c r="AO45">
        <f t="shared" si="40"/>
        <v>0</v>
      </c>
      <c r="AP45">
        <f t="shared" ref="AP45:BU45" si="41" xml:space="preserve"> $F$45 * ( AP$3 = start_date )</f>
        <v>0</v>
      </c>
      <c r="AQ45">
        <f t="shared" si="41"/>
        <v>0</v>
      </c>
      <c r="AR45">
        <f t="shared" si="41"/>
        <v>0</v>
      </c>
      <c r="AS45">
        <f t="shared" si="41"/>
        <v>0</v>
      </c>
      <c r="AT45">
        <f t="shared" si="41"/>
        <v>0</v>
      </c>
      <c r="AU45">
        <f t="shared" si="41"/>
        <v>0</v>
      </c>
      <c r="AV45">
        <f t="shared" si="41"/>
        <v>0</v>
      </c>
      <c r="AW45">
        <f t="shared" si="41"/>
        <v>0</v>
      </c>
      <c r="AX45">
        <f t="shared" si="41"/>
        <v>0</v>
      </c>
      <c r="AY45">
        <f t="shared" si="41"/>
        <v>0</v>
      </c>
      <c r="AZ45">
        <f t="shared" si="41"/>
        <v>0</v>
      </c>
      <c r="BA45">
        <f t="shared" si="41"/>
        <v>0</v>
      </c>
      <c r="BB45">
        <f t="shared" si="41"/>
        <v>0</v>
      </c>
      <c r="BC45">
        <f t="shared" si="41"/>
        <v>0</v>
      </c>
      <c r="BD45">
        <f t="shared" si="41"/>
        <v>0</v>
      </c>
      <c r="BE45">
        <f t="shared" si="41"/>
        <v>0</v>
      </c>
      <c r="BF45">
        <f t="shared" si="41"/>
        <v>0</v>
      </c>
      <c r="BG45">
        <f t="shared" si="41"/>
        <v>0</v>
      </c>
      <c r="BH45">
        <f t="shared" si="41"/>
        <v>0</v>
      </c>
      <c r="BI45">
        <f t="shared" si="41"/>
        <v>0</v>
      </c>
      <c r="BJ45">
        <f t="shared" si="41"/>
        <v>0</v>
      </c>
      <c r="BK45">
        <f t="shared" si="41"/>
        <v>0</v>
      </c>
      <c r="BL45">
        <f t="shared" si="41"/>
        <v>0</v>
      </c>
      <c r="BM45">
        <f t="shared" si="41"/>
        <v>0</v>
      </c>
      <c r="BN45">
        <f t="shared" si="41"/>
        <v>0</v>
      </c>
      <c r="BO45">
        <f t="shared" si="41"/>
        <v>0</v>
      </c>
      <c r="BP45">
        <f t="shared" si="41"/>
        <v>0</v>
      </c>
      <c r="BQ45">
        <f t="shared" si="41"/>
        <v>0</v>
      </c>
      <c r="BR45">
        <f t="shared" si="41"/>
        <v>0</v>
      </c>
      <c r="BS45">
        <f t="shared" si="41"/>
        <v>0</v>
      </c>
      <c r="BT45">
        <f t="shared" si="41"/>
        <v>0</v>
      </c>
      <c r="BU45">
        <f t="shared" si="41"/>
        <v>0</v>
      </c>
      <c r="BV45">
        <f t="shared" ref="BV45:DA45" si="42" xml:space="preserve"> $F$45 * ( BV$3 = start_date )</f>
        <v>0</v>
      </c>
      <c r="BW45">
        <f t="shared" si="42"/>
        <v>0</v>
      </c>
      <c r="BX45">
        <f t="shared" si="42"/>
        <v>0</v>
      </c>
      <c r="BY45">
        <f t="shared" si="42"/>
        <v>0</v>
      </c>
      <c r="BZ45">
        <f t="shared" si="42"/>
        <v>0</v>
      </c>
      <c r="CA45">
        <f t="shared" si="42"/>
        <v>0</v>
      </c>
      <c r="CB45">
        <f t="shared" si="42"/>
        <v>0</v>
      </c>
      <c r="CC45">
        <f t="shared" si="42"/>
        <v>0</v>
      </c>
      <c r="CD45">
        <f t="shared" si="42"/>
        <v>0</v>
      </c>
      <c r="CE45">
        <f t="shared" si="42"/>
        <v>0</v>
      </c>
      <c r="CF45">
        <f t="shared" si="42"/>
        <v>0</v>
      </c>
      <c r="CG45">
        <f t="shared" si="42"/>
        <v>0</v>
      </c>
      <c r="CH45">
        <f t="shared" si="42"/>
        <v>0</v>
      </c>
      <c r="CI45">
        <f t="shared" si="42"/>
        <v>0</v>
      </c>
      <c r="CJ45">
        <f t="shared" si="42"/>
        <v>0</v>
      </c>
      <c r="CK45">
        <f t="shared" si="42"/>
        <v>0</v>
      </c>
      <c r="CL45">
        <f t="shared" si="42"/>
        <v>0</v>
      </c>
      <c r="CM45">
        <f t="shared" si="42"/>
        <v>0</v>
      </c>
      <c r="CN45">
        <f t="shared" si="42"/>
        <v>0</v>
      </c>
      <c r="CO45">
        <f t="shared" si="42"/>
        <v>0</v>
      </c>
      <c r="CP45">
        <f t="shared" si="42"/>
        <v>0</v>
      </c>
      <c r="CQ45">
        <f t="shared" si="42"/>
        <v>0</v>
      </c>
      <c r="CR45">
        <f t="shared" si="42"/>
        <v>0</v>
      </c>
      <c r="CS45">
        <f t="shared" si="42"/>
        <v>0</v>
      </c>
      <c r="CT45">
        <f t="shared" si="42"/>
        <v>0</v>
      </c>
      <c r="CU45">
        <f t="shared" si="42"/>
        <v>0</v>
      </c>
      <c r="CV45">
        <f t="shared" si="42"/>
        <v>0</v>
      </c>
      <c r="CW45">
        <f t="shared" si="42"/>
        <v>0</v>
      </c>
      <c r="CX45">
        <f t="shared" si="42"/>
        <v>0</v>
      </c>
      <c r="CY45">
        <f t="shared" si="42"/>
        <v>0</v>
      </c>
      <c r="CZ45">
        <f t="shared" si="42"/>
        <v>0</v>
      </c>
      <c r="DA45">
        <f t="shared" si="42"/>
        <v>0</v>
      </c>
      <c r="DB45">
        <f t="shared" ref="DB45:DY45" si="43" xml:space="preserve"> $F$45 * ( DB$3 = start_date )</f>
        <v>0</v>
      </c>
      <c r="DC45">
        <f t="shared" si="43"/>
        <v>0</v>
      </c>
      <c r="DD45">
        <f t="shared" si="43"/>
        <v>0</v>
      </c>
      <c r="DE45">
        <f t="shared" si="43"/>
        <v>0</v>
      </c>
      <c r="DF45">
        <f t="shared" si="43"/>
        <v>0</v>
      </c>
      <c r="DG45">
        <f t="shared" si="43"/>
        <v>0</v>
      </c>
      <c r="DH45">
        <f t="shared" si="43"/>
        <v>0</v>
      </c>
      <c r="DI45">
        <f t="shared" si="43"/>
        <v>0</v>
      </c>
      <c r="DJ45">
        <f t="shared" si="43"/>
        <v>0</v>
      </c>
      <c r="DK45">
        <f t="shared" si="43"/>
        <v>0</v>
      </c>
      <c r="DL45">
        <f t="shared" si="43"/>
        <v>0</v>
      </c>
      <c r="DM45">
        <f t="shared" si="43"/>
        <v>0</v>
      </c>
      <c r="DN45">
        <f t="shared" si="43"/>
        <v>0</v>
      </c>
      <c r="DO45">
        <f t="shared" si="43"/>
        <v>0</v>
      </c>
      <c r="DP45">
        <f t="shared" si="43"/>
        <v>0</v>
      </c>
      <c r="DQ45">
        <f t="shared" si="43"/>
        <v>0</v>
      </c>
      <c r="DR45">
        <f t="shared" si="43"/>
        <v>0</v>
      </c>
      <c r="DS45">
        <f t="shared" si="43"/>
        <v>0</v>
      </c>
      <c r="DT45">
        <f t="shared" si="43"/>
        <v>0</v>
      </c>
      <c r="DU45">
        <f t="shared" si="43"/>
        <v>0</v>
      </c>
      <c r="DV45">
        <f t="shared" si="43"/>
        <v>0</v>
      </c>
      <c r="DW45">
        <f t="shared" si="43"/>
        <v>0</v>
      </c>
      <c r="DX45">
        <f t="shared" si="43"/>
        <v>0</v>
      </c>
      <c r="DY45">
        <f t="shared" si="43"/>
        <v>0</v>
      </c>
    </row>
    <row r="46" spans="1:129">
      <c r="D46" s="86" t="s">
        <v>191</v>
      </c>
      <c r="E46" s="87" t="s">
        <v>187</v>
      </c>
      <c r="G46" t="s">
        <v>146</v>
      </c>
      <c r="J46">
        <f xml:space="preserve"> J$57</f>
        <v>125000</v>
      </c>
      <c r="K46">
        <f t="shared" ref="K46:BV46" si="44" xml:space="preserve"> K$57</f>
        <v>124365.71515447486</v>
      </c>
      <c r="L46">
        <f t="shared" si="44"/>
        <v>123723.50174838066</v>
      </c>
      <c r="M46">
        <f t="shared" si="44"/>
        <v>123073.26067471027</v>
      </c>
      <c r="N46">
        <f t="shared" si="44"/>
        <v>122414.891587619</v>
      </c>
      <c r="O46">
        <f t="shared" si="44"/>
        <v>121748.29288693909</v>
      </c>
      <c r="P46">
        <f t="shared" si="44"/>
        <v>121073.36170250068</v>
      </c>
      <c r="Q46">
        <f t="shared" si="44"/>
        <v>120389.99387825679</v>
      </c>
      <c r="R46">
        <f t="shared" si="44"/>
        <v>119698.08395620986</v>
      </c>
      <c r="S46">
        <f t="shared" si="44"/>
        <v>118997.52516013733</v>
      </c>
      <c r="T46">
        <f t="shared" si="44"/>
        <v>118288.20937911392</v>
      </c>
      <c r="U46">
        <f t="shared" si="44"/>
        <v>117570.02715082769</v>
      </c>
      <c r="V46">
        <f t="shared" si="44"/>
        <v>116842.86764468791</v>
      </c>
      <c r="W46">
        <f t="shared" si="44"/>
        <v>116106.61864472137</v>
      </c>
      <c r="X46">
        <f t="shared" si="44"/>
        <v>115361.16653225524</v>
      </c>
      <c r="Y46">
        <f t="shared" si="44"/>
        <v>114606.39626838331</v>
      </c>
      <c r="Z46">
        <f t="shared" si="44"/>
        <v>113842.19137621294</v>
      </c>
      <c r="AA46">
        <f t="shared" si="44"/>
        <v>113068.43392289046</v>
      </c>
      <c r="AB46">
        <f t="shared" si="44"/>
        <v>112285.00450140145</v>
      </c>
      <c r="AC46">
        <f t="shared" si="44"/>
        <v>111491.78221214382</v>
      </c>
      <c r="AD46">
        <f t="shared" si="44"/>
        <v>120176.24275663645</v>
      </c>
      <c r="AE46">
        <f t="shared" si="44"/>
        <v>119293.36510166711</v>
      </c>
      <c r="AF46">
        <f t="shared" si="44"/>
        <v>118399.45147601064</v>
      </c>
      <c r="AG46">
        <f t="shared" si="44"/>
        <v>117494.36393003348</v>
      </c>
      <c r="AH46">
        <f t="shared" si="44"/>
        <v>116577.96278973159</v>
      </c>
      <c r="AI46">
        <f t="shared" si="44"/>
        <v>115650.10663517595</v>
      </c>
      <c r="AJ46">
        <f t="shared" si="44"/>
        <v>114710.65227868834</v>
      </c>
      <c r="AK46">
        <f t="shared" si="44"/>
        <v>113759.45474274467</v>
      </c>
      <c r="AL46">
        <f t="shared" si="44"/>
        <v>112796.36723760166</v>
      </c>
      <c r="AM46">
        <f t="shared" si="44"/>
        <v>111821.24113864439</v>
      </c>
      <c r="AN46">
        <f t="shared" si="44"/>
        <v>110833.92596345014</v>
      </c>
      <c r="AO46">
        <f t="shared" si="44"/>
        <v>109834.26934856595</v>
      </c>
      <c r="AP46">
        <f t="shared" si="44"/>
        <v>108822.11702599574</v>
      </c>
      <c r="AQ46">
        <f t="shared" si="44"/>
        <v>107797.31279939339</v>
      </c>
      <c r="AR46">
        <f t="shared" si="44"/>
        <v>106759.69851995852</v>
      </c>
      <c r="AS46">
        <f t="shared" si="44"/>
        <v>105709.11406203068</v>
      </c>
      <c r="AT46">
        <f t="shared" si="44"/>
        <v>104645.39729837877</v>
      </c>
      <c r="AU46">
        <f t="shared" si="44"/>
        <v>103568.38407518119</v>
      </c>
      <c r="AV46">
        <f t="shared" si="44"/>
        <v>102477.90818669366</v>
      </c>
      <c r="AW46">
        <f t="shared" si="44"/>
        <v>101373.80134960003</v>
      </c>
      <c r="AX46">
        <f t="shared" si="44"/>
        <v>109110.30218047449</v>
      </c>
      <c r="AY46">
        <f t="shared" si="44"/>
        <v>107878.45449715546</v>
      </c>
      <c r="AZ46">
        <f t="shared" si="44"/>
        <v>106631.20871779493</v>
      </c>
      <c r="BA46">
        <f t="shared" si="44"/>
        <v>105368.3723661924</v>
      </c>
      <c r="BB46">
        <f t="shared" si="44"/>
        <v>104089.75056019485</v>
      </c>
      <c r="BC46">
        <f t="shared" si="44"/>
        <v>102795.14598162234</v>
      </c>
      <c r="BD46">
        <f t="shared" si="44"/>
        <v>101484.35884581764</v>
      </c>
      <c r="BE46">
        <f t="shared" si="44"/>
        <v>100157.18687081541</v>
      </c>
      <c r="BF46">
        <f t="shared" si="44"/>
        <v>98813.425246125626</v>
      </c>
      <c r="BG46">
        <f t="shared" si="44"/>
        <v>97452.866601127243</v>
      </c>
      <c r="BH46">
        <f t="shared" si="44"/>
        <v>96075.300973066362</v>
      </c>
      <c r="BI46">
        <f t="shared" si="44"/>
        <v>94680.515774654734</v>
      </c>
      <c r="BJ46">
        <f t="shared" si="44"/>
        <v>93268.295761262954</v>
      </c>
      <c r="BK46">
        <f t="shared" si="44"/>
        <v>91838.422997703776</v>
      </c>
      <c r="BL46">
        <f t="shared" si="44"/>
        <v>90390.676824600116</v>
      </c>
      <c r="BM46">
        <f t="shared" si="44"/>
        <v>88924.833824332658</v>
      </c>
      <c r="BN46">
        <f t="shared" si="44"/>
        <v>87440.667786561855</v>
      </c>
      <c r="BO46">
        <f t="shared" si="44"/>
        <v>85937.949673318915</v>
      </c>
      <c r="BP46">
        <f t="shared" si="44"/>
        <v>84416.44758366044</v>
      </c>
      <c r="BQ46">
        <f t="shared" si="44"/>
        <v>82875.92671788123</v>
      </c>
      <c r="BR46">
        <f t="shared" si="44"/>
        <v>86455.386995429726</v>
      </c>
      <c r="BS46">
        <f t="shared" si="44"/>
        <v>84776.30113996494</v>
      </c>
      <c r="BT46">
        <f t="shared" si="44"/>
        <v>83076.226711306866</v>
      </c>
      <c r="BU46">
        <f t="shared" si="44"/>
        <v>81354.901352290544</v>
      </c>
      <c r="BV46">
        <f t="shared" si="44"/>
        <v>79612.059426286549</v>
      </c>
      <c r="BW46">
        <f t="shared" ref="BW46:DY46" si="45" xml:space="preserve"> BW$57</f>
        <v>77847.431976207474</v>
      </c>
      <c r="BX46">
        <f t="shared" si="45"/>
        <v>76060.74668300242</v>
      </c>
      <c r="BY46">
        <f t="shared" si="45"/>
        <v>74251.727823632289</v>
      </c>
      <c r="BZ46">
        <f t="shared" si="45"/>
        <v>72420.096228520051</v>
      </c>
      <c r="CA46">
        <f t="shared" si="45"/>
        <v>70565.569238468917</v>
      </c>
      <c r="CB46">
        <f t="shared" si="45"/>
        <v>68687.860661042112</v>
      </c>
      <c r="CC46">
        <f t="shared" si="45"/>
        <v>66786.680726397492</v>
      </c>
      <c r="CD46">
        <f t="shared" si="45"/>
        <v>64861.736042569813</v>
      </c>
      <c r="CE46">
        <f t="shared" si="45"/>
        <v>62912.729550194286</v>
      </c>
      <c r="CF46">
        <f t="shared" si="45"/>
        <v>60939.360476664086</v>
      </c>
      <c r="CG46">
        <f t="shared" si="45"/>
        <v>58941.324289714721</v>
      </c>
      <c r="CH46">
        <f t="shared" si="45"/>
        <v>56918.312650428503</v>
      </c>
      <c r="CI46">
        <f t="shared" si="45"/>
        <v>54870.013365651219</v>
      </c>
      <c r="CJ46">
        <f t="shared" si="45"/>
        <v>52796.110339814208</v>
      </c>
      <c r="CK46">
        <f t="shared" si="45"/>
        <v>50696.283526154235</v>
      </c>
      <c r="CL46">
        <f t="shared" si="45"/>
        <v>55231.301393247035</v>
      </c>
      <c r="CM46">
        <f t="shared" si="45"/>
        <v>52783.428595626705</v>
      </c>
      <c r="CN46">
        <f t="shared" si="45"/>
        <v>50304.95738803612</v>
      </c>
      <c r="CO46">
        <f t="shared" si="45"/>
        <v>47795.505290350658</v>
      </c>
      <c r="CP46">
        <f t="shared" si="45"/>
        <v>45254.685041444121</v>
      </c>
      <c r="CQ46">
        <f t="shared" si="45"/>
        <v>42682.104539426255</v>
      </c>
      <c r="CR46">
        <f t="shared" si="45"/>
        <v>40077.366781133169</v>
      </c>
      <c r="CS46">
        <f t="shared" si="45"/>
        <v>37440.069800861413</v>
      </c>
      <c r="CT46">
        <f t="shared" si="45"/>
        <v>34769.806608336265</v>
      </c>
      <c r="CU46">
        <f t="shared" si="45"/>
        <v>32066.165125904547</v>
      </c>
      <c r="CV46">
        <f t="shared" si="45"/>
        <v>29328.728124942441</v>
      </c>
      <c r="CW46">
        <f t="shared" si="45"/>
        <v>26557.073161468306</v>
      </c>
      <c r="CX46">
        <f t="shared" si="45"/>
        <v>23750.772510950745</v>
      </c>
      <c r="CY46">
        <f t="shared" si="45"/>
        <v>20909.39310230171</v>
      </c>
      <c r="CZ46">
        <f t="shared" si="45"/>
        <v>18032.496451044568</v>
      </c>
      <c r="DA46">
        <f t="shared" si="45"/>
        <v>15119.638591646706</v>
      </c>
      <c r="DB46">
        <f t="shared" si="45"/>
        <v>12170.370009006374</v>
      </c>
      <c r="DC46">
        <f t="shared" si="45"/>
        <v>9184.2355690830373</v>
      </c>
      <c r="DD46">
        <f t="shared" si="45"/>
        <v>6160.7744486606598</v>
      </c>
      <c r="DE46">
        <f t="shared" si="45"/>
        <v>3099.5200642330028</v>
      </c>
      <c r="DF46">
        <f t="shared" si="45"/>
        <v>0</v>
      </c>
      <c r="DG46">
        <f t="shared" si="45"/>
        <v>0</v>
      </c>
      <c r="DH46">
        <f t="shared" si="45"/>
        <v>0</v>
      </c>
      <c r="DI46">
        <f t="shared" si="45"/>
        <v>0</v>
      </c>
      <c r="DJ46">
        <f t="shared" si="45"/>
        <v>0</v>
      </c>
      <c r="DK46">
        <f t="shared" si="45"/>
        <v>0</v>
      </c>
      <c r="DL46">
        <f t="shared" si="45"/>
        <v>0</v>
      </c>
      <c r="DM46">
        <f t="shared" si="45"/>
        <v>0</v>
      </c>
      <c r="DN46">
        <f t="shared" si="45"/>
        <v>0</v>
      </c>
      <c r="DO46">
        <f t="shared" si="45"/>
        <v>0</v>
      </c>
      <c r="DP46">
        <f t="shared" si="45"/>
        <v>0</v>
      </c>
      <c r="DQ46">
        <f t="shared" si="45"/>
        <v>0</v>
      </c>
      <c r="DR46">
        <f t="shared" si="45"/>
        <v>0</v>
      </c>
      <c r="DS46">
        <f t="shared" si="45"/>
        <v>0</v>
      </c>
      <c r="DT46">
        <f t="shared" si="45"/>
        <v>0</v>
      </c>
      <c r="DU46">
        <f t="shared" si="45"/>
        <v>0</v>
      </c>
      <c r="DV46">
        <f t="shared" si="45"/>
        <v>0</v>
      </c>
      <c r="DW46">
        <f t="shared" si="45"/>
        <v>0</v>
      </c>
      <c r="DX46">
        <f t="shared" si="45"/>
        <v>0</v>
      </c>
      <c r="DY46">
        <f t="shared" si="45"/>
        <v>0</v>
      </c>
    </row>
    <row r="47" spans="1:129">
      <c r="D47" s="86" t="s">
        <v>194</v>
      </c>
      <c r="E47" s="87" t="s">
        <v>192</v>
      </c>
      <c r="G47" t="s">
        <v>146</v>
      </c>
      <c r="H47" cm="1">
        <f t="array" ref="H47">_xlfn.BYROW( J47:DY47, _xleta.SUM )</f>
        <v>-8509627.8226838596</v>
      </c>
      <c r="J47">
        <f xml:space="preserve"> J$46 * - 1</f>
        <v>-125000</v>
      </c>
      <c r="K47">
        <f t="shared" ref="K47:BV47" si="46" xml:space="preserve"> K$46 * - 1</f>
        <v>-124365.71515447486</v>
      </c>
      <c r="L47">
        <f t="shared" si="46"/>
        <v>-123723.50174838066</v>
      </c>
      <c r="M47">
        <f t="shared" si="46"/>
        <v>-123073.26067471027</v>
      </c>
      <c r="N47">
        <f t="shared" si="46"/>
        <v>-122414.891587619</v>
      </c>
      <c r="O47">
        <f t="shared" si="46"/>
        <v>-121748.29288693909</v>
      </c>
      <c r="P47">
        <f t="shared" si="46"/>
        <v>-121073.36170250068</v>
      </c>
      <c r="Q47">
        <f t="shared" si="46"/>
        <v>-120389.99387825679</v>
      </c>
      <c r="R47">
        <f t="shared" si="46"/>
        <v>-119698.08395620986</v>
      </c>
      <c r="S47">
        <f t="shared" si="46"/>
        <v>-118997.52516013733</v>
      </c>
      <c r="T47">
        <f t="shared" si="46"/>
        <v>-118288.20937911392</v>
      </c>
      <c r="U47">
        <f t="shared" si="46"/>
        <v>-117570.02715082769</v>
      </c>
      <c r="V47">
        <f t="shared" si="46"/>
        <v>-116842.86764468791</v>
      </c>
      <c r="W47">
        <f t="shared" si="46"/>
        <v>-116106.61864472137</v>
      </c>
      <c r="X47">
        <f t="shared" si="46"/>
        <v>-115361.16653225524</v>
      </c>
      <c r="Y47">
        <f t="shared" si="46"/>
        <v>-114606.39626838331</v>
      </c>
      <c r="Z47">
        <f t="shared" si="46"/>
        <v>-113842.19137621294</v>
      </c>
      <c r="AA47">
        <f t="shared" si="46"/>
        <v>-113068.43392289046</v>
      </c>
      <c r="AB47">
        <f t="shared" si="46"/>
        <v>-112285.00450140145</v>
      </c>
      <c r="AC47">
        <f t="shared" si="46"/>
        <v>-111491.78221214382</v>
      </c>
      <c r="AD47">
        <f t="shared" si="46"/>
        <v>-120176.24275663645</v>
      </c>
      <c r="AE47">
        <f t="shared" si="46"/>
        <v>-119293.36510166711</v>
      </c>
      <c r="AF47">
        <f t="shared" si="46"/>
        <v>-118399.45147601064</v>
      </c>
      <c r="AG47">
        <f t="shared" si="46"/>
        <v>-117494.36393003348</v>
      </c>
      <c r="AH47">
        <f t="shared" si="46"/>
        <v>-116577.96278973159</v>
      </c>
      <c r="AI47">
        <f t="shared" si="46"/>
        <v>-115650.10663517595</v>
      </c>
      <c r="AJ47">
        <f t="shared" si="46"/>
        <v>-114710.65227868834</v>
      </c>
      <c r="AK47">
        <f t="shared" si="46"/>
        <v>-113759.45474274467</v>
      </c>
      <c r="AL47">
        <f t="shared" si="46"/>
        <v>-112796.36723760166</v>
      </c>
      <c r="AM47">
        <f t="shared" si="46"/>
        <v>-111821.24113864439</v>
      </c>
      <c r="AN47">
        <f t="shared" si="46"/>
        <v>-110833.92596345014</v>
      </c>
      <c r="AO47">
        <f t="shared" si="46"/>
        <v>-109834.26934856595</v>
      </c>
      <c r="AP47">
        <f t="shared" si="46"/>
        <v>-108822.11702599574</v>
      </c>
      <c r="AQ47">
        <f t="shared" si="46"/>
        <v>-107797.31279939339</v>
      </c>
      <c r="AR47">
        <f t="shared" si="46"/>
        <v>-106759.69851995852</v>
      </c>
      <c r="AS47">
        <f t="shared" si="46"/>
        <v>-105709.11406203068</v>
      </c>
      <c r="AT47">
        <f t="shared" si="46"/>
        <v>-104645.39729837877</v>
      </c>
      <c r="AU47">
        <f t="shared" si="46"/>
        <v>-103568.38407518119</v>
      </c>
      <c r="AV47">
        <f t="shared" si="46"/>
        <v>-102477.90818669366</v>
      </c>
      <c r="AW47">
        <f t="shared" si="46"/>
        <v>-101373.80134960003</v>
      </c>
      <c r="AX47">
        <f t="shared" si="46"/>
        <v>-109110.30218047449</v>
      </c>
      <c r="AY47">
        <f t="shared" si="46"/>
        <v>-107878.45449715546</v>
      </c>
      <c r="AZ47">
        <f t="shared" si="46"/>
        <v>-106631.20871779493</v>
      </c>
      <c r="BA47">
        <f t="shared" si="46"/>
        <v>-105368.3723661924</v>
      </c>
      <c r="BB47">
        <f t="shared" si="46"/>
        <v>-104089.75056019485</v>
      </c>
      <c r="BC47">
        <f t="shared" si="46"/>
        <v>-102795.14598162234</v>
      </c>
      <c r="BD47">
        <f t="shared" si="46"/>
        <v>-101484.35884581764</v>
      </c>
      <c r="BE47">
        <f t="shared" si="46"/>
        <v>-100157.18687081541</v>
      </c>
      <c r="BF47">
        <f t="shared" si="46"/>
        <v>-98813.425246125626</v>
      </c>
      <c r="BG47">
        <f t="shared" si="46"/>
        <v>-97452.866601127243</v>
      </c>
      <c r="BH47">
        <f t="shared" si="46"/>
        <v>-96075.300973066362</v>
      </c>
      <c r="BI47">
        <f t="shared" si="46"/>
        <v>-94680.515774654734</v>
      </c>
      <c r="BJ47">
        <f t="shared" si="46"/>
        <v>-93268.295761262954</v>
      </c>
      <c r="BK47">
        <f t="shared" si="46"/>
        <v>-91838.422997703776</v>
      </c>
      <c r="BL47">
        <f t="shared" si="46"/>
        <v>-90390.676824600116</v>
      </c>
      <c r="BM47">
        <f t="shared" si="46"/>
        <v>-88924.833824332658</v>
      </c>
      <c r="BN47">
        <f t="shared" si="46"/>
        <v>-87440.667786561855</v>
      </c>
      <c r="BO47">
        <f t="shared" si="46"/>
        <v>-85937.949673318915</v>
      </c>
      <c r="BP47">
        <f t="shared" si="46"/>
        <v>-84416.44758366044</v>
      </c>
      <c r="BQ47">
        <f t="shared" si="46"/>
        <v>-82875.92671788123</v>
      </c>
      <c r="BR47">
        <f t="shared" si="46"/>
        <v>-86455.386995429726</v>
      </c>
      <c r="BS47">
        <f t="shared" si="46"/>
        <v>-84776.30113996494</v>
      </c>
      <c r="BT47">
        <f t="shared" si="46"/>
        <v>-83076.226711306866</v>
      </c>
      <c r="BU47">
        <f t="shared" si="46"/>
        <v>-81354.901352290544</v>
      </c>
      <c r="BV47">
        <f t="shared" si="46"/>
        <v>-79612.059426286549</v>
      </c>
      <c r="BW47">
        <f t="shared" ref="BW47:DY47" si="47" xml:space="preserve"> BW$46 * - 1</f>
        <v>-77847.431976207474</v>
      </c>
      <c r="BX47">
        <f t="shared" si="47"/>
        <v>-76060.74668300242</v>
      </c>
      <c r="BY47">
        <f t="shared" si="47"/>
        <v>-74251.727823632289</v>
      </c>
      <c r="BZ47">
        <f t="shared" si="47"/>
        <v>-72420.096228520051</v>
      </c>
      <c r="CA47">
        <f t="shared" si="47"/>
        <v>-70565.569238468917</v>
      </c>
      <c r="CB47">
        <f t="shared" si="47"/>
        <v>-68687.860661042112</v>
      </c>
      <c r="CC47">
        <f t="shared" si="47"/>
        <v>-66786.680726397492</v>
      </c>
      <c r="CD47">
        <f t="shared" si="47"/>
        <v>-64861.736042569813</v>
      </c>
      <c r="CE47">
        <f t="shared" si="47"/>
        <v>-62912.729550194286</v>
      </c>
      <c r="CF47">
        <f t="shared" si="47"/>
        <v>-60939.360476664086</v>
      </c>
      <c r="CG47">
        <f t="shared" si="47"/>
        <v>-58941.324289714721</v>
      </c>
      <c r="CH47">
        <f t="shared" si="47"/>
        <v>-56918.312650428503</v>
      </c>
      <c r="CI47">
        <f t="shared" si="47"/>
        <v>-54870.013365651219</v>
      </c>
      <c r="CJ47">
        <f t="shared" si="47"/>
        <v>-52796.110339814208</v>
      </c>
      <c r="CK47">
        <f t="shared" si="47"/>
        <v>-50696.283526154235</v>
      </c>
      <c r="CL47">
        <f t="shared" si="47"/>
        <v>-55231.301393247035</v>
      </c>
      <c r="CM47">
        <f t="shared" si="47"/>
        <v>-52783.428595626705</v>
      </c>
      <c r="CN47">
        <f t="shared" si="47"/>
        <v>-50304.95738803612</v>
      </c>
      <c r="CO47">
        <f t="shared" si="47"/>
        <v>-47795.505290350658</v>
      </c>
      <c r="CP47">
        <f t="shared" si="47"/>
        <v>-45254.685041444121</v>
      </c>
      <c r="CQ47">
        <f t="shared" si="47"/>
        <v>-42682.104539426255</v>
      </c>
      <c r="CR47">
        <f t="shared" si="47"/>
        <v>-40077.366781133169</v>
      </c>
      <c r="CS47">
        <f t="shared" si="47"/>
        <v>-37440.069800861413</v>
      </c>
      <c r="CT47">
        <f t="shared" si="47"/>
        <v>-34769.806608336265</v>
      </c>
      <c r="CU47">
        <f t="shared" si="47"/>
        <v>-32066.165125904547</v>
      </c>
      <c r="CV47">
        <f t="shared" si="47"/>
        <v>-29328.728124942441</v>
      </c>
      <c r="CW47">
        <f t="shared" si="47"/>
        <v>-26557.073161468306</v>
      </c>
      <c r="CX47">
        <f t="shared" si="47"/>
        <v>-23750.772510950745</v>
      </c>
      <c r="CY47">
        <f t="shared" si="47"/>
        <v>-20909.39310230171</v>
      </c>
      <c r="CZ47">
        <f t="shared" si="47"/>
        <v>-18032.496451044568</v>
      </c>
      <c r="DA47">
        <f t="shared" si="47"/>
        <v>-15119.638591646706</v>
      </c>
      <c r="DB47">
        <f t="shared" si="47"/>
        <v>-12170.370009006374</v>
      </c>
      <c r="DC47">
        <f t="shared" si="47"/>
        <v>-9184.2355690830373</v>
      </c>
      <c r="DD47">
        <f t="shared" si="47"/>
        <v>-6160.7744486606598</v>
      </c>
      <c r="DE47">
        <f t="shared" si="47"/>
        <v>-3099.5200642330028</v>
      </c>
      <c r="DF47">
        <f t="shared" si="47"/>
        <v>0</v>
      </c>
      <c r="DG47">
        <f t="shared" si="47"/>
        <v>0</v>
      </c>
      <c r="DH47">
        <f t="shared" si="47"/>
        <v>0</v>
      </c>
      <c r="DI47">
        <f t="shared" si="47"/>
        <v>0</v>
      </c>
      <c r="DJ47">
        <f t="shared" si="47"/>
        <v>0</v>
      </c>
      <c r="DK47">
        <f t="shared" si="47"/>
        <v>0</v>
      </c>
      <c r="DL47">
        <f t="shared" si="47"/>
        <v>0</v>
      </c>
      <c r="DM47">
        <f t="shared" si="47"/>
        <v>0</v>
      </c>
      <c r="DN47">
        <f t="shared" si="47"/>
        <v>0</v>
      </c>
      <c r="DO47">
        <f t="shared" si="47"/>
        <v>0</v>
      </c>
      <c r="DP47">
        <f t="shared" si="47"/>
        <v>0</v>
      </c>
      <c r="DQ47">
        <f t="shared" si="47"/>
        <v>0</v>
      </c>
      <c r="DR47">
        <f t="shared" si="47"/>
        <v>0</v>
      </c>
      <c r="DS47">
        <f t="shared" si="47"/>
        <v>0</v>
      </c>
      <c r="DT47">
        <f t="shared" si="47"/>
        <v>0</v>
      </c>
      <c r="DU47">
        <f t="shared" si="47"/>
        <v>0</v>
      </c>
      <c r="DV47">
        <f t="shared" si="47"/>
        <v>0</v>
      </c>
      <c r="DW47">
        <f t="shared" si="47"/>
        <v>0</v>
      </c>
      <c r="DX47">
        <f t="shared" si="47"/>
        <v>0</v>
      </c>
      <c r="DY47">
        <f t="shared" si="47"/>
        <v>0</v>
      </c>
    </row>
    <row r="48" spans="1:129">
      <c r="D48" s="86" t="s">
        <v>194</v>
      </c>
      <c r="E48" s="87" t="s">
        <v>193</v>
      </c>
      <c r="G48" t="s">
        <v>146</v>
      </c>
      <c r="H48" cm="1">
        <f t="array" ref="H48">_xlfn.BYROW( J48:DY48, _xleta.SUM )</f>
        <v>-12411386.982869696</v>
      </c>
      <c r="J48">
        <f xml:space="preserve"> J$60 * - 1</f>
        <v>-50742.787642011492</v>
      </c>
      <c r="K48">
        <f t="shared" ref="K48:BV48" si="48" xml:space="preserve"> K$60 * - 1</f>
        <v>-51377.072487536629</v>
      </c>
      <c r="L48">
        <f t="shared" si="48"/>
        <v>-52019.285893630826</v>
      </c>
      <c r="M48">
        <f t="shared" si="48"/>
        <v>-52669.526967301208</v>
      </c>
      <c r="N48">
        <f t="shared" si="48"/>
        <v>-53327.896054392484</v>
      </c>
      <c r="O48">
        <f t="shared" si="48"/>
        <v>-53994.494755072381</v>
      </c>
      <c r="P48">
        <f t="shared" si="48"/>
        <v>-54669.425939510787</v>
      </c>
      <c r="Q48">
        <f t="shared" si="48"/>
        <v>-55352.793763754657</v>
      </c>
      <c r="R48">
        <f t="shared" si="48"/>
        <v>-56044.703685801622</v>
      </c>
      <c r="S48">
        <f t="shared" si="48"/>
        <v>-56745.262481874117</v>
      </c>
      <c r="T48">
        <f t="shared" si="48"/>
        <v>-57454.57826289755</v>
      </c>
      <c r="U48">
        <f t="shared" si="48"/>
        <v>-58172.760491183777</v>
      </c>
      <c r="V48">
        <f t="shared" si="48"/>
        <v>-58899.919997323588</v>
      </c>
      <c r="W48">
        <f t="shared" si="48"/>
        <v>-59636.168997290115</v>
      </c>
      <c r="X48">
        <f t="shared" si="48"/>
        <v>-60381.621109756248</v>
      </c>
      <c r="Y48">
        <f t="shared" si="48"/>
        <v>-61136.391373628227</v>
      </c>
      <c r="Z48">
        <f t="shared" si="48"/>
        <v>-61900.596265798551</v>
      </c>
      <c r="AA48">
        <f t="shared" si="48"/>
        <v>-62674.353719121049</v>
      </c>
      <c r="AB48">
        <f t="shared" si="48"/>
        <v>-63457.783140610045</v>
      </c>
      <c r="AC48">
        <f t="shared" si="48"/>
        <v>-64251.005429867684</v>
      </c>
      <c r="AD48">
        <f t="shared" si="48"/>
        <v>-70630.212397547351</v>
      </c>
      <c r="AE48">
        <f t="shared" si="48"/>
        <v>-71513.09005251668</v>
      </c>
      <c r="AF48">
        <f t="shared" si="48"/>
        <v>-72407.003678173147</v>
      </c>
      <c r="AG48">
        <f t="shared" si="48"/>
        <v>-73312.091224150325</v>
      </c>
      <c r="AH48">
        <f t="shared" si="48"/>
        <v>-74228.492364452191</v>
      </c>
      <c r="AI48">
        <f t="shared" si="48"/>
        <v>-75156.348519007835</v>
      </c>
      <c r="AJ48">
        <f t="shared" si="48"/>
        <v>-76095.802875495458</v>
      </c>
      <c r="AK48">
        <f t="shared" si="48"/>
        <v>-77047.000411439149</v>
      </c>
      <c r="AL48">
        <f t="shared" si="48"/>
        <v>-78010.087916582124</v>
      </c>
      <c r="AM48">
        <f t="shared" si="48"/>
        <v>-78985.214015539401</v>
      </c>
      <c r="AN48">
        <f t="shared" si="48"/>
        <v>-79972.529190733636</v>
      </c>
      <c r="AO48">
        <f t="shared" si="48"/>
        <v>-80972.185805617817</v>
      </c>
      <c r="AP48">
        <f t="shared" si="48"/>
        <v>-81984.338128188028</v>
      </c>
      <c r="AQ48">
        <f t="shared" si="48"/>
        <v>-83009.142354790369</v>
      </c>
      <c r="AR48">
        <f t="shared" si="48"/>
        <v>-84046.756634225254</v>
      </c>
      <c r="AS48">
        <f t="shared" si="48"/>
        <v>-85097.341092153074</v>
      </c>
      <c r="AT48">
        <f t="shared" si="48"/>
        <v>-86161.057855804989</v>
      </c>
      <c r="AU48">
        <f t="shared" si="48"/>
        <v>-87238.071079002519</v>
      </c>
      <c r="AV48">
        <f t="shared" si="48"/>
        <v>-88328.546967490038</v>
      </c>
      <c r="AW48">
        <f t="shared" si="48"/>
        <v>-89432.653804583664</v>
      </c>
      <c r="AX48">
        <f t="shared" si="48"/>
        <v>-98547.814665522557</v>
      </c>
      <c r="AY48">
        <f t="shared" si="48"/>
        <v>-99779.662348841579</v>
      </c>
      <c r="AZ48">
        <f t="shared" si="48"/>
        <v>-101026.90812820211</v>
      </c>
      <c r="BA48">
        <f t="shared" si="48"/>
        <v>-102289.74447980459</v>
      </c>
      <c r="BB48">
        <f t="shared" si="48"/>
        <v>-103568.36628580217</v>
      </c>
      <c r="BC48">
        <f t="shared" si="48"/>
        <v>-104862.97086437471</v>
      </c>
      <c r="BD48">
        <f t="shared" si="48"/>
        <v>-106173.75800017941</v>
      </c>
      <c r="BE48">
        <f t="shared" si="48"/>
        <v>-107500.92997518166</v>
      </c>
      <c r="BF48">
        <f t="shared" si="48"/>
        <v>-108844.69159987141</v>
      </c>
      <c r="BG48">
        <f t="shared" si="48"/>
        <v>-110205.25024486981</v>
      </c>
      <c r="BH48">
        <f t="shared" si="48"/>
        <v>-111582.81587293069</v>
      </c>
      <c r="BI48">
        <f t="shared" si="48"/>
        <v>-112977.60107134232</v>
      </c>
      <c r="BJ48">
        <f t="shared" si="48"/>
        <v>-114389.82108473411</v>
      </c>
      <c r="BK48">
        <f t="shared" si="48"/>
        <v>-115819.69384829327</v>
      </c>
      <c r="BL48">
        <f t="shared" si="48"/>
        <v>-117267.44002139695</v>
      </c>
      <c r="BM48">
        <f t="shared" si="48"/>
        <v>-118733.28302166439</v>
      </c>
      <c r="BN48">
        <f t="shared" si="48"/>
        <v>-120217.44905943522</v>
      </c>
      <c r="BO48">
        <f t="shared" si="48"/>
        <v>-121720.16717267815</v>
      </c>
      <c r="BP48">
        <f t="shared" si="48"/>
        <v>-123241.66926233664</v>
      </c>
      <c r="BQ48">
        <f t="shared" si="48"/>
        <v>-124782.19012811582</v>
      </c>
      <c r="BR48">
        <f t="shared" si="48"/>
        <v>-134326.86843718207</v>
      </c>
      <c r="BS48">
        <f t="shared" si="48"/>
        <v>-136005.95429264681</v>
      </c>
      <c r="BT48">
        <f t="shared" si="48"/>
        <v>-137706.02872130493</v>
      </c>
      <c r="BU48">
        <f t="shared" si="48"/>
        <v>-139427.35408032127</v>
      </c>
      <c r="BV48">
        <f t="shared" si="48"/>
        <v>-141170.19600632528</v>
      </c>
      <c r="BW48">
        <f t="shared" ref="BW48:DY48" si="49" xml:space="preserve"> BW$60 * - 1</f>
        <v>-142934.82345640435</v>
      </c>
      <c r="BX48">
        <f t="shared" si="49"/>
        <v>-144721.50874960941</v>
      </c>
      <c r="BY48">
        <f t="shared" si="49"/>
        <v>-146530.52760897949</v>
      </c>
      <c r="BZ48">
        <f t="shared" si="49"/>
        <v>-148362.15920409173</v>
      </c>
      <c r="CA48">
        <f t="shared" si="49"/>
        <v>-150216.68619414288</v>
      </c>
      <c r="CB48">
        <f t="shared" si="49"/>
        <v>-152094.39477156964</v>
      </c>
      <c r="CC48">
        <f t="shared" si="49"/>
        <v>-153995.57470621428</v>
      </c>
      <c r="CD48">
        <f t="shared" si="49"/>
        <v>-155920.51939004194</v>
      </c>
      <c r="CE48">
        <f t="shared" si="49"/>
        <v>-157869.52588241748</v>
      </c>
      <c r="CF48">
        <f t="shared" si="49"/>
        <v>-159842.89495594773</v>
      </c>
      <c r="CG48">
        <f t="shared" si="49"/>
        <v>-161840.93114289702</v>
      </c>
      <c r="CH48">
        <f t="shared" si="49"/>
        <v>-163863.94278218327</v>
      </c>
      <c r="CI48">
        <f t="shared" si="49"/>
        <v>-165912.24206696055</v>
      </c>
      <c r="CJ48">
        <f t="shared" si="49"/>
        <v>-167986.14509279755</v>
      </c>
      <c r="CK48">
        <f t="shared" si="49"/>
        <v>-170085.97190645747</v>
      </c>
      <c r="CL48">
        <f t="shared" si="49"/>
        <v>-195829.8238096264</v>
      </c>
      <c r="CM48">
        <f t="shared" si="49"/>
        <v>-198277.69660724665</v>
      </c>
      <c r="CN48">
        <f t="shared" si="49"/>
        <v>-200756.16781483724</v>
      </c>
      <c r="CO48">
        <f t="shared" si="49"/>
        <v>-203265.6199125227</v>
      </c>
      <c r="CP48">
        <f t="shared" si="49"/>
        <v>-205806.44016142923</v>
      </c>
      <c r="CQ48">
        <f t="shared" si="49"/>
        <v>-208379.02066344707</v>
      </c>
      <c r="CR48">
        <f t="shared" si="49"/>
        <v>-210983.75842174015</v>
      </c>
      <c r="CS48">
        <f t="shared" si="49"/>
        <v>-213621.05540201196</v>
      </c>
      <c r="CT48">
        <f t="shared" si="49"/>
        <v>-216291.31859453704</v>
      </c>
      <c r="CU48">
        <f t="shared" si="49"/>
        <v>-218994.96007696871</v>
      </c>
      <c r="CV48">
        <f t="shared" si="49"/>
        <v>-221732.39707793086</v>
      </c>
      <c r="CW48">
        <f t="shared" si="49"/>
        <v>-224504.05204140503</v>
      </c>
      <c r="CX48">
        <f t="shared" si="49"/>
        <v>-227310.35269192257</v>
      </c>
      <c r="CY48">
        <f t="shared" si="49"/>
        <v>-230151.73210057162</v>
      </c>
      <c r="CZ48">
        <f t="shared" si="49"/>
        <v>-233028.62875182877</v>
      </c>
      <c r="DA48">
        <f t="shared" si="49"/>
        <v>-235941.48661122657</v>
      </c>
      <c r="DB48">
        <f t="shared" si="49"/>
        <v>-238890.75519386691</v>
      </c>
      <c r="DC48">
        <f t="shared" si="49"/>
        <v>-241876.88963379024</v>
      </c>
      <c r="DD48">
        <f t="shared" si="49"/>
        <v>-244900.35075421256</v>
      </c>
      <c r="DE48">
        <f t="shared" si="49"/>
        <v>-247961.60513864027</v>
      </c>
      <c r="DF48">
        <f t="shared" si="49"/>
        <v>0</v>
      </c>
      <c r="DG48">
        <f t="shared" si="49"/>
        <v>0</v>
      </c>
      <c r="DH48">
        <f t="shared" si="49"/>
        <v>0</v>
      </c>
      <c r="DI48">
        <f t="shared" si="49"/>
        <v>0</v>
      </c>
      <c r="DJ48">
        <f t="shared" si="49"/>
        <v>0</v>
      </c>
      <c r="DK48">
        <f t="shared" si="49"/>
        <v>0</v>
      </c>
      <c r="DL48">
        <f t="shared" si="49"/>
        <v>0</v>
      </c>
      <c r="DM48">
        <f t="shared" si="49"/>
        <v>0</v>
      </c>
      <c r="DN48">
        <f t="shared" si="49"/>
        <v>0</v>
      </c>
      <c r="DO48">
        <f t="shared" si="49"/>
        <v>0</v>
      </c>
      <c r="DP48">
        <f t="shared" si="49"/>
        <v>0</v>
      </c>
      <c r="DQ48">
        <f t="shared" si="49"/>
        <v>0</v>
      </c>
      <c r="DR48">
        <f t="shared" si="49"/>
        <v>0</v>
      </c>
      <c r="DS48">
        <f t="shared" si="49"/>
        <v>0</v>
      </c>
      <c r="DT48">
        <f t="shared" si="49"/>
        <v>0</v>
      </c>
      <c r="DU48">
        <f t="shared" si="49"/>
        <v>0</v>
      </c>
      <c r="DV48">
        <f t="shared" si="49"/>
        <v>0</v>
      </c>
      <c r="DW48">
        <f t="shared" si="49"/>
        <v>0</v>
      </c>
      <c r="DX48">
        <f t="shared" si="49"/>
        <v>0</v>
      </c>
      <c r="DY48">
        <f t="shared" si="49"/>
        <v>0</v>
      </c>
    </row>
    <row r="49" spans="3:129">
      <c r="D49" s="86" t="s">
        <v>194</v>
      </c>
      <c r="E49" s="87" t="s">
        <v>200</v>
      </c>
      <c r="G49" t="s">
        <v>146</v>
      </c>
      <c r="H49" cm="1">
        <f t="array" ref="H49">_xlfn.BYROW( J49:DY49, _xleta.SUM )</f>
        <v>-27266471.683193319</v>
      </c>
      <c r="J49">
        <f xml:space="preserve"> IF( Time!J$40 &gt; 0, SUM( Cashflow!J$44:J$48 ) * - 1, 0 )</f>
        <v>0</v>
      </c>
      <c r="K49">
        <f xml:space="preserve"> IF( Time!K$40 &gt; 0, SUM( Cashflow!K$44:K$48 ) * - 1, 0 )</f>
        <v>0</v>
      </c>
      <c r="L49">
        <f xml:space="preserve"> IF( Time!L$40 &gt; 0, SUM( Cashflow!L$44:L$48 ) * - 1, 0 )</f>
        <v>0</v>
      </c>
      <c r="M49">
        <f xml:space="preserve"> IF( Time!M$40 &gt; 0, SUM( Cashflow!M$44:M$48 ) * - 1, 0 )</f>
        <v>0</v>
      </c>
      <c r="N49">
        <f xml:space="preserve"> IF( Time!N$40 &gt; 0, SUM( Cashflow!N$44:N$48 ) * - 1, 0 )</f>
        <v>0</v>
      </c>
      <c r="O49">
        <f xml:space="preserve"> IF( Time!O$40 &gt; 0, SUM( Cashflow!O$44:O$48 ) * - 1, 0 )</f>
        <v>0</v>
      </c>
      <c r="P49">
        <f xml:space="preserve"> IF( Time!P$40 &gt; 0, SUM( Cashflow!P$44:P$48 ) * - 1, 0 )</f>
        <v>0</v>
      </c>
      <c r="Q49">
        <f xml:space="preserve"> IF( Time!Q$40 &gt; 0, SUM( Cashflow!Q$44:Q$48 ) * - 1, 0 )</f>
        <v>0</v>
      </c>
      <c r="R49">
        <f xml:space="preserve"> IF( Time!R$40 &gt; 0, SUM( Cashflow!R$44:R$48 ) * - 1, 0 )</f>
        <v>0</v>
      </c>
      <c r="S49">
        <f xml:space="preserve"> IF( Time!S$40 &gt; 0, SUM( Cashflow!S$44:S$48 ) * - 1, 0 )</f>
        <v>0</v>
      </c>
      <c r="T49">
        <f xml:space="preserve"> IF( Time!T$40 &gt; 0, SUM( Cashflow!T$44:T$48 ) * - 1, 0 )</f>
        <v>0</v>
      </c>
      <c r="U49">
        <f xml:space="preserve"> IF( Time!U$40 &gt; 0, SUM( Cashflow!U$44:U$48 ) * - 1, 0 )</f>
        <v>0</v>
      </c>
      <c r="V49">
        <f xml:space="preserve"> IF( Time!V$40 &gt; 0, SUM( Cashflow!V$44:V$48 ) * - 1, 0 )</f>
        <v>0</v>
      </c>
      <c r="W49">
        <f xml:space="preserve"> IF( Time!W$40 &gt; 0, SUM( Cashflow!W$44:W$48 ) * - 1, 0 )</f>
        <v>0</v>
      </c>
      <c r="X49">
        <f xml:space="preserve"> IF( Time!X$40 &gt; 0, SUM( Cashflow!X$44:X$48 ) * - 1, 0 )</f>
        <v>0</v>
      </c>
      <c r="Y49">
        <f xml:space="preserve"> IF( Time!Y$40 &gt; 0, SUM( Cashflow!Y$44:Y$48 ) * - 1, 0 )</f>
        <v>0</v>
      </c>
      <c r="Z49">
        <f xml:space="preserve"> IF( Time!Z$40 &gt; 0, SUM( Cashflow!Z$44:Z$48 ) * - 1, 0 )</f>
        <v>0</v>
      </c>
      <c r="AA49">
        <f xml:space="preserve"> IF( Time!AA$40 &gt; 0, SUM( Cashflow!AA$44:AA$48 ) * - 1, 0 )</f>
        <v>0</v>
      </c>
      <c r="AB49">
        <f xml:space="preserve"> IF( Time!AB$40 &gt; 0, SUM( Cashflow!AB$44:AB$48 ) * - 1, 0 )</f>
        <v>0</v>
      </c>
      <c r="AC49">
        <f xml:space="preserve"> IF( Time!AC$40 &gt; 0, SUM( Cashflow!AC$44:AC$48 ) * - 1, 0 )</f>
        <v>-8855091.5715416372</v>
      </c>
      <c r="AD49">
        <f xml:space="preserve"> IF( Time!AD$40 &gt; 0, SUM( Cashflow!AD$44:AD$48 ) * - 1, 0 )</f>
        <v>0</v>
      </c>
      <c r="AE49">
        <f xml:space="preserve"> IF( Time!AE$40 &gt; 0, SUM( Cashflow!AE$44:AE$48 ) * - 1, 0 )</f>
        <v>0</v>
      </c>
      <c r="AF49">
        <f xml:space="preserve"> IF( Time!AF$40 &gt; 0, SUM( Cashflow!AF$44:AF$48 ) * - 1, 0 )</f>
        <v>0</v>
      </c>
      <c r="AG49">
        <f xml:space="preserve"> IF( Time!AG$40 &gt; 0, SUM( Cashflow!AG$44:AG$48 ) * - 1, 0 )</f>
        <v>0</v>
      </c>
      <c r="AH49">
        <f xml:space="preserve"> IF( Time!AH$40 &gt; 0, SUM( Cashflow!AH$44:AH$48 ) * - 1, 0 )</f>
        <v>0</v>
      </c>
      <c r="AI49">
        <f xml:space="preserve"> IF( Time!AI$40 &gt; 0, SUM( Cashflow!AI$44:AI$48 ) * - 1, 0 )</f>
        <v>0</v>
      </c>
      <c r="AJ49">
        <f xml:space="preserve"> IF( Time!AJ$40 &gt; 0, SUM( Cashflow!AJ$44:AJ$48 ) * - 1, 0 )</f>
        <v>0</v>
      </c>
      <c r="AK49">
        <f xml:space="preserve"> IF( Time!AK$40 &gt; 0, SUM( Cashflow!AK$44:AK$48 ) * - 1, 0 )</f>
        <v>0</v>
      </c>
      <c r="AL49">
        <f xml:space="preserve"> IF( Time!AL$40 &gt; 0, SUM( Cashflow!AL$44:AL$48 ) * - 1, 0 )</f>
        <v>0</v>
      </c>
      <c r="AM49">
        <f xml:space="preserve"> IF( Time!AM$40 &gt; 0, SUM( Cashflow!AM$44:AM$48 ) * - 1, 0 )</f>
        <v>0</v>
      </c>
      <c r="AN49">
        <f xml:space="preserve"> IF( Time!AN$40 &gt; 0, SUM( Cashflow!AN$44:AN$48 ) * - 1, 0 )</f>
        <v>0</v>
      </c>
      <c r="AO49">
        <f xml:space="preserve"> IF( Time!AO$40 &gt; 0, SUM( Cashflow!AO$44:AO$48 ) * - 1, 0 )</f>
        <v>0</v>
      </c>
      <c r="AP49">
        <f xml:space="preserve"> IF( Time!AP$40 &gt; 0, SUM( Cashflow!AP$44:AP$48 ) * - 1, 0 )</f>
        <v>0</v>
      </c>
      <c r="AQ49">
        <f xml:space="preserve"> IF( Time!AQ$40 &gt; 0, SUM( Cashflow!AQ$44:AQ$48 ) * - 1, 0 )</f>
        <v>0</v>
      </c>
      <c r="AR49">
        <f xml:space="preserve"> IF( Time!AR$40 &gt; 0, SUM( Cashflow!AR$44:AR$48 ) * - 1, 0 )</f>
        <v>0</v>
      </c>
      <c r="AS49">
        <f xml:space="preserve"> IF( Time!AS$40 &gt; 0, SUM( Cashflow!AS$44:AS$48 ) * - 1, 0 )</f>
        <v>0</v>
      </c>
      <c r="AT49">
        <f xml:space="preserve"> IF( Time!AT$40 &gt; 0, SUM( Cashflow!AT$44:AT$48 ) * - 1, 0 )</f>
        <v>0</v>
      </c>
      <c r="AU49">
        <f xml:space="preserve"> IF( Time!AU$40 &gt; 0, SUM( Cashflow!AU$44:AU$48 ) * - 1, 0 )</f>
        <v>0</v>
      </c>
      <c r="AV49">
        <f xml:space="preserve"> IF( Time!AV$40 &gt; 0, SUM( Cashflow!AV$44:AV$48 ) * - 1, 0 )</f>
        <v>0</v>
      </c>
      <c r="AW49">
        <f xml:space="preserve"> IF( Time!AW$40 &gt; 0, SUM( Cashflow!AW$44:AW$48 ) * - 1, 0 )</f>
        <v>-8020471.4541634191</v>
      </c>
      <c r="AX49">
        <f xml:space="preserve"> IF( Time!AX$40 &gt; 0, SUM( Cashflow!AX$44:AX$48 ) * - 1, 0 )</f>
        <v>0</v>
      </c>
      <c r="AY49">
        <f xml:space="preserve"> IF( Time!AY$40 &gt; 0, SUM( Cashflow!AY$44:AY$48 ) * - 1, 0 )</f>
        <v>0</v>
      </c>
      <c r="AZ49">
        <f xml:space="preserve"> IF( Time!AZ$40 &gt; 0, SUM( Cashflow!AZ$44:AZ$48 ) * - 1, 0 )</f>
        <v>0</v>
      </c>
      <c r="BA49">
        <f xml:space="preserve"> IF( Time!BA$40 &gt; 0, SUM( Cashflow!BA$44:BA$48 ) * - 1, 0 )</f>
        <v>0</v>
      </c>
      <c r="BB49">
        <f xml:space="preserve"> IF( Time!BB$40 &gt; 0, SUM( Cashflow!BB$44:BB$48 ) * - 1, 0 )</f>
        <v>0</v>
      </c>
      <c r="BC49">
        <f xml:space="preserve"> IF( Time!BC$40 &gt; 0, SUM( Cashflow!BC$44:BC$48 ) * - 1, 0 )</f>
        <v>0</v>
      </c>
      <c r="BD49">
        <f xml:space="preserve"> IF( Time!BD$40 &gt; 0, SUM( Cashflow!BD$44:BD$48 ) * - 1, 0 )</f>
        <v>0</v>
      </c>
      <c r="BE49">
        <f xml:space="preserve"> IF( Time!BE$40 &gt; 0, SUM( Cashflow!BE$44:BE$48 ) * - 1, 0 )</f>
        <v>0</v>
      </c>
      <c r="BF49">
        <f xml:space="preserve"> IF( Time!BF$40 &gt; 0, SUM( Cashflow!BF$44:BF$48 ) * - 1, 0 )</f>
        <v>0</v>
      </c>
      <c r="BG49">
        <f xml:space="preserve"> IF( Time!BG$40 &gt; 0, SUM( Cashflow!BG$44:BG$48 ) * - 1, 0 )</f>
        <v>0</v>
      </c>
      <c r="BH49">
        <f xml:space="preserve"> IF( Time!BH$40 &gt; 0, SUM( Cashflow!BH$44:BH$48 ) * - 1, 0 )</f>
        <v>0</v>
      </c>
      <c r="BI49">
        <f xml:space="preserve"> IF( Time!BI$40 &gt; 0, SUM( Cashflow!BI$44:BI$48 ) * - 1, 0 )</f>
        <v>0</v>
      </c>
      <c r="BJ49">
        <f xml:space="preserve"> IF( Time!BJ$40 &gt; 0, SUM( Cashflow!BJ$44:BJ$48 ) * - 1, 0 )</f>
        <v>0</v>
      </c>
      <c r="BK49">
        <f xml:space="preserve"> IF( Time!BK$40 &gt; 0, SUM( Cashflow!BK$44:BK$48 ) * - 1, 0 )</f>
        <v>0</v>
      </c>
      <c r="BL49">
        <f xml:space="preserve"> IF( Time!BL$40 &gt; 0, SUM( Cashflow!BL$44:BL$48 ) * - 1, 0 )</f>
        <v>0</v>
      </c>
      <c r="BM49">
        <f xml:space="preserve"> IF( Time!BM$40 &gt; 0, SUM( Cashflow!BM$44:BM$48 ) * - 1, 0 )</f>
        <v>0</v>
      </c>
      <c r="BN49">
        <f xml:space="preserve"> IF( Time!BN$40 &gt; 0, SUM( Cashflow!BN$44:BN$48 ) * - 1, 0 )</f>
        <v>0</v>
      </c>
      <c r="BO49">
        <f xml:space="preserve"> IF( Time!BO$40 &gt; 0, SUM( Cashflow!BO$44:BO$48 ) * - 1, 0 )</f>
        <v>0</v>
      </c>
      <c r="BP49">
        <f xml:space="preserve"> IF( Time!BP$40 &gt; 0, SUM( Cashflow!BP$44:BP$48 ) * - 1, 0 )</f>
        <v>0</v>
      </c>
      <c r="BQ49">
        <f xml:space="preserve"> IF( Time!BQ$40 &gt; 0, SUM( Cashflow!BQ$44:BQ$48 ) * - 1, 0 )</f>
        <v>-6505291.9473023824</v>
      </c>
      <c r="BR49">
        <f xml:space="preserve"> IF( Time!BR$40 &gt; 0, SUM( Cashflow!BR$44:BR$48 ) * - 1, 0 )</f>
        <v>0</v>
      </c>
      <c r="BS49">
        <f xml:space="preserve"> IF( Time!BS$40 &gt; 0, SUM( Cashflow!BS$44:BS$48 ) * - 1, 0 )</f>
        <v>0</v>
      </c>
      <c r="BT49">
        <f xml:space="preserve"> IF( Time!BT$40 &gt; 0, SUM( Cashflow!BT$44:BT$48 ) * - 1, 0 )</f>
        <v>0</v>
      </c>
      <c r="BU49">
        <f xml:space="preserve"> IF( Time!BU$40 &gt; 0, SUM( Cashflow!BU$44:BU$48 ) * - 1, 0 )</f>
        <v>0</v>
      </c>
      <c r="BV49">
        <f xml:space="preserve"> IF( Time!BV$40 &gt; 0, SUM( Cashflow!BV$44:BV$48 ) * - 1, 0 )</f>
        <v>0</v>
      </c>
      <c r="BW49">
        <f xml:space="preserve"> IF( Time!BW$40 &gt; 0, SUM( Cashflow!BW$44:BW$48 ) * - 1, 0 )</f>
        <v>0</v>
      </c>
      <c r="BX49">
        <f xml:space="preserve"> IF( Time!BX$40 &gt; 0, SUM( Cashflow!BX$44:BX$48 ) * - 1, 0 )</f>
        <v>0</v>
      </c>
      <c r="BY49">
        <f xml:space="preserve"> IF( Time!BY$40 &gt; 0, SUM( Cashflow!BY$44:BY$48 ) * - 1, 0 )</f>
        <v>0</v>
      </c>
      <c r="BZ49">
        <f xml:space="preserve"> IF( Time!BZ$40 &gt; 0, SUM( Cashflow!BZ$44:BZ$48 ) * - 1, 0 )</f>
        <v>0</v>
      </c>
      <c r="CA49">
        <f xml:space="preserve"> IF( Time!CA$40 &gt; 0, SUM( Cashflow!CA$44:CA$48 ) * - 1, 0 )</f>
        <v>0</v>
      </c>
      <c r="CB49">
        <f xml:space="preserve"> IF( Time!CB$40 &gt; 0, SUM( Cashflow!CB$44:CB$48 ) * - 1, 0 )</f>
        <v>0</v>
      </c>
      <c r="CC49">
        <f xml:space="preserve"> IF( Time!CC$40 &gt; 0, SUM( Cashflow!CC$44:CC$48 ) * - 1, 0 )</f>
        <v>0</v>
      </c>
      <c r="CD49">
        <f xml:space="preserve"> IF( Time!CD$40 &gt; 0, SUM( Cashflow!CD$44:CD$48 ) * - 1, 0 )</f>
        <v>0</v>
      </c>
      <c r="CE49">
        <f xml:space="preserve"> IF( Time!CE$40 &gt; 0, SUM( Cashflow!CE$44:CE$48 ) * - 1, 0 )</f>
        <v>0</v>
      </c>
      <c r="CF49">
        <f xml:space="preserve"> IF( Time!CF$40 &gt; 0, SUM( Cashflow!CF$44:CF$48 ) * - 1, 0 )</f>
        <v>0</v>
      </c>
      <c r="CG49">
        <f xml:space="preserve"> IF( Time!CG$40 &gt; 0, SUM( Cashflow!CG$44:CG$48 ) * - 1, 0 )</f>
        <v>0</v>
      </c>
      <c r="CH49">
        <f xml:space="preserve"> IF( Time!CH$40 &gt; 0, SUM( Cashflow!CH$44:CH$48 ) * - 1, 0 )</f>
        <v>0</v>
      </c>
      <c r="CI49">
        <f xml:space="preserve"> IF( Time!CI$40 &gt; 0, SUM( Cashflow!CI$44:CI$48 ) * - 1, 0 )</f>
        <v>0</v>
      </c>
      <c r="CJ49">
        <f xml:space="preserve"> IF( Time!CJ$40 &gt; 0, SUM( Cashflow!CJ$44:CJ$48 ) * - 1, 0 )</f>
        <v>0</v>
      </c>
      <c r="CK49">
        <f xml:space="preserve"> IF( Time!CK$40 &gt; 0, SUM( Cashflow!CK$44:CK$48 ) * - 1, 0 )</f>
        <v>-3885616.7101858812</v>
      </c>
      <c r="CL49">
        <f xml:space="preserve"> IF( Time!CL$40 &gt; 0, SUM( Cashflow!CL$44:CL$48 ) * - 1, 0 )</f>
        <v>0</v>
      </c>
      <c r="CM49">
        <f xml:space="preserve"> IF( Time!CM$40 &gt; 0, SUM( Cashflow!CM$44:CM$48 ) * - 1, 0 )</f>
        <v>0</v>
      </c>
      <c r="CN49">
        <f xml:space="preserve"> IF( Time!CN$40 &gt; 0, SUM( Cashflow!CN$44:CN$48 ) * - 1, 0 )</f>
        <v>0</v>
      </c>
      <c r="CO49">
        <f xml:space="preserve"> IF( Time!CO$40 &gt; 0, SUM( Cashflow!CO$44:CO$48 ) * - 1, 0 )</f>
        <v>0</v>
      </c>
      <c r="CP49">
        <f xml:space="preserve"> IF( Time!CP$40 &gt; 0, SUM( Cashflow!CP$44:CP$48 ) * - 1, 0 )</f>
        <v>0</v>
      </c>
      <c r="CQ49">
        <f xml:space="preserve"> IF( Time!CQ$40 &gt; 0, SUM( Cashflow!CQ$44:CQ$48 ) * - 1, 0 )</f>
        <v>0</v>
      </c>
      <c r="CR49">
        <f xml:space="preserve"> IF( Time!CR$40 &gt; 0, SUM( Cashflow!CR$44:CR$48 ) * - 1, 0 )</f>
        <v>0</v>
      </c>
      <c r="CS49">
        <f xml:space="preserve"> IF( Time!CS$40 &gt; 0, SUM( Cashflow!CS$44:CS$48 ) * - 1, 0 )</f>
        <v>0</v>
      </c>
      <c r="CT49">
        <f xml:space="preserve"> IF( Time!CT$40 &gt; 0, SUM( Cashflow!CT$44:CT$48 ) * - 1, 0 )</f>
        <v>0</v>
      </c>
      <c r="CU49">
        <f xml:space="preserve"> IF( Time!CU$40 &gt; 0, SUM( Cashflow!CU$44:CU$48 ) * - 1, 0 )</f>
        <v>0</v>
      </c>
      <c r="CV49">
        <f xml:space="preserve"> IF( Time!CV$40 &gt; 0, SUM( Cashflow!CV$44:CV$48 ) * - 1, 0 )</f>
        <v>0</v>
      </c>
      <c r="CW49">
        <f xml:space="preserve"> IF( Time!CW$40 &gt; 0, SUM( Cashflow!CW$44:CW$48 ) * - 1, 0 )</f>
        <v>0</v>
      </c>
      <c r="CX49">
        <f xml:space="preserve"> IF( Time!CX$40 &gt; 0, SUM( Cashflow!CX$44:CX$48 ) * - 1, 0 )</f>
        <v>0</v>
      </c>
      <c r="CY49">
        <f xml:space="preserve"> IF( Time!CY$40 &gt; 0, SUM( Cashflow!CY$44:CY$48 ) * - 1, 0 )</f>
        <v>0</v>
      </c>
      <c r="CZ49">
        <f xml:space="preserve"> IF( Time!CZ$40 &gt; 0, SUM( Cashflow!CZ$44:CZ$48 ) * - 1, 0 )</f>
        <v>0</v>
      </c>
      <c r="DA49">
        <f xml:space="preserve"> IF( Time!DA$40 &gt; 0, SUM( Cashflow!DA$44:DA$48 ) * - 1, 0 )</f>
        <v>0</v>
      </c>
      <c r="DB49">
        <f xml:space="preserve"> IF( Time!DB$40 &gt; 0, SUM( Cashflow!DB$44:DB$48 ) * - 1, 0 )</f>
        <v>0</v>
      </c>
      <c r="DC49">
        <f xml:space="preserve"> IF( Time!DC$40 &gt; 0, SUM( Cashflow!DC$44:DC$48 ) * - 1, 0 )</f>
        <v>0</v>
      </c>
      <c r="DD49">
        <f xml:space="preserve"> IF( Time!DD$40 &gt; 0, SUM( Cashflow!DD$44:DD$48 ) * - 1, 0 )</f>
        <v>0</v>
      </c>
      <c r="DE49">
        <f xml:space="preserve"> IF( Time!DE$40 &gt; 0, SUM( Cashflow!DE$44:DE$48 ) * - 1, 0 )</f>
        <v>0</v>
      </c>
      <c r="DF49">
        <f xml:space="preserve"> IF( Time!DF$40 &gt; 0, SUM( Cashflow!DF$44:DF$48 ) * - 1, 0 )</f>
        <v>0</v>
      </c>
      <c r="DG49">
        <f xml:space="preserve"> IF( Time!DG$40 &gt; 0, SUM( Cashflow!DG$44:DG$48 ) * - 1, 0 )</f>
        <v>0</v>
      </c>
      <c r="DH49">
        <f xml:space="preserve"> IF( Time!DH$40 &gt; 0, SUM( Cashflow!DH$44:DH$48 ) * - 1, 0 )</f>
        <v>0</v>
      </c>
      <c r="DI49">
        <f xml:space="preserve"> IF( Time!DI$40 &gt; 0, SUM( Cashflow!DI$44:DI$48 ) * - 1, 0 )</f>
        <v>0</v>
      </c>
      <c r="DJ49">
        <f xml:space="preserve"> IF( Time!DJ$40 &gt; 0, SUM( Cashflow!DJ$44:DJ$48 ) * - 1, 0 )</f>
        <v>0</v>
      </c>
      <c r="DK49">
        <f xml:space="preserve"> IF( Time!DK$40 &gt; 0, SUM( Cashflow!DK$44:DK$48 ) * - 1, 0 )</f>
        <v>0</v>
      </c>
      <c r="DL49">
        <f xml:space="preserve"> IF( Time!DL$40 &gt; 0, SUM( Cashflow!DL$44:DL$48 ) * - 1, 0 )</f>
        <v>0</v>
      </c>
      <c r="DM49">
        <f xml:space="preserve"> IF( Time!DM$40 &gt; 0, SUM( Cashflow!DM$44:DM$48 ) * - 1, 0 )</f>
        <v>0</v>
      </c>
      <c r="DN49">
        <f xml:space="preserve"> IF( Time!DN$40 &gt; 0, SUM( Cashflow!DN$44:DN$48 ) * - 1, 0 )</f>
        <v>0</v>
      </c>
      <c r="DO49">
        <f xml:space="preserve"> IF( Time!DO$40 &gt; 0, SUM( Cashflow!DO$44:DO$48 ) * - 1, 0 )</f>
        <v>0</v>
      </c>
      <c r="DP49">
        <f xml:space="preserve"> IF( Time!DP$40 &gt; 0, SUM( Cashflow!DP$44:DP$48 ) * - 1, 0 )</f>
        <v>0</v>
      </c>
      <c r="DQ49">
        <f xml:space="preserve"> IF( Time!DQ$40 &gt; 0, SUM( Cashflow!DQ$44:DQ$48 ) * - 1, 0 )</f>
        <v>0</v>
      </c>
      <c r="DR49">
        <f xml:space="preserve"> IF( Time!DR$40 &gt; 0, SUM( Cashflow!DR$44:DR$48 ) * - 1, 0 )</f>
        <v>0</v>
      </c>
      <c r="DS49">
        <f xml:space="preserve"> IF( Time!DS$40 &gt; 0, SUM( Cashflow!DS$44:DS$48 ) * - 1, 0 )</f>
        <v>0</v>
      </c>
      <c r="DT49">
        <f xml:space="preserve"> IF( Time!DT$40 &gt; 0, SUM( Cashflow!DT$44:DT$48 ) * - 1, 0 )</f>
        <v>0</v>
      </c>
      <c r="DU49">
        <f xml:space="preserve"> IF( Time!DU$40 &gt; 0, SUM( Cashflow!DU$44:DU$48 ) * - 1, 0 )</f>
        <v>0</v>
      </c>
      <c r="DV49">
        <f xml:space="preserve"> IF( Time!DV$40 &gt; 0, SUM( Cashflow!DV$44:DV$48 ) * - 1, 0 )</f>
        <v>0</v>
      </c>
      <c r="DW49">
        <f xml:space="preserve"> IF( Time!DW$40 &gt; 0, SUM( Cashflow!DW$44:DW$48 ) * - 1, 0 )</f>
        <v>0</v>
      </c>
      <c r="DX49">
        <f xml:space="preserve"> IF( Time!DX$40 &gt; 0, SUM( Cashflow!DX$44:DX$48 ) * - 1, 0 )</f>
        <v>0</v>
      </c>
      <c r="DY49">
        <f xml:space="preserve"> IF( Time!DY$40 &gt; 0, SUM( Cashflow!DY$44:DY$48 ) * - 1, 0 )</f>
        <v>0</v>
      </c>
    </row>
    <row r="50" spans="3:129">
      <c r="D50" s="86" t="s">
        <v>191</v>
      </c>
      <c r="E50" s="87" t="s">
        <v>201</v>
      </c>
      <c r="G50" t="s">
        <v>146</v>
      </c>
      <c r="H50" cm="1">
        <f t="array" ref="H50">_xlfn.BYROW( J50:DY50, _xleta.SUM )</f>
        <v>29381080.07940238</v>
      </c>
      <c r="J50" s="90">
        <f>J$39</f>
        <v>0</v>
      </c>
      <c r="K50" s="90">
        <f t="shared" ref="K50:BV50" si="50">K$39</f>
        <v>0</v>
      </c>
      <c r="L50" s="90">
        <f t="shared" si="50"/>
        <v>0</v>
      </c>
      <c r="M50" s="90">
        <f t="shared" si="50"/>
        <v>0</v>
      </c>
      <c r="N50" s="90">
        <f t="shared" si="50"/>
        <v>0</v>
      </c>
      <c r="O50" s="90">
        <f t="shared" si="50"/>
        <v>0</v>
      </c>
      <c r="P50" s="90">
        <f t="shared" si="50"/>
        <v>0</v>
      </c>
      <c r="Q50" s="90">
        <f t="shared" si="50"/>
        <v>0</v>
      </c>
      <c r="R50" s="90">
        <f t="shared" si="50"/>
        <v>0</v>
      </c>
      <c r="S50" s="90">
        <f t="shared" si="50"/>
        <v>0</v>
      </c>
      <c r="T50" s="90">
        <f t="shared" si="50"/>
        <v>0</v>
      </c>
      <c r="U50" s="90">
        <f t="shared" si="50"/>
        <v>0</v>
      </c>
      <c r="V50" s="90">
        <f t="shared" si="50"/>
        <v>0</v>
      </c>
      <c r="W50" s="90">
        <f t="shared" si="50"/>
        <v>0</v>
      </c>
      <c r="X50" s="90">
        <f t="shared" si="50"/>
        <v>0</v>
      </c>
      <c r="Y50" s="90">
        <f t="shared" si="50"/>
        <v>0</v>
      </c>
      <c r="Z50" s="90">
        <f t="shared" si="50"/>
        <v>0</v>
      </c>
      <c r="AA50" s="90">
        <f t="shared" si="50"/>
        <v>0</v>
      </c>
      <c r="AB50" s="90">
        <f t="shared" si="50"/>
        <v>0</v>
      </c>
      <c r="AC50" s="90">
        <f t="shared" si="50"/>
        <v>9517958.4263256062</v>
      </c>
      <c r="AD50" s="90">
        <f t="shared" si="50"/>
        <v>0</v>
      </c>
      <c r="AE50" s="90">
        <f t="shared" si="50"/>
        <v>0</v>
      </c>
      <c r="AF50" s="90">
        <f t="shared" si="50"/>
        <v>0</v>
      </c>
      <c r="AG50" s="90">
        <f t="shared" si="50"/>
        <v>0</v>
      </c>
      <c r="AH50" s="90">
        <f t="shared" si="50"/>
        <v>0</v>
      </c>
      <c r="AI50" s="90">
        <f t="shared" si="50"/>
        <v>0</v>
      </c>
      <c r="AJ50" s="90">
        <f t="shared" si="50"/>
        <v>0</v>
      </c>
      <c r="AK50" s="90">
        <f t="shared" si="50"/>
        <v>0</v>
      </c>
      <c r="AL50" s="90">
        <f t="shared" si="50"/>
        <v>0</v>
      </c>
      <c r="AM50" s="90">
        <f t="shared" si="50"/>
        <v>0</v>
      </c>
      <c r="AN50" s="90">
        <f t="shared" si="50"/>
        <v>0</v>
      </c>
      <c r="AO50" s="90">
        <f t="shared" si="50"/>
        <v>0</v>
      </c>
      <c r="AP50" s="90">
        <f t="shared" si="50"/>
        <v>0</v>
      </c>
      <c r="AQ50" s="90">
        <f t="shared" si="50"/>
        <v>0</v>
      </c>
      <c r="AR50" s="90">
        <f t="shared" si="50"/>
        <v>0</v>
      </c>
      <c r="AS50" s="90">
        <f t="shared" si="50"/>
        <v>0</v>
      </c>
      <c r="AT50" s="90">
        <f t="shared" si="50"/>
        <v>0</v>
      </c>
      <c r="AU50" s="90">
        <f t="shared" si="50"/>
        <v>0</v>
      </c>
      <c r="AV50" s="90">
        <f t="shared" si="50"/>
        <v>0</v>
      </c>
      <c r="AW50" s="90">
        <f t="shared" si="50"/>
        <v>8641535.9326935783</v>
      </c>
      <c r="AX50" s="90">
        <f t="shared" si="50"/>
        <v>0</v>
      </c>
      <c r="AY50" s="90">
        <f t="shared" si="50"/>
        <v>0</v>
      </c>
      <c r="AZ50" s="90">
        <f t="shared" si="50"/>
        <v>0</v>
      </c>
      <c r="BA50" s="90">
        <f t="shared" si="50"/>
        <v>0</v>
      </c>
      <c r="BB50" s="90">
        <f t="shared" si="50"/>
        <v>0</v>
      </c>
      <c r="BC50" s="90">
        <f t="shared" si="50"/>
        <v>0</v>
      </c>
      <c r="BD50" s="90">
        <f t="shared" si="50"/>
        <v>0</v>
      </c>
      <c r="BE50" s="90">
        <f t="shared" si="50"/>
        <v>0</v>
      </c>
      <c r="BF50" s="90">
        <f t="shared" si="50"/>
        <v>0</v>
      </c>
      <c r="BG50" s="90">
        <f t="shared" si="50"/>
        <v>0</v>
      </c>
      <c r="BH50" s="90">
        <f t="shared" si="50"/>
        <v>0</v>
      </c>
      <c r="BI50" s="90">
        <f t="shared" si="50"/>
        <v>0</v>
      </c>
      <c r="BJ50" s="90">
        <f t="shared" si="50"/>
        <v>0</v>
      </c>
      <c r="BK50" s="90">
        <f t="shared" si="50"/>
        <v>0</v>
      </c>
      <c r="BL50" s="90">
        <f t="shared" si="50"/>
        <v>0</v>
      </c>
      <c r="BM50" s="90">
        <f t="shared" si="50"/>
        <v>0</v>
      </c>
      <c r="BN50" s="90">
        <f t="shared" si="50"/>
        <v>0</v>
      </c>
      <c r="BO50" s="90">
        <f t="shared" si="50"/>
        <v>0</v>
      </c>
      <c r="BP50" s="90">
        <f t="shared" si="50"/>
        <v>0</v>
      </c>
      <c r="BQ50" s="90">
        <f t="shared" si="50"/>
        <v>6847266.6500380337</v>
      </c>
      <c r="BR50" s="90">
        <f t="shared" si="50"/>
        <v>0</v>
      </c>
      <c r="BS50" s="90">
        <f t="shared" si="50"/>
        <v>0</v>
      </c>
      <c r="BT50" s="90">
        <f t="shared" si="50"/>
        <v>0</v>
      </c>
      <c r="BU50" s="90">
        <f t="shared" si="50"/>
        <v>0</v>
      </c>
      <c r="BV50" s="90">
        <f t="shared" si="50"/>
        <v>0</v>
      </c>
      <c r="BW50" s="90">
        <f t="shared" ref="BW50:DY50" si="51">BW$39</f>
        <v>0</v>
      </c>
      <c r="BX50" s="90">
        <f t="shared" si="51"/>
        <v>0</v>
      </c>
      <c r="BY50" s="90">
        <f t="shared" si="51"/>
        <v>0</v>
      </c>
      <c r="BZ50" s="90">
        <f t="shared" si="51"/>
        <v>0</v>
      </c>
      <c r="CA50" s="90">
        <f t="shared" si="51"/>
        <v>0</v>
      </c>
      <c r="CB50" s="90">
        <f t="shared" si="51"/>
        <v>0</v>
      </c>
      <c r="CC50" s="90">
        <f t="shared" si="51"/>
        <v>0</v>
      </c>
      <c r="CD50" s="90">
        <f t="shared" si="51"/>
        <v>0</v>
      </c>
      <c r="CE50" s="90">
        <f t="shared" si="51"/>
        <v>0</v>
      </c>
      <c r="CF50" s="90">
        <f t="shared" si="51"/>
        <v>0</v>
      </c>
      <c r="CG50" s="90">
        <f t="shared" si="51"/>
        <v>0</v>
      </c>
      <c r="CH50" s="90">
        <f t="shared" si="51"/>
        <v>0</v>
      </c>
      <c r="CI50" s="90">
        <f t="shared" si="51"/>
        <v>0</v>
      </c>
      <c r="CJ50" s="90">
        <f t="shared" si="51"/>
        <v>0</v>
      </c>
      <c r="CK50" s="90">
        <f t="shared" si="51"/>
        <v>4374319.0703451652</v>
      </c>
      <c r="CL50" s="90">
        <f t="shared" si="51"/>
        <v>0</v>
      </c>
      <c r="CM50" s="90">
        <f t="shared" si="51"/>
        <v>0</v>
      </c>
      <c r="CN50" s="90">
        <f t="shared" si="51"/>
        <v>0</v>
      </c>
      <c r="CO50" s="90">
        <f t="shared" si="51"/>
        <v>0</v>
      </c>
      <c r="CP50" s="90">
        <f t="shared" si="51"/>
        <v>0</v>
      </c>
      <c r="CQ50" s="90">
        <f t="shared" si="51"/>
        <v>0</v>
      </c>
      <c r="CR50" s="90">
        <f t="shared" si="51"/>
        <v>0</v>
      </c>
      <c r="CS50" s="90">
        <f t="shared" si="51"/>
        <v>0</v>
      </c>
      <c r="CT50" s="90">
        <f t="shared" si="51"/>
        <v>0</v>
      </c>
      <c r="CU50" s="90">
        <f t="shared" si="51"/>
        <v>0</v>
      </c>
      <c r="CV50" s="90">
        <f t="shared" si="51"/>
        <v>0</v>
      </c>
      <c r="CW50" s="90">
        <f t="shared" si="51"/>
        <v>0</v>
      </c>
      <c r="CX50" s="90">
        <f t="shared" si="51"/>
        <v>0</v>
      </c>
      <c r="CY50" s="90">
        <f t="shared" si="51"/>
        <v>0</v>
      </c>
      <c r="CZ50" s="90">
        <f t="shared" si="51"/>
        <v>0</v>
      </c>
      <c r="DA50" s="90">
        <f t="shared" si="51"/>
        <v>0</v>
      </c>
      <c r="DB50" s="90">
        <f t="shared" si="51"/>
        <v>0</v>
      </c>
      <c r="DC50" s="90">
        <f t="shared" si="51"/>
        <v>0</v>
      </c>
      <c r="DD50" s="90">
        <f t="shared" si="51"/>
        <v>0</v>
      </c>
      <c r="DE50" s="90">
        <f t="shared" si="51"/>
        <v>0</v>
      </c>
      <c r="DF50" s="90">
        <f t="shared" si="51"/>
        <v>0</v>
      </c>
      <c r="DG50" s="90">
        <f t="shared" si="51"/>
        <v>0</v>
      </c>
      <c r="DH50" s="90">
        <f t="shared" si="51"/>
        <v>0</v>
      </c>
      <c r="DI50" s="90">
        <f t="shared" si="51"/>
        <v>0</v>
      </c>
      <c r="DJ50" s="90">
        <f t="shared" si="51"/>
        <v>0</v>
      </c>
      <c r="DK50" s="90">
        <f t="shared" si="51"/>
        <v>0</v>
      </c>
      <c r="DL50" s="90">
        <f t="shared" si="51"/>
        <v>0</v>
      </c>
      <c r="DM50" s="90">
        <f t="shared" si="51"/>
        <v>0</v>
      </c>
      <c r="DN50" s="90">
        <f t="shared" si="51"/>
        <v>0</v>
      </c>
      <c r="DO50" s="90">
        <f t="shared" si="51"/>
        <v>0</v>
      </c>
      <c r="DP50" s="90">
        <f t="shared" si="51"/>
        <v>0</v>
      </c>
      <c r="DQ50" s="90">
        <f t="shared" si="51"/>
        <v>0</v>
      </c>
      <c r="DR50" s="90">
        <f t="shared" si="51"/>
        <v>0</v>
      </c>
      <c r="DS50" s="90">
        <f t="shared" si="51"/>
        <v>0</v>
      </c>
      <c r="DT50" s="90">
        <f t="shared" si="51"/>
        <v>0</v>
      </c>
      <c r="DU50" s="90">
        <f t="shared" si="51"/>
        <v>0</v>
      </c>
      <c r="DV50" s="90">
        <f t="shared" si="51"/>
        <v>0</v>
      </c>
      <c r="DW50" s="90">
        <f t="shared" si="51"/>
        <v>0</v>
      </c>
      <c r="DX50" s="90">
        <f t="shared" si="51"/>
        <v>0</v>
      </c>
      <c r="DY50" s="90">
        <f t="shared" si="51"/>
        <v>0</v>
      </c>
    </row>
    <row r="51" spans="3:129">
      <c r="D51" s="86" t="s">
        <v>191</v>
      </c>
      <c r="E51" s="87" t="s">
        <v>210</v>
      </c>
      <c r="G51" t="s">
        <v>146</v>
      </c>
      <c r="H51" cm="1">
        <f t="array" ref="H51">_xlfn.BYROW( J51:DY51, _xleta.SUM )</f>
        <v>296778.58666063013</v>
      </c>
      <c r="J51">
        <f xml:space="preserve"> J38</f>
        <v>0</v>
      </c>
      <c r="K51">
        <f t="shared" ref="K51:BV51" si="52" xml:space="preserve"> K38</f>
        <v>0</v>
      </c>
      <c r="L51">
        <f t="shared" si="52"/>
        <v>0</v>
      </c>
      <c r="M51">
        <f t="shared" si="52"/>
        <v>0</v>
      </c>
      <c r="N51">
        <f t="shared" si="52"/>
        <v>0</v>
      </c>
      <c r="O51">
        <f t="shared" si="52"/>
        <v>0</v>
      </c>
      <c r="P51">
        <f t="shared" si="52"/>
        <v>0</v>
      </c>
      <c r="Q51">
        <f t="shared" si="52"/>
        <v>0</v>
      </c>
      <c r="R51">
        <f t="shared" si="52"/>
        <v>0</v>
      </c>
      <c r="S51">
        <f t="shared" si="52"/>
        <v>0</v>
      </c>
      <c r="T51">
        <f t="shared" si="52"/>
        <v>0</v>
      </c>
      <c r="U51">
        <f t="shared" si="52"/>
        <v>0</v>
      </c>
      <c r="V51">
        <f t="shared" si="52"/>
        <v>0</v>
      </c>
      <c r="W51">
        <f t="shared" si="52"/>
        <v>0</v>
      </c>
      <c r="X51">
        <f t="shared" si="52"/>
        <v>0</v>
      </c>
      <c r="Y51">
        <f t="shared" si="52"/>
        <v>0</v>
      </c>
      <c r="Z51">
        <f t="shared" si="52"/>
        <v>0</v>
      </c>
      <c r="AA51">
        <f t="shared" si="52"/>
        <v>0</v>
      </c>
      <c r="AB51">
        <f t="shared" si="52"/>
        <v>0</v>
      </c>
      <c r="AC51">
        <f t="shared" si="52"/>
        <v>96140.994205309151</v>
      </c>
      <c r="AD51">
        <f t="shared" si="52"/>
        <v>0</v>
      </c>
      <c r="AE51">
        <f t="shared" si="52"/>
        <v>0</v>
      </c>
      <c r="AF51">
        <f t="shared" si="52"/>
        <v>0</v>
      </c>
      <c r="AG51">
        <f t="shared" si="52"/>
        <v>0</v>
      </c>
      <c r="AH51">
        <f t="shared" si="52"/>
        <v>0</v>
      </c>
      <c r="AI51">
        <f t="shared" si="52"/>
        <v>0</v>
      </c>
      <c r="AJ51">
        <f t="shared" si="52"/>
        <v>0</v>
      </c>
      <c r="AK51">
        <f t="shared" si="52"/>
        <v>0</v>
      </c>
      <c r="AL51">
        <f t="shared" si="52"/>
        <v>0</v>
      </c>
      <c r="AM51">
        <f t="shared" si="52"/>
        <v>0</v>
      </c>
      <c r="AN51">
        <f t="shared" si="52"/>
        <v>0</v>
      </c>
      <c r="AO51">
        <f t="shared" si="52"/>
        <v>0</v>
      </c>
      <c r="AP51">
        <f t="shared" si="52"/>
        <v>0</v>
      </c>
      <c r="AQ51">
        <f t="shared" si="52"/>
        <v>0</v>
      </c>
      <c r="AR51">
        <f t="shared" si="52"/>
        <v>0</v>
      </c>
      <c r="AS51">
        <f t="shared" si="52"/>
        <v>0</v>
      </c>
      <c r="AT51">
        <f t="shared" si="52"/>
        <v>0</v>
      </c>
      <c r="AU51">
        <f t="shared" si="52"/>
        <v>0</v>
      </c>
      <c r="AV51">
        <f t="shared" si="52"/>
        <v>0</v>
      </c>
      <c r="AW51">
        <f t="shared" si="52"/>
        <v>87288.241744379586</v>
      </c>
      <c r="AX51">
        <f t="shared" si="52"/>
        <v>0</v>
      </c>
      <c r="AY51">
        <f t="shared" si="52"/>
        <v>0</v>
      </c>
      <c r="AZ51">
        <f t="shared" si="52"/>
        <v>0</v>
      </c>
      <c r="BA51">
        <f t="shared" si="52"/>
        <v>0</v>
      </c>
      <c r="BB51">
        <f t="shared" si="52"/>
        <v>0</v>
      </c>
      <c r="BC51">
        <f t="shared" si="52"/>
        <v>0</v>
      </c>
      <c r="BD51">
        <f t="shared" si="52"/>
        <v>0</v>
      </c>
      <c r="BE51">
        <f t="shared" si="52"/>
        <v>0</v>
      </c>
      <c r="BF51">
        <f t="shared" si="52"/>
        <v>0</v>
      </c>
      <c r="BG51">
        <f t="shared" si="52"/>
        <v>0</v>
      </c>
      <c r="BH51">
        <f t="shared" si="52"/>
        <v>0</v>
      </c>
      <c r="BI51">
        <f t="shared" si="52"/>
        <v>0</v>
      </c>
      <c r="BJ51">
        <f t="shared" si="52"/>
        <v>0</v>
      </c>
      <c r="BK51">
        <f t="shared" si="52"/>
        <v>0</v>
      </c>
      <c r="BL51">
        <f t="shared" si="52"/>
        <v>0</v>
      </c>
      <c r="BM51">
        <f t="shared" si="52"/>
        <v>0</v>
      </c>
      <c r="BN51">
        <f t="shared" si="52"/>
        <v>0</v>
      </c>
      <c r="BO51">
        <f t="shared" si="52"/>
        <v>0</v>
      </c>
      <c r="BP51">
        <f t="shared" si="52"/>
        <v>0</v>
      </c>
      <c r="BQ51">
        <f t="shared" si="52"/>
        <v>69164.309596343781</v>
      </c>
      <c r="BR51">
        <f t="shared" si="52"/>
        <v>0</v>
      </c>
      <c r="BS51">
        <f t="shared" si="52"/>
        <v>0</v>
      </c>
      <c r="BT51">
        <f t="shared" si="52"/>
        <v>0</v>
      </c>
      <c r="BU51">
        <f t="shared" si="52"/>
        <v>0</v>
      </c>
      <c r="BV51">
        <f t="shared" si="52"/>
        <v>0</v>
      </c>
      <c r="BW51">
        <f t="shared" ref="BW51:DY51" si="53" xml:space="preserve"> BW38</f>
        <v>0</v>
      </c>
      <c r="BX51">
        <f t="shared" si="53"/>
        <v>0</v>
      </c>
      <c r="BY51">
        <f t="shared" si="53"/>
        <v>0</v>
      </c>
      <c r="BZ51">
        <f t="shared" si="53"/>
        <v>0</v>
      </c>
      <c r="CA51">
        <f t="shared" si="53"/>
        <v>0</v>
      </c>
      <c r="CB51">
        <f t="shared" si="53"/>
        <v>0</v>
      </c>
      <c r="CC51">
        <f t="shared" si="53"/>
        <v>0</v>
      </c>
      <c r="CD51">
        <f t="shared" si="53"/>
        <v>0</v>
      </c>
      <c r="CE51">
        <f t="shared" si="53"/>
        <v>0</v>
      </c>
      <c r="CF51">
        <f t="shared" si="53"/>
        <v>0</v>
      </c>
      <c r="CG51">
        <f t="shared" si="53"/>
        <v>0</v>
      </c>
      <c r="CH51">
        <f t="shared" si="53"/>
        <v>0</v>
      </c>
      <c r="CI51">
        <f t="shared" si="53"/>
        <v>0</v>
      </c>
      <c r="CJ51">
        <f t="shared" si="53"/>
        <v>0</v>
      </c>
      <c r="CK51">
        <f t="shared" si="53"/>
        <v>44185.041114597632</v>
      </c>
      <c r="CL51">
        <f t="shared" si="53"/>
        <v>0</v>
      </c>
      <c r="CM51">
        <f t="shared" si="53"/>
        <v>0</v>
      </c>
      <c r="CN51">
        <f t="shared" si="53"/>
        <v>0</v>
      </c>
      <c r="CO51">
        <f t="shared" si="53"/>
        <v>0</v>
      </c>
      <c r="CP51">
        <f t="shared" si="53"/>
        <v>0</v>
      </c>
      <c r="CQ51">
        <f t="shared" si="53"/>
        <v>0</v>
      </c>
      <c r="CR51">
        <f t="shared" si="53"/>
        <v>0</v>
      </c>
      <c r="CS51">
        <f t="shared" si="53"/>
        <v>0</v>
      </c>
      <c r="CT51">
        <f t="shared" si="53"/>
        <v>0</v>
      </c>
      <c r="CU51">
        <f t="shared" si="53"/>
        <v>0</v>
      </c>
      <c r="CV51">
        <f t="shared" si="53"/>
        <v>0</v>
      </c>
      <c r="CW51">
        <f t="shared" si="53"/>
        <v>0</v>
      </c>
      <c r="CX51">
        <f t="shared" si="53"/>
        <v>0</v>
      </c>
      <c r="CY51">
        <f t="shared" si="53"/>
        <v>0</v>
      </c>
      <c r="CZ51">
        <f t="shared" si="53"/>
        <v>0</v>
      </c>
      <c r="DA51">
        <f t="shared" si="53"/>
        <v>0</v>
      </c>
      <c r="DB51">
        <f t="shared" si="53"/>
        <v>0</v>
      </c>
      <c r="DC51">
        <f t="shared" si="53"/>
        <v>0</v>
      </c>
      <c r="DD51">
        <f t="shared" si="53"/>
        <v>0</v>
      </c>
      <c r="DE51">
        <f t="shared" si="53"/>
        <v>0</v>
      </c>
      <c r="DF51">
        <f t="shared" si="53"/>
        <v>0</v>
      </c>
      <c r="DG51">
        <f t="shared" si="53"/>
        <v>0</v>
      </c>
      <c r="DH51">
        <f t="shared" si="53"/>
        <v>0</v>
      </c>
      <c r="DI51">
        <f t="shared" si="53"/>
        <v>0</v>
      </c>
      <c r="DJ51">
        <f t="shared" si="53"/>
        <v>0</v>
      </c>
      <c r="DK51">
        <f t="shared" si="53"/>
        <v>0</v>
      </c>
      <c r="DL51">
        <f t="shared" si="53"/>
        <v>0</v>
      </c>
      <c r="DM51">
        <f t="shared" si="53"/>
        <v>0</v>
      </c>
      <c r="DN51">
        <f t="shared" si="53"/>
        <v>0</v>
      </c>
      <c r="DO51">
        <f t="shared" si="53"/>
        <v>0</v>
      </c>
      <c r="DP51">
        <f t="shared" si="53"/>
        <v>0</v>
      </c>
      <c r="DQ51">
        <f t="shared" si="53"/>
        <v>0</v>
      </c>
      <c r="DR51">
        <f t="shared" si="53"/>
        <v>0</v>
      </c>
      <c r="DS51">
        <f t="shared" si="53"/>
        <v>0</v>
      </c>
      <c r="DT51">
        <f t="shared" si="53"/>
        <v>0</v>
      </c>
      <c r="DU51">
        <f t="shared" si="53"/>
        <v>0</v>
      </c>
      <c r="DV51">
        <f t="shared" si="53"/>
        <v>0</v>
      </c>
      <c r="DW51">
        <f t="shared" si="53"/>
        <v>0</v>
      </c>
      <c r="DX51">
        <f t="shared" si="53"/>
        <v>0</v>
      </c>
      <c r="DY51">
        <f t="shared" si="53"/>
        <v>0</v>
      </c>
    </row>
    <row r="52" spans="3:129">
      <c r="D52" s="86"/>
      <c r="E52" t="s">
        <v>186</v>
      </c>
      <c r="G52" t="s">
        <v>146</v>
      </c>
      <c r="I52" s="59"/>
      <c r="J52">
        <f>IF( SUM(J44:J51) &lt;= 0, 0, SUM( J44:J51 ) )</f>
        <v>9949257.2123579886</v>
      </c>
      <c r="K52">
        <f t="shared" ref="K52:BV52" si="54">IF( SUM(K44:K51) &lt;= 0, 0, SUM( K44:K51 ) )</f>
        <v>9897880.1398704518</v>
      </c>
      <c r="L52">
        <f t="shared" si="54"/>
        <v>9845860.8539768215</v>
      </c>
      <c r="M52">
        <f t="shared" si="54"/>
        <v>9793191.3270095196</v>
      </c>
      <c r="N52">
        <f t="shared" si="54"/>
        <v>9739863.4309551269</v>
      </c>
      <c r="O52">
        <f t="shared" si="54"/>
        <v>9685868.9362000544</v>
      </c>
      <c r="P52">
        <f t="shared" si="54"/>
        <v>9631199.5102605429</v>
      </c>
      <c r="Q52">
        <f t="shared" si="54"/>
        <v>9575846.716496788</v>
      </c>
      <c r="R52">
        <f t="shared" si="54"/>
        <v>9519802.0128109865</v>
      </c>
      <c r="S52">
        <f t="shared" si="54"/>
        <v>9463056.7503291126</v>
      </c>
      <c r="T52">
        <f t="shared" si="54"/>
        <v>9405602.1720662154</v>
      </c>
      <c r="U52">
        <f t="shared" si="54"/>
        <v>9347429.4115750324</v>
      </c>
      <c r="V52">
        <f t="shared" si="54"/>
        <v>9288529.4915777091</v>
      </c>
      <c r="W52">
        <f t="shared" si="54"/>
        <v>9228893.3225804195</v>
      </c>
      <c r="X52">
        <f t="shared" si="54"/>
        <v>9168511.7014706638</v>
      </c>
      <c r="Y52">
        <f t="shared" si="54"/>
        <v>9107375.310097035</v>
      </c>
      <c r="Z52">
        <f t="shared" si="54"/>
        <v>9045474.7138312366</v>
      </c>
      <c r="AA52">
        <f t="shared" si="54"/>
        <v>8982800.3601121157</v>
      </c>
      <c r="AB52">
        <f t="shared" si="54"/>
        <v>8919342.5769715048</v>
      </c>
      <c r="AC52">
        <f t="shared" si="54"/>
        <v>9614099.4205309153</v>
      </c>
      <c r="AD52">
        <f t="shared" si="54"/>
        <v>9543469.2081333678</v>
      </c>
      <c r="AE52">
        <f t="shared" si="54"/>
        <v>9471956.1180808507</v>
      </c>
      <c r="AF52">
        <f t="shared" si="54"/>
        <v>9399549.1144026779</v>
      </c>
      <c r="AG52">
        <f t="shared" si="54"/>
        <v>9326237.0231785271</v>
      </c>
      <c r="AH52">
        <f t="shared" si="54"/>
        <v>9252008.5308140758</v>
      </c>
      <c r="AI52">
        <f t="shared" si="54"/>
        <v>9176852.1822950672</v>
      </c>
      <c r="AJ52">
        <f t="shared" si="54"/>
        <v>9100756.3794195727</v>
      </c>
      <c r="AK52">
        <f t="shared" si="54"/>
        <v>9023709.379008133</v>
      </c>
      <c r="AL52">
        <f t="shared" si="54"/>
        <v>8945699.2910915501</v>
      </c>
      <c r="AM52">
        <f t="shared" si="54"/>
        <v>8866714.0770760104</v>
      </c>
      <c r="AN52">
        <f t="shared" si="54"/>
        <v>8786741.5478852764</v>
      </c>
      <c r="AO52">
        <f t="shared" si="54"/>
        <v>8705769.3620796595</v>
      </c>
      <c r="AP52">
        <f t="shared" si="54"/>
        <v>8623785.0239514709</v>
      </c>
      <c r="AQ52">
        <f t="shared" si="54"/>
        <v>8540775.8815966807</v>
      </c>
      <c r="AR52">
        <f t="shared" si="54"/>
        <v>8456729.1249624547</v>
      </c>
      <c r="AS52">
        <f t="shared" si="54"/>
        <v>8371631.7838703012</v>
      </c>
      <c r="AT52">
        <f t="shared" si="54"/>
        <v>8285470.7260144949</v>
      </c>
      <c r="AU52">
        <f t="shared" si="54"/>
        <v>8198232.6549354922</v>
      </c>
      <c r="AV52">
        <f t="shared" si="54"/>
        <v>8109904.1079680026</v>
      </c>
      <c r="AW52">
        <f t="shared" si="54"/>
        <v>8728824.1744379587</v>
      </c>
      <c r="AX52">
        <f t="shared" si="54"/>
        <v>8630276.3597724363</v>
      </c>
      <c r="AY52">
        <f t="shared" si="54"/>
        <v>8530496.6974235941</v>
      </c>
      <c r="AZ52">
        <f t="shared" si="54"/>
        <v>8429469.7892953921</v>
      </c>
      <c r="BA52">
        <f t="shared" si="54"/>
        <v>8327180.0448155878</v>
      </c>
      <c r="BB52">
        <f t="shared" si="54"/>
        <v>8223611.6785297859</v>
      </c>
      <c r="BC52">
        <f t="shared" si="54"/>
        <v>8118748.7076654108</v>
      </c>
      <c r="BD52">
        <f t="shared" si="54"/>
        <v>8012574.9496652316</v>
      </c>
      <c r="BE52">
        <f t="shared" si="54"/>
        <v>7905074.0196900498</v>
      </c>
      <c r="BF52">
        <f t="shared" si="54"/>
        <v>7796229.3280901788</v>
      </c>
      <c r="BG52">
        <f t="shared" si="54"/>
        <v>7686024.0778453089</v>
      </c>
      <c r="BH52">
        <f t="shared" si="54"/>
        <v>7574441.261972378</v>
      </c>
      <c r="BI52">
        <f t="shared" si="54"/>
        <v>7461463.6609010361</v>
      </c>
      <c r="BJ52">
        <f t="shared" si="54"/>
        <v>7347073.8398163021</v>
      </c>
      <c r="BK52">
        <f t="shared" si="54"/>
        <v>7231254.1459680088</v>
      </c>
      <c r="BL52">
        <f t="shared" si="54"/>
        <v>7113986.7059466122</v>
      </c>
      <c r="BM52">
        <f t="shared" si="54"/>
        <v>6995253.4229249479</v>
      </c>
      <c r="BN52">
        <f t="shared" si="54"/>
        <v>6875035.9738655128</v>
      </c>
      <c r="BO52">
        <f t="shared" si="54"/>
        <v>6753315.8066928349</v>
      </c>
      <c r="BP52">
        <f t="shared" si="54"/>
        <v>6630074.1374304984</v>
      </c>
      <c r="BQ52">
        <f t="shared" si="54"/>
        <v>6916430.9596343776</v>
      </c>
      <c r="BR52">
        <f t="shared" si="54"/>
        <v>6782104.0911971955</v>
      </c>
      <c r="BS52">
        <f t="shared" si="54"/>
        <v>6646098.1369045489</v>
      </c>
      <c r="BT52">
        <f t="shared" si="54"/>
        <v>6508392.1081832442</v>
      </c>
      <c r="BU52">
        <f t="shared" si="54"/>
        <v>6368964.754102923</v>
      </c>
      <c r="BV52">
        <f t="shared" si="54"/>
        <v>6227794.5580965979</v>
      </c>
      <c r="BW52">
        <f t="shared" ref="BW52:DY52" si="55">IF( SUM(BW44:BW51) &lt;= 0, 0, SUM( BW44:BW51 ) )</f>
        <v>6084859.7346401932</v>
      </c>
      <c r="BX52">
        <f t="shared" si="55"/>
        <v>5940138.2258905834</v>
      </c>
      <c r="BY52">
        <f t="shared" si="55"/>
        <v>5793607.6982816039</v>
      </c>
      <c r="BZ52">
        <f t="shared" si="55"/>
        <v>5645245.539077512</v>
      </c>
      <c r="CA52">
        <f t="shared" si="55"/>
        <v>5495028.8528833687</v>
      </c>
      <c r="CB52">
        <f t="shared" si="55"/>
        <v>5342934.4581117993</v>
      </c>
      <c r="CC52">
        <f t="shared" si="55"/>
        <v>5188938.8834055848</v>
      </c>
      <c r="CD52">
        <f t="shared" si="55"/>
        <v>5033018.3640155429</v>
      </c>
      <c r="CE52">
        <f t="shared" si="55"/>
        <v>4875148.8381331256</v>
      </c>
      <c r="CF52">
        <f t="shared" si="55"/>
        <v>4715305.9431771776</v>
      </c>
      <c r="CG52">
        <f t="shared" si="55"/>
        <v>4553465.0120342802</v>
      </c>
      <c r="CH52">
        <f t="shared" si="55"/>
        <v>4389601.069252097</v>
      </c>
      <c r="CI52">
        <f t="shared" si="55"/>
        <v>4223688.8271851363</v>
      </c>
      <c r="CJ52">
        <f t="shared" si="55"/>
        <v>4055702.6820923388</v>
      </c>
      <c r="CK52">
        <f t="shared" si="55"/>
        <v>4418504.1114597628</v>
      </c>
      <c r="CL52">
        <f t="shared" si="55"/>
        <v>4222674.2876501363</v>
      </c>
      <c r="CM52">
        <f t="shared" si="55"/>
        <v>4024396.5910428897</v>
      </c>
      <c r="CN52">
        <f t="shared" si="55"/>
        <v>3823640.4232280524</v>
      </c>
      <c r="CO52">
        <f t="shared" si="55"/>
        <v>3620374.8033155296</v>
      </c>
      <c r="CP52">
        <f t="shared" si="55"/>
        <v>3414568.3631541003</v>
      </c>
      <c r="CQ52">
        <f t="shared" si="55"/>
        <v>3206189.342490653</v>
      </c>
      <c r="CR52">
        <f t="shared" si="55"/>
        <v>2995205.584068913</v>
      </c>
      <c r="CS52">
        <f t="shared" si="55"/>
        <v>2781584.5286669009</v>
      </c>
      <c r="CT52">
        <f t="shared" si="55"/>
        <v>2565293.2100723637</v>
      </c>
      <c r="CU52">
        <f t="shared" si="55"/>
        <v>2346298.2499953951</v>
      </c>
      <c r="CV52">
        <f t="shared" si="55"/>
        <v>2124565.8529174645</v>
      </c>
      <c r="CW52">
        <f t="shared" si="55"/>
        <v>1900061.8008760593</v>
      </c>
      <c r="CX52">
        <f t="shared" si="55"/>
        <v>1672751.4481841368</v>
      </c>
      <c r="CY52">
        <f t="shared" si="55"/>
        <v>1442599.7160835653</v>
      </c>
      <c r="CZ52">
        <f t="shared" si="55"/>
        <v>1209571.0873317365</v>
      </c>
      <c r="DA52">
        <f t="shared" si="55"/>
        <v>973629.60072050989</v>
      </c>
      <c r="DB52">
        <f t="shared" si="55"/>
        <v>734738.84552664298</v>
      </c>
      <c r="DC52">
        <f t="shared" si="55"/>
        <v>492861.95589285274</v>
      </c>
      <c r="DD52">
        <f t="shared" si="55"/>
        <v>247961.60513864018</v>
      </c>
      <c r="DE52">
        <f t="shared" si="55"/>
        <v>0</v>
      </c>
      <c r="DF52">
        <f t="shared" si="55"/>
        <v>0</v>
      </c>
      <c r="DG52">
        <f t="shared" si="55"/>
        <v>0</v>
      </c>
      <c r="DH52">
        <f t="shared" si="55"/>
        <v>0</v>
      </c>
      <c r="DI52">
        <f t="shared" si="55"/>
        <v>0</v>
      </c>
      <c r="DJ52">
        <f t="shared" si="55"/>
        <v>0</v>
      </c>
      <c r="DK52">
        <f t="shared" si="55"/>
        <v>0</v>
      </c>
      <c r="DL52">
        <f t="shared" si="55"/>
        <v>0</v>
      </c>
      <c r="DM52">
        <f t="shared" si="55"/>
        <v>0</v>
      </c>
      <c r="DN52">
        <f t="shared" si="55"/>
        <v>0</v>
      </c>
      <c r="DO52">
        <f t="shared" si="55"/>
        <v>0</v>
      </c>
      <c r="DP52">
        <f t="shared" si="55"/>
        <v>0</v>
      </c>
      <c r="DQ52">
        <f t="shared" si="55"/>
        <v>0</v>
      </c>
      <c r="DR52">
        <f t="shared" si="55"/>
        <v>0</v>
      </c>
      <c r="DS52">
        <f t="shared" si="55"/>
        <v>0</v>
      </c>
      <c r="DT52">
        <f t="shared" si="55"/>
        <v>0</v>
      </c>
      <c r="DU52">
        <f t="shared" si="55"/>
        <v>0</v>
      </c>
      <c r="DV52">
        <f t="shared" si="55"/>
        <v>0</v>
      </c>
      <c r="DW52">
        <f t="shared" si="55"/>
        <v>0</v>
      </c>
      <c r="DX52">
        <f t="shared" si="55"/>
        <v>0</v>
      </c>
      <c r="DY52">
        <f t="shared" si="55"/>
        <v>0</v>
      </c>
    </row>
    <row r="54" spans="3:129">
      <c r="C54" s="76" t="s">
        <v>188</v>
      </c>
    </row>
    <row r="55" spans="3:129">
      <c r="E55" t="str">
        <f>CaseData!C$19</f>
        <v>Initial Interest Rate</v>
      </c>
      <c r="F55" s="89">
        <f>CaseData!$G$19</f>
        <v>0.05</v>
      </c>
      <c r="G55" t="s">
        <v>189</v>
      </c>
    </row>
    <row r="56" spans="3:129">
      <c r="E56" t="s">
        <v>190</v>
      </c>
      <c r="F56" s="88">
        <f xml:space="preserve"> F55 / 4</f>
        <v>1.2500000000000001E-2</v>
      </c>
      <c r="G56" t="s">
        <v>189</v>
      </c>
    </row>
    <row r="57" spans="3:129">
      <c r="E57" t="s">
        <v>188</v>
      </c>
      <c r="G57" t="s">
        <v>146</v>
      </c>
      <c r="H57" s="90" cm="1">
        <f t="array" ref="H57">_xlfn.BYROW( J57:DY57, _xleta.SUM )</f>
        <v>8509627.8226838596</v>
      </c>
      <c r="J57" s="93">
        <f xml:space="preserve"> IFERROR( IPMT( $F$56, 1, Time!J$32, Cashflow!J$44 ), 0 ) * - 1</f>
        <v>125000</v>
      </c>
      <c r="K57">
        <f xml:space="preserve"> IFERROR( IPMT( $F$56, 1, Time!K$32, Cashflow!K$44 ), 0 ) * - 1</f>
        <v>124365.71515447486</v>
      </c>
      <c r="L57">
        <f xml:space="preserve"> IFERROR( IPMT( $F$56, 1, Time!L$32, Cashflow!L$44 ), 0 ) * - 1</f>
        <v>123723.50174838066</v>
      </c>
      <c r="M57">
        <f xml:space="preserve"> IFERROR( IPMT( $F$56, 1, Time!M$32, Cashflow!M$44 ), 0 ) * - 1</f>
        <v>123073.26067471027</v>
      </c>
      <c r="N57">
        <f xml:space="preserve"> IFERROR( IPMT( $F$56, 1, Time!N$32, Cashflow!N$44 ), 0 ) * - 1</f>
        <v>122414.891587619</v>
      </c>
      <c r="O57">
        <f xml:space="preserve"> IFERROR( IPMT( $F$56, 1, Time!O$32, Cashflow!O$44 ), 0 ) * - 1</f>
        <v>121748.29288693909</v>
      </c>
      <c r="P57">
        <f xml:space="preserve"> IFERROR( IPMT( $F$56, 1, Time!P$32, Cashflow!P$44 ), 0 ) * - 1</f>
        <v>121073.36170250068</v>
      </c>
      <c r="Q57">
        <f xml:space="preserve"> IFERROR( IPMT( $F$56, 1, Time!Q$32, Cashflow!Q$44 ), 0 ) * - 1</f>
        <v>120389.99387825679</v>
      </c>
      <c r="R57">
        <f xml:space="preserve"> IFERROR( IPMT( $F$56, 1, Time!R$32, Cashflow!R$44 ), 0 ) * - 1</f>
        <v>119698.08395620986</v>
      </c>
      <c r="S57">
        <f xml:space="preserve"> IFERROR( IPMT( $F$56, 1, Time!S$32, Cashflow!S$44 ), 0 ) * - 1</f>
        <v>118997.52516013733</v>
      </c>
      <c r="T57">
        <f xml:space="preserve"> IFERROR( IPMT( $F$56, 1, Time!T$32, Cashflow!T$44 ), 0 ) * - 1</f>
        <v>118288.20937911392</v>
      </c>
      <c r="U57">
        <f xml:space="preserve"> IFERROR( IPMT( $F$56, 1, Time!U$32, Cashflow!U$44 ), 0 ) * - 1</f>
        <v>117570.02715082769</v>
      </c>
      <c r="V57">
        <f xml:space="preserve"> IFERROR( IPMT( $F$56, 1, Time!V$32, Cashflow!V$44 ), 0 ) * - 1</f>
        <v>116842.86764468791</v>
      </c>
      <c r="W57">
        <f xml:space="preserve"> IFERROR( IPMT( $F$56, 1, Time!W$32, Cashflow!W$44 ), 0 ) * - 1</f>
        <v>116106.61864472137</v>
      </c>
      <c r="X57">
        <f xml:space="preserve"> IFERROR( IPMT( $F$56, 1, Time!X$32, Cashflow!X$44 ), 0 ) * - 1</f>
        <v>115361.16653225524</v>
      </c>
      <c r="Y57">
        <f xml:space="preserve"> IFERROR( IPMT( $F$56, 1, Time!Y$32, Cashflow!Y$44 ), 0 ) * - 1</f>
        <v>114606.39626838331</v>
      </c>
      <c r="Z57">
        <f xml:space="preserve"> IFERROR( IPMT( $F$56, 1, Time!Z$32, Cashflow!Z$44 ), 0 ) * - 1</f>
        <v>113842.19137621294</v>
      </c>
      <c r="AA57">
        <f xml:space="preserve"> IFERROR( IPMT( $F$56, 1, Time!AA$32, Cashflow!AA$44 ), 0 ) * - 1</f>
        <v>113068.43392289046</v>
      </c>
      <c r="AB57">
        <f xml:space="preserve"> IFERROR( IPMT( $F$56, 1, Time!AB$32, Cashflow!AB$44 ), 0 ) * - 1</f>
        <v>112285.00450140145</v>
      </c>
      <c r="AC57">
        <f xml:space="preserve"> IFERROR( IPMT( $F$56, 1, Time!AC$32, Cashflow!AC$44 ), 0 ) * - 1</f>
        <v>111491.78221214382</v>
      </c>
      <c r="AD57">
        <f xml:space="preserve"> IFERROR( IPMT( $F$56, 1, Time!AD$32, Cashflow!AD$44 ), 0 ) * - 1</f>
        <v>120176.24275663645</v>
      </c>
      <c r="AE57">
        <f xml:space="preserve"> IFERROR( IPMT( $F$56, 1, Time!AE$32, Cashflow!AE$44 ), 0 ) * - 1</f>
        <v>119293.36510166711</v>
      </c>
      <c r="AF57">
        <f xml:space="preserve"> IFERROR( IPMT( $F$56, 1, Time!AF$32, Cashflow!AF$44 ), 0 ) * - 1</f>
        <v>118399.45147601064</v>
      </c>
      <c r="AG57">
        <f xml:space="preserve"> IFERROR( IPMT( $F$56, 1, Time!AG$32, Cashflow!AG$44 ), 0 ) * - 1</f>
        <v>117494.36393003348</v>
      </c>
      <c r="AH57">
        <f xml:space="preserve"> IFERROR( IPMT( $F$56, 1, Time!AH$32, Cashflow!AH$44 ), 0 ) * - 1</f>
        <v>116577.96278973159</v>
      </c>
      <c r="AI57">
        <f xml:space="preserve"> IFERROR( IPMT( $F$56, 1, Time!AI$32, Cashflow!AI$44 ), 0 ) * - 1</f>
        <v>115650.10663517595</v>
      </c>
      <c r="AJ57">
        <f xml:space="preserve"> IFERROR( IPMT( $F$56, 1, Time!AJ$32, Cashflow!AJ$44 ), 0 ) * - 1</f>
        <v>114710.65227868834</v>
      </c>
      <c r="AK57">
        <f xml:space="preserve"> IFERROR( IPMT( $F$56, 1, Time!AK$32, Cashflow!AK$44 ), 0 ) * - 1</f>
        <v>113759.45474274467</v>
      </c>
      <c r="AL57">
        <f xml:space="preserve"> IFERROR( IPMT( $F$56, 1, Time!AL$32, Cashflow!AL$44 ), 0 ) * - 1</f>
        <v>112796.36723760166</v>
      </c>
      <c r="AM57">
        <f xml:space="preserve"> IFERROR( IPMT( $F$56, 1, Time!AM$32, Cashflow!AM$44 ), 0 ) * - 1</f>
        <v>111821.24113864439</v>
      </c>
      <c r="AN57">
        <f xml:space="preserve"> IFERROR( IPMT( $F$56, 1, Time!AN$32, Cashflow!AN$44 ), 0 ) * - 1</f>
        <v>110833.92596345014</v>
      </c>
      <c r="AO57">
        <f xml:space="preserve"> IFERROR( IPMT( $F$56, 1, Time!AO$32, Cashflow!AO$44 ), 0 ) * - 1</f>
        <v>109834.26934856595</v>
      </c>
      <c r="AP57">
        <f xml:space="preserve"> IFERROR( IPMT( $F$56, 1, Time!AP$32, Cashflow!AP$44 ), 0 ) * - 1</f>
        <v>108822.11702599574</v>
      </c>
      <c r="AQ57">
        <f xml:space="preserve"> IFERROR( IPMT( $F$56, 1, Time!AQ$32, Cashflow!AQ$44 ), 0 ) * - 1</f>
        <v>107797.31279939339</v>
      </c>
      <c r="AR57">
        <f xml:space="preserve"> IFERROR( IPMT( $F$56, 1, Time!AR$32, Cashflow!AR$44 ), 0 ) * - 1</f>
        <v>106759.69851995852</v>
      </c>
      <c r="AS57">
        <f xml:space="preserve"> IFERROR( IPMT( $F$56, 1, Time!AS$32, Cashflow!AS$44 ), 0 ) * - 1</f>
        <v>105709.11406203068</v>
      </c>
      <c r="AT57">
        <f xml:space="preserve"> IFERROR( IPMT( $F$56, 1, Time!AT$32, Cashflow!AT$44 ), 0 ) * - 1</f>
        <v>104645.39729837877</v>
      </c>
      <c r="AU57">
        <f xml:space="preserve"> IFERROR( IPMT( $F$56, 1, Time!AU$32, Cashflow!AU$44 ), 0 ) * - 1</f>
        <v>103568.38407518119</v>
      </c>
      <c r="AV57">
        <f xml:space="preserve"> IFERROR( IPMT( $F$56, 1, Time!AV$32, Cashflow!AV$44 ), 0 ) * - 1</f>
        <v>102477.90818669366</v>
      </c>
      <c r="AW57">
        <f xml:space="preserve"> IFERROR( IPMT( $F$56, 1, Time!AW$32, Cashflow!AW$44 ), 0 ) * - 1</f>
        <v>101373.80134960003</v>
      </c>
      <c r="AX57">
        <f xml:space="preserve"> IFERROR( IPMT( $F$56, 1, Time!AX$32, Cashflow!AX$44 ), 0 ) * - 1</f>
        <v>109110.30218047449</v>
      </c>
      <c r="AY57">
        <f xml:space="preserve"> IFERROR( IPMT( $F$56, 1, Time!AY$32, Cashflow!AY$44 ), 0 ) * - 1</f>
        <v>107878.45449715546</v>
      </c>
      <c r="AZ57">
        <f xml:space="preserve"> IFERROR( IPMT( $F$56, 1, Time!AZ$32, Cashflow!AZ$44 ), 0 ) * - 1</f>
        <v>106631.20871779493</v>
      </c>
      <c r="BA57">
        <f xml:space="preserve"> IFERROR( IPMT( $F$56, 1, Time!BA$32, Cashflow!BA$44 ), 0 ) * - 1</f>
        <v>105368.3723661924</v>
      </c>
      <c r="BB57">
        <f xml:space="preserve"> IFERROR( IPMT( $F$56, 1, Time!BB$32, Cashflow!BB$44 ), 0 ) * - 1</f>
        <v>104089.75056019485</v>
      </c>
      <c r="BC57">
        <f xml:space="preserve"> IFERROR( IPMT( $F$56, 1, Time!BC$32, Cashflow!BC$44 ), 0 ) * - 1</f>
        <v>102795.14598162234</v>
      </c>
      <c r="BD57">
        <f xml:space="preserve"> IFERROR( IPMT( $F$56, 1, Time!BD$32, Cashflow!BD$44 ), 0 ) * - 1</f>
        <v>101484.35884581764</v>
      </c>
      <c r="BE57">
        <f xml:space="preserve"> IFERROR( IPMT( $F$56, 1, Time!BE$32, Cashflow!BE$44 ), 0 ) * - 1</f>
        <v>100157.18687081541</v>
      </c>
      <c r="BF57">
        <f xml:space="preserve"> IFERROR( IPMT( $F$56, 1, Time!BF$32, Cashflow!BF$44 ), 0 ) * - 1</f>
        <v>98813.425246125626</v>
      </c>
      <c r="BG57">
        <f xml:space="preserve"> IFERROR( IPMT( $F$56, 1, Time!BG$32, Cashflow!BG$44 ), 0 ) * - 1</f>
        <v>97452.866601127243</v>
      </c>
      <c r="BH57">
        <f xml:space="preserve"> IFERROR( IPMT( $F$56, 1, Time!BH$32, Cashflow!BH$44 ), 0 ) * - 1</f>
        <v>96075.300973066362</v>
      </c>
      <c r="BI57">
        <f xml:space="preserve"> IFERROR( IPMT( $F$56, 1, Time!BI$32, Cashflow!BI$44 ), 0 ) * - 1</f>
        <v>94680.515774654734</v>
      </c>
      <c r="BJ57">
        <f xml:space="preserve"> IFERROR( IPMT( $F$56, 1, Time!BJ$32, Cashflow!BJ$44 ), 0 ) * - 1</f>
        <v>93268.295761262954</v>
      </c>
      <c r="BK57">
        <f xml:space="preserve"> IFERROR( IPMT( $F$56, 1, Time!BK$32, Cashflow!BK$44 ), 0 ) * - 1</f>
        <v>91838.422997703776</v>
      </c>
      <c r="BL57">
        <f xml:space="preserve"> IFERROR( IPMT( $F$56, 1, Time!BL$32, Cashflow!BL$44 ), 0 ) * - 1</f>
        <v>90390.676824600116</v>
      </c>
      <c r="BM57">
        <f xml:space="preserve"> IFERROR( IPMT( $F$56, 1, Time!BM$32, Cashflow!BM$44 ), 0 ) * - 1</f>
        <v>88924.833824332658</v>
      </c>
      <c r="BN57">
        <f xml:space="preserve"> IFERROR( IPMT( $F$56, 1, Time!BN$32, Cashflow!BN$44 ), 0 ) * - 1</f>
        <v>87440.667786561855</v>
      </c>
      <c r="BO57">
        <f xml:space="preserve"> IFERROR( IPMT( $F$56, 1, Time!BO$32, Cashflow!BO$44 ), 0 ) * - 1</f>
        <v>85937.949673318915</v>
      </c>
      <c r="BP57">
        <f xml:space="preserve"> IFERROR( IPMT( $F$56, 1, Time!BP$32, Cashflow!BP$44 ), 0 ) * - 1</f>
        <v>84416.44758366044</v>
      </c>
      <c r="BQ57">
        <f xml:space="preserve"> IFERROR( IPMT( $F$56, 1, Time!BQ$32, Cashflow!BQ$44 ), 0 ) * - 1</f>
        <v>82875.92671788123</v>
      </c>
      <c r="BR57">
        <f xml:space="preserve"> IFERROR( IPMT( $F$56, 1, Time!BR$32, Cashflow!BR$44 ), 0 ) * - 1</f>
        <v>86455.386995429726</v>
      </c>
      <c r="BS57">
        <f xml:space="preserve"> IFERROR( IPMT( $F$56, 1, Time!BS$32, Cashflow!BS$44 ), 0 ) * - 1</f>
        <v>84776.30113996494</v>
      </c>
      <c r="BT57">
        <f xml:space="preserve"> IFERROR( IPMT( $F$56, 1, Time!BT$32, Cashflow!BT$44 ), 0 ) * - 1</f>
        <v>83076.226711306866</v>
      </c>
      <c r="BU57">
        <f xml:space="preserve"> IFERROR( IPMT( $F$56, 1, Time!BU$32, Cashflow!BU$44 ), 0 ) * - 1</f>
        <v>81354.901352290544</v>
      </c>
      <c r="BV57">
        <f xml:space="preserve"> IFERROR( IPMT( $F$56, 1, Time!BV$32, Cashflow!BV$44 ), 0 ) * - 1</f>
        <v>79612.059426286549</v>
      </c>
      <c r="BW57">
        <f xml:space="preserve"> IFERROR( IPMT( $F$56, 1, Time!BW$32, Cashflow!BW$44 ), 0 ) * - 1</f>
        <v>77847.431976207474</v>
      </c>
      <c r="BX57">
        <f xml:space="preserve"> IFERROR( IPMT( $F$56, 1, Time!BX$32, Cashflow!BX$44 ), 0 ) * - 1</f>
        <v>76060.74668300242</v>
      </c>
      <c r="BY57">
        <f xml:space="preserve"> IFERROR( IPMT( $F$56, 1, Time!BY$32, Cashflow!BY$44 ), 0 ) * - 1</f>
        <v>74251.727823632289</v>
      </c>
      <c r="BZ57">
        <f xml:space="preserve"> IFERROR( IPMT( $F$56, 1, Time!BZ$32, Cashflow!BZ$44 ), 0 ) * - 1</f>
        <v>72420.096228520051</v>
      </c>
      <c r="CA57">
        <f xml:space="preserve"> IFERROR( IPMT( $F$56, 1, Time!CA$32, Cashflow!CA$44 ), 0 ) * - 1</f>
        <v>70565.569238468917</v>
      </c>
      <c r="CB57">
        <f xml:space="preserve"> IFERROR( IPMT( $F$56, 1, Time!CB$32, Cashflow!CB$44 ), 0 ) * - 1</f>
        <v>68687.860661042112</v>
      </c>
      <c r="CC57">
        <f xml:space="preserve"> IFERROR( IPMT( $F$56, 1, Time!CC$32, Cashflow!CC$44 ), 0 ) * - 1</f>
        <v>66786.680726397492</v>
      </c>
      <c r="CD57">
        <f xml:space="preserve"> IFERROR( IPMT( $F$56, 1, Time!CD$32, Cashflow!CD$44 ), 0 ) * - 1</f>
        <v>64861.736042569813</v>
      </c>
      <c r="CE57">
        <f xml:space="preserve"> IFERROR( IPMT( $F$56, 1, Time!CE$32, Cashflow!CE$44 ), 0 ) * - 1</f>
        <v>62912.729550194286</v>
      </c>
      <c r="CF57">
        <f xml:space="preserve"> IFERROR( IPMT( $F$56, 1, Time!CF$32, Cashflow!CF$44 ), 0 ) * - 1</f>
        <v>60939.360476664086</v>
      </c>
      <c r="CG57">
        <f xml:space="preserve"> IFERROR( IPMT( $F$56, 1, Time!CG$32, Cashflow!CG$44 ), 0 ) * - 1</f>
        <v>58941.324289714721</v>
      </c>
      <c r="CH57">
        <f xml:space="preserve"> IFERROR( IPMT( $F$56, 1, Time!CH$32, Cashflow!CH$44 ), 0 ) * - 1</f>
        <v>56918.312650428503</v>
      </c>
      <c r="CI57">
        <f xml:space="preserve"> IFERROR( IPMT( $F$56, 1, Time!CI$32, Cashflow!CI$44 ), 0 ) * - 1</f>
        <v>54870.013365651219</v>
      </c>
      <c r="CJ57">
        <f xml:space="preserve"> IFERROR( IPMT( $F$56, 1, Time!CJ$32, Cashflow!CJ$44 ), 0 ) * - 1</f>
        <v>52796.110339814208</v>
      </c>
      <c r="CK57">
        <f xml:space="preserve"> IFERROR( IPMT( $F$56, 1, Time!CK$32, Cashflow!CK$44 ), 0 ) * - 1</f>
        <v>50696.283526154235</v>
      </c>
      <c r="CL57">
        <f xml:space="preserve"> IFERROR( IPMT( $F$56, 1, Time!CL$32, Cashflow!CL$44 ), 0 ) * - 1</f>
        <v>55231.301393247035</v>
      </c>
      <c r="CM57">
        <f xml:space="preserve"> IFERROR( IPMT( $F$56, 1, Time!CM$32, Cashflow!CM$44 ), 0 ) * - 1</f>
        <v>52783.428595626705</v>
      </c>
      <c r="CN57">
        <f xml:space="preserve"> IFERROR( IPMT( $F$56, 1, Time!CN$32, Cashflow!CN$44 ), 0 ) * - 1</f>
        <v>50304.95738803612</v>
      </c>
      <c r="CO57">
        <f xml:space="preserve"> IFERROR( IPMT( $F$56, 1, Time!CO$32, Cashflow!CO$44 ), 0 ) * - 1</f>
        <v>47795.505290350658</v>
      </c>
      <c r="CP57">
        <f xml:space="preserve"> IFERROR( IPMT( $F$56, 1, Time!CP$32, Cashflow!CP$44 ), 0 ) * - 1</f>
        <v>45254.685041444121</v>
      </c>
      <c r="CQ57">
        <f xml:space="preserve"> IFERROR( IPMT( $F$56, 1, Time!CQ$32, Cashflow!CQ$44 ), 0 ) * - 1</f>
        <v>42682.104539426255</v>
      </c>
      <c r="CR57">
        <f xml:space="preserve"> IFERROR( IPMT( $F$56, 1, Time!CR$32, Cashflow!CR$44 ), 0 ) * - 1</f>
        <v>40077.366781133169</v>
      </c>
      <c r="CS57">
        <f xml:space="preserve"> IFERROR( IPMT( $F$56, 1, Time!CS$32, Cashflow!CS$44 ), 0 ) * - 1</f>
        <v>37440.069800861413</v>
      </c>
      <c r="CT57">
        <f xml:space="preserve"> IFERROR( IPMT( $F$56, 1, Time!CT$32, Cashflow!CT$44 ), 0 ) * - 1</f>
        <v>34769.806608336265</v>
      </c>
      <c r="CU57">
        <f xml:space="preserve"> IFERROR( IPMT( $F$56, 1, Time!CU$32, Cashflow!CU$44 ), 0 ) * - 1</f>
        <v>32066.165125904547</v>
      </c>
      <c r="CV57">
        <f xml:space="preserve"> IFERROR( IPMT( $F$56, 1, Time!CV$32, Cashflow!CV$44 ), 0 ) * - 1</f>
        <v>29328.728124942441</v>
      </c>
      <c r="CW57">
        <f xml:space="preserve"> IFERROR( IPMT( $F$56, 1, Time!CW$32, Cashflow!CW$44 ), 0 ) * - 1</f>
        <v>26557.073161468306</v>
      </c>
      <c r="CX57">
        <f xml:space="preserve"> IFERROR( IPMT( $F$56, 1, Time!CX$32, Cashflow!CX$44 ), 0 ) * - 1</f>
        <v>23750.772510950745</v>
      </c>
      <c r="CY57">
        <f xml:space="preserve"> IFERROR( IPMT( $F$56, 1, Time!CY$32, Cashflow!CY$44 ), 0 ) * - 1</f>
        <v>20909.39310230171</v>
      </c>
      <c r="CZ57">
        <f xml:space="preserve"> IFERROR( IPMT( $F$56, 1, Time!CZ$32, Cashflow!CZ$44 ), 0 ) * - 1</f>
        <v>18032.496451044568</v>
      </c>
      <c r="DA57">
        <f xml:space="preserve"> IFERROR( IPMT( $F$56, 1, Time!DA$32, Cashflow!DA$44 ), 0 ) * - 1</f>
        <v>15119.638591646706</v>
      </c>
      <c r="DB57">
        <f xml:space="preserve"> IFERROR( IPMT( $F$56, 1, Time!DB$32, Cashflow!DB$44 ), 0 ) * - 1</f>
        <v>12170.370009006374</v>
      </c>
      <c r="DC57">
        <f xml:space="preserve"> IFERROR( IPMT( $F$56, 1, Time!DC$32, Cashflow!DC$44 ), 0 ) * - 1</f>
        <v>9184.2355690830373</v>
      </c>
      <c r="DD57">
        <f xml:space="preserve"> IFERROR( IPMT( $F$56, 1, Time!DD$32, Cashflow!DD$44 ), 0 ) * - 1</f>
        <v>6160.7744486606598</v>
      </c>
      <c r="DE57">
        <f xml:space="preserve"> IFERROR( IPMT( $F$56, 1, Time!DE$32, Cashflow!DE$44 ), 0 ) * - 1</f>
        <v>3099.5200642330028</v>
      </c>
      <c r="DF57">
        <f xml:space="preserve"> IFERROR( IPMT( $F$56, 1, Time!DF$32, Cashflow!DF$44 ), 0 ) * - 1</f>
        <v>0</v>
      </c>
      <c r="DG57">
        <f xml:space="preserve"> IFERROR( IPMT( $F$56, 1, Time!DG$32, Cashflow!DG$44 ), 0 ) * - 1</f>
        <v>0</v>
      </c>
      <c r="DH57">
        <f xml:space="preserve"> IFERROR( IPMT( $F$56, 1, Time!DH$32, Cashflow!DH$44 ), 0 ) * - 1</f>
        <v>0</v>
      </c>
      <c r="DI57">
        <f xml:space="preserve"> IFERROR( IPMT( $F$56, 1, Time!DI$32, Cashflow!DI$44 ), 0 ) * - 1</f>
        <v>0</v>
      </c>
      <c r="DJ57">
        <f xml:space="preserve"> IFERROR( IPMT( $F$56, 1, Time!DJ$32, Cashflow!DJ$44 ), 0 ) * - 1</f>
        <v>0</v>
      </c>
      <c r="DK57">
        <f xml:space="preserve"> IFERROR( IPMT( $F$56, 1, Time!DK$32, Cashflow!DK$44 ), 0 ) * - 1</f>
        <v>0</v>
      </c>
      <c r="DL57">
        <f xml:space="preserve"> IFERROR( IPMT( $F$56, 1, Time!DL$32, Cashflow!DL$44 ), 0 ) * - 1</f>
        <v>0</v>
      </c>
      <c r="DM57">
        <f xml:space="preserve"> IFERROR( IPMT( $F$56, 1, Time!DM$32, Cashflow!DM$44 ), 0 ) * - 1</f>
        <v>0</v>
      </c>
      <c r="DN57">
        <f xml:space="preserve"> IFERROR( IPMT( $F$56, 1, Time!DN$32, Cashflow!DN$44 ), 0 ) * - 1</f>
        <v>0</v>
      </c>
      <c r="DO57">
        <f xml:space="preserve"> IFERROR( IPMT( $F$56, 1, Time!DO$32, Cashflow!DO$44 ), 0 ) * - 1</f>
        <v>0</v>
      </c>
      <c r="DP57">
        <f xml:space="preserve"> IFERROR( IPMT( $F$56, 1, Time!DP$32, Cashflow!DP$44 ), 0 ) * - 1</f>
        <v>0</v>
      </c>
      <c r="DQ57">
        <f xml:space="preserve"> IFERROR( IPMT( $F$56, 1, Time!DQ$32, Cashflow!DQ$44 ), 0 ) * - 1</f>
        <v>0</v>
      </c>
      <c r="DR57">
        <f xml:space="preserve"> IFERROR( IPMT( $F$56, 1, Time!DR$32, Cashflow!DR$44 ), 0 ) * - 1</f>
        <v>0</v>
      </c>
      <c r="DS57">
        <f xml:space="preserve"> IFERROR( IPMT( $F$56, 1, Time!DS$32, Cashflow!DS$44 ), 0 ) * - 1</f>
        <v>0</v>
      </c>
      <c r="DT57">
        <f xml:space="preserve"> IFERROR( IPMT( $F$56, 1, Time!DT$32, Cashflow!DT$44 ), 0 ) * - 1</f>
        <v>0</v>
      </c>
      <c r="DU57">
        <f xml:space="preserve"> IFERROR( IPMT( $F$56, 1, Time!DU$32, Cashflow!DU$44 ), 0 ) * - 1</f>
        <v>0</v>
      </c>
      <c r="DV57">
        <f xml:space="preserve"> IFERROR( IPMT( $F$56, 1, Time!DV$32, Cashflow!DV$44 ), 0 ) * - 1</f>
        <v>0</v>
      </c>
      <c r="DW57">
        <f xml:space="preserve"> IFERROR( IPMT( $F$56, 1, Time!DW$32, Cashflow!DW$44 ), 0 ) * - 1</f>
        <v>0</v>
      </c>
      <c r="DX57">
        <f xml:space="preserve"> IFERROR( IPMT( $F$56, 1, Time!DX$32, Cashflow!DX$44 ), 0 ) * - 1</f>
        <v>0</v>
      </c>
      <c r="DY57">
        <f xml:space="preserve"> IFERROR( IPMT( $F$56, 1, Time!DY$32, Cashflow!DY$44 ), 0 ) * - 1</f>
        <v>0</v>
      </c>
    </row>
    <row r="59" spans="3:129">
      <c r="C59" s="76" t="s">
        <v>195</v>
      </c>
    </row>
    <row r="60" spans="3:129">
      <c r="E60" t="s">
        <v>196</v>
      </c>
      <c r="G60" t="s">
        <v>146</v>
      </c>
      <c r="H60" s="90" cm="1">
        <f t="array" ref="H60">_xlfn.BYROW( J60:DY60, _xleta.SUM )</f>
        <v>12411386.982869696</v>
      </c>
      <c r="J60" s="93">
        <f xml:space="preserve"> IFERROR( PPMT( $F$56, 1, Time!J$32, Cashflow!J$44 ), 0 ) * - 1</f>
        <v>50742.787642011492</v>
      </c>
      <c r="K60">
        <f xml:space="preserve"> IFERROR( PPMT( $F$56, 1, Time!K$32, Cashflow!K$44 ), 0 ) * - 1</f>
        <v>51377.072487536629</v>
      </c>
      <c r="L60">
        <f xml:space="preserve"> IFERROR( PPMT( $F$56, 1, Time!L$32, Cashflow!L$44 ), 0 ) * - 1</f>
        <v>52019.285893630826</v>
      </c>
      <c r="M60">
        <f xml:space="preserve"> IFERROR( PPMT( $F$56, 1, Time!M$32, Cashflow!M$44 ), 0 ) * - 1</f>
        <v>52669.526967301208</v>
      </c>
      <c r="N60">
        <f xml:space="preserve"> IFERROR( PPMT( $F$56, 1, Time!N$32, Cashflow!N$44 ), 0 ) * - 1</f>
        <v>53327.896054392484</v>
      </c>
      <c r="O60">
        <f xml:space="preserve"> IFERROR( PPMT( $F$56, 1, Time!O$32, Cashflow!O$44 ), 0 ) * - 1</f>
        <v>53994.494755072381</v>
      </c>
      <c r="P60">
        <f xml:space="preserve"> IFERROR( PPMT( $F$56, 1, Time!P$32, Cashflow!P$44 ), 0 ) * - 1</f>
        <v>54669.425939510787</v>
      </c>
      <c r="Q60">
        <f xml:space="preserve"> IFERROR( PPMT( $F$56, 1, Time!Q$32, Cashflow!Q$44 ), 0 ) * - 1</f>
        <v>55352.793763754657</v>
      </c>
      <c r="R60">
        <f xml:space="preserve"> IFERROR( PPMT( $F$56, 1, Time!R$32, Cashflow!R$44 ), 0 ) * - 1</f>
        <v>56044.703685801622</v>
      </c>
      <c r="S60">
        <f xml:space="preserve"> IFERROR( PPMT( $F$56, 1, Time!S$32, Cashflow!S$44 ), 0 ) * - 1</f>
        <v>56745.262481874117</v>
      </c>
      <c r="T60">
        <f xml:space="preserve"> IFERROR( PPMT( $F$56, 1, Time!T$32, Cashflow!T$44 ), 0 ) * - 1</f>
        <v>57454.57826289755</v>
      </c>
      <c r="U60">
        <f xml:space="preserve"> IFERROR( PPMT( $F$56, 1, Time!U$32, Cashflow!U$44 ), 0 ) * - 1</f>
        <v>58172.760491183777</v>
      </c>
      <c r="V60">
        <f xml:space="preserve"> IFERROR( PPMT( $F$56, 1, Time!V$32, Cashflow!V$44 ), 0 ) * - 1</f>
        <v>58899.919997323588</v>
      </c>
      <c r="W60">
        <f xml:space="preserve"> IFERROR( PPMT( $F$56, 1, Time!W$32, Cashflow!W$44 ), 0 ) * - 1</f>
        <v>59636.168997290115</v>
      </c>
      <c r="X60">
        <f xml:space="preserve"> IFERROR( PPMT( $F$56, 1, Time!X$32, Cashflow!X$44 ), 0 ) * - 1</f>
        <v>60381.621109756248</v>
      </c>
      <c r="Y60">
        <f xml:space="preserve"> IFERROR( PPMT( $F$56, 1, Time!Y$32, Cashflow!Y$44 ), 0 ) * - 1</f>
        <v>61136.391373628227</v>
      </c>
      <c r="Z60">
        <f xml:space="preserve"> IFERROR( PPMT( $F$56, 1, Time!Z$32, Cashflow!Z$44 ), 0 ) * - 1</f>
        <v>61900.596265798551</v>
      </c>
      <c r="AA60">
        <f xml:space="preserve"> IFERROR( PPMT( $F$56, 1, Time!AA$32, Cashflow!AA$44 ), 0 ) * - 1</f>
        <v>62674.353719121049</v>
      </c>
      <c r="AB60">
        <f xml:space="preserve"> IFERROR( PPMT( $F$56, 1, Time!AB$32, Cashflow!AB$44 ), 0 ) * - 1</f>
        <v>63457.783140610045</v>
      </c>
      <c r="AC60">
        <f xml:space="preserve"> IFERROR( PPMT( $F$56, 1, Time!AC$32, Cashflow!AC$44 ), 0 ) * - 1</f>
        <v>64251.005429867684</v>
      </c>
      <c r="AD60">
        <f xml:space="preserve"> IFERROR( PPMT( $F$56, 1, Time!AD$32, Cashflow!AD$44 ), 0 ) * - 1</f>
        <v>70630.212397547351</v>
      </c>
      <c r="AE60">
        <f xml:space="preserve"> IFERROR( PPMT( $F$56, 1, Time!AE$32, Cashflow!AE$44 ), 0 ) * - 1</f>
        <v>71513.09005251668</v>
      </c>
      <c r="AF60">
        <f xml:space="preserve"> IFERROR( PPMT( $F$56, 1, Time!AF$32, Cashflow!AF$44 ), 0 ) * - 1</f>
        <v>72407.003678173147</v>
      </c>
      <c r="AG60">
        <f xml:space="preserve"> IFERROR( PPMT( $F$56, 1, Time!AG$32, Cashflow!AG$44 ), 0 ) * - 1</f>
        <v>73312.091224150325</v>
      </c>
      <c r="AH60">
        <f xml:space="preserve"> IFERROR( PPMT( $F$56, 1, Time!AH$32, Cashflow!AH$44 ), 0 ) * - 1</f>
        <v>74228.492364452191</v>
      </c>
      <c r="AI60">
        <f xml:space="preserve"> IFERROR( PPMT( $F$56, 1, Time!AI$32, Cashflow!AI$44 ), 0 ) * - 1</f>
        <v>75156.348519007835</v>
      </c>
      <c r="AJ60">
        <f xml:space="preserve"> IFERROR( PPMT( $F$56, 1, Time!AJ$32, Cashflow!AJ$44 ), 0 ) * - 1</f>
        <v>76095.802875495458</v>
      </c>
      <c r="AK60">
        <f xml:space="preserve"> IFERROR( PPMT( $F$56, 1, Time!AK$32, Cashflow!AK$44 ), 0 ) * - 1</f>
        <v>77047.000411439149</v>
      </c>
      <c r="AL60">
        <f xml:space="preserve"> IFERROR( PPMT( $F$56, 1, Time!AL$32, Cashflow!AL$44 ), 0 ) * - 1</f>
        <v>78010.087916582124</v>
      </c>
      <c r="AM60">
        <f xml:space="preserve"> IFERROR( PPMT( $F$56, 1, Time!AM$32, Cashflow!AM$44 ), 0 ) * - 1</f>
        <v>78985.214015539401</v>
      </c>
      <c r="AN60">
        <f xml:space="preserve"> IFERROR( PPMT( $F$56, 1, Time!AN$32, Cashflow!AN$44 ), 0 ) * - 1</f>
        <v>79972.529190733636</v>
      </c>
      <c r="AO60">
        <f xml:space="preserve"> IFERROR( PPMT( $F$56, 1, Time!AO$32, Cashflow!AO$44 ), 0 ) * - 1</f>
        <v>80972.185805617817</v>
      </c>
      <c r="AP60">
        <f xml:space="preserve"> IFERROR( PPMT( $F$56, 1, Time!AP$32, Cashflow!AP$44 ), 0 ) * - 1</f>
        <v>81984.338128188028</v>
      </c>
      <c r="AQ60">
        <f xml:space="preserve"> IFERROR( PPMT( $F$56, 1, Time!AQ$32, Cashflow!AQ$44 ), 0 ) * - 1</f>
        <v>83009.142354790369</v>
      </c>
      <c r="AR60">
        <f xml:space="preserve"> IFERROR( PPMT( $F$56, 1, Time!AR$32, Cashflow!AR$44 ), 0 ) * - 1</f>
        <v>84046.756634225254</v>
      </c>
      <c r="AS60">
        <f xml:space="preserve"> IFERROR( PPMT( $F$56, 1, Time!AS$32, Cashflow!AS$44 ), 0 ) * - 1</f>
        <v>85097.341092153074</v>
      </c>
      <c r="AT60">
        <f xml:space="preserve"> IFERROR( PPMT( $F$56, 1, Time!AT$32, Cashflow!AT$44 ), 0 ) * - 1</f>
        <v>86161.057855804989</v>
      </c>
      <c r="AU60">
        <f xml:space="preserve"> IFERROR( PPMT( $F$56, 1, Time!AU$32, Cashflow!AU$44 ), 0 ) * - 1</f>
        <v>87238.071079002519</v>
      </c>
      <c r="AV60">
        <f xml:space="preserve"> IFERROR( PPMT( $F$56, 1, Time!AV$32, Cashflow!AV$44 ), 0 ) * - 1</f>
        <v>88328.546967490038</v>
      </c>
      <c r="AW60">
        <f xml:space="preserve"> IFERROR( PPMT( $F$56, 1, Time!AW$32, Cashflow!AW$44 ), 0 ) * - 1</f>
        <v>89432.653804583664</v>
      </c>
      <c r="AX60">
        <f xml:space="preserve"> IFERROR( PPMT( $F$56, 1, Time!AX$32, Cashflow!AX$44 ), 0 ) * - 1</f>
        <v>98547.814665522557</v>
      </c>
      <c r="AY60">
        <f xml:space="preserve"> IFERROR( PPMT( $F$56, 1, Time!AY$32, Cashflow!AY$44 ), 0 ) * - 1</f>
        <v>99779.662348841579</v>
      </c>
      <c r="AZ60">
        <f xml:space="preserve"> IFERROR( PPMT( $F$56, 1, Time!AZ$32, Cashflow!AZ$44 ), 0 ) * - 1</f>
        <v>101026.90812820211</v>
      </c>
      <c r="BA60">
        <f xml:space="preserve"> IFERROR( PPMT( $F$56, 1, Time!BA$32, Cashflow!BA$44 ), 0 ) * - 1</f>
        <v>102289.74447980459</v>
      </c>
      <c r="BB60">
        <f xml:space="preserve"> IFERROR( PPMT( $F$56, 1, Time!BB$32, Cashflow!BB$44 ), 0 ) * - 1</f>
        <v>103568.36628580217</v>
      </c>
      <c r="BC60">
        <f xml:space="preserve"> IFERROR( PPMT( $F$56, 1, Time!BC$32, Cashflow!BC$44 ), 0 ) * - 1</f>
        <v>104862.97086437471</v>
      </c>
      <c r="BD60">
        <f xml:space="preserve"> IFERROR( PPMT( $F$56, 1, Time!BD$32, Cashflow!BD$44 ), 0 ) * - 1</f>
        <v>106173.75800017941</v>
      </c>
      <c r="BE60">
        <f xml:space="preserve"> IFERROR( PPMT( $F$56, 1, Time!BE$32, Cashflow!BE$44 ), 0 ) * - 1</f>
        <v>107500.92997518166</v>
      </c>
      <c r="BF60">
        <f xml:space="preserve"> IFERROR( PPMT( $F$56, 1, Time!BF$32, Cashflow!BF$44 ), 0 ) * - 1</f>
        <v>108844.69159987141</v>
      </c>
      <c r="BG60">
        <f xml:space="preserve"> IFERROR( PPMT( $F$56, 1, Time!BG$32, Cashflow!BG$44 ), 0 ) * - 1</f>
        <v>110205.25024486981</v>
      </c>
      <c r="BH60">
        <f xml:space="preserve"> IFERROR( PPMT( $F$56, 1, Time!BH$32, Cashflow!BH$44 ), 0 ) * - 1</f>
        <v>111582.81587293069</v>
      </c>
      <c r="BI60">
        <f xml:space="preserve"> IFERROR( PPMT( $F$56, 1, Time!BI$32, Cashflow!BI$44 ), 0 ) * - 1</f>
        <v>112977.60107134232</v>
      </c>
      <c r="BJ60">
        <f xml:space="preserve"> IFERROR( PPMT( $F$56, 1, Time!BJ$32, Cashflow!BJ$44 ), 0 ) * - 1</f>
        <v>114389.82108473411</v>
      </c>
      <c r="BK60">
        <f xml:space="preserve"> IFERROR( PPMT( $F$56, 1, Time!BK$32, Cashflow!BK$44 ), 0 ) * - 1</f>
        <v>115819.69384829327</v>
      </c>
      <c r="BL60">
        <f xml:space="preserve"> IFERROR( PPMT( $F$56, 1, Time!BL$32, Cashflow!BL$44 ), 0 ) * - 1</f>
        <v>117267.44002139695</v>
      </c>
      <c r="BM60">
        <f xml:space="preserve"> IFERROR( PPMT( $F$56, 1, Time!BM$32, Cashflow!BM$44 ), 0 ) * - 1</f>
        <v>118733.28302166439</v>
      </c>
      <c r="BN60">
        <f xml:space="preserve"> IFERROR( PPMT( $F$56, 1, Time!BN$32, Cashflow!BN$44 ), 0 ) * - 1</f>
        <v>120217.44905943522</v>
      </c>
      <c r="BO60">
        <f xml:space="preserve"> IFERROR( PPMT( $F$56, 1, Time!BO$32, Cashflow!BO$44 ), 0 ) * - 1</f>
        <v>121720.16717267815</v>
      </c>
      <c r="BP60">
        <f xml:space="preserve"> IFERROR( PPMT( $F$56, 1, Time!BP$32, Cashflow!BP$44 ), 0 ) * - 1</f>
        <v>123241.66926233664</v>
      </c>
      <c r="BQ60">
        <f xml:space="preserve"> IFERROR( PPMT( $F$56, 1, Time!BQ$32, Cashflow!BQ$44 ), 0 ) * - 1</f>
        <v>124782.19012811582</v>
      </c>
      <c r="BR60">
        <f xml:space="preserve"> IFERROR( PPMT( $F$56, 1, Time!BR$32, Cashflow!BR$44 ), 0 ) * - 1</f>
        <v>134326.86843718207</v>
      </c>
      <c r="BS60">
        <f xml:space="preserve"> IFERROR( PPMT( $F$56, 1, Time!BS$32, Cashflow!BS$44 ), 0 ) * - 1</f>
        <v>136005.95429264681</v>
      </c>
      <c r="BT60">
        <f xml:space="preserve"> IFERROR( PPMT( $F$56, 1, Time!BT$32, Cashflow!BT$44 ), 0 ) * - 1</f>
        <v>137706.02872130493</v>
      </c>
      <c r="BU60">
        <f xml:space="preserve"> IFERROR( PPMT( $F$56, 1, Time!BU$32, Cashflow!BU$44 ), 0 ) * - 1</f>
        <v>139427.35408032127</v>
      </c>
      <c r="BV60">
        <f xml:space="preserve"> IFERROR( PPMT( $F$56, 1, Time!BV$32, Cashflow!BV$44 ), 0 ) * - 1</f>
        <v>141170.19600632528</v>
      </c>
      <c r="BW60">
        <f xml:space="preserve"> IFERROR( PPMT( $F$56, 1, Time!BW$32, Cashflow!BW$44 ), 0 ) * - 1</f>
        <v>142934.82345640435</v>
      </c>
      <c r="BX60">
        <f xml:space="preserve"> IFERROR( PPMT( $F$56, 1, Time!BX$32, Cashflow!BX$44 ), 0 ) * - 1</f>
        <v>144721.50874960941</v>
      </c>
      <c r="BY60">
        <f xml:space="preserve"> IFERROR( PPMT( $F$56, 1, Time!BY$32, Cashflow!BY$44 ), 0 ) * - 1</f>
        <v>146530.52760897949</v>
      </c>
      <c r="BZ60">
        <f xml:space="preserve"> IFERROR( PPMT( $F$56, 1, Time!BZ$32, Cashflow!BZ$44 ), 0 ) * - 1</f>
        <v>148362.15920409173</v>
      </c>
      <c r="CA60">
        <f xml:space="preserve"> IFERROR( PPMT( $F$56, 1, Time!CA$32, Cashflow!CA$44 ), 0 ) * - 1</f>
        <v>150216.68619414288</v>
      </c>
      <c r="CB60">
        <f xml:space="preserve"> IFERROR( PPMT( $F$56, 1, Time!CB$32, Cashflow!CB$44 ), 0 ) * - 1</f>
        <v>152094.39477156964</v>
      </c>
      <c r="CC60">
        <f xml:space="preserve"> IFERROR( PPMT( $F$56, 1, Time!CC$32, Cashflow!CC$44 ), 0 ) * - 1</f>
        <v>153995.57470621428</v>
      </c>
      <c r="CD60">
        <f xml:space="preserve"> IFERROR( PPMT( $F$56, 1, Time!CD$32, Cashflow!CD$44 ), 0 ) * - 1</f>
        <v>155920.51939004194</v>
      </c>
      <c r="CE60">
        <f xml:space="preserve"> IFERROR( PPMT( $F$56, 1, Time!CE$32, Cashflow!CE$44 ), 0 ) * - 1</f>
        <v>157869.52588241748</v>
      </c>
      <c r="CF60">
        <f xml:space="preserve"> IFERROR( PPMT( $F$56, 1, Time!CF$32, Cashflow!CF$44 ), 0 ) * - 1</f>
        <v>159842.89495594773</v>
      </c>
      <c r="CG60">
        <f xml:space="preserve"> IFERROR( PPMT( $F$56, 1, Time!CG$32, Cashflow!CG$44 ), 0 ) * - 1</f>
        <v>161840.93114289702</v>
      </c>
      <c r="CH60">
        <f xml:space="preserve"> IFERROR( PPMT( $F$56, 1, Time!CH$32, Cashflow!CH$44 ), 0 ) * - 1</f>
        <v>163863.94278218327</v>
      </c>
      <c r="CI60">
        <f xml:space="preserve"> IFERROR( PPMT( $F$56, 1, Time!CI$32, Cashflow!CI$44 ), 0 ) * - 1</f>
        <v>165912.24206696055</v>
      </c>
      <c r="CJ60">
        <f xml:space="preserve"> IFERROR( PPMT( $F$56, 1, Time!CJ$32, Cashflow!CJ$44 ), 0 ) * - 1</f>
        <v>167986.14509279755</v>
      </c>
      <c r="CK60">
        <f xml:space="preserve"> IFERROR( PPMT( $F$56, 1, Time!CK$32, Cashflow!CK$44 ), 0 ) * - 1</f>
        <v>170085.97190645747</v>
      </c>
      <c r="CL60">
        <f xml:space="preserve"> IFERROR( PPMT( $F$56, 1, Time!CL$32, Cashflow!CL$44 ), 0 ) * - 1</f>
        <v>195829.8238096264</v>
      </c>
      <c r="CM60">
        <f xml:space="preserve"> IFERROR( PPMT( $F$56, 1, Time!CM$32, Cashflow!CM$44 ), 0 ) * - 1</f>
        <v>198277.69660724665</v>
      </c>
      <c r="CN60">
        <f xml:space="preserve"> IFERROR( PPMT( $F$56, 1, Time!CN$32, Cashflow!CN$44 ), 0 ) * - 1</f>
        <v>200756.16781483724</v>
      </c>
      <c r="CO60">
        <f xml:space="preserve"> IFERROR( PPMT( $F$56, 1, Time!CO$32, Cashflow!CO$44 ), 0 ) * - 1</f>
        <v>203265.6199125227</v>
      </c>
      <c r="CP60">
        <f xml:space="preserve"> IFERROR( PPMT( $F$56, 1, Time!CP$32, Cashflow!CP$44 ), 0 ) * - 1</f>
        <v>205806.44016142923</v>
      </c>
      <c r="CQ60">
        <f xml:space="preserve"> IFERROR( PPMT( $F$56, 1, Time!CQ$32, Cashflow!CQ$44 ), 0 ) * - 1</f>
        <v>208379.02066344707</v>
      </c>
      <c r="CR60">
        <f xml:space="preserve"> IFERROR( PPMT( $F$56, 1, Time!CR$32, Cashflow!CR$44 ), 0 ) * - 1</f>
        <v>210983.75842174015</v>
      </c>
      <c r="CS60">
        <f xml:space="preserve"> IFERROR( PPMT( $F$56, 1, Time!CS$32, Cashflow!CS$44 ), 0 ) * - 1</f>
        <v>213621.05540201196</v>
      </c>
      <c r="CT60">
        <f xml:space="preserve"> IFERROR( PPMT( $F$56, 1, Time!CT$32, Cashflow!CT$44 ), 0 ) * - 1</f>
        <v>216291.31859453704</v>
      </c>
      <c r="CU60">
        <f xml:space="preserve"> IFERROR( PPMT( $F$56, 1, Time!CU$32, Cashflow!CU$44 ), 0 ) * - 1</f>
        <v>218994.96007696871</v>
      </c>
      <c r="CV60">
        <f xml:space="preserve"> IFERROR( PPMT( $F$56, 1, Time!CV$32, Cashflow!CV$44 ), 0 ) * - 1</f>
        <v>221732.39707793086</v>
      </c>
      <c r="CW60">
        <f xml:space="preserve"> IFERROR( PPMT( $F$56, 1, Time!CW$32, Cashflow!CW$44 ), 0 ) * - 1</f>
        <v>224504.05204140503</v>
      </c>
      <c r="CX60">
        <f xml:space="preserve"> IFERROR( PPMT( $F$56, 1, Time!CX$32, Cashflow!CX$44 ), 0 ) * - 1</f>
        <v>227310.35269192257</v>
      </c>
      <c r="CY60">
        <f xml:space="preserve"> IFERROR( PPMT( $F$56, 1, Time!CY$32, Cashflow!CY$44 ), 0 ) * - 1</f>
        <v>230151.73210057162</v>
      </c>
      <c r="CZ60">
        <f xml:space="preserve"> IFERROR( PPMT( $F$56, 1, Time!CZ$32, Cashflow!CZ$44 ), 0 ) * - 1</f>
        <v>233028.62875182877</v>
      </c>
      <c r="DA60">
        <f xml:space="preserve"> IFERROR( PPMT( $F$56, 1, Time!DA$32, Cashflow!DA$44 ), 0 ) * - 1</f>
        <v>235941.48661122657</v>
      </c>
      <c r="DB60">
        <f xml:space="preserve"> IFERROR( PPMT( $F$56, 1, Time!DB$32, Cashflow!DB$44 ), 0 ) * - 1</f>
        <v>238890.75519386691</v>
      </c>
      <c r="DC60">
        <f xml:space="preserve"> IFERROR( PPMT( $F$56, 1, Time!DC$32, Cashflow!DC$44 ), 0 ) * - 1</f>
        <v>241876.88963379024</v>
      </c>
      <c r="DD60">
        <f xml:space="preserve"> IFERROR( PPMT( $F$56, 1, Time!DD$32, Cashflow!DD$44 ), 0 ) * - 1</f>
        <v>244900.35075421256</v>
      </c>
      <c r="DE60">
        <f xml:space="preserve"> IFERROR( PPMT( $F$56, 1, Time!DE$32, Cashflow!DE$44 ), 0 ) * - 1</f>
        <v>247961.60513864027</v>
      </c>
      <c r="DF60">
        <f xml:space="preserve"> IFERROR( PPMT( $F$56, 1, Time!DF$32, Cashflow!DF$44 ), 0 ) * - 1</f>
        <v>0</v>
      </c>
      <c r="DG60">
        <f xml:space="preserve"> IFERROR( PPMT( $F$56, 1, Time!DG$32, Cashflow!DG$44 ), 0 ) * - 1</f>
        <v>0</v>
      </c>
      <c r="DH60">
        <f xml:space="preserve"> IFERROR( PPMT( $F$56, 1, Time!DH$32, Cashflow!DH$44 ), 0 ) * - 1</f>
        <v>0</v>
      </c>
      <c r="DI60">
        <f xml:space="preserve"> IFERROR( PPMT( $F$56, 1, Time!DI$32, Cashflow!DI$44 ), 0 ) * - 1</f>
        <v>0</v>
      </c>
      <c r="DJ60">
        <f xml:space="preserve"> IFERROR( PPMT( $F$56, 1, Time!DJ$32, Cashflow!DJ$44 ), 0 ) * - 1</f>
        <v>0</v>
      </c>
      <c r="DK60">
        <f xml:space="preserve"> IFERROR( PPMT( $F$56, 1, Time!DK$32, Cashflow!DK$44 ), 0 ) * - 1</f>
        <v>0</v>
      </c>
      <c r="DL60">
        <f xml:space="preserve"> IFERROR( PPMT( $F$56, 1, Time!DL$32, Cashflow!DL$44 ), 0 ) * - 1</f>
        <v>0</v>
      </c>
      <c r="DM60">
        <f xml:space="preserve"> IFERROR( PPMT( $F$56, 1, Time!DM$32, Cashflow!DM$44 ), 0 ) * - 1</f>
        <v>0</v>
      </c>
      <c r="DN60">
        <f xml:space="preserve"> IFERROR( PPMT( $F$56, 1, Time!DN$32, Cashflow!DN$44 ), 0 ) * - 1</f>
        <v>0</v>
      </c>
      <c r="DO60">
        <f xml:space="preserve"> IFERROR( PPMT( $F$56, 1, Time!DO$32, Cashflow!DO$44 ), 0 ) * - 1</f>
        <v>0</v>
      </c>
      <c r="DP60">
        <f xml:space="preserve"> IFERROR( PPMT( $F$56, 1, Time!DP$32, Cashflow!DP$44 ), 0 ) * - 1</f>
        <v>0</v>
      </c>
      <c r="DQ60">
        <f xml:space="preserve"> IFERROR( PPMT( $F$56, 1, Time!DQ$32, Cashflow!DQ$44 ), 0 ) * - 1</f>
        <v>0</v>
      </c>
      <c r="DR60">
        <f xml:space="preserve"> IFERROR( PPMT( $F$56, 1, Time!DR$32, Cashflow!DR$44 ), 0 ) * - 1</f>
        <v>0</v>
      </c>
      <c r="DS60">
        <f xml:space="preserve"> IFERROR( PPMT( $F$56, 1, Time!DS$32, Cashflow!DS$44 ), 0 ) * - 1</f>
        <v>0</v>
      </c>
      <c r="DT60">
        <f xml:space="preserve"> IFERROR( PPMT( $F$56, 1, Time!DT$32, Cashflow!DT$44 ), 0 ) * - 1</f>
        <v>0</v>
      </c>
      <c r="DU60">
        <f xml:space="preserve"> IFERROR( PPMT( $F$56, 1, Time!DU$32, Cashflow!DU$44 ), 0 ) * - 1</f>
        <v>0</v>
      </c>
      <c r="DV60">
        <f xml:space="preserve"> IFERROR( PPMT( $F$56, 1, Time!DV$32, Cashflow!DV$44 ), 0 ) * - 1</f>
        <v>0</v>
      </c>
      <c r="DW60">
        <f xml:space="preserve"> IFERROR( PPMT( $F$56, 1, Time!DW$32, Cashflow!DW$44 ), 0 ) * - 1</f>
        <v>0</v>
      </c>
      <c r="DX60">
        <f xml:space="preserve"> IFERROR( PPMT( $F$56, 1, Time!DX$32, Cashflow!DX$44 ), 0 ) * - 1</f>
        <v>0</v>
      </c>
      <c r="DY60">
        <f xml:space="preserve"> IFERROR( PPMT( $F$56, 1, Time!DY$32, Cashflow!DY$44 ), 0 ) * - 1</f>
        <v>0</v>
      </c>
    </row>
    <row r="62" spans="3:129">
      <c r="C62" s="76" t="s">
        <v>197</v>
      </c>
    </row>
    <row r="63" spans="3:129">
      <c r="E63" t="str">
        <f>E$57</f>
        <v>Senior Facility interest expenses</v>
      </c>
      <c r="G63" t="str">
        <f t="shared" ref="G63:BQ63" si="56">G$57</f>
        <v>USD</v>
      </c>
      <c r="H63" s="90" cm="1">
        <f t="array" ref="H63">_xlfn.BYROW( J63:DY63, _xleta.SUM )</f>
        <v>8509627.8226838596</v>
      </c>
      <c r="I63">
        <f t="shared" si="56"/>
        <v>0</v>
      </c>
      <c r="J63">
        <f t="shared" si="56"/>
        <v>125000</v>
      </c>
      <c r="K63">
        <f t="shared" si="56"/>
        <v>124365.71515447486</v>
      </c>
      <c r="L63">
        <f t="shared" si="56"/>
        <v>123723.50174838066</v>
      </c>
      <c r="M63">
        <f t="shared" si="56"/>
        <v>123073.26067471027</v>
      </c>
      <c r="N63">
        <f t="shared" si="56"/>
        <v>122414.891587619</v>
      </c>
      <c r="O63">
        <f t="shared" si="56"/>
        <v>121748.29288693909</v>
      </c>
      <c r="P63">
        <f t="shared" si="56"/>
        <v>121073.36170250068</v>
      </c>
      <c r="Q63">
        <f t="shared" si="56"/>
        <v>120389.99387825679</v>
      </c>
      <c r="R63">
        <f t="shared" si="56"/>
        <v>119698.08395620986</v>
      </c>
      <c r="S63">
        <f t="shared" si="56"/>
        <v>118997.52516013733</v>
      </c>
      <c r="T63">
        <f t="shared" si="56"/>
        <v>118288.20937911392</v>
      </c>
      <c r="U63">
        <f t="shared" si="56"/>
        <v>117570.02715082769</v>
      </c>
      <c r="V63">
        <f t="shared" si="56"/>
        <v>116842.86764468791</v>
      </c>
      <c r="W63">
        <f t="shared" si="56"/>
        <v>116106.61864472137</v>
      </c>
      <c r="X63">
        <f t="shared" si="56"/>
        <v>115361.16653225524</v>
      </c>
      <c r="Y63">
        <f t="shared" si="56"/>
        <v>114606.39626838331</v>
      </c>
      <c r="Z63">
        <f t="shared" si="56"/>
        <v>113842.19137621294</v>
      </c>
      <c r="AA63">
        <f t="shared" si="56"/>
        <v>113068.43392289046</v>
      </c>
      <c r="AB63">
        <f t="shared" si="56"/>
        <v>112285.00450140145</v>
      </c>
      <c r="AC63">
        <f t="shared" si="56"/>
        <v>111491.78221214382</v>
      </c>
      <c r="AD63">
        <f t="shared" si="56"/>
        <v>120176.24275663645</v>
      </c>
      <c r="AE63">
        <f t="shared" si="56"/>
        <v>119293.36510166711</v>
      </c>
      <c r="AF63">
        <f t="shared" si="56"/>
        <v>118399.45147601064</v>
      </c>
      <c r="AG63">
        <f t="shared" si="56"/>
        <v>117494.36393003348</v>
      </c>
      <c r="AH63">
        <f t="shared" si="56"/>
        <v>116577.96278973159</v>
      </c>
      <c r="AI63">
        <f t="shared" si="56"/>
        <v>115650.10663517595</v>
      </c>
      <c r="AJ63">
        <f t="shared" si="56"/>
        <v>114710.65227868834</v>
      </c>
      <c r="AK63">
        <f t="shared" si="56"/>
        <v>113759.45474274467</v>
      </c>
      <c r="AL63">
        <f t="shared" si="56"/>
        <v>112796.36723760166</v>
      </c>
      <c r="AM63">
        <f t="shared" si="56"/>
        <v>111821.24113864439</v>
      </c>
      <c r="AN63">
        <f t="shared" si="56"/>
        <v>110833.92596345014</v>
      </c>
      <c r="AO63">
        <f t="shared" si="56"/>
        <v>109834.26934856595</v>
      </c>
      <c r="AP63">
        <f t="shared" si="56"/>
        <v>108822.11702599574</v>
      </c>
      <c r="AQ63">
        <f t="shared" si="56"/>
        <v>107797.31279939339</v>
      </c>
      <c r="AR63">
        <f t="shared" si="56"/>
        <v>106759.69851995852</v>
      </c>
      <c r="AS63">
        <f t="shared" si="56"/>
        <v>105709.11406203068</v>
      </c>
      <c r="AT63">
        <f t="shared" si="56"/>
        <v>104645.39729837877</v>
      </c>
      <c r="AU63">
        <f t="shared" si="56"/>
        <v>103568.38407518119</v>
      </c>
      <c r="AV63">
        <f t="shared" si="56"/>
        <v>102477.90818669366</v>
      </c>
      <c r="AW63">
        <f t="shared" si="56"/>
        <v>101373.80134960003</v>
      </c>
      <c r="AX63">
        <f t="shared" si="56"/>
        <v>109110.30218047449</v>
      </c>
      <c r="AY63">
        <f t="shared" si="56"/>
        <v>107878.45449715546</v>
      </c>
      <c r="AZ63">
        <f t="shared" si="56"/>
        <v>106631.20871779493</v>
      </c>
      <c r="BA63">
        <f t="shared" si="56"/>
        <v>105368.3723661924</v>
      </c>
      <c r="BB63">
        <f t="shared" si="56"/>
        <v>104089.75056019485</v>
      </c>
      <c r="BC63">
        <f t="shared" si="56"/>
        <v>102795.14598162234</v>
      </c>
      <c r="BD63">
        <f t="shared" si="56"/>
        <v>101484.35884581764</v>
      </c>
      <c r="BE63">
        <f t="shared" si="56"/>
        <v>100157.18687081541</v>
      </c>
      <c r="BF63">
        <f t="shared" si="56"/>
        <v>98813.425246125626</v>
      </c>
      <c r="BG63">
        <f t="shared" si="56"/>
        <v>97452.866601127243</v>
      </c>
      <c r="BH63">
        <f t="shared" si="56"/>
        <v>96075.300973066362</v>
      </c>
      <c r="BI63">
        <f t="shared" si="56"/>
        <v>94680.515774654734</v>
      </c>
      <c r="BJ63">
        <f t="shared" si="56"/>
        <v>93268.295761262954</v>
      </c>
      <c r="BK63">
        <f t="shared" si="56"/>
        <v>91838.422997703776</v>
      </c>
      <c r="BL63">
        <f t="shared" si="56"/>
        <v>90390.676824600116</v>
      </c>
      <c r="BM63">
        <f t="shared" si="56"/>
        <v>88924.833824332658</v>
      </c>
      <c r="BN63">
        <f t="shared" si="56"/>
        <v>87440.667786561855</v>
      </c>
      <c r="BO63">
        <f t="shared" si="56"/>
        <v>85937.949673318915</v>
      </c>
      <c r="BP63">
        <f t="shared" si="56"/>
        <v>84416.44758366044</v>
      </c>
      <c r="BQ63">
        <f t="shared" si="56"/>
        <v>82875.92671788123</v>
      </c>
      <c r="BR63">
        <f t="shared" ref="BR63:DY63" si="57">BR$57</f>
        <v>86455.386995429726</v>
      </c>
      <c r="BS63">
        <f t="shared" si="57"/>
        <v>84776.30113996494</v>
      </c>
      <c r="BT63">
        <f t="shared" si="57"/>
        <v>83076.226711306866</v>
      </c>
      <c r="BU63">
        <f t="shared" si="57"/>
        <v>81354.901352290544</v>
      </c>
      <c r="BV63">
        <f t="shared" si="57"/>
        <v>79612.059426286549</v>
      </c>
      <c r="BW63">
        <f t="shared" si="57"/>
        <v>77847.431976207474</v>
      </c>
      <c r="BX63">
        <f t="shared" si="57"/>
        <v>76060.74668300242</v>
      </c>
      <c r="BY63">
        <f t="shared" si="57"/>
        <v>74251.727823632289</v>
      </c>
      <c r="BZ63">
        <f t="shared" si="57"/>
        <v>72420.096228520051</v>
      </c>
      <c r="CA63">
        <f t="shared" si="57"/>
        <v>70565.569238468917</v>
      </c>
      <c r="CB63">
        <f t="shared" si="57"/>
        <v>68687.860661042112</v>
      </c>
      <c r="CC63">
        <f t="shared" si="57"/>
        <v>66786.680726397492</v>
      </c>
      <c r="CD63">
        <f t="shared" si="57"/>
        <v>64861.736042569813</v>
      </c>
      <c r="CE63">
        <f t="shared" si="57"/>
        <v>62912.729550194286</v>
      </c>
      <c r="CF63">
        <f t="shared" si="57"/>
        <v>60939.360476664086</v>
      </c>
      <c r="CG63">
        <f t="shared" si="57"/>
        <v>58941.324289714721</v>
      </c>
      <c r="CH63">
        <f t="shared" si="57"/>
        <v>56918.312650428503</v>
      </c>
      <c r="CI63">
        <f t="shared" si="57"/>
        <v>54870.013365651219</v>
      </c>
      <c r="CJ63">
        <f t="shared" si="57"/>
        <v>52796.110339814208</v>
      </c>
      <c r="CK63">
        <f t="shared" si="57"/>
        <v>50696.283526154235</v>
      </c>
      <c r="CL63">
        <f t="shared" si="57"/>
        <v>55231.301393247035</v>
      </c>
      <c r="CM63">
        <f t="shared" si="57"/>
        <v>52783.428595626705</v>
      </c>
      <c r="CN63">
        <f t="shared" si="57"/>
        <v>50304.95738803612</v>
      </c>
      <c r="CO63">
        <f t="shared" si="57"/>
        <v>47795.505290350658</v>
      </c>
      <c r="CP63">
        <f t="shared" si="57"/>
        <v>45254.685041444121</v>
      </c>
      <c r="CQ63">
        <f t="shared" si="57"/>
        <v>42682.104539426255</v>
      </c>
      <c r="CR63">
        <f t="shared" si="57"/>
        <v>40077.366781133169</v>
      </c>
      <c r="CS63">
        <f t="shared" si="57"/>
        <v>37440.069800861413</v>
      </c>
      <c r="CT63">
        <f t="shared" si="57"/>
        <v>34769.806608336265</v>
      </c>
      <c r="CU63">
        <f t="shared" si="57"/>
        <v>32066.165125904547</v>
      </c>
      <c r="CV63">
        <f t="shared" si="57"/>
        <v>29328.728124942441</v>
      </c>
      <c r="CW63">
        <f t="shared" si="57"/>
        <v>26557.073161468306</v>
      </c>
      <c r="CX63">
        <f t="shared" si="57"/>
        <v>23750.772510950745</v>
      </c>
      <c r="CY63">
        <f t="shared" si="57"/>
        <v>20909.39310230171</v>
      </c>
      <c r="CZ63">
        <f t="shared" si="57"/>
        <v>18032.496451044568</v>
      </c>
      <c r="DA63">
        <f t="shared" si="57"/>
        <v>15119.638591646706</v>
      </c>
      <c r="DB63">
        <f t="shared" si="57"/>
        <v>12170.370009006374</v>
      </c>
      <c r="DC63">
        <f t="shared" si="57"/>
        <v>9184.2355690830373</v>
      </c>
      <c r="DD63">
        <f t="shared" si="57"/>
        <v>6160.7744486606598</v>
      </c>
      <c r="DE63">
        <f t="shared" si="57"/>
        <v>3099.5200642330028</v>
      </c>
      <c r="DF63">
        <f t="shared" si="57"/>
        <v>0</v>
      </c>
      <c r="DG63">
        <f t="shared" si="57"/>
        <v>0</v>
      </c>
      <c r="DH63">
        <f t="shared" si="57"/>
        <v>0</v>
      </c>
      <c r="DI63">
        <f t="shared" si="57"/>
        <v>0</v>
      </c>
      <c r="DJ63">
        <f t="shared" si="57"/>
        <v>0</v>
      </c>
      <c r="DK63">
        <f t="shared" si="57"/>
        <v>0</v>
      </c>
      <c r="DL63">
        <f t="shared" si="57"/>
        <v>0</v>
      </c>
      <c r="DM63">
        <f t="shared" si="57"/>
        <v>0</v>
      </c>
      <c r="DN63">
        <f t="shared" si="57"/>
        <v>0</v>
      </c>
      <c r="DO63">
        <f t="shared" si="57"/>
        <v>0</v>
      </c>
      <c r="DP63">
        <f t="shared" si="57"/>
        <v>0</v>
      </c>
      <c r="DQ63">
        <f t="shared" si="57"/>
        <v>0</v>
      </c>
      <c r="DR63">
        <f t="shared" si="57"/>
        <v>0</v>
      </c>
      <c r="DS63">
        <f t="shared" si="57"/>
        <v>0</v>
      </c>
      <c r="DT63">
        <f t="shared" si="57"/>
        <v>0</v>
      </c>
      <c r="DU63">
        <f t="shared" si="57"/>
        <v>0</v>
      </c>
      <c r="DV63">
        <f t="shared" si="57"/>
        <v>0</v>
      </c>
      <c r="DW63">
        <f t="shared" si="57"/>
        <v>0</v>
      </c>
      <c r="DX63">
        <f t="shared" si="57"/>
        <v>0</v>
      </c>
      <c r="DY63">
        <f t="shared" si="57"/>
        <v>0</v>
      </c>
    </row>
    <row r="64" spans="3:129">
      <c r="E64" t="str">
        <f>E$60</f>
        <v>Senior Facility scheduled principal repayment</v>
      </c>
      <c r="G64" t="str">
        <f t="shared" ref="G64:BQ64" si="58">G$60</f>
        <v>USD</v>
      </c>
      <c r="H64" s="90" cm="1">
        <f t="array" ref="H64">_xlfn.BYROW( J64:DY64, _xleta.SUM )</f>
        <v>12411386.982869696</v>
      </c>
      <c r="I64">
        <f t="shared" si="58"/>
        <v>0</v>
      </c>
      <c r="J64">
        <f t="shared" si="58"/>
        <v>50742.787642011492</v>
      </c>
      <c r="K64">
        <f t="shared" si="58"/>
        <v>51377.072487536629</v>
      </c>
      <c r="L64">
        <f t="shared" si="58"/>
        <v>52019.285893630826</v>
      </c>
      <c r="M64">
        <f t="shared" si="58"/>
        <v>52669.526967301208</v>
      </c>
      <c r="N64">
        <f t="shared" si="58"/>
        <v>53327.896054392484</v>
      </c>
      <c r="O64">
        <f t="shared" si="58"/>
        <v>53994.494755072381</v>
      </c>
      <c r="P64">
        <f t="shared" si="58"/>
        <v>54669.425939510787</v>
      </c>
      <c r="Q64">
        <f t="shared" si="58"/>
        <v>55352.793763754657</v>
      </c>
      <c r="R64">
        <f t="shared" si="58"/>
        <v>56044.703685801622</v>
      </c>
      <c r="S64">
        <f t="shared" si="58"/>
        <v>56745.262481874117</v>
      </c>
      <c r="T64">
        <f t="shared" si="58"/>
        <v>57454.57826289755</v>
      </c>
      <c r="U64">
        <f t="shared" si="58"/>
        <v>58172.760491183777</v>
      </c>
      <c r="V64">
        <f t="shared" si="58"/>
        <v>58899.919997323588</v>
      </c>
      <c r="W64">
        <f t="shared" si="58"/>
        <v>59636.168997290115</v>
      </c>
      <c r="X64">
        <f t="shared" si="58"/>
        <v>60381.621109756248</v>
      </c>
      <c r="Y64">
        <f t="shared" si="58"/>
        <v>61136.391373628227</v>
      </c>
      <c r="Z64">
        <f t="shared" si="58"/>
        <v>61900.596265798551</v>
      </c>
      <c r="AA64">
        <f t="shared" si="58"/>
        <v>62674.353719121049</v>
      </c>
      <c r="AB64">
        <f t="shared" si="58"/>
        <v>63457.783140610045</v>
      </c>
      <c r="AC64">
        <f t="shared" si="58"/>
        <v>64251.005429867684</v>
      </c>
      <c r="AD64">
        <f t="shared" si="58"/>
        <v>70630.212397547351</v>
      </c>
      <c r="AE64">
        <f t="shared" si="58"/>
        <v>71513.09005251668</v>
      </c>
      <c r="AF64">
        <f t="shared" si="58"/>
        <v>72407.003678173147</v>
      </c>
      <c r="AG64">
        <f t="shared" si="58"/>
        <v>73312.091224150325</v>
      </c>
      <c r="AH64">
        <f t="shared" si="58"/>
        <v>74228.492364452191</v>
      </c>
      <c r="AI64">
        <f t="shared" si="58"/>
        <v>75156.348519007835</v>
      </c>
      <c r="AJ64">
        <f t="shared" si="58"/>
        <v>76095.802875495458</v>
      </c>
      <c r="AK64">
        <f t="shared" si="58"/>
        <v>77047.000411439149</v>
      </c>
      <c r="AL64">
        <f t="shared" si="58"/>
        <v>78010.087916582124</v>
      </c>
      <c r="AM64">
        <f t="shared" si="58"/>
        <v>78985.214015539401</v>
      </c>
      <c r="AN64">
        <f t="shared" si="58"/>
        <v>79972.529190733636</v>
      </c>
      <c r="AO64">
        <f t="shared" si="58"/>
        <v>80972.185805617817</v>
      </c>
      <c r="AP64">
        <f t="shared" si="58"/>
        <v>81984.338128188028</v>
      </c>
      <c r="AQ64">
        <f t="shared" si="58"/>
        <v>83009.142354790369</v>
      </c>
      <c r="AR64">
        <f t="shared" si="58"/>
        <v>84046.756634225254</v>
      </c>
      <c r="AS64">
        <f t="shared" si="58"/>
        <v>85097.341092153074</v>
      </c>
      <c r="AT64">
        <f t="shared" si="58"/>
        <v>86161.057855804989</v>
      </c>
      <c r="AU64">
        <f t="shared" si="58"/>
        <v>87238.071079002519</v>
      </c>
      <c r="AV64">
        <f t="shared" si="58"/>
        <v>88328.546967490038</v>
      </c>
      <c r="AW64">
        <f t="shared" si="58"/>
        <v>89432.653804583664</v>
      </c>
      <c r="AX64">
        <f t="shared" si="58"/>
        <v>98547.814665522557</v>
      </c>
      <c r="AY64">
        <f t="shared" si="58"/>
        <v>99779.662348841579</v>
      </c>
      <c r="AZ64">
        <f t="shared" si="58"/>
        <v>101026.90812820211</v>
      </c>
      <c r="BA64">
        <f t="shared" si="58"/>
        <v>102289.74447980459</v>
      </c>
      <c r="BB64">
        <f t="shared" si="58"/>
        <v>103568.36628580217</v>
      </c>
      <c r="BC64">
        <f t="shared" si="58"/>
        <v>104862.97086437471</v>
      </c>
      <c r="BD64">
        <f t="shared" si="58"/>
        <v>106173.75800017941</v>
      </c>
      <c r="BE64">
        <f t="shared" si="58"/>
        <v>107500.92997518166</v>
      </c>
      <c r="BF64">
        <f t="shared" si="58"/>
        <v>108844.69159987141</v>
      </c>
      <c r="BG64">
        <f t="shared" si="58"/>
        <v>110205.25024486981</v>
      </c>
      <c r="BH64">
        <f t="shared" si="58"/>
        <v>111582.81587293069</v>
      </c>
      <c r="BI64">
        <f t="shared" si="58"/>
        <v>112977.60107134232</v>
      </c>
      <c r="BJ64">
        <f t="shared" si="58"/>
        <v>114389.82108473411</v>
      </c>
      <c r="BK64">
        <f t="shared" si="58"/>
        <v>115819.69384829327</v>
      </c>
      <c r="BL64">
        <f t="shared" si="58"/>
        <v>117267.44002139695</v>
      </c>
      <c r="BM64">
        <f t="shared" si="58"/>
        <v>118733.28302166439</v>
      </c>
      <c r="BN64">
        <f t="shared" si="58"/>
        <v>120217.44905943522</v>
      </c>
      <c r="BO64">
        <f t="shared" si="58"/>
        <v>121720.16717267815</v>
      </c>
      <c r="BP64">
        <f t="shared" si="58"/>
        <v>123241.66926233664</v>
      </c>
      <c r="BQ64">
        <f t="shared" si="58"/>
        <v>124782.19012811582</v>
      </c>
      <c r="BR64">
        <f t="shared" ref="BR64:DY64" si="59">BR$60</f>
        <v>134326.86843718207</v>
      </c>
      <c r="BS64">
        <f t="shared" si="59"/>
        <v>136005.95429264681</v>
      </c>
      <c r="BT64">
        <f t="shared" si="59"/>
        <v>137706.02872130493</v>
      </c>
      <c r="BU64">
        <f t="shared" si="59"/>
        <v>139427.35408032127</v>
      </c>
      <c r="BV64">
        <f t="shared" si="59"/>
        <v>141170.19600632528</v>
      </c>
      <c r="BW64">
        <f t="shared" si="59"/>
        <v>142934.82345640435</v>
      </c>
      <c r="BX64">
        <f t="shared" si="59"/>
        <v>144721.50874960941</v>
      </c>
      <c r="BY64">
        <f t="shared" si="59"/>
        <v>146530.52760897949</v>
      </c>
      <c r="BZ64">
        <f t="shared" si="59"/>
        <v>148362.15920409173</v>
      </c>
      <c r="CA64">
        <f t="shared" si="59"/>
        <v>150216.68619414288</v>
      </c>
      <c r="CB64">
        <f t="shared" si="59"/>
        <v>152094.39477156964</v>
      </c>
      <c r="CC64">
        <f t="shared" si="59"/>
        <v>153995.57470621428</v>
      </c>
      <c r="CD64">
        <f t="shared" si="59"/>
        <v>155920.51939004194</v>
      </c>
      <c r="CE64">
        <f t="shared" si="59"/>
        <v>157869.52588241748</v>
      </c>
      <c r="CF64">
        <f t="shared" si="59"/>
        <v>159842.89495594773</v>
      </c>
      <c r="CG64">
        <f t="shared" si="59"/>
        <v>161840.93114289702</v>
      </c>
      <c r="CH64">
        <f t="shared" si="59"/>
        <v>163863.94278218327</v>
      </c>
      <c r="CI64">
        <f t="shared" si="59"/>
        <v>165912.24206696055</v>
      </c>
      <c r="CJ64">
        <f t="shared" si="59"/>
        <v>167986.14509279755</v>
      </c>
      <c r="CK64">
        <f t="shared" si="59"/>
        <v>170085.97190645747</v>
      </c>
      <c r="CL64">
        <f t="shared" si="59"/>
        <v>195829.8238096264</v>
      </c>
      <c r="CM64">
        <f t="shared" si="59"/>
        <v>198277.69660724665</v>
      </c>
      <c r="CN64">
        <f t="shared" si="59"/>
        <v>200756.16781483724</v>
      </c>
      <c r="CO64">
        <f t="shared" si="59"/>
        <v>203265.6199125227</v>
      </c>
      <c r="CP64">
        <f t="shared" si="59"/>
        <v>205806.44016142923</v>
      </c>
      <c r="CQ64">
        <f t="shared" si="59"/>
        <v>208379.02066344707</v>
      </c>
      <c r="CR64">
        <f t="shared" si="59"/>
        <v>210983.75842174015</v>
      </c>
      <c r="CS64">
        <f t="shared" si="59"/>
        <v>213621.05540201196</v>
      </c>
      <c r="CT64">
        <f t="shared" si="59"/>
        <v>216291.31859453704</v>
      </c>
      <c r="CU64">
        <f t="shared" si="59"/>
        <v>218994.96007696871</v>
      </c>
      <c r="CV64">
        <f t="shared" si="59"/>
        <v>221732.39707793086</v>
      </c>
      <c r="CW64">
        <f t="shared" si="59"/>
        <v>224504.05204140503</v>
      </c>
      <c r="CX64">
        <f t="shared" si="59"/>
        <v>227310.35269192257</v>
      </c>
      <c r="CY64">
        <f t="shared" si="59"/>
        <v>230151.73210057162</v>
      </c>
      <c r="CZ64">
        <f t="shared" si="59"/>
        <v>233028.62875182877</v>
      </c>
      <c r="DA64">
        <f t="shared" si="59"/>
        <v>235941.48661122657</v>
      </c>
      <c r="DB64">
        <f t="shared" si="59"/>
        <v>238890.75519386691</v>
      </c>
      <c r="DC64">
        <f t="shared" si="59"/>
        <v>241876.88963379024</v>
      </c>
      <c r="DD64">
        <f t="shared" si="59"/>
        <v>244900.35075421256</v>
      </c>
      <c r="DE64">
        <f t="shared" si="59"/>
        <v>247961.60513864027</v>
      </c>
      <c r="DF64">
        <f t="shared" si="59"/>
        <v>0</v>
      </c>
      <c r="DG64">
        <f t="shared" si="59"/>
        <v>0</v>
      </c>
      <c r="DH64">
        <f t="shared" si="59"/>
        <v>0</v>
      </c>
      <c r="DI64">
        <f t="shared" si="59"/>
        <v>0</v>
      </c>
      <c r="DJ64">
        <f t="shared" si="59"/>
        <v>0</v>
      </c>
      <c r="DK64">
        <f t="shared" si="59"/>
        <v>0</v>
      </c>
      <c r="DL64">
        <f t="shared" si="59"/>
        <v>0</v>
      </c>
      <c r="DM64">
        <f t="shared" si="59"/>
        <v>0</v>
      </c>
      <c r="DN64">
        <f t="shared" si="59"/>
        <v>0</v>
      </c>
      <c r="DO64">
        <f t="shared" si="59"/>
        <v>0</v>
      </c>
      <c r="DP64">
        <f t="shared" si="59"/>
        <v>0</v>
      </c>
      <c r="DQ64">
        <f t="shared" si="59"/>
        <v>0</v>
      </c>
      <c r="DR64">
        <f t="shared" si="59"/>
        <v>0</v>
      </c>
      <c r="DS64">
        <f t="shared" si="59"/>
        <v>0</v>
      </c>
      <c r="DT64">
        <f t="shared" si="59"/>
        <v>0</v>
      </c>
      <c r="DU64">
        <f t="shared" si="59"/>
        <v>0</v>
      </c>
      <c r="DV64">
        <f t="shared" si="59"/>
        <v>0</v>
      </c>
      <c r="DW64">
        <f t="shared" si="59"/>
        <v>0</v>
      </c>
      <c r="DX64">
        <f t="shared" si="59"/>
        <v>0</v>
      </c>
      <c r="DY64">
        <f t="shared" si="59"/>
        <v>0</v>
      </c>
    </row>
    <row r="65" spans="1:129">
      <c r="E65" s="80" t="s">
        <v>197</v>
      </c>
      <c r="F65" s="80"/>
      <c r="G65" s="80" t="s">
        <v>146</v>
      </c>
      <c r="H65" s="80"/>
      <c r="I65" s="80"/>
      <c r="J65" s="80">
        <f>SUM(J63:J64)</f>
        <v>175742.78764201148</v>
      </c>
      <c r="K65" s="80">
        <f t="shared" ref="K65:BV65" si="60">SUM(K63:K64)</f>
        <v>175742.78764201148</v>
      </c>
      <c r="L65" s="80">
        <f t="shared" si="60"/>
        <v>175742.78764201148</v>
      </c>
      <c r="M65" s="80">
        <f t="shared" si="60"/>
        <v>175742.78764201148</v>
      </c>
      <c r="N65" s="80">
        <f t="shared" si="60"/>
        <v>175742.78764201148</v>
      </c>
      <c r="O65" s="80">
        <f t="shared" si="60"/>
        <v>175742.78764201148</v>
      </c>
      <c r="P65" s="80">
        <f t="shared" si="60"/>
        <v>175742.78764201148</v>
      </c>
      <c r="Q65" s="80">
        <f t="shared" si="60"/>
        <v>175742.78764201145</v>
      </c>
      <c r="R65" s="80">
        <f t="shared" si="60"/>
        <v>175742.78764201148</v>
      </c>
      <c r="S65" s="80">
        <f t="shared" si="60"/>
        <v>175742.78764201145</v>
      </c>
      <c r="T65" s="80">
        <f t="shared" si="60"/>
        <v>175742.78764201148</v>
      </c>
      <c r="U65" s="80">
        <f t="shared" si="60"/>
        <v>175742.78764201148</v>
      </c>
      <c r="V65" s="80">
        <f t="shared" si="60"/>
        <v>175742.78764201151</v>
      </c>
      <c r="W65" s="80">
        <f t="shared" si="60"/>
        <v>175742.78764201148</v>
      </c>
      <c r="X65" s="80">
        <f t="shared" si="60"/>
        <v>175742.78764201148</v>
      </c>
      <c r="Y65" s="80">
        <f t="shared" si="60"/>
        <v>175742.78764201154</v>
      </c>
      <c r="Z65" s="80">
        <f t="shared" si="60"/>
        <v>175742.78764201148</v>
      </c>
      <c r="AA65" s="80">
        <f t="shared" si="60"/>
        <v>175742.78764201151</v>
      </c>
      <c r="AB65" s="80">
        <f t="shared" si="60"/>
        <v>175742.78764201148</v>
      </c>
      <c r="AC65" s="80">
        <f t="shared" si="60"/>
        <v>175742.78764201151</v>
      </c>
      <c r="AD65" s="80">
        <f t="shared" si="60"/>
        <v>190806.45515418379</v>
      </c>
      <c r="AE65" s="80">
        <f t="shared" si="60"/>
        <v>190806.45515418379</v>
      </c>
      <c r="AF65" s="80">
        <f t="shared" si="60"/>
        <v>190806.45515418379</v>
      </c>
      <c r="AG65" s="80">
        <f t="shared" si="60"/>
        <v>190806.45515418379</v>
      </c>
      <c r="AH65" s="80">
        <f t="shared" si="60"/>
        <v>190806.45515418379</v>
      </c>
      <c r="AI65" s="80">
        <f t="shared" si="60"/>
        <v>190806.45515418379</v>
      </c>
      <c r="AJ65" s="80">
        <f t="shared" si="60"/>
        <v>190806.45515418379</v>
      </c>
      <c r="AK65" s="80">
        <f t="shared" si="60"/>
        <v>190806.45515418382</v>
      </c>
      <c r="AL65" s="80">
        <f t="shared" si="60"/>
        <v>190806.45515418379</v>
      </c>
      <c r="AM65" s="80">
        <f t="shared" si="60"/>
        <v>190806.45515418379</v>
      </c>
      <c r="AN65" s="80">
        <f t="shared" si="60"/>
        <v>190806.45515418379</v>
      </c>
      <c r="AO65" s="80">
        <f t="shared" si="60"/>
        <v>190806.45515418379</v>
      </c>
      <c r="AP65" s="80">
        <f t="shared" si="60"/>
        <v>190806.45515418379</v>
      </c>
      <c r="AQ65" s="80">
        <f t="shared" si="60"/>
        <v>190806.45515418376</v>
      </c>
      <c r="AR65" s="80">
        <f t="shared" si="60"/>
        <v>190806.45515418379</v>
      </c>
      <c r="AS65" s="80">
        <f t="shared" si="60"/>
        <v>190806.45515418376</v>
      </c>
      <c r="AT65" s="80">
        <f t="shared" si="60"/>
        <v>190806.45515418376</v>
      </c>
      <c r="AU65" s="80">
        <f t="shared" si="60"/>
        <v>190806.45515418373</v>
      </c>
      <c r="AV65" s="80">
        <f t="shared" si="60"/>
        <v>190806.4551541837</v>
      </c>
      <c r="AW65" s="80">
        <f t="shared" si="60"/>
        <v>190806.4551541837</v>
      </c>
      <c r="AX65" s="80">
        <f t="shared" si="60"/>
        <v>207658.11684599705</v>
      </c>
      <c r="AY65" s="80">
        <f t="shared" si="60"/>
        <v>207658.11684599705</v>
      </c>
      <c r="AZ65" s="80">
        <f t="shared" si="60"/>
        <v>207658.11684599705</v>
      </c>
      <c r="BA65" s="80">
        <f t="shared" si="60"/>
        <v>207658.11684599699</v>
      </c>
      <c r="BB65" s="80">
        <f t="shared" si="60"/>
        <v>207658.11684599702</v>
      </c>
      <c r="BC65" s="80">
        <f t="shared" si="60"/>
        <v>207658.11684599705</v>
      </c>
      <c r="BD65" s="80">
        <f t="shared" si="60"/>
        <v>207658.11684599705</v>
      </c>
      <c r="BE65" s="80">
        <f t="shared" si="60"/>
        <v>207658.11684599705</v>
      </c>
      <c r="BF65" s="80">
        <f t="shared" si="60"/>
        <v>207658.11684599705</v>
      </c>
      <c r="BG65" s="80">
        <f t="shared" si="60"/>
        <v>207658.11684599705</v>
      </c>
      <c r="BH65" s="80">
        <f t="shared" si="60"/>
        <v>207658.11684599705</v>
      </c>
      <c r="BI65" s="80">
        <f t="shared" si="60"/>
        <v>207658.11684599705</v>
      </c>
      <c r="BJ65" s="80">
        <f t="shared" si="60"/>
        <v>207658.11684599705</v>
      </c>
      <c r="BK65" s="80">
        <f t="shared" si="60"/>
        <v>207658.11684599705</v>
      </c>
      <c r="BL65" s="80">
        <f t="shared" si="60"/>
        <v>207658.11684599705</v>
      </c>
      <c r="BM65" s="80">
        <f t="shared" si="60"/>
        <v>207658.11684599705</v>
      </c>
      <c r="BN65" s="80">
        <f t="shared" si="60"/>
        <v>207658.11684599708</v>
      </c>
      <c r="BO65" s="80">
        <f t="shared" si="60"/>
        <v>207658.11684599705</v>
      </c>
      <c r="BP65" s="80">
        <f t="shared" si="60"/>
        <v>207658.11684599708</v>
      </c>
      <c r="BQ65" s="80">
        <f t="shared" si="60"/>
        <v>207658.11684599705</v>
      </c>
      <c r="BR65" s="80">
        <f t="shared" si="60"/>
        <v>220782.2554326118</v>
      </c>
      <c r="BS65" s="80">
        <f t="shared" si="60"/>
        <v>220782.25543261174</v>
      </c>
      <c r="BT65" s="80">
        <f t="shared" si="60"/>
        <v>220782.2554326118</v>
      </c>
      <c r="BU65" s="80">
        <f t="shared" si="60"/>
        <v>220782.2554326118</v>
      </c>
      <c r="BV65" s="80">
        <f t="shared" si="60"/>
        <v>220782.25543261183</v>
      </c>
      <c r="BW65" s="80">
        <f t="shared" ref="BW65:DY65" si="61">SUM(BW63:BW64)</f>
        <v>220782.25543261183</v>
      </c>
      <c r="BX65" s="80">
        <f t="shared" si="61"/>
        <v>220782.25543261183</v>
      </c>
      <c r="BY65" s="80">
        <f t="shared" si="61"/>
        <v>220782.2554326118</v>
      </c>
      <c r="BZ65" s="80">
        <f t="shared" si="61"/>
        <v>220782.2554326118</v>
      </c>
      <c r="CA65" s="80">
        <f t="shared" si="61"/>
        <v>220782.2554326118</v>
      </c>
      <c r="CB65" s="80">
        <f t="shared" si="61"/>
        <v>220782.25543261174</v>
      </c>
      <c r="CC65" s="80">
        <f t="shared" si="61"/>
        <v>220782.25543261177</v>
      </c>
      <c r="CD65" s="80">
        <f t="shared" si="61"/>
        <v>220782.25543261174</v>
      </c>
      <c r="CE65" s="80">
        <f t="shared" si="61"/>
        <v>220782.25543261177</v>
      </c>
      <c r="CF65" s="80">
        <f t="shared" si="61"/>
        <v>220782.25543261183</v>
      </c>
      <c r="CG65" s="80">
        <f t="shared" si="61"/>
        <v>220782.25543261174</v>
      </c>
      <c r="CH65" s="80">
        <f t="shared" si="61"/>
        <v>220782.25543261177</v>
      </c>
      <c r="CI65" s="80">
        <f t="shared" si="61"/>
        <v>220782.25543261177</v>
      </c>
      <c r="CJ65" s="80">
        <f t="shared" si="61"/>
        <v>220782.25543261177</v>
      </c>
      <c r="CK65" s="80">
        <f t="shared" si="61"/>
        <v>220782.25543261171</v>
      </c>
      <c r="CL65" s="80">
        <f t="shared" si="61"/>
        <v>251061.12520287343</v>
      </c>
      <c r="CM65" s="80">
        <f t="shared" si="61"/>
        <v>251061.12520287334</v>
      </c>
      <c r="CN65" s="80">
        <f t="shared" si="61"/>
        <v>251061.12520287337</v>
      </c>
      <c r="CO65" s="80">
        <f t="shared" si="61"/>
        <v>251061.12520287337</v>
      </c>
      <c r="CP65" s="80">
        <f t="shared" si="61"/>
        <v>251061.12520287334</v>
      </c>
      <c r="CQ65" s="80">
        <f t="shared" si="61"/>
        <v>251061.12520287331</v>
      </c>
      <c r="CR65" s="80">
        <f t="shared" si="61"/>
        <v>251061.12520287331</v>
      </c>
      <c r="CS65" s="80">
        <f t="shared" si="61"/>
        <v>251061.12520287337</v>
      </c>
      <c r="CT65" s="80">
        <f t="shared" si="61"/>
        <v>251061.12520287331</v>
      </c>
      <c r="CU65" s="80">
        <f t="shared" si="61"/>
        <v>251061.12520287326</v>
      </c>
      <c r="CV65" s="80">
        <f t="shared" si="61"/>
        <v>251061.12520287331</v>
      </c>
      <c r="CW65" s="80">
        <f t="shared" si="61"/>
        <v>251061.12520287334</v>
      </c>
      <c r="CX65" s="80">
        <f t="shared" si="61"/>
        <v>251061.12520287331</v>
      </c>
      <c r="CY65" s="80">
        <f t="shared" si="61"/>
        <v>251061.12520287334</v>
      </c>
      <c r="CZ65" s="80">
        <f t="shared" si="61"/>
        <v>251061.12520287334</v>
      </c>
      <c r="DA65" s="80">
        <f t="shared" si="61"/>
        <v>251061.12520287329</v>
      </c>
      <c r="DB65" s="80">
        <f t="shared" si="61"/>
        <v>251061.12520287329</v>
      </c>
      <c r="DC65" s="80">
        <f t="shared" si="61"/>
        <v>251061.12520287329</v>
      </c>
      <c r="DD65" s="80">
        <f t="shared" si="61"/>
        <v>251061.12520287323</v>
      </c>
      <c r="DE65" s="80">
        <f t="shared" si="61"/>
        <v>251061.12520287329</v>
      </c>
      <c r="DF65" s="80">
        <f t="shared" si="61"/>
        <v>0</v>
      </c>
      <c r="DG65" s="80">
        <f t="shared" si="61"/>
        <v>0</v>
      </c>
      <c r="DH65" s="80">
        <f t="shared" si="61"/>
        <v>0</v>
      </c>
      <c r="DI65" s="80">
        <f t="shared" si="61"/>
        <v>0</v>
      </c>
      <c r="DJ65" s="80">
        <f t="shared" si="61"/>
        <v>0</v>
      </c>
      <c r="DK65" s="80">
        <f t="shared" si="61"/>
        <v>0</v>
      </c>
      <c r="DL65" s="80">
        <f t="shared" si="61"/>
        <v>0</v>
      </c>
      <c r="DM65" s="80">
        <f t="shared" si="61"/>
        <v>0</v>
      </c>
      <c r="DN65" s="80">
        <f t="shared" si="61"/>
        <v>0</v>
      </c>
      <c r="DO65" s="80">
        <f t="shared" si="61"/>
        <v>0</v>
      </c>
      <c r="DP65" s="80">
        <f t="shared" si="61"/>
        <v>0</v>
      </c>
      <c r="DQ65" s="80">
        <f t="shared" si="61"/>
        <v>0</v>
      </c>
      <c r="DR65" s="80">
        <f t="shared" si="61"/>
        <v>0</v>
      </c>
      <c r="DS65" s="80">
        <f t="shared" si="61"/>
        <v>0</v>
      </c>
      <c r="DT65" s="80">
        <f t="shared" si="61"/>
        <v>0</v>
      </c>
      <c r="DU65" s="80">
        <f t="shared" si="61"/>
        <v>0</v>
      </c>
      <c r="DV65" s="80">
        <f t="shared" si="61"/>
        <v>0</v>
      </c>
      <c r="DW65" s="80">
        <f t="shared" si="61"/>
        <v>0</v>
      </c>
      <c r="DX65" s="80">
        <f t="shared" si="61"/>
        <v>0</v>
      </c>
      <c r="DY65" s="80">
        <f t="shared" si="61"/>
        <v>0</v>
      </c>
    </row>
    <row r="68" spans="1:129" s="59" customFormat="1">
      <c r="A68" s="62" t="s">
        <v>37</v>
      </c>
      <c r="D68" s="60"/>
    </row>
    <row r="70" spans="1:129">
      <c r="F70" s="66">
        <f>start_date</f>
        <v>44196</v>
      </c>
    </row>
    <row r="71" spans="1:129">
      <c r="E71" t="s">
        <v>211</v>
      </c>
      <c r="G71" t="s">
        <v>146</v>
      </c>
      <c r="J71">
        <f xml:space="preserve"> IF( Time!J$15 = 1, Cashflow!$F$72, Cashflow!I$76 )</f>
        <v>3000000</v>
      </c>
      <c r="K71">
        <f xml:space="preserve"> IF( Time!K$15 = 1, Cashflow!$F$72, Cashflow!J$76 )</f>
        <v>2973214.2857142859</v>
      </c>
      <c r="L71">
        <f xml:space="preserve"> IF( Time!L$15 = 1, Cashflow!$F$72, Cashflow!K$76 )</f>
        <v>2946428.5714285718</v>
      </c>
      <c r="M71">
        <f xml:space="preserve"> IF( Time!M$15 = 1, Cashflow!$F$72, Cashflow!L$76 )</f>
        <v>2919642.8571428577</v>
      </c>
      <c r="N71">
        <f xml:space="preserve"> IF( Time!N$15 = 1, Cashflow!$F$72, Cashflow!M$76 )</f>
        <v>2892857.1428571437</v>
      </c>
      <c r="O71">
        <f xml:space="preserve"> IF( Time!O$15 = 1, Cashflow!$F$72, Cashflow!N$76 )</f>
        <v>2866071.4285714296</v>
      </c>
      <c r="P71">
        <f xml:space="preserve"> IF( Time!P$15 = 1, Cashflow!$F$72, Cashflow!O$76 )</f>
        <v>2839285.7142857155</v>
      </c>
      <c r="Q71">
        <f xml:space="preserve"> IF( Time!Q$15 = 1, Cashflow!$F$72, Cashflow!P$76 )</f>
        <v>2812500.0000000014</v>
      </c>
      <c r="R71">
        <f xml:space="preserve"> IF( Time!R$15 = 1, Cashflow!$F$72, Cashflow!Q$76 )</f>
        <v>2785714.2857142873</v>
      </c>
      <c r="S71">
        <f xml:space="preserve"> IF( Time!S$15 = 1, Cashflow!$F$72, Cashflow!R$76 )</f>
        <v>2758928.5714285732</v>
      </c>
      <c r="T71">
        <f xml:space="preserve"> IF( Time!T$15 = 1, Cashflow!$F$72, Cashflow!S$76 )</f>
        <v>2732142.8571428591</v>
      </c>
      <c r="U71">
        <f xml:space="preserve"> IF( Time!U$15 = 1, Cashflow!$F$72, Cashflow!T$76 )</f>
        <v>2705357.1428571451</v>
      </c>
      <c r="V71">
        <f xml:space="preserve"> IF( Time!V$15 = 1, Cashflow!$F$72, Cashflow!U$76 )</f>
        <v>2678571.428571431</v>
      </c>
      <c r="W71">
        <f xml:space="preserve"> IF( Time!W$15 = 1, Cashflow!$F$72, Cashflow!V$76 )</f>
        <v>2651785.7142857169</v>
      </c>
      <c r="X71">
        <f xml:space="preserve"> IF( Time!X$15 = 1, Cashflow!$F$72, Cashflow!W$76 )</f>
        <v>2625000.0000000028</v>
      </c>
      <c r="Y71">
        <f xml:space="preserve"> IF( Time!Y$15 = 1, Cashflow!$F$72, Cashflow!X$76 )</f>
        <v>2598214.2857142887</v>
      </c>
      <c r="Z71">
        <f xml:space="preserve"> IF( Time!Z$15 = 1, Cashflow!$F$72, Cashflow!Y$76 )</f>
        <v>2571428.5714285746</v>
      </c>
      <c r="AA71">
        <f xml:space="preserve"> IF( Time!AA$15 = 1, Cashflow!$F$72, Cashflow!Z$76 )</f>
        <v>2544642.8571428605</v>
      </c>
      <c r="AB71">
        <f xml:space="preserve"> IF( Time!AB$15 = 1, Cashflow!$F$72, Cashflow!AA$76 )</f>
        <v>2517857.1428571464</v>
      </c>
      <c r="AC71">
        <f xml:space="preserve"> IF( Time!AC$15 = 1, Cashflow!$F$72, Cashflow!AB$76 )</f>
        <v>2491071.4285714324</v>
      </c>
      <c r="AD71">
        <f xml:space="preserve"> IF( Time!AD$15 = 1, Cashflow!$F$72, Cashflow!AC$76 )</f>
        <v>2464285.7142857183</v>
      </c>
      <c r="AE71">
        <f xml:space="preserve"> IF( Time!AE$15 = 1, Cashflow!$F$72, Cashflow!AD$76 )</f>
        <v>2437500.0000000042</v>
      </c>
      <c r="AF71">
        <f xml:space="preserve"> IF( Time!AF$15 = 1, Cashflow!$F$72, Cashflow!AE$76 )</f>
        <v>2410714.2857142901</v>
      </c>
      <c r="AG71">
        <f xml:space="preserve"> IF( Time!AG$15 = 1, Cashflow!$F$72, Cashflow!AF$76 )</f>
        <v>2383928.571428576</v>
      </c>
      <c r="AH71">
        <f xml:space="preserve"> IF( Time!AH$15 = 1, Cashflow!$F$72, Cashflow!AG$76 )</f>
        <v>2357142.8571428619</v>
      </c>
      <c r="AI71">
        <f xml:space="preserve"> IF( Time!AI$15 = 1, Cashflow!$F$72, Cashflow!AH$76 )</f>
        <v>2330357.1428571478</v>
      </c>
      <c r="AJ71">
        <f xml:space="preserve"> IF( Time!AJ$15 = 1, Cashflow!$F$72, Cashflow!AI$76 )</f>
        <v>2303571.4285714338</v>
      </c>
      <c r="AK71">
        <f xml:space="preserve"> IF( Time!AK$15 = 1, Cashflow!$F$72, Cashflow!AJ$76 )</f>
        <v>2276785.7142857197</v>
      </c>
      <c r="AL71">
        <f xml:space="preserve"> IF( Time!AL$15 = 1, Cashflow!$F$72, Cashflow!AK$76 )</f>
        <v>2250000.0000000056</v>
      </c>
      <c r="AM71">
        <f xml:space="preserve"> IF( Time!AM$15 = 1, Cashflow!$F$72, Cashflow!AL$76 )</f>
        <v>2223214.2857142915</v>
      </c>
      <c r="AN71">
        <f xml:space="preserve"> IF( Time!AN$15 = 1, Cashflow!$F$72, Cashflow!AM$76 )</f>
        <v>2196428.5714285774</v>
      </c>
      <c r="AO71">
        <f xml:space="preserve"> IF( Time!AO$15 = 1, Cashflow!$F$72, Cashflow!AN$76 )</f>
        <v>2169642.8571428633</v>
      </c>
      <c r="AP71">
        <f xml:space="preserve"> IF( Time!AP$15 = 1, Cashflow!$F$72, Cashflow!AO$76 )</f>
        <v>2142857.1428571492</v>
      </c>
      <c r="AQ71">
        <f xml:space="preserve"> IF( Time!AQ$15 = 1, Cashflow!$F$72, Cashflow!AP$76 )</f>
        <v>2116071.4285714352</v>
      </c>
      <c r="AR71">
        <f xml:space="preserve"> IF( Time!AR$15 = 1, Cashflow!$F$72, Cashflow!AQ$76 )</f>
        <v>2089285.7142857208</v>
      </c>
      <c r="AS71">
        <f xml:space="preserve"> IF( Time!AS$15 = 1, Cashflow!$F$72, Cashflow!AR$76 )</f>
        <v>2062500.0000000065</v>
      </c>
      <c r="AT71">
        <f xml:space="preserve"> IF( Time!AT$15 = 1, Cashflow!$F$72, Cashflow!AS$76 )</f>
        <v>2035714.285714292</v>
      </c>
      <c r="AU71">
        <f xml:space="preserve"> IF( Time!AU$15 = 1, Cashflow!$F$72, Cashflow!AT$76 )</f>
        <v>2008928.5714285776</v>
      </c>
      <c r="AV71">
        <f xml:space="preserve"> IF( Time!AV$15 = 1, Cashflow!$F$72, Cashflow!AU$76 )</f>
        <v>1982142.8571428633</v>
      </c>
      <c r="AW71">
        <f xml:space="preserve"> IF( Time!AW$15 = 1, Cashflow!$F$72, Cashflow!AV$76 )</f>
        <v>1955357.142857149</v>
      </c>
      <c r="AX71">
        <f xml:space="preserve"> IF( Time!AX$15 = 1, Cashflow!$F$72, Cashflow!AW$76 )</f>
        <v>1928571.4285714347</v>
      </c>
      <c r="AY71">
        <f xml:space="preserve"> IF( Time!AY$15 = 1, Cashflow!$F$72, Cashflow!AX$76 )</f>
        <v>1901785.7142857204</v>
      </c>
      <c r="AZ71">
        <f xml:space="preserve"> IF( Time!AZ$15 = 1, Cashflow!$F$72, Cashflow!AY$76 )</f>
        <v>1875000.0000000061</v>
      </c>
      <c r="BA71">
        <f xml:space="preserve"> IF( Time!BA$15 = 1, Cashflow!$F$72, Cashflow!AZ$76 )</f>
        <v>1848214.2857142917</v>
      </c>
      <c r="BB71">
        <f xml:space="preserve"> IF( Time!BB$15 = 1, Cashflow!$F$72, Cashflow!BA$76 )</f>
        <v>1821428.5714285774</v>
      </c>
      <c r="BC71">
        <f xml:space="preserve"> IF( Time!BC$15 = 1, Cashflow!$F$72, Cashflow!BB$76 )</f>
        <v>1794642.8571428631</v>
      </c>
      <c r="BD71">
        <f xml:space="preserve"> IF( Time!BD$15 = 1, Cashflow!$F$72, Cashflow!BC$76 )</f>
        <v>1767857.1428571488</v>
      </c>
      <c r="BE71">
        <f xml:space="preserve"> IF( Time!BE$15 = 1, Cashflow!$F$72, Cashflow!BD$76 )</f>
        <v>1741071.4285714345</v>
      </c>
      <c r="BF71">
        <f xml:space="preserve"> IF( Time!BF$15 = 1, Cashflow!$F$72, Cashflow!BE$76 )</f>
        <v>1714285.7142857201</v>
      </c>
      <c r="BG71">
        <f xml:space="preserve"> IF( Time!BG$15 = 1, Cashflow!$F$72, Cashflow!BF$76 )</f>
        <v>1687500.0000000058</v>
      </c>
      <c r="BH71">
        <f xml:space="preserve"> IF( Time!BH$15 = 1, Cashflow!$F$72, Cashflow!BG$76 )</f>
        <v>1660714.2857142917</v>
      </c>
      <c r="BI71">
        <f xml:space="preserve"> IF( Time!BI$15 = 1, Cashflow!$F$72, Cashflow!BH$76 )</f>
        <v>1633928.5714285774</v>
      </c>
      <c r="BJ71">
        <f xml:space="preserve"> IF( Time!BJ$15 = 1, Cashflow!$F$72, Cashflow!BI$76 )</f>
        <v>1607142.8571428631</v>
      </c>
      <c r="BK71">
        <f xml:space="preserve"> IF( Time!BK$15 = 1, Cashflow!$F$72, Cashflow!BJ$76 )</f>
        <v>1580357.1428571488</v>
      </c>
      <c r="BL71">
        <f xml:space="preserve"> IF( Time!BL$15 = 1, Cashflow!$F$72, Cashflow!BK$76 )</f>
        <v>1553571.4285714345</v>
      </c>
      <c r="BM71">
        <f xml:space="preserve"> IF( Time!BM$15 = 1, Cashflow!$F$72, Cashflow!BL$76 )</f>
        <v>1526785.7142857201</v>
      </c>
      <c r="BN71">
        <f xml:space="preserve"> IF( Time!BN$15 = 1, Cashflow!$F$72, Cashflow!BM$76 )</f>
        <v>1500000.0000000058</v>
      </c>
      <c r="BO71">
        <f xml:space="preserve"> IF( Time!BO$15 = 1, Cashflow!$F$72, Cashflow!BN$76 )</f>
        <v>1473214.2857142915</v>
      </c>
      <c r="BP71">
        <f xml:space="preserve"> IF( Time!BP$15 = 1, Cashflow!$F$72, Cashflow!BO$76 )</f>
        <v>1446428.5714285772</v>
      </c>
      <c r="BQ71">
        <f xml:space="preserve"> IF( Time!BQ$15 = 1, Cashflow!$F$72, Cashflow!BP$76 )</f>
        <v>1419642.8571428629</v>
      </c>
      <c r="BR71">
        <f xml:space="preserve"> IF( Time!BR$15 = 1, Cashflow!$F$72, Cashflow!BQ$76 )</f>
        <v>1392857.1428571485</v>
      </c>
      <c r="BS71">
        <f xml:space="preserve"> IF( Time!BS$15 = 1, Cashflow!$F$72, Cashflow!BR$76 )</f>
        <v>1366071.4285714342</v>
      </c>
      <c r="BT71">
        <f xml:space="preserve"> IF( Time!BT$15 = 1, Cashflow!$F$72, Cashflow!BS$76 )</f>
        <v>1339285.7142857199</v>
      </c>
      <c r="BU71">
        <f xml:space="preserve"> IF( Time!BU$15 = 1, Cashflow!$F$72, Cashflow!BT$76 )</f>
        <v>1312500.0000000056</v>
      </c>
      <c r="BV71">
        <f xml:space="preserve"> IF( Time!BV$15 = 1, Cashflow!$F$72, Cashflow!BU$76 )</f>
        <v>1285714.2857142913</v>
      </c>
      <c r="BW71">
        <f xml:space="preserve"> IF( Time!BW$15 = 1, Cashflow!$F$72, Cashflow!BV$76 )</f>
        <v>1258928.5714285769</v>
      </c>
      <c r="BX71">
        <f xml:space="preserve"> IF( Time!BX$15 = 1, Cashflow!$F$72, Cashflow!BW$76 )</f>
        <v>1232142.8571428626</v>
      </c>
      <c r="BY71">
        <f xml:space="preserve"> IF( Time!BY$15 = 1, Cashflow!$F$72, Cashflow!BX$76 )</f>
        <v>1205357.1428571483</v>
      </c>
      <c r="BZ71">
        <f xml:space="preserve"> IF( Time!BZ$15 = 1, Cashflow!$F$72, Cashflow!BY$76 )</f>
        <v>1178571.428571434</v>
      </c>
      <c r="CA71">
        <f xml:space="preserve"> IF( Time!CA$15 = 1, Cashflow!$F$72, Cashflow!BZ$76 )</f>
        <v>1151785.7142857197</v>
      </c>
      <c r="CB71">
        <f xml:space="preserve"> IF( Time!CB$15 = 1, Cashflow!$F$72, Cashflow!CA$76 )</f>
        <v>1125000.0000000054</v>
      </c>
      <c r="CC71">
        <f xml:space="preserve"> IF( Time!CC$15 = 1, Cashflow!$F$72, Cashflow!CB$76 )</f>
        <v>1098214.285714291</v>
      </c>
      <c r="CD71">
        <f xml:space="preserve"> IF( Time!CD$15 = 1, Cashflow!$F$72, Cashflow!CC$76 )</f>
        <v>1071428.5714285767</v>
      </c>
      <c r="CE71">
        <f xml:space="preserve"> IF( Time!CE$15 = 1, Cashflow!$F$72, Cashflow!CD$76 )</f>
        <v>1044642.8571428624</v>
      </c>
      <c r="CF71">
        <f xml:space="preserve"> IF( Time!CF$15 = 1, Cashflow!$F$72, Cashflow!CE$76 )</f>
        <v>1017857.1428571481</v>
      </c>
      <c r="CG71">
        <f xml:space="preserve"> IF( Time!CG$15 = 1, Cashflow!$F$72, Cashflow!CF$76 )</f>
        <v>991071.42857143376</v>
      </c>
      <c r="CH71">
        <f xml:space="preserve"> IF( Time!CH$15 = 1, Cashflow!$F$72, Cashflow!CG$76 )</f>
        <v>964285.71428571944</v>
      </c>
      <c r="CI71">
        <f xml:space="preserve"> IF( Time!CI$15 = 1, Cashflow!$F$72, Cashflow!CH$76 )</f>
        <v>937500.00000000512</v>
      </c>
      <c r="CJ71">
        <f xml:space="preserve"> IF( Time!CJ$15 = 1, Cashflow!$F$72, Cashflow!CI$76 )</f>
        <v>910714.2857142908</v>
      </c>
      <c r="CK71">
        <f xml:space="preserve"> IF( Time!CK$15 = 1, Cashflow!$F$72, Cashflow!CJ$76 )</f>
        <v>883928.57142857648</v>
      </c>
      <c r="CL71">
        <f xml:space="preserve"> IF( Time!CL$15 = 1, Cashflow!$F$72, Cashflow!CK$76 )</f>
        <v>857142.85714286217</v>
      </c>
      <c r="CM71">
        <f xml:space="preserve"> IF( Time!CM$15 = 1, Cashflow!$F$72, Cashflow!CL$76 )</f>
        <v>830357.14285714785</v>
      </c>
      <c r="CN71">
        <f xml:space="preserve"> IF( Time!CN$15 = 1, Cashflow!$F$72, Cashflow!CM$76 )</f>
        <v>803571.42857143353</v>
      </c>
      <c r="CO71">
        <f xml:space="preserve"> IF( Time!CO$15 = 1, Cashflow!$F$72, Cashflow!CN$76 )</f>
        <v>776785.71428571921</v>
      </c>
      <c r="CP71">
        <f xml:space="preserve"> IF( Time!CP$15 = 1, Cashflow!$F$72, Cashflow!CO$76 )</f>
        <v>750000.00000000489</v>
      </c>
      <c r="CQ71">
        <f xml:space="preserve"> IF( Time!CQ$15 = 1, Cashflow!$F$72, Cashflow!CP$76 )</f>
        <v>723214.28571429057</v>
      </c>
      <c r="CR71">
        <f xml:space="preserve"> IF( Time!CR$15 = 1, Cashflow!$F$72, Cashflow!CQ$76 )</f>
        <v>696428.57142857625</v>
      </c>
      <c r="CS71">
        <f xml:space="preserve"> IF( Time!CS$15 = 1, Cashflow!$F$72, Cashflow!CR$76 )</f>
        <v>669642.85714286193</v>
      </c>
      <c r="CT71">
        <f xml:space="preserve"> IF( Time!CT$15 = 1, Cashflow!$F$72, Cashflow!CS$76 )</f>
        <v>642857.14285714761</v>
      </c>
      <c r="CU71">
        <f xml:space="preserve"> IF( Time!CU$15 = 1, Cashflow!$F$72, Cashflow!CT$76 )</f>
        <v>616071.42857143329</v>
      </c>
      <c r="CV71">
        <f xml:space="preserve"> IF( Time!CV$15 = 1, Cashflow!$F$72, Cashflow!CU$76 )</f>
        <v>589285.71428571898</v>
      </c>
      <c r="CW71">
        <f xml:space="preserve"> IF( Time!CW$15 = 1, Cashflow!$F$72, Cashflow!CV$76 )</f>
        <v>562500.00000000466</v>
      </c>
      <c r="CX71">
        <f xml:space="preserve"> IF( Time!CX$15 = 1, Cashflow!$F$72, Cashflow!CW$76 )</f>
        <v>535714.28571429034</v>
      </c>
      <c r="CY71">
        <f xml:space="preserve"> IF( Time!CY$15 = 1, Cashflow!$F$72, Cashflow!CX$76 )</f>
        <v>508928.57142857608</v>
      </c>
      <c r="CZ71">
        <f xml:space="preserve"> IF( Time!CZ$15 = 1, Cashflow!$F$72, Cashflow!CY$76 )</f>
        <v>482142.85714286182</v>
      </c>
      <c r="DA71">
        <f xml:space="preserve"> IF( Time!DA$15 = 1, Cashflow!$F$72, Cashflow!CZ$76 )</f>
        <v>455357.14285714756</v>
      </c>
      <c r="DB71">
        <f xml:space="preserve"> IF( Time!DB$15 = 1, Cashflow!$F$72, Cashflow!DA$76 )</f>
        <v>428571.42857143329</v>
      </c>
      <c r="DC71">
        <f xml:space="preserve"> IF( Time!DC$15 = 1, Cashflow!$F$72, Cashflow!DB$76 )</f>
        <v>401785.71428571903</v>
      </c>
      <c r="DD71">
        <f xml:space="preserve"> IF( Time!DD$15 = 1, Cashflow!$F$72, Cashflow!DC$76 )</f>
        <v>375000.00000000477</v>
      </c>
      <c r="DE71">
        <f xml:space="preserve"> IF( Time!DE$15 = 1, Cashflow!$F$72, Cashflow!DD$76 )</f>
        <v>348214.28571429051</v>
      </c>
      <c r="DF71">
        <f xml:space="preserve"> IF( Time!DF$15 = 1, Cashflow!$F$72, Cashflow!DE$76 )</f>
        <v>321428.57142857625</v>
      </c>
      <c r="DG71">
        <f xml:space="preserve"> IF( Time!DG$15 = 1, Cashflow!$F$72, Cashflow!DF$76 )</f>
        <v>294642.85714286199</v>
      </c>
      <c r="DH71">
        <f xml:space="preserve"> IF( Time!DH$15 = 1, Cashflow!$F$72, Cashflow!DG$76 )</f>
        <v>267857.14285714773</v>
      </c>
      <c r="DI71">
        <f xml:space="preserve"> IF( Time!DI$15 = 1, Cashflow!$F$72, Cashflow!DH$76 )</f>
        <v>241071.42857143344</v>
      </c>
      <c r="DJ71">
        <f xml:space="preserve"> IF( Time!DJ$15 = 1, Cashflow!$F$72, Cashflow!DI$76 )</f>
        <v>214285.71428571915</v>
      </c>
      <c r="DK71">
        <f xml:space="preserve"> IF( Time!DK$15 = 1, Cashflow!$F$72, Cashflow!DJ$76 )</f>
        <v>187500.00000000486</v>
      </c>
      <c r="DL71">
        <f xml:space="preserve"> IF( Time!DL$15 = 1, Cashflow!$F$72, Cashflow!DK$76 )</f>
        <v>160714.28571429057</v>
      </c>
      <c r="DM71">
        <f xml:space="preserve"> IF( Time!DM$15 = 1, Cashflow!$F$72, Cashflow!DL$76 )</f>
        <v>133928.57142857628</v>
      </c>
      <c r="DN71">
        <f xml:space="preserve"> IF( Time!DN$15 = 1, Cashflow!$F$72, Cashflow!DM$76 )</f>
        <v>107142.85714286199</v>
      </c>
      <c r="DO71">
        <f xml:space="preserve"> IF( Time!DO$15 = 1, Cashflow!$F$72, Cashflow!DN$76 )</f>
        <v>80357.142857147701</v>
      </c>
      <c r="DP71">
        <f xml:space="preserve"> IF( Time!DP$15 = 1, Cashflow!$F$72, Cashflow!DO$76 )</f>
        <v>53571.428571433411</v>
      </c>
      <c r="DQ71">
        <f xml:space="preserve"> IF( Time!DQ$15 = 1, Cashflow!$F$72, Cashflow!DP$76 )</f>
        <v>26785.714285719125</v>
      </c>
      <c r="DR71">
        <f xml:space="preserve"> IF( Time!DR$15 = 1, Cashflow!$F$72, Cashflow!DQ$76 )</f>
        <v>4.8385118134319782E-9</v>
      </c>
      <c r="DS71">
        <f xml:space="preserve"> IF( Time!DS$15 = 1, Cashflow!$F$72, Cashflow!DR$76 )</f>
        <v>4.8385118134319782E-9</v>
      </c>
      <c r="DT71">
        <f xml:space="preserve"> IF( Time!DT$15 = 1, Cashflow!$F$72, Cashflow!DS$76 )</f>
        <v>4.8385118134319782E-9</v>
      </c>
      <c r="DU71">
        <f xml:space="preserve"> IF( Time!DU$15 = 1, Cashflow!$F$72, Cashflow!DT$76 )</f>
        <v>4.8385118134319782E-9</v>
      </c>
      <c r="DV71">
        <f xml:space="preserve"> IF( Time!DV$15 = 1, Cashflow!$F$72, Cashflow!DU$76 )</f>
        <v>4.8385118134319782E-9</v>
      </c>
      <c r="DW71">
        <f xml:space="preserve"> IF( Time!DW$15 = 1, Cashflow!$F$72, Cashflow!DV$76 )</f>
        <v>4.8385118134319782E-9</v>
      </c>
      <c r="DX71">
        <f xml:space="preserve"> IF( Time!DX$15 = 1, Cashflow!$F$72, Cashflow!DW$76 )</f>
        <v>4.8385118134319782E-9</v>
      </c>
      <c r="DY71">
        <f xml:space="preserve"> IF( Time!DY$15 = 1, Cashflow!$F$72, Cashflow!DX$76 )</f>
        <v>4.8385118134319782E-9</v>
      </c>
    </row>
    <row r="72" spans="1:129">
      <c r="D72" s="57" t="s">
        <v>191</v>
      </c>
      <c r="E72" s="87" t="s">
        <v>212</v>
      </c>
      <c r="F72" s="65">
        <f>CaseData!$G$36</f>
        <v>3000000</v>
      </c>
      <c r="G72" t="s">
        <v>146</v>
      </c>
      <c r="J72">
        <f t="shared" ref="J72:AO72" si="62" xml:space="preserve"> $F$72 * ( J$3 = start_date )</f>
        <v>0</v>
      </c>
      <c r="K72">
        <f t="shared" si="62"/>
        <v>0</v>
      </c>
      <c r="L72">
        <f t="shared" si="62"/>
        <v>0</v>
      </c>
      <c r="M72">
        <f t="shared" si="62"/>
        <v>0</v>
      </c>
      <c r="N72">
        <f t="shared" si="62"/>
        <v>0</v>
      </c>
      <c r="O72">
        <f t="shared" si="62"/>
        <v>0</v>
      </c>
      <c r="P72">
        <f t="shared" si="62"/>
        <v>0</v>
      </c>
      <c r="Q72">
        <f t="shared" si="62"/>
        <v>0</v>
      </c>
      <c r="R72">
        <f t="shared" si="62"/>
        <v>0</v>
      </c>
      <c r="S72">
        <f t="shared" si="62"/>
        <v>0</v>
      </c>
      <c r="T72">
        <f t="shared" si="62"/>
        <v>0</v>
      </c>
      <c r="U72">
        <f t="shared" si="62"/>
        <v>0</v>
      </c>
      <c r="V72">
        <f t="shared" si="62"/>
        <v>0</v>
      </c>
      <c r="W72">
        <f t="shared" si="62"/>
        <v>0</v>
      </c>
      <c r="X72">
        <f t="shared" si="62"/>
        <v>0</v>
      </c>
      <c r="Y72">
        <f t="shared" si="62"/>
        <v>0</v>
      </c>
      <c r="Z72">
        <f t="shared" si="62"/>
        <v>0</v>
      </c>
      <c r="AA72">
        <f t="shared" si="62"/>
        <v>0</v>
      </c>
      <c r="AB72">
        <f t="shared" si="62"/>
        <v>0</v>
      </c>
      <c r="AC72">
        <f t="shared" si="62"/>
        <v>0</v>
      </c>
      <c r="AD72">
        <f t="shared" si="62"/>
        <v>0</v>
      </c>
      <c r="AE72">
        <f t="shared" si="62"/>
        <v>0</v>
      </c>
      <c r="AF72">
        <f t="shared" si="62"/>
        <v>0</v>
      </c>
      <c r="AG72">
        <f t="shared" si="62"/>
        <v>0</v>
      </c>
      <c r="AH72">
        <f t="shared" si="62"/>
        <v>0</v>
      </c>
      <c r="AI72">
        <f t="shared" si="62"/>
        <v>0</v>
      </c>
      <c r="AJ72">
        <f t="shared" si="62"/>
        <v>0</v>
      </c>
      <c r="AK72">
        <f t="shared" si="62"/>
        <v>0</v>
      </c>
      <c r="AL72">
        <f t="shared" si="62"/>
        <v>0</v>
      </c>
      <c r="AM72">
        <f t="shared" si="62"/>
        <v>0</v>
      </c>
      <c r="AN72">
        <f t="shared" si="62"/>
        <v>0</v>
      </c>
      <c r="AO72">
        <f t="shared" si="62"/>
        <v>0</v>
      </c>
      <c r="AP72">
        <f t="shared" ref="AP72:BU72" si="63" xml:space="preserve"> $F$72 * ( AP$3 = start_date )</f>
        <v>0</v>
      </c>
      <c r="AQ72">
        <f t="shared" si="63"/>
        <v>0</v>
      </c>
      <c r="AR72">
        <f t="shared" si="63"/>
        <v>0</v>
      </c>
      <c r="AS72">
        <f t="shared" si="63"/>
        <v>0</v>
      </c>
      <c r="AT72">
        <f t="shared" si="63"/>
        <v>0</v>
      </c>
      <c r="AU72">
        <f t="shared" si="63"/>
        <v>0</v>
      </c>
      <c r="AV72">
        <f t="shared" si="63"/>
        <v>0</v>
      </c>
      <c r="AW72">
        <f t="shared" si="63"/>
        <v>0</v>
      </c>
      <c r="AX72">
        <f t="shared" si="63"/>
        <v>0</v>
      </c>
      <c r="AY72">
        <f t="shared" si="63"/>
        <v>0</v>
      </c>
      <c r="AZ72">
        <f t="shared" si="63"/>
        <v>0</v>
      </c>
      <c r="BA72">
        <f t="shared" si="63"/>
        <v>0</v>
      </c>
      <c r="BB72">
        <f t="shared" si="63"/>
        <v>0</v>
      </c>
      <c r="BC72">
        <f t="shared" si="63"/>
        <v>0</v>
      </c>
      <c r="BD72">
        <f t="shared" si="63"/>
        <v>0</v>
      </c>
      <c r="BE72">
        <f t="shared" si="63"/>
        <v>0</v>
      </c>
      <c r="BF72">
        <f t="shared" si="63"/>
        <v>0</v>
      </c>
      <c r="BG72">
        <f t="shared" si="63"/>
        <v>0</v>
      </c>
      <c r="BH72">
        <f t="shared" si="63"/>
        <v>0</v>
      </c>
      <c r="BI72">
        <f t="shared" si="63"/>
        <v>0</v>
      </c>
      <c r="BJ72">
        <f t="shared" si="63"/>
        <v>0</v>
      </c>
      <c r="BK72">
        <f t="shared" si="63"/>
        <v>0</v>
      </c>
      <c r="BL72">
        <f t="shared" si="63"/>
        <v>0</v>
      </c>
      <c r="BM72">
        <f t="shared" si="63"/>
        <v>0</v>
      </c>
      <c r="BN72">
        <f t="shared" si="63"/>
        <v>0</v>
      </c>
      <c r="BO72">
        <f t="shared" si="63"/>
        <v>0</v>
      </c>
      <c r="BP72">
        <f t="shared" si="63"/>
        <v>0</v>
      </c>
      <c r="BQ72">
        <f t="shared" si="63"/>
        <v>0</v>
      </c>
      <c r="BR72">
        <f t="shared" si="63"/>
        <v>0</v>
      </c>
      <c r="BS72">
        <f t="shared" si="63"/>
        <v>0</v>
      </c>
      <c r="BT72">
        <f t="shared" si="63"/>
        <v>0</v>
      </c>
      <c r="BU72">
        <f t="shared" si="63"/>
        <v>0</v>
      </c>
      <c r="BV72">
        <f t="shared" ref="BV72:DA72" si="64" xml:space="preserve"> $F$72 * ( BV$3 = start_date )</f>
        <v>0</v>
      </c>
      <c r="BW72">
        <f t="shared" si="64"/>
        <v>0</v>
      </c>
      <c r="BX72">
        <f t="shared" si="64"/>
        <v>0</v>
      </c>
      <c r="BY72">
        <f t="shared" si="64"/>
        <v>0</v>
      </c>
      <c r="BZ72">
        <f t="shared" si="64"/>
        <v>0</v>
      </c>
      <c r="CA72">
        <f t="shared" si="64"/>
        <v>0</v>
      </c>
      <c r="CB72">
        <f t="shared" si="64"/>
        <v>0</v>
      </c>
      <c r="CC72">
        <f t="shared" si="64"/>
        <v>0</v>
      </c>
      <c r="CD72">
        <f t="shared" si="64"/>
        <v>0</v>
      </c>
      <c r="CE72">
        <f t="shared" si="64"/>
        <v>0</v>
      </c>
      <c r="CF72">
        <f t="shared" si="64"/>
        <v>0</v>
      </c>
      <c r="CG72">
        <f t="shared" si="64"/>
        <v>0</v>
      </c>
      <c r="CH72">
        <f t="shared" si="64"/>
        <v>0</v>
      </c>
      <c r="CI72">
        <f t="shared" si="64"/>
        <v>0</v>
      </c>
      <c r="CJ72">
        <f t="shared" si="64"/>
        <v>0</v>
      </c>
      <c r="CK72">
        <f t="shared" si="64"/>
        <v>0</v>
      </c>
      <c r="CL72">
        <f t="shared" si="64"/>
        <v>0</v>
      </c>
      <c r="CM72">
        <f t="shared" si="64"/>
        <v>0</v>
      </c>
      <c r="CN72">
        <f t="shared" si="64"/>
        <v>0</v>
      </c>
      <c r="CO72">
        <f t="shared" si="64"/>
        <v>0</v>
      </c>
      <c r="CP72">
        <f t="shared" si="64"/>
        <v>0</v>
      </c>
      <c r="CQ72">
        <f t="shared" si="64"/>
        <v>0</v>
      </c>
      <c r="CR72">
        <f t="shared" si="64"/>
        <v>0</v>
      </c>
      <c r="CS72">
        <f t="shared" si="64"/>
        <v>0</v>
      </c>
      <c r="CT72">
        <f t="shared" si="64"/>
        <v>0</v>
      </c>
      <c r="CU72">
        <f t="shared" si="64"/>
        <v>0</v>
      </c>
      <c r="CV72">
        <f t="shared" si="64"/>
        <v>0</v>
      </c>
      <c r="CW72">
        <f t="shared" si="64"/>
        <v>0</v>
      </c>
      <c r="CX72">
        <f t="shared" si="64"/>
        <v>0</v>
      </c>
      <c r="CY72">
        <f t="shared" si="64"/>
        <v>0</v>
      </c>
      <c r="CZ72">
        <f t="shared" si="64"/>
        <v>0</v>
      </c>
      <c r="DA72">
        <f t="shared" si="64"/>
        <v>0</v>
      </c>
      <c r="DB72">
        <f t="shared" ref="DB72:DY72" si="65" xml:space="preserve"> $F$72 * ( DB$3 = start_date )</f>
        <v>0</v>
      </c>
      <c r="DC72">
        <f t="shared" si="65"/>
        <v>0</v>
      </c>
      <c r="DD72">
        <f t="shared" si="65"/>
        <v>0</v>
      </c>
      <c r="DE72">
        <f t="shared" si="65"/>
        <v>0</v>
      </c>
      <c r="DF72">
        <f t="shared" si="65"/>
        <v>0</v>
      </c>
      <c r="DG72">
        <f t="shared" si="65"/>
        <v>0</v>
      </c>
      <c r="DH72">
        <f t="shared" si="65"/>
        <v>0</v>
      </c>
      <c r="DI72">
        <f t="shared" si="65"/>
        <v>0</v>
      </c>
      <c r="DJ72">
        <f t="shared" si="65"/>
        <v>0</v>
      </c>
      <c r="DK72">
        <f t="shared" si="65"/>
        <v>0</v>
      </c>
      <c r="DL72">
        <f t="shared" si="65"/>
        <v>0</v>
      </c>
      <c r="DM72">
        <f t="shared" si="65"/>
        <v>0</v>
      </c>
      <c r="DN72">
        <f t="shared" si="65"/>
        <v>0</v>
      </c>
      <c r="DO72">
        <f t="shared" si="65"/>
        <v>0</v>
      </c>
      <c r="DP72">
        <f t="shared" si="65"/>
        <v>0</v>
      </c>
      <c r="DQ72">
        <f t="shared" si="65"/>
        <v>0</v>
      </c>
      <c r="DR72">
        <f t="shared" si="65"/>
        <v>0</v>
      </c>
      <c r="DS72">
        <f t="shared" si="65"/>
        <v>0</v>
      </c>
      <c r="DT72">
        <f t="shared" si="65"/>
        <v>0</v>
      </c>
      <c r="DU72">
        <f t="shared" si="65"/>
        <v>0</v>
      </c>
      <c r="DV72">
        <f t="shared" si="65"/>
        <v>0</v>
      </c>
      <c r="DW72">
        <f t="shared" si="65"/>
        <v>0</v>
      </c>
      <c r="DX72">
        <f t="shared" si="65"/>
        <v>0</v>
      </c>
      <c r="DY72">
        <f t="shared" si="65"/>
        <v>0</v>
      </c>
    </row>
    <row r="73" spans="1:129" s="95" customFormat="1">
      <c r="A73" s="94"/>
      <c r="D73" s="57" t="s">
        <v>191</v>
      </c>
      <c r="E73" s="96" t="str">
        <f>E$82</f>
        <v>Junior Facility interest expenses</v>
      </c>
      <c r="G73" s="95" t="str">
        <f t="shared" ref="G73:BQ73" si="66">G$82</f>
        <v>USD</v>
      </c>
      <c r="H73" s="95">
        <f t="shared" si="66"/>
        <v>3285000.0000000121</v>
      </c>
      <c r="I73" s="95">
        <f t="shared" si="66"/>
        <v>0</v>
      </c>
      <c r="J73" s="95">
        <f t="shared" si="66"/>
        <v>56250</v>
      </c>
      <c r="K73" s="95">
        <f t="shared" si="66"/>
        <v>55747.767857142862</v>
      </c>
      <c r="L73" s="95">
        <f t="shared" si="66"/>
        <v>55245.535714285717</v>
      </c>
      <c r="M73" s="95">
        <f t="shared" si="66"/>
        <v>54743.30357142858</v>
      </c>
      <c r="N73" s="95">
        <f t="shared" si="66"/>
        <v>54241.071428571442</v>
      </c>
      <c r="O73" s="95">
        <f t="shared" si="66"/>
        <v>53738.839285714304</v>
      </c>
      <c r="P73" s="95">
        <f t="shared" si="66"/>
        <v>53236.607142857167</v>
      </c>
      <c r="Q73" s="95">
        <f t="shared" si="66"/>
        <v>52734.375000000022</v>
      </c>
      <c r="R73" s="95">
        <f t="shared" si="66"/>
        <v>52232.142857142884</v>
      </c>
      <c r="S73" s="95">
        <f t="shared" si="66"/>
        <v>51729.910714285747</v>
      </c>
      <c r="T73" s="95">
        <f t="shared" si="66"/>
        <v>51227.678571428609</v>
      </c>
      <c r="U73" s="95">
        <f t="shared" si="66"/>
        <v>50725.446428571471</v>
      </c>
      <c r="V73" s="95">
        <f t="shared" si="66"/>
        <v>50223.214285714326</v>
      </c>
      <c r="W73" s="95">
        <f t="shared" si="66"/>
        <v>49720.982142857189</v>
      </c>
      <c r="X73" s="95">
        <f t="shared" si="66"/>
        <v>49218.750000000051</v>
      </c>
      <c r="Y73" s="95">
        <f t="shared" si="66"/>
        <v>48716.517857142913</v>
      </c>
      <c r="Z73" s="95">
        <f t="shared" si="66"/>
        <v>48214.285714285776</v>
      </c>
      <c r="AA73" s="95">
        <f t="shared" si="66"/>
        <v>47712.053571428631</v>
      </c>
      <c r="AB73" s="95">
        <f t="shared" si="66"/>
        <v>47209.821428571493</v>
      </c>
      <c r="AC73" s="95">
        <f t="shared" si="66"/>
        <v>46707.589285714355</v>
      </c>
      <c r="AD73" s="95">
        <f t="shared" si="66"/>
        <v>46205.357142857218</v>
      </c>
      <c r="AE73" s="95">
        <f t="shared" si="66"/>
        <v>45703.12500000008</v>
      </c>
      <c r="AF73" s="95">
        <f t="shared" si="66"/>
        <v>45200.892857142935</v>
      </c>
      <c r="AG73" s="95">
        <f t="shared" si="66"/>
        <v>44698.660714285797</v>
      </c>
      <c r="AH73" s="95">
        <f t="shared" si="66"/>
        <v>44196.42857142866</v>
      </c>
      <c r="AI73" s="95">
        <f t="shared" si="66"/>
        <v>43694.196428571522</v>
      </c>
      <c r="AJ73" s="95">
        <f t="shared" si="66"/>
        <v>43191.964285714384</v>
      </c>
      <c r="AK73" s="95">
        <f t="shared" si="66"/>
        <v>42689.73214285724</v>
      </c>
      <c r="AL73" s="95">
        <f t="shared" si="66"/>
        <v>45000.000000000109</v>
      </c>
      <c r="AM73" s="95">
        <f t="shared" si="66"/>
        <v>44464.285714285834</v>
      </c>
      <c r="AN73" s="95">
        <f t="shared" si="66"/>
        <v>43928.571428571551</v>
      </c>
      <c r="AO73" s="95">
        <f t="shared" si="66"/>
        <v>43392.857142857269</v>
      </c>
      <c r="AP73" s="95">
        <f t="shared" si="66"/>
        <v>42857.142857142986</v>
      </c>
      <c r="AQ73" s="95">
        <f t="shared" si="66"/>
        <v>42321.428571428703</v>
      </c>
      <c r="AR73" s="95">
        <f t="shared" si="66"/>
        <v>41785.714285714421</v>
      </c>
      <c r="AS73" s="95">
        <f t="shared" si="66"/>
        <v>41250.000000000131</v>
      </c>
      <c r="AT73" s="95">
        <f t="shared" si="66"/>
        <v>40714.285714285841</v>
      </c>
      <c r="AU73" s="95">
        <f t="shared" si="66"/>
        <v>40178.571428571551</v>
      </c>
      <c r="AV73" s="95">
        <f t="shared" si="66"/>
        <v>39642.857142857269</v>
      </c>
      <c r="AW73" s="95">
        <f t="shared" si="66"/>
        <v>39107.142857142979</v>
      </c>
      <c r="AX73" s="95">
        <f t="shared" si="66"/>
        <v>38571.428571428696</v>
      </c>
      <c r="AY73" s="95">
        <f t="shared" si="66"/>
        <v>38035.714285714406</v>
      </c>
      <c r="AZ73" s="95">
        <f t="shared" si="66"/>
        <v>37500.000000000124</v>
      </c>
      <c r="BA73" s="95">
        <f t="shared" si="66"/>
        <v>36964.285714285834</v>
      </c>
      <c r="BB73" s="95">
        <f t="shared" si="66"/>
        <v>36428.571428571551</v>
      </c>
      <c r="BC73" s="95">
        <f t="shared" si="66"/>
        <v>35892.857142857261</v>
      </c>
      <c r="BD73" s="95">
        <f t="shared" si="66"/>
        <v>35357.142857142979</v>
      </c>
      <c r="BE73" s="95">
        <f t="shared" si="66"/>
        <v>34821.428571428689</v>
      </c>
      <c r="BF73" s="95">
        <f t="shared" si="66"/>
        <v>34285.714285714406</v>
      </c>
      <c r="BG73" s="95">
        <f t="shared" si="66"/>
        <v>33750.000000000116</v>
      </c>
      <c r="BH73" s="95">
        <f t="shared" si="66"/>
        <v>33214.285714285834</v>
      </c>
      <c r="BI73" s="95">
        <f t="shared" si="66"/>
        <v>32678.571428571548</v>
      </c>
      <c r="BJ73" s="95">
        <f t="shared" si="66"/>
        <v>32142.857142857261</v>
      </c>
      <c r="BK73" s="95">
        <f t="shared" si="66"/>
        <v>31607.142857142975</v>
      </c>
      <c r="BL73" s="95">
        <f t="shared" si="66"/>
        <v>31071.428571428689</v>
      </c>
      <c r="BM73" s="95">
        <f t="shared" si="66"/>
        <v>30535.714285714403</v>
      </c>
      <c r="BN73" s="95">
        <f t="shared" si="66"/>
        <v>28125.000000000109</v>
      </c>
      <c r="BO73" s="95">
        <f t="shared" si="66"/>
        <v>27622.767857142964</v>
      </c>
      <c r="BP73" s="95">
        <f t="shared" si="66"/>
        <v>27120.535714285823</v>
      </c>
      <c r="BQ73" s="95">
        <f t="shared" si="66"/>
        <v>26618.303571428678</v>
      </c>
      <c r="BR73" s="95">
        <f t="shared" ref="BR73:DY73" si="67">BR$82</f>
        <v>26116.071428571533</v>
      </c>
      <c r="BS73" s="95">
        <f t="shared" si="67"/>
        <v>25613.839285714392</v>
      </c>
      <c r="BT73" s="95">
        <f t="shared" si="67"/>
        <v>25111.607142857247</v>
      </c>
      <c r="BU73" s="95">
        <f t="shared" si="67"/>
        <v>24609.375000000106</v>
      </c>
      <c r="BV73" s="95">
        <f t="shared" si="67"/>
        <v>24107.142857142961</v>
      </c>
      <c r="BW73" s="95">
        <f t="shared" si="67"/>
        <v>23604.910714285816</v>
      </c>
      <c r="BX73" s="95">
        <f t="shared" si="67"/>
        <v>23102.678571428674</v>
      </c>
      <c r="BY73" s="95">
        <f t="shared" si="67"/>
        <v>22600.446428571529</v>
      </c>
      <c r="BZ73" s="95">
        <f t="shared" si="67"/>
        <v>22098.214285714388</v>
      </c>
      <c r="CA73" s="95">
        <f t="shared" si="67"/>
        <v>21595.982142857243</v>
      </c>
      <c r="CB73" s="95">
        <f t="shared" si="67"/>
        <v>21093.750000000098</v>
      </c>
      <c r="CC73" s="95">
        <f t="shared" si="67"/>
        <v>20591.517857142957</v>
      </c>
      <c r="CD73" s="95">
        <f t="shared" si="67"/>
        <v>20089.285714285812</v>
      </c>
      <c r="CE73" s="95">
        <f t="shared" si="67"/>
        <v>19587.053571428671</v>
      </c>
      <c r="CF73" s="95">
        <f t="shared" si="67"/>
        <v>19084.821428571526</v>
      </c>
      <c r="CG73" s="95">
        <f t="shared" si="67"/>
        <v>18582.589285714381</v>
      </c>
      <c r="CH73" s="95">
        <f t="shared" si="67"/>
        <v>18080.35714285724</v>
      </c>
      <c r="CI73" s="95">
        <f t="shared" si="67"/>
        <v>17578.125000000095</v>
      </c>
      <c r="CJ73" s="95">
        <f t="shared" si="67"/>
        <v>17075.892857142953</v>
      </c>
      <c r="CK73" s="95">
        <f t="shared" si="67"/>
        <v>16573.660714285808</v>
      </c>
      <c r="CL73" s="95">
        <f t="shared" si="67"/>
        <v>16071.428571428665</v>
      </c>
      <c r="CM73" s="95">
        <f t="shared" si="67"/>
        <v>15569.196428571522</v>
      </c>
      <c r="CN73" s="95">
        <f t="shared" si="67"/>
        <v>15066.964285714377</v>
      </c>
      <c r="CO73" s="95">
        <f t="shared" si="67"/>
        <v>14564.732142857234</v>
      </c>
      <c r="CP73" s="95">
        <f t="shared" si="67"/>
        <v>16875.000000000109</v>
      </c>
      <c r="CQ73" s="95">
        <f t="shared" si="67"/>
        <v>16272.321428571537</v>
      </c>
      <c r="CR73" s="95">
        <f t="shared" si="67"/>
        <v>15669.642857142964</v>
      </c>
      <c r="CS73" s="95">
        <f t="shared" si="67"/>
        <v>15066.964285714394</v>
      </c>
      <c r="CT73" s="95">
        <f t="shared" si="67"/>
        <v>14464.285714285821</v>
      </c>
      <c r="CU73" s="95">
        <f t="shared" si="67"/>
        <v>13861.607142857249</v>
      </c>
      <c r="CV73" s="95">
        <f t="shared" si="67"/>
        <v>13258.928571428676</v>
      </c>
      <c r="CW73" s="95">
        <f t="shared" si="67"/>
        <v>12656.250000000104</v>
      </c>
      <c r="CX73" s="95">
        <f t="shared" si="67"/>
        <v>12053.571428571533</v>
      </c>
      <c r="CY73" s="95">
        <f t="shared" si="67"/>
        <v>11450.892857142961</v>
      </c>
      <c r="CZ73" s="95">
        <f t="shared" si="67"/>
        <v>10848.21428571439</v>
      </c>
      <c r="DA73" s="95">
        <f t="shared" si="67"/>
        <v>10245.535714285819</v>
      </c>
      <c r="DB73" s="95">
        <f t="shared" si="67"/>
        <v>9642.8571428572486</v>
      </c>
      <c r="DC73" s="95">
        <f t="shared" si="67"/>
        <v>9040.178571428678</v>
      </c>
      <c r="DD73" s="95">
        <f t="shared" si="67"/>
        <v>8437.5000000001073</v>
      </c>
      <c r="DE73" s="95">
        <f t="shared" si="67"/>
        <v>7834.8214285715367</v>
      </c>
      <c r="DF73" s="95">
        <f t="shared" si="67"/>
        <v>7232.1428571429651</v>
      </c>
      <c r="DG73" s="95">
        <f t="shared" si="67"/>
        <v>6629.4642857143945</v>
      </c>
      <c r="DH73" s="95">
        <f t="shared" si="67"/>
        <v>6026.7857142858238</v>
      </c>
      <c r="DI73" s="95">
        <f t="shared" si="67"/>
        <v>5424.1071428572523</v>
      </c>
      <c r="DJ73" s="95">
        <f t="shared" si="67"/>
        <v>4821.4285714286807</v>
      </c>
      <c r="DK73" s="95">
        <f t="shared" si="67"/>
        <v>4218.7500000001091</v>
      </c>
      <c r="DL73" s="95">
        <f t="shared" si="67"/>
        <v>3616.0714285715376</v>
      </c>
      <c r="DM73" s="95">
        <f t="shared" si="67"/>
        <v>3013.392857142966</v>
      </c>
      <c r="DN73" s="95">
        <f t="shared" si="67"/>
        <v>2410.7142857143949</v>
      </c>
      <c r="DO73" s="95">
        <f t="shared" si="67"/>
        <v>1808.0357142858231</v>
      </c>
      <c r="DP73" s="95">
        <f t="shared" si="67"/>
        <v>1205.3571428572518</v>
      </c>
      <c r="DQ73" s="95">
        <f t="shared" si="67"/>
        <v>602.67857142868024</v>
      </c>
      <c r="DR73" s="95">
        <f t="shared" si="67"/>
        <v>0</v>
      </c>
      <c r="DS73" s="95">
        <f t="shared" si="67"/>
        <v>0</v>
      </c>
      <c r="DT73" s="95">
        <f t="shared" si="67"/>
        <v>0</v>
      </c>
      <c r="DU73" s="95">
        <f t="shared" si="67"/>
        <v>0</v>
      </c>
      <c r="DV73" s="95">
        <f t="shared" si="67"/>
        <v>0</v>
      </c>
      <c r="DW73" s="95">
        <f t="shared" si="67"/>
        <v>0</v>
      </c>
      <c r="DX73" s="95">
        <f t="shared" si="67"/>
        <v>0</v>
      </c>
      <c r="DY73" s="95">
        <f t="shared" si="67"/>
        <v>0</v>
      </c>
    </row>
    <row r="74" spans="1:129">
      <c r="D74" s="57" t="s">
        <v>194</v>
      </c>
      <c r="E74" s="87" t="s">
        <v>213</v>
      </c>
      <c r="G74" t="s">
        <v>146</v>
      </c>
      <c r="H74" cm="1">
        <f t="array" ref="H74">_xlfn.BYROW( J74:DY74, _xleta.SUM )</f>
        <v>-3285000.0000000121</v>
      </c>
      <c r="J74">
        <f xml:space="preserve"> J$82 * - 1</f>
        <v>-56250</v>
      </c>
      <c r="K74">
        <f t="shared" ref="K74:BV74" si="68" xml:space="preserve"> K$82 * - 1</f>
        <v>-55747.767857142862</v>
      </c>
      <c r="L74">
        <f t="shared" si="68"/>
        <v>-55245.535714285717</v>
      </c>
      <c r="M74">
        <f t="shared" si="68"/>
        <v>-54743.30357142858</v>
      </c>
      <c r="N74">
        <f t="shared" si="68"/>
        <v>-54241.071428571442</v>
      </c>
      <c r="O74">
        <f t="shared" si="68"/>
        <v>-53738.839285714304</v>
      </c>
      <c r="P74">
        <f t="shared" si="68"/>
        <v>-53236.607142857167</v>
      </c>
      <c r="Q74">
        <f t="shared" si="68"/>
        <v>-52734.375000000022</v>
      </c>
      <c r="R74">
        <f t="shared" si="68"/>
        <v>-52232.142857142884</v>
      </c>
      <c r="S74">
        <f t="shared" si="68"/>
        <v>-51729.910714285747</v>
      </c>
      <c r="T74">
        <f t="shared" si="68"/>
        <v>-51227.678571428609</v>
      </c>
      <c r="U74">
        <f t="shared" si="68"/>
        <v>-50725.446428571471</v>
      </c>
      <c r="V74">
        <f t="shared" si="68"/>
        <v>-50223.214285714326</v>
      </c>
      <c r="W74">
        <f t="shared" si="68"/>
        <v>-49720.982142857189</v>
      </c>
      <c r="X74">
        <f t="shared" si="68"/>
        <v>-49218.750000000051</v>
      </c>
      <c r="Y74">
        <f t="shared" si="68"/>
        <v>-48716.517857142913</v>
      </c>
      <c r="Z74">
        <f t="shared" si="68"/>
        <v>-48214.285714285776</v>
      </c>
      <c r="AA74">
        <f t="shared" si="68"/>
        <v>-47712.053571428631</v>
      </c>
      <c r="AB74">
        <f t="shared" si="68"/>
        <v>-47209.821428571493</v>
      </c>
      <c r="AC74">
        <f t="shared" si="68"/>
        <v>-46707.589285714355</v>
      </c>
      <c r="AD74">
        <f t="shared" si="68"/>
        <v>-46205.357142857218</v>
      </c>
      <c r="AE74">
        <f t="shared" si="68"/>
        <v>-45703.12500000008</v>
      </c>
      <c r="AF74">
        <f t="shared" si="68"/>
        <v>-45200.892857142935</v>
      </c>
      <c r="AG74">
        <f t="shared" si="68"/>
        <v>-44698.660714285797</v>
      </c>
      <c r="AH74">
        <f t="shared" si="68"/>
        <v>-44196.42857142866</v>
      </c>
      <c r="AI74">
        <f t="shared" si="68"/>
        <v>-43694.196428571522</v>
      </c>
      <c r="AJ74">
        <f t="shared" si="68"/>
        <v>-43191.964285714384</v>
      </c>
      <c r="AK74">
        <f t="shared" si="68"/>
        <v>-42689.73214285724</v>
      </c>
      <c r="AL74">
        <f t="shared" si="68"/>
        <v>-45000.000000000109</v>
      </c>
      <c r="AM74">
        <f t="shared" si="68"/>
        <v>-44464.285714285834</v>
      </c>
      <c r="AN74">
        <f t="shared" si="68"/>
        <v>-43928.571428571551</v>
      </c>
      <c r="AO74">
        <f t="shared" si="68"/>
        <v>-43392.857142857269</v>
      </c>
      <c r="AP74">
        <f t="shared" si="68"/>
        <v>-42857.142857142986</v>
      </c>
      <c r="AQ74">
        <f t="shared" si="68"/>
        <v>-42321.428571428703</v>
      </c>
      <c r="AR74">
        <f t="shared" si="68"/>
        <v>-41785.714285714421</v>
      </c>
      <c r="AS74">
        <f t="shared" si="68"/>
        <v>-41250.000000000131</v>
      </c>
      <c r="AT74">
        <f t="shared" si="68"/>
        <v>-40714.285714285841</v>
      </c>
      <c r="AU74">
        <f t="shared" si="68"/>
        <v>-40178.571428571551</v>
      </c>
      <c r="AV74">
        <f t="shared" si="68"/>
        <v>-39642.857142857269</v>
      </c>
      <c r="AW74">
        <f t="shared" si="68"/>
        <v>-39107.142857142979</v>
      </c>
      <c r="AX74">
        <f t="shared" si="68"/>
        <v>-38571.428571428696</v>
      </c>
      <c r="AY74">
        <f t="shared" si="68"/>
        <v>-38035.714285714406</v>
      </c>
      <c r="AZ74">
        <f t="shared" si="68"/>
        <v>-37500.000000000124</v>
      </c>
      <c r="BA74">
        <f t="shared" si="68"/>
        <v>-36964.285714285834</v>
      </c>
      <c r="BB74">
        <f t="shared" si="68"/>
        <v>-36428.571428571551</v>
      </c>
      <c r="BC74">
        <f t="shared" si="68"/>
        <v>-35892.857142857261</v>
      </c>
      <c r="BD74">
        <f t="shared" si="68"/>
        <v>-35357.142857142979</v>
      </c>
      <c r="BE74">
        <f t="shared" si="68"/>
        <v>-34821.428571428689</v>
      </c>
      <c r="BF74">
        <f t="shared" si="68"/>
        <v>-34285.714285714406</v>
      </c>
      <c r="BG74">
        <f t="shared" si="68"/>
        <v>-33750.000000000116</v>
      </c>
      <c r="BH74">
        <f t="shared" si="68"/>
        <v>-33214.285714285834</v>
      </c>
      <c r="BI74">
        <f t="shared" si="68"/>
        <v>-32678.571428571548</v>
      </c>
      <c r="BJ74">
        <f t="shared" si="68"/>
        <v>-32142.857142857261</v>
      </c>
      <c r="BK74">
        <f t="shared" si="68"/>
        <v>-31607.142857142975</v>
      </c>
      <c r="BL74">
        <f t="shared" si="68"/>
        <v>-31071.428571428689</v>
      </c>
      <c r="BM74">
        <f t="shared" si="68"/>
        <v>-30535.714285714403</v>
      </c>
      <c r="BN74">
        <f t="shared" si="68"/>
        <v>-28125.000000000109</v>
      </c>
      <c r="BO74">
        <f t="shared" si="68"/>
        <v>-27622.767857142964</v>
      </c>
      <c r="BP74">
        <f t="shared" si="68"/>
        <v>-27120.535714285823</v>
      </c>
      <c r="BQ74">
        <f t="shared" si="68"/>
        <v>-26618.303571428678</v>
      </c>
      <c r="BR74">
        <f t="shared" si="68"/>
        <v>-26116.071428571533</v>
      </c>
      <c r="BS74">
        <f t="shared" si="68"/>
        <v>-25613.839285714392</v>
      </c>
      <c r="BT74">
        <f t="shared" si="68"/>
        <v>-25111.607142857247</v>
      </c>
      <c r="BU74">
        <f t="shared" si="68"/>
        <v>-24609.375000000106</v>
      </c>
      <c r="BV74">
        <f t="shared" si="68"/>
        <v>-24107.142857142961</v>
      </c>
      <c r="BW74">
        <f t="shared" ref="BW74:DY74" si="69" xml:space="preserve"> BW$82 * - 1</f>
        <v>-23604.910714285816</v>
      </c>
      <c r="BX74">
        <f t="shared" si="69"/>
        <v>-23102.678571428674</v>
      </c>
      <c r="BY74">
        <f t="shared" si="69"/>
        <v>-22600.446428571529</v>
      </c>
      <c r="BZ74">
        <f t="shared" si="69"/>
        <v>-22098.214285714388</v>
      </c>
      <c r="CA74">
        <f t="shared" si="69"/>
        <v>-21595.982142857243</v>
      </c>
      <c r="CB74">
        <f t="shared" si="69"/>
        <v>-21093.750000000098</v>
      </c>
      <c r="CC74">
        <f t="shared" si="69"/>
        <v>-20591.517857142957</v>
      </c>
      <c r="CD74">
        <f t="shared" si="69"/>
        <v>-20089.285714285812</v>
      </c>
      <c r="CE74">
        <f t="shared" si="69"/>
        <v>-19587.053571428671</v>
      </c>
      <c r="CF74">
        <f t="shared" si="69"/>
        <v>-19084.821428571526</v>
      </c>
      <c r="CG74">
        <f t="shared" si="69"/>
        <v>-18582.589285714381</v>
      </c>
      <c r="CH74">
        <f t="shared" si="69"/>
        <v>-18080.35714285724</v>
      </c>
      <c r="CI74">
        <f t="shared" si="69"/>
        <v>-17578.125000000095</v>
      </c>
      <c r="CJ74">
        <f t="shared" si="69"/>
        <v>-17075.892857142953</v>
      </c>
      <c r="CK74">
        <f t="shared" si="69"/>
        <v>-16573.660714285808</v>
      </c>
      <c r="CL74">
        <f t="shared" si="69"/>
        <v>-16071.428571428665</v>
      </c>
      <c r="CM74">
        <f t="shared" si="69"/>
        <v>-15569.196428571522</v>
      </c>
      <c r="CN74">
        <f t="shared" si="69"/>
        <v>-15066.964285714377</v>
      </c>
      <c r="CO74">
        <f t="shared" si="69"/>
        <v>-14564.732142857234</v>
      </c>
      <c r="CP74">
        <f t="shared" si="69"/>
        <v>-16875.000000000109</v>
      </c>
      <c r="CQ74">
        <f t="shared" si="69"/>
        <v>-16272.321428571537</v>
      </c>
      <c r="CR74">
        <f t="shared" si="69"/>
        <v>-15669.642857142964</v>
      </c>
      <c r="CS74">
        <f t="shared" si="69"/>
        <v>-15066.964285714394</v>
      </c>
      <c r="CT74">
        <f t="shared" si="69"/>
        <v>-14464.285714285821</v>
      </c>
      <c r="CU74">
        <f t="shared" si="69"/>
        <v>-13861.607142857249</v>
      </c>
      <c r="CV74">
        <f t="shared" si="69"/>
        <v>-13258.928571428676</v>
      </c>
      <c r="CW74">
        <f t="shared" si="69"/>
        <v>-12656.250000000104</v>
      </c>
      <c r="CX74">
        <f t="shared" si="69"/>
        <v>-12053.571428571533</v>
      </c>
      <c r="CY74">
        <f t="shared" si="69"/>
        <v>-11450.892857142961</v>
      </c>
      <c r="CZ74">
        <f t="shared" si="69"/>
        <v>-10848.21428571439</v>
      </c>
      <c r="DA74">
        <f t="shared" si="69"/>
        <v>-10245.535714285819</v>
      </c>
      <c r="DB74">
        <f t="shared" si="69"/>
        <v>-9642.8571428572486</v>
      </c>
      <c r="DC74">
        <f t="shared" si="69"/>
        <v>-9040.178571428678</v>
      </c>
      <c r="DD74">
        <f t="shared" si="69"/>
        <v>-8437.5000000001073</v>
      </c>
      <c r="DE74">
        <f t="shared" si="69"/>
        <v>-7834.8214285715367</v>
      </c>
      <c r="DF74">
        <f t="shared" si="69"/>
        <v>-7232.1428571429651</v>
      </c>
      <c r="DG74">
        <f t="shared" si="69"/>
        <v>-6629.4642857143945</v>
      </c>
      <c r="DH74">
        <f t="shared" si="69"/>
        <v>-6026.7857142858238</v>
      </c>
      <c r="DI74">
        <f t="shared" si="69"/>
        <v>-5424.1071428572523</v>
      </c>
      <c r="DJ74">
        <f t="shared" si="69"/>
        <v>-4821.4285714286807</v>
      </c>
      <c r="DK74">
        <f t="shared" si="69"/>
        <v>-4218.7500000001091</v>
      </c>
      <c r="DL74">
        <f t="shared" si="69"/>
        <v>-3616.0714285715376</v>
      </c>
      <c r="DM74">
        <f t="shared" si="69"/>
        <v>-3013.392857142966</v>
      </c>
      <c r="DN74">
        <f t="shared" si="69"/>
        <v>-2410.7142857143949</v>
      </c>
      <c r="DO74">
        <f t="shared" si="69"/>
        <v>-1808.0357142858231</v>
      </c>
      <c r="DP74">
        <f t="shared" si="69"/>
        <v>-1205.3571428572518</v>
      </c>
      <c r="DQ74">
        <f t="shared" si="69"/>
        <v>-602.67857142868024</v>
      </c>
      <c r="DR74">
        <f t="shared" si="69"/>
        <v>0</v>
      </c>
      <c r="DS74">
        <f t="shared" si="69"/>
        <v>0</v>
      </c>
      <c r="DT74">
        <f t="shared" si="69"/>
        <v>0</v>
      </c>
      <c r="DU74">
        <f t="shared" si="69"/>
        <v>0</v>
      </c>
      <c r="DV74">
        <f t="shared" si="69"/>
        <v>0</v>
      </c>
      <c r="DW74">
        <f t="shared" si="69"/>
        <v>0</v>
      </c>
      <c r="DX74">
        <f t="shared" si="69"/>
        <v>0</v>
      </c>
      <c r="DY74">
        <f t="shared" si="69"/>
        <v>0</v>
      </c>
    </row>
    <row r="75" spans="1:129">
      <c r="D75" s="57" t="s">
        <v>194</v>
      </c>
      <c r="E75" s="97" t="str">
        <f>E$85</f>
        <v>Junior Facility scheduled principal repayment</v>
      </c>
      <c r="F75" s="69">
        <f>F$85</f>
        <v>0</v>
      </c>
      <c r="G75" s="69" t="str">
        <f>G$85</f>
        <v>USD</v>
      </c>
      <c r="H75" s="69">
        <f>H$85</f>
        <v>2999999.9999999949</v>
      </c>
      <c r="I75" s="69">
        <f>I$85</f>
        <v>0</v>
      </c>
      <c r="J75" s="69">
        <f>J$85 * - 1</f>
        <v>-26785.714285714286</v>
      </c>
      <c r="K75" s="69">
        <f t="shared" ref="K75:BV75" si="70">K$85 * - 1</f>
        <v>-26785.714285714286</v>
      </c>
      <c r="L75" s="69">
        <f t="shared" si="70"/>
        <v>-26785.714285714286</v>
      </c>
      <c r="M75" s="69">
        <f t="shared" si="70"/>
        <v>-26785.714285714286</v>
      </c>
      <c r="N75" s="69">
        <f t="shared" si="70"/>
        <v>-26785.714285714286</v>
      </c>
      <c r="O75" s="69">
        <f t="shared" si="70"/>
        <v>-26785.714285714286</v>
      </c>
      <c r="P75" s="69">
        <f t="shared" si="70"/>
        <v>-26785.714285714286</v>
      </c>
      <c r="Q75" s="69">
        <f t="shared" si="70"/>
        <v>-26785.714285714286</v>
      </c>
      <c r="R75" s="69">
        <f t="shared" si="70"/>
        <v>-26785.714285714286</v>
      </c>
      <c r="S75" s="69">
        <f t="shared" si="70"/>
        <v>-26785.714285714286</v>
      </c>
      <c r="T75" s="69">
        <f t="shared" si="70"/>
        <v>-26785.714285714286</v>
      </c>
      <c r="U75" s="69">
        <f t="shared" si="70"/>
        <v>-26785.714285714286</v>
      </c>
      <c r="V75" s="69">
        <f t="shared" si="70"/>
        <v>-26785.714285714286</v>
      </c>
      <c r="W75" s="69">
        <f t="shared" si="70"/>
        <v>-26785.714285714286</v>
      </c>
      <c r="X75" s="69">
        <f t="shared" si="70"/>
        <v>-26785.714285714286</v>
      </c>
      <c r="Y75" s="69">
        <f t="shared" si="70"/>
        <v>-26785.714285714286</v>
      </c>
      <c r="Z75" s="69">
        <f t="shared" si="70"/>
        <v>-26785.714285714286</v>
      </c>
      <c r="AA75" s="69">
        <f t="shared" si="70"/>
        <v>-26785.714285714286</v>
      </c>
      <c r="AB75" s="69">
        <f t="shared" si="70"/>
        <v>-26785.714285714286</v>
      </c>
      <c r="AC75" s="69">
        <f t="shared" si="70"/>
        <v>-26785.714285714286</v>
      </c>
      <c r="AD75" s="69">
        <f t="shared" si="70"/>
        <v>-26785.714285714286</v>
      </c>
      <c r="AE75" s="69">
        <f t="shared" si="70"/>
        <v>-26785.714285714286</v>
      </c>
      <c r="AF75" s="69">
        <f t="shared" si="70"/>
        <v>-26785.714285714286</v>
      </c>
      <c r="AG75" s="69">
        <f t="shared" si="70"/>
        <v>-26785.714285714286</v>
      </c>
      <c r="AH75" s="69">
        <f t="shared" si="70"/>
        <v>-26785.714285714286</v>
      </c>
      <c r="AI75" s="69">
        <f t="shared" si="70"/>
        <v>-26785.714285714286</v>
      </c>
      <c r="AJ75" s="69">
        <f t="shared" si="70"/>
        <v>-26785.714285714286</v>
      </c>
      <c r="AK75" s="69">
        <f t="shared" si="70"/>
        <v>-26785.714285714286</v>
      </c>
      <c r="AL75" s="69">
        <f t="shared" si="70"/>
        <v>-26785.714285714286</v>
      </c>
      <c r="AM75" s="69">
        <f t="shared" si="70"/>
        <v>-26785.714285714286</v>
      </c>
      <c r="AN75" s="69">
        <f t="shared" si="70"/>
        <v>-26785.714285714286</v>
      </c>
      <c r="AO75" s="69">
        <f t="shared" si="70"/>
        <v>-26785.714285714286</v>
      </c>
      <c r="AP75" s="69">
        <f t="shared" si="70"/>
        <v>-26785.714285714286</v>
      </c>
      <c r="AQ75" s="69">
        <f t="shared" si="70"/>
        <v>-26785.714285714286</v>
      </c>
      <c r="AR75" s="69">
        <f t="shared" si="70"/>
        <v>-26785.714285714286</v>
      </c>
      <c r="AS75" s="69">
        <f t="shared" si="70"/>
        <v>-26785.714285714286</v>
      </c>
      <c r="AT75" s="69">
        <f t="shared" si="70"/>
        <v>-26785.714285714286</v>
      </c>
      <c r="AU75" s="69">
        <f t="shared" si="70"/>
        <v>-26785.714285714286</v>
      </c>
      <c r="AV75" s="69">
        <f t="shared" si="70"/>
        <v>-26785.714285714286</v>
      </c>
      <c r="AW75" s="69">
        <f t="shared" si="70"/>
        <v>-26785.714285714286</v>
      </c>
      <c r="AX75" s="69">
        <f t="shared" si="70"/>
        <v>-26785.714285714286</v>
      </c>
      <c r="AY75" s="69">
        <f t="shared" si="70"/>
        <v>-26785.714285714286</v>
      </c>
      <c r="AZ75" s="69">
        <f t="shared" si="70"/>
        <v>-26785.714285714286</v>
      </c>
      <c r="BA75" s="69">
        <f t="shared" si="70"/>
        <v>-26785.714285714286</v>
      </c>
      <c r="BB75" s="69">
        <f t="shared" si="70"/>
        <v>-26785.714285714286</v>
      </c>
      <c r="BC75" s="69">
        <f t="shared" si="70"/>
        <v>-26785.714285714286</v>
      </c>
      <c r="BD75" s="69">
        <f t="shared" si="70"/>
        <v>-26785.714285714286</v>
      </c>
      <c r="BE75" s="69">
        <f t="shared" si="70"/>
        <v>-26785.714285714286</v>
      </c>
      <c r="BF75" s="69">
        <f t="shared" si="70"/>
        <v>-26785.714285714286</v>
      </c>
      <c r="BG75" s="69">
        <f t="shared" si="70"/>
        <v>-26785.714285714286</v>
      </c>
      <c r="BH75" s="69">
        <f t="shared" si="70"/>
        <v>-26785.714285714286</v>
      </c>
      <c r="BI75" s="69">
        <f t="shared" si="70"/>
        <v>-26785.714285714286</v>
      </c>
      <c r="BJ75" s="69">
        <f t="shared" si="70"/>
        <v>-26785.714285714286</v>
      </c>
      <c r="BK75" s="69">
        <f t="shared" si="70"/>
        <v>-26785.714285714286</v>
      </c>
      <c r="BL75" s="69">
        <f t="shared" si="70"/>
        <v>-26785.714285714286</v>
      </c>
      <c r="BM75" s="69">
        <f t="shared" si="70"/>
        <v>-26785.714285714286</v>
      </c>
      <c r="BN75" s="69">
        <f t="shared" si="70"/>
        <v>-26785.714285714286</v>
      </c>
      <c r="BO75" s="69">
        <f t="shared" si="70"/>
        <v>-26785.714285714286</v>
      </c>
      <c r="BP75" s="69">
        <f t="shared" si="70"/>
        <v>-26785.714285714286</v>
      </c>
      <c r="BQ75" s="69">
        <f t="shared" si="70"/>
        <v>-26785.714285714286</v>
      </c>
      <c r="BR75" s="69">
        <f t="shared" si="70"/>
        <v>-26785.714285714286</v>
      </c>
      <c r="BS75" s="69">
        <f t="shared" si="70"/>
        <v>-26785.714285714286</v>
      </c>
      <c r="BT75" s="69">
        <f t="shared" si="70"/>
        <v>-26785.714285714286</v>
      </c>
      <c r="BU75" s="69">
        <f t="shared" si="70"/>
        <v>-26785.714285714286</v>
      </c>
      <c r="BV75" s="69">
        <f t="shared" si="70"/>
        <v>-26785.714285714286</v>
      </c>
      <c r="BW75" s="69">
        <f t="shared" ref="BW75:DY75" si="71">BW$85 * - 1</f>
        <v>-26785.714285714286</v>
      </c>
      <c r="BX75" s="69">
        <f t="shared" si="71"/>
        <v>-26785.714285714286</v>
      </c>
      <c r="BY75" s="69">
        <f t="shared" si="71"/>
        <v>-26785.714285714286</v>
      </c>
      <c r="BZ75" s="69">
        <f t="shared" si="71"/>
        <v>-26785.714285714286</v>
      </c>
      <c r="CA75" s="69">
        <f t="shared" si="71"/>
        <v>-26785.714285714286</v>
      </c>
      <c r="CB75" s="69">
        <f t="shared" si="71"/>
        <v>-26785.714285714286</v>
      </c>
      <c r="CC75" s="69">
        <f t="shared" si="71"/>
        <v>-26785.714285714286</v>
      </c>
      <c r="CD75" s="69">
        <f t="shared" si="71"/>
        <v>-26785.714285714286</v>
      </c>
      <c r="CE75" s="69">
        <f t="shared" si="71"/>
        <v>-26785.714285714286</v>
      </c>
      <c r="CF75" s="69">
        <f t="shared" si="71"/>
        <v>-26785.714285714286</v>
      </c>
      <c r="CG75" s="69">
        <f t="shared" si="71"/>
        <v>-26785.714285714286</v>
      </c>
      <c r="CH75" s="69">
        <f t="shared" si="71"/>
        <v>-26785.714285714286</v>
      </c>
      <c r="CI75" s="69">
        <f t="shared" si="71"/>
        <v>-26785.714285714286</v>
      </c>
      <c r="CJ75" s="69">
        <f t="shared" si="71"/>
        <v>-26785.714285714286</v>
      </c>
      <c r="CK75" s="69">
        <f t="shared" si="71"/>
        <v>-26785.714285714286</v>
      </c>
      <c r="CL75" s="69">
        <f t="shared" si="71"/>
        <v>-26785.714285714286</v>
      </c>
      <c r="CM75" s="69">
        <f t="shared" si="71"/>
        <v>-26785.714285714286</v>
      </c>
      <c r="CN75" s="69">
        <f t="shared" si="71"/>
        <v>-26785.714285714286</v>
      </c>
      <c r="CO75" s="69">
        <f t="shared" si="71"/>
        <v>-26785.714285714286</v>
      </c>
      <c r="CP75" s="69">
        <f t="shared" si="71"/>
        <v>-26785.714285714286</v>
      </c>
      <c r="CQ75" s="69">
        <f t="shared" si="71"/>
        <v>-26785.714285714286</v>
      </c>
      <c r="CR75" s="69">
        <f t="shared" si="71"/>
        <v>-26785.714285714286</v>
      </c>
      <c r="CS75" s="69">
        <f t="shared" si="71"/>
        <v>-26785.714285714286</v>
      </c>
      <c r="CT75" s="69">
        <f t="shared" si="71"/>
        <v>-26785.714285714286</v>
      </c>
      <c r="CU75" s="69">
        <f t="shared" si="71"/>
        <v>-26785.714285714286</v>
      </c>
      <c r="CV75" s="69">
        <f t="shared" si="71"/>
        <v>-26785.714285714286</v>
      </c>
      <c r="CW75" s="69">
        <f t="shared" si="71"/>
        <v>-26785.714285714286</v>
      </c>
      <c r="CX75" s="69">
        <f t="shared" si="71"/>
        <v>-26785.714285714286</v>
      </c>
      <c r="CY75" s="69">
        <f t="shared" si="71"/>
        <v>-26785.714285714286</v>
      </c>
      <c r="CZ75" s="69">
        <f t="shared" si="71"/>
        <v>-26785.714285714286</v>
      </c>
      <c r="DA75" s="69">
        <f t="shared" si="71"/>
        <v>-26785.714285714286</v>
      </c>
      <c r="DB75" s="69">
        <f t="shared" si="71"/>
        <v>-26785.714285714286</v>
      </c>
      <c r="DC75" s="69">
        <f t="shared" si="71"/>
        <v>-26785.714285714286</v>
      </c>
      <c r="DD75" s="69">
        <f t="shared" si="71"/>
        <v>-26785.714285714286</v>
      </c>
      <c r="DE75" s="69">
        <f t="shared" si="71"/>
        <v>-26785.714285714286</v>
      </c>
      <c r="DF75" s="69">
        <f t="shared" si="71"/>
        <v>-26785.714285714286</v>
      </c>
      <c r="DG75" s="69">
        <f t="shared" si="71"/>
        <v>-26785.714285714286</v>
      </c>
      <c r="DH75" s="69">
        <f t="shared" si="71"/>
        <v>-26785.714285714286</v>
      </c>
      <c r="DI75" s="69">
        <f t="shared" si="71"/>
        <v>-26785.714285714286</v>
      </c>
      <c r="DJ75" s="69">
        <f t="shared" si="71"/>
        <v>-26785.714285714286</v>
      </c>
      <c r="DK75" s="69">
        <f t="shared" si="71"/>
        <v>-26785.714285714286</v>
      </c>
      <c r="DL75" s="69">
        <f t="shared" si="71"/>
        <v>-26785.714285714286</v>
      </c>
      <c r="DM75" s="69">
        <f t="shared" si="71"/>
        <v>-26785.714285714286</v>
      </c>
      <c r="DN75" s="69">
        <f t="shared" si="71"/>
        <v>-26785.714285714286</v>
      </c>
      <c r="DO75" s="69">
        <f t="shared" si="71"/>
        <v>-26785.714285714286</v>
      </c>
      <c r="DP75" s="69">
        <f t="shared" si="71"/>
        <v>-26785.714285714286</v>
      </c>
      <c r="DQ75" s="69">
        <f t="shared" si="71"/>
        <v>-26785.714285714286</v>
      </c>
      <c r="DR75" s="69">
        <f t="shared" si="71"/>
        <v>0</v>
      </c>
      <c r="DS75" s="69">
        <f t="shared" si="71"/>
        <v>0</v>
      </c>
      <c r="DT75" s="69">
        <f t="shared" si="71"/>
        <v>0</v>
      </c>
      <c r="DU75" s="69">
        <f t="shared" si="71"/>
        <v>0</v>
      </c>
      <c r="DV75" s="69">
        <f t="shared" si="71"/>
        <v>0</v>
      </c>
      <c r="DW75" s="69">
        <f t="shared" si="71"/>
        <v>0</v>
      </c>
      <c r="DX75" s="69">
        <f t="shared" si="71"/>
        <v>0</v>
      </c>
      <c r="DY75" s="69">
        <f t="shared" si="71"/>
        <v>0</v>
      </c>
    </row>
    <row r="76" spans="1:129">
      <c r="E76" t="s">
        <v>214</v>
      </c>
      <c r="G76" t="s">
        <v>146</v>
      </c>
      <c r="I76" s="59"/>
      <c r="J76">
        <f t="shared" ref="J76:AO76" si="72">SUM(J71:J75)</f>
        <v>2973214.2857142859</v>
      </c>
      <c r="K76">
        <f t="shared" si="72"/>
        <v>2946428.5714285718</v>
      </c>
      <c r="L76">
        <f t="shared" si="72"/>
        <v>2919642.8571428577</v>
      </c>
      <c r="M76">
        <f t="shared" si="72"/>
        <v>2892857.1428571437</v>
      </c>
      <c r="N76">
        <f t="shared" si="72"/>
        <v>2866071.4285714296</v>
      </c>
      <c r="O76">
        <f t="shared" si="72"/>
        <v>2839285.7142857155</v>
      </c>
      <c r="P76">
        <f t="shared" si="72"/>
        <v>2812500.0000000014</v>
      </c>
      <c r="Q76">
        <f t="shared" si="72"/>
        <v>2785714.2857142873</v>
      </c>
      <c r="R76">
        <f t="shared" si="72"/>
        <v>2758928.5714285732</v>
      </c>
      <c r="S76">
        <f t="shared" si="72"/>
        <v>2732142.8571428591</v>
      </c>
      <c r="T76">
        <f t="shared" si="72"/>
        <v>2705357.1428571451</v>
      </c>
      <c r="U76">
        <f t="shared" si="72"/>
        <v>2678571.428571431</v>
      </c>
      <c r="V76">
        <f t="shared" si="72"/>
        <v>2651785.7142857169</v>
      </c>
      <c r="W76">
        <f t="shared" si="72"/>
        <v>2625000.0000000028</v>
      </c>
      <c r="X76">
        <f t="shared" si="72"/>
        <v>2598214.2857142887</v>
      </c>
      <c r="Y76">
        <f t="shared" si="72"/>
        <v>2571428.5714285746</v>
      </c>
      <c r="Z76">
        <f t="shared" si="72"/>
        <v>2544642.8571428605</v>
      </c>
      <c r="AA76">
        <f t="shared" si="72"/>
        <v>2517857.1428571464</v>
      </c>
      <c r="AB76">
        <f t="shared" si="72"/>
        <v>2491071.4285714324</v>
      </c>
      <c r="AC76">
        <f t="shared" si="72"/>
        <v>2464285.7142857183</v>
      </c>
      <c r="AD76">
        <f t="shared" si="72"/>
        <v>2437500.0000000042</v>
      </c>
      <c r="AE76">
        <f t="shared" si="72"/>
        <v>2410714.2857142901</v>
      </c>
      <c r="AF76">
        <f t="shared" si="72"/>
        <v>2383928.571428576</v>
      </c>
      <c r="AG76">
        <f t="shared" si="72"/>
        <v>2357142.8571428619</v>
      </c>
      <c r="AH76">
        <f t="shared" si="72"/>
        <v>2330357.1428571478</v>
      </c>
      <c r="AI76">
        <f t="shared" si="72"/>
        <v>2303571.4285714338</v>
      </c>
      <c r="AJ76">
        <f t="shared" si="72"/>
        <v>2276785.7142857197</v>
      </c>
      <c r="AK76">
        <f t="shared" si="72"/>
        <v>2250000.0000000056</v>
      </c>
      <c r="AL76">
        <f t="shared" si="72"/>
        <v>2223214.2857142915</v>
      </c>
      <c r="AM76">
        <f t="shared" si="72"/>
        <v>2196428.5714285774</v>
      </c>
      <c r="AN76">
        <f t="shared" si="72"/>
        <v>2169642.8571428633</v>
      </c>
      <c r="AO76">
        <f t="shared" si="72"/>
        <v>2142857.1428571492</v>
      </c>
      <c r="AP76">
        <f t="shared" ref="AP76:BU76" si="73">SUM(AP71:AP75)</f>
        <v>2116071.4285714352</v>
      </c>
      <c r="AQ76">
        <f t="shared" si="73"/>
        <v>2089285.7142857208</v>
      </c>
      <c r="AR76">
        <f t="shared" si="73"/>
        <v>2062500.0000000065</v>
      </c>
      <c r="AS76">
        <f t="shared" si="73"/>
        <v>2035714.285714292</v>
      </c>
      <c r="AT76">
        <f t="shared" si="73"/>
        <v>2008928.5714285776</v>
      </c>
      <c r="AU76">
        <f t="shared" si="73"/>
        <v>1982142.8571428633</v>
      </c>
      <c r="AV76">
        <f t="shared" si="73"/>
        <v>1955357.142857149</v>
      </c>
      <c r="AW76">
        <f t="shared" si="73"/>
        <v>1928571.4285714347</v>
      </c>
      <c r="AX76">
        <f t="shared" si="73"/>
        <v>1901785.7142857204</v>
      </c>
      <c r="AY76">
        <f t="shared" si="73"/>
        <v>1875000.0000000061</v>
      </c>
      <c r="AZ76">
        <f t="shared" si="73"/>
        <v>1848214.2857142917</v>
      </c>
      <c r="BA76">
        <f t="shared" si="73"/>
        <v>1821428.5714285774</v>
      </c>
      <c r="BB76">
        <f t="shared" si="73"/>
        <v>1794642.8571428631</v>
      </c>
      <c r="BC76">
        <f t="shared" si="73"/>
        <v>1767857.1428571488</v>
      </c>
      <c r="BD76">
        <f t="shared" si="73"/>
        <v>1741071.4285714345</v>
      </c>
      <c r="BE76">
        <f t="shared" si="73"/>
        <v>1714285.7142857201</v>
      </c>
      <c r="BF76">
        <f t="shared" si="73"/>
        <v>1687500.0000000058</v>
      </c>
      <c r="BG76">
        <f t="shared" si="73"/>
        <v>1660714.2857142917</v>
      </c>
      <c r="BH76">
        <f t="shared" si="73"/>
        <v>1633928.5714285774</v>
      </c>
      <c r="BI76">
        <f t="shared" si="73"/>
        <v>1607142.8571428631</v>
      </c>
      <c r="BJ76">
        <f t="shared" si="73"/>
        <v>1580357.1428571488</v>
      </c>
      <c r="BK76">
        <f t="shared" si="73"/>
        <v>1553571.4285714345</v>
      </c>
      <c r="BL76">
        <f t="shared" si="73"/>
        <v>1526785.7142857201</v>
      </c>
      <c r="BM76">
        <f t="shared" si="73"/>
        <v>1500000.0000000058</v>
      </c>
      <c r="BN76">
        <f t="shared" si="73"/>
        <v>1473214.2857142915</v>
      </c>
      <c r="BO76">
        <f t="shared" si="73"/>
        <v>1446428.5714285772</v>
      </c>
      <c r="BP76">
        <f t="shared" si="73"/>
        <v>1419642.8571428629</v>
      </c>
      <c r="BQ76">
        <f t="shared" si="73"/>
        <v>1392857.1428571485</v>
      </c>
      <c r="BR76">
        <f t="shared" si="73"/>
        <v>1366071.4285714342</v>
      </c>
      <c r="BS76">
        <f t="shared" si="73"/>
        <v>1339285.7142857199</v>
      </c>
      <c r="BT76">
        <f t="shared" si="73"/>
        <v>1312500.0000000056</v>
      </c>
      <c r="BU76">
        <f t="shared" si="73"/>
        <v>1285714.2857142913</v>
      </c>
      <c r="BV76">
        <f t="shared" ref="BV76:DA76" si="74">SUM(BV71:BV75)</f>
        <v>1258928.5714285769</v>
      </c>
      <c r="BW76">
        <f t="shared" si="74"/>
        <v>1232142.8571428626</v>
      </c>
      <c r="BX76">
        <f t="shared" si="74"/>
        <v>1205357.1428571483</v>
      </c>
      <c r="BY76">
        <f t="shared" si="74"/>
        <v>1178571.428571434</v>
      </c>
      <c r="BZ76">
        <f t="shared" si="74"/>
        <v>1151785.7142857197</v>
      </c>
      <c r="CA76">
        <f t="shared" si="74"/>
        <v>1125000.0000000054</v>
      </c>
      <c r="CB76">
        <f t="shared" si="74"/>
        <v>1098214.285714291</v>
      </c>
      <c r="CC76">
        <f t="shared" si="74"/>
        <v>1071428.5714285767</v>
      </c>
      <c r="CD76">
        <f t="shared" si="74"/>
        <v>1044642.8571428624</v>
      </c>
      <c r="CE76">
        <f t="shared" si="74"/>
        <v>1017857.1428571481</v>
      </c>
      <c r="CF76">
        <f t="shared" si="74"/>
        <v>991071.42857143376</v>
      </c>
      <c r="CG76">
        <f t="shared" si="74"/>
        <v>964285.71428571944</v>
      </c>
      <c r="CH76">
        <f t="shared" si="74"/>
        <v>937500.00000000512</v>
      </c>
      <c r="CI76">
        <f t="shared" si="74"/>
        <v>910714.2857142908</v>
      </c>
      <c r="CJ76">
        <f t="shared" si="74"/>
        <v>883928.57142857648</v>
      </c>
      <c r="CK76">
        <f t="shared" si="74"/>
        <v>857142.85714286217</v>
      </c>
      <c r="CL76">
        <f t="shared" si="74"/>
        <v>830357.14285714785</v>
      </c>
      <c r="CM76">
        <f t="shared" si="74"/>
        <v>803571.42857143353</v>
      </c>
      <c r="CN76">
        <f t="shared" si="74"/>
        <v>776785.71428571921</v>
      </c>
      <c r="CO76">
        <f t="shared" si="74"/>
        <v>750000.00000000489</v>
      </c>
      <c r="CP76">
        <f t="shared" si="74"/>
        <v>723214.28571429057</v>
      </c>
      <c r="CQ76">
        <f t="shared" si="74"/>
        <v>696428.57142857625</v>
      </c>
      <c r="CR76">
        <f t="shared" si="74"/>
        <v>669642.85714286193</v>
      </c>
      <c r="CS76">
        <f t="shared" si="74"/>
        <v>642857.14285714761</v>
      </c>
      <c r="CT76">
        <f t="shared" si="74"/>
        <v>616071.42857143329</v>
      </c>
      <c r="CU76">
        <f t="shared" si="74"/>
        <v>589285.71428571898</v>
      </c>
      <c r="CV76">
        <f t="shared" si="74"/>
        <v>562500.00000000466</v>
      </c>
      <c r="CW76">
        <f t="shared" si="74"/>
        <v>535714.28571429034</v>
      </c>
      <c r="CX76">
        <f t="shared" si="74"/>
        <v>508928.57142857608</v>
      </c>
      <c r="CY76">
        <f t="shared" si="74"/>
        <v>482142.85714286182</v>
      </c>
      <c r="CZ76">
        <f t="shared" si="74"/>
        <v>455357.14285714756</v>
      </c>
      <c r="DA76">
        <f t="shared" si="74"/>
        <v>428571.42857143329</v>
      </c>
      <c r="DB76">
        <f t="shared" ref="DB76:DY76" si="75">SUM(DB71:DB75)</f>
        <v>401785.71428571903</v>
      </c>
      <c r="DC76">
        <f t="shared" si="75"/>
        <v>375000.00000000477</v>
      </c>
      <c r="DD76">
        <f t="shared" si="75"/>
        <v>348214.28571429051</v>
      </c>
      <c r="DE76">
        <f t="shared" si="75"/>
        <v>321428.57142857625</v>
      </c>
      <c r="DF76">
        <f t="shared" si="75"/>
        <v>294642.85714286199</v>
      </c>
      <c r="DG76">
        <f t="shared" si="75"/>
        <v>267857.14285714773</v>
      </c>
      <c r="DH76">
        <f t="shared" si="75"/>
        <v>241071.42857143344</v>
      </c>
      <c r="DI76">
        <f t="shared" si="75"/>
        <v>214285.71428571915</v>
      </c>
      <c r="DJ76">
        <f t="shared" si="75"/>
        <v>187500.00000000486</v>
      </c>
      <c r="DK76">
        <f t="shared" si="75"/>
        <v>160714.28571429057</v>
      </c>
      <c r="DL76">
        <f t="shared" si="75"/>
        <v>133928.57142857628</v>
      </c>
      <c r="DM76">
        <f t="shared" si="75"/>
        <v>107142.85714286199</v>
      </c>
      <c r="DN76">
        <f t="shared" si="75"/>
        <v>80357.142857147701</v>
      </c>
      <c r="DO76">
        <f t="shared" si="75"/>
        <v>53571.428571433411</v>
      </c>
      <c r="DP76">
        <f t="shared" si="75"/>
        <v>26785.714285719125</v>
      </c>
      <c r="DQ76">
        <f t="shared" si="75"/>
        <v>4.8385118134319782E-9</v>
      </c>
      <c r="DR76">
        <f t="shared" si="75"/>
        <v>4.8385118134319782E-9</v>
      </c>
      <c r="DS76">
        <f t="shared" si="75"/>
        <v>4.8385118134319782E-9</v>
      </c>
      <c r="DT76">
        <f t="shared" si="75"/>
        <v>4.8385118134319782E-9</v>
      </c>
      <c r="DU76">
        <f t="shared" si="75"/>
        <v>4.8385118134319782E-9</v>
      </c>
      <c r="DV76">
        <f t="shared" si="75"/>
        <v>4.8385118134319782E-9</v>
      </c>
      <c r="DW76">
        <f t="shared" si="75"/>
        <v>4.8385118134319782E-9</v>
      </c>
      <c r="DX76">
        <f t="shared" si="75"/>
        <v>4.8385118134319782E-9</v>
      </c>
      <c r="DY76">
        <f t="shared" si="75"/>
        <v>4.8385118134319782E-9</v>
      </c>
    </row>
    <row r="79" spans="1:129">
      <c r="C79" s="76" t="s">
        <v>215</v>
      </c>
    </row>
    <row r="80" spans="1:129">
      <c r="E80" t="str">
        <f>CaseData!C$19</f>
        <v>Initial Interest Rate</v>
      </c>
      <c r="G80" t="s">
        <v>189</v>
      </c>
      <c r="J80" s="88">
        <f xml:space="preserve"> IFERROR( Time!J$54 * _xlfn.XLOOKUP( J$3, CaseData!$G$43:$J$43, CaseData!$G$44:$J$44,,1 ), 0 )</f>
        <v>7.4999999999999997E-2</v>
      </c>
      <c r="K80" s="88">
        <f xml:space="preserve"> IFERROR( Time!K$54 * _xlfn.XLOOKUP( K$3, CaseData!$G$43:$J$43, CaseData!$G$44:$J$44,,1 ), 0 )</f>
        <v>7.4999999999999997E-2</v>
      </c>
      <c r="L80" s="88">
        <f xml:space="preserve"> IFERROR( Time!L$54 * _xlfn.XLOOKUP( L$3, CaseData!$G$43:$J$43, CaseData!$G$44:$J$44,,1 ), 0 )</f>
        <v>7.4999999999999997E-2</v>
      </c>
      <c r="M80" s="88">
        <f xml:space="preserve"> IFERROR( Time!M$54 * _xlfn.XLOOKUP( M$3, CaseData!$G$43:$J$43, CaseData!$G$44:$J$44,,1 ), 0 )</f>
        <v>7.4999999999999997E-2</v>
      </c>
      <c r="N80" s="88">
        <f xml:space="preserve"> IFERROR( Time!N$54 * _xlfn.XLOOKUP( N$3, CaseData!$G$43:$J$43, CaseData!$G$44:$J$44,,1 ), 0 )</f>
        <v>7.4999999999999997E-2</v>
      </c>
      <c r="O80" s="88">
        <f xml:space="preserve"> IFERROR( Time!O$54 * _xlfn.XLOOKUP( O$3, CaseData!$G$43:$J$43, CaseData!$G$44:$J$44,,1 ), 0 )</f>
        <v>7.4999999999999997E-2</v>
      </c>
      <c r="P80" s="88">
        <f xml:space="preserve"> IFERROR( Time!P$54 * _xlfn.XLOOKUP( P$3, CaseData!$G$43:$J$43, CaseData!$G$44:$J$44,,1 ), 0 )</f>
        <v>7.4999999999999997E-2</v>
      </c>
      <c r="Q80" s="88">
        <f xml:space="preserve"> IFERROR( Time!Q$54 * _xlfn.XLOOKUP( Q$3, CaseData!$G$43:$J$43, CaseData!$G$44:$J$44,,1 ), 0 )</f>
        <v>7.4999999999999997E-2</v>
      </c>
      <c r="R80" s="88">
        <f xml:space="preserve"> IFERROR( Time!R$54 * _xlfn.XLOOKUP( R$3, CaseData!$G$43:$J$43, CaseData!$G$44:$J$44,,1 ), 0 )</f>
        <v>7.4999999999999997E-2</v>
      </c>
      <c r="S80" s="88">
        <f xml:space="preserve"> IFERROR( Time!S$54 * _xlfn.XLOOKUP( S$3, CaseData!$G$43:$J$43, CaseData!$G$44:$J$44,,1 ), 0 )</f>
        <v>7.4999999999999997E-2</v>
      </c>
      <c r="T80" s="88">
        <f xml:space="preserve"> IFERROR( Time!T$54 * _xlfn.XLOOKUP( T$3, CaseData!$G$43:$J$43, CaseData!$G$44:$J$44,,1 ), 0 )</f>
        <v>7.4999999999999997E-2</v>
      </c>
      <c r="U80" s="88">
        <f xml:space="preserve"> IFERROR( Time!U$54 * _xlfn.XLOOKUP( U$3, CaseData!$G$43:$J$43, CaseData!$G$44:$J$44,,1 ), 0 )</f>
        <v>7.4999999999999997E-2</v>
      </c>
      <c r="V80" s="88">
        <f xml:space="preserve"> IFERROR( Time!V$54 * _xlfn.XLOOKUP( V$3, CaseData!$G$43:$J$43, CaseData!$G$44:$J$44,,1 ), 0 )</f>
        <v>7.4999999999999997E-2</v>
      </c>
      <c r="W80" s="88">
        <f xml:space="preserve"> IFERROR( Time!W$54 * _xlfn.XLOOKUP( W$3, CaseData!$G$43:$J$43, CaseData!$G$44:$J$44,,1 ), 0 )</f>
        <v>7.4999999999999997E-2</v>
      </c>
      <c r="X80" s="88">
        <f xml:space="preserve"> IFERROR( Time!X$54 * _xlfn.XLOOKUP( X$3, CaseData!$G$43:$J$43, CaseData!$G$44:$J$44,,1 ), 0 )</f>
        <v>7.4999999999999997E-2</v>
      </c>
      <c r="Y80" s="88">
        <f xml:space="preserve"> IFERROR( Time!Y$54 * _xlfn.XLOOKUP( Y$3, CaseData!$G$43:$J$43, CaseData!$G$44:$J$44,,1 ), 0 )</f>
        <v>7.4999999999999997E-2</v>
      </c>
      <c r="Z80" s="88">
        <f xml:space="preserve"> IFERROR( Time!Z$54 * _xlfn.XLOOKUP( Z$3, CaseData!$G$43:$J$43, CaseData!$G$44:$J$44,,1 ), 0 )</f>
        <v>7.4999999999999997E-2</v>
      </c>
      <c r="AA80" s="88">
        <f xml:space="preserve"> IFERROR( Time!AA$54 * _xlfn.XLOOKUP( AA$3, CaseData!$G$43:$J$43, CaseData!$G$44:$J$44,,1 ), 0 )</f>
        <v>7.4999999999999997E-2</v>
      </c>
      <c r="AB80" s="88">
        <f xml:space="preserve"> IFERROR( Time!AB$54 * _xlfn.XLOOKUP( AB$3, CaseData!$G$43:$J$43, CaseData!$G$44:$J$44,,1 ), 0 )</f>
        <v>7.4999999999999997E-2</v>
      </c>
      <c r="AC80" s="88">
        <f xml:space="preserve"> IFERROR( Time!AC$54 * _xlfn.XLOOKUP( AC$3, CaseData!$G$43:$J$43, CaseData!$G$44:$J$44,,1 ), 0 )</f>
        <v>7.4999999999999997E-2</v>
      </c>
      <c r="AD80" s="88">
        <f xml:space="preserve"> IFERROR( Time!AD$54 * _xlfn.XLOOKUP( AD$3, CaseData!$G$43:$J$43, CaseData!$G$44:$J$44,,1 ), 0 )</f>
        <v>7.4999999999999997E-2</v>
      </c>
      <c r="AE80" s="88">
        <f xml:space="preserve"> IFERROR( Time!AE$54 * _xlfn.XLOOKUP( AE$3, CaseData!$G$43:$J$43, CaseData!$G$44:$J$44,,1 ), 0 )</f>
        <v>7.4999999999999997E-2</v>
      </c>
      <c r="AF80" s="88">
        <f xml:space="preserve"> IFERROR( Time!AF$54 * _xlfn.XLOOKUP( AF$3, CaseData!$G$43:$J$43, CaseData!$G$44:$J$44,,1 ), 0 )</f>
        <v>7.4999999999999997E-2</v>
      </c>
      <c r="AG80" s="88">
        <f xml:space="preserve"> IFERROR( Time!AG$54 * _xlfn.XLOOKUP( AG$3, CaseData!$G$43:$J$43, CaseData!$G$44:$J$44,,1 ), 0 )</f>
        <v>7.4999999999999997E-2</v>
      </c>
      <c r="AH80" s="88">
        <f xml:space="preserve"> IFERROR( Time!AH$54 * _xlfn.XLOOKUP( AH$3, CaseData!$G$43:$J$43, CaseData!$G$44:$J$44,,1 ), 0 )</f>
        <v>7.4999999999999997E-2</v>
      </c>
      <c r="AI80" s="88">
        <f xml:space="preserve"> IFERROR( Time!AI$54 * _xlfn.XLOOKUP( AI$3, CaseData!$G$43:$J$43, CaseData!$G$44:$J$44,,1 ), 0 )</f>
        <v>7.4999999999999997E-2</v>
      </c>
      <c r="AJ80" s="88">
        <f xml:space="preserve"> IFERROR( Time!AJ$54 * _xlfn.XLOOKUP( AJ$3, CaseData!$G$43:$J$43, CaseData!$G$44:$J$44,,1 ), 0 )</f>
        <v>7.4999999999999997E-2</v>
      </c>
      <c r="AK80" s="88">
        <f xml:space="preserve"> IFERROR( Time!AK$54 * _xlfn.XLOOKUP( AK$3, CaseData!$G$43:$J$43, CaseData!$G$44:$J$44,,1 ), 0 )</f>
        <v>7.4999999999999997E-2</v>
      </c>
      <c r="AL80" s="88">
        <f xml:space="preserve"> IFERROR( Time!AL$54 * _xlfn.XLOOKUP( AL$3, CaseData!$G$43:$J$43, CaseData!$G$44:$J$44,,1 ), 0 )</f>
        <v>0.08</v>
      </c>
      <c r="AM80" s="88">
        <f xml:space="preserve"> IFERROR( Time!AM$54 * _xlfn.XLOOKUP( AM$3, CaseData!$G$43:$J$43, CaseData!$G$44:$J$44,,1 ), 0 )</f>
        <v>0.08</v>
      </c>
      <c r="AN80" s="88">
        <f xml:space="preserve"> IFERROR( Time!AN$54 * _xlfn.XLOOKUP( AN$3, CaseData!$G$43:$J$43, CaseData!$G$44:$J$44,,1 ), 0 )</f>
        <v>0.08</v>
      </c>
      <c r="AO80" s="88">
        <f xml:space="preserve"> IFERROR( Time!AO$54 * _xlfn.XLOOKUP( AO$3, CaseData!$G$43:$J$43, CaseData!$G$44:$J$44,,1 ), 0 )</f>
        <v>0.08</v>
      </c>
      <c r="AP80" s="88">
        <f xml:space="preserve"> IFERROR( Time!AP$54 * _xlfn.XLOOKUP( AP$3, CaseData!$G$43:$J$43, CaseData!$G$44:$J$44,,1 ), 0 )</f>
        <v>0.08</v>
      </c>
      <c r="AQ80" s="88">
        <f xml:space="preserve"> IFERROR( Time!AQ$54 * _xlfn.XLOOKUP( AQ$3, CaseData!$G$43:$J$43, CaseData!$G$44:$J$44,,1 ), 0 )</f>
        <v>0.08</v>
      </c>
      <c r="AR80" s="88">
        <f xml:space="preserve"> IFERROR( Time!AR$54 * _xlfn.XLOOKUP( AR$3, CaseData!$G$43:$J$43, CaseData!$G$44:$J$44,,1 ), 0 )</f>
        <v>0.08</v>
      </c>
      <c r="AS80" s="88">
        <f xml:space="preserve"> IFERROR( Time!AS$54 * _xlfn.XLOOKUP( AS$3, CaseData!$G$43:$J$43, CaseData!$G$44:$J$44,,1 ), 0 )</f>
        <v>0.08</v>
      </c>
      <c r="AT80" s="88">
        <f xml:space="preserve"> IFERROR( Time!AT$54 * _xlfn.XLOOKUP( AT$3, CaseData!$G$43:$J$43, CaseData!$G$44:$J$44,,1 ), 0 )</f>
        <v>0.08</v>
      </c>
      <c r="AU80" s="88">
        <f xml:space="preserve"> IFERROR( Time!AU$54 * _xlfn.XLOOKUP( AU$3, CaseData!$G$43:$J$43, CaseData!$G$44:$J$44,,1 ), 0 )</f>
        <v>0.08</v>
      </c>
      <c r="AV80" s="88">
        <f xml:space="preserve"> IFERROR( Time!AV$54 * _xlfn.XLOOKUP( AV$3, CaseData!$G$43:$J$43, CaseData!$G$44:$J$44,,1 ), 0 )</f>
        <v>0.08</v>
      </c>
      <c r="AW80" s="88">
        <f xml:space="preserve"> IFERROR( Time!AW$54 * _xlfn.XLOOKUP( AW$3, CaseData!$G$43:$J$43, CaseData!$G$44:$J$44,,1 ), 0 )</f>
        <v>0.08</v>
      </c>
      <c r="AX80" s="88">
        <f xml:space="preserve"> IFERROR( Time!AX$54 * _xlfn.XLOOKUP( AX$3, CaseData!$G$43:$J$43, CaseData!$G$44:$J$44,,1 ), 0 )</f>
        <v>0.08</v>
      </c>
      <c r="AY80" s="88">
        <f xml:space="preserve"> IFERROR( Time!AY$54 * _xlfn.XLOOKUP( AY$3, CaseData!$G$43:$J$43, CaseData!$G$44:$J$44,,1 ), 0 )</f>
        <v>0.08</v>
      </c>
      <c r="AZ80" s="88">
        <f xml:space="preserve"> IFERROR( Time!AZ$54 * _xlfn.XLOOKUP( AZ$3, CaseData!$G$43:$J$43, CaseData!$G$44:$J$44,,1 ), 0 )</f>
        <v>0.08</v>
      </c>
      <c r="BA80" s="88">
        <f xml:space="preserve"> IFERROR( Time!BA$54 * _xlfn.XLOOKUP( BA$3, CaseData!$G$43:$J$43, CaseData!$G$44:$J$44,,1 ), 0 )</f>
        <v>0.08</v>
      </c>
      <c r="BB80" s="88">
        <f xml:space="preserve"> IFERROR( Time!BB$54 * _xlfn.XLOOKUP( BB$3, CaseData!$G$43:$J$43, CaseData!$G$44:$J$44,,1 ), 0 )</f>
        <v>0.08</v>
      </c>
      <c r="BC80" s="88">
        <f xml:space="preserve"> IFERROR( Time!BC$54 * _xlfn.XLOOKUP( BC$3, CaseData!$G$43:$J$43, CaseData!$G$44:$J$44,,1 ), 0 )</f>
        <v>0.08</v>
      </c>
      <c r="BD80" s="88">
        <f xml:space="preserve"> IFERROR( Time!BD$54 * _xlfn.XLOOKUP( BD$3, CaseData!$G$43:$J$43, CaseData!$G$44:$J$44,,1 ), 0 )</f>
        <v>0.08</v>
      </c>
      <c r="BE80" s="88">
        <f xml:space="preserve"> IFERROR( Time!BE$54 * _xlfn.XLOOKUP( BE$3, CaseData!$G$43:$J$43, CaseData!$G$44:$J$44,,1 ), 0 )</f>
        <v>0.08</v>
      </c>
      <c r="BF80" s="88">
        <f xml:space="preserve"> IFERROR( Time!BF$54 * _xlfn.XLOOKUP( BF$3, CaseData!$G$43:$J$43, CaseData!$G$44:$J$44,,1 ), 0 )</f>
        <v>0.08</v>
      </c>
      <c r="BG80" s="88">
        <f xml:space="preserve"> IFERROR( Time!BG$54 * _xlfn.XLOOKUP( BG$3, CaseData!$G$43:$J$43, CaseData!$G$44:$J$44,,1 ), 0 )</f>
        <v>0.08</v>
      </c>
      <c r="BH80" s="88">
        <f xml:space="preserve"> IFERROR( Time!BH$54 * _xlfn.XLOOKUP( BH$3, CaseData!$G$43:$J$43, CaseData!$G$44:$J$44,,1 ), 0 )</f>
        <v>0.08</v>
      </c>
      <c r="BI80" s="88">
        <f xml:space="preserve"> IFERROR( Time!BI$54 * _xlfn.XLOOKUP( BI$3, CaseData!$G$43:$J$43, CaseData!$G$44:$J$44,,1 ), 0 )</f>
        <v>0.08</v>
      </c>
      <c r="BJ80" s="88">
        <f xml:space="preserve"> IFERROR( Time!BJ$54 * _xlfn.XLOOKUP( BJ$3, CaseData!$G$43:$J$43, CaseData!$G$44:$J$44,,1 ), 0 )</f>
        <v>0.08</v>
      </c>
      <c r="BK80" s="88">
        <f xml:space="preserve"> IFERROR( Time!BK$54 * _xlfn.XLOOKUP( BK$3, CaseData!$G$43:$J$43, CaseData!$G$44:$J$44,,1 ), 0 )</f>
        <v>0.08</v>
      </c>
      <c r="BL80" s="88">
        <f xml:space="preserve"> IFERROR( Time!BL$54 * _xlfn.XLOOKUP( BL$3, CaseData!$G$43:$J$43, CaseData!$G$44:$J$44,,1 ), 0 )</f>
        <v>0.08</v>
      </c>
      <c r="BM80" s="88">
        <f xml:space="preserve"> IFERROR( Time!BM$54 * _xlfn.XLOOKUP( BM$3, CaseData!$G$43:$J$43, CaseData!$G$44:$J$44,,1 ), 0 )</f>
        <v>0.08</v>
      </c>
      <c r="BN80" s="88">
        <f xml:space="preserve"> IFERROR( Time!BN$54 * _xlfn.XLOOKUP( BN$3, CaseData!$G$43:$J$43, CaseData!$G$44:$J$44,,1 ), 0 )</f>
        <v>7.4999999999999997E-2</v>
      </c>
      <c r="BO80" s="88">
        <f xml:space="preserve"> IFERROR( Time!BO$54 * _xlfn.XLOOKUP( BO$3, CaseData!$G$43:$J$43, CaseData!$G$44:$J$44,,1 ), 0 )</f>
        <v>7.4999999999999997E-2</v>
      </c>
      <c r="BP80" s="88">
        <f xml:space="preserve"> IFERROR( Time!BP$54 * _xlfn.XLOOKUP( BP$3, CaseData!$G$43:$J$43, CaseData!$G$44:$J$44,,1 ), 0 )</f>
        <v>7.4999999999999997E-2</v>
      </c>
      <c r="BQ80" s="88">
        <f xml:space="preserve"> IFERROR( Time!BQ$54 * _xlfn.XLOOKUP( BQ$3, CaseData!$G$43:$J$43, CaseData!$G$44:$J$44,,1 ), 0 )</f>
        <v>7.4999999999999997E-2</v>
      </c>
      <c r="BR80" s="88">
        <f xml:space="preserve"> IFERROR( Time!BR$54 * _xlfn.XLOOKUP( BR$3, CaseData!$G$43:$J$43, CaseData!$G$44:$J$44,,1 ), 0 )</f>
        <v>7.4999999999999997E-2</v>
      </c>
      <c r="BS80" s="88">
        <f xml:space="preserve"> IFERROR( Time!BS$54 * _xlfn.XLOOKUP( BS$3, CaseData!$G$43:$J$43, CaseData!$G$44:$J$44,,1 ), 0 )</f>
        <v>7.4999999999999997E-2</v>
      </c>
      <c r="BT80" s="88">
        <f xml:space="preserve"> IFERROR( Time!BT$54 * _xlfn.XLOOKUP( BT$3, CaseData!$G$43:$J$43, CaseData!$G$44:$J$44,,1 ), 0 )</f>
        <v>7.4999999999999997E-2</v>
      </c>
      <c r="BU80" s="88">
        <f xml:space="preserve"> IFERROR( Time!BU$54 * _xlfn.XLOOKUP( BU$3, CaseData!$G$43:$J$43, CaseData!$G$44:$J$44,,1 ), 0 )</f>
        <v>7.4999999999999997E-2</v>
      </c>
      <c r="BV80" s="88">
        <f xml:space="preserve"> IFERROR( Time!BV$54 * _xlfn.XLOOKUP( BV$3, CaseData!$G$43:$J$43, CaseData!$G$44:$J$44,,1 ), 0 )</f>
        <v>7.4999999999999997E-2</v>
      </c>
      <c r="BW80" s="88">
        <f xml:space="preserve"> IFERROR( Time!BW$54 * _xlfn.XLOOKUP( BW$3, CaseData!$G$43:$J$43, CaseData!$G$44:$J$44,,1 ), 0 )</f>
        <v>7.4999999999999997E-2</v>
      </c>
      <c r="BX80" s="88">
        <f xml:space="preserve"> IFERROR( Time!BX$54 * _xlfn.XLOOKUP( BX$3, CaseData!$G$43:$J$43, CaseData!$G$44:$J$44,,1 ), 0 )</f>
        <v>7.4999999999999997E-2</v>
      </c>
      <c r="BY80" s="88">
        <f xml:space="preserve"> IFERROR( Time!BY$54 * _xlfn.XLOOKUP( BY$3, CaseData!$G$43:$J$43, CaseData!$G$44:$J$44,,1 ), 0 )</f>
        <v>7.4999999999999997E-2</v>
      </c>
      <c r="BZ80" s="88">
        <f xml:space="preserve"> IFERROR( Time!BZ$54 * _xlfn.XLOOKUP( BZ$3, CaseData!$G$43:$J$43, CaseData!$G$44:$J$44,,1 ), 0 )</f>
        <v>7.4999999999999997E-2</v>
      </c>
      <c r="CA80" s="88">
        <f xml:space="preserve"> IFERROR( Time!CA$54 * _xlfn.XLOOKUP( CA$3, CaseData!$G$43:$J$43, CaseData!$G$44:$J$44,,1 ), 0 )</f>
        <v>7.4999999999999997E-2</v>
      </c>
      <c r="CB80" s="88">
        <f xml:space="preserve"> IFERROR( Time!CB$54 * _xlfn.XLOOKUP( CB$3, CaseData!$G$43:$J$43, CaseData!$G$44:$J$44,,1 ), 0 )</f>
        <v>7.4999999999999997E-2</v>
      </c>
      <c r="CC80" s="88">
        <f xml:space="preserve"> IFERROR( Time!CC$54 * _xlfn.XLOOKUP( CC$3, CaseData!$G$43:$J$43, CaseData!$G$44:$J$44,,1 ), 0 )</f>
        <v>7.4999999999999997E-2</v>
      </c>
      <c r="CD80" s="88">
        <f xml:space="preserve"> IFERROR( Time!CD$54 * _xlfn.XLOOKUP( CD$3, CaseData!$G$43:$J$43, CaseData!$G$44:$J$44,,1 ), 0 )</f>
        <v>7.4999999999999997E-2</v>
      </c>
      <c r="CE80" s="88">
        <f xml:space="preserve"> IFERROR( Time!CE$54 * _xlfn.XLOOKUP( CE$3, CaseData!$G$43:$J$43, CaseData!$G$44:$J$44,,1 ), 0 )</f>
        <v>7.4999999999999997E-2</v>
      </c>
      <c r="CF80" s="88">
        <f xml:space="preserve"> IFERROR( Time!CF$54 * _xlfn.XLOOKUP( CF$3, CaseData!$G$43:$J$43, CaseData!$G$44:$J$44,,1 ), 0 )</f>
        <v>7.4999999999999997E-2</v>
      </c>
      <c r="CG80" s="88">
        <f xml:space="preserve"> IFERROR( Time!CG$54 * _xlfn.XLOOKUP( CG$3, CaseData!$G$43:$J$43, CaseData!$G$44:$J$44,,1 ), 0 )</f>
        <v>7.4999999999999997E-2</v>
      </c>
      <c r="CH80" s="88">
        <f xml:space="preserve"> IFERROR( Time!CH$54 * _xlfn.XLOOKUP( CH$3, CaseData!$G$43:$J$43, CaseData!$G$44:$J$44,,1 ), 0 )</f>
        <v>7.4999999999999997E-2</v>
      </c>
      <c r="CI80" s="88">
        <f xml:space="preserve"> IFERROR( Time!CI$54 * _xlfn.XLOOKUP( CI$3, CaseData!$G$43:$J$43, CaseData!$G$44:$J$44,,1 ), 0 )</f>
        <v>7.4999999999999997E-2</v>
      </c>
      <c r="CJ80" s="88">
        <f xml:space="preserve"> IFERROR( Time!CJ$54 * _xlfn.XLOOKUP( CJ$3, CaseData!$G$43:$J$43, CaseData!$G$44:$J$44,,1 ), 0 )</f>
        <v>7.4999999999999997E-2</v>
      </c>
      <c r="CK80" s="88">
        <f xml:space="preserve"> IFERROR( Time!CK$54 * _xlfn.XLOOKUP( CK$3, CaseData!$G$43:$J$43, CaseData!$G$44:$J$44,,1 ), 0 )</f>
        <v>7.4999999999999997E-2</v>
      </c>
      <c r="CL80" s="88">
        <f xml:space="preserve"> IFERROR( Time!CL$54 * _xlfn.XLOOKUP( CL$3, CaseData!$G$43:$J$43, CaseData!$G$44:$J$44,,1 ), 0 )</f>
        <v>7.4999999999999997E-2</v>
      </c>
      <c r="CM80" s="88">
        <f xml:space="preserve"> IFERROR( Time!CM$54 * _xlfn.XLOOKUP( CM$3, CaseData!$G$43:$J$43, CaseData!$G$44:$J$44,,1 ), 0 )</f>
        <v>7.4999999999999997E-2</v>
      </c>
      <c r="CN80" s="88">
        <f xml:space="preserve"> IFERROR( Time!CN$54 * _xlfn.XLOOKUP( CN$3, CaseData!$G$43:$J$43, CaseData!$G$44:$J$44,,1 ), 0 )</f>
        <v>7.4999999999999997E-2</v>
      </c>
      <c r="CO80" s="88">
        <f xml:space="preserve"> IFERROR( Time!CO$54 * _xlfn.XLOOKUP( CO$3, CaseData!$G$43:$J$43, CaseData!$G$44:$J$44,,1 ), 0 )</f>
        <v>7.4999999999999997E-2</v>
      </c>
      <c r="CP80" s="88">
        <f xml:space="preserve"> IFERROR( Time!CP$54 * _xlfn.XLOOKUP( CP$3, CaseData!$G$43:$J$43, CaseData!$G$44:$J$44,,1 ), 0 )</f>
        <v>0.09</v>
      </c>
      <c r="CQ80" s="88">
        <f xml:space="preserve"> IFERROR( Time!CQ$54 * _xlfn.XLOOKUP( CQ$3, CaseData!$G$43:$J$43, CaseData!$G$44:$J$44,,1 ), 0 )</f>
        <v>0.09</v>
      </c>
      <c r="CR80" s="88">
        <f xml:space="preserve"> IFERROR( Time!CR$54 * _xlfn.XLOOKUP( CR$3, CaseData!$G$43:$J$43, CaseData!$G$44:$J$44,,1 ), 0 )</f>
        <v>0.09</v>
      </c>
      <c r="CS80" s="88">
        <f xml:space="preserve"> IFERROR( Time!CS$54 * _xlfn.XLOOKUP( CS$3, CaseData!$G$43:$J$43, CaseData!$G$44:$J$44,,1 ), 0 )</f>
        <v>0.09</v>
      </c>
      <c r="CT80" s="88">
        <f xml:space="preserve"> IFERROR( Time!CT$54 * _xlfn.XLOOKUP( CT$3, CaseData!$G$43:$J$43, CaseData!$G$44:$J$44,,1 ), 0 )</f>
        <v>0.09</v>
      </c>
      <c r="CU80" s="88">
        <f xml:space="preserve"> IFERROR( Time!CU$54 * _xlfn.XLOOKUP( CU$3, CaseData!$G$43:$J$43, CaseData!$G$44:$J$44,,1 ), 0 )</f>
        <v>0.09</v>
      </c>
      <c r="CV80" s="88">
        <f xml:space="preserve"> IFERROR( Time!CV$54 * _xlfn.XLOOKUP( CV$3, CaseData!$G$43:$J$43, CaseData!$G$44:$J$44,,1 ), 0 )</f>
        <v>0.09</v>
      </c>
      <c r="CW80" s="88">
        <f xml:space="preserve"> IFERROR( Time!CW$54 * _xlfn.XLOOKUP( CW$3, CaseData!$G$43:$J$43, CaseData!$G$44:$J$44,,1 ), 0 )</f>
        <v>0.09</v>
      </c>
      <c r="CX80" s="88">
        <f xml:space="preserve"> IFERROR( Time!CX$54 * _xlfn.XLOOKUP( CX$3, CaseData!$G$43:$J$43, CaseData!$G$44:$J$44,,1 ), 0 )</f>
        <v>0.09</v>
      </c>
      <c r="CY80" s="88">
        <f xml:space="preserve"> IFERROR( Time!CY$54 * _xlfn.XLOOKUP( CY$3, CaseData!$G$43:$J$43, CaseData!$G$44:$J$44,,1 ), 0 )</f>
        <v>0.09</v>
      </c>
      <c r="CZ80" s="88">
        <f xml:space="preserve"> IFERROR( Time!CZ$54 * _xlfn.XLOOKUP( CZ$3, CaseData!$G$43:$J$43, CaseData!$G$44:$J$44,,1 ), 0 )</f>
        <v>0.09</v>
      </c>
      <c r="DA80" s="88">
        <f xml:space="preserve"> IFERROR( Time!DA$54 * _xlfn.XLOOKUP( DA$3, CaseData!$G$43:$J$43, CaseData!$G$44:$J$44,,1 ), 0 )</f>
        <v>0.09</v>
      </c>
      <c r="DB80" s="88">
        <f xml:space="preserve"> IFERROR( Time!DB$54 * _xlfn.XLOOKUP( DB$3, CaseData!$G$43:$J$43, CaseData!$G$44:$J$44,,1 ), 0 )</f>
        <v>0.09</v>
      </c>
      <c r="DC80" s="88">
        <f xml:space="preserve"> IFERROR( Time!DC$54 * _xlfn.XLOOKUP( DC$3, CaseData!$G$43:$J$43, CaseData!$G$44:$J$44,,1 ), 0 )</f>
        <v>0.09</v>
      </c>
      <c r="DD80" s="88">
        <f xml:space="preserve"> IFERROR( Time!DD$54 * _xlfn.XLOOKUP( DD$3, CaseData!$G$43:$J$43, CaseData!$G$44:$J$44,,1 ), 0 )</f>
        <v>0.09</v>
      </c>
      <c r="DE80" s="88">
        <f xml:space="preserve"> IFERROR( Time!DE$54 * _xlfn.XLOOKUP( DE$3, CaseData!$G$43:$J$43, CaseData!$G$44:$J$44,,1 ), 0 )</f>
        <v>0.09</v>
      </c>
      <c r="DF80" s="88">
        <f xml:space="preserve"> IFERROR( Time!DF$54 * _xlfn.XLOOKUP( DF$3, CaseData!$G$43:$J$43, CaseData!$G$44:$J$44,,1 ), 0 )</f>
        <v>0.09</v>
      </c>
      <c r="DG80" s="88">
        <f xml:space="preserve"> IFERROR( Time!DG$54 * _xlfn.XLOOKUP( DG$3, CaseData!$G$43:$J$43, CaseData!$G$44:$J$44,,1 ), 0 )</f>
        <v>0.09</v>
      </c>
      <c r="DH80" s="88">
        <f xml:space="preserve"> IFERROR( Time!DH$54 * _xlfn.XLOOKUP( DH$3, CaseData!$G$43:$J$43, CaseData!$G$44:$J$44,,1 ), 0 )</f>
        <v>0.09</v>
      </c>
      <c r="DI80" s="88">
        <f xml:space="preserve"> IFERROR( Time!DI$54 * _xlfn.XLOOKUP( DI$3, CaseData!$G$43:$J$43, CaseData!$G$44:$J$44,,1 ), 0 )</f>
        <v>0.09</v>
      </c>
      <c r="DJ80" s="88">
        <f xml:space="preserve"> IFERROR( Time!DJ$54 * _xlfn.XLOOKUP( DJ$3, CaseData!$G$43:$J$43, CaseData!$G$44:$J$44,,1 ), 0 )</f>
        <v>0.09</v>
      </c>
      <c r="DK80" s="88">
        <f xml:space="preserve"> IFERROR( Time!DK$54 * _xlfn.XLOOKUP( DK$3, CaseData!$G$43:$J$43, CaseData!$G$44:$J$44,,1 ), 0 )</f>
        <v>0.09</v>
      </c>
      <c r="DL80" s="88">
        <f xml:space="preserve"> IFERROR( Time!DL$54 * _xlfn.XLOOKUP( DL$3, CaseData!$G$43:$J$43, CaseData!$G$44:$J$44,,1 ), 0 )</f>
        <v>0.09</v>
      </c>
      <c r="DM80" s="88">
        <f xml:space="preserve"> IFERROR( Time!DM$54 * _xlfn.XLOOKUP( DM$3, CaseData!$G$43:$J$43, CaseData!$G$44:$J$44,,1 ), 0 )</f>
        <v>0.09</v>
      </c>
      <c r="DN80" s="88">
        <f xml:space="preserve"> IFERROR( Time!DN$54 * _xlfn.XLOOKUP( DN$3, CaseData!$G$43:$J$43, CaseData!$G$44:$J$44,,1 ), 0 )</f>
        <v>0.09</v>
      </c>
      <c r="DO80" s="88">
        <f xml:space="preserve"> IFERROR( Time!DO$54 * _xlfn.XLOOKUP( DO$3, CaseData!$G$43:$J$43, CaseData!$G$44:$J$44,,1 ), 0 )</f>
        <v>0.09</v>
      </c>
      <c r="DP80" s="88">
        <f xml:space="preserve"> IFERROR( Time!DP$54 * _xlfn.XLOOKUP( DP$3, CaseData!$G$43:$J$43, CaseData!$G$44:$J$44,,1 ), 0 )</f>
        <v>0.09</v>
      </c>
      <c r="DQ80" s="88">
        <f xml:space="preserve"> IFERROR( Time!DQ$54 * _xlfn.XLOOKUP( DQ$3, CaseData!$G$43:$J$43, CaseData!$G$44:$J$44,,1 ), 0 )</f>
        <v>0.09</v>
      </c>
      <c r="DR80" s="88">
        <f xml:space="preserve"> IFERROR( Time!DR$54 * _xlfn.XLOOKUP( DR$3, CaseData!$G$43:$J$43, CaseData!$G$44:$J$44,,1 ), 0 )</f>
        <v>0</v>
      </c>
      <c r="DS80" s="88">
        <f xml:space="preserve"> IFERROR( Time!DS$54 * _xlfn.XLOOKUP( DS$3, CaseData!$G$43:$J$43, CaseData!$G$44:$J$44,,1 ), 0 )</f>
        <v>0</v>
      </c>
      <c r="DT80" s="88">
        <f xml:space="preserve"> IFERROR( Time!DT$54 * _xlfn.XLOOKUP( DT$3, CaseData!$G$43:$J$43, CaseData!$G$44:$J$44,,1 ), 0 )</f>
        <v>0</v>
      </c>
      <c r="DU80" s="88">
        <f xml:space="preserve"> IFERROR( Time!DU$54 * _xlfn.XLOOKUP( DU$3, CaseData!$G$43:$J$43, CaseData!$G$44:$J$44,,1 ), 0 )</f>
        <v>0</v>
      </c>
      <c r="DV80" s="88">
        <f xml:space="preserve"> IFERROR( Time!DV$54 * _xlfn.XLOOKUP( DV$3, CaseData!$G$43:$J$43, CaseData!$G$44:$J$44,,1 ), 0 )</f>
        <v>0</v>
      </c>
      <c r="DW80" s="88">
        <f xml:space="preserve"> IFERROR( Time!DW$54 * _xlfn.XLOOKUP( DW$3, CaseData!$G$43:$J$43, CaseData!$G$44:$J$44,,1 ), 0 )</f>
        <v>0</v>
      </c>
      <c r="DX80" s="88">
        <f xml:space="preserve"> IFERROR( Time!DX$54 * _xlfn.XLOOKUP( DX$3, CaseData!$G$43:$J$43, CaseData!$G$44:$J$44,,1 ), 0 )</f>
        <v>0</v>
      </c>
      <c r="DY80" s="88">
        <f xml:space="preserve"> IFERROR( Time!DY$54 * _xlfn.XLOOKUP( DY$3, CaseData!$G$43:$J$43, CaseData!$G$44:$J$44,,1 ), 0 )</f>
        <v>0</v>
      </c>
    </row>
    <row r="81" spans="1:129">
      <c r="E81" t="s">
        <v>190</v>
      </c>
      <c r="G81" t="s">
        <v>189</v>
      </c>
      <c r="J81" s="88">
        <f xml:space="preserve"> J$80 / 4</f>
        <v>1.8749999999999999E-2</v>
      </c>
      <c r="K81" s="88">
        <f t="shared" ref="K81:BV81" si="76" xml:space="preserve"> K$80 / 4</f>
        <v>1.8749999999999999E-2</v>
      </c>
      <c r="L81" s="88">
        <f t="shared" si="76"/>
        <v>1.8749999999999999E-2</v>
      </c>
      <c r="M81" s="88">
        <f t="shared" si="76"/>
        <v>1.8749999999999999E-2</v>
      </c>
      <c r="N81" s="88">
        <f t="shared" si="76"/>
        <v>1.8749999999999999E-2</v>
      </c>
      <c r="O81" s="88">
        <f t="shared" si="76"/>
        <v>1.8749999999999999E-2</v>
      </c>
      <c r="P81" s="88">
        <f t="shared" si="76"/>
        <v>1.8749999999999999E-2</v>
      </c>
      <c r="Q81" s="88">
        <f t="shared" si="76"/>
        <v>1.8749999999999999E-2</v>
      </c>
      <c r="R81" s="88">
        <f t="shared" si="76"/>
        <v>1.8749999999999999E-2</v>
      </c>
      <c r="S81" s="88">
        <f t="shared" si="76"/>
        <v>1.8749999999999999E-2</v>
      </c>
      <c r="T81" s="88">
        <f t="shared" si="76"/>
        <v>1.8749999999999999E-2</v>
      </c>
      <c r="U81" s="88">
        <f t="shared" si="76"/>
        <v>1.8749999999999999E-2</v>
      </c>
      <c r="V81" s="88">
        <f t="shared" si="76"/>
        <v>1.8749999999999999E-2</v>
      </c>
      <c r="W81" s="88">
        <f t="shared" si="76"/>
        <v>1.8749999999999999E-2</v>
      </c>
      <c r="X81" s="88">
        <f t="shared" si="76"/>
        <v>1.8749999999999999E-2</v>
      </c>
      <c r="Y81" s="88">
        <f t="shared" si="76"/>
        <v>1.8749999999999999E-2</v>
      </c>
      <c r="Z81" s="88">
        <f t="shared" si="76"/>
        <v>1.8749999999999999E-2</v>
      </c>
      <c r="AA81" s="88">
        <f t="shared" si="76"/>
        <v>1.8749999999999999E-2</v>
      </c>
      <c r="AB81" s="88">
        <f t="shared" si="76"/>
        <v>1.8749999999999999E-2</v>
      </c>
      <c r="AC81" s="88">
        <f t="shared" si="76"/>
        <v>1.8749999999999999E-2</v>
      </c>
      <c r="AD81" s="88">
        <f t="shared" si="76"/>
        <v>1.8749999999999999E-2</v>
      </c>
      <c r="AE81" s="88">
        <f t="shared" si="76"/>
        <v>1.8749999999999999E-2</v>
      </c>
      <c r="AF81" s="88">
        <f t="shared" si="76"/>
        <v>1.8749999999999999E-2</v>
      </c>
      <c r="AG81" s="88">
        <f t="shared" si="76"/>
        <v>1.8749999999999999E-2</v>
      </c>
      <c r="AH81" s="88">
        <f t="shared" si="76"/>
        <v>1.8749999999999999E-2</v>
      </c>
      <c r="AI81" s="88">
        <f t="shared" si="76"/>
        <v>1.8749999999999999E-2</v>
      </c>
      <c r="AJ81" s="88">
        <f t="shared" si="76"/>
        <v>1.8749999999999999E-2</v>
      </c>
      <c r="AK81" s="88">
        <f t="shared" si="76"/>
        <v>1.8749999999999999E-2</v>
      </c>
      <c r="AL81" s="88">
        <f t="shared" si="76"/>
        <v>0.02</v>
      </c>
      <c r="AM81" s="88">
        <f t="shared" si="76"/>
        <v>0.02</v>
      </c>
      <c r="AN81" s="88">
        <f t="shared" si="76"/>
        <v>0.02</v>
      </c>
      <c r="AO81" s="88">
        <f t="shared" si="76"/>
        <v>0.02</v>
      </c>
      <c r="AP81" s="88">
        <f t="shared" si="76"/>
        <v>0.02</v>
      </c>
      <c r="AQ81" s="88">
        <f t="shared" si="76"/>
        <v>0.02</v>
      </c>
      <c r="AR81" s="88">
        <f t="shared" si="76"/>
        <v>0.02</v>
      </c>
      <c r="AS81" s="88">
        <f t="shared" si="76"/>
        <v>0.02</v>
      </c>
      <c r="AT81" s="88">
        <f t="shared" si="76"/>
        <v>0.02</v>
      </c>
      <c r="AU81" s="88">
        <f t="shared" si="76"/>
        <v>0.02</v>
      </c>
      <c r="AV81" s="88">
        <f t="shared" si="76"/>
        <v>0.02</v>
      </c>
      <c r="AW81" s="88">
        <f t="shared" si="76"/>
        <v>0.02</v>
      </c>
      <c r="AX81" s="88">
        <f t="shared" si="76"/>
        <v>0.02</v>
      </c>
      <c r="AY81" s="88">
        <f t="shared" si="76"/>
        <v>0.02</v>
      </c>
      <c r="AZ81" s="88">
        <f t="shared" si="76"/>
        <v>0.02</v>
      </c>
      <c r="BA81" s="88">
        <f t="shared" si="76"/>
        <v>0.02</v>
      </c>
      <c r="BB81" s="88">
        <f t="shared" si="76"/>
        <v>0.02</v>
      </c>
      <c r="BC81" s="88">
        <f t="shared" si="76"/>
        <v>0.02</v>
      </c>
      <c r="BD81" s="88">
        <f t="shared" si="76"/>
        <v>0.02</v>
      </c>
      <c r="BE81" s="88">
        <f t="shared" si="76"/>
        <v>0.02</v>
      </c>
      <c r="BF81" s="88">
        <f t="shared" si="76"/>
        <v>0.02</v>
      </c>
      <c r="BG81" s="88">
        <f t="shared" si="76"/>
        <v>0.02</v>
      </c>
      <c r="BH81" s="88">
        <f t="shared" si="76"/>
        <v>0.02</v>
      </c>
      <c r="BI81" s="88">
        <f t="shared" si="76"/>
        <v>0.02</v>
      </c>
      <c r="BJ81" s="88">
        <f t="shared" si="76"/>
        <v>0.02</v>
      </c>
      <c r="BK81" s="88">
        <f t="shared" si="76"/>
        <v>0.02</v>
      </c>
      <c r="BL81" s="88">
        <f t="shared" si="76"/>
        <v>0.02</v>
      </c>
      <c r="BM81" s="88">
        <f t="shared" si="76"/>
        <v>0.02</v>
      </c>
      <c r="BN81" s="88">
        <f t="shared" si="76"/>
        <v>1.8749999999999999E-2</v>
      </c>
      <c r="BO81" s="88">
        <f t="shared" si="76"/>
        <v>1.8749999999999999E-2</v>
      </c>
      <c r="BP81" s="88">
        <f t="shared" si="76"/>
        <v>1.8749999999999999E-2</v>
      </c>
      <c r="BQ81" s="88">
        <f t="shared" si="76"/>
        <v>1.8749999999999999E-2</v>
      </c>
      <c r="BR81" s="88">
        <f t="shared" si="76"/>
        <v>1.8749999999999999E-2</v>
      </c>
      <c r="BS81" s="88">
        <f t="shared" si="76"/>
        <v>1.8749999999999999E-2</v>
      </c>
      <c r="BT81" s="88">
        <f t="shared" si="76"/>
        <v>1.8749999999999999E-2</v>
      </c>
      <c r="BU81" s="88">
        <f t="shared" si="76"/>
        <v>1.8749999999999999E-2</v>
      </c>
      <c r="BV81" s="88">
        <f t="shared" si="76"/>
        <v>1.8749999999999999E-2</v>
      </c>
      <c r="BW81" s="88">
        <f t="shared" ref="BW81:DY81" si="77" xml:space="preserve"> BW$80 / 4</f>
        <v>1.8749999999999999E-2</v>
      </c>
      <c r="BX81" s="88">
        <f t="shared" si="77"/>
        <v>1.8749999999999999E-2</v>
      </c>
      <c r="BY81" s="88">
        <f t="shared" si="77"/>
        <v>1.8749999999999999E-2</v>
      </c>
      <c r="BZ81" s="88">
        <f t="shared" si="77"/>
        <v>1.8749999999999999E-2</v>
      </c>
      <c r="CA81" s="88">
        <f t="shared" si="77"/>
        <v>1.8749999999999999E-2</v>
      </c>
      <c r="CB81" s="88">
        <f t="shared" si="77"/>
        <v>1.8749999999999999E-2</v>
      </c>
      <c r="CC81" s="88">
        <f t="shared" si="77"/>
        <v>1.8749999999999999E-2</v>
      </c>
      <c r="CD81" s="88">
        <f t="shared" si="77"/>
        <v>1.8749999999999999E-2</v>
      </c>
      <c r="CE81" s="88">
        <f t="shared" si="77"/>
        <v>1.8749999999999999E-2</v>
      </c>
      <c r="CF81" s="88">
        <f t="shared" si="77"/>
        <v>1.8749999999999999E-2</v>
      </c>
      <c r="CG81" s="88">
        <f t="shared" si="77"/>
        <v>1.8749999999999999E-2</v>
      </c>
      <c r="CH81" s="88">
        <f t="shared" si="77"/>
        <v>1.8749999999999999E-2</v>
      </c>
      <c r="CI81" s="88">
        <f t="shared" si="77"/>
        <v>1.8749999999999999E-2</v>
      </c>
      <c r="CJ81" s="88">
        <f t="shared" si="77"/>
        <v>1.8749999999999999E-2</v>
      </c>
      <c r="CK81" s="88">
        <f t="shared" si="77"/>
        <v>1.8749999999999999E-2</v>
      </c>
      <c r="CL81" s="88">
        <f t="shared" si="77"/>
        <v>1.8749999999999999E-2</v>
      </c>
      <c r="CM81" s="88">
        <f t="shared" si="77"/>
        <v>1.8749999999999999E-2</v>
      </c>
      <c r="CN81" s="88">
        <f t="shared" si="77"/>
        <v>1.8749999999999999E-2</v>
      </c>
      <c r="CO81" s="88">
        <f t="shared" si="77"/>
        <v>1.8749999999999999E-2</v>
      </c>
      <c r="CP81" s="88">
        <f t="shared" si="77"/>
        <v>2.2499999999999999E-2</v>
      </c>
      <c r="CQ81" s="88">
        <f t="shared" si="77"/>
        <v>2.2499999999999999E-2</v>
      </c>
      <c r="CR81" s="88">
        <f t="shared" si="77"/>
        <v>2.2499999999999999E-2</v>
      </c>
      <c r="CS81" s="88">
        <f t="shared" si="77"/>
        <v>2.2499999999999999E-2</v>
      </c>
      <c r="CT81" s="88">
        <f t="shared" si="77"/>
        <v>2.2499999999999999E-2</v>
      </c>
      <c r="CU81" s="88">
        <f t="shared" si="77"/>
        <v>2.2499999999999999E-2</v>
      </c>
      <c r="CV81" s="88">
        <f t="shared" si="77"/>
        <v>2.2499999999999999E-2</v>
      </c>
      <c r="CW81" s="88">
        <f t="shared" si="77"/>
        <v>2.2499999999999999E-2</v>
      </c>
      <c r="CX81" s="88">
        <f t="shared" si="77"/>
        <v>2.2499999999999999E-2</v>
      </c>
      <c r="CY81" s="88">
        <f t="shared" si="77"/>
        <v>2.2499999999999999E-2</v>
      </c>
      <c r="CZ81" s="88">
        <f t="shared" si="77"/>
        <v>2.2499999999999999E-2</v>
      </c>
      <c r="DA81" s="88">
        <f t="shared" si="77"/>
        <v>2.2499999999999999E-2</v>
      </c>
      <c r="DB81" s="88">
        <f t="shared" si="77"/>
        <v>2.2499999999999999E-2</v>
      </c>
      <c r="DC81" s="88">
        <f t="shared" si="77"/>
        <v>2.2499999999999999E-2</v>
      </c>
      <c r="DD81" s="88">
        <f t="shared" si="77"/>
        <v>2.2499999999999999E-2</v>
      </c>
      <c r="DE81" s="88">
        <f t="shared" si="77"/>
        <v>2.2499999999999999E-2</v>
      </c>
      <c r="DF81" s="88">
        <f t="shared" si="77"/>
        <v>2.2499999999999999E-2</v>
      </c>
      <c r="DG81" s="88">
        <f t="shared" si="77"/>
        <v>2.2499999999999999E-2</v>
      </c>
      <c r="DH81" s="88">
        <f t="shared" si="77"/>
        <v>2.2499999999999999E-2</v>
      </c>
      <c r="DI81" s="88">
        <f t="shared" si="77"/>
        <v>2.2499999999999999E-2</v>
      </c>
      <c r="DJ81" s="88">
        <f t="shared" si="77"/>
        <v>2.2499999999999999E-2</v>
      </c>
      <c r="DK81" s="88">
        <f t="shared" si="77"/>
        <v>2.2499999999999999E-2</v>
      </c>
      <c r="DL81" s="88">
        <f t="shared" si="77"/>
        <v>2.2499999999999999E-2</v>
      </c>
      <c r="DM81" s="88">
        <f t="shared" si="77"/>
        <v>2.2499999999999999E-2</v>
      </c>
      <c r="DN81" s="88">
        <f t="shared" si="77"/>
        <v>2.2499999999999999E-2</v>
      </c>
      <c r="DO81" s="88">
        <f t="shared" si="77"/>
        <v>2.2499999999999999E-2</v>
      </c>
      <c r="DP81" s="88">
        <f t="shared" si="77"/>
        <v>2.2499999999999999E-2</v>
      </c>
      <c r="DQ81" s="88">
        <f t="shared" si="77"/>
        <v>2.2499999999999999E-2</v>
      </c>
      <c r="DR81" s="88">
        <f t="shared" si="77"/>
        <v>0</v>
      </c>
      <c r="DS81" s="88">
        <f t="shared" si="77"/>
        <v>0</v>
      </c>
      <c r="DT81" s="88">
        <f t="shared" si="77"/>
        <v>0</v>
      </c>
      <c r="DU81" s="88">
        <f t="shared" si="77"/>
        <v>0</v>
      </c>
      <c r="DV81" s="88">
        <f t="shared" si="77"/>
        <v>0</v>
      </c>
      <c r="DW81" s="88">
        <f t="shared" si="77"/>
        <v>0</v>
      </c>
      <c r="DX81" s="88">
        <f t="shared" si="77"/>
        <v>0</v>
      </c>
      <c r="DY81" s="88">
        <f t="shared" si="77"/>
        <v>0</v>
      </c>
    </row>
    <row r="82" spans="1:129">
      <c r="E82" t="s">
        <v>215</v>
      </c>
      <c r="G82" t="s">
        <v>146</v>
      </c>
      <c r="H82" cm="1">
        <f t="array" ref="H82">_xlfn.BYROW( J82:DY82, _xleta.SUM )</f>
        <v>3285000.0000000121</v>
      </c>
      <c r="J82" s="93">
        <f t="shared" ref="J82:AO82" si="78" xml:space="preserve"> J$81 * J71</f>
        <v>56250</v>
      </c>
      <c r="K82">
        <f t="shared" si="78"/>
        <v>55747.767857142862</v>
      </c>
      <c r="L82">
        <f t="shared" si="78"/>
        <v>55245.535714285717</v>
      </c>
      <c r="M82">
        <f t="shared" si="78"/>
        <v>54743.30357142858</v>
      </c>
      <c r="N82">
        <f t="shared" si="78"/>
        <v>54241.071428571442</v>
      </c>
      <c r="O82">
        <f t="shared" si="78"/>
        <v>53738.839285714304</v>
      </c>
      <c r="P82">
        <f t="shared" si="78"/>
        <v>53236.607142857167</v>
      </c>
      <c r="Q82">
        <f t="shared" si="78"/>
        <v>52734.375000000022</v>
      </c>
      <c r="R82">
        <f t="shared" si="78"/>
        <v>52232.142857142884</v>
      </c>
      <c r="S82">
        <f t="shared" si="78"/>
        <v>51729.910714285747</v>
      </c>
      <c r="T82">
        <f t="shared" si="78"/>
        <v>51227.678571428609</v>
      </c>
      <c r="U82">
        <f t="shared" si="78"/>
        <v>50725.446428571471</v>
      </c>
      <c r="V82">
        <f t="shared" si="78"/>
        <v>50223.214285714326</v>
      </c>
      <c r="W82">
        <f t="shared" si="78"/>
        <v>49720.982142857189</v>
      </c>
      <c r="X82">
        <f t="shared" si="78"/>
        <v>49218.750000000051</v>
      </c>
      <c r="Y82">
        <f t="shared" si="78"/>
        <v>48716.517857142913</v>
      </c>
      <c r="Z82">
        <f t="shared" si="78"/>
        <v>48214.285714285776</v>
      </c>
      <c r="AA82">
        <f t="shared" si="78"/>
        <v>47712.053571428631</v>
      </c>
      <c r="AB82">
        <f t="shared" si="78"/>
        <v>47209.821428571493</v>
      </c>
      <c r="AC82">
        <f t="shared" si="78"/>
        <v>46707.589285714355</v>
      </c>
      <c r="AD82">
        <f t="shared" si="78"/>
        <v>46205.357142857218</v>
      </c>
      <c r="AE82">
        <f t="shared" si="78"/>
        <v>45703.12500000008</v>
      </c>
      <c r="AF82">
        <f t="shared" si="78"/>
        <v>45200.892857142935</v>
      </c>
      <c r="AG82">
        <f t="shared" si="78"/>
        <v>44698.660714285797</v>
      </c>
      <c r="AH82">
        <f t="shared" si="78"/>
        <v>44196.42857142866</v>
      </c>
      <c r="AI82">
        <f t="shared" si="78"/>
        <v>43694.196428571522</v>
      </c>
      <c r="AJ82">
        <f t="shared" si="78"/>
        <v>43191.964285714384</v>
      </c>
      <c r="AK82">
        <f t="shared" si="78"/>
        <v>42689.73214285724</v>
      </c>
      <c r="AL82">
        <f t="shared" si="78"/>
        <v>45000.000000000109</v>
      </c>
      <c r="AM82">
        <f t="shared" si="78"/>
        <v>44464.285714285834</v>
      </c>
      <c r="AN82">
        <f t="shared" si="78"/>
        <v>43928.571428571551</v>
      </c>
      <c r="AO82">
        <f t="shared" si="78"/>
        <v>43392.857142857269</v>
      </c>
      <c r="AP82">
        <f t="shared" ref="AP82:BU82" si="79" xml:space="preserve"> AP$81 * AP71</f>
        <v>42857.142857142986</v>
      </c>
      <c r="AQ82">
        <f t="shared" si="79"/>
        <v>42321.428571428703</v>
      </c>
      <c r="AR82">
        <f t="shared" si="79"/>
        <v>41785.714285714421</v>
      </c>
      <c r="AS82">
        <f t="shared" si="79"/>
        <v>41250.000000000131</v>
      </c>
      <c r="AT82">
        <f t="shared" si="79"/>
        <v>40714.285714285841</v>
      </c>
      <c r="AU82">
        <f t="shared" si="79"/>
        <v>40178.571428571551</v>
      </c>
      <c r="AV82">
        <f t="shared" si="79"/>
        <v>39642.857142857269</v>
      </c>
      <c r="AW82">
        <f t="shared" si="79"/>
        <v>39107.142857142979</v>
      </c>
      <c r="AX82">
        <f t="shared" si="79"/>
        <v>38571.428571428696</v>
      </c>
      <c r="AY82">
        <f t="shared" si="79"/>
        <v>38035.714285714406</v>
      </c>
      <c r="AZ82">
        <f t="shared" si="79"/>
        <v>37500.000000000124</v>
      </c>
      <c r="BA82">
        <f t="shared" si="79"/>
        <v>36964.285714285834</v>
      </c>
      <c r="BB82">
        <f t="shared" si="79"/>
        <v>36428.571428571551</v>
      </c>
      <c r="BC82">
        <f t="shared" si="79"/>
        <v>35892.857142857261</v>
      </c>
      <c r="BD82">
        <f t="shared" si="79"/>
        <v>35357.142857142979</v>
      </c>
      <c r="BE82">
        <f t="shared" si="79"/>
        <v>34821.428571428689</v>
      </c>
      <c r="BF82">
        <f t="shared" si="79"/>
        <v>34285.714285714406</v>
      </c>
      <c r="BG82">
        <f t="shared" si="79"/>
        <v>33750.000000000116</v>
      </c>
      <c r="BH82">
        <f t="shared" si="79"/>
        <v>33214.285714285834</v>
      </c>
      <c r="BI82">
        <f t="shared" si="79"/>
        <v>32678.571428571548</v>
      </c>
      <c r="BJ82">
        <f t="shared" si="79"/>
        <v>32142.857142857261</v>
      </c>
      <c r="BK82">
        <f t="shared" si="79"/>
        <v>31607.142857142975</v>
      </c>
      <c r="BL82">
        <f t="shared" si="79"/>
        <v>31071.428571428689</v>
      </c>
      <c r="BM82">
        <f t="shared" si="79"/>
        <v>30535.714285714403</v>
      </c>
      <c r="BN82">
        <f t="shared" si="79"/>
        <v>28125.000000000109</v>
      </c>
      <c r="BO82">
        <f t="shared" si="79"/>
        <v>27622.767857142964</v>
      </c>
      <c r="BP82">
        <f t="shared" si="79"/>
        <v>27120.535714285823</v>
      </c>
      <c r="BQ82">
        <f t="shared" si="79"/>
        <v>26618.303571428678</v>
      </c>
      <c r="BR82">
        <f t="shared" si="79"/>
        <v>26116.071428571533</v>
      </c>
      <c r="BS82">
        <f t="shared" si="79"/>
        <v>25613.839285714392</v>
      </c>
      <c r="BT82">
        <f t="shared" si="79"/>
        <v>25111.607142857247</v>
      </c>
      <c r="BU82">
        <f t="shared" si="79"/>
        <v>24609.375000000106</v>
      </c>
      <c r="BV82">
        <f t="shared" ref="BV82:DA82" si="80" xml:space="preserve"> BV$81 * BV71</f>
        <v>24107.142857142961</v>
      </c>
      <c r="BW82">
        <f t="shared" si="80"/>
        <v>23604.910714285816</v>
      </c>
      <c r="BX82">
        <f t="shared" si="80"/>
        <v>23102.678571428674</v>
      </c>
      <c r="BY82">
        <f t="shared" si="80"/>
        <v>22600.446428571529</v>
      </c>
      <c r="BZ82">
        <f t="shared" si="80"/>
        <v>22098.214285714388</v>
      </c>
      <c r="CA82">
        <f t="shared" si="80"/>
        <v>21595.982142857243</v>
      </c>
      <c r="CB82">
        <f t="shared" si="80"/>
        <v>21093.750000000098</v>
      </c>
      <c r="CC82">
        <f t="shared" si="80"/>
        <v>20591.517857142957</v>
      </c>
      <c r="CD82">
        <f t="shared" si="80"/>
        <v>20089.285714285812</v>
      </c>
      <c r="CE82">
        <f t="shared" si="80"/>
        <v>19587.053571428671</v>
      </c>
      <c r="CF82">
        <f t="shared" si="80"/>
        <v>19084.821428571526</v>
      </c>
      <c r="CG82">
        <f t="shared" si="80"/>
        <v>18582.589285714381</v>
      </c>
      <c r="CH82">
        <f t="shared" si="80"/>
        <v>18080.35714285724</v>
      </c>
      <c r="CI82">
        <f t="shared" si="80"/>
        <v>17578.125000000095</v>
      </c>
      <c r="CJ82">
        <f t="shared" si="80"/>
        <v>17075.892857142953</v>
      </c>
      <c r="CK82">
        <f t="shared" si="80"/>
        <v>16573.660714285808</v>
      </c>
      <c r="CL82">
        <f t="shared" si="80"/>
        <v>16071.428571428665</v>
      </c>
      <c r="CM82">
        <f t="shared" si="80"/>
        <v>15569.196428571522</v>
      </c>
      <c r="CN82">
        <f t="shared" si="80"/>
        <v>15066.964285714377</v>
      </c>
      <c r="CO82">
        <f t="shared" si="80"/>
        <v>14564.732142857234</v>
      </c>
      <c r="CP82">
        <f t="shared" si="80"/>
        <v>16875.000000000109</v>
      </c>
      <c r="CQ82">
        <f t="shared" si="80"/>
        <v>16272.321428571537</v>
      </c>
      <c r="CR82">
        <f t="shared" si="80"/>
        <v>15669.642857142964</v>
      </c>
      <c r="CS82">
        <f t="shared" si="80"/>
        <v>15066.964285714394</v>
      </c>
      <c r="CT82">
        <f t="shared" si="80"/>
        <v>14464.285714285821</v>
      </c>
      <c r="CU82">
        <f t="shared" si="80"/>
        <v>13861.607142857249</v>
      </c>
      <c r="CV82">
        <f t="shared" si="80"/>
        <v>13258.928571428676</v>
      </c>
      <c r="CW82">
        <f t="shared" si="80"/>
        <v>12656.250000000104</v>
      </c>
      <c r="CX82">
        <f t="shared" si="80"/>
        <v>12053.571428571533</v>
      </c>
      <c r="CY82">
        <f t="shared" si="80"/>
        <v>11450.892857142961</v>
      </c>
      <c r="CZ82">
        <f t="shared" si="80"/>
        <v>10848.21428571439</v>
      </c>
      <c r="DA82">
        <f t="shared" si="80"/>
        <v>10245.535714285819</v>
      </c>
      <c r="DB82">
        <f t="shared" ref="DB82:DY82" si="81" xml:space="preserve"> DB$81 * DB71</f>
        <v>9642.8571428572486</v>
      </c>
      <c r="DC82">
        <f t="shared" si="81"/>
        <v>9040.178571428678</v>
      </c>
      <c r="DD82">
        <f t="shared" si="81"/>
        <v>8437.5000000001073</v>
      </c>
      <c r="DE82">
        <f t="shared" si="81"/>
        <v>7834.8214285715367</v>
      </c>
      <c r="DF82">
        <f t="shared" si="81"/>
        <v>7232.1428571429651</v>
      </c>
      <c r="DG82">
        <f t="shared" si="81"/>
        <v>6629.4642857143945</v>
      </c>
      <c r="DH82">
        <f t="shared" si="81"/>
        <v>6026.7857142858238</v>
      </c>
      <c r="DI82">
        <f t="shared" si="81"/>
        <v>5424.1071428572523</v>
      </c>
      <c r="DJ82">
        <f t="shared" si="81"/>
        <v>4821.4285714286807</v>
      </c>
      <c r="DK82">
        <f t="shared" si="81"/>
        <v>4218.7500000001091</v>
      </c>
      <c r="DL82">
        <f t="shared" si="81"/>
        <v>3616.0714285715376</v>
      </c>
      <c r="DM82">
        <f t="shared" si="81"/>
        <v>3013.392857142966</v>
      </c>
      <c r="DN82">
        <f t="shared" si="81"/>
        <v>2410.7142857143949</v>
      </c>
      <c r="DO82">
        <f t="shared" si="81"/>
        <v>1808.0357142858231</v>
      </c>
      <c r="DP82">
        <f t="shared" si="81"/>
        <v>1205.3571428572518</v>
      </c>
      <c r="DQ82">
        <f t="shared" si="81"/>
        <v>602.67857142868024</v>
      </c>
      <c r="DR82">
        <f t="shared" si="81"/>
        <v>0</v>
      </c>
      <c r="DS82">
        <f t="shared" si="81"/>
        <v>0</v>
      </c>
      <c r="DT82">
        <f t="shared" si="81"/>
        <v>0</v>
      </c>
      <c r="DU82">
        <f t="shared" si="81"/>
        <v>0</v>
      </c>
      <c r="DV82">
        <f t="shared" si="81"/>
        <v>0</v>
      </c>
      <c r="DW82">
        <f t="shared" si="81"/>
        <v>0</v>
      </c>
      <c r="DX82">
        <f t="shared" si="81"/>
        <v>0</v>
      </c>
      <c r="DY82">
        <f t="shared" si="81"/>
        <v>0</v>
      </c>
    </row>
    <row r="84" spans="1:129">
      <c r="C84" s="76" t="s">
        <v>216</v>
      </c>
    </row>
    <row r="85" spans="1:129">
      <c r="E85" t="s">
        <v>217</v>
      </c>
      <c r="G85" t="s">
        <v>146</v>
      </c>
      <c r="H85" cm="1">
        <f t="array" ref="H85">_xlfn.BYROW( J85:DY85, _xleta.SUM )</f>
        <v>2999999.9999999949</v>
      </c>
      <c r="J85" s="93">
        <f xml:space="preserve"> IF( Time!J$54, $F$72 / Time!$H$54, 0 )</f>
        <v>26785.714285714286</v>
      </c>
      <c r="K85">
        <f xml:space="preserve"> IF( Time!K$54, $F$72 / Time!$H$54, 0 )</f>
        <v>26785.714285714286</v>
      </c>
      <c r="L85">
        <f xml:space="preserve"> IF( Time!L$54, $F$72 / Time!$H$54, 0 )</f>
        <v>26785.714285714286</v>
      </c>
      <c r="M85">
        <f xml:space="preserve"> IF( Time!M$54, $F$72 / Time!$H$54, 0 )</f>
        <v>26785.714285714286</v>
      </c>
      <c r="N85">
        <f xml:space="preserve"> IF( Time!N$54, $F$72 / Time!$H$54, 0 )</f>
        <v>26785.714285714286</v>
      </c>
      <c r="O85">
        <f xml:space="preserve"> IF( Time!O$54, $F$72 / Time!$H$54, 0 )</f>
        <v>26785.714285714286</v>
      </c>
      <c r="P85">
        <f xml:space="preserve"> IF( Time!P$54, $F$72 / Time!$H$54, 0 )</f>
        <v>26785.714285714286</v>
      </c>
      <c r="Q85">
        <f xml:space="preserve"> IF( Time!Q$54, $F$72 / Time!$H$54, 0 )</f>
        <v>26785.714285714286</v>
      </c>
      <c r="R85">
        <f xml:space="preserve"> IF( Time!R$54, $F$72 / Time!$H$54, 0 )</f>
        <v>26785.714285714286</v>
      </c>
      <c r="S85">
        <f xml:space="preserve"> IF( Time!S$54, $F$72 / Time!$H$54, 0 )</f>
        <v>26785.714285714286</v>
      </c>
      <c r="T85">
        <f xml:space="preserve"> IF( Time!T$54, $F$72 / Time!$H$54, 0 )</f>
        <v>26785.714285714286</v>
      </c>
      <c r="U85">
        <f xml:space="preserve"> IF( Time!U$54, $F$72 / Time!$H$54, 0 )</f>
        <v>26785.714285714286</v>
      </c>
      <c r="V85">
        <f xml:space="preserve"> IF( Time!V$54, $F$72 / Time!$H$54, 0 )</f>
        <v>26785.714285714286</v>
      </c>
      <c r="W85">
        <f xml:space="preserve"> IF( Time!W$54, $F$72 / Time!$H$54, 0 )</f>
        <v>26785.714285714286</v>
      </c>
      <c r="X85">
        <f xml:space="preserve"> IF( Time!X$54, $F$72 / Time!$H$54, 0 )</f>
        <v>26785.714285714286</v>
      </c>
      <c r="Y85">
        <f xml:space="preserve"> IF( Time!Y$54, $F$72 / Time!$H$54, 0 )</f>
        <v>26785.714285714286</v>
      </c>
      <c r="Z85">
        <f xml:space="preserve"> IF( Time!Z$54, $F$72 / Time!$H$54, 0 )</f>
        <v>26785.714285714286</v>
      </c>
      <c r="AA85">
        <f xml:space="preserve"> IF( Time!AA$54, $F$72 / Time!$H$54, 0 )</f>
        <v>26785.714285714286</v>
      </c>
      <c r="AB85">
        <f xml:space="preserve"> IF( Time!AB$54, $F$72 / Time!$H$54, 0 )</f>
        <v>26785.714285714286</v>
      </c>
      <c r="AC85">
        <f xml:space="preserve"> IF( Time!AC$54, $F$72 / Time!$H$54, 0 )</f>
        <v>26785.714285714286</v>
      </c>
      <c r="AD85">
        <f xml:space="preserve"> IF( Time!AD$54, $F$72 / Time!$H$54, 0 )</f>
        <v>26785.714285714286</v>
      </c>
      <c r="AE85">
        <f xml:space="preserve"> IF( Time!AE$54, $F$72 / Time!$H$54, 0 )</f>
        <v>26785.714285714286</v>
      </c>
      <c r="AF85">
        <f xml:space="preserve"> IF( Time!AF$54, $F$72 / Time!$H$54, 0 )</f>
        <v>26785.714285714286</v>
      </c>
      <c r="AG85">
        <f xml:space="preserve"> IF( Time!AG$54, $F$72 / Time!$H$54, 0 )</f>
        <v>26785.714285714286</v>
      </c>
      <c r="AH85">
        <f xml:space="preserve"> IF( Time!AH$54, $F$72 / Time!$H$54, 0 )</f>
        <v>26785.714285714286</v>
      </c>
      <c r="AI85">
        <f xml:space="preserve"> IF( Time!AI$54, $F$72 / Time!$H$54, 0 )</f>
        <v>26785.714285714286</v>
      </c>
      <c r="AJ85">
        <f xml:space="preserve"> IF( Time!AJ$54, $F$72 / Time!$H$54, 0 )</f>
        <v>26785.714285714286</v>
      </c>
      <c r="AK85">
        <f xml:space="preserve"> IF( Time!AK$54, $F$72 / Time!$H$54, 0 )</f>
        <v>26785.714285714286</v>
      </c>
      <c r="AL85">
        <f xml:space="preserve"> IF( Time!AL$54, $F$72 / Time!$H$54, 0 )</f>
        <v>26785.714285714286</v>
      </c>
      <c r="AM85">
        <f xml:space="preserve"> IF( Time!AM$54, $F$72 / Time!$H$54, 0 )</f>
        <v>26785.714285714286</v>
      </c>
      <c r="AN85">
        <f xml:space="preserve"> IF( Time!AN$54, $F$72 / Time!$H$54, 0 )</f>
        <v>26785.714285714286</v>
      </c>
      <c r="AO85">
        <f xml:space="preserve"> IF( Time!AO$54, $F$72 / Time!$H$54, 0 )</f>
        <v>26785.714285714286</v>
      </c>
      <c r="AP85">
        <f xml:space="preserve"> IF( Time!AP$54, $F$72 / Time!$H$54, 0 )</f>
        <v>26785.714285714286</v>
      </c>
      <c r="AQ85">
        <f xml:space="preserve"> IF( Time!AQ$54, $F$72 / Time!$H$54, 0 )</f>
        <v>26785.714285714286</v>
      </c>
      <c r="AR85">
        <f xml:space="preserve"> IF( Time!AR$54, $F$72 / Time!$H$54, 0 )</f>
        <v>26785.714285714286</v>
      </c>
      <c r="AS85">
        <f xml:space="preserve"> IF( Time!AS$54, $F$72 / Time!$H$54, 0 )</f>
        <v>26785.714285714286</v>
      </c>
      <c r="AT85">
        <f xml:space="preserve"> IF( Time!AT$54, $F$72 / Time!$H$54, 0 )</f>
        <v>26785.714285714286</v>
      </c>
      <c r="AU85">
        <f xml:space="preserve"> IF( Time!AU$54, $F$72 / Time!$H$54, 0 )</f>
        <v>26785.714285714286</v>
      </c>
      <c r="AV85">
        <f xml:space="preserve"> IF( Time!AV$54, $F$72 / Time!$H$54, 0 )</f>
        <v>26785.714285714286</v>
      </c>
      <c r="AW85">
        <f xml:space="preserve"> IF( Time!AW$54, $F$72 / Time!$H$54, 0 )</f>
        <v>26785.714285714286</v>
      </c>
      <c r="AX85">
        <f xml:space="preserve"> IF( Time!AX$54, $F$72 / Time!$H$54, 0 )</f>
        <v>26785.714285714286</v>
      </c>
      <c r="AY85">
        <f xml:space="preserve"> IF( Time!AY$54, $F$72 / Time!$H$54, 0 )</f>
        <v>26785.714285714286</v>
      </c>
      <c r="AZ85">
        <f xml:space="preserve"> IF( Time!AZ$54, $F$72 / Time!$H$54, 0 )</f>
        <v>26785.714285714286</v>
      </c>
      <c r="BA85">
        <f xml:space="preserve"> IF( Time!BA$54, $F$72 / Time!$H$54, 0 )</f>
        <v>26785.714285714286</v>
      </c>
      <c r="BB85">
        <f xml:space="preserve"> IF( Time!BB$54, $F$72 / Time!$H$54, 0 )</f>
        <v>26785.714285714286</v>
      </c>
      <c r="BC85">
        <f xml:space="preserve"> IF( Time!BC$54, $F$72 / Time!$H$54, 0 )</f>
        <v>26785.714285714286</v>
      </c>
      <c r="BD85">
        <f xml:space="preserve"> IF( Time!BD$54, $F$72 / Time!$H$54, 0 )</f>
        <v>26785.714285714286</v>
      </c>
      <c r="BE85">
        <f xml:space="preserve"> IF( Time!BE$54, $F$72 / Time!$H$54, 0 )</f>
        <v>26785.714285714286</v>
      </c>
      <c r="BF85">
        <f xml:space="preserve"> IF( Time!BF$54, $F$72 / Time!$H$54, 0 )</f>
        <v>26785.714285714286</v>
      </c>
      <c r="BG85">
        <f xml:space="preserve"> IF( Time!BG$54, $F$72 / Time!$H$54, 0 )</f>
        <v>26785.714285714286</v>
      </c>
      <c r="BH85">
        <f xml:space="preserve"> IF( Time!BH$54, $F$72 / Time!$H$54, 0 )</f>
        <v>26785.714285714286</v>
      </c>
      <c r="BI85">
        <f xml:space="preserve"> IF( Time!BI$54, $F$72 / Time!$H$54, 0 )</f>
        <v>26785.714285714286</v>
      </c>
      <c r="BJ85">
        <f xml:space="preserve"> IF( Time!BJ$54, $F$72 / Time!$H$54, 0 )</f>
        <v>26785.714285714286</v>
      </c>
      <c r="BK85">
        <f xml:space="preserve"> IF( Time!BK$54, $F$72 / Time!$H$54, 0 )</f>
        <v>26785.714285714286</v>
      </c>
      <c r="BL85">
        <f xml:space="preserve"> IF( Time!BL$54, $F$72 / Time!$H$54, 0 )</f>
        <v>26785.714285714286</v>
      </c>
      <c r="BM85">
        <f xml:space="preserve"> IF( Time!BM$54, $F$72 / Time!$H$54, 0 )</f>
        <v>26785.714285714286</v>
      </c>
      <c r="BN85">
        <f xml:space="preserve"> IF( Time!BN$54, $F$72 / Time!$H$54, 0 )</f>
        <v>26785.714285714286</v>
      </c>
      <c r="BO85">
        <f xml:space="preserve"> IF( Time!BO$54, $F$72 / Time!$H$54, 0 )</f>
        <v>26785.714285714286</v>
      </c>
      <c r="BP85">
        <f xml:space="preserve"> IF( Time!BP$54, $F$72 / Time!$H$54, 0 )</f>
        <v>26785.714285714286</v>
      </c>
      <c r="BQ85">
        <f xml:space="preserve"> IF( Time!BQ$54, $F$72 / Time!$H$54, 0 )</f>
        <v>26785.714285714286</v>
      </c>
      <c r="BR85">
        <f xml:space="preserve"> IF( Time!BR$54, $F$72 / Time!$H$54, 0 )</f>
        <v>26785.714285714286</v>
      </c>
      <c r="BS85">
        <f xml:space="preserve"> IF( Time!BS$54, $F$72 / Time!$H$54, 0 )</f>
        <v>26785.714285714286</v>
      </c>
      <c r="BT85">
        <f xml:space="preserve"> IF( Time!BT$54, $F$72 / Time!$H$54, 0 )</f>
        <v>26785.714285714286</v>
      </c>
      <c r="BU85">
        <f xml:space="preserve"> IF( Time!BU$54, $F$72 / Time!$H$54, 0 )</f>
        <v>26785.714285714286</v>
      </c>
      <c r="BV85">
        <f xml:space="preserve"> IF( Time!BV$54, $F$72 / Time!$H$54, 0 )</f>
        <v>26785.714285714286</v>
      </c>
      <c r="BW85">
        <f xml:space="preserve"> IF( Time!BW$54, $F$72 / Time!$H$54, 0 )</f>
        <v>26785.714285714286</v>
      </c>
      <c r="BX85">
        <f xml:space="preserve"> IF( Time!BX$54, $F$72 / Time!$H$54, 0 )</f>
        <v>26785.714285714286</v>
      </c>
      <c r="BY85">
        <f xml:space="preserve"> IF( Time!BY$54, $F$72 / Time!$H$54, 0 )</f>
        <v>26785.714285714286</v>
      </c>
      <c r="BZ85">
        <f xml:space="preserve"> IF( Time!BZ$54, $F$72 / Time!$H$54, 0 )</f>
        <v>26785.714285714286</v>
      </c>
      <c r="CA85">
        <f xml:space="preserve"> IF( Time!CA$54, $F$72 / Time!$H$54, 0 )</f>
        <v>26785.714285714286</v>
      </c>
      <c r="CB85">
        <f xml:space="preserve"> IF( Time!CB$54, $F$72 / Time!$H$54, 0 )</f>
        <v>26785.714285714286</v>
      </c>
      <c r="CC85">
        <f xml:space="preserve"> IF( Time!CC$54, $F$72 / Time!$H$54, 0 )</f>
        <v>26785.714285714286</v>
      </c>
      <c r="CD85">
        <f xml:space="preserve"> IF( Time!CD$54, $F$72 / Time!$H$54, 0 )</f>
        <v>26785.714285714286</v>
      </c>
      <c r="CE85">
        <f xml:space="preserve"> IF( Time!CE$54, $F$72 / Time!$H$54, 0 )</f>
        <v>26785.714285714286</v>
      </c>
      <c r="CF85">
        <f xml:space="preserve"> IF( Time!CF$54, $F$72 / Time!$H$54, 0 )</f>
        <v>26785.714285714286</v>
      </c>
      <c r="CG85">
        <f xml:space="preserve"> IF( Time!CG$54, $F$72 / Time!$H$54, 0 )</f>
        <v>26785.714285714286</v>
      </c>
      <c r="CH85">
        <f xml:space="preserve"> IF( Time!CH$54, $F$72 / Time!$H$54, 0 )</f>
        <v>26785.714285714286</v>
      </c>
      <c r="CI85">
        <f xml:space="preserve"> IF( Time!CI$54, $F$72 / Time!$H$54, 0 )</f>
        <v>26785.714285714286</v>
      </c>
      <c r="CJ85">
        <f xml:space="preserve"> IF( Time!CJ$54, $F$72 / Time!$H$54, 0 )</f>
        <v>26785.714285714286</v>
      </c>
      <c r="CK85">
        <f xml:space="preserve"> IF( Time!CK$54, $F$72 / Time!$H$54, 0 )</f>
        <v>26785.714285714286</v>
      </c>
      <c r="CL85">
        <f xml:space="preserve"> IF( Time!CL$54, $F$72 / Time!$H$54, 0 )</f>
        <v>26785.714285714286</v>
      </c>
      <c r="CM85">
        <f xml:space="preserve"> IF( Time!CM$54, $F$72 / Time!$H$54, 0 )</f>
        <v>26785.714285714286</v>
      </c>
      <c r="CN85">
        <f xml:space="preserve"> IF( Time!CN$54, $F$72 / Time!$H$54, 0 )</f>
        <v>26785.714285714286</v>
      </c>
      <c r="CO85">
        <f xml:space="preserve"> IF( Time!CO$54, $F$72 / Time!$H$54, 0 )</f>
        <v>26785.714285714286</v>
      </c>
      <c r="CP85">
        <f xml:space="preserve"> IF( Time!CP$54, $F$72 / Time!$H$54, 0 )</f>
        <v>26785.714285714286</v>
      </c>
      <c r="CQ85">
        <f xml:space="preserve"> IF( Time!CQ$54, $F$72 / Time!$H$54, 0 )</f>
        <v>26785.714285714286</v>
      </c>
      <c r="CR85">
        <f xml:space="preserve"> IF( Time!CR$54, $F$72 / Time!$H$54, 0 )</f>
        <v>26785.714285714286</v>
      </c>
      <c r="CS85">
        <f xml:space="preserve"> IF( Time!CS$54, $F$72 / Time!$H$54, 0 )</f>
        <v>26785.714285714286</v>
      </c>
      <c r="CT85">
        <f xml:space="preserve"> IF( Time!CT$54, $F$72 / Time!$H$54, 0 )</f>
        <v>26785.714285714286</v>
      </c>
      <c r="CU85">
        <f xml:space="preserve"> IF( Time!CU$54, $F$72 / Time!$H$54, 0 )</f>
        <v>26785.714285714286</v>
      </c>
      <c r="CV85">
        <f xml:space="preserve"> IF( Time!CV$54, $F$72 / Time!$H$54, 0 )</f>
        <v>26785.714285714286</v>
      </c>
      <c r="CW85">
        <f xml:space="preserve"> IF( Time!CW$54, $F$72 / Time!$H$54, 0 )</f>
        <v>26785.714285714286</v>
      </c>
      <c r="CX85">
        <f xml:space="preserve"> IF( Time!CX$54, $F$72 / Time!$H$54, 0 )</f>
        <v>26785.714285714286</v>
      </c>
      <c r="CY85">
        <f xml:space="preserve"> IF( Time!CY$54, $F$72 / Time!$H$54, 0 )</f>
        <v>26785.714285714286</v>
      </c>
      <c r="CZ85">
        <f xml:space="preserve"> IF( Time!CZ$54, $F$72 / Time!$H$54, 0 )</f>
        <v>26785.714285714286</v>
      </c>
      <c r="DA85">
        <f xml:space="preserve"> IF( Time!DA$54, $F$72 / Time!$H$54, 0 )</f>
        <v>26785.714285714286</v>
      </c>
      <c r="DB85">
        <f xml:space="preserve"> IF( Time!DB$54, $F$72 / Time!$H$54, 0 )</f>
        <v>26785.714285714286</v>
      </c>
      <c r="DC85">
        <f xml:space="preserve"> IF( Time!DC$54, $F$72 / Time!$H$54, 0 )</f>
        <v>26785.714285714286</v>
      </c>
      <c r="DD85">
        <f xml:space="preserve"> IF( Time!DD$54, $F$72 / Time!$H$54, 0 )</f>
        <v>26785.714285714286</v>
      </c>
      <c r="DE85">
        <f xml:space="preserve"> IF( Time!DE$54, $F$72 / Time!$H$54, 0 )</f>
        <v>26785.714285714286</v>
      </c>
      <c r="DF85">
        <f xml:space="preserve"> IF( Time!DF$54, $F$72 / Time!$H$54, 0 )</f>
        <v>26785.714285714286</v>
      </c>
      <c r="DG85">
        <f xml:space="preserve"> IF( Time!DG$54, $F$72 / Time!$H$54, 0 )</f>
        <v>26785.714285714286</v>
      </c>
      <c r="DH85">
        <f xml:space="preserve"> IF( Time!DH$54, $F$72 / Time!$H$54, 0 )</f>
        <v>26785.714285714286</v>
      </c>
      <c r="DI85">
        <f xml:space="preserve"> IF( Time!DI$54, $F$72 / Time!$H$54, 0 )</f>
        <v>26785.714285714286</v>
      </c>
      <c r="DJ85">
        <f xml:space="preserve"> IF( Time!DJ$54, $F$72 / Time!$H$54, 0 )</f>
        <v>26785.714285714286</v>
      </c>
      <c r="DK85">
        <f xml:space="preserve"> IF( Time!DK$54, $F$72 / Time!$H$54, 0 )</f>
        <v>26785.714285714286</v>
      </c>
      <c r="DL85">
        <f xml:space="preserve"> IF( Time!DL$54, $F$72 / Time!$H$54, 0 )</f>
        <v>26785.714285714286</v>
      </c>
      <c r="DM85">
        <f xml:space="preserve"> IF( Time!DM$54, $F$72 / Time!$H$54, 0 )</f>
        <v>26785.714285714286</v>
      </c>
      <c r="DN85">
        <f xml:space="preserve"> IF( Time!DN$54, $F$72 / Time!$H$54, 0 )</f>
        <v>26785.714285714286</v>
      </c>
      <c r="DO85">
        <f xml:space="preserve"> IF( Time!DO$54, $F$72 / Time!$H$54, 0 )</f>
        <v>26785.714285714286</v>
      </c>
      <c r="DP85">
        <f xml:space="preserve"> IF( Time!DP$54, $F$72 / Time!$H$54, 0 )</f>
        <v>26785.714285714286</v>
      </c>
      <c r="DQ85">
        <f xml:space="preserve"> IF( Time!DQ$54, $F$72 / Time!$H$54, 0 )</f>
        <v>26785.714285714286</v>
      </c>
      <c r="DR85">
        <f xml:space="preserve"> IF( Time!DR$54, $F$72 / Time!$H$54, 0 )</f>
        <v>0</v>
      </c>
      <c r="DS85">
        <f xml:space="preserve"> IF( Time!DS$54, $F$72 / Time!$H$54, 0 )</f>
        <v>0</v>
      </c>
      <c r="DT85">
        <f xml:space="preserve"> IF( Time!DT$54, $F$72 / Time!$H$54, 0 )</f>
        <v>0</v>
      </c>
      <c r="DU85">
        <f xml:space="preserve"> IF( Time!DU$54, $F$72 / Time!$H$54, 0 )</f>
        <v>0</v>
      </c>
      <c r="DV85">
        <f xml:space="preserve"> IF( Time!DV$54, $F$72 / Time!$H$54, 0 )</f>
        <v>0</v>
      </c>
      <c r="DW85">
        <f xml:space="preserve"> IF( Time!DW$54, $F$72 / Time!$H$54, 0 )</f>
        <v>0</v>
      </c>
      <c r="DX85">
        <f xml:space="preserve"> IF( Time!DX$54, $F$72 / Time!$H$54, 0 )</f>
        <v>0</v>
      </c>
      <c r="DY85">
        <f xml:space="preserve"> IF( Time!DY$54, $F$72 / Time!$H$54, 0 )</f>
        <v>0</v>
      </c>
    </row>
    <row r="87" spans="1:129">
      <c r="C87" s="76" t="s">
        <v>218</v>
      </c>
    </row>
    <row r="88" spans="1:129">
      <c r="E88" t="str">
        <f>E$82</f>
        <v>Junior Facility interest expenses</v>
      </c>
      <c r="G88" t="str">
        <f>G$82</f>
        <v>USD</v>
      </c>
      <c r="H88" cm="1">
        <f t="array" ref="H88">_xlfn.BYROW( J88:DY88, _xleta.SUM )</f>
        <v>3285000.0000000121</v>
      </c>
      <c r="I88">
        <f t="shared" ref="I88:AN88" si="82">I$82</f>
        <v>0</v>
      </c>
      <c r="J88">
        <f t="shared" si="82"/>
        <v>56250</v>
      </c>
      <c r="K88">
        <f t="shared" si="82"/>
        <v>55747.767857142862</v>
      </c>
      <c r="L88">
        <f t="shared" si="82"/>
        <v>55245.535714285717</v>
      </c>
      <c r="M88">
        <f t="shared" si="82"/>
        <v>54743.30357142858</v>
      </c>
      <c r="N88">
        <f t="shared" si="82"/>
        <v>54241.071428571442</v>
      </c>
      <c r="O88">
        <f t="shared" si="82"/>
        <v>53738.839285714304</v>
      </c>
      <c r="P88">
        <f t="shared" si="82"/>
        <v>53236.607142857167</v>
      </c>
      <c r="Q88">
        <f t="shared" si="82"/>
        <v>52734.375000000022</v>
      </c>
      <c r="R88">
        <f t="shared" si="82"/>
        <v>52232.142857142884</v>
      </c>
      <c r="S88">
        <f t="shared" si="82"/>
        <v>51729.910714285747</v>
      </c>
      <c r="T88">
        <f t="shared" si="82"/>
        <v>51227.678571428609</v>
      </c>
      <c r="U88">
        <f t="shared" si="82"/>
        <v>50725.446428571471</v>
      </c>
      <c r="V88">
        <f t="shared" si="82"/>
        <v>50223.214285714326</v>
      </c>
      <c r="W88">
        <f t="shared" si="82"/>
        <v>49720.982142857189</v>
      </c>
      <c r="X88">
        <f t="shared" si="82"/>
        <v>49218.750000000051</v>
      </c>
      <c r="Y88">
        <f t="shared" si="82"/>
        <v>48716.517857142913</v>
      </c>
      <c r="Z88">
        <f t="shared" si="82"/>
        <v>48214.285714285776</v>
      </c>
      <c r="AA88">
        <f t="shared" si="82"/>
        <v>47712.053571428631</v>
      </c>
      <c r="AB88">
        <f t="shared" si="82"/>
        <v>47209.821428571493</v>
      </c>
      <c r="AC88">
        <f t="shared" si="82"/>
        <v>46707.589285714355</v>
      </c>
      <c r="AD88">
        <f t="shared" si="82"/>
        <v>46205.357142857218</v>
      </c>
      <c r="AE88">
        <f t="shared" si="82"/>
        <v>45703.12500000008</v>
      </c>
      <c r="AF88">
        <f t="shared" si="82"/>
        <v>45200.892857142935</v>
      </c>
      <c r="AG88">
        <f t="shared" si="82"/>
        <v>44698.660714285797</v>
      </c>
      <c r="AH88">
        <f t="shared" si="82"/>
        <v>44196.42857142866</v>
      </c>
      <c r="AI88">
        <f t="shared" si="82"/>
        <v>43694.196428571522</v>
      </c>
      <c r="AJ88">
        <f t="shared" si="82"/>
        <v>43191.964285714384</v>
      </c>
      <c r="AK88">
        <f t="shared" si="82"/>
        <v>42689.73214285724</v>
      </c>
      <c r="AL88">
        <f t="shared" si="82"/>
        <v>45000.000000000109</v>
      </c>
      <c r="AM88">
        <f t="shared" si="82"/>
        <v>44464.285714285834</v>
      </c>
      <c r="AN88">
        <f t="shared" si="82"/>
        <v>43928.571428571551</v>
      </c>
      <c r="AO88">
        <f t="shared" ref="AO88:BQ88" si="83">AO$82</f>
        <v>43392.857142857269</v>
      </c>
      <c r="AP88">
        <f t="shared" si="83"/>
        <v>42857.142857142986</v>
      </c>
      <c r="AQ88">
        <f t="shared" si="83"/>
        <v>42321.428571428703</v>
      </c>
      <c r="AR88">
        <f t="shared" si="83"/>
        <v>41785.714285714421</v>
      </c>
      <c r="AS88">
        <f t="shared" si="83"/>
        <v>41250.000000000131</v>
      </c>
      <c r="AT88">
        <f t="shared" si="83"/>
        <v>40714.285714285841</v>
      </c>
      <c r="AU88">
        <f t="shared" si="83"/>
        <v>40178.571428571551</v>
      </c>
      <c r="AV88">
        <f t="shared" si="83"/>
        <v>39642.857142857269</v>
      </c>
      <c r="AW88">
        <f t="shared" si="83"/>
        <v>39107.142857142979</v>
      </c>
      <c r="AX88">
        <f t="shared" si="83"/>
        <v>38571.428571428696</v>
      </c>
      <c r="AY88">
        <f t="shared" si="83"/>
        <v>38035.714285714406</v>
      </c>
      <c r="AZ88">
        <f t="shared" si="83"/>
        <v>37500.000000000124</v>
      </c>
      <c r="BA88">
        <f t="shared" si="83"/>
        <v>36964.285714285834</v>
      </c>
      <c r="BB88">
        <f t="shared" si="83"/>
        <v>36428.571428571551</v>
      </c>
      <c r="BC88">
        <f t="shared" si="83"/>
        <v>35892.857142857261</v>
      </c>
      <c r="BD88">
        <f t="shared" si="83"/>
        <v>35357.142857142979</v>
      </c>
      <c r="BE88">
        <f t="shared" si="83"/>
        <v>34821.428571428689</v>
      </c>
      <c r="BF88">
        <f t="shared" si="83"/>
        <v>34285.714285714406</v>
      </c>
      <c r="BG88">
        <f t="shared" si="83"/>
        <v>33750.000000000116</v>
      </c>
      <c r="BH88">
        <f t="shared" si="83"/>
        <v>33214.285714285834</v>
      </c>
      <c r="BI88">
        <f t="shared" si="83"/>
        <v>32678.571428571548</v>
      </c>
      <c r="BJ88">
        <f t="shared" si="83"/>
        <v>32142.857142857261</v>
      </c>
      <c r="BK88">
        <f t="shared" si="83"/>
        <v>31607.142857142975</v>
      </c>
      <c r="BL88">
        <f t="shared" si="83"/>
        <v>31071.428571428689</v>
      </c>
      <c r="BM88">
        <f t="shared" si="83"/>
        <v>30535.714285714403</v>
      </c>
      <c r="BN88">
        <f t="shared" si="83"/>
        <v>28125.000000000109</v>
      </c>
      <c r="BO88">
        <f t="shared" si="83"/>
        <v>27622.767857142964</v>
      </c>
      <c r="BP88">
        <f t="shared" si="83"/>
        <v>27120.535714285823</v>
      </c>
      <c r="BQ88">
        <f t="shared" si="83"/>
        <v>26618.303571428678</v>
      </c>
      <c r="BR88">
        <f t="shared" ref="BR88:DY88" si="84">BR$82</f>
        <v>26116.071428571533</v>
      </c>
      <c r="BS88">
        <f t="shared" si="84"/>
        <v>25613.839285714392</v>
      </c>
      <c r="BT88">
        <f t="shared" si="84"/>
        <v>25111.607142857247</v>
      </c>
      <c r="BU88">
        <f t="shared" si="84"/>
        <v>24609.375000000106</v>
      </c>
      <c r="BV88">
        <f t="shared" si="84"/>
        <v>24107.142857142961</v>
      </c>
      <c r="BW88">
        <f t="shared" si="84"/>
        <v>23604.910714285816</v>
      </c>
      <c r="BX88">
        <f t="shared" si="84"/>
        <v>23102.678571428674</v>
      </c>
      <c r="BY88">
        <f t="shared" si="84"/>
        <v>22600.446428571529</v>
      </c>
      <c r="BZ88">
        <f t="shared" si="84"/>
        <v>22098.214285714388</v>
      </c>
      <c r="CA88">
        <f t="shared" si="84"/>
        <v>21595.982142857243</v>
      </c>
      <c r="CB88">
        <f t="shared" si="84"/>
        <v>21093.750000000098</v>
      </c>
      <c r="CC88">
        <f t="shared" si="84"/>
        <v>20591.517857142957</v>
      </c>
      <c r="CD88">
        <f t="shared" si="84"/>
        <v>20089.285714285812</v>
      </c>
      <c r="CE88">
        <f t="shared" si="84"/>
        <v>19587.053571428671</v>
      </c>
      <c r="CF88">
        <f t="shared" si="84"/>
        <v>19084.821428571526</v>
      </c>
      <c r="CG88">
        <f t="shared" si="84"/>
        <v>18582.589285714381</v>
      </c>
      <c r="CH88">
        <f t="shared" si="84"/>
        <v>18080.35714285724</v>
      </c>
      <c r="CI88">
        <f t="shared" si="84"/>
        <v>17578.125000000095</v>
      </c>
      <c r="CJ88">
        <f t="shared" si="84"/>
        <v>17075.892857142953</v>
      </c>
      <c r="CK88">
        <f t="shared" si="84"/>
        <v>16573.660714285808</v>
      </c>
      <c r="CL88">
        <f t="shared" si="84"/>
        <v>16071.428571428665</v>
      </c>
      <c r="CM88">
        <f t="shared" si="84"/>
        <v>15569.196428571522</v>
      </c>
      <c r="CN88">
        <f t="shared" si="84"/>
        <v>15066.964285714377</v>
      </c>
      <c r="CO88">
        <f t="shared" si="84"/>
        <v>14564.732142857234</v>
      </c>
      <c r="CP88">
        <f t="shared" si="84"/>
        <v>16875.000000000109</v>
      </c>
      <c r="CQ88">
        <f t="shared" si="84"/>
        <v>16272.321428571537</v>
      </c>
      <c r="CR88">
        <f t="shared" si="84"/>
        <v>15669.642857142964</v>
      </c>
      <c r="CS88">
        <f t="shared" si="84"/>
        <v>15066.964285714394</v>
      </c>
      <c r="CT88">
        <f t="shared" si="84"/>
        <v>14464.285714285821</v>
      </c>
      <c r="CU88">
        <f t="shared" si="84"/>
        <v>13861.607142857249</v>
      </c>
      <c r="CV88">
        <f t="shared" si="84"/>
        <v>13258.928571428676</v>
      </c>
      <c r="CW88">
        <f t="shared" si="84"/>
        <v>12656.250000000104</v>
      </c>
      <c r="CX88">
        <f t="shared" si="84"/>
        <v>12053.571428571533</v>
      </c>
      <c r="CY88">
        <f t="shared" si="84"/>
        <v>11450.892857142961</v>
      </c>
      <c r="CZ88">
        <f t="shared" si="84"/>
        <v>10848.21428571439</v>
      </c>
      <c r="DA88">
        <f t="shared" si="84"/>
        <v>10245.535714285819</v>
      </c>
      <c r="DB88">
        <f t="shared" si="84"/>
        <v>9642.8571428572486</v>
      </c>
      <c r="DC88">
        <f t="shared" si="84"/>
        <v>9040.178571428678</v>
      </c>
      <c r="DD88">
        <f t="shared" si="84"/>
        <v>8437.5000000001073</v>
      </c>
      <c r="DE88">
        <f t="shared" si="84"/>
        <v>7834.8214285715367</v>
      </c>
      <c r="DF88">
        <f t="shared" si="84"/>
        <v>7232.1428571429651</v>
      </c>
      <c r="DG88">
        <f t="shared" si="84"/>
        <v>6629.4642857143945</v>
      </c>
      <c r="DH88">
        <f t="shared" si="84"/>
        <v>6026.7857142858238</v>
      </c>
      <c r="DI88">
        <f t="shared" si="84"/>
        <v>5424.1071428572523</v>
      </c>
      <c r="DJ88">
        <f t="shared" si="84"/>
        <v>4821.4285714286807</v>
      </c>
      <c r="DK88">
        <f t="shared" si="84"/>
        <v>4218.7500000001091</v>
      </c>
      <c r="DL88">
        <f t="shared" si="84"/>
        <v>3616.0714285715376</v>
      </c>
      <c r="DM88">
        <f t="shared" si="84"/>
        <v>3013.392857142966</v>
      </c>
      <c r="DN88">
        <f t="shared" si="84"/>
        <v>2410.7142857143949</v>
      </c>
      <c r="DO88">
        <f t="shared" si="84"/>
        <v>1808.0357142858231</v>
      </c>
      <c r="DP88">
        <f t="shared" si="84"/>
        <v>1205.3571428572518</v>
      </c>
      <c r="DQ88">
        <f t="shared" si="84"/>
        <v>602.67857142868024</v>
      </c>
      <c r="DR88">
        <f t="shared" si="84"/>
        <v>0</v>
      </c>
      <c r="DS88">
        <f t="shared" si="84"/>
        <v>0</v>
      </c>
      <c r="DT88">
        <f t="shared" si="84"/>
        <v>0</v>
      </c>
      <c r="DU88">
        <f t="shared" si="84"/>
        <v>0</v>
      </c>
      <c r="DV88">
        <f t="shared" si="84"/>
        <v>0</v>
      </c>
      <c r="DW88">
        <f t="shared" si="84"/>
        <v>0</v>
      </c>
      <c r="DX88">
        <f t="shared" si="84"/>
        <v>0</v>
      </c>
      <c r="DY88">
        <f t="shared" si="84"/>
        <v>0</v>
      </c>
    </row>
    <row r="89" spans="1:129">
      <c r="E89" t="str">
        <f>E$85</f>
        <v>Junior Facility scheduled principal repayment</v>
      </c>
      <c r="G89" t="str">
        <f>G$85</f>
        <v>USD</v>
      </c>
      <c r="H89" cm="1">
        <f t="array" ref="H89">_xlfn.BYROW( J89:DY89, _xleta.SUM )</f>
        <v>2999999.9999999949</v>
      </c>
      <c r="I89">
        <f t="shared" ref="I89:AN89" si="85">I$85</f>
        <v>0</v>
      </c>
      <c r="J89">
        <f t="shared" si="85"/>
        <v>26785.714285714286</v>
      </c>
      <c r="K89">
        <f t="shared" si="85"/>
        <v>26785.714285714286</v>
      </c>
      <c r="L89">
        <f t="shared" si="85"/>
        <v>26785.714285714286</v>
      </c>
      <c r="M89">
        <f t="shared" si="85"/>
        <v>26785.714285714286</v>
      </c>
      <c r="N89">
        <f t="shared" si="85"/>
        <v>26785.714285714286</v>
      </c>
      <c r="O89">
        <f t="shared" si="85"/>
        <v>26785.714285714286</v>
      </c>
      <c r="P89">
        <f t="shared" si="85"/>
        <v>26785.714285714286</v>
      </c>
      <c r="Q89">
        <f t="shared" si="85"/>
        <v>26785.714285714286</v>
      </c>
      <c r="R89">
        <f t="shared" si="85"/>
        <v>26785.714285714286</v>
      </c>
      <c r="S89">
        <f t="shared" si="85"/>
        <v>26785.714285714286</v>
      </c>
      <c r="T89">
        <f t="shared" si="85"/>
        <v>26785.714285714286</v>
      </c>
      <c r="U89">
        <f t="shared" si="85"/>
        <v>26785.714285714286</v>
      </c>
      <c r="V89">
        <f t="shared" si="85"/>
        <v>26785.714285714286</v>
      </c>
      <c r="W89">
        <f t="shared" si="85"/>
        <v>26785.714285714286</v>
      </c>
      <c r="X89">
        <f t="shared" si="85"/>
        <v>26785.714285714286</v>
      </c>
      <c r="Y89">
        <f t="shared" si="85"/>
        <v>26785.714285714286</v>
      </c>
      <c r="Z89">
        <f t="shared" si="85"/>
        <v>26785.714285714286</v>
      </c>
      <c r="AA89">
        <f t="shared" si="85"/>
        <v>26785.714285714286</v>
      </c>
      <c r="AB89">
        <f t="shared" si="85"/>
        <v>26785.714285714286</v>
      </c>
      <c r="AC89">
        <f t="shared" si="85"/>
        <v>26785.714285714286</v>
      </c>
      <c r="AD89">
        <f t="shared" si="85"/>
        <v>26785.714285714286</v>
      </c>
      <c r="AE89">
        <f t="shared" si="85"/>
        <v>26785.714285714286</v>
      </c>
      <c r="AF89">
        <f t="shared" si="85"/>
        <v>26785.714285714286</v>
      </c>
      <c r="AG89">
        <f t="shared" si="85"/>
        <v>26785.714285714286</v>
      </c>
      <c r="AH89">
        <f t="shared" si="85"/>
        <v>26785.714285714286</v>
      </c>
      <c r="AI89">
        <f t="shared" si="85"/>
        <v>26785.714285714286</v>
      </c>
      <c r="AJ89">
        <f t="shared" si="85"/>
        <v>26785.714285714286</v>
      </c>
      <c r="AK89">
        <f t="shared" si="85"/>
        <v>26785.714285714286</v>
      </c>
      <c r="AL89">
        <f t="shared" si="85"/>
        <v>26785.714285714286</v>
      </c>
      <c r="AM89">
        <f t="shared" si="85"/>
        <v>26785.714285714286</v>
      </c>
      <c r="AN89">
        <f t="shared" si="85"/>
        <v>26785.714285714286</v>
      </c>
      <c r="AO89">
        <f t="shared" ref="AO89:BQ89" si="86">AO$85</f>
        <v>26785.714285714286</v>
      </c>
      <c r="AP89">
        <f t="shared" si="86"/>
        <v>26785.714285714286</v>
      </c>
      <c r="AQ89">
        <f t="shared" si="86"/>
        <v>26785.714285714286</v>
      </c>
      <c r="AR89">
        <f t="shared" si="86"/>
        <v>26785.714285714286</v>
      </c>
      <c r="AS89">
        <f t="shared" si="86"/>
        <v>26785.714285714286</v>
      </c>
      <c r="AT89">
        <f t="shared" si="86"/>
        <v>26785.714285714286</v>
      </c>
      <c r="AU89">
        <f t="shared" si="86"/>
        <v>26785.714285714286</v>
      </c>
      <c r="AV89">
        <f t="shared" si="86"/>
        <v>26785.714285714286</v>
      </c>
      <c r="AW89">
        <f t="shared" si="86"/>
        <v>26785.714285714286</v>
      </c>
      <c r="AX89">
        <f t="shared" si="86"/>
        <v>26785.714285714286</v>
      </c>
      <c r="AY89">
        <f t="shared" si="86"/>
        <v>26785.714285714286</v>
      </c>
      <c r="AZ89">
        <f t="shared" si="86"/>
        <v>26785.714285714286</v>
      </c>
      <c r="BA89">
        <f t="shared" si="86"/>
        <v>26785.714285714286</v>
      </c>
      <c r="BB89">
        <f t="shared" si="86"/>
        <v>26785.714285714286</v>
      </c>
      <c r="BC89">
        <f t="shared" si="86"/>
        <v>26785.714285714286</v>
      </c>
      <c r="BD89">
        <f t="shared" si="86"/>
        <v>26785.714285714286</v>
      </c>
      <c r="BE89">
        <f t="shared" si="86"/>
        <v>26785.714285714286</v>
      </c>
      <c r="BF89">
        <f t="shared" si="86"/>
        <v>26785.714285714286</v>
      </c>
      <c r="BG89">
        <f t="shared" si="86"/>
        <v>26785.714285714286</v>
      </c>
      <c r="BH89">
        <f t="shared" si="86"/>
        <v>26785.714285714286</v>
      </c>
      <c r="BI89">
        <f t="shared" si="86"/>
        <v>26785.714285714286</v>
      </c>
      <c r="BJ89">
        <f t="shared" si="86"/>
        <v>26785.714285714286</v>
      </c>
      <c r="BK89">
        <f t="shared" si="86"/>
        <v>26785.714285714286</v>
      </c>
      <c r="BL89">
        <f t="shared" si="86"/>
        <v>26785.714285714286</v>
      </c>
      <c r="BM89">
        <f t="shared" si="86"/>
        <v>26785.714285714286</v>
      </c>
      <c r="BN89">
        <f t="shared" si="86"/>
        <v>26785.714285714286</v>
      </c>
      <c r="BO89">
        <f t="shared" si="86"/>
        <v>26785.714285714286</v>
      </c>
      <c r="BP89">
        <f t="shared" si="86"/>
        <v>26785.714285714286</v>
      </c>
      <c r="BQ89">
        <f t="shared" si="86"/>
        <v>26785.714285714286</v>
      </c>
      <c r="BR89">
        <f t="shared" ref="BR89:DY89" si="87">BR$85</f>
        <v>26785.714285714286</v>
      </c>
      <c r="BS89">
        <f t="shared" si="87"/>
        <v>26785.714285714286</v>
      </c>
      <c r="BT89">
        <f t="shared" si="87"/>
        <v>26785.714285714286</v>
      </c>
      <c r="BU89">
        <f t="shared" si="87"/>
        <v>26785.714285714286</v>
      </c>
      <c r="BV89">
        <f t="shared" si="87"/>
        <v>26785.714285714286</v>
      </c>
      <c r="BW89">
        <f t="shared" si="87"/>
        <v>26785.714285714286</v>
      </c>
      <c r="BX89">
        <f t="shared" si="87"/>
        <v>26785.714285714286</v>
      </c>
      <c r="BY89">
        <f t="shared" si="87"/>
        <v>26785.714285714286</v>
      </c>
      <c r="BZ89">
        <f t="shared" si="87"/>
        <v>26785.714285714286</v>
      </c>
      <c r="CA89">
        <f t="shared" si="87"/>
        <v>26785.714285714286</v>
      </c>
      <c r="CB89">
        <f t="shared" si="87"/>
        <v>26785.714285714286</v>
      </c>
      <c r="CC89">
        <f t="shared" si="87"/>
        <v>26785.714285714286</v>
      </c>
      <c r="CD89">
        <f t="shared" si="87"/>
        <v>26785.714285714286</v>
      </c>
      <c r="CE89">
        <f t="shared" si="87"/>
        <v>26785.714285714286</v>
      </c>
      <c r="CF89">
        <f t="shared" si="87"/>
        <v>26785.714285714286</v>
      </c>
      <c r="CG89">
        <f t="shared" si="87"/>
        <v>26785.714285714286</v>
      </c>
      <c r="CH89">
        <f t="shared" si="87"/>
        <v>26785.714285714286</v>
      </c>
      <c r="CI89">
        <f t="shared" si="87"/>
        <v>26785.714285714286</v>
      </c>
      <c r="CJ89">
        <f t="shared" si="87"/>
        <v>26785.714285714286</v>
      </c>
      <c r="CK89">
        <f t="shared" si="87"/>
        <v>26785.714285714286</v>
      </c>
      <c r="CL89">
        <f t="shared" si="87"/>
        <v>26785.714285714286</v>
      </c>
      <c r="CM89">
        <f t="shared" si="87"/>
        <v>26785.714285714286</v>
      </c>
      <c r="CN89">
        <f t="shared" si="87"/>
        <v>26785.714285714286</v>
      </c>
      <c r="CO89">
        <f t="shared" si="87"/>
        <v>26785.714285714286</v>
      </c>
      <c r="CP89">
        <f t="shared" si="87"/>
        <v>26785.714285714286</v>
      </c>
      <c r="CQ89">
        <f t="shared" si="87"/>
        <v>26785.714285714286</v>
      </c>
      <c r="CR89">
        <f t="shared" si="87"/>
        <v>26785.714285714286</v>
      </c>
      <c r="CS89">
        <f t="shared" si="87"/>
        <v>26785.714285714286</v>
      </c>
      <c r="CT89">
        <f t="shared" si="87"/>
        <v>26785.714285714286</v>
      </c>
      <c r="CU89">
        <f t="shared" si="87"/>
        <v>26785.714285714286</v>
      </c>
      <c r="CV89">
        <f t="shared" si="87"/>
        <v>26785.714285714286</v>
      </c>
      <c r="CW89">
        <f t="shared" si="87"/>
        <v>26785.714285714286</v>
      </c>
      <c r="CX89">
        <f t="shared" si="87"/>
        <v>26785.714285714286</v>
      </c>
      <c r="CY89">
        <f t="shared" si="87"/>
        <v>26785.714285714286</v>
      </c>
      <c r="CZ89">
        <f t="shared" si="87"/>
        <v>26785.714285714286</v>
      </c>
      <c r="DA89">
        <f t="shared" si="87"/>
        <v>26785.714285714286</v>
      </c>
      <c r="DB89">
        <f t="shared" si="87"/>
        <v>26785.714285714286</v>
      </c>
      <c r="DC89">
        <f t="shared" si="87"/>
        <v>26785.714285714286</v>
      </c>
      <c r="DD89">
        <f t="shared" si="87"/>
        <v>26785.714285714286</v>
      </c>
      <c r="DE89">
        <f t="shared" si="87"/>
        <v>26785.714285714286</v>
      </c>
      <c r="DF89">
        <f t="shared" si="87"/>
        <v>26785.714285714286</v>
      </c>
      <c r="DG89">
        <f t="shared" si="87"/>
        <v>26785.714285714286</v>
      </c>
      <c r="DH89">
        <f t="shared" si="87"/>
        <v>26785.714285714286</v>
      </c>
      <c r="DI89">
        <f t="shared" si="87"/>
        <v>26785.714285714286</v>
      </c>
      <c r="DJ89">
        <f t="shared" si="87"/>
        <v>26785.714285714286</v>
      </c>
      <c r="DK89">
        <f t="shared" si="87"/>
        <v>26785.714285714286</v>
      </c>
      <c r="DL89">
        <f t="shared" si="87"/>
        <v>26785.714285714286</v>
      </c>
      <c r="DM89">
        <f t="shared" si="87"/>
        <v>26785.714285714286</v>
      </c>
      <c r="DN89">
        <f t="shared" si="87"/>
        <v>26785.714285714286</v>
      </c>
      <c r="DO89">
        <f t="shared" si="87"/>
        <v>26785.714285714286</v>
      </c>
      <c r="DP89">
        <f t="shared" si="87"/>
        <v>26785.714285714286</v>
      </c>
      <c r="DQ89">
        <f t="shared" si="87"/>
        <v>26785.714285714286</v>
      </c>
      <c r="DR89">
        <f t="shared" si="87"/>
        <v>0</v>
      </c>
      <c r="DS89">
        <f t="shared" si="87"/>
        <v>0</v>
      </c>
      <c r="DT89">
        <f t="shared" si="87"/>
        <v>0</v>
      </c>
      <c r="DU89">
        <f t="shared" si="87"/>
        <v>0</v>
      </c>
      <c r="DV89">
        <f t="shared" si="87"/>
        <v>0</v>
      </c>
      <c r="DW89">
        <f t="shared" si="87"/>
        <v>0</v>
      </c>
      <c r="DX89">
        <f t="shared" si="87"/>
        <v>0</v>
      </c>
      <c r="DY89">
        <f t="shared" si="87"/>
        <v>0</v>
      </c>
    </row>
    <row r="90" spans="1:129">
      <c r="E90" s="80" t="s">
        <v>218</v>
      </c>
      <c r="F90" s="80"/>
      <c r="G90" s="80" t="s">
        <v>146</v>
      </c>
      <c r="H90" s="80"/>
      <c r="I90" s="80"/>
      <c r="J90" s="80">
        <f>SUM(J88:J89)</f>
        <v>83035.71428571429</v>
      </c>
      <c r="K90" s="80">
        <f t="shared" ref="K90:BV90" si="88">SUM(K88:K89)</f>
        <v>82533.482142857145</v>
      </c>
      <c r="L90" s="80">
        <f t="shared" si="88"/>
        <v>82031.25</v>
      </c>
      <c r="M90" s="80">
        <f t="shared" si="88"/>
        <v>81529.01785714287</v>
      </c>
      <c r="N90" s="80">
        <f t="shared" si="88"/>
        <v>81026.785714285725</v>
      </c>
      <c r="O90" s="80">
        <f t="shared" si="88"/>
        <v>80524.553571428594</v>
      </c>
      <c r="P90" s="80">
        <f t="shared" si="88"/>
        <v>80022.321428571449</v>
      </c>
      <c r="Q90" s="80">
        <f t="shared" si="88"/>
        <v>79520.089285714304</v>
      </c>
      <c r="R90" s="80">
        <f t="shared" si="88"/>
        <v>79017.857142857174</v>
      </c>
      <c r="S90" s="80">
        <f t="shared" si="88"/>
        <v>78515.625000000029</v>
      </c>
      <c r="T90" s="80">
        <f t="shared" si="88"/>
        <v>78013.392857142899</v>
      </c>
      <c r="U90" s="80">
        <f t="shared" si="88"/>
        <v>77511.160714285754</v>
      </c>
      <c r="V90" s="80">
        <f t="shared" si="88"/>
        <v>77008.928571428609</v>
      </c>
      <c r="W90" s="80">
        <f t="shared" si="88"/>
        <v>76506.696428571478</v>
      </c>
      <c r="X90" s="80">
        <f t="shared" si="88"/>
        <v>76004.464285714334</v>
      </c>
      <c r="Y90" s="80">
        <f t="shared" si="88"/>
        <v>75502.232142857203</v>
      </c>
      <c r="Z90" s="80">
        <f t="shared" si="88"/>
        <v>75000.000000000058</v>
      </c>
      <c r="AA90" s="80">
        <f t="shared" si="88"/>
        <v>74497.767857142913</v>
      </c>
      <c r="AB90" s="80">
        <f t="shared" si="88"/>
        <v>73995.535714285783</v>
      </c>
      <c r="AC90" s="80">
        <f t="shared" si="88"/>
        <v>73493.303571428638</v>
      </c>
      <c r="AD90" s="80">
        <f t="shared" si="88"/>
        <v>72991.071428571508</v>
      </c>
      <c r="AE90" s="80">
        <f t="shared" si="88"/>
        <v>72488.839285714363</v>
      </c>
      <c r="AF90" s="80">
        <f t="shared" si="88"/>
        <v>71986.607142857218</v>
      </c>
      <c r="AG90" s="80">
        <f t="shared" si="88"/>
        <v>71484.375000000087</v>
      </c>
      <c r="AH90" s="80">
        <f t="shared" si="88"/>
        <v>70982.142857142942</v>
      </c>
      <c r="AI90" s="80">
        <f t="shared" si="88"/>
        <v>70479.910714285812</v>
      </c>
      <c r="AJ90" s="80">
        <f t="shared" si="88"/>
        <v>69977.678571428667</v>
      </c>
      <c r="AK90" s="80">
        <f t="shared" si="88"/>
        <v>69475.446428571522</v>
      </c>
      <c r="AL90" s="80">
        <f t="shared" si="88"/>
        <v>71785.714285714392</v>
      </c>
      <c r="AM90" s="80">
        <f t="shared" si="88"/>
        <v>71250.000000000116</v>
      </c>
      <c r="AN90" s="80">
        <f t="shared" si="88"/>
        <v>70714.285714285841</v>
      </c>
      <c r="AO90" s="80">
        <f t="shared" si="88"/>
        <v>70178.571428571551</v>
      </c>
      <c r="AP90" s="80">
        <f t="shared" si="88"/>
        <v>69642.857142857276</v>
      </c>
      <c r="AQ90" s="80">
        <f t="shared" si="88"/>
        <v>69107.142857142986</v>
      </c>
      <c r="AR90" s="80">
        <f t="shared" si="88"/>
        <v>68571.428571428711</v>
      </c>
      <c r="AS90" s="80">
        <f t="shared" si="88"/>
        <v>68035.714285714421</v>
      </c>
      <c r="AT90" s="80">
        <f t="shared" si="88"/>
        <v>67500.000000000131</v>
      </c>
      <c r="AU90" s="80">
        <f t="shared" si="88"/>
        <v>66964.285714285841</v>
      </c>
      <c r="AV90" s="80">
        <f t="shared" si="88"/>
        <v>66428.571428571551</v>
      </c>
      <c r="AW90" s="80">
        <f t="shared" si="88"/>
        <v>65892.857142857261</v>
      </c>
      <c r="AX90" s="80">
        <f t="shared" si="88"/>
        <v>65357.142857142986</v>
      </c>
      <c r="AY90" s="80">
        <f t="shared" si="88"/>
        <v>64821.428571428696</v>
      </c>
      <c r="AZ90" s="80">
        <f t="shared" si="88"/>
        <v>64285.714285714406</v>
      </c>
      <c r="BA90" s="80">
        <f t="shared" si="88"/>
        <v>63750.000000000116</v>
      </c>
      <c r="BB90" s="80">
        <f t="shared" si="88"/>
        <v>63214.285714285841</v>
      </c>
      <c r="BC90" s="80">
        <f t="shared" si="88"/>
        <v>62678.571428571551</v>
      </c>
      <c r="BD90" s="80">
        <f t="shared" si="88"/>
        <v>62142.857142857261</v>
      </c>
      <c r="BE90" s="80">
        <f t="shared" si="88"/>
        <v>61607.142857142971</v>
      </c>
      <c r="BF90" s="80">
        <f t="shared" si="88"/>
        <v>61071.428571428696</v>
      </c>
      <c r="BG90" s="80">
        <f t="shared" si="88"/>
        <v>60535.714285714406</v>
      </c>
      <c r="BH90" s="80">
        <f t="shared" si="88"/>
        <v>60000.000000000116</v>
      </c>
      <c r="BI90" s="80">
        <f t="shared" si="88"/>
        <v>59464.285714285834</v>
      </c>
      <c r="BJ90" s="80">
        <f t="shared" si="88"/>
        <v>58928.571428571551</v>
      </c>
      <c r="BK90" s="80">
        <f t="shared" si="88"/>
        <v>58392.857142857261</v>
      </c>
      <c r="BL90" s="80">
        <f t="shared" si="88"/>
        <v>57857.142857142971</v>
      </c>
      <c r="BM90" s="80">
        <f t="shared" si="88"/>
        <v>57321.428571428689</v>
      </c>
      <c r="BN90" s="80">
        <f t="shared" si="88"/>
        <v>54910.714285714392</v>
      </c>
      <c r="BO90" s="80">
        <f t="shared" si="88"/>
        <v>54408.482142857247</v>
      </c>
      <c r="BP90" s="80">
        <f t="shared" si="88"/>
        <v>53906.250000000109</v>
      </c>
      <c r="BQ90" s="80">
        <f t="shared" si="88"/>
        <v>53404.017857142964</v>
      </c>
      <c r="BR90" s="80">
        <f t="shared" si="88"/>
        <v>52901.785714285819</v>
      </c>
      <c r="BS90" s="80">
        <f t="shared" si="88"/>
        <v>52399.553571428682</v>
      </c>
      <c r="BT90" s="80">
        <f t="shared" si="88"/>
        <v>51897.321428571537</v>
      </c>
      <c r="BU90" s="80">
        <f t="shared" si="88"/>
        <v>51395.089285714392</v>
      </c>
      <c r="BV90" s="80">
        <f t="shared" si="88"/>
        <v>50892.857142857247</v>
      </c>
      <c r="BW90" s="80">
        <f t="shared" ref="BW90:DY90" si="89">SUM(BW88:BW89)</f>
        <v>50390.625000000102</v>
      </c>
      <c r="BX90" s="80">
        <f t="shared" si="89"/>
        <v>49888.392857142957</v>
      </c>
      <c r="BY90" s="80">
        <f t="shared" si="89"/>
        <v>49386.160714285812</v>
      </c>
      <c r="BZ90" s="80">
        <f t="shared" si="89"/>
        <v>48883.928571428674</v>
      </c>
      <c r="CA90" s="80">
        <f t="shared" si="89"/>
        <v>48381.696428571529</v>
      </c>
      <c r="CB90" s="80">
        <f t="shared" si="89"/>
        <v>47879.464285714384</v>
      </c>
      <c r="CC90" s="80">
        <f t="shared" si="89"/>
        <v>47377.232142857247</v>
      </c>
      <c r="CD90" s="80">
        <f t="shared" si="89"/>
        <v>46875.000000000102</v>
      </c>
      <c r="CE90" s="80">
        <f t="shared" si="89"/>
        <v>46372.767857142957</v>
      </c>
      <c r="CF90" s="80">
        <f t="shared" si="89"/>
        <v>45870.535714285812</v>
      </c>
      <c r="CG90" s="80">
        <f t="shared" si="89"/>
        <v>45368.303571428667</v>
      </c>
      <c r="CH90" s="80">
        <f t="shared" si="89"/>
        <v>44866.071428571522</v>
      </c>
      <c r="CI90" s="80">
        <f t="shared" si="89"/>
        <v>44363.839285714377</v>
      </c>
      <c r="CJ90" s="80">
        <f t="shared" si="89"/>
        <v>43861.60714285724</v>
      </c>
      <c r="CK90" s="80">
        <f t="shared" si="89"/>
        <v>43359.375000000095</v>
      </c>
      <c r="CL90" s="80">
        <f t="shared" si="89"/>
        <v>42857.14285714295</v>
      </c>
      <c r="CM90" s="80">
        <f t="shared" si="89"/>
        <v>42354.910714285812</v>
      </c>
      <c r="CN90" s="80">
        <f t="shared" si="89"/>
        <v>41852.678571428667</v>
      </c>
      <c r="CO90" s="80">
        <f t="shared" si="89"/>
        <v>41350.446428571522</v>
      </c>
      <c r="CP90" s="80">
        <f t="shared" si="89"/>
        <v>43660.714285714392</v>
      </c>
      <c r="CQ90" s="80">
        <f t="shared" si="89"/>
        <v>43058.035714285827</v>
      </c>
      <c r="CR90" s="80">
        <f t="shared" si="89"/>
        <v>42455.357142857247</v>
      </c>
      <c r="CS90" s="80">
        <f t="shared" si="89"/>
        <v>41852.678571428682</v>
      </c>
      <c r="CT90" s="80">
        <f t="shared" si="89"/>
        <v>41250.000000000109</v>
      </c>
      <c r="CU90" s="80">
        <f t="shared" si="89"/>
        <v>40647.321428571537</v>
      </c>
      <c r="CV90" s="80">
        <f t="shared" si="89"/>
        <v>40044.642857142964</v>
      </c>
      <c r="CW90" s="80">
        <f t="shared" si="89"/>
        <v>39441.964285714392</v>
      </c>
      <c r="CX90" s="80">
        <f t="shared" si="89"/>
        <v>38839.285714285819</v>
      </c>
      <c r="CY90" s="80">
        <f t="shared" si="89"/>
        <v>38236.607142857247</v>
      </c>
      <c r="CZ90" s="80">
        <f t="shared" si="89"/>
        <v>37633.928571428674</v>
      </c>
      <c r="DA90" s="80">
        <f t="shared" si="89"/>
        <v>37031.250000000102</v>
      </c>
      <c r="DB90" s="80">
        <f t="shared" si="89"/>
        <v>36428.571428571537</v>
      </c>
      <c r="DC90" s="80">
        <f t="shared" si="89"/>
        <v>35825.892857142964</v>
      </c>
      <c r="DD90" s="80">
        <f t="shared" si="89"/>
        <v>35223.214285714392</v>
      </c>
      <c r="DE90" s="80">
        <f t="shared" si="89"/>
        <v>34620.535714285827</v>
      </c>
      <c r="DF90" s="80">
        <f t="shared" si="89"/>
        <v>34017.857142857254</v>
      </c>
      <c r="DG90" s="80">
        <f t="shared" si="89"/>
        <v>33415.178571428682</v>
      </c>
      <c r="DH90" s="80">
        <f t="shared" si="89"/>
        <v>32812.500000000109</v>
      </c>
      <c r="DI90" s="80">
        <f t="shared" si="89"/>
        <v>32209.821428571537</v>
      </c>
      <c r="DJ90" s="80">
        <f t="shared" si="89"/>
        <v>31607.142857142968</v>
      </c>
      <c r="DK90" s="80">
        <f t="shared" si="89"/>
        <v>31004.464285714395</v>
      </c>
      <c r="DL90" s="80">
        <f t="shared" si="89"/>
        <v>30401.785714285823</v>
      </c>
      <c r="DM90" s="80">
        <f t="shared" si="89"/>
        <v>29799.107142857254</v>
      </c>
      <c r="DN90" s="80">
        <f t="shared" si="89"/>
        <v>29196.428571428682</v>
      </c>
      <c r="DO90" s="80">
        <f t="shared" si="89"/>
        <v>28593.750000000109</v>
      </c>
      <c r="DP90" s="80">
        <f t="shared" si="89"/>
        <v>27991.071428571537</v>
      </c>
      <c r="DQ90" s="80">
        <f t="shared" si="89"/>
        <v>27388.392857142968</v>
      </c>
      <c r="DR90" s="80">
        <f t="shared" si="89"/>
        <v>0</v>
      </c>
      <c r="DS90" s="80">
        <f t="shared" si="89"/>
        <v>0</v>
      </c>
      <c r="DT90" s="80">
        <f t="shared" si="89"/>
        <v>0</v>
      </c>
      <c r="DU90" s="80">
        <f t="shared" si="89"/>
        <v>0</v>
      </c>
      <c r="DV90" s="80">
        <f t="shared" si="89"/>
        <v>0</v>
      </c>
      <c r="DW90" s="80">
        <f t="shared" si="89"/>
        <v>0</v>
      </c>
      <c r="DX90" s="80">
        <f t="shared" si="89"/>
        <v>0</v>
      </c>
      <c r="DY90" s="80">
        <f t="shared" si="89"/>
        <v>0</v>
      </c>
    </row>
    <row r="93" spans="1:129" s="59" customFormat="1">
      <c r="A93" s="62" t="s">
        <v>117</v>
      </c>
      <c r="D93" s="60"/>
    </row>
    <row r="95" spans="1:129">
      <c r="C95" s="76" t="s">
        <v>221</v>
      </c>
      <c r="F95" s="66">
        <f>end_date</f>
        <v>55153</v>
      </c>
    </row>
    <row r="96" spans="1:129">
      <c r="E96" t="str">
        <f>E$8</f>
        <v>Equity Contribution</v>
      </c>
      <c r="F96">
        <f>F$8 * - 1</f>
        <v>-5000000</v>
      </c>
      <c r="G96" t="str">
        <f t="shared" ref="G96:BQ96" si="90">G$8</f>
        <v>USD</v>
      </c>
      <c r="I96">
        <f t="shared" si="90"/>
        <v>0</v>
      </c>
      <c r="J96">
        <f t="shared" si="90"/>
        <v>0</v>
      </c>
      <c r="K96">
        <f t="shared" si="90"/>
        <v>0</v>
      </c>
      <c r="L96">
        <f t="shared" si="90"/>
        <v>0</v>
      </c>
      <c r="M96">
        <f t="shared" si="90"/>
        <v>0</v>
      </c>
      <c r="N96">
        <f t="shared" si="90"/>
        <v>0</v>
      </c>
      <c r="O96">
        <f t="shared" si="90"/>
        <v>0</v>
      </c>
      <c r="P96">
        <f t="shared" si="90"/>
        <v>0</v>
      </c>
      <c r="Q96">
        <f t="shared" si="90"/>
        <v>0</v>
      </c>
      <c r="R96">
        <f t="shared" si="90"/>
        <v>0</v>
      </c>
      <c r="S96">
        <f t="shared" si="90"/>
        <v>0</v>
      </c>
      <c r="T96">
        <f t="shared" si="90"/>
        <v>0</v>
      </c>
      <c r="U96">
        <f t="shared" si="90"/>
        <v>0</v>
      </c>
      <c r="V96">
        <f t="shared" si="90"/>
        <v>0</v>
      </c>
      <c r="W96">
        <f t="shared" si="90"/>
        <v>0</v>
      </c>
      <c r="X96">
        <f t="shared" si="90"/>
        <v>0</v>
      </c>
      <c r="Y96">
        <f t="shared" si="90"/>
        <v>0</v>
      </c>
      <c r="Z96">
        <f t="shared" si="90"/>
        <v>0</v>
      </c>
      <c r="AA96">
        <f t="shared" si="90"/>
        <v>0</v>
      </c>
      <c r="AB96">
        <f t="shared" si="90"/>
        <v>0</v>
      </c>
      <c r="AC96">
        <f t="shared" si="90"/>
        <v>0</v>
      </c>
      <c r="AD96">
        <f t="shared" si="90"/>
        <v>0</v>
      </c>
      <c r="AE96">
        <f t="shared" si="90"/>
        <v>0</v>
      </c>
      <c r="AF96">
        <f t="shared" si="90"/>
        <v>0</v>
      </c>
      <c r="AG96">
        <f t="shared" si="90"/>
        <v>0</v>
      </c>
      <c r="AH96">
        <f t="shared" si="90"/>
        <v>0</v>
      </c>
      <c r="AI96">
        <f t="shared" si="90"/>
        <v>0</v>
      </c>
      <c r="AJ96">
        <f t="shared" si="90"/>
        <v>0</v>
      </c>
      <c r="AK96">
        <f t="shared" si="90"/>
        <v>0</v>
      </c>
      <c r="AL96">
        <f t="shared" si="90"/>
        <v>0</v>
      </c>
      <c r="AM96">
        <f t="shared" si="90"/>
        <v>0</v>
      </c>
      <c r="AN96">
        <f t="shared" si="90"/>
        <v>0</v>
      </c>
      <c r="AO96">
        <f t="shared" si="90"/>
        <v>0</v>
      </c>
      <c r="AP96">
        <f t="shared" si="90"/>
        <v>0</v>
      </c>
      <c r="AQ96">
        <f t="shared" si="90"/>
        <v>0</v>
      </c>
      <c r="AR96">
        <f t="shared" si="90"/>
        <v>0</v>
      </c>
      <c r="AS96">
        <f t="shared" si="90"/>
        <v>0</v>
      </c>
      <c r="AT96">
        <f t="shared" si="90"/>
        <v>0</v>
      </c>
      <c r="AU96">
        <f t="shared" si="90"/>
        <v>0</v>
      </c>
      <c r="AV96">
        <f t="shared" si="90"/>
        <v>0</v>
      </c>
      <c r="AW96">
        <f t="shared" si="90"/>
        <v>0</v>
      </c>
      <c r="AX96">
        <f t="shared" si="90"/>
        <v>0</v>
      </c>
      <c r="AY96">
        <f t="shared" si="90"/>
        <v>0</v>
      </c>
      <c r="AZ96">
        <f t="shared" si="90"/>
        <v>0</v>
      </c>
      <c r="BA96">
        <f t="shared" si="90"/>
        <v>0</v>
      </c>
      <c r="BB96">
        <f t="shared" si="90"/>
        <v>0</v>
      </c>
      <c r="BC96">
        <f t="shared" si="90"/>
        <v>0</v>
      </c>
      <c r="BD96">
        <f t="shared" si="90"/>
        <v>0</v>
      </c>
      <c r="BE96">
        <f t="shared" si="90"/>
        <v>0</v>
      </c>
      <c r="BF96">
        <f t="shared" si="90"/>
        <v>0</v>
      </c>
      <c r="BG96">
        <f t="shared" si="90"/>
        <v>0</v>
      </c>
      <c r="BH96">
        <f t="shared" si="90"/>
        <v>0</v>
      </c>
      <c r="BI96">
        <f t="shared" si="90"/>
        <v>0</v>
      </c>
      <c r="BJ96">
        <f t="shared" si="90"/>
        <v>0</v>
      </c>
      <c r="BK96">
        <f t="shared" si="90"/>
        <v>0</v>
      </c>
      <c r="BL96">
        <f t="shared" si="90"/>
        <v>0</v>
      </c>
      <c r="BM96">
        <f t="shared" si="90"/>
        <v>0</v>
      </c>
      <c r="BN96">
        <f t="shared" si="90"/>
        <v>0</v>
      </c>
      <c r="BO96">
        <f t="shared" si="90"/>
        <v>0</v>
      </c>
      <c r="BP96">
        <f t="shared" si="90"/>
        <v>0</v>
      </c>
      <c r="BQ96">
        <f t="shared" si="90"/>
        <v>0</v>
      </c>
      <c r="BR96">
        <f t="shared" ref="BR96:DY96" si="91">BR$8</f>
        <v>0</v>
      </c>
      <c r="BS96">
        <f t="shared" si="91"/>
        <v>0</v>
      </c>
      <c r="BT96">
        <f t="shared" si="91"/>
        <v>0</v>
      </c>
      <c r="BU96">
        <f t="shared" si="91"/>
        <v>0</v>
      </c>
      <c r="BV96">
        <f t="shared" si="91"/>
        <v>0</v>
      </c>
      <c r="BW96">
        <f t="shared" si="91"/>
        <v>0</v>
      </c>
      <c r="BX96">
        <f t="shared" si="91"/>
        <v>0</v>
      </c>
      <c r="BY96">
        <f t="shared" si="91"/>
        <v>0</v>
      </c>
      <c r="BZ96">
        <f t="shared" si="91"/>
        <v>0</v>
      </c>
      <c r="CA96">
        <f t="shared" si="91"/>
        <v>0</v>
      </c>
      <c r="CB96">
        <f t="shared" si="91"/>
        <v>0</v>
      </c>
      <c r="CC96">
        <f t="shared" si="91"/>
        <v>0</v>
      </c>
      <c r="CD96">
        <f t="shared" si="91"/>
        <v>0</v>
      </c>
      <c r="CE96">
        <f t="shared" si="91"/>
        <v>0</v>
      </c>
      <c r="CF96">
        <f t="shared" si="91"/>
        <v>0</v>
      </c>
      <c r="CG96">
        <f t="shared" si="91"/>
        <v>0</v>
      </c>
      <c r="CH96">
        <f t="shared" si="91"/>
        <v>0</v>
      </c>
      <c r="CI96">
        <f t="shared" si="91"/>
        <v>0</v>
      </c>
      <c r="CJ96">
        <f t="shared" si="91"/>
        <v>0</v>
      </c>
      <c r="CK96">
        <f t="shared" si="91"/>
        <v>0</v>
      </c>
      <c r="CL96">
        <f t="shared" si="91"/>
        <v>0</v>
      </c>
      <c r="CM96">
        <f t="shared" si="91"/>
        <v>0</v>
      </c>
      <c r="CN96">
        <f t="shared" si="91"/>
        <v>0</v>
      </c>
      <c r="CO96">
        <f t="shared" si="91"/>
        <v>0</v>
      </c>
      <c r="CP96">
        <f t="shared" si="91"/>
        <v>0</v>
      </c>
      <c r="CQ96">
        <f t="shared" si="91"/>
        <v>0</v>
      </c>
      <c r="CR96">
        <f t="shared" si="91"/>
        <v>0</v>
      </c>
      <c r="CS96">
        <f t="shared" si="91"/>
        <v>0</v>
      </c>
      <c r="CT96">
        <f t="shared" si="91"/>
        <v>0</v>
      </c>
      <c r="CU96">
        <f t="shared" si="91"/>
        <v>0</v>
      </c>
      <c r="CV96">
        <f t="shared" si="91"/>
        <v>0</v>
      </c>
      <c r="CW96">
        <f t="shared" si="91"/>
        <v>0</v>
      </c>
      <c r="CX96">
        <f t="shared" si="91"/>
        <v>0</v>
      </c>
      <c r="CY96">
        <f t="shared" si="91"/>
        <v>0</v>
      </c>
      <c r="CZ96">
        <f t="shared" si="91"/>
        <v>0</v>
      </c>
      <c r="DA96">
        <f t="shared" si="91"/>
        <v>0</v>
      </c>
      <c r="DB96">
        <f t="shared" si="91"/>
        <v>0</v>
      </c>
      <c r="DC96">
        <f t="shared" si="91"/>
        <v>0</v>
      </c>
      <c r="DD96">
        <f t="shared" si="91"/>
        <v>0</v>
      </c>
      <c r="DE96">
        <f t="shared" si="91"/>
        <v>0</v>
      </c>
      <c r="DF96">
        <f t="shared" si="91"/>
        <v>0</v>
      </c>
      <c r="DG96">
        <f t="shared" si="91"/>
        <v>0</v>
      </c>
      <c r="DH96">
        <f t="shared" si="91"/>
        <v>0</v>
      </c>
      <c r="DI96">
        <f t="shared" si="91"/>
        <v>0</v>
      </c>
      <c r="DJ96">
        <f t="shared" si="91"/>
        <v>0</v>
      </c>
      <c r="DK96">
        <f t="shared" si="91"/>
        <v>0</v>
      </c>
      <c r="DL96">
        <f t="shared" si="91"/>
        <v>0</v>
      </c>
      <c r="DM96">
        <f t="shared" si="91"/>
        <v>0</v>
      </c>
      <c r="DN96">
        <f t="shared" si="91"/>
        <v>0</v>
      </c>
      <c r="DO96">
        <f t="shared" si="91"/>
        <v>0</v>
      </c>
      <c r="DP96">
        <f t="shared" si="91"/>
        <v>0</v>
      </c>
      <c r="DQ96">
        <f t="shared" si="91"/>
        <v>0</v>
      </c>
      <c r="DR96">
        <f t="shared" si="91"/>
        <v>0</v>
      </c>
      <c r="DS96">
        <f t="shared" si="91"/>
        <v>0</v>
      </c>
      <c r="DT96">
        <f t="shared" si="91"/>
        <v>0</v>
      </c>
      <c r="DU96">
        <f t="shared" si="91"/>
        <v>0</v>
      </c>
      <c r="DV96">
        <f t="shared" si="91"/>
        <v>0</v>
      </c>
      <c r="DW96">
        <f t="shared" si="91"/>
        <v>0</v>
      </c>
      <c r="DX96">
        <f t="shared" si="91"/>
        <v>0</v>
      </c>
      <c r="DY96">
        <f t="shared" si="91"/>
        <v>0</v>
      </c>
    </row>
    <row r="97" spans="1:129">
      <c r="E97" t="str">
        <f>E$20</f>
        <v>Distributions paid</v>
      </c>
      <c r="F97">
        <f t="shared" ref="F97:I97" si="92">F$20</f>
        <v>0</v>
      </c>
      <c r="G97" t="str">
        <f t="shared" si="92"/>
        <v>USD</v>
      </c>
      <c r="I97">
        <f t="shared" si="92"/>
        <v>0</v>
      </c>
      <c r="J97">
        <f>J$20 * - 1</f>
        <v>91221.498072274233</v>
      </c>
      <c r="K97">
        <f t="shared" ref="K97:BV97" si="93">K$20 * - 1</f>
        <v>91723.730215131363</v>
      </c>
      <c r="L97">
        <f t="shared" si="93"/>
        <v>92225.962357988523</v>
      </c>
      <c r="M97">
        <f t="shared" si="93"/>
        <v>92728.194500845653</v>
      </c>
      <c r="N97">
        <f t="shared" si="93"/>
        <v>93230.426643702784</v>
      </c>
      <c r="O97">
        <f t="shared" si="93"/>
        <v>93732.658786559958</v>
      </c>
      <c r="P97">
        <f t="shared" si="93"/>
        <v>94234.890929417103</v>
      </c>
      <c r="Q97">
        <f t="shared" si="93"/>
        <v>94737.123072274233</v>
      </c>
      <c r="R97">
        <f t="shared" si="93"/>
        <v>95239.355215131349</v>
      </c>
      <c r="S97">
        <f t="shared" si="93"/>
        <v>95741.587357988523</v>
      </c>
      <c r="T97">
        <f t="shared" si="93"/>
        <v>96243.819500845624</v>
      </c>
      <c r="U97">
        <f t="shared" si="93"/>
        <v>96746.051643702755</v>
      </c>
      <c r="V97">
        <f t="shared" si="93"/>
        <v>97248.283786559885</v>
      </c>
      <c r="W97">
        <f t="shared" si="93"/>
        <v>97750.515929417044</v>
      </c>
      <c r="X97">
        <f t="shared" si="93"/>
        <v>98252.748072274175</v>
      </c>
      <c r="Y97">
        <f t="shared" si="93"/>
        <v>98754.980215131262</v>
      </c>
      <c r="Z97">
        <f t="shared" si="93"/>
        <v>99257.212357988465</v>
      </c>
      <c r="AA97">
        <f t="shared" si="93"/>
        <v>99759.444500845566</v>
      </c>
      <c r="AB97">
        <f t="shared" si="93"/>
        <v>100261.67664370274</v>
      </c>
      <c r="AC97">
        <f t="shared" si="93"/>
        <v>763630.76357052894</v>
      </c>
      <c r="AD97">
        <f t="shared" si="93"/>
        <v>116202.47341724468</v>
      </c>
      <c r="AE97">
        <f t="shared" si="93"/>
        <v>116704.70556010184</v>
      </c>
      <c r="AF97">
        <f t="shared" si="93"/>
        <v>117206.937702959</v>
      </c>
      <c r="AG97">
        <f t="shared" si="93"/>
        <v>117709.16984581613</v>
      </c>
      <c r="AH97">
        <f t="shared" si="93"/>
        <v>118211.40198867329</v>
      </c>
      <c r="AI97">
        <f t="shared" si="93"/>
        <v>118713.63413153039</v>
      </c>
      <c r="AJ97">
        <f t="shared" si="93"/>
        <v>119215.86627438755</v>
      </c>
      <c r="AK97">
        <f t="shared" si="93"/>
        <v>119718.09841724462</v>
      </c>
      <c r="AL97">
        <f t="shared" si="93"/>
        <v>117407.83056010181</v>
      </c>
      <c r="AM97">
        <f t="shared" si="93"/>
        <v>117943.5448458161</v>
      </c>
      <c r="AN97">
        <f t="shared" si="93"/>
        <v>118479.25913153045</v>
      </c>
      <c r="AO97">
        <f t="shared" si="93"/>
        <v>119014.97341724465</v>
      </c>
      <c r="AP97">
        <f t="shared" si="93"/>
        <v>119550.68770295894</v>
      </c>
      <c r="AQ97">
        <f t="shared" si="93"/>
        <v>120086.40198867329</v>
      </c>
      <c r="AR97">
        <f t="shared" si="93"/>
        <v>120622.11627438749</v>
      </c>
      <c r="AS97">
        <f t="shared" si="93"/>
        <v>121157.83056010181</v>
      </c>
      <c r="AT97">
        <f t="shared" si="93"/>
        <v>121693.54484581613</v>
      </c>
      <c r="AU97">
        <f t="shared" si="93"/>
        <v>122229.25913153045</v>
      </c>
      <c r="AV97">
        <f t="shared" si="93"/>
        <v>122764.97341724471</v>
      </c>
      <c r="AW97">
        <f t="shared" si="93"/>
        <v>744365.16623311862</v>
      </c>
      <c r="AX97">
        <f t="shared" si="93"/>
        <v>126984.74029685996</v>
      </c>
      <c r="AY97">
        <f t="shared" si="93"/>
        <v>127520.45458257428</v>
      </c>
      <c r="AZ97">
        <f t="shared" si="93"/>
        <v>128056.16886828857</v>
      </c>
      <c r="BA97">
        <f t="shared" si="93"/>
        <v>128591.88315400289</v>
      </c>
      <c r="BB97">
        <f t="shared" si="93"/>
        <v>129127.59743971718</v>
      </c>
      <c r="BC97">
        <f t="shared" si="93"/>
        <v>129663.31172543138</v>
      </c>
      <c r="BD97">
        <f t="shared" si="93"/>
        <v>130199.02601114567</v>
      </c>
      <c r="BE97">
        <f t="shared" si="93"/>
        <v>130734.74029685996</v>
      </c>
      <c r="BF97">
        <f t="shared" si="93"/>
        <v>131270.45458257428</v>
      </c>
      <c r="BG97">
        <f t="shared" si="93"/>
        <v>131806.16886828854</v>
      </c>
      <c r="BH97">
        <f t="shared" si="93"/>
        <v>132341.88315400283</v>
      </c>
      <c r="BI97">
        <f t="shared" si="93"/>
        <v>132877.59743971712</v>
      </c>
      <c r="BJ97">
        <f t="shared" si="93"/>
        <v>133413.31172543138</v>
      </c>
      <c r="BK97">
        <f t="shared" si="93"/>
        <v>133949.02601114567</v>
      </c>
      <c r="BL97">
        <f t="shared" si="93"/>
        <v>134484.74029685996</v>
      </c>
      <c r="BM97">
        <f t="shared" si="93"/>
        <v>135020.45458257422</v>
      </c>
      <c r="BN97">
        <f t="shared" si="93"/>
        <v>137431.16886828849</v>
      </c>
      <c r="BO97">
        <f t="shared" si="93"/>
        <v>137933.4010111457</v>
      </c>
      <c r="BP97">
        <f t="shared" si="93"/>
        <v>138435.63315400283</v>
      </c>
      <c r="BQ97">
        <f t="shared" si="93"/>
        <v>480912.56803251128</v>
      </c>
      <c r="BR97">
        <f t="shared" si="93"/>
        <v>176315.95885310235</v>
      </c>
      <c r="BS97">
        <f t="shared" si="93"/>
        <v>176818.19099595954</v>
      </c>
      <c r="BT97">
        <f t="shared" si="93"/>
        <v>177320.4231388167</v>
      </c>
      <c r="BU97">
        <f t="shared" si="93"/>
        <v>177822.6552816738</v>
      </c>
      <c r="BV97">
        <f t="shared" si="93"/>
        <v>178324.88742453093</v>
      </c>
      <c r="BW97">
        <f t="shared" ref="BW97:DY97" si="94">BW$20 * - 1</f>
        <v>178827.11956738806</v>
      </c>
      <c r="BX97">
        <f t="shared" si="94"/>
        <v>179329.35171024519</v>
      </c>
      <c r="BY97">
        <f t="shared" si="94"/>
        <v>179831.58385310238</v>
      </c>
      <c r="BZ97">
        <f t="shared" si="94"/>
        <v>180333.81599595957</v>
      </c>
      <c r="CA97">
        <f t="shared" si="94"/>
        <v>180836.0481388167</v>
      </c>
      <c r="CB97">
        <f t="shared" si="94"/>
        <v>181338.28028167388</v>
      </c>
      <c r="CC97">
        <f t="shared" si="94"/>
        <v>181840.51242453099</v>
      </c>
      <c r="CD97">
        <f t="shared" si="94"/>
        <v>182342.74456738817</v>
      </c>
      <c r="CE97">
        <f t="shared" si="94"/>
        <v>182844.97671024528</v>
      </c>
      <c r="CF97">
        <f t="shared" si="94"/>
        <v>183347.20885310235</v>
      </c>
      <c r="CG97">
        <f t="shared" si="94"/>
        <v>183849.44099595957</v>
      </c>
      <c r="CH97">
        <f t="shared" si="94"/>
        <v>184351.6731388167</v>
      </c>
      <c r="CI97">
        <f t="shared" si="94"/>
        <v>184853.90528167383</v>
      </c>
      <c r="CJ97">
        <f t="shared" si="94"/>
        <v>185356.13742453099</v>
      </c>
      <c r="CK97">
        <f t="shared" si="94"/>
        <v>674560.72972667206</v>
      </c>
      <c r="CL97">
        <f t="shared" si="94"/>
        <v>206081.73193998361</v>
      </c>
      <c r="CM97">
        <f t="shared" si="94"/>
        <v>206583.9640828408</v>
      </c>
      <c r="CN97">
        <f t="shared" si="94"/>
        <v>207086.19622569796</v>
      </c>
      <c r="CO97">
        <f t="shared" si="94"/>
        <v>207588.42836855512</v>
      </c>
      <c r="CP97">
        <f t="shared" si="94"/>
        <v>205278.16051141222</v>
      </c>
      <c r="CQ97">
        <f t="shared" si="94"/>
        <v>205880.83908284083</v>
      </c>
      <c r="CR97">
        <f t="shared" si="94"/>
        <v>206483.51765426944</v>
      </c>
      <c r="CS97">
        <f t="shared" si="94"/>
        <v>207086.19622569793</v>
      </c>
      <c r="CT97">
        <f t="shared" si="94"/>
        <v>207688.87479712657</v>
      </c>
      <c r="CU97">
        <f t="shared" si="94"/>
        <v>208291.55336855521</v>
      </c>
      <c r="CV97">
        <f t="shared" si="94"/>
        <v>208894.23193998373</v>
      </c>
      <c r="CW97">
        <f t="shared" si="94"/>
        <v>209496.91051141225</v>
      </c>
      <c r="CX97">
        <f t="shared" si="94"/>
        <v>210099.58908284086</v>
      </c>
      <c r="CY97">
        <f t="shared" si="94"/>
        <v>210702.26765426944</v>
      </c>
      <c r="CZ97">
        <f t="shared" si="94"/>
        <v>211304.94622569799</v>
      </c>
      <c r="DA97">
        <f t="shared" si="94"/>
        <v>211907.62479712663</v>
      </c>
      <c r="DB97">
        <f t="shared" si="94"/>
        <v>212510.30336855521</v>
      </c>
      <c r="DC97">
        <f t="shared" si="94"/>
        <v>213112.98193998379</v>
      </c>
      <c r="DD97">
        <f t="shared" si="94"/>
        <v>213715.66051141237</v>
      </c>
      <c r="DE97">
        <f t="shared" si="94"/>
        <v>214318.33908284092</v>
      </c>
      <c r="DF97">
        <f t="shared" si="94"/>
        <v>465982.14285714278</v>
      </c>
      <c r="DG97">
        <f t="shared" si="94"/>
        <v>466584.82142857136</v>
      </c>
      <c r="DH97">
        <f t="shared" si="94"/>
        <v>467187.49999999994</v>
      </c>
      <c r="DI97">
        <f t="shared" si="94"/>
        <v>467790.17857142846</v>
      </c>
      <c r="DJ97">
        <f t="shared" si="94"/>
        <v>468392.85714285704</v>
      </c>
      <c r="DK97">
        <f t="shared" si="94"/>
        <v>468995.53571428562</v>
      </c>
      <c r="DL97">
        <f t="shared" si="94"/>
        <v>469598.2142857142</v>
      </c>
      <c r="DM97">
        <f t="shared" si="94"/>
        <v>470200.89285714278</v>
      </c>
      <c r="DN97">
        <f t="shared" si="94"/>
        <v>470803.57142857136</v>
      </c>
      <c r="DO97">
        <f t="shared" si="94"/>
        <v>471406.24999999994</v>
      </c>
      <c r="DP97">
        <f t="shared" si="94"/>
        <v>472008.92857142846</v>
      </c>
      <c r="DQ97">
        <f t="shared" si="94"/>
        <v>472611.60714285704</v>
      </c>
      <c r="DR97">
        <f t="shared" si="94"/>
        <v>500000</v>
      </c>
      <c r="DS97">
        <f t="shared" si="94"/>
        <v>500000</v>
      </c>
      <c r="DT97">
        <f t="shared" si="94"/>
        <v>500000</v>
      </c>
      <c r="DU97">
        <f t="shared" si="94"/>
        <v>500000</v>
      </c>
      <c r="DV97">
        <f t="shared" si="94"/>
        <v>500000</v>
      </c>
      <c r="DW97">
        <f t="shared" si="94"/>
        <v>500000</v>
      </c>
      <c r="DX97">
        <f t="shared" si="94"/>
        <v>500000</v>
      </c>
      <c r="DY97">
        <f t="shared" si="94"/>
        <v>25500000</v>
      </c>
    </row>
    <row r="98" spans="1:129">
      <c r="E98" s="80" t="s">
        <v>120</v>
      </c>
      <c r="F98" s="80"/>
      <c r="G98" s="80" t="s">
        <v>146</v>
      </c>
      <c r="H98" s="80"/>
      <c r="I98" s="80"/>
      <c r="J98" s="80">
        <f xml:space="preserve"> SUM( J96:J97)</f>
        <v>91221.498072274233</v>
      </c>
      <c r="K98" s="80">
        <f t="shared" ref="K98:BV98" si="95" xml:space="preserve"> SUM( K96:K97)</f>
        <v>91723.730215131363</v>
      </c>
      <c r="L98" s="80">
        <f t="shared" si="95"/>
        <v>92225.962357988523</v>
      </c>
      <c r="M98" s="80">
        <f t="shared" si="95"/>
        <v>92728.194500845653</v>
      </c>
      <c r="N98" s="80">
        <f t="shared" si="95"/>
        <v>93230.426643702784</v>
      </c>
      <c r="O98" s="80">
        <f t="shared" si="95"/>
        <v>93732.658786559958</v>
      </c>
      <c r="P98" s="80">
        <f t="shared" si="95"/>
        <v>94234.890929417103</v>
      </c>
      <c r="Q98" s="80">
        <f t="shared" si="95"/>
        <v>94737.123072274233</v>
      </c>
      <c r="R98" s="80">
        <f t="shared" si="95"/>
        <v>95239.355215131349</v>
      </c>
      <c r="S98" s="80">
        <f t="shared" si="95"/>
        <v>95741.587357988523</v>
      </c>
      <c r="T98" s="80">
        <f t="shared" si="95"/>
        <v>96243.819500845624</v>
      </c>
      <c r="U98" s="80">
        <f t="shared" si="95"/>
        <v>96746.051643702755</v>
      </c>
      <c r="V98" s="80">
        <f t="shared" si="95"/>
        <v>97248.283786559885</v>
      </c>
      <c r="W98" s="80">
        <f t="shared" si="95"/>
        <v>97750.515929417044</v>
      </c>
      <c r="X98" s="80">
        <f t="shared" si="95"/>
        <v>98252.748072274175</v>
      </c>
      <c r="Y98" s="80">
        <f t="shared" si="95"/>
        <v>98754.980215131262</v>
      </c>
      <c r="Z98" s="80">
        <f t="shared" si="95"/>
        <v>99257.212357988465</v>
      </c>
      <c r="AA98" s="80">
        <f t="shared" si="95"/>
        <v>99759.444500845566</v>
      </c>
      <c r="AB98" s="80">
        <f t="shared" si="95"/>
        <v>100261.67664370274</v>
      </c>
      <c r="AC98" s="80">
        <f t="shared" si="95"/>
        <v>763630.76357052894</v>
      </c>
      <c r="AD98" s="80">
        <f t="shared" si="95"/>
        <v>116202.47341724468</v>
      </c>
      <c r="AE98" s="80">
        <f t="shared" si="95"/>
        <v>116704.70556010184</v>
      </c>
      <c r="AF98" s="80">
        <f t="shared" si="95"/>
        <v>117206.937702959</v>
      </c>
      <c r="AG98" s="80">
        <f t="shared" si="95"/>
        <v>117709.16984581613</v>
      </c>
      <c r="AH98" s="80">
        <f t="shared" si="95"/>
        <v>118211.40198867329</v>
      </c>
      <c r="AI98" s="80">
        <f t="shared" si="95"/>
        <v>118713.63413153039</v>
      </c>
      <c r="AJ98" s="80">
        <f t="shared" si="95"/>
        <v>119215.86627438755</v>
      </c>
      <c r="AK98" s="80">
        <f t="shared" si="95"/>
        <v>119718.09841724462</v>
      </c>
      <c r="AL98" s="80">
        <f t="shared" si="95"/>
        <v>117407.83056010181</v>
      </c>
      <c r="AM98" s="80">
        <f t="shared" si="95"/>
        <v>117943.5448458161</v>
      </c>
      <c r="AN98" s="80">
        <f t="shared" si="95"/>
        <v>118479.25913153045</v>
      </c>
      <c r="AO98" s="80">
        <f t="shared" si="95"/>
        <v>119014.97341724465</v>
      </c>
      <c r="AP98" s="80">
        <f t="shared" si="95"/>
        <v>119550.68770295894</v>
      </c>
      <c r="AQ98" s="80">
        <f t="shared" si="95"/>
        <v>120086.40198867329</v>
      </c>
      <c r="AR98" s="80">
        <f t="shared" si="95"/>
        <v>120622.11627438749</v>
      </c>
      <c r="AS98" s="80">
        <f t="shared" si="95"/>
        <v>121157.83056010181</v>
      </c>
      <c r="AT98" s="80">
        <f t="shared" si="95"/>
        <v>121693.54484581613</v>
      </c>
      <c r="AU98" s="80">
        <f t="shared" si="95"/>
        <v>122229.25913153045</v>
      </c>
      <c r="AV98" s="80">
        <f t="shared" si="95"/>
        <v>122764.97341724471</v>
      </c>
      <c r="AW98" s="80">
        <f t="shared" si="95"/>
        <v>744365.16623311862</v>
      </c>
      <c r="AX98" s="80">
        <f t="shared" si="95"/>
        <v>126984.74029685996</v>
      </c>
      <c r="AY98" s="80">
        <f t="shared" si="95"/>
        <v>127520.45458257428</v>
      </c>
      <c r="AZ98" s="80">
        <f t="shared" si="95"/>
        <v>128056.16886828857</v>
      </c>
      <c r="BA98" s="80">
        <f t="shared" si="95"/>
        <v>128591.88315400289</v>
      </c>
      <c r="BB98" s="80">
        <f t="shared" si="95"/>
        <v>129127.59743971718</v>
      </c>
      <c r="BC98" s="80">
        <f t="shared" si="95"/>
        <v>129663.31172543138</v>
      </c>
      <c r="BD98" s="80">
        <f t="shared" si="95"/>
        <v>130199.02601114567</v>
      </c>
      <c r="BE98" s="80">
        <f t="shared" si="95"/>
        <v>130734.74029685996</v>
      </c>
      <c r="BF98" s="80">
        <f t="shared" si="95"/>
        <v>131270.45458257428</v>
      </c>
      <c r="BG98" s="80">
        <f t="shared" si="95"/>
        <v>131806.16886828854</v>
      </c>
      <c r="BH98" s="80">
        <f t="shared" si="95"/>
        <v>132341.88315400283</v>
      </c>
      <c r="BI98" s="80">
        <f t="shared" si="95"/>
        <v>132877.59743971712</v>
      </c>
      <c r="BJ98" s="80">
        <f t="shared" si="95"/>
        <v>133413.31172543138</v>
      </c>
      <c r="BK98" s="80">
        <f t="shared" si="95"/>
        <v>133949.02601114567</v>
      </c>
      <c r="BL98" s="80">
        <f t="shared" si="95"/>
        <v>134484.74029685996</v>
      </c>
      <c r="BM98" s="80">
        <f t="shared" si="95"/>
        <v>135020.45458257422</v>
      </c>
      <c r="BN98" s="80">
        <f t="shared" si="95"/>
        <v>137431.16886828849</v>
      </c>
      <c r="BO98" s="80">
        <f t="shared" si="95"/>
        <v>137933.4010111457</v>
      </c>
      <c r="BP98" s="80">
        <f t="shared" si="95"/>
        <v>138435.63315400283</v>
      </c>
      <c r="BQ98" s="80">
        <f t="shared" si="95"/>
        <v>480912.56803251128</v>
      </c>
      <c r="BR98" s="80">
        <f t="shared" si="95"/>
        <v>176315.95885310235</v>
      </c>
      <c r="BS98" s="80">
        <f t="shared" si="95"/>
        <v>176818.19099595954</v>
      </c>
      <c r="BT98" s="80">
        <f t="shared" si="95"/>
        <v>177320.4231388167</v>
      </c>
      <c r="BU98" s="80">
        <f t="shared" si="95"/>
        <v>177822.6552816738</v>
      </c>
      <c r="BV98" s="80">
        <f t="shared" si="95"/>
        <v>178324.88742453093</v>
      </c>
      <c r="BW98" s="80">
        <f t="shared" ref="BW98:DY98" si="96" xml:space="preserve"> SUM( BW96:BW97)</f>
        <v>178827.11956738806</v>
      </c>
      <c r="BX98" s="80">
        <f t="shared" si="96"/>
        <v>179329.35171024519</v>
      </c>
      <c r="BY98" s="80">
        <f t="shared" si="96"/>
        <v>179831.58385310238</v>
      </c>
      <c r="BZ98" s="80">
        <f t="shared" si="96"/>
        <v>180333.81599595957</v>
      </c>
      <c r="CA98" s="80">
        <f t="shared" si="96"/>
        <v>180836.0481388167</v>
      </c>
      <c r="CB98" s="80">
        <f t="shared" si="96"/>
        <v>181338.28028167388</v>
      </c>
      <c r="CC98" s="80">
        <f t="shared" si="96"/>
        <v>181840.51242453099</v>
      </c>
      <c r="CD98" s="80">
        <f t="shared" si="96"/>
        <v>182342.74456738817</v>
      </c>
      <c r="CE98" s="80">
        <f t="shared" si="96"/>
        <v>182844.97671024528</v>
      </c>
      <c r="CF98" s="80">
        <f t="shared" si="96"/>
        <v>183347.20885310235</v>
      </c>
      <c r="CG98" s="80">
        <f t="shared" si="96"/>
        <v>183849.44099595957</v>
      </c>
      <c r="CH98" s="80">
        <f t="shared" si="96"/>
        <v>184351.6731388167</v>
      </c>
      <c r="CI98" s="80">
        <f t="shared" si="96"/>
        <v>184853.90528167383</v>
      </c>
      <c r="CJ98" s="80">
        <f t="shared" si="96"/>
        <v>185356.13742453099</v>
      </c>
      <c r="CK98" s="80">
        <f t="shared" si="96"/>
        <v>674560.72972667206</v>
      </c>
      <c r="CL98" s="80">
        <f t="shared" si="96"/>
        <v>206081.73193998361</v>
      </c>
      <c r="CM98" s="80">
        <f t="shared" si="96"/>
        <v>206583.9640828408</v>
      </c>
      <c r="CN98" s="80">
        <f t="shared" si="96"/>
        <v>207086.19622569796</v>
      </c>
      <c r="CO98" s="80">
        <f t="shared" si="96"/>
        <v>207588.42836855512</v>
      </c>
      <c r="CP98" s="80">
        <f t="shared" si="96"/>
        <v>205278.16051141222</v>
      </c>
      <c r="CQ98" s="80">
        <f t="shared" si="96"/>
        <v>205880.83908284083</v>
      </c>
      <c r="CR98" s="80">
        <f t="shared" si="96"/>
        <v>206483.51765426944</v>
      </c>
      <c r="CS98" s="80">
        <f t="shared" si="96"/>
        <v>207086.19622569793</v>
      </c>
      <c r="CT98" s="80">
        <f t="shared" si="96"/>
        <v>207688.87479712657</v>
      </c>
      <c r="CU98" s="80">
        <f t="shared" si="96"/>
        <v>208291.55336855521</v>
      </c>
      <c r="CV98" s="80">
        <f t="shared" si="96"/>
        <v>208894.23193998373</v>
      </c>
      <c r="CW98" s="80">
        <f t="shared" si="96"/>
        <v>209496.91051141225</v>
      </c>
      <c r="CX98" s="80">
        <f t="shared" si="96"/>
        <v>210099.58908284086</v>
      </c>
      <c r="CY98" s="80">
        <f t="shared" si="96"/>
        <v>210702.26765426944</v>
      </c>
      <c r="CZ98" s="80">
        <f t="shared" si="96"/>
        <v>211304.94622569799</v>
      </c>
      <c r="DA98" s="80">
        <f t="shared" si="96"/>
        <v>211907.62479712663</v>
      </c>
      <c r="DB98" s="80">
        <f t="shared" si="96"/>
        <v>212510.30336855521</v>
      </c>
      <c r="DC98" s="80">
        <f t="shared" si="96"/>
        <v>213112.98193998379</v>
      </c>
      <c r="DD98" s="80">
        <f t="shared" si="96"/>
        <v>213715.66051141237</v>
      </c>
      <c r="DE98" s="80">
        <f t="shared" si="96"/>
        <v>214318.33908284092</v>
      </c>
      <c r="DF98" s="80">
        <f t="shared" si="96"/>
        <v>465982.14285714278</v>
      </c>
      <c r="DG98" s="80">
        <f t="shared" si="96"/>
        <v>466584.82142857136</v>
      </c>
      <c r="DH98" s="80">
        <f t="shared" si="96"/>
        <v>467187.49999999994</v>
      </c>
      <c r="DI98" s="80">
        <f t="shared" si="96"/>
        <v>467790.17857142846</v>
      </c>
      <c r="DJ98" s="80">
        <f t="shared" si="96"/>
        <v>468392.85714285704</v>
      </c>
      <c r="DK98" s="80">
        <f t="shared" si="96"/>
        <v>468995.53571428562</v>
      </c>
      <c r="DL98" s="80">
        <f t="shared" si="96"/>
        <v>469598.2142857142</v>
      </c>
      <c r="DM98" s="80">
        <f t="shared" si="96"/>
        <v>470200.89285714278</v>
      </c>
      <c r="DN98" s="80">
        <f t="shared" si="96"/>
        <v>470803.57142857136</v>
      </c>
      <c r="DO98" s="80">
        <f t="shared" si="96"/>
        <v>471406.24999999994</v>
      </c>
      <c r="DP98" s="80">
        <f t="shared" si="96"/>
        <v>472008.92857142846</v>
      </c>
      <c r="DQ98" s="80">
        <f t="shared" si="96"/>
        <v>472611.60714285704</v>
      </c>
      <c r="DR98" s="80">
        <f t="shared" si="96"/>
        <v>500000</v>
      </c>
      <c r="DS98" s="80">
        <f t="shared" si="96"/>
        <v>500000</v>
      </c>
      <c r="DT98" s="80">
        <f t="shared" si="96"/>
        <v>500000</v>
      </c>
      <c r="DU98" s="80">
        <f t="shared" si="96"/>
        <v>500000</v>
      </c>
      <c r="DV98" s="80">
        <f t="shared" si="96"/>
        <v>500000</v>
      </c>
      <c r="DW98" s="80">
        <f t="shared" si="96"/>
        <v>500000</v>
      </c>
      <c r="DX98" s="80">
        <f t="shared" si="96"/>
        <v>500000</v>
      </c>
      <c r="DY98" s="80">
        <f t="shared" si="96"/>
        <v>25500000</v>
      </c>
    </row>
    <row r="101" spans="1:129">
      <c r="C101" s="76" t="s">
        <v>222</v>
      </c>
    </row>
    <row r="103" spans="1:129">
      <c r="E103" s="61" t="s">
        <v>121</v>
      </c>
      <c r="F103" s="61">
        <f xml:space="preserve"> _xlfn.LET(
      _xlpm.timeline,   _xlfn.HSTACK( start_date,_xlfn.ANCHORARRAY( J$3) ),
      _xlpm.values,     _xlfn.HSTACK( $F$96, $J$98:$DY$98 ),
      XNPV( CaseData!$G$50, _xlpm.values, _xlpm.timeline ) )</f>
        <v>2562381.7932787724</v>
      </c>
      <c r="G103" s="61" t="s">
        <v>146</v>
      </c>
    </row>
    <row r="104" spans="1:129">
      <c r="E104" s="61" t="s">
        <v>122</v>
      </c>
      <c r="F104" s="98">
        <f xml:space="preserve"> _xlfn.LET(
      _xlpm.timeline,   _xlfn.HSTACK( start_date,_xlfn.ANCHORARRAY( J$3) ),
      _xlpm.values,     _xlfn.HSTACK( $F$96, $J$98:$DY$98 ),
      XIRR( _xlpm.values, _xlpm.timeline ) )</f>
        <v>0.13423758149147036</v>
      </c>
      <c r="G104" s="61" t="s">
        <v>189</v>
      </c>
    </row>
    <row r="107" spans="1:129" s="59" customFormat="1">
      <c r="A107" s="62" t="s">
        <v>223</v>
      </c>
      <c r="D107" s="60"/>
    </row>
  </sheetData>
  <printOptions horizontalCentered="1"/>
  <pageMargins left="0.15748031496062992" right="0.15748031496062992" top="0.39370078740157483" bottom="0.39370078740157483" header="0.15748031496062992" footer="0.15748031496062992"/>
  <pageSetup scale="37" fitToHeight="0" orientation="landscape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1691-949B-4445-8736-A3BA2F34C1A7}">
  <sheetPr>
    <pageSetUpPr autoPageBreaks="0"/>
  </sheetPr>
  <dimension ref="A1:DZ67"/>
  <sheetViews>
    <sheetView zoomScale="85" zoomScaleNormal="85" workbookViewId="0">
      <pane xSplit="9" ySplit="3" topLeftCell="J26" activePane="bottomRight" state="frozen"/>
      <selection pane="topRight" activeCell="J1" sqref="J1"/>
      <selection pane="bottomLeft" activeCell="A4" sqref="A4"/>
      <selection pane="bottomRight" activeCell="J56" sqref="J56"/>
    </sheetView>
  </sheetViews>
  <sheetFormatPr defaultColWidth="0" defaultRowHeight="13.8"/>
  <cols>
    <col min="1" max="1" width="1.59765625" style="61" customWidth="1"/>
    <col min="2" max="3" width="1.59765625" customWidth="1"/>
    <col min="4" max="4" width="1.59765625" style="57" customWidth="1"/>
    <col min="5" max="5" width="45.69921875" customWidth="1"/>
    <col min="6" max="6" width="10.69921875" customWidth="1"/>
    <col min="7" max="8" width="9.69921875" customWidth="1"/>
    <col min="9" max="9" width="1.59765625" customWidth="1"/>
    <col min="10" max="10" width="12" bestFit="1" customWidth="1"/>
    <col min="11" max="12" width="11.69921875" bestFit="1" customWidth="1"/>
    <col min="13" max="13" width="12.5" bestFit="1" customWidth="1"/>
    <col min="14" max="14" width="12" bestFit="1" customWidth="1"/>
    <col min="15" max="16" width="11.69921875" bestFit="1" customWidth="1"/>
    <col min="17" max="17" width="12.5" bestFit="1" customWidth="1"/>
    <col min="18" max="18" width="12" bestFit="1" customWidth="1"/>
    <col min="19" max="20" width="11.69921875" bestFit="1" customWidth="1"/>
    <col min="21" max="21" width="12.5" bestFit="1" customWidth="1"/>
    <col min="22" max="22" width="12" bestFit="1" customWidth="1"/>
    <col min="23" max="24" width="11.69921875" bestFit="1" customWidth="1"/>
    <col min="25" max="25" width="12.5" bestFit="1" customWidth="1"/>
    <col min="26" max="26" width="12" bestFit="1" customWidth="1"/>
    <col min="27" max="28" width="11.69921875" bestFit="1" customWidth="1"/>
    <col min="29" max="29" width="12.5" bestFit="1" customWidth="1"/>
    <col min="30" max="30" width="12" bestFit="1" customWidth="1"/>
    <col min="31" max="32" width="11.69921875" bestFit="1" customWidth="1"/>
    <col min="33" max="33" width="12.5" bestFit="1" customWidth="1"/>
    <col min="34" max="34" width="12" bestFit="1" customWidth="1"/>
    <col min="35" max="36" width="11.69921875" bestFit="1" customWidth="1"/>
    <col min="37" max="37" width="12.5" bestFit="1" customWidth="1"/>
    <col min="38" max="38" width="12" bestFit="1" customWidth="1"/>
    <col min="39" max="40" width="11.69921875" bestFit="1" customWidth="1"/>
    <col min="41" max="41" width="12.5" bestFit="1" customWidth="1"/>
    <col min="42" max="42" width="12" bestFit="1" customWidth="1"/>
    <col min="43" max="44" width="11.69921875" bestFit="1" customWidth="1"/>
    <col min="45" max="45" width="12.5" bestFit="1" customWidth="1"/>
    <col min="46" max="46" width="12" bestFit="1" customWidth="1"/>
    <col min="47" max="48" width="11.69921875" bestFit="1" customWidth="1"/>
    <col min="49" max="49" width="12.5" bestFit="1" customWidth="1"/>
    <col min="50" max="50" width="12" bestFit="1" customWidth="1"/>
    <col min="51" max="52" width="11.69921875" bestFit="1" customWidth="1"/>
    <col min="53" max="53" width="12.5" bestFit="1" customWidth="1"/>
    <col min="54" max="54" width="12" bestFit="1" customWidth="1"/>
    <col min="55" max="56" width="11.69921875" bestFit="1" customWidth="1"/>
    <col min="57" max="57" width="12.5" bestFit="1" customWidth="1"/>
    <col min="58" max="58" width="12" bestFit="1" customWidth="1"/>
    <col min="59" max="60" width="11.69921875" bestFit="1" customWidth="1"/>
    <col min="61" max="61" width="12.5" bestFit="1" customWidth="1"/>
    <col min="62" max="62" width="12" bestFit="1" customWidth="1"/>
    <col min="63" max="64" width="11.69921875" bestFit="1" customWidth="1"/>
    <col min="65" max="65" width="12.5" bestFit="1" customWidth="1"/>
    <col min="66" max="66" width="12" bestFit="1" customWidth="1"/>
    <col min="67" max="68" width="11.69921875" bestFit="1" customWidth="1"/>
    <col min="69" max="69" width="12.5" bestFit="1" customWidth="1"/>
    <col min="70" max="70" width="12" bestFit="1" customWidth="1"/>
    <col min="71" max="72" width="11.69921875" bestFit="1" customWidth="1"/>
    <col min="73" max="73" width="12.5" bestFit="1" customWidth="1"/>
    <col min="74" max="74" width="12" bestFit="1" customWidth="1"/>
    <col min="75" max="76" width="11.69921875" bestFit="1" customWidth="1"/>
    <col min="77" max="77" width="12.5" bestFit="1" customWidth="1"/>
    <col min="78" max="78" width="12" bestFit="1" customWidth="1"/>
    <col min="79" max="80" width="11.69921875" bestFit="1" customWidth="1"/>
    <col min="81" max="81" width="12.5" bestFit="1" customWidth="1"/>
    <col min="82" max="82" width="12" bestFit="1" customWidth="1"/>
    <col min="83" max="84" width="11.69921875" bestFit="1" customWidth="1"/>
    <col min="85" max="85" width="12.5" bestFit="1" customWidth="1"/>
    <col min="86" max="86" width="12" bestFit="1" customWidth="1"/>
    <col min="87" max="88" width="11.69921875" bestFit="1" customWidth="1"/>
    <col min="89" max="89" width="12.5" bestFit="1" customWidth="1"/>
    <col min="90" max="90" width="12" bestFit="1" customWidth="1"/>
    <col min="91" max="92" width="11.69921875" bestFit="1" customWidth="1"/>
    <col min="93" max="93" width="12.5" bestFit="1" customWidth="1"/>
    <col min="94" max="94" width="12" bestFit="1" customWidth="1"/>
    <col min="95" max="96" width="11.69921875" bestFit="1" customWidth="1"/>
    <col min="97" max="97" width="12.5" bestFit="1" customWidth="1"/>
    <col min="98" max="98" width="12" bestFit="1" customWidth="1"/>
    <col min="99" max="100" width="11.69921875" bestFit="1" customWidth="1"/>
    <col min="101" max="101" width="12.5" bestFit="1" customWidth="1"/>
    <col min="102" max="102" width="12" bestFit="1" customWidth="1"/>
    <col min="103" max="104" width="11.69921875" bestFit="1" customWidth="1"/>
    <col min="105" max="105" width="12.5" bestFit="1" customWidth="1"/>
    <col min="106" max="106" width="12" bestFit="1" customWidth="1"/>
    <col min="107" max="108" width="11.69921875" bestFit="1" customWidth="1"/>
    <col min="109" max="109" width="12.5" bestFit="1" customWidth="1"/>
    <col min="110" max="110" width="12" bestFit="1" customWidth="1"/>
    <col min="111" max="112" width="11.69921875" bestFit="1" customWidth="1"/>
    <col min="113" max="113" width="12.5" bestFit="1" customWidth="1"/>
    <col min="114" max="114" width="12" bestFit="1" customWidth="1"/>
    <col min="115" max="116" width="11.69921875" bestFit="1" customWidth="1"/>
    <col min="117" max="117" width="12.5" bestFit="1" customWidth="1"/>
    <col min="118" max="118" width="12" bestFit="1" customWidth="1"/>
    <col min="119" max="120" width="11.69921875" bestFit="1" customWidth="1"/>
    <col min="121" max="121" width="12.5" bestFit="1" customWidth="1"/>
    <col min="122" max="122" width="12" bestFit="1" customWidth="1"/>
    <col min="123" max="124" width="11.69921875" bestFit="1" customWidth="1"/>
    <col min="125" max="125" width="12.5" bestFit="1" customWidth="1"/>
    <col min="126" max="126" width="12" bestFit="1" customWidth="1"/>
    <col min="127" max="128" width="11.69921875" bestFit="1" customWidth="1"/>
    <col min="129" max="129" width="12.5" bestFit="1" customWidth="1"/>
    <col min="130" max="130" width="11.8984375" bestFit="1" customWidth="1"/>
    <col min="131" max="16384" width="10.69921875" hidden="1"/>
  </cols>
  <sheetData>
    <row r="1" spans="1:130" s="53" customFormat="1">
      <c r="A1" s="53" t="str" cm="1">
        <f t="array" ref="A1">company</f>
        <v>Investment Fund Asset</v>
      </c>
      <c r="D1" s="56"/>
    </row>
    <row r="2" spans="1:130" s="53" customFormat="1">
      <c r="A2" s="53" t="str" cm="1">
        <f t="array" ref="A2">topic</f>
        <v xml:space="preserve">CFM Topic: </v>
      </c>
      <c r="D2" s="56"/>
      <c r="J2" s="67" cm="1">
        <f t="array" ref="J2:DY2">_xlfn.ANCHORARRAY($J$11)</f>
        <v>44197</v>
      </c>
      <c r="K2" s="67">
        <v>44287</v>
      </c>
      <c r="L2" s="67">
        <v>44378</v>
      </c>
      <c r="M2" s="67">
        <v>44470</v>
      </c>
      <c r="N2" s="67">
        <v>44562</v>
      </c>
      <c r="O2" s="67">
        <v>44652</v>
      </c>
      <c r="P2" s="67">
        <v>44743</v>
      </c>
      <c r="Q2" s="67">
        <v>44835</v>
      </c>
      <c r="R2" s="67">
        <v>44927</v>
      </c>
      <c r="S2" s="67">
        <v>45017</v>
      </c>
      <c r="T2" s="67">
        <v>45108</v>
      </c>
      <c r="U2" s="67">
        <v>45200</v>
      </c>
      <c r="V2" s="67">
        <v>45292</v>
      </c>
      <c r="W2" s="67">
        <v>45383</v>
      </c>
      <c r="X2" s="67">
        <v>45474</v>
      </c>
      <c r="Y2" s="67">
        <v>45566</v>
      </c>
      <c r="Z2" s="67">
        <v>45658</v>
      </c>
      <c r="AA2" s="67">
        <v>45748</v>
      </c>
      <c r="AB2" s="67">
        <v>45839</v>
      </c>
      <c r="AC2" s="67">
        <v>45931</v>
      </c>
      <c r="AD2" s="67">
        <v>46023</v>
      </c>
      <c r="AE2" s="67">
        <v>46113</v>
      </c>
      <c r="AF2" s="67">
        <v>46204</v>
      </c>
      <c r="AG2" s="67">
        <v>46296</v>
      </c>
      <c r="AH2" s="67">
        <v>46388</v>
      </c>
      <c r="AI2" s="67">
        <v>46478</v>
      </c>
      <c r="AJ2" s="67">
        <v>46569</v>
      </c>
      <c r="AK2" s="67">
        <v>46661</v>
      </c>
      <c r="AL2" s="67">
        <v>46753</v>
      </c>
      <c r="AM2" s="67">
        <v>46844</v>
      </c>
      <c r="AN2" s="67">
        <v>46935</v>
      </c>
      <c r="AO2" s="67">
        <v>47027</v>
      </c>
      <c r="AP2" s="67">
        <v>47119</v>
      </c>
      <c r="AQ2" s="67">
        <v>47209</v>
      </c>
      <c r="AR2" s="67">
        <v>47300</v>
      </c>
      <c r="AS2" s="67">
        <v>47392</v>
      </c>
      <c r="AT2" s="67">
        <v>47484</v>
      </c>
      <c r="AU2" s="67">
        <v>47574</v>
      </c>
      <c r="AV2" s="67">
        <v>47665</v>
      </c>
      <c r="AW2" s="67">
        <v>47757</v>
      </c>
      <c r="AX2" s="67">
        <v>47849</v>
      </c>
      <c r="AY2" s="67">
        <v>47939</v>
      </c>
      <c r="AZ2" s="67">
        <v>48030</v>
      </c>
      <c r="BA2" s="67">
        <v>48122</v>
      </c>
      <c r="BB2" s="67">
        <v>48214</v>
      </c>
      <c r="BC2" s="67">
        <v>48305</v>
      </c>
      <c r="BD2" s="67">
        <v>48396</v>
      </c>
      <c r="BE2" s="67">
        <v>48488</v>
      </c>
      <c r="BF2" s="67">
        <v>48580</v>
      </c>
      <c r="BG2" s="67">
        <v>48670</v>
      </c>
      <c r="BH2" s="67">
        <v>48761</v>
      </c>
      <c r="BI2" s="67">
        <v>48853</v>
      </c>
      <c r="BJ2" s="67">
        <v>48945</v>
      </c>
      <c r="BK2" s="67">
        <v>49035</v>
      </c>
      <c r="BL2" s="67">
        <v>49126</v>
      </c>
      <c r="BM2" s="67">
        <v>49218</v>
      </c>
      <c r="BN2" s="67">
        <v>49310</v>
      </c>
      <c r="BO2" s="67">
        <v>49400</v>
      </c>
      <c r="BP2" s="67">
        <v>49491</v>
      </c>
      <c r="BQ2" s="67">
        <v>49583</v>
      </c>
      <c r="BR2" s="67">
        <v>49675</v>
      </c>
      <c r="BS2" s="67">
        <v>49766</v>
      </c>
      <c r="BT2" s="67">
        <v>49857</v>
      </c>
      <c r="BU2" s="67">
        <v>49949</v>
      </c>
      <c r="BV2" s="67">
        <v>50041</v>
      </c>
      <c r="BW2" s="67">
        <v>50131</v>
      </c>
      <c r="BX2" s="67">
        <v>50222</v>
      </c>
      <c r="BY2" s="67">
        <v>50314</v>
      </c>
      <c r="BZ2" s="67">
        <v>50406</v>
      </c>
      <c r="CA2" s="67">
        <v>50496</v>
      </c>
      <c r="CB2" s="67">
        <v>50587</v>
      </c>
      <c r="CC2" s="67">
        <v>50679</v>
      </c>
      <c r="CD2" s="67">
        <v>50771</v>
      </c>
      <c r="CE2" s="67">
        <v>50861</v>
      </c>
      <c r="CF2" s="67">
        <v>50952</v>
      </c>
      <c r="CG2" s="67">
        <v>51044</v>
      </c>
      <c r="CH2" s="67">
        <v>51136</v>
      </c>
      <c r="CI2" s="67">
        <v>51227</v>
      </c>
      <c r="CJ2" s="67">
        <v>51318</v>
      </c>
      <c r="CK2" s="67">
        <v>51410</v>
      </c>
      <c r="CL2" s="67">
        <v>51502</v>
      </c>
      <c r="CM2" s="67">
        <v>51592</v>
      </c>
      <c r="CN2" s="67">
        <v>51683</v>
      </c>
      <c r="CO2" s="67">
        <v>51775</v>
      </c>
      <c r="CP2" s="67">
        <v>51867</v>
      </c>
      <c r="CQ2" s="67">
        <v>51957</v>
      </c>
      <c r="CR2" s="67">
        <v>52048</v>
      </c>
      <c r="CS2" s="67">
        <v>52140</v>
      </c>
      <c r="CT2" s="67">
        <v>52232</v>
      </c>
      <c r="CU2" s="67">
        <v>52322</v>
      </c>
      <c r="CV2" s="67">
        <v>52413</v>
      </c>
      <c r="CW2" s="67">
        <v>52505</v>
      </c>
      <c r="CX2" s="67">
        <v>52597</v>
      </c>
      <c r="CY2" s="67">
        <v>52688</v>
      </c>
      <c r="CZ2" s="67">
        <v>52779</v>
      </c>
      <c r="DA2" s="67">
        <v>52871</v>
      </c>
      <c r="DB2" s="67">
        <v>52963</v>
      </c>
      <c r="DC2" s="67">
        <v>53053</v>
      </c>
      <c r="DD2" s="67">
        <v>53144</v>
      </c>
      <c r="DE2" s="67">
        <v>53236</v>
      </c>
      <c r="DF2" s="67">
        <v>53328</v>
      </c>
      <c r="DG2" s="67">
        <v>53418</v>
      </c>
      <c r="DH2" s="67">
        <v>53509</v>
      </c>
      <c r="DI2" s="67">
        <v>53601</v>
      </c>
      <c r="DJ2" s="67">
        <v>53693</v>
      </c>
      <c r="DK2" s="67">
        <v>53783</v>
      </c>
      <c r="DL2" s="67">
        <v>53874</v>
      </c>
      <c r="DM2" s="67">
        <v>53966</v>
      </c>
      <c r="DN2" s="67">
        <v>54058</v>
      </c>
      <c r="DO2" s="67">
        <v>54149</v>
      </c>
      <c r="DP2" s="67">
        <v>54240</v>
      </c>
      <c r="DQ2" s="67">
        <v>54332</v>
      </c>
      <c r="DR2" s="67">
        <v>54424</v>
      </c>
      <c r="DS2" s="67">
        <v>54514</v>
      </c>
      <c r="DT2" s="67">
        <v>54605</v>
      </c>
      <c r="DU2" s="67">
        <v>54697</v>
      </c>
      <c r="DV2" s="67">
        <v>54789</v>
      </c>
      <c r="DW2" s="67">
        <v>54879</v>
      </c>
      <c r="DX2" s="67">
        <v>54970</v>
      </c>
      <c r="DY2" s="67">
        <v>55062</v>
      </c>
      <c r="DZ2" s="67"/>
    </row>
    <row r="3" spans="1:130" s="53" customFormat="1">
      <c r="A3" s="53" t="s">
        <v>148</v>
      </c>
      <c r="D3" s="56"/>
      <c r="F3" s="53" t="s">
        <v>140</v>
      </c>
      <c r="G3" s="53" t="s">
        <v>141</v>
      </c>
      <c r="H3" s="53" t="s">
        <v>142</v>
      </c>
      <c r="J3" s="67" cm="1">
        <f t="array" ref="J3:DY3">_xlfn.ANCHORARRAY($J$12)</f>
        <v>44286</v>
      </c>
      <c r="K3" s="67">
        <v>44377</v>
      </c>
      <c r="L3" s="67">
        <v>44469</v>
      </c>
      <c r="M3" s="67">
        <v>44561</v>
      </c>
      <c r="N3" s="67">
        <v>44651</v>
      </c>
      <c r="O3" s="67">
        <v>44742</v>
      </c>
      <c r="P3" s="67">
        <v>44834</v>
      </c>
      <c r="Q3" s="67">
        <v>44926</v>
      </c>
      <c r="R3" s="67">
        <v>45016</v>
      </c>
      <c r="S3" s="67">
        <v>45107</v>
      </c>
      <c r="T3" s="67">
        <v>45199</v>
      </c>
      <c r="U3" s="67">
        <v>45291</v>
      </c>
      <c r="V3" s="67">
        <v>45382</v>
      </c>
      <c r="W3" s="67">
        <v>45473</v>
      </c>
      <c r="X3" s="67">
        <v>45565</v>
      </c>
      <c r="Y3" s="67">
        <v>45657</v>
      </c>
      <c r="Z3" s="67">
        <v>45747</v>
      </c>
      <c r="AA3" s="67">
        <v>45838</v>
      </c>
      <c r="AB3" s="67">
        <v>45930</v>
      </c>
      <c r="AC3" s="67">
        <v>46022</v>
      </c>
      <c r="AD3" s="67">
        <v>46112</v>
      </c>
      <c r="AE3" s="67">
        <v>46203</v>
      </c>
      <c r="AF3" s="67">
        <v>46295</v>
      </c>
      <c r="AG3" s="67">
        <v>46387</v>
      </c>
      <c r="AH3" s="67">
        <v>46477</v>
      </c>
      <c r="AI3" s="67">
        <v>46568</v>
      </c>
      <c r="AJ3" s="67">
        <v>46660</v>
      </c>
      <c r="AK3" s="67">
        <v>46752</v>
      </c>
      <c r="AL3" s="67">
        <v>46843</v>
      </c>
      <c r="AM3" s="67">
        <v>46934</v>
      </c>
      <c r="AN3" s="67">
        <v>47026</v>
      </c>
      <c r="AO3" s="67">
        <v>47118</v>
      </c>
      <c r="AP3" s="67">
        <v>47208</v>
      </c>
      <c r="AQ3" s="67">
        <v>47299</v>
      </c>
      <c r="AR3" s="67">
        <v>47391</v>
      </c>
      <c r="AS3" s="67">
        <v>47483</v>
      </c>
      <c r="AT3" s="67">
        <v>47573</v>
      </c>
      <c r="AU3" s="67">
        <v>47664</v>
      </c>
      <c r="AV3" s="67">
        <v>47756</v>
      </c>
      <c r="AW3" s="67">
        <v>47848</v>
      </c>
      <c r="AX3" s="67">
        <v>47938</v>
      </c>
      <c r="AY3" s="67">
        <v>48029</v>
      </c>
      <c r="AZ3" s="67">
        <v>48121</v>
      </c>
      <c r="BA3" s="67">
        <v>48213</v>
      </c>
      <c r="BB3" s="67">
        <v>48304</v>
      </c>
      <c r="BC3" s="67">
        <v>48395</v>
      </c>
      <c r="BD3" s="67">
        <v>48487</v>
      </c>
      <c r="BE3" s="67">
        <v>48579</v>
      </c>
      <c r="BF3" s="67">
        <v>48669</v>
      </c>
      <c r="BG3" s="67">
        <v>48760</v>
      </c>
      <c r="BH3" s="67">
        <v>48852</v>
      </c>
      <c r="BI3" s="67">
        <v>48944</v>
      </c>
      <c r="BJ3" s="67">
        <v>49034</v>
      </c>
      <c r="BK3" s="67">
        <v>49125</v>
      </c>
      <c r="BL3" s="67">
        <v>49217</v>
      </c>
      <c r="BM3" s="67">
        <v>49309</v>
      </c>
      <c r="BN3" s="67">
        <v>49399</v>
      </c>
      <c r="BO3" s="67">
        <v>49490</v>
      </c>
      <c r="BP3" s="67">
        <v>49582</v>
      </c>
      <c r="BQ3" s="67">
        <v>49674</v>
      </c>
      <c r="BR3" s="67">
        <v>49765</v>
      </c>
      <c r="BS3" s="67">
        <v>49856</v>
      </c>
      <c r="BT3" s="67">
        <v>49948</v>
      </c>
      <c r="BU3" s="67">
        <v>50040</v>
      </c>
      <c r="BV3" s="67">
        <v>50130</v>
      </c>
      <c r="BW3" s="67">
        <v>50221</v>
      </c>
      <c r="BX3" s="67">
        <v>50313</v>
      </c>
      <c r="BY3" s="67">
        <v>50405</v>
      </c>
      <c r="BZ3" s="67">
        <v>50495</v>
      </c>
      <c r="CA3" s="67">
        <v>50586</v>
      </c>
      <c r="CB3" s="67">
        <v>50678</v>
      </c>
      <c r="CC3" s="67">
        <v>50770</v>
      </c>
      <c r="CD3" s="67">
        <v>50860</v>
      </c>
      <c r="CE3" s="67">
        <v>50951</v>
      </c>
      <c r="CF3" s="67">
        <v>51043</v>
      </c>
      <c r="CG3" s="67">
        <v>51135</v>
      </c>
      <c r="CH3" s="67">
        <v>51226</v>
      </c>
      <c r="CI3" s="67">
        <v>51317</v>
      </c>
      <c r="CJ3" s="67">
        <v>51409</v>
      </c>
      <c r="CK3" s="67">
        <v>51501</v>
      </c>
      <c r="CL3" s="67">
        <v>51591</v>
      </c>
      <c r="CM3" s="67">
        <v>51682</v>
      </c>
      <c r="CN3" s="67">
        <v>51774</v>
      </c>
      <c r="CO3" s="67">
        <v>51866</v>
      </c>
      <c r="CP3" s="67">
        <v>51956</v>
      </c>
      <c r="CQ3" s="67">
        <v>52047</v>
      </c>
      <c r="CR3" s="67">
        <v>52139</v>
      </c>
      <c r="CS3" s="67">
        <v>52231</v>
      </c>
      <c r="CT3" s="67">
        <v>52321</v>
      </c>
      <c r="CU3" s="67">
        <v>52412</v>
      </c>
      <c r="CV3" s="67">
        <v>52504</v>
      </c>
      <c r="CW3" s="67">
        <v>52596</v>
      </c>
      <c r="CX3" s="67">
        <v>52687</v>
      </c>
      <c r="CY3" s="67">
        <v>52778</v>
      </c>
      <c r="CZ3" s="67">
        <v>52870</v>
      </c>
      <c r="DA3" s="67">
        <v>52962</v>
      </c>
      <c r="DB3" s="67">
        <v>53052</v>
      </c>
      <c r="DC3" s="67">
        <v>53143</v>
      </c>
      <c r="DD3" s="67">
        <v>53235</v>
      </c>
      <c r="DE3" s="67">
        <v>53327</v>
      </c>
      <c r="DF3" s="67">
        <v>53417</v>
      </c>
      <c r="DG3" s="67">
        <v>53508</v>
      </c>
      <c r="DH3" s="67">
        <v>53600</v>
      </c>
      <c r="DI3" s="67">
        <v>53692</v>
      </c>
      <c r="DJ3" s="67">
        <v>53782</v>
      </c>
      <c r="DK3" s="67">
        <v>53873</v>
      </c>
      <c r="DL3" s="67">
        <v>53965</v>
      </c>
      <c r="DM3" s="67">
        <v>54057</v>
      </c>
      <c r="DN3" s="67">
        <v>54148</v>
      </c>
      <c r="DO3" s="67">
        <v>54239</v>
      </c>
      <c r="DP3" s="67">
        <v>54331</v>
      </c>
      <c r="DQ3" s="67">
        <v>54423</v>
      </c>
      <c r="DR3" s="67">
        <v>54513</v>
      </c>
      <c r="DS3" s="67">
        <v>54604</v>
      </c>
      <c r="DT3" s="67">
        <v>54696</v>
      </c>
      <c r="DU3" s="67">
        <v>54788</v>
      </c>
      <c r="DV3" s="67">
        <v>54878</v>
      </c>
      <c r="DW3" s="67">
        <v>54969</v>
      </c>
      <c r="DX3" s="67">
        <v>55061</v>
      </c>
      <c r="DY3" s="67">
        <v>55153</v>
      </c>
      <c r="DZ3" s="67"/>
    </row>
    <row r="5" spans="1:130" s="59" customFormat="1">
      <c r="A5" s="62" t="s">
        <v>149</v>
      </c>
      <c r="D5" s="60"/>
    </row>
    <row r="7" spans="1:130">
      <c r="A7"/>
      <c r="D7"/>
      <c r="E7" t="s">
        <v>150</v>
      </c>
      <c r="F7" s="64">
        <f>start_date</f>
        <v>44196</v>
      </c>
      <c r="G7" t="s">
        <v>151</v>
      </c>
    </row>
    <row r="8" spans="1:130">
      <c r="A8"/>
      <c r="D8"/>
      <c r="E8" t="s">
        <v>152</v>
      </c>
      <c r="F8" s="65">
        <f>CaseData!$G$6</f>
        <v>30</v>
      </c>
      <c r="G8" t="s">
        <v>153</v>
      </c>
    </row>
    <row r="9" spans="1:130">
      <c r="A9"/>
      <c r="D9"/>
      <c r="E9" t="s">
        <v>154</v>
      </c>
      <c r="F9">
        <f xml:space="preserve"> $F$8 * 4</f>
        <v>120</v>
      </c>
      <c r="G9" t="s">
        <v>155</v>
      </c>
    </row>
    <row r="10" spans="1:130">
      <c r="A10"/>
      <c r="D10"/>
    </row>
    <row r="11" spans="1:130">
      <c r="A11"/>
      <c r="D11"/>
      <c r="E11" t="s">
        <v>156</v>
      </c>
      <c r="G11" t="s">
        <v>151</v>
      </c>
      <c r="J11" s="66" cm="1">
        <f t="array" ref="J11:DY11" xml:space="preserve"> EDATE( start_date + 1, _xlfn.SEQUENCE( 1, quarters, 0, 3 ) )</f>
        <v>44197</v>
      </c>
      <c r="K11" s="66">
        <v>44287</v>
      </c>
      <c r="L11" s="66">
        <v>44378</v>
      </c>
      <c r="M11" s="66">
        <v>44470</v>
      </c>
      <c r="N11" s="66">
        <v>44562</v>
      </c>
      <c r="O11" s="66">
        <v>44652</v>
      </c>
      <c r="P11" s="66">
        <v>44743</v>
      </c>
      <c r="Q11" s="66">
        <v>44835</v>
      </c>
      <c r="R11" s="66">
        <v>44927</v>
      </c>
      <c r="S11" s="66">
        <v>45017</v>
      </c>
      <c r="T11" s="66">
        <v>45108</v>
      </c>
      <c r="U11" s="66">
        <v>45200</v>
      </c>
      <c r="V11" s="66">
        <v>45292</v>
      </c>
      <c r="W11" s="66">
        <v>45383</v>
      </c>
      <c r="X11" s="66">
        <v>45474</v>
      </c>
      <c r="Y11" s="66">
        <v>45566</v>
      </c>
      <c r="Z11" s="66">
        <v>45658</v>
      </c>
      <c r="AA11" s="66">
        <v>45748</v>
      </c>
      <c r="AB11" s="66">
        <v>45839</v>
      </c>
      <c r="AC11" s="66">
        <v>45931</v>
      </c>
      <c r="AD11" s="66">
        <v>46023</v>
      </c>
      <c r="AE11" s="66">
        <v>46113</v>
      </c>
      <c r="AF11" s="66">
        <v>46204</v>
      </c>
      <c r="AG11" s="66">
        <v>46296</v>
      </c>
      <c r="AH11" s="66">
        <v>46388</v>
      </c>
      <c r="AI11" s="66">
        <v>46478</v>
      </c>
      <c r="AJ11" s="66">
        <v>46569</v>
      </c>
      <c r="AK11" s="66">
        <v>46661</v>
      </c>
      <c r="AL11" s="66">
        <v>46753</v>
      </c>
      <c r="AM11" s="66">
        <v>46844</v>
      </c>
      <c r="AN11" s="66">
        <v>46935</v>
      </c>
      <c r="AO11" s="66">
        <v>47027</v>
      </c>
      <c r="AP11" s="66">
        <v>47119</v>
      </c>
      <c r="AQ11" s="66">
        <v>47209</v>
      </c>
      <c r="AR11" s="66">
        <v>47300</v>
      </c>
      <c r="AS11" s="66">
        <v>47392</v>
      </c>
      <c r="AT11" s="66">
        <v>47484</v>
      </c>
      <c r="AU11" s="66">
        <v>47574</v>
      </c>
      <c r="AV11" s="66">
        <v>47665</v>
      </c>
      <c r="AW11" s="66">
        <v>47757</v>
      </c>
      <c r="AX11" s="66">
        <v>47849</v>
      </c>
      <c r="AY11" s="66">
        <v>47939</v>
      </c>
      <c r="AZ11" s="66">
        <v>48030</v>
      </c>
      <c r="BA11" s="66">
        <v>48122</v>
      </c>
      <c r="BB11" s="66">
        <v>48214</v>
      </c>
      <c r="BC11" s="66">
        <v>48305</v>
      </c>
      <c r="BD11" s="66">
        <v>48396</v>
      </c>
      <c r="BE11" s="66">
        <v>48488</v>
      </c>
      <c r="BF11" s="66">
        <v>48580</v>
      </c>
      <c r="BG11" s="66">
        <v>48670</v>
      </c>
      <c r="BH11" s="66">
        <v>48761</v>
      </c>
      <c r="BI11" s="66">
        <v>48853</v>
      </c>
      <c r="BJ11" s="66">
        <v>48945</v>
      </c>
      <c r="BK11" s="66">
        <v>49035</v>
      </c>
      <c r="BL11" s="66">
        <v>49126</v>
      </c>
      <c r="BM11" s="66">
        <v>49218</v>
      </c>
      <c r="BN11" s="66">
        <v>49310</v>
      </c>
      <c r="BO11" s="66">
        <v>49400</v>
      </c>
      <c r="BP11" s="66">
        <v>49491</v>
      </c>
      <c r="BQ11" s="66">
        <v>49583</v>
      </c>
      <c r="BR11" s="66">
        <v>49675</v>
      </c>
      <c r="BS11" s="66">
        <v>49766</v>
      </c>
      <c r="BT11" s="66">
        <v>49857</v>
      </c>
      <c r="BU11" s="66">
        <v>49949</v>
      </c>
      <c r="BV11" s="66">
        <v>50041</v>
      </c>
      <c r="BW11" s="66">
        <v>50131</v>
      </c>
      <c r="BX11" s="66">
        <v>50222</v>
      </c>
      <c r="BY11" s="66">
        <v>50314</v>
      </c>
      <c r="BZ11" s="66">
        <v>50406</v>
      </c>
      <c r="CA11" s="66">
        <v>50496</v>
      </c>
      <c r="CB11" s="66">
        <v>50587</v>
      </c>
      <c r="CC11" s="66">
        <v>50679</v>
      </c>
      <c r="CD11" s="66">
        <v>50771</v>
      </c>
      <c r="CE11" s="66">
        <v>50861</v>
      </c>
      <c r="CF11" s="66">
        <v>50952</v>
      </c>
      <c r="CG11" s="66">
        <v>51044</v>
      </c>
      <c r="CH11" s="66">
        <v>51136</v>
      </c>
      <c r="CI11" s="66">
        <v>51227</v>
      </c>
      <c r="CJ11" s="66">
        <v>51318</v>
      </c>
      <c r="CK11" s="66">
        <v>51410</v>
      </c>
      <c r="CL11" s="66">
        <v>51502</v>
      </c>
      <c r="CM11" s="66">
        <v>51592</v>
      </c>
      <c r="CN11" s="66">
        <v>51683</v>
      </c>
      <c r="CO11" s="66">
        <v>51775</v>
      </c>
      <c r="CP11" s="66">
        <v>51867</v>
      </c>
      <c r="CQ11" s="66">
        <v>51957</v>
      </c>
      <c r="CR11" s="66">
        <v>52048</v>
      </c>
      <c r="CS11" s="66">
        <v>52140</v>
      </c>
      <c r="CT11" s="66">
        <v>52232</v>
      </c>
      <c r="CU11" s="66">
        <v>52322</v>
      </c>
      <c r="CV11" s="66">
        <v>52413</v>
      </c>
      <c r="CW11" s="66">
        <v>52505</v>
      </c>
      <c r="CX11" s="66">
        <v>52597</v>
      </c>
      <c r="CY11" s="66">
        <v>52688</v>
      </c>
      <c r="CZ11" s="66">
        <v>52779</v>
      </c>
      <c r="DA11" s="66">
        <v>52871</v>
      </c>
      <c r="DB11" s="66">
        <v>52963</v>
      </c>
      <c r="DC11" s="66">
        <v>53053</v>
      </c>
      <c r="DD11" s="66">
        <v>53144</v>
      </c>
      <c r="DE11" s="66">
        <v>53236</v>
      </c>
      <c r="DF11" s="66">
        <v>53328</v>
      </c>
      <c r="DG11" s="66">
        <v>53418</v>
      </c>
      <c r="DH11" s="66">
        <v>53509</v>
      </c>
      <c r="DI11" s="66">
        <v>53601</v>
      </c>
      <c r="DJ11" s="66">
        <v>53693</v>
      </c>
      <c r="DK11" s="66">
        <v>53783</v>
      </c>
      <c r="DL11" s="66">
        <v>53874</v>
      </c>
      <c r="DM11" s="66">
        <v>53966</v>
      </c>
      <c r="DN11" s="66">
        <v>54058</v>
      </c>
      <c r="DO11" s="66">
        <v>54149</v>
      </c>
      <c r="DP11" s="66">
        <v>54240</v>
      </c>
      <c r="DQ11" s="66">
        <v>54332</v>
      </c>
      <c r="DR11" s="66">
        <v>54424</v>
      </c>
      <c r="DS11" s="66">
        <v>54514</v>
      </c>
      <c r="DT11" s="66">
        <v>54605</v>
      </c>
      <c r="DU11" s="66">
        <v>54697</v>
      </c>
      <c r="DV11" s="66">
        <v>54789</v>
      </c>
      <c r="DW11" s="66">
        <v>54879</v>
      </c>
      <c r="DX11" s="66">
        <v>54970</v>
      </c>
      <c r="DY11" s="66">
        <v>55062</v>
      </c>
      <c r="DZ11" s="66"/>
    </row>
    <row r="12" spans="1:130">
      <c r="E12" t="s">
        <v>157</v>
      </c>
      <c r="G12" t="s">
        <v>151</v>
      </c>
      <c r="J12" s="66" cm="1">
        <f t="array" ref="J12:DY12">EOMONTH( start_date, _xlfn.SEQUENCE( 1, quarters, 3, 3 ) )</f>
        <v>44286</v>
      </c>
      <c r="K12" s="66">
        <v>44377</v>
      </c>
      <c r="L12" s="66">
        <v>44469</v>
      </c>
      <c r="M12" s="66">
        <v>44561</v>
      </c>
      <c r="N12" s="66">
        <v>44651</v>
      </c>
      <c r="O12" s="66">
        <v>44742</v>
      </c>
      <c r="P12" s="66">
        <v>44834</v>
      </c>
      <c r="Q12" s="66">
        <v>44926</v>
      </c>
      <c r="R12" s="66">
        <v>45016</v>
      </c>
      <c r="S12" s="66">
        <v>45107</v>
      </c>
      <c r="T12" s="66">
        <v>45199</v>
      </c>
      <c r="U12" s="66">
        <v>45291</v>
      </c>
      <c r="V12" s="66">
        <v>45382</v>
      </c>
      <c r="W12" s="66">
        <v>45473</v>
      </c>
      <c r="X12" s="66">
        <v>45565</v>
      </c>
      <c r="Y12" s="66">
        <v>45657</v>
      </c>
      <c r="Z12" s="66">
        <v>45747</v>
      </c>
      <c r="AA12" s="66">
        <v>45838</v>
      </c>
      <c r="AB12" s="66">
        <v>45930</v>
      </c>
      <c r="AC12" s="66">
        <v>46022</v>
      </c>
      <c r="AD12" s="66">
        <v>46112</v>
      </c>
      <c r="AE12" s="66">
        <v>46203</v>
      </c>
      <c r="AF12" s="66">
        <v>46295</v>
      </c>
      <c r="AG12" s="66">
        <v>46387</v>
      </c>
      <c r="AH12" s="66">
        <v>46477</v>
      </c>
      <c r="AI12" s="66">
        <v>46568</v>
      </c>
      <c r="AJ12" s="66">
        <v>46660</v>
      </c>
      <c r="AK12" s="66">
        <v>46752</v>
      </c>
      <c r="AL12" s="66">
        <v>46843</v>
      </c>
      <c r="AM12" s="66">
        <v>46934</v>
      </c>
      <c r="AN12" s="66">
        <v>47026</v>
      </c>
      <c r="AO12" s="66">
        <v>47118</v>
      </c>
      <c r="AP12" s="66">
        <v>47208</v>
      </c>
      <c r="AQ12" s="66">
        <v>47299</v>
      </c>
      <c r="AR12" s="66">
        <v>47391</v>
      </c>
      <c r="AS12" s="66">
        <v>47483</v>
      </c>
      <c r="AT12" s="66">
        <v>47573</v>
      </c>
      <c r="AU12" s="66">
        <v>47664</v>
      </c>
      <c r="AV12" s="66">
        <v>47756</v>
      </c>
      <c r="AW12" s="66">
        <v>47848</v>
      </c>
      <c r="AX12" s="66">
        <v>47938</v>
      </c>
      <c r="AY12" s="66">
        <v>48029</v>
      </c>
      <c r="AZ12" s="66">
        <v>48121</v>
      </c>
      <c r="BA12" s="66">
        <v>48213</v>
      </c>
      <c r="BB12" s="66">
        <v>48304</v>
      </c>
      <c r="BC12" s="66">
        <v>48395</v>
      </c>
      <c r="BD12" s="66">
        <v>48487</v>
      </c>
      <c r="BE12" s="66">
        <v>48579</v>
      </c>
      <c r="BF12" s="66">
        <v>48669</v>
      </c>
      <c r="BG12" s="66">
        <v>48760</v>
      </c>
      <c r="BH12" s="66">
        <v>48852</v>
      </c>
      <c r="BI12" s="66">
        <v>48944</v>
      </c>
      <c r="BJ12" s="66">
        <v>49034</v>
      </c>
      <c r="BK12" s="66">
        <v>49125</v>
      </c>
      <c r="BL12" s="66">
        <v>49217</v>
      </c>
      <c r="BM12" s="66">
        <v>49309</v>
      </c>
      <c r="BN12" s="66">
        <v>49399</v>
      </c>
      <c r="BO12" s="66">
        <v>49490</v>
      </c>
      <c r="BP12" s="66">
        <v>49582</v>
      </c>
      <c r="BQ12" s="66">
        <v>49674</v>
      </c>
      <c r="BR12" s="66">
        <v>49765</v>
      </c>
      <c r="BS12" s="66">
        <v>49856</v>
      </c>
      <c r="BT12" s="66">
        <v>49948</v>
      </c>
      <c r="BU12" s="66">
        <v>50040</v>
      </c>
      <c r="BV12" s="66">
        <v>50130</v>
      </c>
      <c r="BW12" s="66">
        <v>50221</v>
      </c>
      <c r="BX12" s="66">
        <v>50313</v>
      </c>
      <c r="BY12" s="66">
        <v>50405</v>
      </c>
      <c r="BZ12" s="66">
        <v>50495</v>
      </c>
      <c r="CA12" s="66">
        <v>50586</v>
      </c>
      <c r="CB12" s="66">
        <v>50678</v>
      </c>
      <c r="CC12" s="66">
        <v>50770</v>
      </c>
      <c r="CD12" s="66">
        <v>50860</v>
      </c>
      <c r="CE12" s="66">
        <v>50951</v>
      </c>
      <c r="CF12" s="66">
        <v>51043</v>
      </c>
      <c r="CG12" s="66">
        <v>51135</v>
      </c>
      <c r="CH12" s="66">
        <v>51226</v>
      </c>
      <c r="CI12" s="66">
        <v>51317</v>
      </c>
      <c r="CJ12" s="66">
        <v>51409</v>
      </c>
      <c r="CK12" s="66">
        <v>51501</v>
      </c>
      <c r="CL12" s="66">
        <v>51591</v>
      </c>
      <c r="CM12" s="66">
        <v>51682</v>
      </c>
      <c r="CN12" s="66">
        <v>51774</v>
      </c>
      <c r="CO12" s="66">
        <v>51866</v>
      </c>
      <c r="CP12" s="66">
        <v>51956</v>
      </c>
      <c r="CQ12" s="66">
        <v>52047</v>
      </c>
      <c r="CR12" s="66">
        <v>52139</v>
      </c>
      <c r="CS12" s="66">
        <v>52231</v>
      </c>
      <c r="CT12" s="66">
        <v>52321</v>
      </c>
      <c r="CU12" s="66">
        <v>52412</v>
      </c>
      <c r="CV12" s="66">
        <v>52504</v>
      </c>
      <c r="CW12" s="66">
        <v>52596</v>
      </c>
      <c r="CX12" s="66">
        <v>52687</v>
      </c>
      <c r="CY12" s="66">
        <v>52778</v>
      </c>
      <c r="CZ12" s="66">
        <v>52870</v>
      </c>
      <c r="DA12" s="66">
        <v>52962</v>
      </c>
      <c r="DB12" s="66">
        <v>53052</v>
      </c>
      <c r="DC12" s="66">
        <v>53143</v>
      </c>
      <c r="DD12" s="66">
        <v>53235</v>
      </c>
      <c r="DE12" s="66">
        <v>53327</v>
      </c>
      <c r="DF12" s="66">
        <v>53417</v>
      </c>
      <c r="DG12" s="66">
        <v>53508</v>
      </c>
      <c r="DH12" s="66">
        <v>53600</v>
      </c>
      <c r="DI12" s="66">
        <v>53692</v>
      </c>
      <c r="DJ12" s="66">
        <v>53782</v>
      </c>
      <c r="DK12" s="66">
        <v>53873</v>
      </c>
      <c r="DL12" s="66">
        <v>53965</v>
      </c>
      <c r="DM12" s="66">
        <v>54057</v>
      </c>
      <c r="DN12" s="66">
        <v>54148</v>
      </c>
      <c r="DO12" s="66">
        <v>54239</v>
      </c>
      <c r="DP12" s="66">
        <v>54331</v>
      </c>
      <c r="DQ12" s="66">
        <v>54423</v>
      </c>
      <c r="DR12" s="66">
        <v>54513</v>
      </c>
      <c r="DS12" s="66">
        <v>54604</v>
      </c>
      <c r="DT12" s="66">
        <v>54696</v>
      </c>
      <c r="DU12" s="66">
        <v>54788</v>
      </c>
      <c r="DV12" s="66">
        <v>54878</v>
      </c>
      <c r="DW12" s="66">
        <v>54969</v>
      </c>
      <c r="DX12" s="66">
        <v>55061</v>
      </c>
      <c r="DY12" s="66">
        <v>55153</v>
      </c>
      <c r="DZ12" s="66"/>
    </row>
    <row r="14" spans="1:130">
      <c r="E14" t="s">
        <v>158</v>
      </c>
      <c r="G14" t="s">
        <v>159</v>
      </c>
      <c r="H14" cm="1">
        <f t="array" ref="H14">_xlfn.BYROW(_xlfn.ANCHORARRAY( J14), _xleta.MAX )</f>
        <v>120</v>
      </c>
      <c r="J14" cm="1">
        <f t="array" ref="J14:DY14" xml:space="preserve"> _xlfn.SEQUENCE( 1, quarters, 1, 1 )</f>
        <v>1</v>
      </c>
      <c r="K14">
        <v>2</v>
      </c>
      <c r="L14">
        <v>3</v>
      </c>
      <c r="M14">
        <v>4</v>
      </c>
      <c r="N14">
        <v>5</v>
      </c>
      <c r="O14">
        <v>6</v>
      </c>
      <c r="P14">
        <v>7</v>
      </c>
      <c r="Q14">
        <v>8</v>
      </c>
      <c r="R14">
        <v>9</v>
      </c>
      <c r="S14">
        <v>10</v>
      </c>
      <c r="T14">
        <v>11</v>
      </c>
      <c r="U14">
        <v>12</v>
      </c>
      <c r="V14">
        <v>13</v>
      </c>
      <c r="W14">
        <v>14</v>
      </c>
      <c r="X14">
        <v>15</v>
      </c>
      <c r="Y14">
        <v>16</v>
      </c>
      <c r="Z14">
        <v>17</v>
      </c>
      <c r="AA14">
        <v>18</v>
      </c>
      <c r="AB14">
        <v>19</v>
      </c>
      <c r="AC14">
        <v>20</v>
      </c>
      <c r="AD14">
        <v>21</v>
      </c>
      <c r="AE14">
        <v>22</v>
      </c>
      <c r="AF14">
        <v>23</v>
      </c>
      <c r="AG14">
        <v>24</v>
      </c>
      <c r="AH14">
        <v>25</v>
      </c>
      <c r="AI14">
        <v>26</v>
      </c>
      <c r="AJ14">
        <v>27</v>
      </c>
      <c r="AK14">
        <v>28</v>
      </c>
      <c r="AL14">
        <v>29</v>
      </c>
      <c r="AM14">
        <v>30</v>
      </c>
      <c r="AN14">
        <v>31</v>
      </c>
      <c r="AO14">
        <v>32</v>
      </c>
      <c r="AP14">
        <v>33</v>
      </c>
      <c r="AQ14">
        <v>34</v>
      </c>
      <c r="AR14">
        <v>35</v>
      </c>
      <c r="AS14">
        <v>36</v>
      </c>
      <c r="AT14">
        <v>37</v>
      </c>
      <c r="AU14">
        <v>38</v>
      </c>
      <c r="AV14">
        <v>39</v>
      </c>
      <c r="AW14">
        <v>40</v>
      </c>
      <c r="AX14">
        <v>41</v>
      </c>
      <c r="AY14">
        <v>42</v>
      </c>
      <c r="AZ14">
        <v>43</v>
      </c>
      <c r="BA14">
        <v>44</v>
      </c>
      <c r="BB14">
        <v>45</v>
      </c>
      <c r="BC14">
        <v>46</v>
      </c>
      <c r="BD14">
        <v>47</v>
      </c>
      <c r="BE14">
        <v>48</v>
      </c>
      <c r="BF14">
        <v>49</v>
      </c>
      <c r="BG14">
        <v>50</v>
      </c>
      <c r="BH14">
        <v>51</v>
      </c>
      <c r="BI14">
        <v>52</v>
      </c>
      <c r="BJ14">
        <v>53</v>
      </c>
      <c r="BK14">
        <v>54</v>
      </c>
      <c r="BL14">
        <v>55</v>
      </c>
      <c r="BM14">
        <v>56</v>
      </c>
      <c r="BN14">
        <v>57</v>
      </c>
      <c r="BO14">
        <v>58</v>
      </c>
      <c r="BP14">
        <v>59</v>
      </c>
      <c r="BQ14">
        <v>60</v>
      </c>
      <c r="BR14">
        <v>61</v>
      </c>
      <c r="BS14">
        <v>62</v>
      </c>
      <c r="BT14">
        <v>63</v>
      </c>
      <c r="BU14">
        <v>64</v>
      </c>
      <c r="BV14">
        <v>65</v>
      </c>
      <c r="BW14">
        <v>66</v>
      </c>
      <c r="BX14">
        <v>67</v>
      </c>
      <c r="BY14">
        <v>68</v>
      </c>
      <c r="BZ14">
        <v>69</v>
      </c>
      <c r="CA14">
        <v>70</v>
      </c>
      <c r="CB14">
        <v>71</v>
      </c>
      <c r="CC14">
        <v>72</v>
      </c>
      <c r="CD14">
        <v>73</v>
      </c>
      <c r="CE14">
        <v>74</v>
      </c>
      <c r="CF14">
        <v>75</v>
      </c>
      <c r="CG14">
        <v>76</v>
      </c>
      <c r="CH14">
        <v>77</v>
      </c>
      <c r="CI14">
        <v>78</v>
      </c>
      <c r="CJ14">
        <v>79</v>
      </c>
      <c r="CK14">
        <v>80</v>
      </c>
      <c r="CL14">
        <v>81</v>
      </c>
      <c r="CM14">
        <v>82</v>
      </c>
      <c r="CN14">
        <v>83</v>
      </c>
      <c r="CO14">
        <v>84</v>
      </c>
      <c r="CP14">
        <v>85</v>
      </c>
      <c r="CQ14">
        <v>86</v>
      </c>
      <c r="CR14">
        <v>87</v>
      </c>
      <c r="CS14">
        <v>88</v>
      </c>
      <c r="CT14">
        <v>89</v>
      </c>
      <c r="CU14">
        <v>90</v>
      </c>
      <c r="CV14">
        <v>91</v>
      </c>
      <c r="CW14">
        <v>92</v>
      </c>
      <c r="CX14">
        <v>93</v>
      </c>
      <c r="CY14">
        <v>94</v>
      </c>
      <c r="CZ14">
        <v>95</v>
      </c>
      <c r="DA14">
        <v>96</v>
      </c>
      <c r="DB14">
        <v>97</v>
      </c>
      <c r="DC14">
        <v>98</v>
      </c>
      <c r="DD14">
        <v>99</v>
      </c>
      <c r="DE14">
        <v>100</v>
      </c>
      <c r="DF14">
        <v>101</v>
      </c>
      <c r="DG14">
        <v>102</v>
      </c>
      <c r="DH14">
        <v>103</v>
      </c>
      <c r="DI14">
        <v>104</v>
      </c>
      <c r="DJ14">
        <v>105</v>
      </c>
      <c r="DK14">
        <v>106</v>
      </c>
      <c r="DL14">
        <v>107</v>
      </c>
      <c r="DM14">
        <v>108</v>
      </c>
      <c r="DN14">
        <v>109</v>
      </c>
      <c r="DO14">
        <v>110</v>
      </c>
      <c r="DP14">
        <v>111</v>
      </c>
      <c r="DQ14">
        <v>112</v>
      </c>
      <c r="DR14">
        <v>113</v>
      </c>
      <c r="DS14">
        <v>114</v>
      </c>
      <c r="DT14">
        <v>115</v>
      </c>
      <c r="DU14">
        <v>116</v>
      </c>
      <c r="DV14">
        <v>117</v>
      </c>
      <c r="DW14">
        <v>118</v>
      </c>
      <c r="DX14">
        <v>119</v>
      </c>
      <c r="DY14">
        <v>120</v>
      </c>
    </row>
    <row r="15" spans="1:130">
      <c r="E15" t="s">
        <v>160</v>
      </c>
      <c r="G15" t="s">
        <v>161</v>
      </c>
      <c r="H15" cm="1">
        <f t="array" ref="H15">_xlfn.BYROW(_xlfn.ANCHORARRAY( J15), _xleta.MAX )</f>
        <v>1</v>
      </c>
      <c r="J15" cm="1">
        <f t="array" ref="J15:DY15" xml:space="preserve"> IF(_xlfn.ANCHORARRAY( J14) = 1, 1, 0 )</f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</row>
    <row r="17" spans="1:130" s="59" customFormat="1">
      <c r="A17" s="62" t="s">
        <v>14</v>
      </c>
      <c r="D17" s="60"/>
    </row>
    <row r="19" spans="1:130">
      <c r="E19" t="str">
        <f>CaseData!C$5</f>
        <v>Initial quarter end date</v>
      </c>
      <c r="F19" s="64">
        <f>CaseData!G$5</f>
        <v>44286</v>
      </c>
      <c r="G19" t="s">
        <v>151</v>
      </c>
    </row>
    <row r="20" spans="1:130">
      <c r="E20" t="str">
        <f>CaseData!C$7</f>
        <v>Final quarter end date (Project End Date)</v>
      </c>
      <c r="F20" s="68">
        <f>end_date</f>
        <v>55153</v>
      </c>
      <c r="G20" t="s">
        <v>151</v>
      </c>
    </row>
    <row r="21" spans="1:130">
      <c r="F21" s="71"/>
    </row>
    <row r="22" spans="1:130">
      <c r="A22"/>
      <c r="D22"/>
      <c r="E22" t="s">
        <v>164</v>
      </c>
      <c r="G22" t="s">
        <v>161</v>
      </c>
      <c r="H22" cm="1">
        <f t="array" ref="H22">_xlfn.BYROW(_xlfn.ANCHORARRAY( J22), _xleta.SUM )</f>
        <v>120</v>
      </c>
      <c r="J22" cm="1">
        <f t="array" ref="J22:DY22">_xlfn.LET(
      _xlpm.timeline_end,_xlfn.ANCHORARRAY(  $J$3),
      _xlpm.initial,       $F19,
      _xlpm.final,         $F20,
      IF( (_xlpm.timeline_end &gt;= _xlpm.initial) * (_xlpm.timeline_end &lt;= _xlpm.final), 1, 0 ) )</f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</row>
    <row r="23" spans="1:130">
      <c r="E23" t="s">
        <v>163</v>
      </c>
      <c r="G23" t="s">
        <v>159</v>
      </c>
      <c r="J23" cm="1">
        <f t="array" ref="J23:DY23" xml:space="preserve"> _xlfn.LET(
      _xlpm.flag,_xlfn.ANCHORARRAY(     J22),
      _xlpm.timeline, CaseData!$G$13:$K$13,
      IF( _xlpm.flag, _xlfn.XMATCH(_xlfn.ANCHORARRAY( J3), _xlpm.timeline, 1 ), 0 ) )</f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>
        <v>4</v>
      </c>
      <c r="CA23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4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5</v>
      </c>
      <c r="CT23">
        <v>5</v>
      </c>
      <c r="CU23">
        <v>5</v>
      </c>
      <c r="CV23">
        <v>5</v>
      </c>
      <c r="CW23">
        <v>5</v>
      </c>
      <c r="CX23">
        <v>5</v>
      </c>
      <c r="CY23">
        <v>5</v>
      </c>
      <c r="CZ23">
        <v>5</v>
      </c>
      <c r="DA23">
        <v>5</v>
      </c>
      <c r="DB23">
        <v>5</v>
      </c>
      <c r="DC23">
        <v>5</v>
      </c>
      <c r="DD23">
        <v>5</v>
      </c>
      <c r="DE23">
        <v>5</v>
      </c>
      <c r="DF23">
        <v>5</v>
      </c>
      <c r="DG23">
        <v>5</v>
      </c>
      <c r="DH23">
        <v>5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5</v>
      </c>
      <c r="DX23">
        <v>5</v>
      </c>
      <c r="DY23">
        <v>5</v>
      </c>
    </row>
    <row r="25" spans="1:130" s="59" customFormat="1">
      <c r="A25" s="62" t="s">
        <v>21</v>
      </c>
      <c r="D25" s="60"/>
    </row>
    <row r="27" spans="1:130">
      <c r="C27" s="76" t="s">
        <v>178</v>
      </c>
    </row>
    <row r="28" spans="1:130">
      <c r="E28" t="s">
        <v>162</v>
      </c>
      <c r="F28" s="68">
        <f>CaseData!$G$18</f>
        <v>44196</v>
      </c>
      <c r="G28" t="s">
        <v>151</v>
      </c>
    </row>
    <row r="29" spans="1:130">
      <c r="E29" t="s">
        <v>165</v>
      </c>
      <c r="F29" s="68">
        <f>CaseData!$G$21</f>
        <v>53327</v>
      </c>
      <c r="G29" t="s">
        <v>151</v>
      </c>
    </row>
    <row r="30" spans="1:130">
      <c r="E30" t="s">
        <v>166</v>
      </c>
      <c r="G30" t="s">
        <v>161</v>
      </c>
      <c r="H30" cm="1">
        <f t="array" ref="H30">_xlfn.BYROW(_xlfn.ANCHORARRAY( J30), _xleta.SUM )</f>
        <v>100</v>
      </c>
      <c r="J30" cm="1">
        <f t="array" ref="J30:DY30">_xlfn.LET(
      _xlpm.timeline_end,_xlfn.ANCHORARRAY(  $J$3),
      _xlpm.initial,       $F28,
      _xlpm.final,         $F29,
      IF( (_xlpm.timeline_end &gt;= _xlpm.initial) * (_xlpm.timeline_end &lt;= _xlpm.final), 1, 0 ) )</f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</row>
    <row r="32" spans="1:130">
      <c r="E32" t="s">
        <v>219</v>
      </c>
      <c r="G32" t="s">
        <v>159</v>
      </c>
      <c r="J32">
        <f xml:space="preserve"> IF( J$15 = 1, $H$30, IF( J$30 = 1, I$32 - J$30, 0 ) )</f>
        <v>100</v>
      </c>
      <c r="K32">
        <f t="shared" ref="K32:BV32" si="0" xml:space="preserve"> IF( K$15 = 1, $H$30, IF( K$30 = 1, J$32 - K$30, 0 ) )</f>
        <v>99</v>
      </c>
      <c r="L32">
        <f t="shared" si="0"/>
        <v>98</v>
      </c>
      <c r="M32">
        <f t="shared" si="0"/>
        <v>97</v>
      </c>
      <c r="N32">
        <f t="shared" si="0"/>
        <v>96</v>
      </c>
      <c r="O32">
        <f t="shared" si="0"/>
        <v>95</v>
      </c>
      <c r="P32">
        <f t="shared" si="0"/>
        <v>94</v>
      </c>
      <c r="Q32">
        <f t="shared" si="0"/>
        <v>93</v>
      </c>
      <c r="R32">
        <f t="shared" si="0"/>
        <v>92</v>
      </c>
      <c r="S32">
        <f t="shared" si="0"/>
        <v>91</v>
      </c>
      <c r="T32">
        <f t="shared" si="0"/>
        <v>90</v>
      </c>
      <c r="U32">
        <f t="shared" si="0"/>
        <v>89</v>
      </c>
      <c r="V32">
        <f t="shared" si="0"/>
        <v>88</v>
      </c>
      <c r="W32">
        <f t="shared" si="0"/>
        <v>87</v>
      </c>
      <c r="X32">
        <f t="shared" si="0"/>
        <v>86</v>
      </c>
      <c r="Y32">
        <f t="shared" si="0"/>
        <v>85</v>
      </c>
      <c r="Z32">
        <f t="shared" si="0"/>
        <v>84</v>
      </c>
      <c r="AA32">
        <f t="shared" si="0"/>
        <v>83</v>
      </c>
      <c r="AB32">
        <f t="shared" si="0"/>
        <v>82</v>
      </c>
      <c r="AC32">
        <f t="shared" si="0"/>
        <v>81</v>
      </c>
      <c r="AD32">
        <f t="shared" si="0"/>
        <v>80</v>
      </c>
      <c r="AE32">
        <f t="shared" si="0"/>
        <v>79</v>
      </c>
      <c r="AF32">
        <f t="shared" si="0"/>
        <v>78</v>
      </c>
      <c r="AG32">
        <f t="shared" si="0"/>
        <v>77</v>
      </c>
      <c r="AH32">
        <f t="shared" si="0"/>
        <v>76</v>
      </c>
      <c r="AI32">
        <f t="shared" si="0"/>
        <v>75</v>
      </c>
      <c r="AJ32">
        <f t="shared" si="0"/>
        <v>74</v>
      </c>
      <c r="AK32">
        <f t="shared" si="0"/>
        <v>73</v>
      </c>
      <c r="AL32">
        <f t="shared" si="0"/>
        <v>72</v>
      </c>
      <c r="AM32">
        <f t="shared" si="0"/>
        <v>71</v>
      </c>
      <c r="AN32">
        <f t="shared" si="0"/>
        <v>70</v>
      </c>
      <c r="AO32">
        <f t="shared" si="0"/>
        <v>69</v>
      </c>
      <c r="AP32">
        <f t="shared" si="0"/>
        <v>68</v>
      </c>
      <c r="AQ32">
        <f t="shared" si="0"/>
        <v>67</v>
      </c>
      <c r="AR32">
        <f t="shared" si="0"/>
        <v>66</v>
      </c>
      <c r="AS32">
        <f t="shared" si="0"/>
        <v>65</v>
      </c>
      <c r="AT32">
        <f t="shared" si="0"/>
        <v>64</v>
      </c>
      <c r="AU32">
        <f t="shared" si="0"/>
        <v>63</v>
      </c>
      <c r="AV32">
        <f t="shared" si="0"/>
        <v>62</v>
      </c>
      <c r="AW32">
        <f t="shared" si="0"/>
        <v>61</v>
      </c>
      <c r="AX32">
        <f t="shared" si="0"/>
        <v>60</v>
      </c>
      <c r="AY32">
        <f t="shared" si="0"/>
        <v>59</v>
      </c>
      <c r="AZ32">
        <f t="shared" si="0"/>
        <v>58</v>
      </c>
      <c r="BA32">
        <f t="shared" si="0"/>
        <v>57</v>
      </c>
      <c r="BB32">
        <f t="shared" si="0"/>
        <v>56</v>
      </c>
      <c r="BC32">
        <f t="shared" si="0"/>
        <v>55</v>
      </c>
      <c r="BD32">
        <f t="shared" si="0"/>
        <v>54</v>
      </c>
      <c r="BE32">
        <f t="shared" si="0"/>
        <v>53</v>
      </c>
      <c r="BF32">
        <f t="shared" si="0"/>
        <v>52</v>
      </c>
      <c r="BG32">
        <f t="shared" si="0"/>
        <v>51</v>
      </c>
      <c r="BH32">
        <f t="shared" si="0"/>
        <v>50</v>
      </c>
      <c r="BI32">
        <f t="shared" si="0"/>
        <v>49</v>
      </c>
      <c r="BJ32">
        <f t="shared" si="0"/>
        <v>48</v>
      </c>
      <c r="BK32">
        <f t="shared" si="0"/>
        <v>47</v>
      </c>
      <c r="BL32">
        <f t="shared" si="0"/>
        <v>46</v>
      </c>
      <c r="BM32">
        <f t="shared" si="0"/>
        <v>45</v>
      </c>
      <c r="BN32">
        <f t="shared" si="0"/>
        <v>44</v>
      </c>
      <c r="BO32">
        <f t="shared" si="0"/>
        <v>43</v>
      </c>
      <c r="BP32">
        <f t="shared" si="0"/>
        <v>42</v>
      </c>
      <c r="BQ32">
        <f t="shared" si="0"/>
        <v>41</v>
      </c>
      <c r="BR32">
        <f t="shared" si="0"/>
        <v>40</v>
      </c>
      <c r="BS32">
        <f t="shared" si="0"/>
        <v>39</v>
      </c>
      <c r="BT32">
        <f t="shared" si="0"/>
        <v>38</v>
      </c>
      <c r="BU32">
        <f t="shared" si="0"/>
        <v>37</v>
      </c>
      <c r="BV32">
        <f t="shared" si="0"/>
        <v>36</v>
      </c>
      <c r="BW32">
        <f t="shared" ref="BW32:DZ32" si="1" xml:space="preserve"> IF( BW$15 = 1, $H$30, IF( BW$30 = 1, BV$32 - BW$30, 0 ) )</f>
        <v>35</v>
      </c>
      <c r="BX32">
        <f t="shared" si="1"/>
        <v>34</v>
      </c>
      <c r="BY32">
        <f t="shared" si="1"/>
        <v>33</v>
      </c>
      <c r="BZ32">
        <f t="shared" si="1"/>
        <v>32</v>
      </c>
      <c r="CA32">
        <f t="shared" si="1"/>
        <v>31</v>
      </c>
      <c r="CB32">
        <f t="shared" si="1"/>
        <v>30</v>
      </c>
      <c r="CC32">
        <f t="shared" si="1"/>
        <v>29</v>
      </c>
      <c r="CD32">
        <f t="shared" si="1"/>
        <v>28</v>
      </c>
      <c r="CE32">
        <f t="shared" si="1"/>
        <v>27</v>
      </c>
      <c r="CF32">
        <f t="shared" si="1"/>
        <v>26</v>
      </c>
      <c r="CG32">
        <f t="shared" si="1"/>
        <v>25</v>
      </c>
      <c r="CH32">
        <f t="shared" si="1"/>
        <v>24</v>
      </c>
      <c r="CI32">
        <f t="shared" si="1"/>
        <v>23</v>
      </c>
      <c r="CJ32">
        <f t="shared" si="1"/>
        <v>22</v>
      </c>
      <c r="CK32">
        <f t="shared" si="1"/>
        <v>21</v>
      </c>
      <c r="CL32">
        <f t="shared" si="1"/>
        <v>20</v>
      </c>
      <c r="CM32">
        <f t="shared" si="1"/>
        <v>19</v>
      </c>
      <c r="CN32">
        <f t="shared" si="1"/>
        <v>18</v>
      </c>
      <c r="CO32">
        <f t="shared" si="1"/>
        <v>17</v>
      </c>
      <c r="CP32">
        <f t="shared" si="1"/>
        <v>16</v>
      </c>
      <c r="CQ32">
        <f t="shared" si="1"/>
        <v>15</v>
      </c>
      <c r="CR32">
        <f t="shared" si="1"/>
        <v>14</v>
      </c>
      <c r="CS32">
        <f t="shared" si="1"/>
        <v>13</v>
      </c>
      <c r="CT32">
        <f t="shared" si="1"/>
        <v>12</v>
      </c>
      <c r="CU32">
        <f t="shared" si="1"/>
        <v>11</v>
      </c>
      <c r="CV32">
        <f t="shared" si="1"/>
        <v>10</v>
      </c>
      <c r="CW32">
        <f t="shared" si="1"/>
        <v>9</v>
      </c>
      <c r="CX32">
        <f t="shared" si="1"/>
        <v>8</v>
      </c>
      <c r="CY32">
        <f t="shared" si="1"/>
        <v>7</v>
      </c>
      <c r="CZ32">
        <f t="shared" si="1"/>
        <v>6</v>
      </c>
      <c r="DA32">
        <f t="shared" si="1"/>
        <v>5</v>
      </c>
      <c r="DB32">
        <f t="shared" si="1"/>
        <v>4</v>
      </c>
      <c r="DC32">
        <f t="shared" si="1"/>
        <v>3</v>
      </c>
      <c r="DD32">
        <f t="shared" si="1"/>
        <v>2</v>
      </c>
      <c r="DE32">
        <f t="shared" si="1"/>
        <v>1</v>
      </c>
      <c r="DF32">
        <f t="shared" si="1"/>
        <v>0</v>
      </c>
      <c r="DG32">
        <f t="shared" si="1"/>
        <v>0</v>
      </c>
      <c r="DH32">
        <f t="shared" si="1"/>
        <v>0</v>
      </c>
      <c r="DI32">
        <f t="shared" si="1"/>
        <v>0</v>
      </c>
      <c r="DJ32">
        <f t="shared" si="1"/>
        <v>0</v>
      </c>
      <c r="DK32">
        <f t="shared" si="1"/>
        <v>0</v>
      </c>
      <c r="DL32">
        <f t="shared" si="1"/>
        <v>0</v>
      </c>
      <c r="DM32">
        <f t="shared" si="1"/>
        <v>0</v>
      </c>
      <c r="DN32">
        <f t="shared" si="1"/>
        <v>0</v>
      </c>
      <c r="DO32">
        <f t="shared" si="1"/>
        <v>0</v>
      </c>
      <c r="DP32">
        <f t="shared" si="1"/>
        <v>0</v>
      </c>
      <c r="DQ32">
        <f t="shared" si="1"/>
        <v>0</v>
      </c>
      <c r="DR32">
        <f t="shared" si="1"/>
        <v>0</v>
      </c>
      <c r="DS32">
        <f t="shared" si="1"/>
        <v>0</v>
      </c>
      <c r="DT32">
        <f t="shared" si="1"/>
        <v>0</v>
      </c>
      <c r="DU32">
        <f t="shared" si="1"/>
        <v>0</v>
      </c>
      <c r="DV32">
        <f t="shared" si="1"/>
        <v>0</v>
      </c>
      <c r="DW32">
        <f t="shared" si="1"/>
        <v>0</v>
      </c>
      <c r="DX32">
        <f t="shared" si="1"/>
        <v>0</v>
      </c>
      <c r="DY32">
        <f t="shared" si="1"/>
        <v>0</v>
      </c>
      <c r="DZ32">
        <f t="shared" si="1"/>
        <v>0</v>
      </c>
    </row>
    <row r="35" spans="3:130">
      <c r="C35" s="75" t="s">
        <v>177</v>
      </c>
    </row>
    <row r="36" spans="3:130">
      <c r="E36" t="s">
        <v>169</v>
      </c>
      <c r="F36" s="64">
        <f>MIN( CaseData!$G$27:$J$27 )</f>
        <v>46022</v>
      </c>
      <c r="G36" t="s">
        <v>151</v>
      </c>
    </row>
    <row r="37" spans="3:130">
      <c r="E37" t="s">
        <v>167</v>
      </c>
      <c r="F37" s="64">
        <f>MAX( CaseData!$G$27:$J$27 )</f>
        <v>51501</v>
      </c>
      <c r="G37" t="s">
        <v>151</v>
      </c>
    </row>
    <row r="38" spans="3:130">
      <c r="E38" t="s">
        <v>168</v>
      </c>
      <c r="F38" s="72">
        <v>5</v>
      </c>
      <c r="G38" t="s">
        <v>153</v>
      </c>
    </row>
    <row r="39" spans="3:130">
      <c r="E39" t="s">
        <v>198</v>
      </c>
      <c r="G39" t="s">
        <v>161</v>
      </c>
      <c r="J39" cm="1">
        <f t="array" ref="J39:DY39" xml:space="preserve"> IF( (_xlfn.ANCHORARRAY( J3) &gt; $F$36 ) * (_xlfn.ANCHORARRAY(J3) &lt;= EDATE( $F$37, $F$38 * 12 ) ), 1, 0 )</f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</row>
    <row r="40" spans="3:130">
      <c r="E40" t="s">
        <v>199</v>
      </c>
      <c r="G40" t="s">
        <v>161</v>
      </c>
      <c r="J40">
        <f xml:space="preserve"> _xlfn.XLOOKUP( J$3, CaseData!$G$27:$J$27, CaseData!$G$26:$J$26, 0 )</f>
        <v>0</v>
      </c>
      <c r="K40">
        <f xml:space="preserve"> _xlfn.XLOOKUP( K$3, CaseData!$G$27:$J$27, CaseData!$G$26:$J$26, 0 )</f>
        <v>0</v>
      </c>
      <c r="L40">
        <f xml:space="preserve"> _xlfn.XLOOKUP( L$3, CaseData!$G$27:$J$27, CaseData!$G$26:$J$26, 0 )</f>
        <v>0</v>
      </c>
      <c r="M40">
        <f xml:space="preserve"> _xlfn.XLOOKUP( M$3, CaseData!$G$27:$J$27, CaseData!$G$26:$J$26, 0 )</f>
        <v>0</v>
      </c>
      <c r="N40">
        <f xml:space="preserve"> _xlfn.XLOOKUP( N$3, CaseData!$G$27:$J$27, CaseData!$G$26:$J$26, 0 )</f>
        <v>0</v>
      </c>
      <c r="O40">
        <f xml:space="preserve"> _xlfn.XLOOKUP( O$3, CaseData!$G$27:$J$27, CaseData!$G$26:$J$26, 0 )</f>
        <v>0</v>
      </c>
      <c r="P40">
        <f xml:space="preserve"> _xlfn.XLOOKUP( P$3, CaseData!$G$27:$J$27, CaseData!$G$26:$J$26, 0 )</f>
        <v>0</v>
      </c>
      <c r="Q40">
        <f xml:space="preserve"> _xlfn.XLOOKUP( Q$3, CaseData!$G$27:$J$27, CaseData!$G$26:$J$26, 0 )</f>
        <v>0</v>
      </c>
      <c r="R40">
        <f xml:space="preserve"> _xlfn.XLOOKUP( R$3, CaseData!$G$27:$J$27, CaseData!$G$26:$J$26, 0 )</f>
        <v>0</v>
      </c>
      <c r="S40">
        <f xml:space="preserve"> _xlfn.XLOOKUP( S$3, CaseData!$G$27:$J$27, CaseData!$G$26:$J$26, 0 )</f>
        <v>0</v>
      </c>
      <c r="T40">
        <f xml:space="preserve"> _xlfn.XLOOKUP( T$3, CaseData!$G$27:$J$27, CaseData!$G$26:$J$26, 0 )</f>
        <v>0</v>
      </c>
      <c r="U40">
        <f xml:space="preserve"> _xlfn.XLOOKUP( U$3, CaseData!$G$27:$J$27, CaseData!$G$26:$J$26, 0 )</f>
        <v>0</v>
      </c>
      <c r="V40">
        <f xml:space="preserve"> _xlfn.XLOOKUP( V$3, CaseData!$G$27:$J$27, CaseData!$G$26:$J$26, 0 )</f>
        <v>0</v>
      </c>
      <c r="W40">
        <f xml:space="preserve"> _xlfn.XLOOKUP( W$3, CaseData!$G$27:$J$27, CaseData!$G$26:$J$26, 0 )</f>
        <v>0</v>
      </c>
      <c r="X40">
        <f xml:space="preserve"> _xlfn.XLOOKUP( X$3, CaseData!$G$27:$J$27, CaseData!$G$26:$J$26, 0 )</f>
        <v>0</v>
      </c>
      <c r="Y40">
        <f xml:space="preserve"> _xlfn.XLOOKUP( Y$3, CaseData!$G$27:$J$27, CaseData!$G$26:$J$26, 0 )</f>
        <v>0</v>
      </c>
      <c r="Z40">
        <f xml:space="preserve"> _xlfn.XLOOKUP( Z$3, CaseData!$G$27:$J$27, CaseData!$G$26:$J$26, 0 )</f>
        <v>0</v>
      </c>
      <c r="AA40">
        <f xml:space="preserve"> _xlfn.XLOOKUP( AA$3, CaseData!$G$27:$J$27, CaseData!$G$26:$J$26, 0 )</f>
        <v>0</v>
      </c>
      <c r="AB40">
        <f xml:space="preserve"> _xlfn.XLOOKUP( AB$3, CaseData!$G$27:$J$27, CaseData!$G$26:$J$26, 0 )</f>
        <v>0</v>
      </c>
      <c r="AC40">
        <f xml:space="preserve"> _xlfn.XLOOKUP( AC$3, CaseData!$G$27:$J$27, CaseData!$G$26:$J$26, 0 )</f>
        <v>1</v>
      </c>
      <c r="AD40">
        <f xml:space="preserve"> _xlfn.XLOOKUP( AD$3, CaseData!$G$27:$J$27, CaseData!$G$26:$J$26, 0 )</f>
        <v>0</v>
      </c>
      <c r="AE40">
        <f xml:space="preserve"> _xlfn.XLOOKUP( AE$3, CaseData!$G$27:$J$27, CaseData!$G$26:$J$26, 0 )</f>
        <v>0</v>
      </c>
      <c r="AF40">
        <f xml:space="preserve"> _xlfn.XLOOKUP( AF$3, CaseData!$G$27:$J$27, CaseData!$G$26:$J$26, 0 )</f>
        <v>0</v>
      </c>
      <c r="AG40">
        <f xml:space="preserve"> _xlfn.XLOOKUP( AG$3, CaseData!$G$27:$J$27, CaseData!$G$26:$J$26, 0 )</f>
        <v>0</v>
      </c>
      <c r="AH40">
        <f xml:space="preserve"> _xlfn.XLOOKUP( AH$3, CaseData!$G$27:$J$27, CaseData!$G$26:$J$26, 0 )</f>
        <v>0</v>
      </c>
      <c r="AI40">
        <f xml:space="preserve"> _xlfn.XLOOKUP( AI$3, CaseData!$G$27:$J$27, CaseData!$G$26:$J$26, 0 )</f>
        <v>0</v>
      </c>
      <c r="AJ40">
        <f xml:space="preserve"> _xlfn.XLOOKUP( AJ$3, CaseData!$G$27:$J$27, CaseData!$G$26:$J$26, 0 )</f>
        <v>0</v>
      </c>
      <c r="AK40">
        <f xml:space="preserve"> _xlfn.XLOOKUP( AK$3, CaseData!$G$27:$J$27, CaseData!$G$26:$J$26, 0 )</f>
        <v>0</v>
      </c>
      <c r="AL40">
        <f xml:space="preserve"> _xlfn.XLOOKUP( AL$3, CaseData!$G$27:$J$27, CaseData!$G$26:$J$26, 0 )</f>
        <v>0</v>
      </c>
      <c r="AM40">
        <f xml:space="preserve"> _xlfn.XLOOKUP( AM$3, CaseData!$G$27:$J$27, CaseData!$G$26:$J$26, 0 )</f>
        <v>0</v>
      </c>
      <c r="AN40">
        <f xml:space="preserve"> _xlfn.XLOOKUP( AN$3, CaseData!$G$27:$J$27, CaseData!$G$26:$J$26, 0 )</f>
        <v>0</v>
      </c>
      <c r="AO40">
        <f xml:space="preserve"> _xlfn.XLOOKUP( AO$3, CaseData!$G$27:$J$27, CaseData!$G$26:$J$26, 0 )</f>
        <v>0</v>
      </c>
      <c r="AP40">
        <f xml:space="preserve"> _xlfn.XLOOKUP( AP$3, CaseData!$G$27:$J$27, CaseData!$G$26:$J$26, 0 )</f>
        <v>0</v>
      </c>
      <c r="AQ40">
        <f xml:space="preserve"> _xlfn.XLOOKUP( AQ$3, CaseData!$G$27:$J$27, CaseData!$G$26:$J$26, 0 )</f>
        <v>0</v>
      </c>
      <c r="AR40">
        <f xml:space="preserve"> _xlfn.XLOOKUP( AR$3, CaseData!$G$27:$J$27, CaseData!$G$26:$J$26, 0 )</f>
        <v>0</v>
      </c>
      <c r="AS40">
        <f xml:space="preserve"> _xlfn.XLOOKUP( AS$3, CaseData!$G$27:$J$27, CaseData!$G$26:$J$26, 0 )</f>
        <v>0</v>
      </c>
      <c r="AT40">
        <f xml:space="preserve"> _xlfn.XLOOKUP( AT$3, CaseData!$G$27:$J$27, CaseData!$G$26:$J$26, 0 )</f>
        <v>0</v>
      </c>
      <c r="AU40">
        <f xml:space="preserve"> _xlfn.XLOOKUP( AU$3, CaseData!$G$27:$J$27, CaseData!$G$26:$J$26, 0 )</f>
        <v>0</v>
      </c>
      <c r="AV40">
        <f xml:space="preserve"> _xlfn.XLOOKUP( AV$3, CaseData!$G$27:$J$27, CaseData!$G$26:$J$26, 0 )</f>
        <v>0</v>
      </c>
      <c r="AW40">
        <f xml:space="preserve"> _xlfn.XLOOKUP( AW$3, CaseData!$G$27:$J$27, CaseData!$G$26:$J$26, 0 )</f>
        <v>2</v>
      </c>
      <c r="AX40">
        <f xml:space="preserve"> _xlfn.XLOOKUP( AX$3, CaseData!$G$27:$J$27, CaseData!$G$26:$J$26, 0 )</f>
        <v>0</v>
      </c>
      <c r="AY40">
        <f xml:space="preserve"> _xlfn.XLOOKUP( AY$3, CaseData!$G$27:$J$27, CaseData!$G$26:$J$26, 0 )</f>
        <v>0</v>
      </c>
      <c r="AZ40">
        <f xml:space="preserve"> _xlfn.XLOOKUP( AZ$3, CaseData!$G$27:$J$27, CaseData!$G$26:$J$26, 0 )</f>
        <v>0</v>
      </c>
      <c r="BA40">
        <f xml:space="preserve"> _xlfn.XLOOKUP( BA$3, CaseData!$G$27:$J$27, CaseData!$G$26:$J$26, 0 )</f>
        <v>0</v>
      </c>
      <c r="BB40">
        <f xml:space="preserve"> _xlfn.XLOOKUP( BB$3, CaseData!$G$27:$J$27, CaseData!$G$26:$J$26, 0 )</f>
        <v>0</v>
      </c>
      <c r="BC40">
        <f xml:space="preserve"> _xlfn.XLOOKUP( BC$3, CaseData!$G$27:$J$27, CaseData!$G$26:$J$26, 0 )</f>
        <v>0</v>
      </c>
      <c r="BD40">
        <f xml:space="preserve"> _xlfn.XLOOKUP( BD$3, CaseData!$G$27:$J$27, CaseData!$G$26:$J$26, 0 )</f>
        <v>0</v>
      </c>
      <c r="BE40">
        <f xml:space="preserve"> _xlfn.XLOOKUP( BE$3, CaseData!$G$27:$J$27, CaseData!$G$26:$J$26, 0 )</f>
        <v>0</v>
      </c>
      <c r="BF40">
        <f xml:space="preserve"> _xlfn.XLOOKUP( BF$3, CaseData!$G$27:$J$27, CaseData!$G$26:$J$26, 0 )</f>
        <v>0</v>
      </c>
      <c r="BG40">
        <f xml:space="preserve"> _xlfn.XLOOKUP( BG$3, CaseData!$G$27:$J$27, CaseData!$G$26:$J$26, 0 )</f>
        <v>0</v>
      </c>
      <c r="BH40">
        <f xml:space="preserve"> _xlfn.XLOOKUP( BH$3, CaseData!$G$27:$J$27, CaseData!$G$26:$J$26, 0 )</f>
        <v>0</v>
      </c>
      <c r="BI40">
        <f xml:space="preserve"> _xlfn.XLOOKUP( BI$3, CaseData!$G$27:$J$27, CaseData!$G$26:$J$26, 0 )</f>
        <v>0</v>
      </c>
      <c r="BJ40">
        <f xml:space="preserve"> _xlfn.XLOOKUP( BJ$3, CaseData!$G$27:$J$27, CaseData!$G$26:$J$26, 0 )</f>
        <v>0</v>
      </c>
      <c r="BK40">
        <f xml:space="preserve"> _xlfn.XLOOKUP( BK$3, CaseData!$G$27:$J$27, CaseData!$G$26:$J$26, 0 )</f>
        <v>0</v>
      </c>
      <c r="BL40">
        <f xml:space="preserve"> _xlfn.XLOOKUP( BL$3, CaseData!$G$27:$J$27, CaseData!$G$26:$J$26, 0 )</f>
        <v>0</v>
      </c>
      <c r="BM40">
        <f xml:space="preserve"> _xlfn.XLOOKUP( BM$3, CaseData!$G$27:$J$27, CaseData!$G$26:$J$26, 0 )</f>
        <v>0</v>
      </c>
      <c r="BN40">
        <f xml:space="preserve"> _xlfn.XLOOKUP( BN$3, CaseData!$G$27:$J$27, CaseData!$G$26:$J$26, 0 )</f>
        <v>0</v>
      </c>
      <c r="BO40">
        <f xml:space="preserve"> _xlfn.XLOOKUP( BO$3, CaseData!$G$27:$J$27, CaseData!$G$26:$J$26, 0 )</f>
        <v>0</v>
      </c>
      <c r="BP40">
        <f xml:space="preserve"> _xlfn.XLOOKUP( BP$3, CaseData!$G$27:$J$27, CaseData!$G$26:$J$26, 0 )</f>
        <v>0</v>
      </c>
      <c r="BQ40">
        <f xml:space="preserve"> _xlfn.XLOOKUP( BQ$3, CaseData!$G$27:$J$27, CaseData!$G$26:$J$26, 0 )</f>
        <v>3</v>
      </c>
      <c r="BR40">
        <f xml:space="preserve"> _xlfn.XLOOKUP( BR$3, CaseData!$G$27:$J$27, CaseData!$G$26:$J$26, 0 )</f>
        <v>0</v>
      </c>
      <c r="BS40">
        <f xml:space="preserve"> _xlfn.XLOOKUP( BS$3, CaseData!$G$27:$J$27, CaseData!$G$26:$J$26, 0 )</f>
        <v>0</v>
      </c>
      <c r="BT40">
        <f xml:space="preserve"> _xlfn.XLOOKUP( BT$3, CaseData!$G$27:$J$27, CaseData!$G$26:$J$26, 0 )</f>
        <v>0</v>
      </c>
      <c r="BU40">
        <f xml:space="preserve"> _xlfn.XLOOKUP( BU$3, CaseData!$G$27:$J$27, CaseData!$G$26:$J$26, 0 )</f>
        <v>0</v>
      </c>
      <c r="BV40">
        <f xml:space="preserve"> _xlfn.XLOOKUP( BV$3, CaseData!$G$27:$J$27, CaseData!$G$26:$J$26, 0 )</f>
        <v>0</v>
      </c>
      <c r="BW40">
        <f xml:space="preserve"> _xlfn.XLOOKUP( BW$3, CaseData!$G$27:$J$27, CaseData!$G$26:$J$26, 0 )</f>
        <v>0</v>
      </c>
      <c r="BX40">
        <f xml:space="preserve"> _xlfn.XLOOKUP( BX$3, CaseData!$G$27:$J$27, CaseData!$G$26:$J$26, 0 )</f>
        <v>0</v>
      </c>
      <c r="BY40">
        <f xml:space="preserve"> _xlfn.XLOOKUP( BY$3, CaseData!$G$27:$J$27, CaseData!$G$26:$J$26, 0 )</f>
        <v>0</v>
      </c>
      <c r="BZ40">
        <f xml:space="preserve"> _xlfn.XLOOKUP( BZ$3, CaseData!$G$27:$J$27, CaseData!$G$26:$J$26, 0 )</f>
        <v>0</v>
      </c>
      <c r="CA40">
        <f xml:space="preserve"> _xlfn.XLOOKUP( CA$3, CaseData!$G$27:$J$27, CaseData!$G$26:$J$26, 0 )</f>
        <v>0</v>
      </c>
      <c r="CB40">
        <f xml:space="preserve"> _xlfn.XLOOKUP( CB$3, CaseData!$G$27:$J$27, CaseData!$G$26:$J$26, 0 )</f>
        <v>0</v>
      </c>
      <c r="CC40">
        <f xml:space="preserve"> _xlfn.XLOOKUP( CC$3, CaseData!$G$27:$J$27, CaseData!$G$26:$J$26, 0 )</f>
        <v>0</v>
      </c>
      <c r="CD40">
        <f xml:space="preserve"> _xlfn.XLOOKUP( CD$3, CaseData!$G$27:$J$27, CaseData!$G$26:$J$26, 0 )</f>
        <v>0</v>
      </c>
      <c r="CE40">
        <f xml:space="preserve"> _xlfn.XLOOKUP( CE$3, CaseData!$G$27:$J$27, CaseData!$G$26:$J$26, 0 )</f>
        <v>0</v>
      </c>
      <c r="CF40">
        <f xml:space="preserve"> _xlfn.XLOOKUP( CF$3, CaseData!$G$27:$J$27, CaseData!$G$26:$J$26, 0 )</f>
        <v>0</v>
      </c>
      <c r="CG40">
        <f xml:space="preserve"> _xlfn.XLOOKUP( CG$3, CaseData!$G$27:$J$27, CaseData!$G$26:$J$26, 0 )</f>
        <v>0</v>
      </c>
      <c r="CH40">
        <f xml:space="preserve"> _xlfn.XLOOKUP( CH$3, CaseData!$G$27:$J$27, CaseData!$G$26:$J$26, 0 )</f>
        <v>0</v>
      </c>
      <c r="CI40">
        <f xml:space="preserve"> _xlfn.XLOOKUP( CI$3, CaseData!$G$27:$J$27, CaseData!$G$26:$J$26, 0 )</f>
        <v>0</v>
      </c>
      <c r="CJ40">
        <f xml:space="preserve"> _xlfn.XLOOKUP( CJ$3, CaseData!$G$27:$J$27, CaseData!$G$26:$J$26, 0 )</f>
        <v>0</v>
      </c>
      <c r="CK40">
        <f xml:space="preserve"> _xlfn.XLOOKUP( CK$3, CaseData!$G$27:$J$27, CaseData!$G$26:$J$26, 0 )</f>
        <v>4</v>
      </c>
      <c r="CL40">
        <f xml:space="preserve"> _xlfn.XLOOKUP( CL$3, CaseData!$G$27:$J$27, CaseData!$G$26:$J$26, 0 )</f>
        <v>0</v>
      </c>
      <c r="CM40">
        <f xml:space="preserve"> _xlfn.XLOOKUP( CM$3, CaseData!$G$27:$J$27, CaseData!$G$26:$J$26, 0 )</f>
        <v>0</v>
      </c>
      <c r="CN40">
        <f xml:space="preserve"> _xlfn.XLOOKUP( CN$3, CaseData!$G$27:$J$27, CaseData!$G$26:$J$26, 0 )</f>
        <v>0</v>
      </c>
      <c r="CO40">
        <f xml:space="preserve"> _xlfn.XLOOKUP( CO$3, CaseData!$G$27:$J$27, CaseData!$G$26:$J$26, 0 )</f>
        <v>0</v>
      </c>
      <c r="CP40">
        <f xml:space="preserve"> _xlfn.XLOOKUP( CP$3, CaseData!$G$27:$J$27, CaseData!$G$26:$J$26, 0 )</f>
        <v>0</v>
      </c>
      <c r="CQ40">
        <f xml:space="preserve"> _xlfn.XLOOKUP( CQ$3, CaseData!$G$27:$J$27, CaseData!$G$26:$J$26, 0 )</f>
        <v>0</v>
      </c>
      <c r="CR40">
        <f xml:space="preserve"> _xlfn.XLOOKUP( CR$3, CaseData!$G$27:$J$27, CaseData!$G$26:$J$26, 0 )</f>
        <v>0</v>
      </c>
      <c r="CS40">
        <f xml:space="preserve"> _xlfn.XLOOKUP( CS$3, CaseData!$G$27:$J$27, CaseData!$G$26:$J$26, 0 )</f>
        <v>0</v>
      </c>
      <c r="CT40">
        <f xml:space="preserve"> _xlfn.XLOOKUP( CT$3, CaseData!$G$27:$J$27, CaseData!$G$26:$J$26, 0 )</f>
        <v>0</v>
      </c>
      <c r="CU40">
        <f xml:space="preserve"> _xlfn.XLOOKUP( CU$3, CaseData!$G$27:$J$27, CaseData!$G$26:$J$26, 0 )</f>
        <v>0</v>
      </c>
      <c r="CV40">
        <f xml:space="preserve"> _xlfn.XLOOKUP( CV$3, CaseData!$G$27:$J$27, CaseData!$G$26:$J$26, 0 )</f>
        <v>0</v>
      </c>
      <c r="CW40">
        <f xml:space="preserve"> _xlfn.XLOOKUP( CW$3, CaseData!$G$27:$J$27, CaseData!$G$26:$J$26, 0 )</f>
        <v>0</v>
      </c>
      <c r="CX40">
        <f xml:space="preserve"> _xlfn.XLOOKUP( CX$3, CaseData!$G$27:$J$27, CaseData!$G$26:$J$26, 0 )</f>
        <v>0</v>
      </c>
      <c r="CY40">
        <f xml:space="preserve"> _xlfn.XLOOKUP( CY$3, CaseData!$G$27:$J$27, CaseData!$G$26:$J$26, 0 )</f>
        <v>0</v>
      </c>
      <c r="CZ40">
        <f xml:space="preserve"> _xlfn.XLOOKUP( CZ$3, CaseData!$G$27:$J$27, CaseData!$G$26:$J$26, 0 )</f>
        <v>0</v>
      </c>
      <c r="DA40">
        <f xml:space="preserve"> _xlfn.XLOOKUP( DA$3, CaseData!$G$27:$J$27, CaseData!$G$26:$J$26, 0 )</f>
        <v>0</v>
      </c>
      <c r="DB40">
        <f xml:space="preserve"> _xlfn.XLOOKUP( DB$3, CaseData!$G$27:$J$27, CaseData!$G$26:$J$26, 0 )</f>
        <v>0</v>
      </c>
      <c r="DC40">
        <f xml:space="preserve"> _xlfn.XLOOKUP( DC$3, CaseData!$G$27:$J$27, CaseData!$G$26:$J$26, 0 )</f>
        <v>0</v>
      </c>
      <c r="DD40">
        <f xml:space="preserve"> _xlfn.XLOOKUP( DD$3, CaseData!$G$27:$J$27, CaseData!$G$26:$J$26, 0 )</f>
        <v>0</v>
      </c>
      <c r="DE40">
        <f xml:space="preserve"> _xlfn.XLOOKUP( DE$3, CaseData!$G$27:$J$27, CaseData!$G$26:$J$26, 0 )</f>
        <v>0</v>
      </c>
      <c r="DF40">
        <f xml:space="preserve"> _xlfn.XLOOKUP( DF$3, CaseData!$G$27:$J$27, CaseData!$G$26:$J$26, 0 )</f>
        <v>0</v>
      </c>
      <c r="DG40">
        <f xml:space="preserve"> _xlfn.XLOOKUP( DG$3, CaseData!$G$27:$J$27, CaseData!$G$26:$J$26, 0 )</f>
        <v>0</v>
      </c>
      <c r="DH40">
        <f xml:space="preserve"> _xlfn.XLOOKUP( DH$3, CaseData!$G$27:$J$27, CaseData!$G$26:$J$26, 0 )</f>
        <v>0</v>
      </c>
      <c r="DI40">
        <f xml:space="preserve"> _xlfn.XLOOKUP( DI$3, CaseData!$G$27:$J$27, CaseData!$G$26:$J$26, 0 )</f>
        <v>0</v>
      </c>
      <c r="DJ40">
        <f xml:space="preserve"> _xlfn.XLOOKUP( DJ$3, CaseData!$G$27:$J$27, CaseData!$G$26:$J$26, 0 )</f>
        <v>0</v>
      </c>
      <c r="DK40">
        <f xml:space="preserve"> _xlfn.XLOOKUP( DK$3, CaseData!$G$27:$J$27, CaseData!$G$26:$J$26, 0 )</f>
        <v>0</v>
      </c>
      <c r="DL40">
        <f xml:space="preserve"> _xlfn.XLOOKUP( DL$3, CaseData!$G$27:$J$27, CaseData!$G$26:$J$26, 0 )</f>
        <v>0</v>
      </c>
      <c r="DM40">
        <f xml:space="preserve"> _xlfn.XLOOKUP( DM$3, CaseData!$G$27:$J$27, CaseData!$G$26:$J$26, 0 )</f>
        <v>0</v>
      </c>
      <c r="DN40">
        <f xml:space="preserve"> _xlfn.XLOOKUP( DN$3, CaseData!$G$27:$J$27, CaseData!$G$26:$J$26, 0 )</f>
        <v>0</v>
      </c>
      <c r="DO40">
        <f xml:space="preserve"> _xlfn.XLOOKUP( DO$3, CaseData!$G$27:$J$27, CaseData!$G$26:$J$26, 0 )</f>
        <v>0</v>
      </c>
      <c r="DP40">
        <f xml:space="preserve"> _xlfn.XLOOKUP( DP$3, CaseData!$G$27:$J$27, CaseData!$G$26:$J$26, 0 )</f>
        <v>0</v>
      </c>
      <c r="DQ40">
        <f xml:space="preserve"> _xlfn.XLOOKUP( DQ$3, CaseData!$G$27:$J$27, CaseData!$G$26:$J$26, 0 )</f>
        <v>0</v>
      </c>
      <c r="DR40">
        <f xml:space="preserve"> _xlfn.XLOOKUP( DR$3, CaseData!$G$27:$J$27, CaseData!$G$26:$J$26, 0 )</f>
        <v>0</v>
      </c>
      <c r="DS40">
        <f xml:space="preserve"> _xlfn.XLOOKUP( DS$3, CaseData!$G$27:$J$27, CaseData!$G$26:$J$26, 0 )</f>
        <v>0</v>
      </c>
      <c r="DT40">
        <f xml:space="preserve"> _xlfn.XLOOKUP( DT$3, CaseData!$G$27:$J$27, CaseData!$G$26:$J$26, 0 )</f>
        <v>0</v>
      </c>
      <c r="DU40">
        <f xml:space="preserve"> _xlfn.XLOOKUP( DU$3, CaseData!$G$27:$J$27, CaseData!$G$26:$J$26, 0 )</f>
        <v>0</v>
      </c>
      <c r="DV40">
        <f xml:space="preserve"> _xlfn.XLOOKUP( DV$3, CaseData!$G$27:$J$27, CaseData!$G$26:$J$26, 0 )</f>
        <v>0</v>
      </c>
      <c r="DW40">
        <f xml:space="preserve"> _xlfn.XLOOKUP( DW$3, CaseData!$G$27:$J$27, CaseData!$G$26:$J$26, 0 )</f>
        <v>0</v>
      </c>
      <c r="DX40">
        <f xml:space="preserve"> _xlfn.XLOOKUP( DX$3, CaseData!$G$27:$J$27, CaseData!$G$26:$J$26, 0 )</f>
        <v>0</v>
      </c>
      <c r="DY40">
        <f xml:space="preserve"> _xlfn.XLOOKUP( DY$3, CaseData!$G$27:$J$27, CaseData!$G$26:$J$26, 0 )</f>
        <v>0</v>
      </c>
      <c r="DZ40">
        <f xml:space="preserve"> _xlfn.XLOOKUP( DZ$3, CaseData!$G$27:$J$27, CaseData!$G$26:$J$26, 0 )</f>
        <v>0</v>
      </c>
    </row>
    <row r="42" spans="3:130">
      <c r="E42" t="s">
        <v>176</v>
      </c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6"/>
    </row>
    <row r="43" spans="3:130">
      <c r="E43" cm="1">
        <f t="array" ref="E43:E46">TRANSPOSE( CaseData!$G$26:$J$26 )</f>
        <v>1</v>
      </c>
      <c r="F43" s="73" cm="1">
        <f t="array" ref="F43:F46">TRANSPOSE( CaseData!$G$27:$J$27 )</f>
        <v>46022</v>
      </c>
      <c r="G43" t="s">
        <v>151</v>
      </c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6"/>
    </row>
    <row r="44" spans="3:130">
      <c r="E44">
        <v>2</v>
      </c>
      <c r="F44" s="74">
        <v>47848</v>
      </c>
      <c r="G44" t="s">
        <v>151</v>
      </c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6"/>
    </row>
    <row r="45" spans="3:130">
      <c r="E45">
        <v>3</v>
      </c>
      <c r="F45" s="73">
        <v>49674</v>
      </c>
      <c r="G45" t="s">
        <v>151</v>
      </c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6"/>
    </row>
    <row r="46" spans="3:130">
      <c r="E46">
        <v>4</v>
      </c>
      <c r="F46" s="73">
        <v>51501</v>
      </c>
      <c r="G46" t="s">
        <v>151</v>
      </c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69"/>
      <c r="DT46" s="69"/>
      <c r="DU46" s="69"/>
      <c r="DV46" s="69"/>
      <c r="DW46" s="69"/>
      <c r="DX46" s="69"/>
      <c r="DY46" s="69"/>
      <c r="DZ46" s="66"/>
    </row>
    <row r="47" spans="3:130">
      <c r="E47" t="s">
        <v>175</v>
      </c>
      <c r="G47" t="s">
        <v>159</v>
      </c>
      <c r="J47" cm="1">
        <f t="array" ref="J47:DY47" xml:space="preserve"> IFERROR( _xlfn.XLOOKUP(_xlfn.ANCHORARRAY( $J$3),_xlfn.ANCHORARRAY( $F43), $E43:$E46,, - 1 ) *_xlfn.ANCHORARRAY( J39), 0 )</f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3</v>
      </c>
      <c r="BR47">
        <v>3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3</v>
      </c>
      <c r="CD47">
        <v>3</v>
      </c>
      <c r="CE47">
        <v>3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4</v>
      </c>
      <c r="CL47">
        <v>4</v>
      </c>
      <c r="CM47">
        <v>4</v>
      </c>
      <c r="CN47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>
        <v>4</v>
      </c>
      <c r="CV47">
        <v>4</v>
      </c>
      <c r="CW47">
        <v>4</v>
      </c>
      <c r="CX47">
        <v>4</v>
      </c>
      <c r="CY47">
        <v>4</v>
      </c>
      <c r="CZ47">
        <v>4</v>
      </c>
      <c r="DA47">
        <v>4</v>
      </c>
      <c r="DB47">
        <v>4</v>
      </c>
      <c r="DC47">
        <v>4</v>
      </c>
      <c r="DD47">
        <v>4</v>
      </c>
      <c r="DE47">
        <v>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</row>
    <row r="49" spans="1:130" s="59" customFormat="1">
      <c r="A49" s="62" t="s">
        <v>37</v>
      </c>
      <c r="D49" s="60"/>
    </row>
    <row r="51" spans="1:130">
      <c r="C51" s="76" t="s">
        <v>178</v>
      </c>
    </row>
    <row r="52" spans="1:130">
      <c r="E52" t="s">
        <v>170</v>
      </c>
      <c r="F52" s="68">
        <f>CaseData!$G$37</f>
        <v>44196</v>
      </c>
      <c r="G52" t="s">
        <v>151</v>
      </c>
    </row>
    <row r="53" spans="1:130">
      <c r="E53" t="s">
        <v>171</v>
      </c>
      <c r="F53" s="68">
        <f>CaseData!$G$40</f>
        <v>54423</v>
      </c>
      <c r="G53" t="s">
        <v>151</v>
      </c>
    </row>
    <row r="54" spans="1:130">
      <c r="E54" t="s">
        <v>172</v>
      </c>
      <c r="G54" t="s">
        <v>161</v>
      </c>
      <c r="H54" cm="1">
        <f t="array" ref="H54">_xlfn.BYROW(_xlfn.ANCHORARRAY( J54), _xleta.SUM )</f>
        <v>112</v>
      </c>
      <c r="J54" cm="1">
        <f t="array" ref="J54:DY54">_xlfn.LET(
      _xlpm.timeline_end,_xlfn.ANCHORARRAY(  $J$3),
      _xlpm.initial,       $F52,
      _xlpm.final,         $F53,
      IF( (_xlpm.timeline_end &gt;= _xlpm.initial) * (_xlpm.timeline_end &lt;= _xlpm.final), 1, 0 ) )</f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</row>
    <row r="56" spans="1:130">
      <c r="E56" t="s">
        <v>220</v>
      </c>
      <c r="J56">
        <f xml:space="preserve"> IF( J$15 = 1, $H$54, IF( J$54 = 1, I$56 - J$54, 0 ) )</f>
        <v>112</v>
      </c>
      <c r="K56">
        <f t="shared" ref="K56:BV56" si="2" xml:space="preserve"> IF( K$15 = 1, $H$54, IF( K$54 = 1, J$56 - K$54, 0 ) )</f>
        <v>111</v>
      </c>
      <c r="L56">
        <f t="shared" si="2"/>
        <v>110</v>
      </c>
      <c r="M56">
        <f t="shared" si="2"/>
        <v>109</v>
      </c>
      <c r="N56">
        <f t="shared" si="2"/>
        <v>108</v>
      </c>
      <c r="O56">
        <f t="shared" si="2"/>
        <v>107</v>
      </c>
      <c r="P56">
        <f t="shared" si="2"/>
        <v>106</v>
      </c>
      <c r="Q56">
        <f t="shared" si="2"/>
        <v>105</v>
      </c>
      <c r="R56">
        <f t="shared" si="2"/>
        <v>104</v>
      </c>
      <c r="S56">
        <f t="shared" si="2"/>
        <v>103</v>
      </c>
      <c r="T56">
        <f t="shared" si="2"/>
        <v>102</v>
      </c>
      <c r="U56">
        <f t="shared" si="2"/>
        <v>101</v>
      </c>
      <c r="V56">
        <f t="shared" si="2"/>
        <v>100</v>
      </c>
      <c r="W56">
        <f t="shared" si="2"/>
        <v>99</v>
      </c>
      <c r="X56">
        <f t="shared" si="2"/>
        <v>98</v>
      </c>
      <c r="Y56">
        <f t="shared" si="2"/>
        <v>97</v>
      </c>
      <c r="Z56">
        <f t="shared" si="2"/>
        <v>96</v>
      </c>
      <c r="AA56">
        <f t="shared" si="2"/>
        <v>95</v>
      </c>
      <c r="AB56">
        <f t="shared" si="2"/>
        <v>94</v>
      </c>
      <c r="AC56">
        <f t="shared" si="2"/>
        <v>93</v>
      </c>
      <c r="AD56">
        <f t="shared" si="2"/>
        <v>92</v>
      </c>
      <c r="AE56">
        <f t="shared" si="2"/>
        <v>91</v>
      </c>
      <c r="AF56">
        <f t="shared" si="2"/>
        <v>90</v>
      </c>
      <c r="AG56">
        <f t="shared" si="2"/>
        <v>89</v>
      </c>
      <c r="AH56">
        <f t="shared" si="2"/>
        <v>88</v>
      </c>
      <c r="AI56">
        <f t="shared" si="2"/>
        <v>87</v>
      </c>
      <c r="AJ56">
        <f t="shared" si="2"/>
        <v>86</v>
      </c>
      <c r="AK56">
        <f t="shared" si="2"/>
        <v>85</v>
      </c>
      <c r="AL56">
        <f t="shared" si="2"/>
        <v>84</v>
      </c>
      <c r="AM56">
        <f t="shared" si="2"/>
        <v>83</v>
      </c>
      <c r="AN56">
        <f t="shared" si="2"/>
        <v>82</v>
      </c>
      <c r="AO56">
        <f t="shared" si="2"/>
        <v>81</v>
      </c>
      <c r="AP56">
        <f t="shared" si="2"/>
        <v>80</v>
      </c>
      <c r="AQ56">
        <f t="shared" si="2"/>
        <v>79</v>
      </c>
      <c r="AR56">
        <f t="shared" si="2"/>
        <v>78</v>
      </c>
      <c r="AS56">
        <f t="shared" si="2"/>
        <v>77</v>
      </c>
      <c r="AT56">
        <f t="shared" si="2"/>
        <v>76</v>
      </c>
      <c r="AU56">
        <f t="shared" si="2"/>
        <v>75</v>
      </c>
      <c r="AV56">
        <f t="shared" si="2"/>
        <v>74</v>
      </c>
      <c r="AW56">
        <f t="shared" si="2"/>
        <v>73</v>
      </c>
      <c r="AX56">
        <f t="shared" si="2"/>
        <v>72</v>
      </c>
      <c r="AY56">
        <f t="shared" si="2"/>
        <v>71</v>
      </c>
      <c r="AZ56">
        <f t="shared" si="2"/>
        <v>70</v>
      </c>
      <c r="BA56">
        <f t="shared" si="2"/>
        <v>69</v>
      </c>
      <c r="BB56">
        <f t="shared" si="2"/>
        <v>68</v>
      </c>
      <c r="BC56">
        <f t="shared" si="2"/>
        <v>67</v>
      </c>
      <c r="BD56">
        <f t="shared" si="2"/>
        <v>66</v>
      </c>
      <c r="BE56">
        <f t="shared" si="2"/>
        <v>65</v>
      </c>
      <c r="BF56">
        <f t="shared" si="2"/>
        <v>64</v>
      </c>
      <c r="BG56">
        <f t="shared" si="2"/>
        <v>63</v>
      </c>
      <c r="BH56">
        <f t="shared" si="2"/>
        <v>62</v>
      </c>
      <c r="BI56">
        <f t="shared" si="2"/>
        <v>61</v>
      </c>
      <c r="BJ56">
        <f t="shared" si="2"/>
        <v>60</v>
      </c>
      <c r="BK56">
        <f t="shared" si="2"/>
        <v>59</v>
      </c>
      <c r="BL56">
        <f t="shared" si="2"/>
        <v>58</v>
      </c>
      <c r="BM56">
        <f t="shared" si="2"/>
        <v>57</v>
      </c>
      <c r="BN56">
        <f t="shared" si="2"/>
        <v>56</v>
      </c>
      <c r="BO56">
        <f t="shared" si="2"/>
        <v>55</v>
      </c>
      <c r="BP56">
        <f t="shared" si="2"/>
        <v>54</v>
      </c>
      <c r="BQ56">
        <f t="shared" si="2"/>
        <v>53</v>
      </c>
      <c r="BR56">
        <f t="shared" si="2"/>
        <v>52</v>
      </c>
      <c r="BS56">
        <f t="shared" si="2"/>
        <v>51</v>
      </c>
      <c r="BT56">
        <f t="shared" si="2"/>
        <v>50</v>
      </c>
      <c r="BU56">
        <f t="shared" si="2"/>
        <v>49</v>
      </c>
      <c r="BV56">
        <f t="shared" si="2"/>
        <v>48</v>
      </c>
      <c r="BW56">
        <f t="shared" ref="BW56:DZ56" si="3" xml:space="preserve"> IF( BW$15 = 1, $H$54, IF( BW$54 = 1, BV$56 - BW$54, 0 ) )</f>
        <v>47</v>
      </c>
      <c r="BX56">
        <f t="shared" si="3"/>
        <v>46</v>
      </c>
      <c r="BY56">
        <f t="shared" si="3"/>
        <v>45</v>
      </c>
      <c r="BZ56">
        <f t="shared" si="3"/>
        <v>44</v>
      </c>
      <c r="CA56">
        <f t="shared" si="3"/>
        <v>43</v>
      </c>
      <c r="CB56">
        <f t="shared" si="3"/>
        <v>42</v>
      </c>
      <c r="CC56">
        <f t="shared" si="3"/>
        <v>41</v>
      </c>
      <c r="CD56">
        <f t="shared" si="3"/>
        <v>40</v>
      </c>
      <c r="CE56">
        <f t="shared" si="3"/>
        <v>39</v>
      </c>
      <c r="CF56">
        <f t="shared" si="3"/>
        <v>38</v>
      </c>
      <c r="CG56">
        <f t="shared" si="3"/>
        <v>37</v>
      </c>
      <c r="CH56">
        <f t="shared" si="3"/>
        <v>36</v>
      </c>
      <c r="CI56">
        <f t="shared" si="3"/>
        <v>35</v>
      </c>
      <c r="CJ56">
        <f t="shared" si="3"/>
        <v>34</v>
      </c>
      <c r="CK56">
        <f t="shared" si="3"/>
        <v>33</v>
      </c>
      <c r="CL56">
        <f t="shared" si="3"/>
        <v>32</v>
      </c>
      <c r="CM56">
        <f t="shared" si="3"/>
        <v>31</v>
      </c>
      <c r="CN56">
        <f t="shared" si="3"/>
        <v>30</v>
      </c>
      <c r="CO56">
        <f t="shared" si="3"/>
        <v>29</v>
      </c>
      <c r="CP56">
        <f t="shared" si="3"/>
        <v>28</v>
      </c>
      <c r="CQ56">
        <f t="shared" si="3"/>
        <v>27</v>
      </c>
      <c r="CR56">
        <f t="shared" si="3"/>
        <v>26</v>
      </c>
      <c r="CS56">
        <f t="shared" si="3"/>
        <v>25</v>
      </c>
      <c r="CT56">
        <f t="shared" si="3"/>
        <v>24</v>
      </c>
      <c r="CU56">
        <f t="shared" si="3"/>
        <v>23</v>
      </c>
      <c r="CV56">
        <f t="shared" si="3"/>
        <v>22</v>
      </c>
      <c r="CW56">
        <f t="shared" si="3"/>
        <v>21</v>
      </c>
      <c r="CX56">
        <f t="shared" si="3"/>
        <v>20</v>
      </c>
      <c r="CY56">
        <f t="shared" si="3"/>
        <v>19</v>
      </c>
      <c r="CZ56">
        <f t="shared" si="3"/>
        <v>18</v>
      </c>
      <c r="DA56">
        <f t="shared" si="3"/>
        <v>17</v>
      </c>
      <c r="DB56">
        <f t="shared" si="3"/>
        <v>16</v>
      </c>
      <c r="DC56">
        <f t="shared" si="3"/>
        <v>15</v>
      </c>
      <c r="DD56">
        <f t="shared" si="3"/>
        <v>14</v>
      </c>
      <c r="DE56">
        <f t="shared" si="3"/>
        <v>13</v>
      </c>
      <c r="DF56">
        <f t="shared" si="3"/>
        <v>12</v>
      </c>
      <c r="DG56">
        <f t="shared" si="3"/>
        <v>11</v>
      </c>
      <c r="DH56">
        <f t="shared" si="3"/>
        <v>10</v>
      </c>
      <c r="DI56">
        <f t="shared" si="3"/>
        <v>9</v>
      </c>
      <c r="DJ56">
        <f t="shared" si="3"/>
        <v>8</v>
      </c>
      <c r="DK56">
        <f t="shared" si="3"/>
        <v>7</v>
      </c>
      <c r="DL56">
        <f t="shared" si="3"/>
        <v>6</v>
      </c>
      <c r="DM56">
        <f t="shared" si="3"/>
        <v>5</v>
      </c>
      <c r="DN56">
        <f t="shared" si="3"/>
        <v>4</v>
      </c>
      <c r="DO56">
        <f t="shared" si="3"/>
        <v>3</v>
      </c>
      <c r="DP56">
        <f t="shared" si="3"/>
        <v>2</v>
      </c>
      <c r="DQ56">
        <f t="shared" si="3"/>
        <v>1</v>
      </c>
      <c r="DR56">
        <f t="shared" si="3"/>
        <v>0</v>
      </c>
      <c r="DS56">
        <f t="shared" si="3"/>
        <v>0</v>
      </c>
      <c r="DT56">
        <f t="shared" si="3"/>
        <v>0</v>
      </c>
      <c r="DU56">
        <f t="shared" si="3"/>
        <v>0</v>
      </c>
      <c r="DV56">
        <f t="shared" si="3"/>
        <v>0</v>
      </c>
      <c r="DW56">
        <f t="shared" si="3"/>
        <v>0</v>
      </c>
      <c r="DX56">
        <f t="shared" si="3"/>
        <v>0</v>
      </c>
      <c r="DY56">
        <f t="shared" si="3"/>
        <v>0</v>
      </c>
      <c r="DZ56">
        <f t="shared" si="3"/>
        <v>0</v>
      </c>
    </row>
    <row r="58" spans="1:130">
      <c r="C58" s="76" t="s">
        <v>177</v>
      </c>
    </row>
    <row r="59" spans="1:130">
      <c r="E59" t="s">
        <v>173</v>
      </c>
    </row>
    <row r="60" spans="1:130">
      <c r="E60">
        <v>1</v>
      </c>
      <c r="F60" s="73" cm="1">
        <f t="array" ref="F60:F63">TRANSPOSE( CaseData!G43:J43)</f>
        <v>46752</v>
      </c>
      <c r="G60" t="s">
        <v>151</v>
      </c>
    </row>
    <row r="61" spans="1:130">
      <c r="E61">
        <v>2</v>
      </c>
      <c r="F61" s="74">
        <v>49309</v>
      </c>
      <c r="G61" t="s">
        <v>151</v>
      </c>
    </row>
    <row r="62" spans="1:130">
      <c r="E62">
        <v>3</v>
      </c>
      <c r="F62" s="73">
        <v>51866</v>
      </c>
      <c r="G62" t="s">
        <v>151</v>
      </c>
    </row>
    <row r="63" spans="1:130">
      <c r="E63">
        <v>4</v>
      </c>
      <c r="F63" s="73">
        <v>54423</v>
      </c>
      <c r="G63" t="s">
        <v>151</v>
      </c>
    </row>
    <row r="64" spans="1:130">
      <c r="E64" t="s">
        <v>174</v>
      </c>
      <c r="G64" t="s">
        <v>159</v>
      </c>
      <c r="J64" cm="1">
        <f t="array" ref="J64:DY64" xml:space="preserve"> IFERROR( _xlfn.XLOOKUP(_xlfn.ANCHORARRAY( $J$3),_xlfn.ANCHORARRAY( $F60), $E60:$E63,, 1 ) *_xlfn.ANCHORARRAY( $J54), 0 )</f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3</v>
      </c>
      <c r="CJ64">
        <v>3</v>
      </c>
      <c r="CK64">
        <v>3</v>
      </c>
      <c r="CL64">
        <v>3</v>
      </c>
      <c r="CM64">
        <v>3</v>
      </c>
      <c r="CN64">
        <v>3</v>
      </c>
      <c r="CO64">
        <v>3</v>
      </c>
      <c r="CP64">
        <v>4</v>
      </c>
      <c r="CQ64">
        <v>4</v>
      </c>
      <c r="CR64">
        <v>4</v>
      </c>
      <c r="CS64">
        <v>4</v>
      </c>
      <c r="CT64">
        <v>4</v>
      </c>
      <c r="CU64">
        <v>4</v>
      </c>
      <c r="CV64">
        <v>4</v>
      </c>
      <c r="CW64">
        <v>4</v>
      </c>
      <c r="CX64">
        <v>4</v>
      </c>
      <c r="CY64">
        <v>4</v>
      </c>
      <c r="CZ64">
        <v>4</v>
      </c>
      <c r="DA64">
        <v>4</v>
      </c>
      <c r="DB64">
        <v>4</v>
      </c>
      <c r="DC64">
        <v>4</v>
      </c>
      <c r="DD64">
        <v>4</v>
      </c>
      <c r="DE64">
        <v>4</v>
      </c>
      <c r="DF64">
        <v>4</v>
      </c>
      <c r="DG64">
        <v>4</v>
      </c>
      <c r="DH64">
        <v>4</v>
      </c>
      <c r="DI64">
        <v>4</v>
      </c>
      <c r="DJ64">
        <v>4</v>
      </c>
      <c r="DK64">
        <v>4</v>
      </c>
      <c r="DL64">
        <v>4</v>
      </c>
      <c r="DM64">
        <v>4</v>
      </c>
      <c r="DN64">
        <v>4</v>
      </c>
      <c r="DO64">
        <v>4</v>
      </c>
      <c r="DP64">
        <v>4</v>
      </c>
      <c r="DQ64">
        <v>4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</row>
    <row r="67" spans="1:4" s="59" customFormat="1">
      <c r="A67" s="62" t="s">
        <v>39</v>
      </c>
      <c r="D67" s="60"/>
    </row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&amp;LFinancial Modeling Institute
CFM October 2026&amp;CPage 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04D1-C5CB-4038-A0C0-68684FEBCB77}">
  <sheetPr>
    <outlinePr summaryBelow="0"/>
  </sheetPr>
  <dimension ref="A1:K56"/>
  <sheetViews>
    <sheetView showGridLines="0" topLeftCell="A18" zoomScaleNormal="100" workbookViewId="0">
      <selection activeCell="G7" sqref="G7"/>
    </sheetView>
  </sheetViews>
  <sheetFormatPr defaultColWidth="12.59765625" defaultRowHeight="13.2"/>
  <cols>
    <col min="1" max="3" width="2.5" style="3" customWidth="1"/>
    <col min="4" max="4" width="48.59765625" style="3" customWidth="1"/>
    <col min="5" max="7" width="12.59765625" style="3"/>
    <col min="8" max="8" width="12.59765625" style="3" customWidth="1"/>
    <col min="9" max="16384" width="12.59765625" style="3"/>
  </cols>
  <sheetData>
    <row r="1" spans="1:11">
      <c r="A1" s="45" t="s">
        <v>6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3" spans="1:11">
      <c r="B3" s="4" t="s">
        <v>5</v>
      </c>
    </row>
    <row r="4" spans="1:11">
      <c r="C4" s="3" t="s">
        <v>7</v>
      </c>
      <c r="E4" s="10" t="s">
        <v>2</v>
      </c>
      <c r="G4" s="11">
        <v>44196</v>
      </c>
    </row>
    <row r="5" spans="1:11">
      <c r="C5" s="3" t="s">
        <v>8</v>
      </c>
      <c r="E5" s="10" t="s">
        <v>2</v>
      </c>
      <c r="G5" s="12">
        <f>EOMONTH(G4,3)</f>
        <v>44286</v>
      </c>
    </row>
    <row r="6" spans="1:11">
      <c r="C6" s="3" t="s">
        <v>9</v>
      </c>
      <c r="E6" s="10" t="s">
        <v>10</v>
      </c>
      <c r="G6" s="13">
        <v>30</v>
      </c>
    </row>
    <row r="7" spans="1:11">
      <c r="C7" s="3" t="s">
        <v>11</v>
      </c>
      <c r="E7" s="10" t="s">
        <v>2</v>
      </c>
      <c r="G7" s="12">
        <f>EOMONTH(G4,G6*12)</f>
        <v>55153</v>
      </c>
    </row>
    <row r="8" spans="1:11">
      <c r="C8" s="3" t="s">
        <v>12</v>
      </c>
      <c r="E8" s="10" t="s">
        <v>0</v>
      </c>
      <c r="G8" s="3">
        <f>G17+G36+G49</f>
        <v>18000000</v>
      </c>
    </row>
    <row r="9" spans="1:11">
      <c r="C9" s="3" t="s">
        <v>13</v>
      </c>
      <c r="E9" s="10" t="s">
        <v>0</v>
      </c>
      <c r="G9" s="14">
        <v>25000000</v>
      </c>
    </row>
    <row r="10" spans="1:11">
      <c r="E10" s="10"/>
    </row>
    <row r="11" spans="1:11">
      <c r="B11" s="4" t="s">
        <v>14</v>
      </c>
      <c r="E11" s="10"/>
    </row>
    <row r="12" spans="1:11">
      <c r="C12" s="3" t="s">
        <v>15</v>
      </c>
      <c r="E12" s="10" t="s">
        <v>16</v>
      </c>
      <c r="G12" s="1">
        <f>$G$4+1</f>
        <v>44197</v>
      </c>
      <c r="H12" s="12">
        <f t="shared" ref="H12:K12" si="0">G13+1</f>
        <v>46023</v>
      </c>
      <c r="I12" s="12">
        <f t="shared" si="0"/>
        <v>47849</v>
      </c>
      <c r="J12" s="12">
        <f t="shared" si="0"/>
        <v>49675</v>
      </c>
      <c r="K12" s="12">
        <f t="shared" si="0"/>
        <v>51502</v>
      </c>
    </row>
    <row r="13" spans="1:11">
      <c r="C13" s="3" t="s">
        <v>17</v>
      </c>
      <c r="E13" s="10" t="s">
        <v>18</v>
      </c>
      <c r="G13" s="12">
        <f>G27</f>
        <v>46022</v>
      </c>
      <c r="H13" s="12">
        <f>H27</f>
        <v>47848</v>
      </c>
      <c r="I13" s="12">
        <f>I27</f>
        <v>49674</v>
      </c>
      <c r="J13" s="12">
        <f>J27</f>
        <v>51501</v>
      </c>
      <c r="K13" s="1">
        <f>$G$7</f>
        <v>55153</v>
      </c>
    </row>
    <row r="14" spans="1:11">
      <c r="C14" s="3" t="s">
        <v>19</v>
      </c>
      <c r="E14" s="10" t="s">
        <v>20</v>
      </c>
      <c r="G14" s="14">
        <v>350000</v>
      </c>
      <c r="H14" s="14">
        <v>380000</v>
      </c>
      <c r="I14" s="14">
        <v>400000</v>
      </c>
      <c r="J14" s="14">
        <v>450000</v>
      </c>
      <c r="K14" s="14">
        <v>500000</v>
      </c>
    </row>
    <row r="15" spans="1:11">
      <c r="E15" s="10"/>
    </row>
    <row r="16" spans="1:11">
      <c r="B16" s="4" t="s">
        <v>21</v>
      </c>
      <c r="E16" s="10"/>
    </row>
    <row r="17" spans="3:11">
      <c r="C17" s="3" t="s">
        <v>22</v>
      </c>
      <c r="E17" s="10" t="s">
        <v>0</v>
      </c>
      <c r="G17" s="14">
        <v>10000000</v>
      </c>
    </row>
    <row r="18" spans="3:11">
      <c r="C18" s="3" t="s">
        <v>23</v>
      </c>
      <c r="E18" s="10" t="s">
        <v>2</v>
      </c>
      <c r="G18" s="12">
        <f>$G$4</f>
        <v>44196</v>
      </c>
    </row>
    <row r="19" spans="3:11">
      <c r="C19" s="3" t="s">
        <v>24</v>
      </c>
      <c r="E19" s="10" t="s">
        <v>25</v>
      </c>
      <c r="G19" s="16">
        <v>0.05</v>
      </c>
    </row>
    <row r="20" spans="3:11">
      <c r="C20" s="3" t="s">
        <v>26</v>
      </c>
      <c r="E20" s="10" t="s">
        <v>4</v>
      </c>
      <c r="G20" s="14">
        <v>25</v>
      </c>
    </row>
    <row r="21" spans="3:11">
      <c r="C21" s="3" t="s">
        <v>27</v>
      </c>
      <c r="E21" s="10" t="s">
        <v>2</v>
      </c>
      <c r="G21" s="12">
        <f>EOMONTH(G18,12*G20)</f>
        <v>53327</v>
      </c>
    </row>
    <row r="23" spans="3:11">
      <c r="C23" s="3" t="s">
        <v>28</v>
      </c>
    </row>
    <row r="25" spans="3:11">
      <c r="C25" s="2" t="s">
        <v>29</v>
      </c>
    </row>
    <row r="26" spans="3:11" ht="13.8">
      <c r="D26" s="3" t="s">
        <v>30</v>
      </c>
      <c r="E26" s="10" t="s">
        <v>1</v>
      </c>
      <c r="F26"/>
      <c r="G26" s="3">
        <v>1</v>
      </c>
      <c r="H26" s="3">
        <v>2</v>
      </c>
      <c r="I26" s="3">
        <v>3</v>
      </c>
      <c r="J26" s="3">
        <v>4</v>
      </c>
      <c r="K26"/>
    </row>
    <row r="27" spans="3:11" ht="13.8">
      <c r="D27" s="3" t="s">
        <v>31</v>
      </c>
      <c r="E27" s="10" t="s">
        <v>2</v>
      </c>
      <c r="F27"/>
      <c r="G27" s="17">
        <f>EOMONTH(G18,12*5)</f>
        <v>46022</v>
      </c>
      <c r="H27" s="17">
        <f t="shared" ref="H27:J27" si="1">EOMONTH(G27,12*5)</f>
        <v>47848</v>
      </c>
      <c r="I27" s="17">
        <f t="shared" si="1"/>
        <v>49674</v>
      </c>
      <c r="J27" s="17">
        <f t="shared" si="1"/>
        <v>51501</v>
      </c>
      <c r="K27"/>
    </row>
    <row r="28" spans="3:11" ht="13.8">
      <c r="D28" s="3" t="s">
        <v>32</v>
      </c>
      <c r="E28" s="10" t="s">
        <v>33</v>
      </c>
      <c r="F28"/>
      <c r="G28" s="70">
        <v>0.01</v>
      </c>
      <c r="H28" s="70">
        <v>0.01</v>
      </c>
      <c r="I28" s="70">
        <v>0.01</v>
      </c>
      <c r="J28" s="70">
        <v>0.01</v>
      </c>
      <c r="K28"/>
    </row>
    <row r="29" spans="3:11" ht="13.8">
      <c r="D29" s="3" t="s">
        <v>34</v>
      </c>
      <c r="E29" s="10" t="s">
        <v>25</v>
      </c>
      <c r="F29"/>
      <c r="G29" s="16">
        <v>0.05</v>
      </c>
      <c r="H29" s="16">
        <v>4.4999999999999998E-2</v>
      </c>
      <c r="I29" s="16">
        <v>5.5E-2</v>
      </c>
      <c r="J29" s="16">
        <v>0.05</v>
      </c>
      <c r="K29"/>
    </row>
    <row r="31" spans="3:11">
      <c r="D31" s="3" t="s">
        <v>43</v>
      </c>
    </row>
    <row r="32" spans="3:11">
      <c r="D32" s="3" t="s">
        <v>35</v>
      </c>
    </row>
    <row r="33" spans="2:10">
      <c r="D33" s="3" t="s">
        <v>36</v>
      </c>
    </row>
    <row r="35" spans="2:10">
      <c r="B35" s="4" t="s">
        <v>37</v>
      </c>
    </row>
    <row r="36" spans="2:10">
      <c r="C36" s="3" t="s">
        <v>22</v>
      </c>
      <c r="E36" s="10" t="s">
        <v>0</v>
      </c>
      <c r="G36" s="14">
        <v>3000000</v>
      </c>
    </row>
    <row r="37" spans="2:10">
      <c r="C37" s="3" t="s">
        <v>23</v>
      </c>
      <c r="E37" s="10" t="s">
        <v>2</v>
      </c>
      <c r="G37" s="12">
        <f>$G$4</f>
        <v>44196</v>
      </c>
    </row>
    <row r="38" spans="2:10">
      <c r="E38" s="10"/>
    </row>
    <row r="39" spans="2:10">
      <c r="C39" s="3" t="s">
        <v>26</v>
      </c>
      <c r="E39" s="10" t="s">
        <v>4</v>
      </c>
      <c r="G39" s="14">
        <v>28</v>
      </c>
    </row>
    <row r="40" spans="2:10">
      <c r="C40" s="3" t="s">
        <v>27</v>
      </c>
      <c r="E40" s="10" t="s">
        <v>2</v>
      </c>
      <c r="G40" s="12">
        <f>EOMONTH(G37,12*G39)</f>
        <v>54423</v>
      </c>
    </row>
    <row r="42" spans="2:10">
      <c r="C42" s="3" t="s">
        <v>15</v>
      </c>
      <c r="E42" s="10" t="s">
        <v>16</v>
      </c>
      <c r="G42" s="1">
        <f>$G$37+1</f>
        <v>44197</v>
      </c>
      <c r="H42" s="12">
        <f t="shared" ref="H42:J42" si="2">G43+1</f>
        <v>46753</v>
      </c>
      <c r="I42" s="12">
        <f t="shared" si="2"/>
        <v>49310</v>
      </c>
      <c r="J42" s="12">
        <f t="shared" si="2"/>
        <v>51867</v>
      </c>
    </row>
    <row r="43" spans="2:10">
      <c r="C43" s="3" t="s">
        <v>42</v>
      </c>
      <c r="E43" s="10" t="s">
        <v>18</v>
      </c>
      <c r="G43" s="17">
        <v>46752</v>
      </c>
      <c r="H43" s="17">
        <v>49309</v>
      </c>
      <c r="I43" s="17">
        <v>51866</v>
      </c>
      <c r="J43" s="1">
        <f>$G$40</f>
        <v>54423</v>
      </c>
    </row>
    <row r="44" spans="2:10">
      <c r="C44" s="3" t="s">
        <v>38</v>
      </c>
      <c r="E44" s="10" t="s">
        <v>25</v>
      </c>
      <c r="G44" s="16">
        <v>7.4999999999999997E-2</v>
      </c>
      <c r="H44" s="16">
        <v>0.08</v>
      </c>
      <c r="I44" s="16">
        <v>7.4999999999999997E-2</v>
      </c>
      <c r="J44" s="16">
        <v>0.09</v>
      </c>
    </row>
    <row r="45" spans="2:10">
      <c r="E45" s="10"/>
    </row>
    <row r="46" spans="2:10">
      <c r="C46" s="3" t="s">
        <v>133</v>
      </c>
    </row>
    <row r="48" spans="2:10">
      <c r="B48" s="4" t="s">
        <v>39</v>
      </c>
    </row>
    <row r="49" spans="1:11">
      <c r="C49" s="3" t="s">
        <v>40</v>
      </c>
      <c r="E49" s="10" t="s">
        <v>0</v>
      </c>
      <c r="G49" s="14">
        <v>5000000</v>
      </c>
    </row>
    <row r="50" spans="1:11">
      <c r="C50" s="3" t="s">
        <v>41</v>
      </c>
      <c r="E50" s="10" t="s">
        <v>25</v>
      </c>
      <c r="G50" s="16">
        <v>0.1</v>
      </c>
    </row>
    <row r="52" spans="1:11">
      <c r="B52" s="4" t="s">
        <v>135</v>
      </c>
    </row>
    <row r="53" spans="1:11">
      <c r="C53" s="3" t="s">
        <v>136</v>
      </c>
      <c r="G53" s="55" t="s">
        <v>137</v>
      </c>
    </row>
    <row r="54" spans="1:11">
      <c r="C54" s="3" t="s">
        <v>138</v>
      </c>
      <c r="G54" s="54" t="s">
        <v>139</v>
      </c>
    </row>
    <row r="56" spans="1:11">
      <c r="A56" s="45" t="s">
        <v>3</v>
      </c>
      <c r="B56" s="45"/>
      <c r="C56" s="46"/>
      <c r="D56" s="46"/>
      <c r="E56" s="46"/>
      <c r="F56" s="46"/>
      <c r="G56" s="46"/>
      <c r="H56" s="46"/>
      <c r="I56" s="46"/>
      <c r="J56" s="46"/>
      <c r="K56" s="4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308B-ED72-4A69-AA7D-F3E671AAE2A4}">
  <sheetPr>
    <outlinePr summaryBelow="0"/>
  </sheetPr>
  <dimension ref="A1:DY122"/>
  <sheetViews>
    <sheetView showGridLines="0" zoomScaleNormal="100" workbookViewId="0">
      <pane xSplit="8" ySplit="5" topLeftCell="I93" activePane="bottomRight" state="frozen"/>
      <selection pane="topRight"/>
      <selection pane="bottomLeft"/>
      <selection pane="bottomRight" activeCell="I104" sqref="I104"/>
    </sheetView>
  </sheetViews>
  <sheetFormatPr defaultColWidth="12.59765625" defaultRowHeight="13.2"/>
  <cols>
    <col min="1" max="2" width="3.59765625" style="3" customWidth="1"/>
    <col min="3" max="3" width="48.59765625" style="3" customWidth="1"/>
    <col min="4" max="4" width="15.796875" style="3" customWidth="1"/>
    <col min="5" max="7" width="12.59765625" style="3" customWidth="1"/>
    <col min="8" max="8" width="3.59765625" style="3" customWidth="1"/>
    <col min="9" max="130" width="12.59765625" style="3" customWidth="1"/>
    <col min="131" max="16384" width="12.59765625" style="3"/>
  </cols>
  <sheetData>
    <row r="1" spans="1:129" ht="15.6">
      <c r="A1" s="5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</row>
    <row r="2" spans="1:129" ht="15">
      <c r="A2" s="6"/>
      <c r="B2" s="6" t="s">
        <v>45</v>
      </c>
      <c r="C2" s="6"/>
      <c r="D2" s="6"/>
      <c r="E2" s="6"/>
      <c r="F2" s="6"/>
      <c r="G2" s="6"/>
      <c r="H2" s="6"/>
      <c r="I2" s="6"/>
      <c r="J2" s="18">
        <f t="shared" ref="J2:BU2" si="0">I3+1</f>
        <v>44197</v>
      </c>
      <c r="K2" s="18">
        <f t="shared" si="0"/>
        <v>44287</v>
      </c>
      <c r="L2" s="18">
        <f t="shared" si="0"/>
        <v>44378</v>
      </c>
      <c r="M2" s="18">
        <f t="shared" si="0"/>
        <v>44470</v>
      </c>
      <c r="N2" s="18">
        <f t="shared" si="0"/>
        <v>44562</v>
      </c>
      <c r="O2" s="18">
        <f t="shared" si="0"/>
        <v>44652</v>
      </c>
      <c r="P2" s="18">
        <f t="shared" si="0"/>
        <v>44743</v>
      </c>
      <c r="Q2" s="18">
        <f t="shared" si="0"/>
        <v>44835</v>
      </c>
      <c r="R2" s="18">
        <f t="shared" si="0"/>
        <v>44927</v>
      </c>
      <c r="S2" s="18">
        <f t="shared" si="0"/>
        <v>45017</v>
      </c>
      <c r="T2" s="18">
        <f t="shared" si="0"/>
        <v>45108</v>
      </c>
      <c r="U2" s="18">
        <f t="shared" si="0"/>
        <v>45200</v>
      </c>
      <c r="V2" s="18">
        <f t="shared" si="0"/>
        <v>45292</v>
      </c>
      <c r="W2" s="18">
        <f t="shared" si="0"/>
        <v>45383</v>
      </c>
      <c r="X2" s="18">
        <f t="shared" si="0"/>
        <v>45474</v>
      </c>
      <c r="Y2" s="18">
        <f t="shared" si="0"/>
        <v>45566</v>
      </c>
      <c r="Z2" s="18">
        <f t="shared" si="0"/>
        <v>45658</v>
      </c>
      <c r="AA2" s="18">
        <f t="shared" si="0"/>
        <v>45748</v>
      </c>
      <c r="AB2" s="18">
        <f t="shared" si="0"/>
        <v>45839</v>
      </c>
      <c r="AC2" s="18">
        <f t="shared" si="0"/>
        <v>45931</v>
      </c>
      <c r="AD2" s="18">
        <f t="shared" si="0"/>
        <v>46023</v>
      </c>
      <c r="AE2" s="18">
        <f t="shared" si="0"/>
        <v>46113</v>
      </c>
      <c r="AF2" s="18">
        <f t="shared" si="0"/>
        <v>46204</v>
      </c>
      <c r="AG2" s="18">
        <f t="shared" si="0"/>
        <v>46296</v>
      </c>
      <c r="AH2" s="18">
        <f t="shared" si="0"/>
        <v>46388</v>
      </c>
      <c r="AI2" s="18">
        <f t="shared" si="0"/>
        <v>46478</v>
      </c>
      <c r="AJ2" s="18">
        <f t="shared" si="0"/>
        <v>46569</v>
      </c>
      <c r="AK2" s="18">
        <f t="shared" si="0"/>
        <v>46661</v>
      </c>
      <c r="AL2" s="18">
        <f t="shared" si="0"/>
        <v>46753</v>
      </c>
      <c r="AM2" s="18">
        <f t="shared" si="0"/>
        <v>46844</v>
      </c>
      <c r="AN2" s="18">
        <f t="shared" si="0"/>
        <v>46935</v>
      </c>
      <c r="AO2" s="18">
        <f t="shared" si="0"/>
        <v>47027</v>
      </c>
      <c r="AP2" s="18">
        <f t="shared" si="0"/>
        <v>47119</v>
      </c>
      <c r="AQ2" s="18">
        <f t="shared" si="0"/>
        <v>47209</v>
      </c>
      <c r="AR2" s="18">
        <f t="shared" si="0"/>
        <v>47300</v>
      </c>
      <c r="AS2" s="18">
        <f t="shared" si="0"/>
        <v>47392</v>
      </c>
      <c r="AT2" s="18">
        <f t="shared" si="0"/>
        <v>47484</v>
      </c>
      <c r="AU2" s="18">
        <f t="shared" si="0"/>
        <v>47574</v>
      </c>
      <c r="AV2" s="18">
        <f t="shared" si="0"/>
        <v>47665</v>
      </c>
      <c r="AW2" s="18">
        <f t="shared" si="0"/>
        <v>47757</v>
      </c>
      <c r="AX2" s="18">
        <f t="shared" si="0"/>
        <v>47849</v>
      </c>
      <c r="AY2" s="18">
        <f t="shared" si="0"/>
        <v>47939</v>
      </c>
      <c r="AZ2" s="18">
        <f t="shared" si="0"/>
        <v>48030</v>
      </c>
      <c r="BA2" s="18">
        <f t="shared" si="0"/>
        <v>48122</v>
      </c>
      <c r="BB2" s="18">
        <f t="shared" si="0"/>
        <v>48214</v>
      </c>
      <c r="BC2" s="18">
        <f t="shared" si="0"/>
        <v>48305</v>
      </c>
      <c r="BD2" s="18">
        <f t="shared" si="0"/>
        <v>48396</v>
      </c>
      <c r="BE2" s="18">
        <f t="shared" si="0"/>
        <v>48488</v>
      </c>
      <c r="BF2" s="18">
        <f t="shared" si="0"/>
        <v>48580</v>
      </c>
      <c r="BG2" s="18">
        <f t="shared" si="0"/>
        <v>48670</v>
      </c>
      <c r="BH2" s="18">
        <f t="shared" si="0"/>
        <v>48761</v>
      </c>
      <c r="BI2" s="18">
        <f t="shared" si="0"/>
        <v>48853</v>
      </c>
      <c r="BJ2" s="18">
        <f t="shared" si="0"/>
        <v>48945</v>
      </c>
      <c r="BK2" s="18">
        <f t="shared" si="0"/>
        <v>49035</v>
      </c>
      <c r="BL2" s="18">
        <f t="shared" si="0"/>
        <v>49126</v>
      </c>
      <c r="BM2" s="18">
        <f t="shared" si="0"/>
        <v>49218</v>
      </c>
      <c r="BN2" s="18">
        <f t="shared" si="0"/>
        <v>49310</v>
      </c>
      <c r="BO2" s="18">
        <f t="shared" si="0"/>
        <v>49400</v>
      </c>
      <c r="BP2" s="18">
        <f t="shared" si="0"/>
        <v>49491</v>
      </c>
      <c r="BQ2" s="18">
        <f t="shared" si="0"/>
        <v>49583</v>
      </c>
      <c r="BR2" s="18">
        <f t="shared" si="0"/>
        <v>49675</v>
      </c>
      <c r="BS2" s="18">
        <f t="shared" si="0"/>
        <v>49766</v>
      </c>
      <c r="BT2" s="18">
        <f t="shared" si="0"/>
        <v>49857</v>
      </c>
      <c r="BU2" s="18">
        <f t="shared" si="0"/>
        <v>49949</v>
      </c>
      <c r="BV2" s="18">
        <f t="shared" ref="BV2:DY2" si="1">BU3+1</f>
        <v>50041</v>
      </c>
      <c r="BW2" s="18">
        <f t="shared" si="1"/>
        <v>50131</v>
      </c>
      <c r="BX2" s="18">
        <f t="shared" si="1"/>
        <v>50222</v>
      </c>
      <c r="BY2" s="18">
        <f t="shared" si="1"/>
        <v>50314</v>
      </c>
      <c r="BZ2" s="18">
        <f t="shared" si="1"/>
        <v>50406</v>
      </c>
      <c r="CA2" s="18">
        <f t="shared" si="1"/>
        <v>50496</v>
      </c>
      <c r="CB2" s="18">
        <f t="shared" si="1"/>
        <v>50587</v>
      </c>
      <c r="CC2" s="18">
        <f t="shared" si="1"/>
        <v>50679</v>
      </c>
      <c r="CD2" s="18">
        <f t="shared" si="1"/>
        <v>50771</v>
      </c>
      <c r="CE2" s="18">
        <f t="shared" si="1"/>
        <v>50861</v>
      </c>
      <c r="CF2" s="18">
        <f t="shared" si="1"/>
        <v>50952</v>
      </c>
      <c r="CG2" s="18">
        <f t="shared" si="1"/>
        <v>51044</v>
      </c>
      <c r="CH2" s="18">
        <f t="shared" si="1"/>
        <v>51136</v>
      </c>
      <c r="CI2" s="18">
        <f t="shared" si="1"/>
        <v>51227</v>
      </c>
      <c r="CJ2" s="18">
        <f t="shared" si="1"/>
        <v>51318</v>
      </c>
      <c r="CK2" s="18">
        <f t="shared" si="1"/>
        <v>51410</v>
      </c>
      <c r="CL2" s="18">
        <f t="shared" si="1"/>
        <v>51502</v>
      </c>
      <c r="CM2" s="18">
        <f t="shared" si="1"/>
        <v>51592</v>
      </c>
      <c r="CN2" s="18">
        <f t="shared" si="1"/>
        <v>51683</v>
      </c>
      <c r="CO2" s="18">
        <f t="shared" si="1"/>
        <v>51775</v>
      </c>
      <c r="CP2" s="18">
        <f t="shared" si="1"/>
        <v>51867</v>
      </c>
      <c r="CQ2" s="18">
        <f t="shared" si="1"/>
        <v>51957</v>
      </c>
      <c r="CR2" s="18">
        <f t="shared" si="1"/>
        <v>52048</v>
      </c>
      <c r="CS2" s="18">
        <f t="shared" si="1"/>
        <v>52140</v>
      </c>
      <c r="CT2" s="18">
        <f t="shared" si="1"/>
        <v>52232</v>
      </c>
      <c r="CU2" s="18">
        <f t="shared" si="1"/>
        <v>52322</v>
      </c>
      <c r="CV2" s="18">
        <f t="shared" si="1"/>
        <v>52413</v>
      </c>
      <c r="CW2" s="18">
        <f t="shared" si="1"/>
        <v>52505</v>
      </c>
      <c r="CX2" s="18">
        <f t="shared" si="1"/>
        <v>52597</v>
      </c>
      <c r="CY2" s="18">
        <f t="shared" si="1"/>
        <v>52688</v>
      </c>
      <c r="CZ2" s="18">
        <f t="shared" si="1"/>
        <v>52779</v>
      </c>
      <c r="DA2" s="18">
        <f t="shared" si="1"/>
        <v>52871</v>
      </c>
      <c r="DB2" s="18">
        <f t="shared" si="1"/>
        <v>52963</v>
      </c>
      <c r="DC2" s="18">
        <f t="shared" si="1"/>
        <v>53053</v>
      </c>
      <c r="DD2" s="18">
        <f t="shared" si="1"/>
        <v>53144</v>
      </c>
      <c r="DE2" s="18">
        <f t="shared" si="1"/>
        <v>53236</v>
      </c>
      <c r="DF2" s="18">
        <f t="shared" si="1"/>
        <v>53328</v>
      </c>
      <c r="DG2" s="18">
        <f t="shared" si="1"/>
        <v>53418</v>
      </c>
      <c r="DH2" s="18">
        <f t="shared" si="1"/>
        <v>53509</v>
      </c>
      <c r="DI2" s="18">
        <f t="shared" si="1"/>
        <v>53601</v>
      </c>
      <c r="DJ2" s="18">
        <f t="shared" si="1"/>
        <v>53693</v>
      </c>
      <c r="DK2" s="18">
        <f t="shared" si="1"/>
        <v>53783</v>
      </c>
      <c r="DL2" s="18">
        <f t="shared" si="1"/>
        <v>53874</v>
      </c>
      <c r="DM2" s="18">
        <f t="shared" si="1"/>
        <v>53966</v>
      </c>
      <c r="DN2" s="18">
        <f t="shared" si="1"/>
        <v>54058</v>
      </c>
      <c r="DO2" s="18">
        <f t="shared" si="1"/>
        <v>54149</v>
      </c>
      <c r="DP2" s="18">
        <f t="shared" si="1"/>
        <v>54240</v>
      </c>
      <c r="DQ2" s="18">
        <f t="shared" si="1"/>
        <v>54332</v>
      </c>
      <c r="DR2" s="18">
        <f t="shared" si="1"/>
        <v>54424</v>
      </c>
      <c r="DS2" s="18">
        <f t="shared" si="1"/>
        <v>54514</v>
      </c>
      <c r="DT2" s="18">
        <f t="shared" si="1"/>
        <v>54605</v>
      </c>
      <c r="DU2" s="18">
        <f t="shared" si="1"/>
        <v>54697</v>
      </c>
      <c r="DV2" s="18">
        <f t="shared" si="1"/>
        <v>54789</v>
      </c>
      <c r="DW2" s="18">
        <f t="shared" si="1"/>
        <v>54879</v>
      </c>
      <c r="DX2" s="18">
        <f t="shared" si="1"/>
        <v>54970</v>
      </c>
      <c r="DY2" s="18">
        <f t="shared" si="1"/>
        <v>55062</v>
      </c>
    </row>
    <row r="3" spans="1:129" ht="15">
      <c r="A3" s="6"/>
      <c r="B3" s="6" t="s">
        <v>46</v>
      </c>
      <c r="C3" s="6"/>
      <c r="D3" s="6"/>
      <c r="E3" s="6"/>
      <c r="F3" s="6"/>
      <c r="G3" s="6"/>
      <c r="H3" s="6"/>
      <c r="I3" s="19">
        <f>CaseData!G4</f>
        <v>44196</v>
      </c>
      <c r="J3" s="18">
        <f t="shared" ref="J3:BU3" si="2">EOMONTH(I3,3)</f>
        <v>44286</v>
      </c>
      <c r="K3" s="18">
        <f t="shared" si="2"/>
        <v>44377</v>
      </c>
      <c r="L3" s="18">
        <f t="shared" si="2"/>
        <v>44469</v>
      </c>
      <c r="M3" s="18">
        <f t="shared" si="2"/>
        <v>44561</v>
      </c>
      <c r="N3" s="18">
        <f t="shared" si="2"/>
        <v>44651</v>
      </c>
      <c r="O3" s="18">
        <f t="shared" si="2"/>
        <v>44742</v>
      </c>
      <c r="P3" s="18">
        <f t="shared" si="2"/>
        <v>44834</v>
      </c>
      <c r="Q3" s="18">
        <f t="shared" si="2"/>
        <v>44926</v>
      </c>
      <c r="R3" s="18">
        <f t="shared" si="2"/>
        <v>45016</v>
      </c>
      <c r="S3" s="18">
        <f t="shared" si="2"/>
        <v>45107</v>
      </c>
      <c r="T3" s="18">
        <f t="shared" si="2"/>
        <v>45199</v>
      </c>
      <c r="U3" s="18">
        <f t="shared" si="2"/>
        <v>45291</v>
      </c>
      <c r="V3" s="18">
        <f t="shared" si="2"/>
        <v>45382</v>
      </c>
      <c r="W3" s="18">
        <f t="shared" si="2"/>
        <v>45473</v>
      </c>
      <c r="X3" s="18">
        <f t="shared" si="2"/>
        <v>45565</v>
      </c>
      <c r="Y3" s="18">
        <f t="shared" si="2"/>
        <v>45657</v>
      </c>
      <c r="Z3" s="18">
        <f t="shared" si="2"/>
        <v>45747</v>
      </c>
      <c r="AA3" s="18">
        <f t="shared" si="2"/>
        <v>45838</v>
      </c>
      <c r="AB3" s="18">
        <f t="shared" si="2"/>
        <v>45930</v>
      </c>
      <c r="AC3" s="18">
        <f t="shared" si="2"/>
        <v>46022</v>
      </c>
      <c r="AD3" s="18">
        <f t="shared" si="2"/>
        <v>46112</v>
      </c>
      <c r="AE3" s="18">
        <f t="shared" si="2"/>
        <v>46203</v>
      </c>
      <c r="AF3" s="18">
        <f t="shared" si="2"/>
        <v>46295</v>
      </c>
      <c r="AG3" s="18">
        <f t="shared" si="2"/>
        <v>46387</v>
      </c>
      <c r="AH3" s="18">
        <f t="shared" si="2"/>
        <v>46477</v>
      </c>
      <c r="AI3" s="18">
        <f t="shared" si="2"/>
        <v>46568</v>
      </c>
      <c r="AJ3" s="18">
        <f t="shared" si="2"/>
        <v>46660</v>
      </c>
      <c r="AK3" s="18">
        <f t="shared" si="2"/>
        <v>46752</v>
      </c>
      <c r="AL3" s="18">
        <f t="shared" si="2"/>
        <v>46843</v>
      </c>
      <c r="AM3" s="18">
        <f t="shared" si="2"/>
        <v>46934</v>
      </c>
      <c r="AN3" s="18">
        <f t="shared" si="2"/>
        <v>47026</v>
      </c>
      <c r="AO3" s="18">
        <f t="shared" si="2"/>
        <v>47118</v>
      </c>
      <c r="AP3" s="18">
        <f t="shared" si="2"/>
        <v>47208</v>
      </c>
      <c r="AQ3" s="18">
        <f t="shared" si="2"/>
        <v>47299</v>
      </c>
      <c r="AR3" s="18">
        <f t="shared" si="2"/>
        <v>47391</v>
      </c>
      <c r="AS3" s="18">
        <f t="shared" si="2"/>
        <v>47483</v>
      </c>
      <c r="AT3" s="18">
        <f t="shared" si="2"/>
        <v>47573</v>
      </c>
      <c r="AU3" s="18">
        <f t="shared" si="2"/>
        <v>47664</v>
      </c>
      <c r="AV3" s="18">
        <f t="shared" si="2"/>
        <v>47756</v>
      </c>
      <c r="AW3" s="18">
        <f t="shared" si="2"/>
        <v>47848</v>
      </c>
      <c r="AX3" s="18">
        <f t="shared" si="2"/>
        <v>47938</v>
      </c>
      <c r="AY3" s="18">
        <f t="shared" si="2"/>
        <v>48029</v>
      </c>
      <c r="AZ3" s="18">
        <f t="shared" si="2"/>
        <v>48121</v>
      </c>
      <c r="BA3" s="18">
        <f t="shared" si="2"/>
        <v>48213</v>
      </c>
      <c r="BB3" s="18">
        <f t="shared" si="2"/>
        <v>48304</v>
      </c>
      <c r="BC3" s="18">
        <f t="shared" si="2"/>
        <v>48395</v>
      </c>
      <c r="BD3" s="18">
        <f t="shared" si="2"/>
        <v>48487</v>
      </c>
      <c r="BE3" s="18">
        <f t="shared" si="2"/>
        <v>48579</v>
      </c>
      <c r="BF3" s="18">
        <f t="shared" si="2"/>
        <v>48669</v>
      </c>
      <c r="BG3" s="18">
        <f t="shared" si="2"/>
        <v>48760</v>
      </c>
      <c r="BH3" s="18">
        <f t="shared" si="2"/>
        <v>48852</v>
      </c>
      <c r="BI3" s="18">
        <f t="shared" si="2"/>
        <v>48944</v>
      </c>
      <c r="BJ3" s="18">
        <f t="shared" si="2"/>
        <v>49034</v>
      </c>
      <c r="BK3" s="18">
        <f t="shared" si="2"/>
        <v>49125</v>
      </c>
      <c r="BL3" s="18">
        <f t="shared" si="2"/>
        <v>49217</v>
      </c>
      <c r="BM3" s="18">
        <f t="shared" si="2"/>
        <v>49309</v>
      </c>
      <c r="BN3" s="18">
        <f t="shared" si="2"/>
        <v>49399</v>
      </c>
      <c r="BO3" s="18">
        <f t="shared" si="2"/>
        <v>49490</v>
      </c>
      <c r="BP3" s="18">
        <f t="shared" si="2"/>
        <v>49582</v>
      </c>
      <c r="BQ3" s="18">
        <f t="shared" si="2"/>
        <v>49674</v>
      </c>
      <c r="BR3" s="18">
        <f t="shared" si="2"/>
        <v>49765</v>
      </c>
      <c r="BS3" s="18">
        <f t="shared" si="2"/>
        <v>49856</v>
      </c>
      <c r="BT3" s="18">
        <f t="shared" si="2"/>
        <v>49948</v>
      </c>
      <c r="BU3" s="18">
        <f t="shared" si="2"/>
        <v>50040</v>
      </c>
      <c r="BV3" s="18">
        <f t="shared" ref="BV3:DY3" si="3">EOMONTH(BU3,3)</f>
        <v>50130</v>
      </c>
      <c r="BW3" s="18">
        <f t="shared" si="3"/>
        <v>50221</v>
      </c>
      <c r="BX3" s="18">
        <f t="shared" si="3"/>
        <v>50313</v>
      </c>
      <c r="BY3" s="18">
        <f t="shared" si="3"/>
        <v>50405</v>
      </c>
      <c r="BZ3" s="18">
        <f t="shared" si="3"/>
        <v>50495</v>
      </c>
      <c r="CA3" s="18">
        <f t="shared" si="3"/>
        <v>50586</v>
      </c>
      <c r="CB3" s="18">
        <f t="shared" si="3"/>
        <v>50678</v>
      </c>
      <c r="CC3" s="18">
        <f t="shared" si="3"/>
        <v>50770</v>
      </c>
      <c r="CD3" s="18">
        <f t="shared" si="3"/>
        <v>50860</v>
      </c>
      <c r="CE3" s="18">
        <f t="shared" si="3"/>
        <v>50951</v>
      </c>
      <c r="CF3" s="18">
        <f t="shared" si="3"/>
        <v>51043</v>
      </c>
      <c r="CG3" s="18">
        <f t="shared" si="3"/>
        <v>51135</v>
      </c>
      <c r="CH3" s="18">
        <f t="shared" si="3"/>
        <v>51226</v>
      </c>
      <c r="CI3" s="18">
        <f t="shared" si="3"/>
        <v>51317</v>
      </c>
      <c r="CJ3" s="18">
        <f t="shared" si="3"/>
        <v>51409</v>
      </c>
      <c r="CK3" s="18">
        <f t="shared" si="3"/>
        <v>51501</v>
      </c>
      <c r="CL3" s="18">
        <f t="shared" si="3"/>
        <v>51591</v>
      </c>
      <c r="CM3" s="18">
        <f t="shared" si="3"/>
        <v>51682</v>
      </c>
      <c r="CN3" s="18">
        <f t="shared" si="3"/>
        <v>51774</v>
      </c>
      <c r="CO3" s="18">
        <f t="shared" si="3"/>
        <v>51866</v>
      </c>
      <c r="CP3" s="18">
        <f t="shared" si="3"/>
        <v>51956</v>
      </c>
      <c r="CQ3" s="18">
        <f t="shared" si="3"/>
        <v>52047</v>
      </c>
      <c r="CR3" s="18">
        <f t="shared" si="3"/>
        <v>52139</v>
      </c>
      <c r="CS3" s="18">
        <f t="shared" si="3"/>
        <v>52231</v>
      </c>
      <c r="CT3" s="18">
        <f t="shared" si="3"/>
        <v>52321</v>
      </c>
      <c r="CU3" s="18">
        <f t="shared" si="3"/>
        <v>52412</v>
      </c>
      <c r="CV3" s="18">
        <f t="shared" si="3"/>
        <v>52504</v>
      </c>
      <c r="CW3" s="18">
        <f t="shared" si="3"/>
        <v>52596</v>
      </c>
      <c r="CX3" s="18">
        <f t="shared" si="3"/>
        <v>52687</v>
      </c>
      <c r="CY3" s="18">
        <f t="shared" si="3"/>
        <v>52778</v>
      </c>
      <c r="CZ3" s="18">
        <f t="shared" si="3"/>
        <v>52870</v>
      </c>
      <c r="DA3" s="18">
        <f t="shared" si="3"/>
        <v>52962</v>
      </c>
      <c r="DB3" s="18">
        <f t="shared" si="3"/>
        <v>53052</v>
      </c>
      <c r="DC3" s="18">
        <f t="shared" si="3"/>
        <v>53143</v>
      </c>
      <c r="DD3" s="18">
        <f t="shared" si="3"/>
        <v>53235</v>
      </c>
      <c r="DE3" s="18">
        <f t="shared" si="3"/>
        <v>53327</v>
      </c>
      <c r="DF3" s="18">
        <f t="shared" si="3"/>
        <v>53417</v>
      </c>
      <c r="DG3" s="18">
        <f t="shared" si="3"/>
        <v>53508</v>
      </c>
      <c r="DH3" s="18">
        <f t="shared" si="3"/>
        <v>53600</v>
      </c>
      <c r="DI3" s="18">
        <f t="shared" si="3"/>
        <v>53692</v>
      </c>
      <c r="DJ3" s="18">
        <f t="shared" si="3"/>
        <v>53782</v>
      </c>
      <c r="DK3" s="18">
        <f t="shared" si="3"/>
        <v>53873</v>
      </c>
      <c r="DL3" s="18">
        <f t="shared" si="3"/>
        <v>53965</v>
      </c>
      <c r="DM3" s="18">
        <f t="shared" si="3"/>
        <v>54057</v>
      </c>
      <c r="DN3" s="18">
        <f t="shared" si="3"/>
        <v>54148</v>
      </c>
      <c r="DO3" s="18">
        <f t="shared" si="3"/>
        <v>54239</v>
      </c>
      <c r="DP3" s="18">
        <f t="shared" si="3"/>
        <v>54331</v>
      </c>
      <c r="DQ3" s="18">
        <f t="shared" si="3"/>
        <v>54423</v>
      </c>
      <c r="DR3" s="18">
        <f t="shared" si="3"/>
        <v>54513</v>
      </c>
      <c r="DS3" s="18">
        <f t="shared" si="3"/>
        <v>54604</v>
      </c>
      <c r="DT3" s="18">
        <f t="shared" si="3"/>
        <v>54696</v>
      </c>
      <c r="DU3" s="18">
        <f t="shared" si="3"/>
        <v>54788</v>
      </c>
      <c r="DV3" s="18">
        <f t="shared" si="3"/>
        <v>54878</v>
      </c>
      <c r="DW3" s="18">
        <f t="shared" si="3"/>
        <v>54969</v>
      </c>
      <c r="DX3" s="18">
        <f t="shared" si="3"/>
        <v>55061</v>
      </c>
      <c r="DY3" s="18">
        <f t="shared" si="3"/>
        <v>55153</v>
      </c>
    </row>
    <row r="4" spans="1:129" ht="15">
      <c r="A4" s="6"/>
      <c r="B4" s="6" t="s">
        <v>47</v>
      </c>
      <c r="C4" s="6"/>
      <c r="D4" s="6"/>
      <c r="E4" s="6"/>
      <c r="F4" s="6"/>
      <c r="G4" s="6"/>
      <c r="H4" s="6"/>
      <c r="I4" s="20">
        <v>0</v>
      </c>
      <c r="J4" s="6">
        <f t="shared" ref="J4:BU4" si="4">I4+1</f>
        <v>1</v>
      </c>
      <c r="K4" s="6">
        <f t="shared" si="4"/>
        <v>2</v>
      </c>
      <c r="L4" s="6">
        <f t="shared" si="4"/>
        <v>3</v>
      </c>
      <c r="M4" s="6">
        <f t="shared" si="4"/>
        <v>4</v>
      </c>
      <c r="N4" s="6">
        <f t="shared" si="4"/>
        <v>5</v>
      </c>
      <c r="O4" s="6">
        <f t="shared" si="4"/>
        <v>6</v>
      </c>
      <c r="P4" s="6">
        <f t="shared" si="4"/>
        <v>7</v>
      </c>
      <c r="Q4" s="6">
        <f t="shared" si="4"/>
        <v>8</v>
      </c>
      <c r="R4" s="6">
        <f t="shared" si="4"/>
        <v>9</v>
      </c>
      <c r="S4" s="6">
        <f t="shared" si="4"/>
        <v>10</v>
      </c>
      <c r="T4" s="6">
        <f t="shared" si="4"/>
        <v>11</v>
      </c>
      <c r="U4" s="6">
        <f t="shared" si="4"/>
        <v>12</v>
      </c>
      <c r="V4" s="6">
        <f t="shared" si="4"/>
        <v>13</v>
      </c>
      <c r="W4" s="6">
        <f t="shared" si="4"/>
        <v>14</v>
      </c>
      <c r="X4" s="6">
        <f t="shared" si="4"/>
        <v>15</v>
      </c>
      <c r="Y4" s="6">
        <f t="shared" si="4"/>
        <v>16</v>
      </c>
      <c r="Z4" s="6">
        <f t="shared" si="4"/>
        <v>17</v>
      </c>
      <c r="AA4" s="6">
        <f t="shared" si="4"/>
        <v>18</v>
      </c>
      <c r="AB4" s="6">
        <f t="shared" si="4"/>
        <v>19</v>
      </c>
      <c r="AC4" s="6">
        <f t="shared" si="4"/>
        <v>20</v>
      </c>
      <c r="AD4" s="6">
        <f t="shared" si="4"/>
        <v>21</v>
      </c>
      <c r="AE4" s="6">
        <f t="shared" si="4"/>
        <v>22</v>
      </c>
      <c r="AF4" s="6">
        <f t="shared" si="4"/>
        <v>23</v>
      </c>
      <c r="AG4" s="6">
        <f t="shared" si="4"/>
        <v>24</v>
      </c>
      <c r="AH4" s="6">
        <f t="shared" si="4"/>
        <v>25</v>
      </c>
      <c r="AI4" s="6">
        <f t="shared" si="4"/>
        <v>26</v>
      </c>
      <c r="AJ4" s="6">
        <f t="shared" si="4"/>
        <v>27</v>
      </c>
      <c r="AK4" s="6">
        <f t="shared" si="4"/>
        <v>28</v>
      </c>
      <c r="AL4" s="6">
        <f t="shared" si="4"/>
        <v>29</v>
      </c>
      <c r="AM4" s="6">
        <f t="shared" si="4"/>
        <v>30</v>
      </c>
      <c r="AN4" s="6">
        <f t="shared" si="4"/>
        <v>31</v>
      </c>
      <c r="AO4" s="6">
        <f t="shared" si="4"/>
        <v>32</v>
      </c>
      <c r="AP4" s="6">
        <f t="shared" si="4"/>
        <v>33</v>
      </c>
      <c r="AQ4" s="6">
        <f t="shared" si="4"/>
        <v>34</v>
      </c>
      <c r="AR4" s="6">
        <f t="shared" si="4"/>
        <v>35</v>
      </c>
      <c r="AS4" s="6">
        <f t="shared" si="4"/>
        <v>36</v>
      </c>
      <c r="AT4" s="6">
        <f t="shared" si="4"/>
        <v>37</v>
      </c>
      <c r="AU4" s="6">
        <f t="shared" si="4"/>
        <v>38</v>
      </c>
      <c r="AV4" s="6">
        <f t="shared" si="4"/>
        <v>39</v>
      </c>
      <c r="AW4" s="6">
        <f t="shared" si="4"/>
        <v>40</v>
      </c>
      <c r="AX4" s="6">
        <f t="shared" si="4"/>
        <v>41</v>
      </c>
      <c r="AY4" s="6">
        <f t="shared" si="4"/>
        <v>42</v>
      </c>
      <c r="AZ4" s="6">
        <f t="shared" si="4"/>
        <v>43</v>
      </c>
      <c r="BA4" s="6">
        <f t="shared" si="4"/>
        <v>44</v>
      </c>
      <c r="BB4" s="6">
        <f t="shared" si="4"/>
        <v>45</v>
      </c>
      <c r="BC4" s="6">
        <f t="shared" si="4"/>
        <v>46</v>
      </c>
      <c r="BD4" s="6">
        <f t="shared" si="4"/>
        <v>47</v>
      </c>
      <c r="BE4" s="6">
        <f t="shared" si="4"/>
        <v>48</v>
      </c>
      <c r="BF4" s="6">
        <f t="shared" si="4"/>
        <v>49</v>
      </c>
      <c r="BG4" s="6">
        <f t="shared" si="4"/>
        <v>50</v>
      </c>
      <c r="BH4" s="6">
        <f t="shared" si="4"/>
        <v>51</v>
      </c>
      <c r="BI4" s="6">
        <f t="shared" si="4"/>
        <v>52</v>
      </c>
      <c r="BJ4" s="6">
        <f t="shared" si="4"/>
        <v>53</v>
      </c>
      <c r="BK4" s="6">
        <f t="shared" si="4"/>
        <v>54</v>
      </c>
      <c r="BL4" s="6">
        <f t="shared" si="4"/>
        <v>55</v>
      </c>
      <c r="BM4" s="6">
        <f t="shared" si="4"/>
        <v>56</v>
      </c>
      <c r="BN4" s="6">
        <f t="shared" si="4"/>
        <v>57</v>
      </c>
      <c r="BO4" s="6">
        <f t="shared" si="4"/>
        <v>58</v>
      </c>
      <c r="BP4" s="6">
        <f t="shared" si="4"/>
        <v>59</v>
      </c>
      <c r="BQ4" s="6">
        <f t="shared" si="4"/>
        <v>60</v>
      </c>
      <c r="BR4" s="6">
        <f t="shared" si="4"/>
        <v>61</v>
      </c>
      <c r="BS4" s="6">
        <f t="shared" si="4"/>
        <v>62</v>
      </c>
      <c r="BT4" s="6">
        <f t="shared" si="4"/>
        <v>63</v>
      </c>
      <c r="BU4" s="6">
        <f t="shared" si="4"/>
        <v>64</v>
      </c>
      <c r="BV4" s="6">
        <f t="shared" ref="BV4:DY4" si="5">BU4+1</f>
        <v>65</v>
      </c>
      <c r="BW4" s="6">
        <f t="shared" si="5"/>
        <v>66</v>
      </c>
      <c r="BX4" s="6">
        <f t="shared" si="5"/>
        <v>67</v>
      </c>
      <c r="BY4" s="6">
        <f t="shared" si="5"/>
        <v>68</v>
      </c>
      <c r="BZ4" s="6">
        <f t="shared" si="5"/>
        <v>69</v>
      </c>
      <c r="CA4" s="6">
        <f t="shared" si="5"/>
        <v>70</v>
      </c>
      <c r="CB4" s="6">
        <f t="shared" si="5"/>
        <v>71</v>
      </c>
      <c r="CC4" s="6">
        <f t="shared" si="5"/>
        <v>72</v>
      </c>
      <c r="CD4" s="6">
        <f t="shared" si="5"/>
        <v>73</v>
      </c>
      <c r="CE4" s="6">
        <f t="shared" si="5"/>
        <v>74</v>
      </c>
      <c r="CF4" s="6">
        <f t="shared" si="5"/>
        <v>75</v>
      </c>
      <c r="CG4" s="6">
        <f t="shared" si="5"/>
        <v>76</v>
      </c>
      <c r="CH4" s="6">
        <f t="shared" si="5"/>
        <v>77</v>
      </c>
      <c r="CI4" s="6">
        <f t="shared" si="5"/>
        <v>78</v>
      </c>
      <c r="CJ4" s="6">
        <f t="shared" si="5"/>
        <v>79</v>
      </c>
      <c r="CK4" s="6">
        <f t="shared" si="5"/>
        <v>80</v>
      </c>
      <c r="CL4" s="6">
        <f t="shared" si="5"/>
        <v>81</v>
      </c>
      <c r="CM4" s="6">
        <f t="shared" si="5"/>
        <v>82</v>
      </c>
      <c r="CN4" s="6">
        <f t="shared" si="5"/>
        <v>83</v>
      </c>
      <c r="CO4" s="6">
        <f t="shared" si="5"/>
        <v>84</v>
      </c>
      <c r="CP4" s="6">
        <f t="shared" si="5"/>
        <v>85</v>
      </c>
      <c r="CQ4" s="6">
        <f t="shared" si="5"/>
        <v>86</v>
      </c>
      <c r="CR4" s="6">
        <f t="shared" si="5"/>
        <v>87</v>
      </c>
      <c r="CS4" s="6">
        <f t="shared" si="5"/>
        <v>88</v>
      </c>
      <c r="CT4" s="6">
        <f t="shared" si="5"/>
        <v>89</v>
      </c>
      <c r="CU4" s="6">
        <f t="shared" si="5"/>
        <v>90</v>
      </c>
      <c r="CV4" s="6">
        <f t="shared" si="5"/>
        <v>91</v>
      </c>
      <c r="CW4" s="6">
        <f t="shared" si="5"/>
        <v>92</v>
      </c>
      <c r="CX4" s="6">
        <f t="shared" si="5"/>
        <v>93</v>
      </c>
      <c r="CY4" s="6">
        <f t="shared" si="5"/>
        <v>94</v>
      </c>
      <c r="CZ4" s="6">
        <f t="shared" si="5"/>
        <v>95</v>
      </c>
      <c r="DA4" s="6">
        <f t="shared" si="5"/>
        <v>96</v>
      </c>
      <c r="DB4" s="6">
        <f t="shared" si="5"/>
        <v>97</v>
      </c>
      <c r="DC4" s="6">
        <f t="shared" si="5"/>
        <v>98</v>
      </c>
      <c r="DD4" s="6">
        <f t="shared" si="5"/>
        <v>99</v>
      </c>
      <c r="DE4" s="6">
        <f t="shared" si="5"/>
        <v>100</v>
      </c>
      <c r="DF4" s="6">
        <f t="shared" si="5"/>
        <v>101</v>
      </c>
      <c r="DG4" s="6">
        <f t="shared" si="5"/>
        <v>102</v>
      </c>
      <c r="DH4" s="6">
        <f t="shared" si="5"/>
        <v>103</v>
      </c>
      <c r="DI4" s="6">
        <f t="shared" si="5"/>
        <v>104</v>
      </c>
      <c r="DJ4" s="6">
        <f t="shared" si="5"/>
        <v>105</v>
      </c>
      <c r="DK4" s="6">
        <f t="shared" si="5"/>
        <v>106</v>
      </c>
      <c r="DL4" s="6">
        <f t="shared" si="5"/>
        <v>107</v>
      </c>
      <c r="DM4" s="6">
        <f t="shared" si="5"/>
        <v>108</v>
      </c>
      <c r="DN4" s="6">
        <f t="shared" si="5"/>
        <v>109</v>
      </c>
      <c r="DO4" s="6">
        <f t="shared" si="5"/>
        <v>110</v>
      </c>
      <c r="DP4" s="6">
        <f t="shared" si="5"/>
        <v>111</v>
      </c>
      <c r="DQ4" s="6">
        <f t="shared" si="5"/>
        <v>112</v>
      </c>
      <c r="DR4" s="6">
        <f t="shared" si="5"/>
        <v>113</v>
      </c>
      <c r="DS4" s="6">
        <f t="shared" si="5"/>
        <v>114</v>
      </c>
      <c r="DT4" s="6">
        <f t="shared" si="5"/>
        <v>115</v>
      </c>
      <c r="DU4" s="6">
        <f t="shared" si="5"/>
        <v>116</v>
      </c>
      <c r="DV4" s="6">
        <f t="shared" si="5"/>
        <v>117</v>
      </c>
      <c r="DW4" s="6">
        <f t="shared" si="5"/>
        <v>118</v>
      </c>
      <c r="DX4" s="6">
        <f t="shared" si="5"/>
        <v>119</v>
      </c>
      <c r="DY4" s="6">
        <f t="shared" si="5"/>
        <v>120</v>
      </c>
    </row>
    <row r="5" spans="1:129" ht="15">
      <c r="A5" s="6"/>
      <c r="B5" s="6"/>
      <c r="C5" s="6"/>
      <c r="D5" s="6"/>
      <c r="E5" s="6"/>
      <c r="F5" s="21" t="s">
        <v>48</v>
      </c>
      <c r="G5" s="22">
        <f>SUM(G48,G55,G82)</f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</row>
    <row r="7" spans="1:129" ht="13.8">
      <c r="G7" s="7"/>
      <c r="H7" s="7"/>
    </row>
    <row r="8" spans="1:129">
      <c r="A8" s="8" t="s">
        <v>44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</row>
    <row r="9" spans="1:129">
      <c r="D9" s="10"/>
    </row>
    <row r="10" spans="1:129" ht="15.6">
      <c r="A10" s="9" t="s">
        <v>49</v>
      </c>
    </row>
    <row r="11" spans="1:129" ht="13.8">
      <c r="B11" s="15" t="s">
        <v>21</v>
      </c>
      <c r="C11" s="7"/>
      <c r="D11" s="10"/>
    </row>
    <row r="12" spans="1:129" ht="13.8">
      <c r="C12" s="7" t="s">
        <v>50</v>
      </c>
      <c r="D12" s="10" t="s">
        <v>56</v>
      </c>
      <c r="G12" s="23">
        <f>SUM(I12:DY12)</f>
        <v>4</v>
      </c>
      <c r="I12" s="24">
        <f>1*NOT(ISNA(MATCH(I3,CaseData!$G$27:$J$27,0)))</f>
        <v>0</v>
      </c>
      <c r="J12" s="24">
        <f>1*NOT(ISNA(MATCH(J3,CaseData!$G$27:$J$27,0)))</f>
        <v>0</v>
      </c>
      <c r="K12" s="24">
        <f>1*NOT(ISNA(MATCH(K3,CaseData!$G$27:$J$27,0)))</f>
        <v>0</v>
      </c>
      <c r="L12" s="24">
        <f>1*NOT(ISNA(MATCH(L3,CaseData!$G$27:$J$27,0)))</f>
        <v>0</v>
      </c>
      <c r="M12" s="24">
        <f>1*NOT(ISNA(MATCH(M3,CaseData!$G$27:$J$27,0)))</f>
        <v>0</v>
      </c>
      <c r="N12" s="24">
        <f>1*NOT(ISNA(MATCH(N3,CaseData!$G$27:$J$27,0)))</f>
        <v>0</v>
      </c>
      <c r="O12" s="24">
        <f>1*NOT(ISNA(MATCH(O3,CaseData!$G$27:$J$27,0)))</f>
        <v>0</v>
      </c>
      <c r="P12" s="24">
        <f>1*NOT(ISNA(MATCH(P3,CaseData!$G$27:$J$27,0)))</f>
        <v>0</v>
      </c>
      <c r="Q12" s="24">
        <f>1*NOT(ISNA(MATCH(Q3,CaseData!$G$27:$J$27,0)))</f>
        <v>0</v>
      </c>
      <c r="R12" s="24">
        <f>1*NOT(ISNA(MATCH(R3,CaseData!$G$27:$J$27,0)))</f>
        <v>0</v>
      </c>
      <c r="S12" s="24">
        <f>1*NOT(ISNA(MATCH(S3,CaseData!$G$27:$J$27,0)))</f>
        <v>0</v>
      </c>
      <c r="T12" s="24">
        <f>1*NOT(ISNA(MATCH(T3,CaseData!$G$27:$J$27,0)))</f>
        <v>0</v>
      </c>
      <c r="U12" s="24">
        <f>1*NOT(ISNA(MATCH(U3,CaseData!$G$27:$J$27,0)))</f>
        <v>0</v>
      </c>
      <c r="V12" s="24">
        <f>1*NOT(ISNA(MATCH(V3,CaseData!$G$27:$J$27,0)))</f>
        <v>0</v>
      </c>
      <c r="W12" s="24">
        <f>1*NOT(ISNA(MATCH(W3,CaseData!$G$27:$J$27,0)))</f>
        <v>0</v>
      </c>
      <c r="X12" s="24">
        <f>1*NOT(ISNA(MATCH(X3,CaseData!$G$27:$J$27,0)))</f>
        <v>0</v>
      </c>
      <c r="Y12" s="24">
        <f>1*NOT(ISNA(MATCH(Y3,CaseData!$G$27:$J$27,0)))</f>
        <v>0</v>
      </c>
      <c r="Z12" s="24">
        <f>1*NOT(ISNA(MATCH(Z3,CaseData!$G$27:$J$27,0)))</f>
        <v>0</v>
      </c>
      <c r="AA12" s="24">
        <f>1*NOT(ISNA(MATCH(AA3,CaseData!$G$27:$J$27,0)))</f>
        <v>0</v>
      </c>
      <c r="AB12" s="24">
        <f>1*NOT(ISNA(MATCH(AB3,CaseData!$G$27:$J$27,0)))</f>
        <v>0</v>
      </c>
      <c r="AC12" s="24">
        <f>1*NOT(ISNA(MATCH(AC3,CaseData!$G$27:$J$27,0)))</f>
        <v>1</v>
      </c>
      <c r="AD12" s="24">
        <f>1*NOT(ISNA(MATCH(AD3,CaseData!$G$27:$J$27,0)))</f>
        <v>0</v>
      </c>
      <c r="AE12" s="24">
        <f>1*NOT(ISNA(MATCH(AE3,CaseData!$G$27:$J$27,0)))</f>
        <v>0</v>
      </c>
      <c r="AF12" s="24">
        <f>1*NOT(ISNA(MATCH(AF3,CaseData!$G$27:$J$27,0)))</f>
        <v>0</v>
      </c>
      <c r="AG12" s="24">
        <f>1*NOT(ISNA(MATCH(AG3,CaseData!$G$27:$J$27,0)))</f>
        <v>0</v>
      </c>
      <c r="AH12" s="24">
        <f>1*NOT(ISNA(MATCH(AH3,CaseData!$G$27:$J$27,0)))</f>
        <v>0</v>
      </c>
      <c r="AI12" s="24">
        <f>1*NOT(ISNA(MATCH(AI3,CaseData!$G$27:$J$27,0)))</f>
        <v>0</v>
      </c>
      <c r="AJ12" s="24">
        <f>1*NOT(ISNA(MATCH(AJ3,CaseData!$G$27:$J$27,0)))</f>
        <v>0</v>
      </c>
      <c r="AK12" s="24">
        <f>1*NOT(ISNA(MATCH(AK3,CaseData!$G$27:$J$27,0)))</f>
        <v>0</v>
      </c>
      <c r="AL12" s="24">
        <f>1*NOT(ISNA(MATCH(AL3,CaseData!$G$27:$J$27,0)))</f>
        <v>0</v>
      </c>
      <c r="AM12" s="24">
        <f>1*NOT(ISNA(MATCH(AM3,CaseData!$G$27:$J$27,0)))</f>
        <v>0</v>
      </c>
      <c r="AN12" s="24">
        <f>1*NOT(ISNA(MATCH(AN3,CaseData!$G$27:$J$27,0)))</f>
        <v>0</v>
      </c>
      <c r="AO12" s="24">
        <f>1*NOT(ISNA(MATCH(AO3,CaseData!$G$27:$J$27,0)))</f>
        <v>0</v>
      </c>
      <c r="AP12" s="24">
        <f>1*NOT(ISNA(MATCH(AP3,CaseData!$G$27:$J$27,0)))</f>
        <v>0</v>
      </c>
      <c r="AQ12" s="24">
        <f>1*NOT(ISNA(MATCH(AQ3,CaseData!$G$27:$J$27,0)))</f>
        <v>0</v>
      </c>
      <c r="AR12" s="24">
        <f>1*NOT(ISNA(MATCH(AR3,CaseData!$G$27:$J$27,0)))</f>
        <v>0</v>
      </c>
      <c r="AS12" s="24">
        <f>1*NOT(ISNA(MATCH(AS3,CaseData!$G$27:$J$27,0)))</f>
        <v>0</v>
      </c>
      <c r="AT12" s="24">
        <f>1*NOT(ISNA(MATCH(AT3,CaseData!$G$27:$J$27,0)))</f>
        <v>0</v>
      </c>
      <c r="AU12" s="24">
        <f>1*NOT(ISNA(MATCH(AU3,CaseData!$G$27:$J$27,0)))</f>
        <v>0</v>
      </c>
      <c r="AV12" s="24">
        <f>1*NOT(ISNA(MATCH(AV3,CaseData!$G$27:$J$27,0)))</f>
        <v>0</v>
      </c>
      <c r="AW12" s="24">
        <f>1*NOT(ISNA(MATCH(AW3,CaseData!$G$27:$J$27,0)))</f>
        <v>1</v>
      </c>
      <c r="AX12" s="24">
        <f>1*NOT(ISNA(MATCH(AX3,CaseData!$G$27:$J$27,0)))</f>
        <v>0</v>
      </c>
      <c r="AY12" s="24">
        <f>1*NOT(ISNA(MATCH(AY3,CaseData!$G$27:$J$27,0)))</f>
        <v>0</v>
      </c>
      <c r="AZ12" s="24">
        <f>1*NOT(ISNA(MATCH(AZ3,CaseData!$G$27:$J$27,0)))</f>
        <v>0</v>
      </c>
      <c r="BA12" s="24">
        <f>1*NOT(ISNA(MATCH(BA3,CaseData!$G$27:$J$27,0)))</f>
        <v>0</v>
      </c>
      <c r="BB12" s="24">
        <f>1*NOT(ISNA(MATCH(BB3,CaseData!$G$27:$J$27,0)))</f>
        <v>0</v>
      </c>
      <c r="BC12" s="24">
        <f>1*NOT(ISNA(MATCH(BC3,CaseData!$G$27:$J$27,0)))</f>
        <v>0</v>
      </c>
      <c r="BD12" s="24">
        <f>1*NOT(ISNA(MATCH(BD3,CaseData!$G$27:$J$27,0)))</f>
        <v>0</v>
      </c>
      <c r="BE12" s="24">
        <f>1*NOT(ISNA(MATCH(BE3,CaseData!$G$27:$J$27,0)))</f>
        <v>0</v>
      </c>
      <c r="BF12" s="24">
        <f>1*NOT(ISNA(MATCH(BF3,CaseData!$G$27:$J$27,0)))</f>
        <v>0</v>
      </c>
      <c r="BG12" s="24">
        <f>1*NOT(ISNA(MATCH(BG3,CaseData!$G$27:$J$27,0)))</f>
        <v>0</v>
      </c>
      <c r="BH12" s="24">
        <f>1*NOT(ISNA(MATCH(BH3,CaseData!$G$27:$J$27,0)))</f>
        <v>0</v>
      </c>
      <c r="BI12" s="24">
        <f>1*NOT(ISNA(MATCH(BI3,CaseData!$G$27:$J$27,0)))</f>
        <v>0</v>
      </c>
      <c r="BJ12" s="24">
        <f>1*NOT(ISNA(MATCH(BJ3,CaseData!$G$27:$J$27,0)))</f>
        <v>0</v>
      </c>
      <c r="BK12" s="24">
        <f>1*NOT(ISNA(MATCH(BK3,CaseData!$G$27:$J$27,0)))</f>
        <v>0</v>
      </c>
      <c r="BL12" s="24">
        <f>1*NOT(ISNA(MATCH(BL3,CaseData!$G$27:$J$27,0)))</f>
        <v>0</v>
      </c>
      <c r="BM12" s="24">
        <f>1*NOT(ISNA(MATCH(BM3,CaseData!$G$27:$J$27,0)))</f>
        <v>0</v>
      </c>
      <c r="BN12" s="24">
        <f>1*NOT(ISNA(MATCH(BN3,CaseData!$G$27:$J$27,0)))</f>
        <v>0</v>
      </c>
      <c r="BO12" s="24">
        <f>1*NOT(ISNA(MATCH(BO3,CaseData!$G$27:$J$27,0)))</f>
        <v>0</v>
      </c>
      <c r="BP12" s="24">
        <f>1*NOT(ISNA(MATCH(BP3,CaseData!$G$27:$J$27,0)))</f>
        <v>0</v>
      </c>
      <c r="BQ12" s="24">
        <f>1*NOT(ISNA(MATCH(BQ3,CaseData!$G$27:$J$27,0)))</f>
        <v>1</v>
      </c>
      <c r="BR12" s="24">
        <f>1*NOT(ISNA(MATCH(BR3,CaseData!$G$27:$J$27,0)))</f>
        <v>0</v>
      </c>
      <c r="BS12" s="24">
        <f>1*NOT(ISNA(MATCH(BS3,CaseData!$G$27:$J$27,0)))</f>
        <v>0</v>
      </c>
      <c r="BT12" s="24">
        <f>1*NOT(ISNA(MATCH(BT3,CaseData!$G$27:$J$27,0)))</f>
        <v>0</v>
      </c>
      <c r="BU12" s="24">
        <f>1*NOT(ISNA(MATCH(BU3,CaseData!$G$27:$J$27,0)))</f>
        <v>0</v>
      </c>
      <c r="BV12" s="24">
        <f>1*NOT(ISNA(MATCH(BV3,CaseData!$G$27:$J$27,0)))</f>
        <v>0</v>
      </c>
      <c r="BW12" s="24">
        <f>1*NOT(ISNA(MATCH(BW3,CaseData!$G$27:$J$27,0)))</f>
        <v>0</v>
      </c>
      <c r="BX12" s="24">
        <f>1*NOT(ISNA(MATCH(BX3,CaseData!$G$27:$J$27,0)))</f>
        <v>0</v>
      </c>
      <c r="BY12" s="24">
        <f>1*NOT(ISNA(MATCH(BY3,CaseData!$G$27:$J$27,0)))</f>
        <v>0</v>
      </c>
      <c r="BZ12" s="24">
        <f>1*NOT(ISNA(MATCH(BZ3,CaseData!$G$27:$J$27,0)))</f>
        <v>0</v>
      </c>
      <c r="CA12" s="24">
        <f>1*NOT(ISNA(MATCH(CA3,CaseData!$G$27:$J$27,0)))</f>
        <v>0</v>
      </c>
      <c r="CB12" s="24">
        <f>1*NOT(ISNA(MATCH(CB3,CaseData!$G$27:$J$27,0)))</f>
        <v>0</v>
      </c>
      <c r="CC12" s="24">
        <f>1*NOT(ISNA(MATCH(CC3,CaseData!$G$27:$J$27,0)))</f>
        <v>0</v>
      </c>
      <c r="CD12" s="24">
        <f>1*NOT(ISNA(MATCH(CD3,CaseData!$G$27:$J$27,0)))</f>
        <v>0</v>
      </c>
      <c r="CE12" s="24">
        <f>1*NOT(ISNA(MATCH(CE3,CaseData!$G$27:$J$27,0)))</f>
        <v>0</v>
      </c>
      <c r="CF12" s="24">
        <f>1*NOT(ISNA(MATCH(CF3,CaseData!$G$27:$J$27,0)))</f>
        <v>0</v>
      </c>
      <c r="CG12" s="24">
        <f>1*NOT(ISNA(MATCH(CG3,CaseData!$G$27:$J$27,0)))</f>
        <v>0</v>
      </c>
      <c r="CH12" s="24">
        <f>1*NOT(ISNA(MATCH(CH3,CaseData!$G$27:$J$27,0)))</f>
        <v>0</v>
      </c>
      <c r="CI12" s="24">
        <f>1*NOT(ISNA(MATCH(CI3,CaseData!$G$27:$J$27,0)))</f>
        <v>0</v>
      </c>
      <c r="CJ12" s="24">
        <f>1*NOT(ISNA(MATCH(CJ3,CaseData!$G$27:$J$27,0)))</f>
        <v>0</v>
      </c>
      <c r="CK12" s="24">
        <f>1*NOT(ISNA(MATCH(CK3,CaseData!$G$27:$J$27,0)))</f>
        <v>1</v>
      </c>
      <c r="CL12" s="24">
        <f>1*NOT(ISNA(MATCH(CL3,CaseData!$G$27:$J$27,0)))</f>
        <v>0</v>
      </c>
      <c r="CM12" s="24">
        <f>1*NOT(ISNA(MATCH(CM3,CaseData!$G$27:$J$27,0)))</f>
        <v>0</v>
      </c>
      <c r="CN12" s="24">
        <f>1*NOT(ISNA(MATCH(CN3,CaseData!$G$27:$J$27,0)))</f>
        <v>0</v>
      </c>
      <c r="CO12" s="24">
        <f>1*NOT(ISNA(MATCH(CO3,CaseData!$G$27:$J$27,0)))</f>
        <v>0</v>
      </c>
      <c r="CP12" s="24">
        <f>1*NOT(ISNA(MATCH(CP3,CaseData!$G$27:$J$27,0)))</f>
        <v>0</v>
      </c>
      <c r="CQ12" s="24">
        <f>1*NOT(ISNA(MATCH(CQ3,CaseData!$G$27:$J$27,0)))</f>
        <v>0</v>
      </c>
      <c r="CR12" s="24">
        <f>1*NOT(ISNA(MATCH(CR3,CaseData!$G$27:$J$27,0)))</f>
        <v>0</v>
      </c>
      <c r="CS12" s="24">
        <f>1*NOT(ISNA(MATCH(CS3,CaseData!$G$27:$J$27,0)))</f>
        <v>0</v>
      </c>
      <c r="CT12" s="24">
        <f>1*NOT(ISNA(MATCH(CT3,CaseData!$G$27:$J$27,0)))</f>
        <v>0</v>
      </c>
      <c r="CU12" s="24">
        <f>1*NOT(ISNA(MATCH(CU3,CaseData!$G$27:$J$27,0)))</f>
        <v>0</v>
      </c>
      <c r="CV12" s="24">
        <f>1*NOT(ISNA(MATCH(CV3,CaseData!$G$27:$J$27,0)))</f>
        <v>0</v>
      </c>
      <c r="CW12" s="24">
        <f>1*NOT(ISNA(MATCH(CW3,CaseData!$G$27:$J$27,0)))</f>
        <v>0</v>
      </c>
      <c r="CX12" s="24">
        <f>1*NOT(ISNA(MATCH(CX3,CaseData!$G$27:$J$27,0)))</f>
        <v>0</v>
      </c>
      <c r="CY12" s="24">
        <f>1*NOT(ISNA(MATCH(CY3,CaseData!$G$27:$J$27,0)))</f>
        <v>0</v>
      </c>
      <c r="CZ12" s="24">
        <f>1*NOT(ISNA(MATCH(CZ3,CaseData!$G$27:$J$27,0)))</f>
        <v>0</v>
      </c>
      <c r="DA12" s="24">
        <f>1*NOT(ISNA(MATCH(DA3,CaseData!$G$27:$J$27,0)))</f>
        <v>0</v>
      </c>
      <c r="DB12" s="24">
        <f>1*NOT(ISNA(MATCH(DB3,CaseData!$G$27:$J$27,0)))</f>
        <v>0</v>
      </c>
      <c r="DC12" s="24">
        <f>1*NOT(ISNA(MATCH(DC3,CaseData!$G$27:$J$27,0)))</f>
        <v>0</v>
      </c>
      <c r="DD12" s="24">
        <f>1*NOT(ISNA(MATCH(DD3,CaseData!$G$27:$J$27,0)))</f>
        <v>0</v>
      </c>
      <c r="DE12" s="24">
        <f>1*NOT(ISNA(MATCH(DE3,CaseData!$G$27:$J$27,0)))</f>
        <v>0</v>
      </c>
      <c r="DF12" s="24">
        <f>1*NOT(ISNA(MATCH(DF3,CaseData!$G$27:$J$27,0)))</f>
        <v>0</v>
      </c>
      <c r="DG12" s="24">
        <f>1*NOT(ISNA(MATCH(DG3,CaseData!$G$27:$J$27,0)))</f>
        <v>0</v>
      </c>
      <c r="DH12" s="24">
        <f>1*NOT(ISNA(MATCH(DH3,CaseData!$G$27:$J$27,0)))</f>
        <v>0</v>
      </c>
      <c r="DI12" s="24">
        <f>1*NOT(ISNA(MATCH(DI3,CaseData!$G$27:$J$27,0)))</f>
        <v>0</v>
      </c>
      <c r="DJ12" s="24">
        <f>1*NOT(ISNA(MATCH(DJ3,CaseData!$G$27:$J$27,0)))</f>
        <v>0</v>
      </c>
      <c r="DK12" s="24">
        <f>1*NOT(ISNA(MATCH(DK3,CaseData!$G$27:$J$27,0)))</f>
        <v>0</v>
      </c>
      <c r="DL12" s="24">
        <f>1*NOT(ISNA(MATCH(DL3,CaseData!$G$27:$J$27,0)))</f>
        <v>0</v>
      </c>
      <c r="DM12" s="24">
        <f>1*NOT(ISNA(MATCH(DM3,CaseData!$G$27:$J$27,0)))</f>
        <v>0</v>
      </c>
      <c r="DN12" s="24">
        <f>1*NOT(ISNA(MATCH(DN3,CaseData!$G$27:$J$27,0)))</f>
        <v>0</v>
      </c>
      <c r="DO12" s="24">
        <f>1*NOT(ISNA(MATCH(DO3,CaseData!$G$27:$J$27,0)))</f>
        <v>0</v>
      </c>
      <c r="DP12" s="24">
        <f>1*NOT(ISNA(MATCH(DP3,CaseData!$G$27:$J$27,0)))</f>
        <v>0</v>
      </c>
      <c r="DQ12" s="24">
        <f>1*NOT(ISNA(MATCH(DQ3,CaseData!$G$27:$J$27,0)))</f>
        <v>0</v>
      </c>
      <c r="DR12" s="24">
        <f>1*NOT(ISNA(MATCH(DR3,CaseData!$G$27:$J$27,0)))</f>
        <v>0</v>
      </c>
      <c r="DS12" s="24">
        <f>1*NOT(ISNA(MATCH(DS3,CaseData!$G$27:$J$27,0)))</f>
        <v>0</v>
      </c>
      <c r="DT12" s="24">
        <f>1*NOT(ISNA(MATCH(DT3,CaseData!$G$27:$J$27,0)))</f>
        <v>0</v>
      </c>
      <c r="DU12" s="24">
        <f>1*NOT(ISNA(MATCH(DU3,CaseData!$G$27:$J$27,0)))</f>
        <v>0</v>
      </c>
      <c r="DV12" s="24">
        <f>1*NOT(ISNA(MATCH(DV3,CaseData!$G$27:$J$27,0)))</f>
        <v>0</v>
      </c>
      <c r="DW12" s="24">
        <f>1*NOT(ISNA(MATCH(DW3,CaseData!$G$27:$J$27,0)))</f>
        <v>0</v>
      </c>
      <c r="DX12" s="24">
        <f>1*NOT(ISNA(MATCH(DX3,CaseData!$G$27:$J$27,0)))</f>
        <v>0</v>
      </c>
      <c r="DY12" s="24">
        <f>1*NOT(ISNA(MATCH(DY3,CaseData!$G$27:$J$27,0)))</f>
        <v>0</v>
      </c>
    </row>
    <row r="13" spans="1:129" ht="13.8">
      <c r="C13" s="7" t="s">
        <v>51</v>
      </c>
      <c r="D13" s="10" t="s">
        <v>1</v>
      </c>
      <c r="G13" s="23">
        <f>SUM(I13:DY13)</f>
        <v>280</v>
      </c>
      <c r="I13" s="3">
        <f t="shared" ref="I13:BT13" si="6">H13+H12</f>
        <v>0</v>
      </c>
      <c r="J13" s="3">
        <f t="shared" si="6"/>
        <v>0</v>
      </c>
      <c r="K13" s="3">
        <f t="shared" si="6"/>
        <v>0</v>
      </c>
      <c r="L13" s="3">
        <f t="shared" si="6"/>
        <v>0</v>
      </c>
      <c r="M13" s="3">
        <f t="shared" si="6"/>
        <v>0</v>
      </c>
      <c r="N13" s="3">
        <f t="shared" si="6"/>
        <v>0</v>
      </c>
      <c r="O13" s="3">
        <f t="shared" si="6"/>
        <v>0</v>
      </c>
      <c r="P13" s="3">
        <f t="shared" si="6"/>
        <v>0</v>
      </c>
      <c r="Q13" s="3">
        <f t="shared" si="6"/>
        <v>0</v>
      </c>
      <c r="R13" s="3">
        <f t="shared" si="6"/>
        <v>0</v>
      </c>
      <c r="S13" s="3">
        <f t="shared" si="6"/>
        <v>0</v>
      </c>
      <c r="T13" s="3">
        <f t="shared" si="6"/>
        <v>0</v>
      </c>
      <c r="U13" s="3">
        <f t="shared" si="6"/>
        <v>0</v>
      </c>
      <c r="V13" s="3">
        <f t="shared" si="6"/>
        <v>0</v>
      </c>
      <c r="W13" s="3">
        <f t="shared" si="6"/>
        <v>0</v>
      </c>
      <c r="X13" s="3">
        <f t="shared" si="6"/>
        <v>0</v>
      </c>
      <c r="Y13" s="3">
        <f t="shared" si="6"/>
        <v>0</v>
      </c>
      <c r="Z13" s="3">
        <f t="shared" si="6"/>
        <v>0</v>
      </c>
      <c r="AA13" s="3">
        <f t="shared" si="6"/>
        <v>0</v>
      </c>
      <c r="AB13" s="3">
        <f t="shared" si="6"/>
        <v>0</v>
      </c>
      <c r="AC13" s="3">
        <f t="shared" si="6"/>
        <v>0</v>
      </c>
      <c r="AD13" s="3">
        <f t="shared" si="6"/>
        <v>1</v>
      </c>
      <c r="AE13" s="3">
        <f t="shared" si="6"/>
        <v>1</v>
      </c>
      <c r="AF13" s="3">
        <f t="shared" si="6"/>
        <v>1</v>
      </c>
      <c r="AG13" s="3">
        <f t="shared" si="6"/>
        <v>1</v>
      </c>
      <c r="AH13" s="3">
        <f t="shared" si="6"/>
        <v>1</v>
      </c>
      <c r="AI13" s="3">
        <f t="shared" si="6"/>
        <v>1</v>
      </c>
      <c r="AJ13" s="3">
        <f t="shared" si="6"/>
        <v>1</v>
      </c>
      <c r="AK13" s="3">
        <f t="shared" si="6"/>
        <v>1</v>
      </c>
      <c r="AL13" s="3">
        <f t="shared" si="6"/>
        <v>1</v>
      </c>
      <c r="AM13" s="3">
        <f t="shared" si="6"/>
        <v>1</v>
      </c>
      <c r="AN13" s="3">
        <f t="shared" si="6"/>
        <v>1</v>
      </c>
      <c r="AO13" s="3">
        <f t="shared" si="6"/>
        <v>1</v>
      </c>
      <c r="AP13" s="3">
        <f t="shared" si="6"/>
        <v>1</v>
      </c>
      <c r="AQ13" s="3">
        <f t="shared" si="6"/>
        <v>1</v>
      </c>
      <c r="AR13" s="3">
        <f t="shared" si="6"/>
        <v>1</v>
      </c>
      <c r="AS13" s="3">
        <f t="shared" si="6"/>
        <v>1</v>
      </c>
      <c r="AT13" s="3">
        <f t="shared" si="6"/>
        <v>1</v>
      </c>
      <c r="AU13" s="3">
        <f t="shared" si="6"/>
        <v>1</v>
      </c>
      <c r="AV13" s="3">
        <f t="shared" si="6"/>
        <v>1</v>
      </c>
      <c r="AW13" s="3">
        <f t="shared" si="6"/>
        <v>1</v>
      </c>
      <c r="AX13" s="3">
        <f t="shared" si="6"/>
        <v>2</v>
      </c>
      <c r="AY13" s="3">
        <f t="shared" si="6"/>
        <v>2</v>
      </c>
      <c r="AZ13" s="3">
        <f t="shared" si="6"/>
        <v>2</v>
      </c>
      <c r="BA13" s="3">
        <f t="shared" si="6"/>
        <v>2</v>
      </c>
      <c r="BB13" s="3">
        <f t="shared" si="6"/>
        <v>2</v>
      </c>
      <c r="BC13" s="3">
        <f t="shared" si="6"/>
        <v>2</v>
      </c>
      <c r="BD13" s="3">
        <f t="shared" si="6"/>
        <v>2</v>
      </c>
      <c r="BE13" s="3">
        <f t="shared" si="6"/>
        <v>2</v>
      </c>
      <c r="BF13" s="3">
        <f t="shared" si="6"/>
        <v>2</v>
      </c>
      <c r="BG13" s="3">
        <f t="shared" si="6"/>
        <v>2</v>
      </c>
      <c r="BH13" s="3">
        <f t="shared" si="6"/>
        <v>2</v>
      </c>
      <c r="BI13" s="3">
        <f t="shared" si="6"/>
        <v>2</v>
      </c>
      <c r="BJ13" s="3">
        <f t="shared" si="6"/>
        <v>2</v>
      </c>
      <c r="BK13" s="3">
        <f t="shared" si="6"/>
        <v>2</v>
      </c>
      <c r="BL13" s="3">
        <f t="shared" si="6"/>
        <v>2</v>
      </c>
      <c r="BM13" s="3">
        <f t="shared" si="6"/>
        <v>2</v>
      </c>
      <c r="BN13" s="3">
        <f t="shared" si="6"/>
        <v>2</v>
      </c>
      <c r="BO13" s="3">
        <f t="shared" si="6"/>
        <v>2</v>
      </c>
      <c r="BP13" s="3">
        <f t="shared" si="6"/>
        <v>2</v>
      </c>
      <c r="BQ13" s="3">
        <f t="shared" si="6"/>
        <v>2</v>
      </c>
      <c r="BR13" s="3">
        <f t="shared" si="6"/>
        <v>3</v>
      </c>
      <c r="BS13" s="3">
        <f t="shared" si="6"/>
        <v>3</v>
      </c>
      <c r="BT13" s="3">
        <f t="shared" si="6"/>
        <v>3</v>
      </c>
      <c r="BU13" s="3">
        <f t="shared" ref="BU13:DY13" si="7">BT13+BT12</f>
        <v>3</v>
      </c>
      <c r="BV13" s="3">
        <f t="shared" si="7"/>
        <v>3</v>
      </c>
      <c r="BW13" s="3">
        <f t="shared" si="7"/>
        <v>3</v>
      </c>
      <c r="BX13" s="3">
        <f t="shared" si="7"/>
        <v>3</v>
      </c>
      <c r="BY13" s="3">
        <f t="shared" si="7"/>
        <v>3</v>
      </c>
      <c r="BZ13" s="3">
        <f t="shared" si="7"/>
        <v>3</v>
      </c>
      <c r="CA13" s="3">
        <f t="shared" si="7"/>
        <v>3</v>
      </c>
      <c r="CB13" s="3">
        <f t="shared" si="7"/>
        <v>3</v>
      </c>
      <c r="CC13" s="3">
        <f t="shared" si="7"/>
        <v>3</v>
      </c>
      <c r="CD13" s="3">
        <f t="shared" si="7"/>
        <v>3</v>
      </c>
      <c r="CE13" s="3">
        <f t="shared" si="7"/>
        <v>3</v>
      </c>
      <c r="CF13" s="3">
        <f t="shared" si="7"/>
        <v>3</v>
      </c>
      <c r="CG13" s="3">
        <f t="shared" si="7"/>
        <v>3</v>
      </c>
      <c r="CH13" s="3">
        <f t="shared" si="7"/>
        <v>3</v>
      </c>
      <c r="CI13" s="3">
        <f t="shared" si="7"/>
        <v>3</v>
      </c>
      <c r="CJ13" s="3">
        <f t="shared" si="7"/>
        <v>3</v>
      </c>
      <c r="CK13" s="3">
        <f t="shared" si="7"/>
        <v>3</v>
      </c>
      <c r="CL13" s="3">
        <f t="shared" si="7"/>
        <v>4</v>
      </c>
      <c r="CM13" s="3">
        <f t="shared" si="7"/>
        <v>4</v>
      </c>
      <c r="CN13" s="3">
        <f t="shared" si="7"/>
        <v>4</v>
      </c>
      <c r="CO13" s="3">
        <f t="shared" si="7"/>
        <v>4</v>
      </c>
      <c r="CP13" s="3">
        <f t="shared" si="7"/>
        <v>4</v>
      </c>
      <c r="CQ13" s="3">
        <f t="shared" si="7"/>
        <v>4</v>
      </c>
      <c r="CR13" s="3">
        <f t="shared" si="7"/>
        <v>4</v>
      </c>
      <c r="CS13" s="3">
        <f t="shared" si="7"/>
        <v>4</v>
      </c>
      <c r="CT13" s="3">
        <f t="shared" si="7"/>
        <v>4</v>
      </c>
      <c r="CU13" s="3">
        <f t="shared" si="7"/>
        <v>4</v>
      </c>
      <c r="CV13" s="3">
        <f t="shared" si="7"/>
        <v>4</v>
      </c>
      <c r="CW13" s="3">
        <f t="shared" si="7"/>
        <v>4</v>
      </c>
      <c r="CX13" s="3">
        <f t="shared" si="7"/>
        <v>4</v>
      </c>
      <c r="CY13" s="3">
        <f t="shared" si="7"/>
        <v>4</v>
      </c>
      <c r="CZ13" s="3">
        <f t="shared" si="7"/>
        <v>4</v>
      </c>
      <c r="DA13" s="3">
        <f t="shared" si="7"/>
        <v>4</v>
      </c>
      <c r="DB13" s="3">
        <f t="shared" si="7"/>
        <v>4</v>
      </c>
      <c r="DC13" s="3">
        <f t="shared" si="7"/>
        <v>4</v>
      </c>
      <c r="DD13" s="3">
        <f t="shared" si="7"/>
        <v>4</v>
      </c>
      <c r="DE13" s="3">
        <f t="shared" si="7"/>
        <v>4</v>
      </c>
      <c r="DF13" s="3">
        <f t="shared" si="7"/>
        <v>4</v>
      </c>
      <c r="DG13" s="3">
        <f t="shared" si="7"/>
        <v>4</v>
      </c>
      <c r="DH13" s="3">
        <f t="shared" si="7"/>
        <v>4</v>
      </c>
      <c r="DI13" s="3">
        <f t="shared" si="7"/>
        <v>4</v>
      </c>
      <c r="DJ13" s="3">
        <f t="shared" si="7"/>
        <v>4</v>
      </c>
      <c r="DK13" s="3">
        <f t="shared" si="7"/>
        <v>4</v>
      </c>
      <c r="DL13" s="3">
        <f t="shared" si="7"/>
        <v>4</v>
      </c>
      <c r="DM13" s="3">
        <f t="shared" si="7"/>
        <v>4</v>
      </c>
      <c r="DN13" s="3">
        <f t="shared" si="7"/>
        <v>4</v>
      </c>
      <c r="DO13" s="3">
        <f t="shared" si="7"/>
        <v>4</v>
      </c>
      <c r="DP13" s="3">
        <f t="shared" si="7"/>
        <v>4</v>
      </c>
      <c r="DQ13" s="3">
        <f t="shared" si="7"/>
        <v>4</v>
      </c>
      <c r="DR13" s="3">
        <f t="shared" si="7"/>
        <v>4</v>
      </c>
      <c r="DS13" s="3">
        <f t="shared" si="7"/>
        <v>4</v>
      </c>
      <c r="DT13" s="3">
        <f t="shared" si="7"/>
        <v>4</v>
      </c>
      <c r="DU13" s="3">
        <f t="shared" si="7"/>
        <v>4</v>
      </c>
      <c r="DV13" s="3">
        <f t="shared" si="7"/>
        <v>4</v>
      </c>
      <c r="DW13" s="3">
        <f t="shared" si="7"/>
        <v>4</v>
      </c>
      <c r="DX13" s="3">
        <f t="shared" si="7"/>
        <v>4</v>
      </c>
      <c r="DY13" s="3">
        <f t="shared" si="7"/>
        <v>4</v>
      </c>
    </row>
    <row r="14" spans="1:129" ht="13.8">
      <c r="C14" s="7" t="s">
        <v>52</v>
      </c>
      <c r="D14" s="10" t="s">
        <v>1</v>
      </c>
      <c r="I14" s="3">
        <f t="shared" ref="I14:BT14" si="8">I12*(I12+I13)</f>
        <v>0</v>
      </c>
      <c r="J14" s="3">
        <f t="shared" si="8"/>
        <v>0</v>
      </c>
      <c r="K14" s="3">
        <f t="shared" si="8"/>
        <v>0</v>
      </c>
      <c r="L14" s="3">
        <f t="shared" si="8"/>
        <v>0</v>
      </c>
      <c r="M14" s="3">
        <f t="shared" si="8"/>
        <v>0</v>
      </c>
      <c r="N14" s="3">
        <f t="shared" si="8"/>
        <v>0</v>
      </c>
      <c r="O14" s="3">
        <f t="shared" si="8"/>
        <v>0</v>
      </c>
      <c r="P14" s="3">
        <f t="shared" si="8"/>
        <v>0</v>
      </c>
      <c r="Q14" s="3">
        <f t="shared" si="8"/>
        <v>0</v>
      </c>
      <c r="R14" s="3">
        <f t="shared" si="8"/>
        <v>0</v>
      </c>
      <c r="S14" s="3">
        <f t="shared" si="8"/>
        <v>0</v>
      </c>
      <c r="T14" s="3">
        <f t="shared" si="8"/>
        <v>0</v>
      </c>
      <c r="U14" s="3">
        <f t="shared" si="8"/>
        <v>0</v>
      </c>
      <c r="V14" s="3">
        <f t="shared" si="8"/>
        <v>0</v>
      </c>
      <c r="W14" s="3">
        <f t="shared" si="8"/>
        <v>0</v>
      </c>
      <c r="X14" s="3">
        <f t="shared" si="8"/>
        <v>0</v>
      </c>
      <c r="Y14" s="3">
        <f t="shared" si="8"/>
        <v>0</v>
      </c>
      <c r="Z14" s="3">
        <f t="shared" si="8"/>
        <v>0</v>
      </c>
      <c r="AA14" s="3">
        <f t="shared" si="8"/>
        <v>0</v>
      </c>
      <c r="AB14" s="3">
        <f t="shared" si="8"/>
        <v>0</v>
      </c>
      <c r="AC14" s="3">
        <f t="shared" si="8"/>
        <v>1</v>
      </c>
      <c r="AD14" s="3">
        <f t="shared" si="8"/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3">
        <f t="shared" si="8"/>
        <v>0</v>
      </c>
      <c r="AI14" s="3">
        <f t="shared" si="8"/>
        <v>0</v>
      </c>
      <c r="AJ14" s="3">
        <f t="shared" si="8"/>
        <v>0</v>
      </c>
      <c r="AK14" s="3">
        <f t="shared" si="8"/>
        <v>0</v>
      </c>
      <c r="AL14" s="3">
        <f t="shared" si="8"/>
        <v>0</v>
      </c>
      <c r="AM14" s="3">
        <f t="shared" si="8"/>
        <v>0</v>
      </c>
      <c r="AN14" s="3">
        <f t="shared" si="8"/>
        <v>0</v>
      </c>
      <c r="AO14" s="3">
        <f t="shared" si="8"/>
        <v>0</v>
      </c>
      <c r="AP14" s="3">
        <f t="shared" si="8"/>
        <v>0</v>
      </c>
      <c r="AQ14" s="3">
        <f t="shared" si="8"/>
        <v>0</v>
      </c>
      <c r="AR14" s="3">
        <f t="shared" si="8"/>
        <v>0</v>
      </c>
      <c r="AS14" s="3">
        <f t="shared" si="8"/>
        <v>0</v>
      </c>
      <c r="AT14" s="3">
        <f t="shared" si="8"/>
        <v>0</v>
      </c>
      <c r="AU14" s="3">
        <f t="shared" si="8"/>
        <v>0</v>
      </c>
      <c r="AV14" s="3">
        <f t="shared" si="8"/>
        <v>0</v>
      </c>
      <c r="AW14" s="3">
        <f t="shared" si="8"/>
        <v>2</v>
      </c>
      <c r="AX14" s="3">
        <f t="shared" si="8"/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3">
        <f t="shared" si="8"/>
        <v>0</v>
      </c>
      <c r="BC14" s="3">
        <f t="shared" si="8"/>
        <v>0</v>
      </c>
      <c r="BD14" s="3">
        <f t="shared" si="8"/>
        <v>0</v>
      </c>
      <c r="BE14" s="3">
        <f t="shared" si="8"/>
        <v>0</v>
      </c>
      <c r="BF14" s="3">
        <f t="shared" si="8"/>
        <v>0</v>
      </c>
      <c r="BG14" s="3">
        <f t="shared" si="8"/>
        <v>0</v>
      </c>
      <c r="BH14" s="3">
        <f t="shared" si="8"/>
        <v>0</v>
      </c>
      <c r="BI14" s="3">
        <f t="shared" si="8"/>
        <v>0</v>
      </c>
      <c r="BJ14" s="3">
        <f t="shared" si="8"/>
        <v>0</v>
      </c>
      <c r="BK14" s="3">
        <f t="shared" si="8"/>
        <v>0</v>
      </c>
      <c r="BL14" s="3">
        <f t="shared" si="8"/>
        <v>0</v>
      </c>
      <c r="BM14" s="3">
        <f t="shared" si="8"/>
        <v>0</v>
      </c>
      <c r="BN14" s="3">
        <f t="shared" si="8"/>
        <v>0</v>
      </c>
      <c r="BO14" s="3">
        <f t="shared" si="8"/>
        <v>0</v>
      </c>
      <c r="BP14" s="3">
        <f t="shared" si="8"/>
        <v>0</v>
      </c>
      <c r="BQ14" s="3">
        <f t="shared" si="8"/>
        <v>3</v>
      </c>
      <c r="BR14" s="3">
        <f t="shared" si="8"/>
        <v>0</v>
      </c>
      <c r="BS14" s="3">
        <f t="shared" si="8"/>
        <v>0</v>
      </c>
      <c r="BT14" s="3">
        <f t="shared" si="8"/>
        <v>0</v>
      </c>
      <c r="BU14" s="3">
        <f t="shared" ref="BU14:DY14" si="9">BU12*(BU12+BU13)</f>
        <v>0</v>
      </c>
      <c r="BV14" s="3">
        <f t="shared" si="9"/>
        <v>0</v>
      </c>
      <c r="BW14" s="3">
        <f t="shared" si="9"/>
        <v>0</v>
      </c>
      <c r="BX14" s="3">
        <f t="shared" si="9"/>
        <v>0</v>
      </c>
      <c r="BY14" s="3">
        <f t="shared" si="9"/>
        <v>0</v>
      </c>
      <c r="BZ14" s="3">
        <f t="shared" si="9"/>
        <v>0</v>
      </c>
      <c r="CA14" s="3">
        <f t="shared" si="9"/>
        <v>0</v>
      </c>
      <c r="CB14" s="3">
        <f t="shared" si="9"/>
        <v>0</v>
      </c>
      <c r="CC14" s="3">
        <f t="shared" si="9"/>
        <v>0</v>
      </c>
      <c r="CD14" s="3">
        <f t="shared" si="9"/>
        <v>0</v>
      </c>
      <c r="CE14" s="3">
        <f t="shared" si="9"/>
        <v>0</v>
      </c>
      <c r="CF14" s="3">
        <f t="shared" si="9"/>
        <v>0</v>
      </c>
      <c r="CG14" s="3">
        <f t="shared" si="9"/>
        <v>0</v>
      </c>
      <c r="CH14" s="3">
        <f t="shared" si="9"/>
        <v>0</v>
      </c>
      <c r="CI14" s="3">
        <f t="shared" si="9"/>
        <v>0</v>
      </c>
      <c r="CJ14" s="3">
        <f t="shared" si="9"/>
        <v>0</v>
      </c>
      <c r="CK14" s="3">
        <f t="shared" si="9"/>
        <v>4</v>
      </c>
      <c r="CL14" s="3">
        <f t="shared" si="9"/>
        <v>0</v>
      </c>
      <c r="CM14" s="3">
        <f t="shared" si="9"/>
        <v>0</v>
      </c>
      <c r="CN14" s="3">
        <f t="shared" si="9"/>
        <v>0</v>
      </c>
      <c r="CO14" s="3">
        <f t="shared" si="9"/>
        <v>0</v>
      </c>
      <c r="CP14" s="3">
        <f t="shared" si="9"/>
        <v>0</v>
      </c>
      <c r="CQ14" s="3">
        <f t="shared" si="9"/>
        <v>0</v>
      </c>
      <c r="CR14" s="3">
        <f t="shared" si="9"/>
        <v>0</v>
      </c>
      <c r="CS14" s="3">
        <f t="shared" si="9"/>
        <v>0</v>
      </c>
      <c r="CT14" s="3">
        <f t="shared" si="9"/>
        <v>0</v>
      </c>
      <c r="CU14" s="3">
        <f t="shared" si="9"/>
        <v>0</v>
      </c>
      <c r="CV14" s="3">
        <f t="shared" si="9"/>
        <v>0</v>
      </c>
      <c r="CW14" s="3">
        <f t="shared" si="9"/>
        <v>0</v>
      </c>
      <c r="CX14" s="3">
        <f t="shared" si="9"/>
        <v>0</v>
      </c>
      <c r="CY14" s="3">
        <f t="shared" si="9"/>
        <v>0</v>
      </c>
      <c r="CZ14" s="3">
        <f t="shared" si="9"/>
        <v>0</v>
      </c>
      <c r="DA14" s="3">
        <f t="shared" si="9"/>
        <v>0</v>
      </c>
      <c r="DB14" s="3">
        <f t="shared" si="9"/>
        <v>0</v>
      </c>
      <c r="DC14" s="3">
        <f t="shared" si="9"/>
        <v>0</v>
      </c>
      <c r="DD14" s="3">
        <f t="shared" si="9"/>
        <v>0</v>
      </c>
      <c r="DE14" s="3">
        <f t="shared" si="9"/>
        <v>0</v>
      </c>
      <c r="DF14" s="3">
        <f t="shared" si="9"/>
        <v>0</v>
      </c>
      <c r="DG14" s="3">
        <f t="shared" si="9"/>
        <v>0</v>
      </c>
      <c r="DH14" s="3">
        <f t="shared" si="9"/>
        <v>0</v>
      </c>
      <c r="DI14" s="3">
        <f t="shared" si="9"/>
        <v>0</v>
      </c>
      <c r="DJ14" s="3">
        <f t="shared" si="9"/>
        <v>0</v>
      </c>
      <c r="DK14" s="3">
        <f t="shared" si="9"/>
        <v>0</v>
      </c>
      <c r="DL14" s="3">
        <f t="shared" si="9"/>
        <v>0</v>
      </c>
      <c r="DM14" s="3">
        <f t="shared" si="9"/>
        <v>0</v>
      </c>
      <c r="DN14" s="3">
        <f t="shared" si="9"/>
        <v>0</v>
      </c>
      <c r="DO14" s="3">
        <f t="shared" si="9"/>
        <v>0</v>
      </c>
      <c r="DP14" s="3">
        <f t="shared" si="9"/>
        <v>0</v>
      </c>
      <c r="DQ14" s="3">
        <f t="shared" si="9"/>
        <v>0</v>
      </c>
      <c r="DR14" s="3">
        <f t="shared" si="9"/>
        <v>0</v>
      </c>
      <c r="DS14" s="3">
        <f t="shared" si="9"/>
        <v>0</v>
      </c>
      <c r="DT14" s="3">
        <f t="shared" si="9"/>
        <v>0</v>
      </c>
      <c r="DU14" s="3">
        <f t="shared" si="9"/>
        <v>0</v>
      </c>
      <c r="DV14" s="3">
        <f t="shared" si="9"/>
        <v>0</v>
      </c>
      <c r="DW14" s="3">
        <f t="shared" si="9"/>
        <v>0</v>
      </c>
      <c r="DX14" s="3">
        <f t="shared" si="9"/>
        <v>0</v>
      </c>
      <c r="DY14" s="3">
        <f t="shared" si="9"/>
        <v>0</v>
      </c>
    </row>
    <row r="15" spans="1:129" ht="13.8">
      <c r="C15" s="7" t="s">
        <v>53</v>
      </c>
      <c r="D15" s="10" t="s">
        <v>33</v>
      </c>
      <c r="I15" s="25">
        <f>IF(I$14,INDEX(CaseData!$G$28:$J$28,I$14),0)</f>
        <v>0</v>
      </c>
      <c r="J15" s="25">
        <f>IF(J$14,INDEX(CaseData!$G$28:$J$28,J$14),0)</f>
        <v>0</v>
      </c>
      <c r="K15" s="25">
        <f>IF(K$14,INDEX(CaseData!$G$28:$J$28,K$14),0)</f>
        <v>0</v>
      </c>
      <c r="L15" s="25">
        <f>IF(L$14,INDEX(CaseData!$G$28:$J$28,L$14),0)</f>
        <v>0</v>
      </c>
      <c r="M15" s="25">
        <f>IF(M$14,INDEX(CaseData!$G$28:$J$28,M$14),0)</f>
        <v>0</v>
      </c>
      <c r="N15" s="25">
        <f>IF(N$14,INDEX(CaseData!$G$28:$J$28,N$14),0)</f>
        <v>0</v>
      </c>
      <c r="O15" s="25">
        <f>IF(O$14,INDEX(CaseData!$G$28:$J$28,O$14),0)</f>
        <v>0</v>
      </c>
      <c r="P15" s="25">
        <f>IF(P$14,INDEX(CaseData!$G$28:$J$28,P$14),0)</f>
        <v>0</v>
      </c>
      <c r="Q15" s="25">
        <f>IF(Q$14,INDEX(CaseData!$G$28:$J$28,Q$14),0)</f>
        <v>0</v>
      </c>
      <c r="R15" s="25">
        <f>IF(R$14,INDEX(CaseData!$G$28:$J$28,R$14),0)</f>
        <v>0</v>
      </c>
      <c r="S15" s="25">
        <f>IF(S$14,INDEX(CaseData!$G$28:$J$28,S$14),0)</f>
        <v>0</v>
      </c>
      <c r="T15" s="25">
        <f>IF(T$14,INDEX(CaseData!$G$28:$J$28,T$14),0)</f>
        <v>0</v>
      </c>
      <c r="U15" s="25">
        <f>IF(U$14,INDEX(CaseData!$G$28:$J$28,U$14),0)</f>
        <v>0</v>
      </c>
      <c r="V15" s="25">
        <f>IF(V$14,INDEX(CaseData!$G$28:$J$28,V$14),0)</f>
        <v>0</v>
      </c>
      <c r="W15" s="25">
        <f>IF(W$14,INDEX(CaseData!$G$28:$J$28,W$14),0)</f>
        <v>0</v>
      </c>
      <c r="X15" s="25">
        <f>IF(X$14,INDEX(CaseData!$G$28:$J$28,X$14),0)</f>
        <v>0</v>
      </c>
      <c r="Y15" s="25">
        <f>IF(Y$14,INDEX(CaseData!$G$28:$J$28,Y$14),0)</f>
        <v>0</v>
      </c>
      <c r="Z15" s="25">
        <f>IF(Z$14,INDEX(CaseData!$G$28:$J$28,Z$14),0)</f>
        <v>0</v>
      </c>
      <c r="AA15" s="25">
        <f>IF(AA$14,INDEX(CaseData!$G$28:$J$28,AA$14),0)</f>
        <v>0</v>
      </c>
      <c r="AB15" s="25">
        <f>IF(AB$14,INDEX(CaseData!$G$28:$J$28,AB$14),0)</f>
        <v>0</v>
      </c>
      <c r="AC15" s="25">
        <f>IF(AC$14,INDEX(CaseData!$G$28:$J$28,AC$14),0)</f>
        <v>0.01</v>
      </c>
      <c r="AD15" s="25">
        <f>IF(AD$14,INDEX(CaseData!$G$28:$J$28,AD$14),0)</f>
        <v>0</v>
      </c>
      <c r="AE15" s="25">
        <f>IF(AE$14,INDEX(CaseData!$G$28:$J$28,AE$14),0)</f>
        <v>0</v>
      </c>
      <c r="AF15" s="25">
        <f>IF(AF$14,INDEX(CaseData!$G$28:$J$28,AF$14),0)</f>
        <v>0</v>
      </c>
      <c r="AG15" s="25">
        <f>IF(AG$14,INDEX(CaseData!$G$28:$J$28,AG$14),0)</f>
        <v>0</v>
      </c>
      <c r="AH15" s="25">
        <f>IF(AH$14,INDEX(CaseData!$G$28:$J$28,AH$14),0)</f>
        <v>0</v>
      </c>
      <c r="AI15" s="25">
        <f>IF(AI$14,INDEX(CaseData!$G$28:$J$28,AI$14),0)</f>
        <v>0</v>
      </c>
      <c r="AJ15" s="25">
        <f>IF(AJ$14,INDEX(CaseData!$G$28:$J$28,AJ$14),0)</f>
        <v>0</v>
      </c>
      <c r="AK15" s="25">
        <f>IF(AK$14,INDEX(CaseData!$G$28:$J$28,AK$14),0)</f>
        <v>0</v>
      </c>
      <c r="AL15" s="25">
        <f>IF(AL$14,INDEX(CaseData!$G$28:$J$28,AL$14),0)</f>
        <v>0</v>
      </c>
      <c r="AM15" s="25">
        <f>IF(AM$14,INDEX(CaseData!$G$28:$J$28,AM$14),0)</f>
        <v>0</v>
      </c>
      <c r="AN15" s="25">
        <f>IF(AN$14,INDEX(CaseData!$G$28:$J$28,AN$14),0)</f>
        <v>0</v>
      </c>
      <c r="AO15" s="25">
        <f>IF(AO$14,INDEX(CaseData!$G$28:$J$28,AO$14),0)</f>
        <v>0</v>
      </c>
      <c r="AP15" s="25">
        <f>IF(AP$14,INDEX(CaseData!$G$28:$J$28,AP$14),0)</f>
        <v>0</v>
      </c>
      <c r="AQ15" s="25">
        <f>IF(AQ$14,INDEX(CaseData!$G$28:$J$28,AQ$14),0)</f>
        <v>0</v>
      </c>
      <c r="AR15" s="25">
        <f>IF(AR$14,INDEX(CaseData!$G$28:$J$28,AR$14),0)</f>
        <v>0</v>
      </c>
      <c r="AS15" s="25">
        <f>IF(AS$14,INDEX(CaseData!$G$28:$J$28,AS$14),0)</f>
        <v>0</v>
      </c>
      <c r="AT15" s="25">
        <f>IF(AT$14,INDEX(CaseData!$G$28:$J$28,AT$14),0)</f>
        <v>0</v>
      </c>
      <c r="AU15" s="25">
        <f>IF(AU$14,INDEX(CaseData!$G$28:$J$28,AU$14),0)</f>
        <v>0</v>
      </c>
      <c r="AV15" s="25">
        <f>IF(AV$14,INDEX(CaseData!$G$28:$J$28,AV$14),0)</f>
        <v>0</v>
      </c>
      <c r="AW15" s="25">
        <f>IF(AW$14,INDEX(CaseData!$G$28:$J$28,AW$14),0)</f>
        <v>0.01</v>
      </c>
      <c r="AX15" s="25">
        <f>IF(AX$14,INDEX(CaseData!$G$28:$J$28,AX$14),0)</f>
        <v>0</v>
      </c>
      <c r="AY15" s="25">
        <f>IF(AY$14,INDEX(CaseData!$G$28:$J$28,AY$14),0)</f>
        <v>0</v>
      </c>
      <c r="AZ15" s="25">
        <f>IF(AZ$14,INDEX(CaseData!$G$28:$J$28,AZ$14),0)</f>
        <v>0</v>
      </c>
      <c r="BA15" s="25">
        <f>IF(BA$14,INDEX(CaseData!$G$28:$J$28,BA$14),0)</f>
        <v>0</v>
      </c>
      <c r="BB15" s="25">
        <f>IF(BB$14,INDEX(CaseData!$G$28:$J$28,BB$14),0)</f>
        <v>0</v>
      </c>
      <c r="BC15" s="25">
        <f>IF(BC$14,INDEX(CaseData!$G$28:$J$28,BC$14),0)</f>
        <v>0</v>
      </c>
      <c r="BD15" s="25">
        <f>IF(BD$14,INDEX(CaseData!$G$28:$J$28,BD$14),0)</f>
        <v>0</v>
      </c>
      <c r="BE15" s="25">
        <f>IF(BE$14,INDEX(CaseData!$G$28:$J$28,BE$14),0)</f>
        <v>0</v>
      </c>
      <c r="BF15" s="25">
        <f>IF(BF$14,INDEX(CaseData!$G$28:$J$28,BF$14),0)</f>
        <v>0</v>
      </c>
      <c r="BG15" s="25">
        <f>IF(BG$14,INDEX(CaseData!$G$28:$J$28,BG$14),0)</f>
        <v>0</v>
      </c>
      <c r="BH15" s="25">
        <f>IF(BH$14,INDEX(CaseData!$G$28:$J$28,BH$14),0)</f>
        <v>0</v>
      </c>
      <c r="BI15" s="25">
        <f>IF(BI$14,INDEX(CaseData!$G$28:$J$28,BI$14),0)</f>
        <v>0</v>
      </c>
      <c r="BJ15" s="25">
        <f>IF(BJ$14,INDEX(CaseData!$G$28:$J$28,BJ$14),0)</f>
        <v>0</v>
      </c>
      <c r="BK15" s="25">
        <f>IF(BK$14,INDEX(CaseData!$G$28:$J$28,BK$14),0)</f>
        <v>0</v>
      </c>
      <c r="BL15" s="25">
        <f>IF(BL$14,INDEX(CaseData!$G$28:$J$28,BL$14),0)</f>
        <v>0</v>
      </c>
      <c r="BM15" s="25">
        <f>IF(BM$14,INDEX(CaseData!$G$28:$J$28,BM$14),0)</f>
        <v>0</v>
      </c>
      <c r="BN15" s="25">
        <f>IF(BN$14,INDEX(CaseData!$G$28:$J$28,BN$14),0)</f>
        <v>0</v>
      </c>
      <c r="BO15" s="25">
        <f>IF(BO$14,INDEX(CaseData!$G$28:$J$28,BO$14),0)</f>
        <v>0</v>
      </c>
      <c r="BP15" s="25">
        <f>IF(BP$14,INDEX(CaseData!$G$28:$J$28,BP$14),0)</f>
        <v>0</v>
      </c>
      <c r="BQ15" s="25">
        <f>IF(BQ$14,INDEX(CaseData!$G$28:$J$28,BQ$14),0)</f>
        <v>0.01</v>
      </c>
      <c r="BR15" s="25">
        <f>IF(BR$14,INDEX(CaseData!$G$28:$J$28,BR$14),0)</f>
        <v>0</v>
      </c>
      <c r="BS15" s="25">
        <f>IF(BS$14,INDEX(CaseData!$G$28:$J$28,BS$14),0)</f>
        <v>0</v>
      </c>
      <c r="BT15" s="25">
        <f>IF(BT$14,INDEX(CaseData!$G$28:$J$28,BT$14),0)</f>
        <v>0</v>
      </c>
      <c r="BU15" s="25">
        <f>IF(BU$14,INDEX(CaseData!$G$28:$J$28,BU$14),0)</f>
        <v>0</v>
      </c>
      <c r="BV15" s="25">
        <f>IF(BV$14,INDEX(CaseData!$G$28:$J$28,BV$14),0)</f>
        <v>0</v>
      </c>
      <c r="BW15" s="25">
        <f>IF(BW$14,INDEX(CaseData!$G$28:$J$28,BW$14),0)</f>
        <v>0</v>
      </c>
      <c r="BX15" s="25">
        <f>IF(BX$14,INDEX(CaseData!$G$28:$J$28,BX$14),0)</f>
        <v>0</v>
      </c>
      <c r="BY15" s="25">
        <f>IF(BY$14,INDEX(CaseData!$G$28:$J$28,BY$14),0)</f>
        <v>0</v>
      </c>
      <c r="BZ15" s="25">
        <f>IF(BZ$14,INDEX(CaseData!$G$28:$J$28,BZ$14),0)</f>
        <v>0</v>
      </c>
      <c r="CA15" s="25">
        <f>IF(CA$14,INDEX(CaseData!$G$28:$J$28,CA$14),0)</f>
        <v>0</v>
      </c>
      <c r="CB15" s="25">
        <f>IF(CB$14,INDEX(CaseData!$G$28:$J$28,CB$14),0)</f>
        <v>0</v>
      </c>
      <c r="CC15" s="25">
        <f>IF(CC$14,INDEX(CaseData!$G$28:$J$28,CC$14),0)</f>
        <v>0</v>
      </c>
      <c r="CD15" s="25">
        <f>IF(CD$14,INDEX(CaseData!$G$28:$J$28,CD$14),0)</f>
        <v>0</v>
      </c>
      <c r="CE15" s="25">
        <f>IF(CE$14,INDEX(CaseData!$G$28:$J$28,CE$14),0)</f>
        <v>0</v>
      </c>
      <c r="CF15" s="25">
        <f>IF(CF$14,INDEX(CaseData!$G$28:$J$28,CF$14),0)</f>
        <v>0</v>
      </c>
      <c r="CG15" s="25">
        <f>IF(CG$14,INDEX(CaseData!$G$28:$J$28,CG$14),0)</f>
        <v>0</v>
      </c>
      <c r="CH15" s="25">
        <f>IF(CH$14,INDEX(CaseData!$G$28:$J$28,CH$14),0)</f>
        <v>0</v>
      </c>
      <c r="CI15" s="25">
        <f>IF(CI$14,INDEX(CaseData!$G$28:$J$28,CI$14),0)</f>
        <v>0</v>
      </c>
      <c r="CJ15" s="25">
        <f>IF(CJ$14,INDEX(CaseData!$G$28:$J$28,CJ$14),0)</f>
        <v>0</v>
      </c>
      <c r="CK15" s="25">
        <f>IF(CK$14,INDEX(CaseData!$G$28:$J$28,CK$14),0)</f>
        <v>0.01</v>
      </c>
      <c r="CL15" s="25">
        <f>IF(CL$14,INDEX(CaseData!$G$28:$J$28,CL$14),0)</f>
        <v>0</v>
      </c>
      <c r="CM15" s="25">
        <f>IF(CM$14,INDEX(CaseData!$G$28:$J$28,CM$14),0)</f>
        <v>0</v>
      </c>
      <c r="CN15" s="25">
        <f>IF(CN$14,INDEX(CaseData!$G$28:$J$28,CN$14),0)</f>
        <v>0</v>
      </c>
      <c r="CO15" s="25">
        <f>IF(CO$14,INDEX(CaseData!$G$28:$J$28,CO$14),0)</f>
        <v>0</v>
      </c>
      <c r="CP15" s="25">
        <f>IF(CP$14,INDEX(CaseData!$G$28:$J$28,CP$14),0)</f>
        <v>0</v>
      </c>
      <c r="CQ15" s="25">
        <f>IF(CQ$14,INDEX(CaseData!$G$28:$J$28,CQ$14),0)</f>
        <v>0</v>
      </c>
      <c r="CR15" s="25">
        <f>IF(CR$14,INDEX(CaseData!$G$28:$J$28,CR$14),0)</f>
        <v>0</v>
      </c>
      <c r="CS15" s="25">
        <f>IF(CS$14,INDEX(CaseData!$G$28:$J$28,CS$14),0)</f>
        <v>0</v>
      </c>
      <c r="CT15" s="25">
        <f>IF(CT$14,INDEX(CaseData!$G$28:$J$28,CT$14),0)</f>
        <v>0</v>
      </c>
      <c r="CU15" s="25">
        <f>IF(CU$14,INDEX(CaseData!$G$28:$J$28,CU$14),0)</f>
        <v>0</v>
      </c>
      <c r="CV15" s="25">
        <f>IF(CV$14,INDEX(CaseData!$G$28:$J$28,CV$14),0)</f>
        <v>0</v>
      </c>
      <c r="CW15" s="25">
        <f>IF(CW$14,INDEX(CaseData!$G$28:$J$28,CW$14),0)</f>
        <v>0</v>
      </c>
      <c r="CX15" s="25">
        <f>IF(CX$14,INDEX(CaseData!$G$28:$J$28,CX$14),0)</f>
        <v>0</v>
      </c>
      <c r="CY15" s="25">
        <f>IF(CY$14,INDEX(CaseData!$G$28:$J$28,CY$14),0)</f>
        <v>0</v>
      </c>
      <c r="CZ15" s="25">
        <f>IF(CZ$14,INDEX(CaseData!$G$28:$J$28,CZ$14),0)</f>
        <v>0</v>
      </c>
      <c r="DA15" s="25">
        <f>IF(DA$14,INDEX(CaseData!$G$28:$J$28,DA$14),0)</f>
        <v>0</v>
      </c>
      <c r="DB15" s="25">
        <f>IF(DB$14,INDEX(CaseData!$G$28:$J$28,DB$14),0)</f>
        <v>0</v>
      </c>
      <c r="DC15" s="25">
        <f>IF(DC$14,INDEX(CaseData!$G$28:$J$28,DC$14),0)</f>
        <v>0</v>
      </c>
      <c r="DD15" s="25">
        <f>IF(DD$14,INDEX(CaseData!$G$28:$J$28,DD$14),0)</f>
        <v>0</v>
      </c>
      <c r="DE15" s="25">
        <f>IF(DE$14,INDEX(CaseData!$G$28:$J$28,DE$14),0)</f>
        <v>0</v>
      </c>
      <c r="DF15" s="25">
        <f>IF(DF$14,INDEX(CaseData!$G$28:$J$28,DF$14),0)</f>
        <v>0</v>
      </c>
      <c r="DG15" s="25">
        <f>IF(DG$14,INDEX(CaseData!$G$28:$J$28,DG$14),0)</f>
        <v>0</v>
      </c>
      <c r="DH15" s="25">
        <f>IF(DH$14,INDEX(CaseData!$G$28:$J$28,DH$14),0)</f>
        <v>0</v>
      </c>
      <c r="DI15" s="25">
        <f>IF(DI$14,INDEX(CaseData!$G$28:$J$28,DI$14),0)</f>
        <v>0</v>
      </c>
      <c r="DJ15" s="25">
        <f>IF(DJ$14,INDEX(CaseData!$G$28:$J$28,DJ$14),0)</f>
        <v>0</v>
      </c>
      <c r="DK15" s="25">
        <f>IF(DK$14,INDEX(CaseData!$G$28:$J$28,DK$14),0)</f>
        <v>0</v>
      </c>
      <c r="DL15" s="25">
        <f>IF(DL$14,INDEX(CaseData!$G$28:$J$28,DL$14),0)</f>
        <v>0</v>
      </c>
      <c r="DM15" s="25">
        <f>IF(DM$14,INDEX(CaseData!$G$28:$J$28,DM$14),0)</f>
        <v>0</v>
      </c>
      <c r="DN15" s="25">
        <f>IF(DN$14,INDEX(CaseData!$G$28:$J$28,DN$14),0)</f>
        <v>0</v>
      </c>
      <c r="DO15" s="25">
        <f>IF(DO$14,INDEX(CaseData!$G$28:$J$28,DO$14),0)</f>
        <v>0</v>
      </c>
      <c r="DP15" s="25">
        <f>IF(DP$14,INDEX(CaseData!$G$28:$J$28,DP$14),0)</f>
        <v>0</v>
      </c>
      <c r="DQ15" s="25">
        <f>IF(DQ$14,INDEX(CaseData!$G$28:$J$28,DQ$14),0)</f>
        <v>0</v>
      </c>
      <c r="DR15" s="25">
        <f>IF(DR$14,INDEX(CaseData!$G$28:$J$28,DR$14),0)</f>
        <v>0</v>
      </c>
      <c r="DS15" s="25">
        <f>IF(DS$14,INDEX(CaseData!$G$28:$J$28,DS$14),0)</f>
        <v>0</v>
      </c>
      <c r="DT15" s="25">
        <f>IF(DT$14,INDEX(CaseData!$G$28:$J$28,DT$14),0)</f>
        <v>0</v>
      </c>
      <c r="DU15" s="25">
        <f>IF(DU$14,INDEX(CaseData!$G$28:$J$28,DU$14),0)</f>
        <v>0</v>
      </c>
      <c r="DV15" s="25">
        <f>IF(DV$14,INDEX(CaseData!$G$28:$J$28,DV$14),0)</f>
        <v>0</v>
      </c>
      <c r="DW15" s="25">
        <f>IF(DW$14,INDEX(CaseData!$G$28:$J$28,DW$14),0)</f>
        <v>0</v>
      </c>
      <c r="DX15" s="25">
        <f>IF(DX$14,INDEX(CaseData!$G$28:$J$28,DX$14),0)</f>
        <v>0</v>
      </c>
      <c r="DY15" s="25">
        <f>IF(DY$14,INDEX(CaseData!$G$28:$J$28,DY$14),0)</f>
        <v>0</v>
      </c>
    </row>
    <row r="16" spans="1:129" ht="13.8">
      <c r="C16" s="7" t="s">
        <v>54</v>
      </c>
      <c r="D16" s="10" t="s">
        <v>25</v>
      </c>
      <c r="I16" s="26">
        <f>IF(I$13=0,CaseData!$G$19,INDEX(CaseData!$G$29:$J$29,I$13))</f>
        <v>0.05</v>
      </c>
      <c r="J16" s="26">
        <f>IF(J$13=0,CaseData!$G$19,INDEX(CaseData!$G$29:$J$29,J$13))</f>
        <v>0.05</v>
      </c>
      <c r="K16" s="26">
        <f>IF(K$13=0,CaseData!$G$19,INDEX(CaseData!$G$29:$J$29,K$13))</f>
        <v>0.05</v>
      </c>
      <c r="L16" s="26">
        <f>IF(L$13=0,CaseData!$G$19,INDEX(CaseData!$G$29:$J$29,L$13))</f>
        <v>0.05</v>
      </c>
      <c r="M16" s="26">
        <f>IF(M$13=0,CaseData!$G$19,INDEX(CaseData!$G$29:$J$29,M$13))</f>
        <v>0.05</v>
      </c>
      <c r="N16" s="26">
        <f>IF(N$13=0,CaseData!$G$19,INDEX(CaseData!$G$29:$J$29,N$13))</f>
        <v>0.05</v>
      </c>
      <c r="O16" s="26">
        <f>IF(O$13=0,CaseData!$G$19,INDEX(CaseData!$G$29:$J$29,O$13))</f>
        <v>0.05</v>
      </c>
      <c r="P16" s="26">
        <f>IF(P$13=0,CaseData!$G$19,INDEX(CaseData!$G$29:$J$29,P$13))</f>
        <v>0.05</v>
      </c>
      <c r="Q16" s="26">
        <f>IF(Q$13=0,CaseData!$G$19,INDEX(CaseData!$G$29:$J$29,Q$13))</f>
        <v>0.05</v>
      </c>
      <c r="R16" s="26">
        <f>IF(R$13=0,CaseData!$G$19,INDEX(CaseData!$G$29:$J$29,R$13))</f>
        <v>0.05</v>
      </c>
      <c r="S16" s="26">
        <f>IF(S$13=0,CaseData!$G$19,INDEX(CaseData!$G$29:$J$29,S$13))</f>
        <v>0.05</v>
      </c>
      <c r="T16" s="26">
        <f>IF(T$13=0,CaseData!$G$19,INDEX(CaseData!$G$29:$J$29,T$13))</f>
        <v>0.05</v>
      </c>
      <c r="U16" s="26">
        <f>IF(U$13=0,CaseData!$G$19,INDEX(CaseData!$G$29:$J$29,U$13))</f>
        <v>0.05</v>
      </c>
      <c r="V16" s="26">
        <f>IF(V$13=0,CaseData!$G$19,INDEX(CaseData!$G$29:$J$29,V$13))</f>
        <v>0.05</v>
      </c>
      <c r="W16" s="26">
        <f>IF(W$13=0,CaseData!$G$19,INDEX(CaseData!$G$29:$J$29,W$13))</f>
        <v>0.05</v>
      </c>
      <c r="X16" s="26">
        <f>IF(X$13=0,CaseData!$G$19,INDEX(CaseData!$G$29:$J$29,X$13))</f>
        <v>0.05</v>
      </c>
      <c r="Y16" s="26">
        <f>IF(Y$13=0,CaseData!$G$19,INDEX(CaseData!$G$29:$J$29,Y$13))</f>
        <v>0.05</v>
      </c>
      <c r="Z16" s="26">
        <f>IF(Z$13=0,CaseData!$G$19,INDEX(CaseData!$G$29:$J$29,Z$13))</f>
        <v>0.05</v>
      </c>
      <c r="AA16" s="26">
        <f>IF(AA$13=0,CaseData!$G$19,INDEX(CaseData!$G$29:$J$29,AA$13))</f>
        <v>0.05</v>
      </c>
      <c r="AB16" s="26">
        <f>IF(AB$13=0,CaseData!$G$19,INDEX(CaseData!$G$29:$J$29,AB$13))</f>
        <v>0.05</v>
      </c>
      <c r="AC16" s="26">
        <f>IF(AC$13=0,CaseData!$G$19,INDEX(CaseData!$G$29:$J$29,AC$13))</f>
        <v>0.05</v>
      </c>
      <c r="AD16" s="26">
        <f>IF(AD$13=0,CaseData!$G$19,INDEX(CaseData!$G$29:$J$29,AD$13))</f>
        <v>0.05</v>
      </c>
      <c r="AE16" s="26">
        <f>IF(AE$13=0,CaseData!$G$19,INDEX(CaseData!$G$29:$J$29,AE$13))</f>
        <v>0.05</v>
      </c>
      <c r="AF16" s="26">
        <f>IF(AF$13=0,CaseData!$G$19,INDEX(CaseData!$G$29:$J$29,AF$13))</f>
        <v>0.05</v>
      </c>
      <c r="AG16" s="26">
        <f>IF(AG$13=0,CaseData!$G$19,INDEX(CaseData!$G$29:$J$29,AG$13))</f>
        <v>0.05</v>
      </c>
      <c r="AH16" s="26">
        <f>IF(AH$13=0,CaseData!$G$19,INDEX(CaseData!$G$29:$J$29,AH$13))</f>
        <v>0.05</v>
      </c>
      <c r="AI16" s="26">
        <f>IF(AI$13=0,CaseData!$G$19,INDEX(CaseData!$G$29:$J$29,AI$13))</f>
        <v>0.05</v>
      </c>
      <c r="AJ16" s="26">
        <f>IF(AJ$13=0,CaseData!$G$19,INDEX(CaseData!$G$29:$J$29,AJ$13))</f>
        <v>0.05</v>
      </c>
      <c r="AK16" s="26">
        <f>IF(AK$13=0,CaseData!$G$19,INDEX(CaseData!$G$29:$J$29,AK$13))</f>
        <v>0.05</v>
      </c>
      <c r="AL16" s="26">
        <f>IF(AL$13=0,CaseData!$G$19,INDEX(CaseData!$G$29:$J$29,AL$13))</f>
        <v>0.05</v>
      </c>
      <c r="AM16" s="26">
        <f>IF(AM$13=0,CaseData!$G$19,INDEX(CaseData!$G$29:$J$29,AM$13))</f>
        <v>0.05</v>
      </c>
      <c r="AN16" s="26">
        <f>IF(AN$13=0,CaseData!$G$19,INDEX(CaseData!$G$29:$J$29,AN$13))</f>
        <v>0.05</v>
      </c>
      <c r="AO16" s="26">
        <f>IF(AO$13=0,CaseData!$G$19,INDEX(CaseData!$G$29:$J$29,AO$13))</f>
        <v>0.05</v>
      </c>
      <c r="AP16" s="26">
        <f>IF(AP$13=0,CaseData!$G$19,INDEX(CaseData!$G$29:$J$29,AP$13))</f>
        <v>0.05</v>
      </c>
      <c r="AQ16" s="26">
        <f>IF(AQ$13=0,CaseData!$G$19,INDEX(CaseData!$G$29:$J$29,AQ$13))</f>
        <v>0.05</v>
      </c>
      <c r="AR16" s="26">
        <f>IF(AR$13=0,CaseData!$G$19,INDEX(CaseData!$G$29:$J$29,AR$13))</f>
        <v>0.05</v>
      </c>
      <c r="AS16" s="26">
        <f>IF(AS$13=0,CaseData!$G$19,INDEX(CaseData!$G$29:$J$29,AS$13))</f>
        <v>0.05</v>
      </c>
      <c r="AT16" s="26">
        <f>IF(AT$13=0,CaseData!$G$19,INDEX(CaseData!$G$29:$J$29,AT$13))</f>
        <v>0.05</v>
      </c>
      <c r="AU16" s="26">
        <f>IF(AU$13=0,CaseData!$G$19,INDEX(CaseData!$G$29:$J$29,AU$13))</f>
        <v>0.05</v>
      </c>
      <c r="AV16" s="26">
        <f>IF(AV$13=0,CaseData!$G$19,INDEX(CaseData!$G$29:$J$29,AV$13))</f>
        <v>0.05</v>
      </c>
      <c r="AW16" s="26">
        <f>IF(AW$13=0,CaseData!$G$19,INDEX(CaseData!$G$29:$J$29,AW$13))</f>
        <v>0.05</v>
      </c>
      <c r="AX16" s="26">
        <f>IF(AX$13=0,CaseData!$G$19,INDEX(CaseData!$G$29:$J$29,AX$13))</f>
        <v>4.4999999999999998E-2</v>
      </c>
      <c r="AY16" s="26">
        <f>IF(AY$13=0,CaseData!$G$19,INDEX(CaseData!$G$29:$J$29,AY$13))</f>
        <v>4.4999999999999998E-2</v>
      </c>
      <c r="AZ16" s="26">
        <f>IF(AZ$13=0,CaseData!$G$19,INDEX(CaseData!$G$29:$J$29,AZ$13))</f>
        <v>4.4999999999999998E-2</v>
      </c>
      <c r="BA16" s="26">
        <f>IF(BA$13=0,CaseData!$G$19,INDEX(CaseData!$G$29:$J$29,BA$13))</f>
        <v>4.4999999999999998E-2</v>
      </c>
      <c r="BB16" s="26">
        <f>IF(BB$13=0,CaseData!$G$19,INDEX(CaseData!$G$29:$J$29,BB$13))</f>
        <v>4.4999999999999998E-2</v>
      </c>
      <c r="BC16" s="26">
        <f>IF(BC$13=0,CaseData!$G$19,INDEX(CaseData!$G$29:$J$29,BC$13))</f>
        <v>4.4999999999999998E-2</v>
      </c>
      <c r="BD16" s="26">
        <f>IF(BD$13=0,CaseData!$G$19,INDEX(CaseData!$G$29:$J$29,BD$13))</f>
        <v>4.4999999999999998E-2</v>
      </c>
      <c r="BE16" s="26">
        <f>IF(BE$13=0,CaseData!$G$19,INDEX(CaseData!$G$29:$J$29,BE$13))</f>
        <v>4.4999999999999998E-2</v>
      </c>
      <c r="BF16" s="26">
        <f>IF(BF$13=0,CaseData!$G$19,INDEX(CaseData!$G$29:$J$29,BF$13))</f>
        <v>4.4999999999999998E-2</v>
      </c>
      <c r="BG16" s="26">
        <f>IF(BG$13=0,CaseData!$G$19,INDEX(CaseData!$G$29:$J$29,BG$13))</f>
        <v>4.4999999999999998E-2</v>
      </c>
      <c r="BH16" s="26">
        <f>IF(BH$13=0,CaseData!$G$19,INDEX(CaseData!$G$29:$J$29,BH$13))</f>
        <v>4.4999999999999998E-2</v>
      </c>
      <c r="BI16" s="26">
        <f>IF(BI$13=0,CaseData!$G$19,INDEX(CaseData!$G$29:$J$29,BI$13))</f>
        <v>4.4999999999999998E-2</v>
      </c>
      <c r="BJ16" s="26">
        <f>IF(BJ$13=0,CaseData!$G$19,INDEX(CaseData!$G$29:$J$29,BJ$13))</f>
        <v>4.4999999999999998E-2</v>
      </c>
      <c r="BK16" s="26">
        <f>IF(BK$13=0,CaseData!$G$19,INDEX(CaseData!$G$29:$J$29,BK$13))</f>
        <v>4.4999999999999998E-2</v>
      </c>
      <c r="BL16" s="26">
        <f>IF(BL$13=0,CaseData!$G$19,INDEX(CaseData!$G$29:$J$29,BL$13))</f>
        <v>4.4999999999999998E-2</v>
      </c>
      <c r="BM16" s="26">
        <f>IF(BM$13=0,CaseData!$G$19,INDEX(CaseData!$G$29:$J$29,BM$13))</f>
        <v>4.4999999999999998E-2</v>
      </c>
      <c r="BN16" s="26">
        <f>IF(BN$13=0,CaseData!$G$19,INDEX(CaseData!$G$29:$J$29,BN$13))</f>
        <v>4.4999999999999998E-2</v>
      </c>
      <c r="BO16" s="26">
        <f>IF(BO$13=0,CaseData!$G$19,INDEX(CaseData!$G$29:$J$29,BO$13))</f>
        <v>4.4999999999999998E-2</v>
      </c>
      <c r="BP16" s="26">
        <f>IF(BP$13=0,CaseData!$G$19,INDEX(CaseData!$G$29:$J$29,BP$13))</f>
        <v>4.4999999999999998E-2</v>
      </c>
      <c r="BQ16" s="26">
        <f>IF(BQ$13=0,CaseData!$G$19,INDEX(CaseData!$G$29:$J$29,BQ$13))</f>
        <v>4.4999999999999998E-2</v>
      </c>
      <c r="BR16" s="26">
        <f>IF(BR$13=0,CaseData!$G$19,INDEX(CaseData!$G$29:$J$29,BR$13))</f>
        <v>5.5E-2</v>
      </c>
      <c r="BS16" s="26">
        <f>IF(BS$13=0,CaseData!$G$19,INDEX(CaseData!$G$29:$J$29,BS$13))</f>
        <v>5.5E-2</v>
      </c>
      <c r="BT16" s="26">
        <f>IF(BT$13=0,CaseData!$G$19,INDEX(CaseData!$G$29:$J$29,BT$13))</f>
        <v>5.5E-2</v>
      </c>
      <c r="BU16" s="26">
        <f>IF(BU$13=0,CaseData!$G$19,INDEX(CaseData!$G$29:$J$29,BU$13))</f>
        <v>5.5E-2</v>
      </c>
      <c r="BV16" s="26">
        <f>IF(BV$13=0,CaseData!$G$19,INDEX(CaseData!$G$29:$J$29,BV$13))</f>
        <v>5.5E-2</v>
      </c>
      <c r="BW16" s="26">
        <f>IF(BW$13=0,CaseData!$G$19,INDEX(CaseData!$G$29:$J$29,BW$13))</f>
        <v>5.5E-2</v>
      </c>
      <c r="BX16" s="26">
        <f>IF(BX$13=0,CaseData!$G$19,INDEX(CaseData!$G$29:$J$29,BX$13))</f>
        <v>5.5E-2</v>
      </c>
      <c r="BY16" s="26">
        <f>IF(BY$13=0,CaseData!$G$19,INDEX(CaseData!$G$29:$J$29,BY$13))</f>
        <v>5.5E-2</v>
      </c>
      <c r="BZ16" s="26">
        <f>IF(BZ$13=0,CaseData!$G$19,INDEX(CaseData!$G$29:$J$29,BZ$13))</f>
        <v>5.5E-2</v>
      </c>
      <c r="CA16" s="26">
        <f>IF(CA$13=0,CaseData!$G$19,INDEX(CaseData!$G$29:$J$29,CA$13))</f>
        <v>5.5E-2</v>
      </c>
      <c r="CB16" s="26">
        <f>IF(CB$13=0,CaseData!$G$19,INDEX(CaseData!$G$29:$J$29,CB$13))</f>
        <v>5.5E-2</v>
      </c>
      <c r="CC16" s="26">
        <f>IF(CC$13=0,CaseData!$G$19,INDEX(CaseData!$G$29:$J$29,CC$13))</f>
        <v>5.5E-2</v>
      </c>
      <c r="CD16" s="26">
        <f>IF(CD$13=0,CaseData!$G$19,INDEX(CaseData!$G$29:$J$29,CD$13))</f>
        <v>5.5E-2</v>
      </c>
      <c r="CE16" s="26">
        <f>IF(CE$13=0,CaseData!$G$19,INDEX(CaseData!$G$29:$J$29,CE$13))</f>
        <v>5.5E-2</v>
      </c>
      <c r="CF16" s="26">
        <f>IF(CF$13=0,CaseData!$G$19,INDEX(CaseData!$G$29:$J$29,CF$13))</f>
        <v>5.5E-2</v>
      </c>
      <c r="CG16" s="26">
        <f>IF(CG$13=0,CaseData!$G$19,INDEX(CaseData!$G$29:$J$29,CG$13))</f>
        <v>5.5E-2</v>
      </c>
      <c r="CH16" s="26">
        <f>IF(CH$13=0,CaseData!$G$19,INDEX(CaseData!$G$29:$J$29,CH$13))</f>
        <v>5.5E-2</v>
      </c>
      <c r="CI16" s="26">
        <f>IF(CI$13=0,CaseData!$G$19,INDEX(CaseData!$G$29:$J$29,CI$13))</f>
        <v>5.5E-2</v>
      </c>
      <c r="CJ16" s="26">
        <f>IF(CJ$13=0,CaseData!$G$19,INDEX(CaseData!$G$29:$J$29,CJ$13))</f>
        <v>5.5E-2</v>
      </c>
      <c r="CK16" s="26">
        <f>IF(CK$13=0,CaseData!$G$19,INDEX(CaseData!$G$29:$J$29,CK$13))</f>
        <v>5.5E-2</v>
      </c>
      <c r="CL16" s="26">
        <f>IF(CL$13=0,CaseData!$G$19,INDEX(CaseData!$G$29:$J$29,CL$13))</f>
        <v>0.05</v>
      </c>
      <c r="CM16" s="26">
        <f>IF(CM$13=0,CaseData!$G$19,INDEX(CaseData!$G$29:$J$29,CM$13))</f>
        <v>0.05</v>
      </c>
      <c r="CN16" s="26">
        <f>IF(CN$13=0,CaseData!$G$19,INDEX(CaseData!$G$29:$J$29,CN$13))</f>
        <v>0.05</v>
      </c>
      <c r="CO16" s="26">
        <f>IF(CO$13=0,CaseData!$G$19,INDEX(CaseData!$G$29:$J$29,CO$13))</f>
        <v>0.05</v>
      </c>
      <c r="CP16" s="26">
        <f>IF(CP$13=0,CaseData!$G$19,INDEX(CaseData!$G$29:$J$29,CP$13))</f>
        <v>0.05</v>
      </c>
      <c r="CQ16" s="26">
        <f>IF(CQ$13=0,CaseData!$G$19,INDEX(CaseData!$G$29:$J$29,CQ$13))</f>
        <v>0.05</v>
      </c>
      <c r="CR16" s="26">
        <f>IF(CR$13=0,CaseData!$G$19,INDEX(CaseData!$G$29:$J$29,CR$13))</f>
        <v>0.05</v>
      </c>
      <c r="CS16" s="26">
        <f>IF(CS$13=0,CaseData!$G$19,INDEX(CaseData!$G$29:$J$29,CS$13))</f>
        <v>0.05</v>
      </c>
      <c r="CT16" s="26">
        <f>IF(CT$13=0,CaseData!$G$19,INDEX(CaseData!$G$29:$J$29,CT$13))</f>
        <v>0.05</v>
      </c>
      <c r="CU16" s="26">
        <f>IF(CU$13=0,CaseData!$G$19,INDEX(CaseData!$G$29:$J$29,CU$13))</f>
        <v>0.05</v>
      </c>
      <c r="CV16" s="26">
        <f>IF(CV$13=0,CaseData!$G$19,INDEX(CaseData!$G$29:$J$29,CV$13))</f>
        <v>0.05</v>
      </c>
      <c r="CW16" s="26">
        <f>IF(CW$13=0,CaseData!$G$19,INDEX(CaseData!$G$29:$J$29,CW$13))</f>
        <v>0.05</v>
      </c>
      <c r="CX16" s="26">
        <f>IF(CX$13=0,CaseData!$G$19,INDEX(CaseData!$G$29:$J$29,CX$13))</f>
        <v>0.05</v>
      </c>
      <c r="CY16" s="26">
        <f>IF(CY$13=0,CaseData!$G$19,INDEX(CaseData!$G$29:$J$29,CY$13))</f>
        <v>0.05</v>
      </c>
      <c r="CZ16" s="26">
        <f>IF(CZ$13=0,CaseData!$G$19,INDEX(CaseData!$G$29:$J$29,CZ$13))</f>
        <v>0.05</v>
      </c>
      <c r="DA16" s="26">
        <f>IF(DA$13=0,CaseData!$G$19,INDEX(CaseData!$G$29:$J$29,DA$13))</f>
        <v>0.05</v>
      </c>
      <c r="DB16" s="26">
        <f>IF(DB$13=0,CaseData!$G$19,INDEX(CaseData!$G$29:$J$29,DB$13))</f>
        <v>0.05</v>
      </c>
      <c r="DC16" s="26">
        <f>IF(DC$13=0,CaseData!$G$19,INDEX(CaseData!$G$29:$J$29,DC$13))</f>
        <v>0.05</v>
      </c>
      <c r="DD16" s="26">
        <f>IF(DD$13=0,CaseData!$G$19,INDEX(CaseData!$G$29:$J$29,DD$13))</f>
        <v>0.05</v>
      </c>
      <c r="DE16" s="26">
        <f>IF(DE$13=0,CaseData!$G$19,INDEX(CaseData!$G$29:$J$29,DE$13))</f>
        <v>0.05</v>
      </c>
      <c r="DF16" s="26">
        <f>IF(DF$13=0,CaseData!$G$19,INDEX(CaseData!$G$29:$J$29,DF$13))</f>
        <v>0.05</v>
      </c>
      <c r="DG16" s="26">
        <f>IF(DG$13=0,CaseData!$G$19,INDEX(CaseData!$G$29:$J$29,DG$13))</f>
        <v>0.05</v>
      </c>
      <c r="DH16" s="26">
        <f>IF(DH$13=0,CaseData!$G$19,INDEX(CaseData!$G$29:$J$29,DH$13))</f>
        <v>0.05</v>
      </c>
      <c r="DI16" s="26">
        <f>IF(DI$13=0,CaseData!$G$19,INDEX(CaseData!$G$29:$J$29,DI$13))</f>
        <v>0.05</v>
      </c>
      <c r="DJ16" s="26">
        <f>IF(DJ$13=0,CaseData!$G$19,INDEX(CaseData!$G$29:$J$29,DJ$13))</f>
        <v>0.05</v>
      </c>
      <c r="DK16" s="26">
        <f>IF(DK$13=0,CaseData!$G$19,INDEX(CaseData!$G$29:$J$29,DK$13))</f>
        <v>0.05</v>
      </c>
      <c r="DL16" s="26">
        <f>IF(DL$13=0,CaseData!$G$19,INDEX(CaseData!$G$29:$J$29,DL$13))</f>
        <v>0.05</v>
      </c>
      <c r="DM16" s="26">
        <f>IF(DM$13=0,CaseData!$G$19,INDEX(CaseData!$G$29:$J$29,DM$13))</f>
        <v>0.05</v>
      </c>
      <c r="DN16" s="26">
        <f>IF(DN$13=0,CaseData!$G$19,INDEX(CaseData!$G$29:$J$29,DN$13))</f>
        <v>0.05</v>
      </c>
      <c r="DO16" s="26">
        <f>IF(DO$13=0,CaseData!$G$19,INDEX(CaseData!$G$29:$J$29,DO$13))</f>
        <v>0.05</v>
      </c>
      <c r="DP16" s="26">
        <f>IF(DP$13=0,CaseData!$G$19,INDEX(CaseData!$G$29:$J$29,DP$13))</f>
        <v>0.05</v>
      </c>
      <c r="DQ16" s="26">
        <f>IF(DQ$13=0,CaseData!$G$19,INDEX(CaseData!$G$29:$J$29,DQ$13))</f>
        <v>0.05</v>
      </c>
      <c r="DR16" s="26">
        <f>IF(DR$13=0,CaseData!$G$19,INDEX(CaseData!$G$29:$J$29,DR$13))</f>
        <v>0.05</v>
      </c>
      <c r="DS16" s="26">
        <f>IF(DS$13=0,CaseData!$G$19,INDEX(CaseData!$G$29:$J$29,DS$13))</f>
        <v>0.05</v>
      </c>
      <c r="DT16" s="26">
        <f>IF(DT$13=0,CaseData!$G$19,INDEX(CaseData!$G$29:$J$29,DT$13))</f>
        <v>0.05</v>
      </c>
      <c r="DU16" s="26">
        <f>IF(DU$13=0,CaseData!$G$19,INDEX(CaseData!$G$29:$J$29,DU$13))</f>
        <v>0.05</v>
      </c>
      <c r="DV16" s="26">
        <f>IF(DV$13=0,CaseData!$G$19,INDEX(CaseData!$G$29:$J$29,DV$13))</f>
        <v>0.05</v>
      </c>
      <c r="DW16" s="26">
        <f>IF(DW$13=0,CaseData!$G$19,INDEX(CaseData!$G$29:$J$29,DW$13))</f>
        <v>0.05</v>
      </c>
      <c r="DX16" s="26">
        <f>IF(DX$13=0,CaseData!$G$19,INDEX(CaseData!$G$29:$J$29,DX$13))</f>
        <v>0.05</v>
      </c>
      <c r="DY16" s="26">
        <f>IF(DY$13=0,CaseData!$G$19,INDEX(CaseData!$G$29:$J$29,DY$13))</f>
        <v>0.05</v>
      </c>
    </row>
    <row r="17" spans="1:129" ht="13.8">
      <c r="C17" s="7" t="s">
        <v>55</v>
      </c>
      <c r="D17" s="10" t="s">
        <v>56</v>
      </c>
      <c r="E17" s="27">
        <f>CaseData!G18</f>
        <v>44196</v>
      </c>
      <c r="F17" s="27">
        <f>CaseData!G21</f>
        <v>53327</v>
      </c>
      <c r="G17" s="23">
        <f>SUM(I17:DY17)</f>
        <v>101</v>
      </c>
      <c r="I17" s="24">
        <f t="shared" ref="I17:AN18" si="10">(I$3&gt;=$E17)*(I$3&lt;=$F17)</f>
        <v>1</v>
      </c>
      <c r="J17" s="24">
        <f t="shared" si="10"/>
        <v>1</v>
      </c>
      <c r="K17" s="24">
        <f t="shared" si="10"/>
        <v>1</v>
      </c>
      <c r="L17" s="24">
        <f t="shared" si="10"/>
        <v>1</v>
      </c>
      <c r="M17" s="24">
        <f t="shared" si="10"/>
        <v>1</v>
      </c>
      <c r="N17" s="24">
        <f t="shared" si="10"/>
        <v>1</v>
      </c>
      <c r="O17" s="24">
        <f t="shared" si="10"/>
        <v>1</v>
      </c>
      <c r="P17" s="24">
        <f t="shared" si="10"/>
        <v>1</v>
      </c>
      <c r="Q17" s="24">
        <f t="shared" si="10"/>
        <v>1</v>
      </c>
      <c r="R17" s="24">
        <f t="shared" si="10"/>
        <v>1</v>
      </c>
      <c r="S17" s="24">
        <f t="shared" si="10"/>
        <v>1</v>
      </c>
      <c r="T17" s="24">
        <f t="shared" si="10"/>
        <v>1</v>
      </c>
      <c r="U17" s="24">
        <f t="shared" si="10"/>
        <v>1</v>
      </c>
      <c r="V17" s="24">
        <f t="shared" si="10"/>
        <v>1</v>
      </c>
      <c r="W17" s="24">
        <f t="shared" si="10"/>
        <v>1</v>
      </c>
      <c r="X17" s="24">
        <f t="shared" si="10"/>
        <v>1</v>
      </c>
      <c r="Y17" s="24">
        <f t="shared" si="10"/>
        <v>1</v>
      </c>
      <c r="Z17" s="24">
        <f t="shared" si="10"/>
        <v>1</v>
      </c>
      <c r="AA17" s="24">
        <f t="shared" si="10"/>
        <v>1</v>
      </c>
      <c r="AB17" s="24">
        <f t="shared" si="10"/>
        <v>1</v>
      </c>
      <c r="AC17" s="24">
        <f t="shared" si="10"/>
        <v>1</v>
      </c>
      <c r="AD17" s="24">
        <f t="shared" si="10"/>
        <v>1</v>
      </c>
      <c r="AE17" s="24">
        <f t="shared" si="10"/>
        <v>1</v>
      </c>
      <c r="AF17" s="24">
        <f t="shared" si="10"/>
        <v>1</v>
      </c>
      <c r="AG17" s="24">
        <f t="shared" si="10"/>
        <v>1</v>
      </c>
      <c r="AH17" s="24">
        <f t="shared" si="10"/>
        <v>1</v>
      </c>
      <c r="AI17" s="24">
        <f t="shared" si="10"/>
        <v>1</v>
      </c>
      <c r="AJ17" s="24">
        <f t="shared" si="10"/>
        <v>1</v>
      </c>
      <c r="AK17" s="24">
        <f t="shared" si="10"/>
        <v>1</v>
      </c>
      <c r="AL17" s="24">
        <f t="shared" si="10"/>
        <v>1</v>
      </c>
      <c r="AM17" s="24">
        <f t="shared" si="10"/>
        <v>1</v>
      </c>
      <c r="AN17" s="24">
        <f t="shared" si="10"/>
        <v>1</v>
      </c>
      <c r="AO17" s="24">
        <f t="shared" ref="AO17:BT18" si="11">(AO$3&gt;=$E17)*(AO$3&lt;=$F17)</f>
        <v>1</v>
      </c>
      <c r="AP17" s="24">
        <f t="shared" si="11"/>
        <v>1</v>
      </c>
      <c r="AQ17" s="24">
        <f t="shared" si="11"/>
        <v>1</v>
      </c>
      <c r="AR17" s="24">
        <f t="shared" si="11"/>
        <v>1</v>
      </c>
      <c r="AS17" s="24">
        <f t="shared" si="11"/>
        <v>1</v>
      </c>
      <c r="AT17" s="24">
        <f t="shared" si="11"/>
        <v>1</v>
      </c>
      <c r="AU17" s="24">
        <f t="shared" si="11"/>
        <v>1</v>
      </c>
      <c r="AV17" s="24">
        <f t="shared" si="11"/>
        <v>1</v>
      </c>
      <c r="AW17" s="24">
        <f t="shared" si="11"/>
        <v>1</v>
      </c>
      <c r="AX17" s="24">
        <f t="shared" si="11"/>
        <v>1</v>
      </c>
      <c r="AY17" s="24">
        <f t="shared" si="11"/>
        <v>1</v>
      </c>
      <c r="AZ17" s="24">
        <f t="shared" si="11"/>
        <v>1</v>
      </c>
      <c r="BA17" s="24">
        <f t="shared" si="11"/>
        <v>1</v>
      </c>
      <c r="BB17" s="24">
        <f t="shared" si="11"/>
        <v>1</v>
      </c>
      <c r="BC17" s="24">
        <f t="shared" si="11"/>
        <v>1</v>
      </c>
      <c r="BD17" s="24">
        <f t="shared" si="11"/>
        <v>1</v>
      </c>
      <c r="BE17" s="24">
        <f t="shared" si="11"/>
        <v>1</v>
      </c>
      <c r="BF17" s="24">
        <f t="shared" si="11"/>
        <v>1</v>
      </c>
      <c r="BG17" s="24">
        <f t="shared" si="11"/>
        <v>1</v>
      </c>
      <c r="BH17" s="24">
        <f t="shared" si="11"/>
        <v>1</v>
      </c>
      <c r="BI17" s="24">
        <f t="shared" si="11"/>
        <v>1</v>
      </c>
      <c r="BJ17" s="24">
        <f t="shared" si="11"/>
        <v>1</v>
      </c>
      <c r="BK17" s="24">
        <f t="shared" si="11"/>
        <v>1</v>
      </c>
      <c r="BL17" s="24">
        <f t="shared" si="11"/>
        <v>1</v>
      </c>
      <c r="BM17" s="24">
        <f t="shared" si="11"/>
        <v>1</v>
      </c>
      <c r="BN17" s="24">
        <f t="shared" si="11"/>
        <v>1</v>
      </c>
      <c r="BO17" s="24">
        <f t="shared" si="11"/>
        <v>1</v>
      </c>
      <c r="BP17" s="24">
        <f t="shared" si="11"/>
        <v>1</v>
      </c>
      <c r="BQ17" s="24">
        <f t="shared" si="11"/>
        <v>1</v>
      </c>
      <c r="BR17" s="24">
        <f t="shared" si="11"/>
        <v>1</v>
      </c>
      <c r="BS17" s="24">
        <f t="shared" si="11"/>
        <v>1</v>
      </c>
      <c r="BT17" s="24">
        <f t="shared" si="11"/>
        <v>1</v>
      </c>
      <c r="BU17" s="24">
        <f t="shared" ref="BU17:CZ18" si="12">(BU$3&gt;=$E17)*(BU$3&lt;=$F17)</f>
        <v>1</v>
      </c>
      <c r="BV17" s="24">
        <f t="shared" si="12"/>
        <v>1</v>
      </c>
      <c r="BW17" s="24">
        <f t="shared" si="12"/>
        <v>1</v>
      </c>
      <c r="BX17" s="24">
        <f t="shared" si="12"/>
        <v>1</v>
      </c>
      <c r="BY17" s="24">
        <f t="shared" si="12"/>
        <v>1</v>
      </c>
      <c r="BZ17" s="24">
        <f t="shared" si="12"/>
        <v>1</v>
      </c>
      <c r="CA17" s="24">
        <f t="shared" si="12"/>
        <v>1</v>
      </c>
      <c r="CB17" s="24">
        <f t="shared" si="12"/>
        <v>1</v>
      </c>
      <c r="CC17" s="24">
        <f t="shared" si="12"/>
        <v>1</v>
      </c>
      <c r="CD17" s="24">
        <f t="shared" si="12"/>
        <v>1</v>
      </c>
      <c r="CE17" s="24">
        <f t="shared" si="12"/>
        <v>1</v>
      </c>
      <c r="CF17" s="24">
        <f t="shared" si="12"/>
        <v>1</v>
      </c>
      <c r="CG17" s="24">
        <f t="shared" si="12"/>
        <v>1</v>
      </c>
      <c r="CH17" s="24">
        <f t="shared" si="12"/>
        <v>1</v>
      </c>
      <c r="CI17" s="24">
        <f t="shared" si="12"/>
        <v>1</v>
      </c>
      <c r="CJ17" s="24">
        <f t="shared" si="12"/>
        <v>1</v>
      </c>
      <c r="CK17" s="24">
        <f t="shared" si="12"/>
        <v>1</v>
      </c>
      <c r="CL17" s="24">
        <f t="shared" si="12"/>
        <v>1</v>
      </c>
      <c r="CM17" s="24">
        <f t="shared" si="12"/>
        <v>1</v>
      </c>
      <c r="CN17" s="24">
        <f t="shared" si="12"/>
        <v>1</v>
      </c>
      <c r="CO17" s="24">
        <f t="shared" si="12"/>
        <v>1</v>
      </c>
      <c r="CP17" s="24">
        <f t="shared" si="12"/>
        <v>1</v>
      </c>
      <c r="CQ17" s="24">
        <f t="shared" si="12"/>
        <v>1</v>
      </c>
      <c r="CR17" s="24">
        <f t="shared" si="12"/>
        <v>1</v>
      </c>
      <c r="CS17" s="24">
        <f t="shared" si="12"/>
        <v>1</v>
      </c>
      <c r="CT17" s="24">
        <f t="shared" si="12"/>
        <v>1</v>
      </c>
      <c r="CU17" s="24">
        <f t="shared" si="12"/>
        <v>1</v>
      </c>
      <c r="CV17" s="24">
        <f t="shared" si="12"/>
        <v>1</v>
      </c>
      <c r="CW17" s="24">
        <f t="shared" si="12"/>
        <v>1</v>
      </c>
      <c r="CX17" s="24">
        <f t="shared" si="12"/>
        <v>1</v>
      </c>
      <c r="CY17" s="24">
        <f t="shared" si="12"/>
        <v>1</v>
      </c>
      <c r="CZ17" s="24">
        <f t="shared" si="12"/>
        <v>1</v>
      </c>
      <c r="DA17" s="24">
        <f t="shared" ref="DA17:DY18" si="13">(DA$3&gt;=$E17)*(DA$3&lt;=$F17)</f>
        <v>1</v>
      </c>
      <c r="DB17" s="24">
        <f t="shared" si="13"/>
        <v>1</v>
      </c>
      <c r="DC17" s="24">
        <f t="shared" si="13"/>
        <v>1</v>
      </c>
      <c r="DD17" s="24">
        <f t="shared" si="13"/>
        <v>1</v>
      </c>
      <c r="DE17" s="24">
        <f t="shared" si="13"/>
        <v>1</v>
      </c>
      <c r="DF17" s="24">
        <f t="shared" si="13"/>
        <v>0</v>
      </c>
      <c r="DG17" s="24">
        <f t="shared" si="13"/>
        <v>0</v>
      </c>
      <c r="DH17" s="24">
        <f t="shared" si="13"/>
        <v>0</v>
      </c>
      <c r="DI17" s="24">
        <f t="shared" si="13"/>
        <v>0</v>
      </c>
      <c r="DJ17" s="24">
        <f t="shared" si="13"/>
        <v>0</v>
      </c>
      <c r="DK17" s="24">
        <f t="shared" si="13"/>
        <v>0</v>
      </c>
      <c r="DL17" s="24">
        <f t="shared" si="13"/>
        <v>0</v>
      </c>
      <c r="DM17" s="24">
        <f t="shared" si="13"/>
        <v>0</v>
      </c>
      <c r="DN17" s="24">
        <f t="shared" si="13"/>
        <v>0</v>
      </c>
      <c r="DO17" s="24">
        <f t="shared" si="13"/>
        <v>0</v>
      </c>
      <c r="DP17" s="24">
        <f t="shared" si="13"/>
        <v>0</v>
      </c>
      <c r="DQ17" s="24">
        <f t="shared" si="13"/>
        <v>0</v>
      </c>
      <c r="DR17" s="24">
        <f t="shared" si="13"/>
        <v>0</v>
      </c>
      <c r="DS17" s="24">
        <f t="shared" si="13"/>
        <v>0</v>
      </c>
      <c r="DT17" s="24">
        <f t="shared" si="13"/>
        <v>0</v>
      </c>
      <c r="DU17" s="24">
        <f t="shared" si="13"/>
        <v>0</v>
      </c>
      <c r="DV17" s="24">
        <f t="shared" si="13"/>
        <v>0</v>
      </c>
      <c r="DW17" s="24">
        <f t="shared" si="13"/>
        <v>0</v>
      </c>
      <c r="DX17" s="24">
        <f t="shared" si="13"/>
        <v>0</v>
      </c>
      <c r="DY17" s="24">
        <f t="shared" si="13"/>
        <v>0</v>
      </c>
    </row>
    <row r="18" spans="1:129" ht="13.8">
      <c r="C18" s="7" t="s">
        <v>57</v>
      </c>
      <c r="D18" s="10" t="s">
        <v>56</v>
      </c>
      <c r="E18" s="27">
        <f>EOMONTH(E17,3)</f>
        <v>44286</v>
      </c>
      <c r="F18" s="27">
        <f>F17</f>
        <v>53327</v>
      </c>
      <c r="G18" s="23">
        <f>SUM(I18:DY18)</f>
        <v>100</v>
      </c>
      <c r="I18" s="24">
        <f t="shared" si="10"/>
        <v>0</v>
      </c>
      <c r="J18" s="24">
        <f t="shared" si="10"/>
        <v>1</v>
      </c>
      <c r="K18" s="24">
        <f t="shared" si="10"/>
        <v>1</v>
      </c>
      <c r="L18" s="24">
        <f t="shared" si="10"/>
        <v>1</v>
      </c>
      <c r="M18" s="24">
        <f t="shared" si="10"/>
        <v>1</v>
      </c>
      <c r="N18" s="24">
        <f t="shared" si="10"/>
        <v>1</v>
      </c>
      <c r="O18" s="24">
        <f t="shared" si="10"/>
        <v>1</v>
      </c>
      <c r="P18" s="24">
        <f t="shared" si="10"/>
        <v>1</v>
      </c>
      <c r="Q18" s="24">
        <f t="shared" si="10"/>
        <v>1</v>
      </c>
      <c r="R18" s="24">
        <f t="shared" si="10"/>
        <v>1</v>
      </c>
      <c r="S18" s="24">
        <f t="shared" si="10"/>
        <v>1</v>
      </c>
      <c r="T18" s="24">
        <f t="shared" si="10"/>
        <v>1</v>
      </c>
      <c r="U18" s="24">
        <f t="shared" si="10"/>
        <v>1</v>
      </c>
      <c r="V18" s="24">
        <f t="shared" si="10"/>
        <v>1</v>
      </c>
      <c r="W18" s="24">
        <f t="shared" si="10"/>
        <v>1</v>
      </c>
      <c r="X18" s="24">
        <f t="shared" si="10"/>
        <v>1</v>
      </c>
      <c r="Y18" s="24">
        <f t="shared" si="10"/>
        <v>1</v>
      </c>
      <c r="Z18" s="24">
        <f t="shared" si="10"/>
        <v>1</v>
      </c>
      <c r="AA18" s="24">
        <f t="shared" si="10"/>
        <v>1</v>
      </c>
      <c r="AB18" s="24">
        <f t="shared" si="10"/>
        <v>1</v>
      </c>
      <c r="AC18" s="24">
        <f t="shared" si="10"/>
        <v>1</v>
      </c>
      <c r="AD18" s="24">
        <f t="shared" si="10"/>
        <v>1</v>
      </c>
      <c r="AE18" s="24">
        <f t="shared" si="10"/>
        <v>1</v>
      </c>
      <c r="AF18" s="24">
        <f t="shared" si="10"/>
        <v>1</v>
      </c>
      <c r="AG18" s="24">
        <f t="shared" si="10"/>
        <v>1</v>
      </c>
      <c r="AH18" s="24">
        <f t="shared" si="10"/>
        <v>1</v>
      </c>
      <c r="AI18" s="24">
        <f t="shared" si="10"/>
        <v>1</v>
      </c>
      <c r="AJ18" s="24">
        <f t="shared" si="10"/>
        <v>1</v>
      </c>
      <c r="AK18" s="24">
        <f t="shared" si="10"/>
        <v>1</v>
      </c>
      <c r="AL18" s="24">
        <f t="shared" si="10"/>
        <v>1</v>
      </c>
      <c r="AM18" s="24">
        <f t="shared" si="10"/>
        <v>1</v>
      </c>
      <c r="AN18" s="24">
        <f t="shared" si="10"/>
        <v>1</v>
      </c>
      <c r="AO18" s="24">
        <f t="shared" si="11"/>
        <v>1</v>
      </c>
      <c r="AP18" s="24">
        <f t="shared" si="11"/>
        <v>1</v>
      </c>
      <c r="AQ18" s="24">
        <f t="shared" si="11"/>
        <v>1</v>
      </c>
      <c r="AR18" s="24">
        <f t="shared" si="11"/>
        <v>1</v>
      </c>
      <c r="AS18" s="24">
        <f t="shared" si="11"/>
        <v>1</v>
      </c>
      <c r="AT18" s="24">
        <f t="shared" si="11"/>
        <v>1</v>
      </c>
      <c r="AU18" s="24">
        <f t="shared" si="11"/>
        <v>1</v>
      </c>
      <c r="AV18" s="24">
        <f t="shared" si="11"/>
        <v>1</v>
      </c>
      <c r="AW18" s="24">
        <f t="shared" si="11"/>
        <v>1</v>
      </c>
      <c r="AX18" s="24">
        <f t="shared" si="11"/>
        <v>1</v>
      </c>
      <c r="AY18" s="24">
        <f t="shared" si="11"/>
        <v>1</v>
      </c>
      <c r="AZ18" s="24">
        <f t="shared" si="11"/>
        <v>1</v>
      </c>
      <c r="BA18" s="24">
        <f t="shared" si="11"/>
        <v>1</v>
      </c>
      <c r="BB18" s="24">
        <f t="shared" si="11"/>
        <v>1</v>
      </c>
      <c r="BC18" s="24">
        <f t="shared" si="11"/>
        <v>1</v>
      </c>
      <c r="BD18" s="24">
        <f t="shared" si="11"/>
        <v>1</v>
      </c>
      <c r="BE18" s="24">
        <f t="shared" si="11"/>
        <v>1</v>
      </c>
      <c r="BF18" s="24">
        <f t="shared" si="11"/>
        <v>1</v>
      </c>
      <c r="BG18" s="24">
        <f t="shared" si="11"/>
        <v>1</v>
      </c>
      <c r="BH18" s="24">
        <f t="shared" si="11"/>
        <v>1</v>
      </c>
      <c r="BI18" s="24">
        <f t="shared" si="11"/>
        <v>1</v>
      </c>
      <c r="BJ18" s="24">
        <f t="shared" si="11"/>
        <v>1</v>
      </c>
      <c r="BK18" s="24">
        <f t="shared" si="11"/>
        <v>1</v>
      </c>
      <c r="BL18" s="24">
        <f t="shared" si="11"/>
        <v>1</v>
      </c>
      <c r="BM18" s="24">
        <f t="shared" si="11"/>
        <v>1</v>
      </c>
      <c r="BN18" s="24">
        <f t="shared" si="11"/>
        <v>1</v>
      </c>
      <c r="BO18" s="24">
        <f t="shared" si="11"/>
        <v>1</v>
      </c>
      <c r="BP18" s="24">
        <f t="shared" si="11"/>
        <v>1</v>
      </c>
      <c r="BQ18" s="24">
        <f t="shared" si="11"/>
        <v>1</v>
      </c>
      <c r="BR18" s="24">
        <f t="shared" si="11"/>
        <v>1</v>
      </c>
      <c r="BS18" s="24">
        <f t="shared" si="11"/>
        <v>1</v>
      </c>
      <c r="BT18" s="24">
        <f t="shared" si="11"/>
        <v>1</v>
      </c>
      <c r="BU18" s="24">
        <f t="shared" si="12"/>
        <v>1</v>
      </c>
      <c r="BV18" s="24">
        <f t="shared" si="12"/>
        <v>1</v>
      </c>
      <c r="BW18" s="24">
        <f t="shared" si="12"/>
        <v>1</v>
      </c>
      <c r="BX18" s="24">
        <f t="shared" si="12"/>
        <v>1</v>
      </c>
      <c r="BY18" s="24">
        <f t="shared" si="12"/>
        <v>1</v>
      </c>
      <c r="BZ18" s="24">
        <f t="shared" si="12"/>
        <v>1</v>
      </c>
      <c r="CA18" s="24">
        <f t="shared" si="12"/>
        <v>1</v>
      </c>
      <c r="CB18" s="24">
        <f t="shared" si="12"/>
        <v>1</v>
      </c>
      <c r="CC18" s="24">
        <f t="shared" si="12"/>
        <v>1</v>
      </c>
      <c r="CD18" s="24">
        <f t="shared" si="12"/>
        <v>1</v>
      </c>
      <c r="CE18" s="24">
        <f t="shared" si="12"/>
        <v>1</v>
      </c>
      <c r="CF18" s="24">
        <f t="shared" si="12"/>
        <v>1</v>
      </c>
      <c r="CG18" s="24">
        <f t="shared" si="12"/>
        <v>1</v>
      </c>
      <c r="CH18" s="24">
        <f t="shared" si="12"/>
        <v>1</v>
      </c>
      <c r="CI18" s="24">
        <f t="shared" si="12"/>
        <v>1</v>
      </c>
      <c r="CJ18" s="24">
        <f t="shared" si="12"/>
        <v>1</v>
      </c>
      <c r="CK18" s="24">
        <f t="shared" si="12"/>
        <v>1</v>
      </c>
      <c r="CL18" s="24">
        <f t="shared" si="12"/>
        <v>1</v>
      </c>
      <c r="CM18" s="24">
        <f t="shared" si="12"/>
        <v>1</v>
      </c>
      <c r="CN18" s="24">
        <f t="shared" si="12"/>
        <v>1</v>
      </c>
      <c r="CO18" s="24">
        <f t="shared" si="12"/>
        <v>1</v>
      </c>
      <c r="CP18" s="24">
        <f t="shared" si="12"/>
        <v>1</v>
      </c>
      <c r="CQ18" s="24">
        <f t="shared" si="12"/>
        <v>1</v>
      </c>
      <c r="CR18" s="24">
        <f t="shared" si="12"/>
        <v>1</v>
      </c>
      <c r="CS18" s="24">
        <f t="shared" si="12"/>
        <v>1</v>
      </c>
      <c r="CT18" s="24">
        <f t="shared" si="12"/>
        <v>1</v>
      </c>
      <c r="CU18" s="24">
        <f t="shared" si="12"/>
        <v>1</v>
      </c>
      <c r="CV18" s="24">
        <f t="shared" si="12"/>
        <v>1</v>
      </c>
      <c r="CW18" s="24">
        <f t="shared" si="12"/>
        <v>1</v>
      </c>
      <c r="CX18" s="24">
        <f t="shared" si="12"/>
        <v>1</v>
      </c>
      <c r="CY18" s="24">
        <f t="shared" si="12"/>
        <v>1</v>
      </c>
      <c r="CZ18" s="24">
        <f t="shared" si="12"/>
        <v>1</v>
      </c>
      <c r="DA18" s="24">
        <f t="shared" si="13"/>
        <v>1</v>
      </c>
      <c r="DB18" s="24">
        <f t="shared" si="13"/>
        <v>1</v>
      </c>
      <c r="DC18" s="24">
        <f t="shared" si="13"/>
        <v>1</v>
      </c>
      <c r="DD18" s="24">
        <f t="shared" si="13"/>
        <v>1</v>
      </c>
      <c r="DE18" s="24">
        <f t="shared" si="13"/>
        <v>1</v>
      </c>
      <c r="DF18" s="24">
        <f t="shared" si="13"/>
        <v>0</v>
      </c>
      <c r="DG18" s="24">
        <f t="shared" si="13"/>
        <v>0</v>
      </c>
      <c r="DH18" s="24">
        <f t="shared" si="13"/>
        <v>0</v>
      </c>
      <c r="DI18" s="24">
        <f t="shared" si="13"/>
        <v>0</v>
      </c>
      <c r="DJ18" s="24">
        <f t="shared" si="13"/>
        <v>0</v>
      </c>
      <c r="DK18" s="24">
        <f t="shared" si="13"/>
        <v>0</v>
      </c>
      <c r="DL18" s="24">
        <f t="shared" si="13"/>
        <v>0</v>
      </c>
      <c r="DM18" s="24">
        <f t="shared" si="13"/>
        <v>0</v>
      </c>
      <c r="DN18" s="24">
        <f t="shared" si="13"/>
        <v>0</v>
      </c>
      <c r="DO18" s="24">
        <f t="shared" si="13"/>
        <v>0</v>
      </c>
      <c r="DP18" s="24">
        <f t="shared" si="13"/>
        <v>0</v>
      </c>
      <c r="DQ18" s="24">
        <f t="shared" si="13"/>
        <v>0</v>
      </c>
      <c r="DR18" s="24">
        <f t="shared" si="13"/>
        <v>0</v>
      </c>
      <c r="DS18" s="24">
        <f t="shared" si="13"/>
        <v>0</v>
      </c>
      <c r="DT18" s="24">
        <f t="shared" si="13"/>
        <v>0</v>
      </c>
      <c r="DU18" s="24">
        <f t="shared" si="13"/>
        <v>0</v>
      </c>
      <c r="DV18" s="24">
        <f t="shared" si="13"/>
        <v>0</v>
      </c>
      <c r="DW18" s="24">
        <f t="shared" si="13"/>
        <v>0</v>
      </c>
      <c r="DX18" s="24">
        <f t="shared" si="13"/>
        <v>0</v>
      </c>
      <c r="DY18" s="24">
        <f t="shared" si="13"/>
        <v>0</v>
      </c>
    </row>
    <row r="19" spans="1:129" ht="13.8">
      <c r="C19" s="7" t="s">
        <v>58</v>
      </c>
      <c r="D19" s="10" t="s">
        <v>1</v>
      </c>
      <c r="I19" s="3">
        <f>I18*SUM(I18:$DY18)</f>
        <v>0</v>
      </c>
      <c r="J19" s="3">
        <f>J18*SUM(J18:$DY18)</f>
        <v>100</v>
      </c>
      <c r="K19" s="3">
        <f>K18*SUM(K18:$DY18)</f>
        <v>99</v>
      </c>
      <c r="L19" s="3">
        <f>L18*SUM(L18:$DY18)</f>
        <v>98</v>
      </c>
      <c r="M19" s="3">
        <f>M18*SUM(M18:$DY18)</f>
        <v>97</v>
      </c>
      <c r="N19" s="3">
        <f>N18*SUM(N18:$DY18)</f>
        <v>96</v>
      </c>
      <c r="O19" s="3">
        <f>O18*SUM(O18:$DY18)</f>
        <v>95</v>
      </c>
      <c r="P19" s="3">
        <f>P18*SUM(P18:$DY18)</f>
        <v>94</v>
      </c>
      <c r="Q19" s="3">
        <f>Q18*SUM(Q18:$DY18)</f>
        <v>93</v>
      </c>
      <c r="R19" s="3">
        <f>R18*SUM(R18:$DY18)</f>
        <v>92</v>
      </c>
      <c r="S19" s="3">
        <f>S18*SUM(S18:$DY18)</f>
        <v>91</v>
      </c>
      <c r="T19" s="3">
        <f>T18*SUM(T18:$DY18)</f>
        <v>90</v>
      </c>
      <c r="U19" s="3">
        <f>U18*SUM(U18:$DY18)</f>
        <v>89</v>
      </c>
      <c r="V19" s="3">
        <f>V18*SUM(V18:$DY18)</f>
        <v>88</v>
      </c>
      <c r="W19" s="3">
        <f>W18*SUM(W18:$DY18)</f>
        <v>87</v>
      </c>
      <c r="X19" s="3">
        <f>X18*SUM(X18:$DY18)</f>
        <v>86</v>
      </c>
      <c r="Y19" s="3">
        <f>Y18*SUM(Y18:$DY18)</f>
        <v>85</v>
      </c>
      <c r="Z19" s="3">
        <f>Z18*SUM(Z18:$DY18)</f>
        <v>84</v>
      </c>
      <c r="AA19" s="3">
        <f>AA18*SUM(AA18:$DY18)</f>
        <v>83</v>
      </c>
      <c r="AB19" s="3">
        <f>AB18*SUM(AB18:$DY18)</f>
        <v>82</v>
      </c>
      <c r="AC19" s="3">
        <f>AC18*SUM(AC18:$DY18)</f>
        <v>81</v>
      </c>
      <c r="AD19" s="3">
        <f>AD18*SUM(AD18:$DY18)</f>
        <v>80</v>
      </c>
      <c r="AE19" s="3">
        <f>AE18*SUM(AE18:$DY18)</f>
        <v>79</v>
      </c>
      <c r="AF19" s="3">
        <f>AF18*SUM(AF18:$DY18)</f>
        <v>78</v>
      </c>
      <c r="AG19" s="3">
        <f>AG18*SUM(AG18:$DY18)</f>
        <v>77</v>
      </c>
      <c r="AH19" s="3">
        <f>AH18*SUM(AH18:$DY18)</f>
        <v>76</v>
      </c>
      <c r="AI19" s="3">
        <f>AI18*SUM(AI18:$DY18)</f>
        <v>75</v>
      </c>
      <c r="AJ19" s="3">
        <f>AJ18*SUM(AJ18:$DY18)</f>
        <v>74</v>
      </c>
      <c r="AK19" s="3">
        <f>AK18*SUM(AK18:$DY18)</f>
        <v>73</v>
      </c>
      <c r="AL19" s="3">
        <f>AL18*SUM(AL18:$DY18)</f>
        <v>72</v>
      </c>
      <c r="AM19" s="3">
        <f>AM18*SUM(AM18:$DY18)</f>
        <v>71</v>
      </c>
      <c r="AN19" s="3">
        <f>AN18*SUM(AN18:$DY18)</f>
        <v>70</v>
      </c>
      <c r="AO19" s="3">
        <f>AO18*SUM(AO18:$DY18)</f>
        <v>69</v>
      </c>
      <c r="AP19" s="3">
        <f>AP18*SUM(AP18:$DY18)</f>
        <v>68</v>
      </c>
      <c r="AQ19" s="3">
        <f>AQ18*SUM(AQ18:$DY18)</f>
        <v>67</v>
      </c>
      <c r="AR19" s="3">
        <f>AR18*SUM(AR18:$DY18)</f>
        <v>66</v>
      </c>
      <c r="AS19" s="3">
        <f>AS18*SUM(AS18:$DY18)</f>
        <v>65</v>
      </c>
      <c r="AT19" s="3">
        <f>AT18*SUM(AT18:$DY18)</f>
        <v>64</v>
      </c>
      <c r="AU19" s="3">
        <f>AU18*SUM(AU18:$DY18)</f>
        <v>63</v>
      </c>
      <c r="AV19" s="3">
        <f>AV18*SUM(AV18:$DY18)</f>
        <v>62</v>
      </c>
      <c r="AW19" s="3">
        <f>AW18*SUM(AW18:$DY18)</f>
        <v>61</v>
      </c>
      <c r="AX19" s="3">
        <f>AX18*SUM(AX18:$DY18)</f>
        <v>60</v>
      </c>
      <c r="AY19" s="3">
        <f>AY18*SUM(AY18:$DY18)</f>
        <v>59</v>
      </c>
      <c r="AZ19" s="3">
        <f>AZ18*SUM(AZ18:$DY18)</f>
        <v>58</v>
      </c>
      <c r="BA19" s="3">
        <f>BA18*SUM(BA18:$DY18)</f>
        <v>57</v>
      </c>
      <c r="BB19" s="3">
        <f>BB18*SUM(BB18:$DY18)</f>
        <v>56</v>
      </c>
      <c r="BC19" s="3">
        <f>BC18*SUM(BC18:$DY18)</f>
        <v>55</v>
      </c>
      <c r="BD19" s="3">
        <f>BD18*SUM(BD18:$DY18)</f>
        <v>54</v>
      </c>
      <c r="BE19" s="3">
        <f>BE18*SUM(BE18:$DY18)</f>
        <v>53</v>
      </c>
      <c r="BF19" s="3">
        <f>BF18*SUM(BF18:$DY18)</f>
        <v>52</v>
      </c>
      <c r="BG19" s="3">
        <f>BG18*SUM(BG18:$DY18)</f>
        <v>51</v>
      </c>
      <c r="BH19" s="3">
        <f>BH18*SUM(BH18:$DY18)</f>
        <v>50</v>
      </c>
      <c r="BI19" s="3">
        <f>BI18*SUM(BI18:$DY18)</f>
        <v>49</v>
      </c>
      <c r="BJ19" s="3">
        <f>BJ18*SUM(BJ18:$DY18)</f>
        <v>48</v>
      </c>
      <c r="BK19" s="3">
        <f>BK18*SUM(BK18:$DY18)</f>
        <v>47</v>
      </c>
      <c r="BL19" s="3">
        <f>BL18*SUM(BL18:$DY18)</f>
        <v>46</v>
      </c>
      <c r="BM19" s="3">
        <f>BM18*SUM(BM18:$DY18)</f>
        <v>45</v>
      </c>
      <c r="BN19" s="3">
        <f>BN18*SUM(BN18:$DY18)</f>
        <v>44</v>
      </c>
      <c r="BO19" s="3">
        <f>BO18*SUM(BO18:$DY18)</f>
        <v>43</v>
      </c>
      <c r="BP19" s="3">
        <f>BP18*SUM(BP18:$DY18)</f>
        <v>42</v>
      </c>
      <c r="BQ19" s="3">
        <f>BQ18*SUM(BQ18:$DY18)</f>
        <v>41</v>
      </c>
      <c r="BR19" s="3">
        <f>BR18*SUM(BR18:$DY18)</f>
        <v>40</v>
      </c>
      <c r="BS19" s="3">
        <f>BS18*SUM(BS18:$DY18)</f>
        <v>39</v>
      </c>
      <c r="BT19" s="3">
        <f>BT18*SUM(BT18:$DY18)</f>
        <v>38</v>
      </c>
      <c r="BU19" s="3">
        <f>BU18*SUM(BU18:$DY18)</f>
        <v>37</v>
      </c>
      <c r="BV19" s="3">
        <f>BV18*SUM(BV18:$DY18)</f>
        <v>36</v>
      </c>
      <c r="BW19" s="3">
        <f>BW18*SUM(BW18:$DY18)</f>
        <v>35</v>
      </c>
      <c r="BX19" s="3">
        <f>BX18*SUM(BX18:$DY18)</f>
        <v>34</v>
      </c>
      <c r="BY19" s="3">
        <f>BY18*SUM(BY18:$DY18)</f>
        <v>33</v>
      </c>
      <c r="BZ19" s="3">
        <f>BZ18*SUM(BZ18:$DY18)</f>
        <v>32</v>
      </c>
      <c r="CA19" s="3">
        <f>CA18*SUM(CA18:$DY18)</f>
        <v>31</v>
      </c>
      <c r="CB19" s="3">
        <f>CB18*SUM(CB18:$DY18)</f>
        <v>30</v>
      </c>
      <c r="CC19" s="3">
        <f>CC18*SUM(CC18:$DY18)</f>
        <v>29</v>
      </c>
      <c r="CD19" s="3">
        <f>CD18*SUM(CD18:$DY18)</f>
        <v>28</v>
      </c>
      <c r="CE19" s="3">
        <f>CE18*SUM(CE18:$DY18)</f>
        <v>27</v>
      </c>
      <c r="CF19" s="3">
        <f>CF18*SUM(CF18:$DY18)</f>
        <v>26</v>
      </c>
      <c r="CG19" s="3">
        <f>CG18*SUM(CG18:$DY18)</f>
        <v>25</v>
      </c>
      <c r="CH19" s="3">
        <f>CH18*SUM(CH18:$DY18)</f>
        <v>24</v>
      </c>
      <c r="CI19" s="3">
        <f>CI18*SUM(CI18:$DY18)</f>
        <v>23</v>
      </c>
      <c r="CJ19" s="3">
        <f>CJ18*SUM(CJ18:$DY18)</f>
        <v>22</v>
      </c>
      <c r="CK19" s="3">
        <f>CK18*SUM(CK18:$DY18)</f>
        <v>21</v>
      </c>
      <c r="CL19" s="3">
        <f>CL18*SUM(CL18:$DY18)</f>
        <v>20</v>
      </c>
      <c r="CM19" s="3">
        <f>CM18*SUM(CM18:$DY18)</f>
        <v>19</v>
      </c>
      <c r="CN19" s="3">
        <f>CN18*SUM(CN18:$DY18)</f>
        <v>18</v>
      </c>
      <c r="CO19" s="3">
        <f>CO18*SUM(CO18:$DY18)</f>
        <v>17</v>
      </c>
      <c r="CP19" s="3">
        <f>CP18*SUM(CP18:$DY18)</f>
        <v>16</v>
      </c>
      <c r="CQ19" s="3">
        <f>CQ18*SUM(CQ18:$DY18)</f>
        <v>15</v>
      </c>
      <c r="CR19" s="3">
        <f>CR18*SUM(CR18:$DY18)</f>
        <v>14</v>
      </c>
      <c r="CS19" s="3">
        <f>CS18*SUM(CS18:$DY18)</f>
        <v>13</v>
      </c>
      <c r="CT19" s="3">
        <f>CT18*SUM(CT18:$DY18)</f>
        <v>12</v>
      </c>
      <c r="CU19" s="3">
        <f>CU18*SUM(CU18:$DY18)</f>
        <v>11</v>
      </c>
      <c r="CV19" s="3">
        <f>CV18*SUM(CV18:$DY18)</f>
        <v>10</v>
      </c>
      <c r="CW19" s="3">
        <f>CW18*SUM(CW18:$DY18)</f>
        <v>9</v>
      </c>
      <c r="CX19" s="3">
        <f>CX18*SUM(CX18:$DY18)</f>
        <v>8</v>
      </c>
      <c r="CY19" s="3">
        <f>CY18*SUM(CY18:$DY18)</f>
        <v>7</v>
      </c>
      <c r="CZ19" s="3">
        <f>CZ18*SUM(CZ18:$DY18)</f>
        <v>6</v>
      </c>
      <c r="DA19" s="3">
        <f>DA18*SUM(DA18:$DY18)</f>
        <v>5</v>
      </c>
      <c r="DB19" s="3">
        <f>DB18*SUM(DB18:$DY18)</f>
        <v>4</v>
      </c>
      <c r="DC19" s="3">
        <f>DC18*SUM(DC18:$DY18)</f>
        <v>3</v>
      </c>
      <c r="DD19" s="3">
        <f>DD18*SUM(DD18:$DY18)</f>
        <v>2</v>
      </c>
      <c r="DE19" s="3">
        <f>DE18*SUM(DE18:$DY18)</f>
        <v>1</v>
      </c>
      <c r="DF19" s="3">
        <f>DF18*SUM(DF18:$DY18)</f>
        <v>0</v>
      </c>
      <c r="DG19" s="3">
        <f>DG18*SUM(DG18:$DY18)</f>
        <v>0</v>
      </c>
      <c r="DH19" s="3">
        <f>DH18*SUM(DH18:$DY18)</f>
        <v>0</v>
      </c>
      <c r="DI19" s="3">
        <f>DI18*SUM(DI18:$DY18)</f>
        <v>0</v>
      </c>
      <c r="DJ19" s="3">
        <f>DJ18*SUM(DJ18:$DY18)</f>
        <v>0</v>
      </c>
      <c r="DK19" s="3">
        <f>DK18*SUM(DK18:$DY18)</f>
        <v>0</v>
      </c>
      <c r="DL19" s="3">
        <f>DL18*SUM(DL18:$DY18)</f>
        <v>0</v>
      </c>
      <c r="DM19" s="3">
        <f>DM18*SUM(DM18:$DY18)</f>
        <v>0</v>
      </c>
      <c r="DN19" s="3">
        <f>DN18*SUM(DN18:$DY18)</f>
        <v>0</v>
      </c>
      <c r="DO19" s="3">
        <f>DO18*SUM(DO18:$DY18)</f>
        <v>0</v>
      </c>
      <c r="DP19" s="3">
        <f>DP18*SUM(DP18:$DY18)</f>
        <v>0</v>
      </c>
      <c r="DQ19" s="3">
        <f>DQ18*SUM(DQ18:$DY18)</f>
        <v>0</v>
      </c>
      <c r="DR19" s="3">
        <f>DR18*SUM(DR18:$DY18)</f>
        <v>0</v>
      </c>
      <c r="DS19" s="3">
        <f>DS18*SUM(DS18:$DY18)</f>
        <v>0</v>
      </c>
      <c r="DT19" s="3">
        <f>DT18*SUM(DT18:$DY18)</f>
        <v>0</v>
      </c>
      <c r="DU19" s="3">
        <f>DU18*SUM(DU18:$DY18)</f>
        <v>0</v>
      </c>
      <c r="DV19" s="3">
        <f>DV18*SUM(DV18:$DY18)</f>
        <v>0</v>
      </c>
      <c r="DW19" s="3">
        <f>DW18*SUM(DW18:$DY18)</f>
        <v>0</v>
      </c>
      <c r="DX19" s="3">
        <f>DX18*SUM(DX18:$DY18)</f>
        <v>0</v>
      </c>
      <c r="DY19" s="3">
        <f>DY18*SUM(DY18:$DY18)</f>
        <v>0</v>
      </c>
    </row>
    <row r="20" spans="1:129" ht="13.8">
      <c r="C20" s="7"/>
      <c r="D20" s="10"/>
    </row>
    <row r="21" spans="1:129" ht="13.8">
      <c r="B21" s="15" t="s">
        <v>37</v>
      </c>
      <c r="C21" s="7"/>
      <c r="D21" s="10"/>
    </row>
    <row r="22" spans="1:129" ht="13.8">
      <c r="B22" s="15"/>
      <c r="C22" s="7" t="s">
        <v>55</v>
      </c>
      <c r="D22" s="10" t="s">
        <v>56</v>
      </c>
      <c r="E22" s="27">
        <f>CaseData!G37</f>
        <v>44196</v>
      </c>
      <c r="F22" s="27">
        <f>CaseData!G40</f>
        <v>54423</v>
      </c>
      <c r="G22" s="23">
        <f>SUM(I22:DY22)</f>
        <v>113</v>
      </c>
      <c r="I22" s="24">
        <f t="shared" ref="I22:AN23" si="14">(I$3&gt;=$E22)*(I$3&lt;=$F22)</f>
        <v>1</v>
      </c>
      <c r="J22" s="24">
        <f t="shared" si="14"/>
        <v>1</v>
      </c>
      <c r="K22" s="24">
        <f t="shared" si="14"/>
        <v>1</v>
      </c>
      <c r="L22" s="24">
        <f t="shared" si="14"/>
        <v>1</v>
      </c>
      <c r="M22" s="24">
        <f t="shared" si="14"/>
        <v>1</v>
      </c>
      <c r="N22" s="24">
        <f t="shared" si="14"/>
        <v>1</v>
      </c>
      <c r="O22" s="24">
        <f t="shared" si="14"/>
        <v>1</v>
      </c>
      <c r="P22" s="24">
        <f t="shared" si="14"/>
        <v>1</v>
      </c>
      <c r="Q22" s="24">
        <f t="shared" si="14"/>
        <v>1</v>
      </c>
      <c r="R22" s="24">
        <f t="shared" si="14"/>
        <v>1</v>
      </c>
      <c r="S22" s="24">
        <f t="shared" si="14"/>
        <v>1</v>
      </c>
      <c r="T22" s="24">
        <f t="shared" si="14"/>
        <v>1</v>
      </c>
      <c r="U22" s="24">
        <f t="shared" si="14"/>
        <v>1</v>
      </c>
      <c r="V22" s="24">
        <f t="shared" si="14"/>
        <v>1</v>
      </c>
      <c r="W22" s="24">
        <f t="shared" si="14"/>
        <v>1</v>
      </c>
      <c r="X22" s="24">
        <f t="shared" si="14"/>
        <v>1</v>
      </c>
      <c r="Y22" s="24">
        <f t="shared" si="14"/>
        <v>1</v>
      </c>
      <c r="Z22" s="24">
        <f t="shared" si="14"/>
        <v>1</v>
      </c>
      <c r="AA22" s="24">
        <f t="shared" si="14"/>
        <v>1</v>
      </c>
      <c r="AB22" s="24">
        <f t="shared" si="14"/>
        <v>1</v>
      </c>
      <c r="AC22" s="24">
        <f t="shared" si="14"/>
        <v>1</v>
      </c>
      <c r="AD22" s="24">
        <f t="shared" si="14"/>
        <v>1</v>
      </c>
      <c r="AE22" s="24">
        <f t="shared" si="14"/>
        <v>1</v>
      </c>
      <c r="AF22" s="24">
        <f t="shared" si="14"/>
        <v>1</v>
      </c>
      <c r="AG22" s="24">
        <f t="shared" si="14"/>
        <v>1</v>
      </c>
      <c r="AH22" s="24">
        <f t="shared" si="14"/>
        <v>1</v>
      </c>
      <c r="AI22" s="24">
        <f t="shared" si="14"/>
        <v>1</v>
      </c>
      <c r="AJ22" s="24">
        <f t="shared" si="14"/>
        <v>1</v>
      </c>
      <c r="AK22" s="24">
        <f t="shared" si="14"/>
        <v>1</v>
      </c>
      <c r="AL22" s="24">
        <f t="shared" si="14"/>
        <v>1</v>
      </c>
      <c r="AM22" s="24">
        <f t="shared" si="14"/>
        <v>1</v>
      </c>
      <c r="AN22" s="24">
        <f t="shared" si="14"/>
        <v>1</v>
      </c>
      <c r="AO22" s="24">
        <f t="shared" ref="AO22:BT23" si="15">(AO$3&gt;=$E22)*(AO$3&lt;=$F22)</f>
        <v>1</v>
      </c>
      <c r="AP22" s="24">
        <f t="shared" si="15"/>
        <v>1</v>
      </c>
      <c r="AQ22" s="24">
        <f t="shared" si="15"/>
        <v>1</v>
      </c>
      <c r="AR22" s="24">
        <f t="shared" si="15"/>
        <v>1</v>
      </c>
      <c r="AS22" s="24">
        <f t="shared" si="15"/>
        <v>1</v>
      </c>
      <c r="AT22" s="24">
        <f t="shared" si="15"/>
        <v>1</v>
      </c>
      <c r="AU22" s="24">
        <f t="shared" si="15"/>
        <v>1</v>
      </c>
      <c r="AV22" s="24">
        <f t="shared" si="15"/>
        <v>1</v>
      </c>
      <c r="AW22" s="24">
        <f t="shared" si="15"/>
        <v>1</v>
      </c>
      <c r="AX22" s="24">
        <f t="shared" si="15"/>
        <v>1</v>
      </c>
      <c r="AY22" s="24">
        <f t="shared" si="15"/>
        <v>1</v>
      </c>
      <c r="AZ22" s="24">
        <f t="shared" si="15"/>
        <v>1</v>
      </c>
      <c r="BA22" s="24">
        <f t="shared" si="15"/>
        <v>1</v>
      </c>
      <c r="BB22" s="24">
        <f t="shared" si="15"/>
        <v>1</v>
      </c>
      <c r="BC22" s="24">
        <f t="shared" si="15"/>
        <v>1</v>
      </c>
      <c r="BD22" s="24">
        <f t="shared" si="15"/>
        <v>1</v>
      </c>
      <c r="BE22" s="24">
        <f t="shared" si="15"/>
        <v>1</v>
      </c>
      <c r="BF22" s="24">
        <f t="shared" si="15"/>
        <v>1</v>
      </c>
      <c r="BG22" s="24">
        <f t="shared" si="15"/>
        <v>1</v>
      </c>
      <c r="BH22" s="24">
        <f t="shared" si="15"/>
        <v>1</v>
      </c>
      <c r="BI22" s="24">
        <f t="shared" si="15"/>
        <v>1</v>
      </c>
      <c r="BJ22" s="24">
        <f t="shared" si="15"/>
        <v>1</v>
      </c>
      <c r="BK22" s="24">
        <f t="shared" si="15"/>
        <v>1</v>
      </c>
      <c r="BL22" s="24">
        <f t="shared" si="15"/>
        <v>1</v>
      </c>
      <c r="BM22" s="24">
        <f t="shared" si="15"/>
        <v>1</v>
      </c>
      <c r="BN22" s="24">
        <f t="shared" si="15"/>
        <v>1</v>
      </c>
      <c r="BO22" s="24">
        <f t="shared" si="15"/>
        <v>1</v>
      </c>
      <c r="BP22" s="24">
        <f t="shared" si="15"/>
        <v>1</v>
      </c>
      <c r="BQ22" s="24">
        <f t="shared" si="15"/>
        <v>1</v>
      </c>
      <c r="BR22" s="24">
        <f t="shared" si="15"/>
        <v>1</v>
      </c>
      <c r="BS22" s="24">
        <f t="shared" si="15"/>
        <v>1</v>
      </c>
      <c r="BT22" s="24">
        <f t="shared" si="15"/>
        <v>1</v>
      </c>
      <c r="BU22" s="24">
        <f t="shared" ref="BU22:CZ23" si="16">(BU$3&gt;=$E22)*(BU$3&lt;=$F22)</f>
        <v>1</v>
      </c>
      <c r="BV22" s="24">
        <f t="shared" si="16"/>
        <v>1</v>
      </c>
      <c r="BW22" s="24">
        <f t="shared" si="16"/>
        <v>1</v>
      </c>
      <c r="BX22" s="24">
        <f t="shared" si="16"/>
        <v>1</v>
      </c>
      <c r="BY22" s="24">
        <f t="shared" si="16"/>
        <v>1</v>
      </c>
      <c r="BZ22" s="24">
        <f t="shared" si="16"/>
        <v>1</v>
      </c>
      <c r="CA22" s="24">
        <f t="shared" si="16"/>
        <v>1</v>
      </c>
      <c r="CB22" s="24">
        <f t="shared" si="16"/>
        <v>1</v>
      </c>
      <c r="CC22" s="24">
        <f t="shared" si="16"/>
        <v>1</v>
      </c>
      <c r="CD22" s="24">
        <f t="shared" si="16"/>
        <v>1</v>
      </c>
      <c r="CE22" s="24">
        <f t="shared" si="16"/>
        <v>1</v>
      </c>
      <c r="CF22" s="24">
        <f t="shared" si="16"/>
        <v>1</v>
      </c>
      <c r="CG22" s="24">
        <f t="shared" si="16"/>
        <v>1</v>
      </c>
      <c r="CH22" s="24">
        <f t="shared" si="16"/>
        <v>1</v>
      </c>
      <c r="CI22" s="24">
        <f t="shared" si="16"/>
        <v>1</v>
      </c>
      <c r="CJ22" s="24">
        <f t="shared" si="16"/>
        <v>1</v>
      </c>
      <c r="CK22" s="24">
        <f t="shared" si="16"/>
        <v>1</v>
      </c>
      <c r="CL22" s="24">
        <f t="shared" si="16"/>
        <v>1</v>
      </c>
      <c r="CM22" s="24">
        <f t="shared" si="16"/>
        <v>1</v>
      </c>
      <c r="CN22" s="24">
        <f t="shared" si="16"/>
        <v>1</v>
      </c>
      <c r="CO22" s="24">
        <f t="shared" si="16"/>
        <v>1</v>
      </c>
      <c r="CP22" s="24">
        <f t="shared" si="16"/>
        <v>1</v>
      </c>
      <c r="CQ22" s="24">
        <f t="shared" si="16"/>
        <v>1</v>
      </c>
      <c r="CR22" s="24">
        <f t="shared" si="16"/>
        <v>1</v>
      </c>
      <c r="CS22" s="24">
        <f t="shared" si="16"/>
        <v>1</v>
      </c>
      <c r="CT22" s="24">
        <f t="shared" si="16"/>
        <v>1</v>
      </c>
      <c r="CU22" s="24">
        <f t="shared" si="16"/>
        <v>1</v>
      </c>
      <c r="CV22" s="24">
        <f t="shared" si="16"/>
        <v>1</v>
      </c>
      <c r="CW22" s="24">
        <f t="shared" si="16"/>
        <v>1</v>
      </c>
      <c r="CX22" s="24">
        <f t="shared" si="16"/>
        <v>1</v>
      </c>
      <c r="CY22" s="24">
        <f t="shared" si="16"/>
        <v>1</v>
      </c>
      <c r="CZ22" s="24">
        <f t="shared" si="16"/>
        <v>1</v>
      </c>
      <c r="DA22" s="24">
        <f t="shared" ref="DA22:DY23" si="17">(DA$3&gt;=$E22)*(DA$3&lt;=$F22)</f>
        <v>1</v>
      </c>
      <c r="DB22" s="24">
        <f t="shared" si="17"/>
        <v>1</v>
      </c>
      <c r="DC22" s="24">
        <f t="shared" si="17"/>
        <v>1</v>
      </c>
      <c r="DD22" s="24">
        <f t="shared" si="17"/>
        <v>1</v>
      </c>
      <c r="DE22" s="24">
        <f t="shared" si="17"/>
        <v>1</v>
      </c>
      <c r="DF22" s="24">
        <f t="shared" si="17"/>
        <v>1</v>
      </c>
      <c r="DG22" s="24">
        <f t="shared" si="17"/>
        <v>1</v>
      </c>
      <c r="DH22" s="24">
        <f t="shared" si="17"/>
        <v>1</v>
      </c>
      <c r="DI22" s="24">
        <f t="shared" si="17"/>
        <v>1</v>
      </c>
      <c r="DJ22" s="24">
        <f t="shared" si="17"/>
        <v>1</v>
      </c>
      <c r="DK22" s="24">
        <f t="shared" si="17"/>
        <v>1</v>
      </c>
      <c r="DL22" s="24">
        <f t="shared" si="17"/>
        <v>1</v>
      </c>
      <c r="DM22" s="24">
        <f t="shared" si="17"/>
        <v>1</v>
      </c>
      <c r="DN22" s="24">
        <f t="shared" si="17"/>
        <v>1</v>
      </c>
      <c r="DO22" s="24">
        <f t="shared" si="17"/>
        <v>1</v>
      </c>
      <c r="DP22" s="24">
        <f t="shared" si="17"/>
        <v>1</v>
      </c>
      <c r="DQ22" s="24">
        <f t="shared" si="17"/>
        <v>1</v>
      </c>
      <c r="DR22" s="24">
        <f t="shared" si="17"/>
        <v>0</v>
      </c>
      <c r="DS22" s="24">
        <f t="shared" si="17"/>
        <v>0</v>
      </c>
      <c r="DT22" s="24">
        <f t="shared" si="17"/>
        <v>0</v>
      </c>
      <c r="DU22" s="24">
        <f t="shared" si="17"/>
        <v>0</v>
      </c>
      <c r="DV22" s="24">
        <f t="shared" si="17"/>
        <v>0</v>
      </c>
      <c r="DW22" s="24">
        <f t="shared" si="17"/>
        <v>0</v>
      </c>
      <c r="DX22" s="24">
        <f t="shared" si="17"/>
        <v>0</v>
      </c>
      <c r="DY22" s="24">
        <f t="shared" si="17"/>
        <v>0</v>
      </c>
    </row>
    <row r="23" spans="1:129" ht="13.8">
      <c r="C23" s="7" t="s">
        <v>57</v>
      </c>
      <c r="D23" s="10" t="s">
        <v>56</v>
      </c>
      <c r="E23" s="27">
        <f>EOMONTH(E22,3)</f>
        <v>44286</v>
      </c>
      <c r="F23" s="27">
        <f>F22</f>
        <v>54423</v>
      </c>
      <c r="G23" s="23">
        <f>SUM(I23:DY23)</f>
        <v>112</v>
      </c>
      <c r="I23" s="24">
        <f t="shared" si="14"/>
        <v>0</v>
      </c>
      <c r="J23" s="24">
        <f t="shared" si="14"/>
        <v>1</v>
      </c>
      <c r="K23" s="24">
        <f t="shared" si="14"/>
        <v>1</v>
      </c>
      <c r="L23" s="24">
        <f t="shared" si="14"/>
        <v>1</v>
      </c>
      <c r="M23" s="24">
        <f t="shared" si="14"/>
        <v>1</v>
      </c>
      <c r="N23" s="24">
        <f t="shared" si="14"/>
        <v>1</v>
      </c>
      <c r="O23" s="24">
        <f t="shared" si="14"/>
        <v>1</v>
      </c>
      <c r="P23" s="24">
        <f t="shared" si="14"/>
        <v>1</v>
      </c>
      <c r="Q23" s="24">
        <f t="shared" si="14"/>
        <v>1</v>
      </c>
      <c r="R23" s="24">
        <f t="shared" si="14"/>
        <v>1</v>
      </c>
      <c r="S23" s="24">
        <f t="shared" si="14"/>
        <v>1</v>
      </c>
      <c r="T23" s="24">
        <f t="shared" si="14"/>
        <v>1</v>
      </c>
      <c r="U23" s="24">
        <f t="shared" si="14"/>
        <v>1</v>
      </c>
      <c r="V23" s="24">
        <f t="shared" si="14"/>
        <v>1</v>
      </c>
      <c r="W23" s="24">
        <f t="shared" si="14"/>
        <v>1</v>
      </c>
      <c r="X23" s="24">
        <f t="shared" si="14"/>
        <v>1</v>
      </c>
      <c r="Y23" s="24">
        <f t="shared" si="14"/>
        <v>1</v>
      </c>
      <c r="Z23" s="24">
        <f t="shared" si="14"/>
        <v>1</v>
      </c>
      <c r="AA23" s="24">
        <f t="shared" si="14"/>
        <v>1</v>
      </c>
      <c r="AB23" s="24">
        <f t="shared" si="14"/>
        <v>1</v>
      </c>
      <c r="AC23" s="24">
        <f t="shared" si="14"/>
        <v>1</v>
      </c>
      <c r="AD23" s="24">
        <f t="shared" si="14"/>
        <v>1</v>
      </c>
      <c r="AE23" s="24">
        <f t="shared" si="14"/>
        <v>1</v>
      </c>
      <c r="AF23" s="24">
        <f t="shared" si="14"/>
        <v>1</v>
      </c>
      <c r="AG23" s="24">
        <f t="shared" si="14"/>
        <v>1</v>
      </c>
      <c r="AH23" s="24">
        <f t="shared" si="14"/>
        <v>1</v>
      </c>
      <c r="AI23" s="24">
        <f t="shared" si="14"/>
        <v>1</v>
      </c>
      <c r="AJ23" s="24">
        <f t="shared" si="14"/>
        <v>1</v>
      </c>
      <c r="AK23" s="24">
        <f t="shared" si="14"/>
        <v>1</v>
      </c>
      <c r="AL23" s="24">
        <f t="shared" si="14"/>
        <v>1</v>
      </c>
      <c r="AM23" s="24">
        <f t="shared" si="14"/>
        <v>1</v>
      </c>
      <c r="AN23" s="24">
        <f t="shared" si="14"/>
        <v>1</v>
      </c>
      <c r="AO23" s="24">
        <f t="shared" si="15"/>
        <v>1</v>
      </c>
      <c r="AP23" s="24">
        <f t="shared" si="15"/>
        <v>1</v>
      </c>
      <c r="AQ23" s="24">
        <f t="shared" si="15"/>
        <v>1</v>
      </c>
      <c r="AR23" s="24">
        <f t="shared" si="15"/>
        <v>1</v>
      </c>
      <c r="AS23" s="24">
        <f t="shared" si="15"/>
        <v>1</v>
      </c>
      <c r="AT23" s="24">
        <f t="shared" si="15"/>
        <v>1</v>
      </c>
      <c r="AU23" s="24">
        <f t="shared" si="15"/>
        <v>1</v>
      </c>
      <c r="AV23" s="24">
        <f t="shared" si="15"/>
        <v>1</v>
      </c>
      <c r="AW23" s="24">
        <f t="shared" si="15"/>
        <v>1</v>
      </c>
      <c r="AX23" s="24">
        <f t="shared" si="15"/>
        <v>1</v>
      </c>
      <c r="AY23" s="24">
        <f t="shared" si="15"/>
        <v>1</v>
      </c>
      <c r="AZ23" s="24">
        <f t="shared" si="15"/>
        <v>1</v>
      </c>
      <c r="BA23" s="24">
        <f t="shared" si="15"/>
        <v>1</v>
      </c>
      <c r="BB23" s="24">
        <f t="shared" si="15"/>
        <v>1</v>
      </c>
      <c r="BC23" s="24">
        <f t="shared" si="15"/>
        <v>1</v>
      </c>
      <c r="BD23" s="24">
        <f t="shared" si="15"/>
        <v>1</v>
      </c>
      <c r="BE23" s="24">
        <f t="shared" si="15"/>
        <v>1</v>
      </c>
      <c r="BF23" s="24">
        <f t="shared" si="15"/>
        <v>1</v>
      </c>
      <c r="BG23" s="24">
        <f t="shared" si="15"/>
        <v>1</v>
      </c>
      <c r="BH23" s="24">
        <f t="shared" si="15"/>
        <v>1</v>
      </c>
      <c r="BI23" s="24">
        <f t="shared" si="15"/>
        <v>1</v>
      </c>
      <c r="BJ23" s="24">
        <f t="shared" si="15"/>
        <v>1</v>
      </c>
      <c r="BK23" s="24">
        <f t="shared" si="15"/>
        <v>1</v>
      </c>
      <c r="BL23" s="24">
        <f t="shared" si="15"/>
        <v>1</v>
      </c>
      <c r="BM23" s="24">
        <f t="shared" si="15"/>
        <v>1</v>
      </c>
      <c r="BN23" s="24">
        <f t="shared" si="15"/>
        <v>1</v>
      </c>
      <c r="BO23" s="24">
        <f t="shared" si="15"/>
        <v>1</v>
      </c>
      <c r="BP23" s="24">
        <f t="shared" si="15"/>
        <v>1</v>
      </c>
      <c r="BQ23" s="24">
        <f t="shared" si="15"/>
        <v>1</v>
      </c>
      <c r="BR23" s="24">
        <f t="shared" si="15"/>
        <v>1</v>
      </c>
      <c r="BS23" s="24">
        <f t="shared" si="15"/>
        <v>1</v>
      </c>
      <c r="BT23" s="24">
        <f t="shared" si="15"/>
        <v>1</v>
      </c>
      <c r="BU23" s="24">
        <f t="shared" si="16"/>
        <v>1</v>
      </c>
      <c r="BV23" s="24">
        <f t="shared" si="16"/>
        <v>1</v>
      </c>
      <c r="BW23" s="24">
        <f t="shared" si="16"/>
        <v>1</v>
      </c>
      <c r="BX23" s="24">
        <f t="shared" si="16"/>
        <v>1</v>
      </c>
      <c r="BY23" s="24">
        <f t="shared" si="16"/>
        <v>1</v>
      </c>
      <c r="BZ23" s="24">
        <f t="shared" si="16"/>
        <v>1</v>
      </c>
      <c r="CA23" s="24">
        <f t="shared" si="16"/>
        <v>1</v>
      </c>
      <c r="CB23" s="24">
        <f t="shared" si="16"/>
        <v>1</v>
      </c>
      <c r="CC23" s="24">
        <f t="shared" si="16"/>
        <v>1</v>
      </c>
      <c r="CD23" s="24">
        <f t="shared" si="16"/>
        <v>1</v>
      </c>
      <c r="CE23" s="24">
        <f t="shared" si="16"/>
        <v>1</v>
      </c>
      <c r="CF23" s="24">
        <f t="shared" si="16"/>
        <v>1</v>
      </c>
      <c r="CG23" s="24">
        <f t="shared" si="16"/>
        <v>1</v>
      </c>
      <c r="CH23" s="24">
        <f t="shared" si="16"/>
        <v>1</v>
      </c>
      <c r="CI23" s="24">
        <f t="shared" si="16"/>
        <v>1</v>
      </c>
      <c r="CJ23" s="24">
        <f t="shared" si="16"/>
        <v>1</v>
      </c>
      <c r="CK23" s="24">
        <f t="shared" si="16"/>
        <v>1</v>
      </c>
      <c r="CL23" s="24">
        <f t="shared" si="16"/>
        <v>1</v>
      </c>
      <c r="CM23" s="24">
        <f t="shared" si="16"/>
        <v>1</v>
      </c>
      <c r="CN23" s="24">
        <f t="shared" si="16"/>
        <v>1</v>
      </c>
      <c r="CO23" s="24">
        <f t="shared" si="16"/>
        <v>1</v>
      </c>
      <c r="CP23" s="24">
        <f t="shared" si="16"/>
        <v>1</v>
      </c>
      <c r="CQ23" s="24">
        <f t="shared" si="16"/>
        <v>1</v>
      </c>
      <c r="CR23" s="24">
        <f t="shared" si="16"/>
        <v>1</v>
      </c>
      <c r="CS23" s="24">
        <f t="shared" si="16"/>
        <v>1</v>
      </c>
      <c r="CT23" s="24">
        <f t="shared" si="16"/>
        <v>1</v>
      </c>
      <c r="CU23" s="24">
        <f t="shared" si="16"/>
        <v>1</v>
      </c>
      <c r="CV23" s="24">
        <f t="shared" si="16"/>
        <v>1</v>
      </c>
      <c r="CW23" s="24">
        <f t="shared" si="16"/>
        <v>1</v>
      </c>
      <c r="CX23" s="24">
        <f t="shared" si="16"/>
        <v>1</v>
      </c>
      <c r="CY23" s="24">
        <f t="shared" si="16"/>
        <v>1</v>
      </c>
      <c r="CZ23" s="24">
        <f t="shared" si="16"/>
        <v>1</v>
      </c>
      <c r="DA23" s="24">
        <f t="shared" si="17"/>
        <v>1</v>
      </c>
      <c r="DB23" s="24">
        <f t="shared" si="17"/>
        <v>1</v>
      </c>
      <c r="DC23" s="24">
        <f t="shared" si="17"/>
        <v>1</v>
      </c>
      <c r="DD23" s="24">
        <f t="shared" si="17"/>
        <v>1</v>
      </c>
      <c r="DE23" s="24">
        <f t="shared" si="17"/>
        <v>1</v>
      </c>
      <c r="DF23" s="24">
        <f t="shared" si="17"/>
        <v>1</v>
      </c>
      <c r="DG23" s="24">
        <f t="shared" si="17"/>
        <v>1</v>
      </c>
      <c r="DH23" s="24">
        <f t="shared" si="17"/>
        <v>1</v>
      </c>
      <c r="DI23" s="24">
        <f t="shared" si="17"/>
        <v>1</v>
      </c>
      <c r="DJ23" s="24">
        <f t="shared" si="17"/>
        <v>1</v>
      </c>
      <c r="DK23" s="24">
        <f t="shared" si="17"/>
        <v>1</v>
      </c>
      <c r="DL23" s="24">
        <f t="shared" si="17"/>
        <v>1</v>
      </c>
      <c r="DM23" s="24">
        <f t="shared" si="17"/>
        <v>1</v>
      </c>
      <c r="DN23" s="24">
        <f t="shared" si="17"/>
        <v>1</v>
      </c>
      <c r="DO23" s="24">
        <f t="shared" si="17"/>
        <v>1</v>
      </c>
      <c r="DP23" s="24">
        <f t="shared" si="17"/>
        <v>1</v>
      </c>
      <c r="DQ23" s="24">
        <f t="shared" si="17"/>
        <v>1</v>
      </c>
      <c r="DR23" s="24">
        <f t="shared" si="17"/>
        <v>0</v>
      </c>
      <c r="DS23" s="24">
        <f t="shared" si="17"/>
        <v>0</v>
      </c>
      <c r="DT23" s="24">
        <f t="shared" si="17"/>
        <v>0</v>
      </c>
      <c r="DU23" s="24">
        <f t="shared" si="17"/>
        <v>0</v>
      </c>
      <c r="DV23" s="24">
        <f t="shared" si="17"/>
        <v>0</v>
      </c>
      <c r="DW23" s="24">
        <f t="shared" si="17"/>
        <v>0</v>
      </c>
      <c r="DX23" s="24">
        <f t="shared" si="17"/>
        <v>0</v>
      </c>
      <c r="DY23" s="24">
        <f t="shared" si="17"/>
        <v>0</v>
      </c>
    </row>
    <row r="24" spans="1:129" ht="13.8">
      <c r="C24" s="7"/>
      <c r="D24" s="10"/>
    </row>
    <row r="25" spans="1:129">
      <c r="B25" s="15" t="s">
        <v>14</v>
      </c>
      <c r="D25" s="10"/>
    </row>
    <row r="26" spans="1:129">
      <c r="B26" s="15"/>
      <c r="C26" s="3" t="s">
        <v>59</v>
      </c>
      <c r="D26" s="10" t="s">
        <v>56</v>
      </c>
      <c r="E26" s="27">
        <f>CaseData!G5</f>
        <v>44286</v>
      </c>
      <c r="F26" s="27">
        <f>CaseData!G7</f>
        <v>55153</v>
      </c>
      <c r="I26" s="24">
        <f t="shared" ref="I26:BT26" si="18">(I$3&gt;=$E26)*(I$3&lt;=$F26)</f>
        <v>0</v>
      </c>
      <c r="J26" s="24">
        <f t="shared" si="18"/>
        <v>1</v>
      </c>
      <c r="K26" s="24">
        <f t="shared" si="18"/>
        <v>1</v>
      </c>
      <c r="L26" s="24">
        <f t="shared" si="18"/>
        <v>1</v>
      </c>
      <c r="M26" s="24">
        <f t="shared" si="18"/>
        <v>1</v>
      </c>
      <c r="N26" s="24">
        <f t="shared" si="18"/>
        <v>1</v>
      </c>
      <c r="O26" s="24">
        <f t="shared" si="18"/>
        <v>1</v>
      </c>
      <c r="P26" s="24">
        <f t="shared" si="18"/>
        <v>1</v>
      </c>
      <c r="Q26" s="24">
        <f t="shared" si="18"/>
        <v>1</v>
      </c>
      <c r="R26" s="24">
        <f t="shared" si="18"/>
        <v>1</v>
      </c>
      <c r="S26" s="24">
        <f t="shared" si="18"/>
        <v>1</v>
      </c>
      <c r="T26" s="24">
        <f t="shared" si="18"/>
        <v>1</v>
      </c>
      <c r="U26" s="24">
        <f t="shared" si="18"/>
        <v>1</v>
      </c>
      <c r="V26" s="24">
        <f t="shared" si="18"/>
        <v>1</v>
      </c>
      <c r="W26" s="24">
        <f t="shared" si="18"/>
        <v>1</v>
      </c>
      <c r="X26" s="24">
        <f t="shared" si="18"/>
        <v>1</v>
      </c>
      <c r="Y26" s="24">
        <f t="shared" si="18"/>
        <v>1</v>
      </c>
      <c r="Z26" s="24">
        <f t="shared" si="18"/>
        <v>1</v>
      </c>
      <c r="AA26" s="24">
        <f t="shared" si="18"/>
        <v>1</v>
      </c>
      <c r="AB26" s="24">
        <f t="shared" si="18"/>
        <v>1</v>
      </c>
      <c r="AC26" s="24">
        <f t="shared" si="18"/>
        <v>1</v>
      </c>
      <c r="AD26" s="24">
        <f t="shared" si="18"/>
        <v>1</v>
      </c>
      <c r="AE26" s="24">
        <f t="shared" si="18"/>
        <v>1</v>
      </c>
      <c r="AF26" s="24">
        <f t="shared" si="18"/>
        <v>1</v>
      </c>
      <c r="AG26" s="24">
        <f t="shared" si="18"/>
        <v>1</v>
      </c>
      <c r="AH26" s="24">
        <f t="shared" si="18"/>
        <v>1</v>
      </c>
      <c r="AI26" s="24">
        <f t="shared" si="18"/>
        <v>1</v>
      </c>
      <c r="AJ26" s="24">
        <f t="shared" si="18"/>
        <v>1</v>
      </c>
      <c r="AK26" s="24">
        <f t="shared" si="18"/>
        <v>1</v>
      </c>
      <c r="AL26" s="24">
        <f t="shared" si="18"/>
        <v>1</v>
      </c>
      <c r="AM26" s="24">
        <f t="shared" si="18"/>
        <v>1</v>
      </c>
      <c r="AN26" s="24">
        <f t="shared" si="18"/>
        <v>1</v>
      </c>
      <c r="AO26" s="24">
        <f t="shared" si="18"/>
        <v>1</v>
      </c>
      <c r="AP26" s="24">
        <f t="shared" si="18"/>
        <v>1</v>
      </c>
      <c r="AQ26" s="24">
        <f t="shared" si="18"/>
        <v>1</v>
      </c>
      <c r="AR26" s="24">
        <f t="shared" si="18"/>
        <v>1</v>
      </c>
      <c r="AS26" s="24">
        <f t="shared" si="18"/>
        <v>1</v>
      </c>
      <c r="AT26" s="24">
        <f t="shared" si="18"/>
        <v>1</v>
      </c>
      <c r="AU26" s="24">
        <f t="shared" si="18"/>
        <v>1</v>
      </c>
      <c r="AV26" s="24">
        <f t="shared" si="18"/>
        <v>1</v>
      </c>
      <c r="AW26" s="24">
        <f t="shared" si="18"/>
        <v>1</v>
      </c>
      <c r="AX26" s="24">
        <f t="shared" si="18"/>
        <v>1</v>
      </c>
      <c r="AY26" s="24">
        <f t="shared" si="18"/>
        <v>1</v>
      </c>
      <c r="AZ26" s="24">
        <f t="shared" si="18"/>
        <v>1</v>
      </c>
      <c r="BA26" s="24">
        <f t="shared" si="18"/>
        <v>1</v>
      </c>
      <c r="BB26" s="24">
        <f t="shared" si="18"/>
        <v>1</v>
      </c>
      <c r="BC26" s="24">
        <f t="shared" si="18"/>
        <v>1</v>
      </c>
      <c r="BD26" s="24">
        <f t="shared" si="18"/>
        <v>1</v>
      </c>
      <c r="BE26" s="24">
        <f t="shared" si="18"/>
        <v>1</v>
      </c>
      <c r="BF26" s="24">
        <f t="shared" si="18"/>
        <v>1</v>
      </c>
      <c r="BG26" s="24">
        <f t="shared" si="18"/>
        <v>1</v>
      </c>
      <c r="BH26" s="24">
        <f t="shared" si="18"/>
        <v>1</v>
      </c>
      <c r="BI26" s="24">
        <f t="shared" si="18"/>
        <v>1</v>
      </c>
      <c r="BJ26" s="24">
        <f t="shared" si="18"/>
        <v>1</v>
      </c>
      <c r="BK26" s="24">
        <f t="shared" si="18"/>
        <v>1</v>
      </c>
      <c r="BL26" s="24">
        <f t="shared" si="18"/>
        <v>1</v>
      </c>
      <c r="BM26" s="24">
        <f t="shared" si="18"/>
        <v>1</v>
      </c>
      <c r="BN26" s="24">
        <f t="shared" si="18"/>
        <v>1</v>
      </c>
      <c r="BO26" s="24">
        <f t="shared" si="18"/>
        <v>1</v>
      </c>
      <c r="BP26" s="24">
        <f t="shared" si="18"/>
        <v>1</v>
      </c>
      <c r="BQ26" s="24">
        <f t="shared" si="18"/>
        <v>1</v>
      </c>
      <c r="BR26" s="24">
        <f t="shared" si="18"/>
        <v>1</v>
      </c>
      <c r="BS26" s="24">
        <f t="shared" si="18"/>
        <v>1</v>
      </c>
      <c r="BT26" s="24">
        <f t="shared" si="18"/>
        <v>1</v>
      </c>
      <c r="BU26" s="24">
        <f t="shared" ref="BU26:DY26" si="19">(BU$3&gt;=$E26)*(BU$3&lt;=$F26)</f>
        <v>1</v>
      </c>
      <c r="BV26" s="24">
        <f t="shared" si="19"/>
        <v>1</v>
      </c>
      <c r="BW26" s="24">
        <f t="shared" si="19"/>
        <v>1</v>
      </c>
      <c r="BX26" s="24">
        <f t="shared" si="19"/>
        <v>1</v>
      </c>
      <c r="BY26" s="24">
        <f t="shared" si="19"/>
        <v>1</v>
      </c>
      <c r="BZ26" s="24">
        <f t="shared" si="19"/>
        <v>1</v>
      </c>
      <c r="CA26" s="24">
        <f t="shared" si="19"/>
        <v>1</v>
      </c>
      <c r="CB26" s="24">
        <f t="shared" si="19"/>
        <v>1</v>
      </c>
      <c r="CC26" s="24">
        <f t="shared" si="19"/>
        <v>1</v>
      </c>
      <c r="CD26" s="24">
        <f t="shared" si="19"/>
        <v>1</v>
      </c>
      <c r="CE26" s="24">
        <f t="shared" si="19"/>
        <v>1</v>
      </c>
      <c r="CF26" s="24">
        <f t="shared" si="19"/>
        <v>1</v>
      </c>
      <c r="CG26" s="24">
        <f t="shared" si="19"/>
        <v>1</v>
      </c>
      <c r="CH26" s="24">
        <f t="shared" si="19"/>
        <v>1</v>
      </c>
      <c r="CI26" s="24">
        <f t="shared" si="19"/>
        <v>1</v>
      </c>
      <c r="CJ26" s="24">
        <f t="shared" si="19"/>
        <v>1</v>
      </c>
      <c r="CK26" s="24">
        <f t="shared" si="19"/>
        <v>1</v>
      </c>
      <c r="CL26" s="24">
        <f t="shared" si="19"/>
        <v>1</v>
      </c>
      <c r="CM26" s="24">
        <f t="shared" si="19"/>
        <v>1</v>
      </c>
      <c r="CN26" s="24">
        <f t="shared" si="19"/>
        <v>1</v>
      </c>
      <c r="CO26" s="24">
        <f t="shared" si="19"/>
        <v>1</v>
      </c>
      <c r="CP26" s="24">
        <f t="shared" si="19"/>
        <v>1</v>
      </c>
      <c r="CQ26" s="24">
        <f t="shared" si="19"/>
        <v>1</v>
      </c>
      <c r="CR26" s="24">
        <f t="shared" si="19"/>
        <v>1</v>
      </c>
      <c r="CS26" s="24">
        <f t="shared" si="19"/>
        <v>1</v>
      </c>
      <c r="CT26" s="24">
        <f t="shared" si="19"/>
        <v>1</v>
      </c>
      <c r="CU26" s="24">
        <f t="shared" si="19"/>
        <v>1</v>
      </c>
      <c r="CV26" s="24">
        <f t="shared" si="19"/>
        <v>1</v>
      </c>
      <c r="CW26" s="24">
        <f t="shared" si="19"/>
        <v>1</v>
      </c>
      <c r="CX26" s="24">
        <f t="shared" si="19"/>
        <v>1</v>
      </c>
      <c r="CY26" s="24">
        <f t="shared" si="19"/>
        <v>1</v>
      </c>
      <c r="CZ26" s="24">
        <f t="shared" si="19"/>
        <v>1</v>
      </c>
      <c r="DA26" s="24">
        <f t="shared" si="19"/>
        <v>1</v>
      </c>
      <c r="DB26" s="24">
        <f t="shared" si="19"/>
        <v>1</v>
      </c>
      <c r="DC26" s="24">
        <f t="shared" si="19"/>
        <v>1</v>
      </c>
      <c r="DD26" s="24">
        <f t="shared" si="19"/>
        <v>1</v>
      </c>
      <c r="DE26" s="24">
        <f t="shared" si="19"/>
        <v>1</v>
      </c>
      <c r="DF26" s="24">
        <f t="shared" si="19"/>
        <v>1</v>
      </c>
      <c r="DG26" s="24">
        <f t="shared" si="19"/>
        <v>1</v>
      </c>
      <c r="DH26" s="24">
        <f t="shared" si="19"/>
        <v>1</v>
      </c>
      <c r="DI26" s="24">
        <f t="shared" si="19"/>
        <v>1</v>
      </c>
      <c r="DJ26" s="24">
        <f t="shared" si="19"/>
        <v>1</v>
      </c>
      <c r="DK26" s="24">
        <f t="shared" si="19"/>
        <v>1</v>
      </c>
      <c r="DL26" s="24">
        <f t="shared" si="19"/>
        <v>1</v>
      </c>
      <c r="DM26" s="24">
        <f t="shared" si="19"/>
        <v>1</v>
      </c>
      <c r="DN26" s="24">
        <f t="shared" si="19"/>
        <v>1</v>
      </c>
      <c r="DO26" s="24">
        <f t="shared" si="19"/>
        <v>1</v>
      </c>
      <c r="DP26" s="24">
        <f t="shared" si="19"/>
        <v>1</v>
      </c>
      <c r="DQ26" s="24">
        <f t="shared" si="19"/>
        <v>1</v>
      </c>
      <c r="DR26" s="24">
        <f t="shared" si="19"/>
        <v>1</v>
      </c>
      <c r="DS26" s="24">
        <f t="shared" si="19"/>
        <v>1</v>
      </c>
      <c r="DT26" s="24">
        <f t="shared" si="19"/>
        <v>1</v>
      </c>
      <c r="DU26" s="24">
        <f t="shared" si="19"/>
        <v>1</v>
      </c>
      <c r="DV26" s="24">
        <f t="shared" si="19"/>
        <v>1</v>
      </c>
      <c r="DW26" s="24">
        <f t="shared" si="19"/>
        <v>1</v>
      </c>
      <c r="DX26" s="24">
        <f t="shared" si="19"/>
        <v>1</v>
      </c>
      <c r="DY26" s="24">
        <f t="shared" si="19"/>
        <v>1</v>
      </c>
    </row>
    <row r="27" spans="1:129">
      <c r="C27" s="3" t="s">
        <v>60</v>
      </c>
      <c r="D27" s="10" t="s">
        <v>1</v>
      </c>
      <c r="I27" s="3">
        <f>IF(I26,MATCH(I$3,CaseData!$G$12:$K$12,1),0)</f>
        <v>0</v>
      </c>
      <c r="J27" s="3">
        <f>IF(J26,MATCH(J$3,CaseData!$G$12:$K$12,1),0)</f>
        <v>1</v>
      </c>
      <c r="K27" s="3">
        <f>IF(K26,MATCH(K$3,CaseData!$G$12:$K$12,1),0)</f>
        <v>1</v>
      </c>
      <c r="L27" s="3">
        <f>IF(L26,MATCH(L$3,CaseData!$G$12:$K$12,1),0)</f>
        <v>1</v>
      </c>
      <c r="M27" s="3">
        <f>IF(M26,MATCH(M$3,CaseData!$G$12:$K$12,1),0)</f>
        <v>1</v>
      </c>
      <c r="N27" s="3">
        <f>IF(N26,MATCH(N$3,CaseData!$G$12:$K$12,1),0)</f>
        <v>1</v>
      </c>
      <c r="O27" s="3">
        <f>IF(O26,MATCH(O$3,CaseData!$G$12:$K$12,1),0)</f>
        <v>1</v>
      </c>
      <c r="P27" s="3">
        <f>IF(P26,MATCH(P$3,CaseData!$G$12:$K$12,1),0)</f>
        <v>1</v>
      </c>
      <c r="Q27" s="3">
        <f>IF(Q26,MATCH(Q$3,CaseData!$G$12:$K$12,1),0)</f>
        <v>1</v>
      </c>
      <c r="R27" s="3">
        <f>IF(R26,MATCH(R$3,CaseData!$G$12:$K$12,1),0)</f>
        <v>1</v>
      </c>
      <c r="S27" s="3">
        <f>IF(S26,MATCH(S$3,CaseData!$G$12:$K$12,1),0)</f>
        <v>1</v>
      </c>
      <c r="T27" s="3">
        <f>IF(T26,MATCH(T$3,CaseData!$G$12:$K$12,1),0)</f>
        <v>1</v>
      </c>
      <c r="U27" s="3">
        <f>IF(U26,MATCH(U$3,CaseData!$G$12:$K$12,1),0)</f>
        <v>1</v>
      </c>
      <c r="V27" s="3">
        <f>IF(V26,MATCH(V$3,CaseData!$G$12:$K$12,1),0)</f>
        <v>1</v>
      </c>
      <c r="W27" s="3">
        <f>IF(W26,MATCH(W$3,CaseData!$G$12:$K$12,1),0)</f>
        <v>1</v>
      </c>
      <c r="X27" s="3">
        <f>IF(X26,MATCH(X$3,CaseData!$G$12:$K$12,1),0)</f>
        <v>1</v>
      </c>
      <c r="Y27" s="3">
        <f>IF(Y26,MATCH(Y$3,CaseData!$G$12:$K$12,1),0)</f>
        <v>1</v>
      </c>
      <c r="Z27" s="3">
        <f>IF(Z26,MATCH(Z$3,CaseData!$G$12:$K$12,1),0)</f>
        <v>1</v>
      </c>
      <c r="AA27" s="3">
        <f>IF(AA26,MATCH(AA$3,CaseData!$G$12:$K$12,1),0)</f>
        <v>1</v>
      </c>
      <c r="AB27" s="3">
        <f>IF(AB26,MATCH(AB$3,CaseData!$G$12:$K$12,1),0)</f>
        <v>1</v>
      </c>
      <c r="AC27" s="3">
        <f>IF(AC26,MATCH(AC$3,CaseData!$G$12:$K$12,1),0)</f>
        <v>1</v>
      </c>
      <c r="AD27" s="3">
        <f>IF(AD26,MATCH(AD$3,CaseData!$G$12:$K$12,1),0)</f>
        <v>2</v>
      </c>
      <c r="AE27" s="3">
        <f>IF(AE26,MATCH(AE$3,CaseData!$G$12:$K$12,1),0)</f>
        <v>2</v>
      </c>
      <c r="AF27" s="3">
        <f>IF(AF26,MATCH(AF$3,CaseData!$G$12:$K$12,1),0)</f>
        <v>2</v>
      </c>
      <c r="AG27" s="3">
        <f>IF(AG26,MATCH(AG$3,CaseData!$G$12:$K$12,1),0)</f>
        <v>2</v>
      </c>
      <c r="AH27" s="3">
        <f>IF(AH26,MATCH(AH$3,CaseData!$G$12:$K$12,1),0)</f>
        <v>2</v>
      </c>
      <c r="AI27" s="3">
        <f>IF(AI26,MATCH(AI$3,CaseData!$G$12:$K$12,1),0)</f>
        <v>2</v>
      </c>
      <c r="AJ27" s="3">
        <f>IF(AJ26,MATCH(AJ$3,CaseData!$G$12:$K$12,1),0)</f>
        <v>2</v>
      </c>
      <c r="AK27" s="3">
        <f>IF(AK26,MATCH(AK$3,CaseData!$G$12:$K$12,1),0)</f>
        <v>2</v>
      </c>
      <c r="AL27" s="3">
        <f>IF(AL26,MATCH(AL$3,CaseData!$G$12:$K$12,1),0)</f>
        <v>2</v>
      </c>
      <c r="AM27" s="3">
        <f>IF(AM26,MATCH(AM$3,CaseData!$G$12:$K$12,1),0)</f>
        <v>2</v>
      </c>
      <c r="AN27" s="3">
        <f>IF(AN26,MATCH(AN$3,CaseData!$G$12:$K$12,1),0)</f>
        <v>2</v>
      </c>
      <c r="AO27" s="3">
        <f>IF(AO26,MATCH(AO$3,CaseData!$G$12:$K$12,1),0)</f>
        <v>2</v>
      </c>
      <c r="AP27" s="3">
        <f>IF(AP26,MATCH(AP$3,CaseData!$G$12:$K$12,1),0)</f>
        <v>2</v>
      </c>
      <c r="AQ27" s="3">
        <f>IF(AQ26,MATCH(AQ$3,CaseData!$G$12:$K$12,1),0)</f>
        <v>2</v>
      </c>
      <c r="AR27" s="3">
        <f>IF(AR26,MATCH(AR$3,CaseData!$G$12:$K$12,1),0)</f>
        <v>2</v>
      </c>
      <c r="AS27" s="3">
        <f>IF(AS26,MATCH(AS$3,CaseData!$G$12:$K$12,1),0)</f>
        <v>2</v>
      </c>
      <c r="AT27" s="3">
        <f>IF(AT26,MATCH(AT$3,CaseData!$G$12:$K$12,1),0)</f>
        <v>2</v>
      </c>
      <c r="AU27" s="3">
        <f>IF(AU26,MATCH(AU$3,CaseData!$G$12:$K$12,1),0)</f>
        <v>2</v>
      </c>
      <c r="AV27" s="3">
        <f>IF(AV26,MATCH(AV$3,CaseData!$G$12:$K$12,1),0)</f>
        <v>2</v>
      </c>
      <c r="AW27" s="3">
        <f>IF(AW26,MATCH(AW$3,CaseData!$G$12:$K$12,1),0)</f>
        <v>2</v>
      </c>
      <c r="AX27" s="3">
        <f>IF(AX26,MATCH(AX$3,CaseData!$G$12:$K$12,1),0)</f>
        <v>3</v>
      </c>
      <c r="AY27" s="3">
        <f>IF(AY26,MATCH(AY$3,CaseData!$G$12:$K$12,1),0)</f>
        <v>3</v>
      </c>
      <c r="AZ27" s="3">
        <f>IF(AZ26,MATCH(AZ$3,CaseData!$G$12:$K$12,1),0)</f>
        <v>3</v>
      </c>
      <c r="BA27" s="3">
        <f>IF(BA26,MATCH(BA$3,CaseData!$G$12:$K$12,1),0)</f>
        <v>3</v>
      </c>
      <c r="BB27" s="3">
        <f>IF(BB26,MATCH(BB$3,CaseData!$G$12:$K$12,1),0)</f>
        <v>3</v>
      </c>
      <c r="BC27" s="3">
        <f>IF(BC26,MATCH(BC$3,CaseData!$G$12:$K$12,1),0)</f>
        <v>3</v>
      </c>
      <c r="BD27" s="3">
        <f>IF(BD26,MATCH(BD$3,CaseData!$G$12:$K$12,1),0)</f>
        <v>3</v>
      </c>
      <c r="BE27" s="3">
        <f>IF(BE26,MATCH(BE$3,CaseData!$G$12:$K$12,1),0)</f>
        <v>3</v>
      </c>
      <c r="BF27" s="3">
        <f>IF(BF26,MATCH(BF$3,CaseData!$G$12:$K$12,1),0)</f>
        <v>3</v>
      </c>
      <c r="BG27" s="3">
        <f>IF(BG26,MATCH(BG$3,CaseData!$G$12:$K$12,1),0)</f>
        <v>3</v>
      </c>
      <c r="BH27" s="3">
        <f>IF(BH26,MATCH(BH$3,CaseData!$G$12:$K$12,1),0)</f>
        <v>3</v>
      </c>
      <c r="BI27" s="3">
        <f>IF(BI26,MATCH(BI$3,CaseData!$G$12:$K$12,1),0)</f>
        <v>3</v>
      </c>
      <c r="BJ27" s="3">
        <f>IF(BJ26,MATCH(BJ$3,CaseData!$G$12:$K$12,1),0)</f>
        <v>3</v>
      </c>
      <c r="BK27" s="3">
        <f>IF(BK26,MATCH(BK$3,CaseData!$G$12:$K$12,1),0)</f>
        <v>3</v>
      </c>
      <c r="BL27" s="3">
        <f>IF(BL26,MATCH(BL$3,CaseData!$G$12:$K$12,1),0)</f>
        <v>3</v>
      </c>
      <c r="BM27" s="3">
        <f>IF(BM26,MATCH(BM$3,CaseData!$G$12:$K$12,1),0)</f>
        <v>3</v>
      </c>
      <c r="BN27" s="3">
        <f>IF(BN26,MATCH(BN$3,CaseData!$G$12:$K$12,1),0)</f>
        <v>3</v>
      </c>
      <c r="BO27" s="3">
        <f>IF(BO26,MATCH(BO$3,CaseData!$G$12:$K$12,1),0)</f>
        <v>3</v>
      </c>
      <c r="BP27" s="3">
        <f>IF(BP26,MATCH(BP$3,CaseData!$G$12:$K$12,1),0)</f>
        <v>3</v>
      </c>
      <c r="BQ27" s="3">
        <f>IF(BQ26,MATCH(BQ$3,CaseData!$G$12:$K$12,1),0)</f>
        <v>3</v>
      </c>
      <c r="BR27" s="3">
        <f>IF(BR26,MATCH(BR$3,CaseData!$G$12:$K$12,1),0)</f>
        <v>4</v>
      </c>
      <c r="BS27" s="3">
        <f>IF(BS26,MATCH(BS$3,CaseData!$G$12:$K$12,1),0)</f>
        <v>4</v>
      </c>
      <c r="BT27" s="3">
        <f>IF(BT26,MATCH(BT$3,CaseData!$G$12:$K$12,1),0)</f>
        <v>4</v>
      </c>
      <c r="BU27" s="3">
        <f>IF(BU26,MATCH(BU$3,CaseData!$G$12:$K$12,1),0)</f>
        <v>4</v>
      </c>
      <c r="BV27" s="3">
        <f>IF(BV26,MATCH(BV$3,CaseData!$G$12:$K$12,1),0)</f>
        <v>4</v>
      </c>
      <c r="BW27" s="3">
        <f>IF(BW26,MATCH(BW$3,CaseData!$G$12:$K$12,1),0)</f>
        <v>4</v>
      </c>
      <c r="BX27" s="3">
        <f>IF(BX26,MATCH(BX$3,CaseData!$G$12:$K$12,1),0)</f>
        <v>4</v>
      </c>
      <c r="BY27" s="3">
        <f>IF(BY26,MATCH(BY$3,CaseData!$G$12:$K$12,1),0)</f>
        <v>4</v>
      </c>
      <c r="BZ27" s="3">
        <f>IF(BZ26,MATCH(BZ$3,CaseData!$G$12:$K$12,1),0)</f>
        <v>4</v>
      </c>
      <c r="CA27" s="3">
        <f>IF(CA26,MATCH(CA$3,CaseData!$G$12:$K$12,1),0)</f>
        <v>4</v>
      </c>
      <c r="CB27" s="3">
        <f>IF(CB26,MATCH(CB$3,CaseData!$G$12:$K$12,1),0)</f>
        <v>4</v>
      </c>
      <c r="CC27" s="3">
        <f>IF(CC26,MATCH(CC$3,CaseData!$G$12:$K$12,1),0)</f>
        <v>4</v>
      </c>
      <c r="CD27" s="3">
        <f>IF(CD26,MATCH(CD$3,CaseData!$G$12:$K$12,1),0)</f>
        <v>4</v>
      </c>
      <c r="CE27" s="3">
        <f>IF(CE26,MATCH(CE$3,CaseData!$G$12:$K$12,1),0)</f>
        <v>4</v>
      </c>
      <c r="CF27" s="3">
        <f>IF(CF26,MATCH(CF$3,CaseData!$G$12:$K$12,1),0)</f>
        <v>4</v>
      </c>
      <c r="CG27" s="3">
        <f>IF(CG26,MATCH(CG$3,CaseData!$G$12:$K$12,1),0)</f>
        <v>4</v>
      </c>
      <c r="CH27" s="3">
        <f>IF(CH26,MATCH(CH$3,CaseData!$G$12:$K$12,1),0)</f>
        <v>4</v>
      </c>
      <c r="CI27" s="3">
        <f>IF(CI26,MATCH(CI$3,CaseData!$G$12:$K$12,1),0)</f>
        <v>4</v>
      </c>
      <c r="CJ27" s="3">
        <f>IF(CJ26,MATCH(CJ$3,CaseData!$G$12:$K$12,1),0)</f>
        <v>4</v>
      </c>
      <c r="CK27" s="3">
        <f>IF(CK26,MATCH(CK$3,CaseData!$G$12:$K$12,1),0)</f>
        <v>4</v>
      </c>
      <c r="CL27" s="3">
        <f>IF(CL26,MATCH(CL$3,CaseData!$G$12:$K$12,1),0)</f>
        <v>5</v>
      </c>
      <c r="CM27" s="3">
        <f>IF(CM26,MATCH(CM$3,CaseData!$G$12:$K$12,1),0)</f>
        <v>5</v>
      </c>
      <c r="CN27" s="3">
        <f>IF(CN26,MATCH(CN$3,CaseData!$G$12:$K$12,1),0)</f>
        <v>5</v>
      </c>
      <c r="CO27" s="3">
        <f>IF(CO26,MATCH(CO$3,CaseData!$G$12:$K$12,1),0)</f>
        <v>5</v>
      </c>
      <c r="CP27" s="3">
        <f>IF(CP26,MATCH(CP$3,CaseData!$G$12:$K$12,1),0)</f>
        <v>5</v>
      </c>
      <c r="CQ27" s="3">
        <f>IF(CQ26,MATCH(CQ$3,CaseData!$G$12:$K$12,1),0)</f>
        <v>5</v>
      </c>
      <c r="CR27" s="3">
        <f>IF(CR26,MATCH(CR$3,CaseData!$G$12:$K$12,1),0)</f>
        <v>5</v>
      </c>
      <c r="CS27" s="3">
        <f>IF(CS26,MATCH(CS$3,CaseData!$G$12:$K$12,1),0)</f>
        <v>5</v>
      </c>
      <c r="CT27" s="3">
        <f>IF(CT26,MATCH(CT$3,CaseData!$G$12:$K$12,1),0)</f>
        <v>5</v>
      </c>
      <c r="CU27" s="3">
        <f>IF(CU26,MATCH(CU$3,CaseData!$G$12:$K$12,1),0)</f>
        <v>5</v>
      </c>
      <c r="CV27" s="3">
        <f>IF(CV26,MATCH(CV$3,CaseData!$G$12:$K$12,1),0)</f>
        <v>5</v>
      </c>
      <c r="CW27" s="3">
        <f>IF(CW26,MATCH(CW$3,CaseData!$G$12:$K$12,1),0)</f>
        <v>5</v>
      </c>
      <c r="CX27" s="3">
        <f>IF(CX26,MATCH(CX$3,CaseData!$G$12:$K$12,1),0)</f>
        <v>5</v>
      </c>
      <c r="CY27" s="3">
        <f>IF(CY26,MATCH(CY$3,CaseData!$G$12:$K$12,1),0)</f>
        <v>5</v>
      </c>
      <c r="CZ27" s="3">
        <f>IF(CZ26,MATCH(CZ$3,CaseData!$G$12:$K$12,1),0)</f>
        <v>5</v>
      </c>
      <c r="DA27" s="3">
        <f>IF(DA26,MATCH(DA$3,CaseData!$G$12:$K$12,1),0)</f>
        <v>5</v>
      </c>
      <c r="DB27" s="3">
        <f>IF(DB26,MATCH(DB$3,CaseData!$G$12:$K$12,1),0)</f>
        <v>5</v>
      </c>
      <c r="DC27" s="3">
        <f>IF(DC26,MATCH(DC$3,CaseData!$G$12:$K$12,1),0)</f>
        <v>5</v>
      </c>
      <c r="DD27" s="3">
        <f>IF(DD26,MATCH(DD$3,CaseData!$G$12:$K$12,1),0)</f>
        <v>5</v>
      </c>
      <c r="DE27" s="3">
        <f>IF(DE26,MATCH(DE$3,CaseData!$G$12:$K$12,1),0)</f>
        <v>5</v>
      </c>
      <c r="DF27" s="3">
        <f>IF(DF26,MATCH(DF$3,CaseData!$G$12:$K$12,1),0)</f>
        <v>5</v>
      </c>
      <c r="DG27" s="3">
        <f>IF(DG26,MATCH(DG$3,CaseData!$G$12:$K$12,1),0)</f>
        <v>5</v>
      </c>
      <c r="DH27" s="3">
        <f>IF(DH26,MATCH(DH$3,CaseData!$G$12:$K$12,1),0)</f>
        <v>5</v>
      </c>
      <c r="DI27" s="3">
        <f>IF(DI26,MATCH(DI$3,CaseData!$G$12:$K$12,1),0)</f>
        <v>5</v>
      </c>
      <c r="DJ27" s="3">
        <f>IF(DJ26,MATCH(DJ$3,CaseData!$G$12:$K$12,1),0)</f>
        <v>5</v>
      </c>
      <c r="DK27" s="3">
        <f>IF(DK26,MATCH(DK$3,CaseData!$G$12:$K$12,1),0)</f>
        <v>5</v>
      </c>
      <c r="DL27" s="3">
        <f>IF(DL26,MATCH(DL$3,CaseData!$G$12:$K$12,1),0)</f>
        <v>5</v>
      </c>
      <c r="DM27" s="3">
        <f>IF(DM26,MATCH(DM$3,CaseData!$G$12:$K$12,1),0)</f>
        <v>5</v>
      </c>
      <c r="DN27" s="3">
        <f>IF(DN26,MATCH(DN$3,CaseData!$G$12:$K$12,1),0)</f>
        <v>5</v>
      </c>
      <c r="DO27" s="3">
        <f>IF(DO26,MATCH(DO$3,CaseData!$G$12:$K$12,1),0)</f>
        <v>5</v>
      </c>
      <c r="DP27" s="3">
        <f>IF(DP26,MATCH(DP$3,CaseData!$G$12:$K$12,1),0)</f>
        <v>5</v>
      </c>
      <c r="DQ27" s="3">
        <f>IF(DQ26,MATCH(DQ$3,CaseData!$G$12:$K$12,1),0)</f>
        <v>5</v>
      </c>
      <c r="DR27" s="3">
        <f>IF(DR26,MATCH(DR$3,CaseData!$G$12:$K$12,1),0)</f>
        <v>5</v>
      </c>
      <c r="DS27" s="3">
        <f>IF(DS26,MATCH(DS$3,CaseData!$G$12:$K$12,1),0)</f>
        <v>5</v>
      </c>
      <c r="DT27" s="3">
        <f>IF(DT26,MATCH(DT$3,CaseData!$G$12:$K$12,1),0)</f>
        <v>5</v>
      </c>
      <c r="DU27" s="3">
        <f>IF(DU26,MATCH(DU$3,CaseData!$G$12:$K$12,1),0)</f>
        <v>5</v>
      </c>
      <c r="DV27" s="3">
        <f>IF(DV26,MATCH(DV$3,CaseData!$G$12:$K$12,1),0)</f>
        <v>5</v>
      </c>
      <c r="DW27" s="3">
        <f>IF(DW26,MATCH(DW$3,CaseData!$G$12:$K$12,1),0)</f>
        <v>5</v>
      </c>
      <c r="DX27" s="3">
        <f>IF(DX26,MATCH(DX$3,CaseData!$G$12:$K$12,1),0)</f>
        <v>5</v>
      </c>
      <c r="DY27" s="3">
        <f>IF(DY26,MATCH(DY$3,CaseData!$G$12:$K$12,1),0)</f>
        <v>5</v>
      </c>
    </row>
    <row r="28" spans="1:129">
      <c r="C28" s="3" t="s">
        <v>61</v>
      </c>
      <c r="D28" s="10" t="s">
        <v>0</v>
      </c>
      <c r="G28" s="23">
        <f>SUM(I28:DY28)</f>
        <v>51600000</v>
      </c>
      <c r="I28" s="3">
        <f>INDEX(CaseData!$G$14:$K$14,CaseSolution!I27)*I26</f>
        <v>0</v>
      </c>
      <c r="J28" s="3">
        <f>INDEX(CaseData!$G$14:$K$14,CaseSolution!J27)*J26</f>
        <v>350000</v>
      </c>
      <c r="K28" s="3">
        <f>INDEX(CaseData!$G$14:$K$14,CaseSolution!K27)*K26</f>
        <v>350000</v>
      </c>
      <c r="L28" s="3">
        <f>INDEX(CaseData!$G$14:$K$14,CaseSolution!L27)*L26</f>
        <v>350000</v>
      </c>
      <c r="M28" s="3">
        <f>INDEX(CaseData!$G$14:$K$14,CaseSolution!M27)*M26</f>
        <v>350000</v>
      </c>
      <c r="N28" s="3">
        <f>INDEX(CaseData!$G$14:$K$14,CaseSolution!N27)*N26</f>
        <v>350000</v>
      </c>
      <c r="O28" s="3">
        <f>INDEX(CaseData!$G$14:$K$14,CaseSolution!O27)*O26</f>
        <v>350000</v>
      </c>
      <c r="P28" s="3">
        <f>INDEX(CaseData!$G$14:$K$14,CaseSolution!P27)*P26</f>
        <v>350000</v>
      </c>
      <c r="Q28" s="3">
        <f>INDEX(CaseData!$G$14:$K$14,CaseSolution!Q27)*Q26</f>
        <v>350000</v>
      </c>
      <c r="R28" s="3">
        <f>INDEX(CaseData!$G$14:$K$14,CaseSolution!R27)*R26</f>
        <v>350000</v>
      </c>
      <c r="S28" s="3">
        <f>INDEX(CaseData!$G$14:$K$14,CaseSolution!S27)*S26</f>
        <v>350000</v>
      </c>
      <c r="T28" s="3">
        <f>INDEX(CaseData!$G$14:$K$14,CaseSolution!T27)*T26</f>
        <v>350000</v>
      </c>
      <c r="U28" s="3">
        <f>INDEX(CaseData!$G$14:$K$14,CaseSolution!U27)*U26</f>
        <v>350000</v>
      </c>
      <c r="V28" s="3">
        <f>INDEX(CaseData!$G$14:$K$14,CaseSolution!V27)*V26</f>
        <v>350000</v>
      </c>
      <c r="W28" s="3">
        <f>INDEX(CaseData!$G$14:$K$14,CaseSolution!W27)*W26</f>
        <v>350000</v>
      </c>
      <c r="X28" s="3">
        <f>INDEX(CaseData!$G$14:$K$14,CaseSolution!X27)*X26</f>
        <v>350000</v>
      </c>
      <c r="Y28" s="3">
        <f>INDEX(CaseData!$G$14:$K$14,CaseSolution!Y27)*Y26</f>
        <v>350000</v>
      </c>
      <c r="Z28" s="3">
        <f>INDEX(CaseData!$G$14:$K$14,CaseSolution!Z27)*Z26</f>
        <v>350000</v>
      </c>
      <c r="AA28" s="3">
        <f>INDEX(CaseData!$G$14:$K$14,CaseSolution!AA27)*AA26</f>
        <v>350000</v>
      </c>
      <c r="AB28" s="3">
        <f>INDEX(CaseData!$G$14:$K$14,CaseSolution!AB27)*AB26</f>
        <v>350000</v>
      </c>
      <c r="AC28" s="3">
        <f>INDEX(CaseData!$G$14:$K$14,CaseSolution!AC27)*AC26</f>
        <v>350000</v>
      </c>
      <c r="AD28" s="3">
        <f>INDEX(CaseData!$G$14:$K$14,CaseSolution!AD27)*AD26</f>
        <v>380000</v>
      </c>
      <c r="AE28" s="3">
        <f>INDEX(CaseData!$G$14:$K$14,CaseSolution!AE27)*AE26</f>
        <v>380000</v>
      </c>
      <c r="AF28" s="3">
        <f>INDEX(CaseData!$G$14:$K$14,CaseSolution!AF27)*AF26</f>
        <v>380000</v>
      </c>
      <c r="AG28" s="3">
        <f>INDEX(CaseData!$G$14:$K$14,CaseSolution!AG27)*AG26</f>
        <v>380000</v>
      </c>
      <c r="AH28" s="3">
        <f>INDEX(CaseData!$G$14:$K$14,CaseSolution!AH27)*AH26</f>
        <v>380000</v>
      </c>
      <c r="AI28" s="3">
        <f>INDEX(CaseData!$G$14:$K$14,CaseSolution!AI27)*AI26</f>
        <v>380000</v>
      </c>
      <c r="AJ28" s="3">
        <f>INDEX(CaseData!$G$14:$K$14,CaseSolution!AJ27)*AJ26</f>
        <v>380000</v>
      </c>
      <c r="AK28" s="3">
        <f>INDEX(CaseData!$G$14:$K$14,CaseSolution!AK27)*AK26</f>
        <v>380000</v>
      </c>
      <c r="AL28" s="3">
        <f>INDEX(CaseData!$G$14:$K$14,CaseSolution!AL27)*AL26</f>
        <v>380000</v>
      </c>
      <c r="AM28" s="3">
        <f>INDEX(CaseData!$G$14:$K$14,CaseSolution!AM27)*AM26</f>
        <v>380000</v>
      </c>
      <c r="AN28" s="3">
        <f>INDEX(CaseData!$G$14:$K$14,CaseSolution!AN27)*AN26</f>
        <v>380000</v>
      </c>
      <c r="AO28" s="3">
        <f>INDEX(CaseData!$G$14:$K$14,CaseSolution!AO27)*AO26</f>
        <v>380000</v>
      </c>
      <c r="AP28" s="3">
        <f>INDEX(CaseData!$G$14:$K$14,CaseSolution!AP27)*AP26</f>
        <v>380000</v>
      </c>
      <c r="AQ28" s="3">
        <f>INDEX(CaseData!$G$14:$K$14,CaseSolution!AQ27)*AQ26</f>
        <v>380000</v>
      </c>
      <c r="AR28" s="3">
        <f>INDEX(CaseData!$G$14:$K$14,CaseSolution!AR27)*AR26</f>
        <v>380000</v>
      </c>
      <c r="AS28" s="3">
        <f>INDEX(CaseData!$G$14:$K$14,CaseSolution!AS27)*AS26</f>
        <v>380000</v>
      </c>
      <c r="AT28" s="3">
        <f>INDEX(CaseData!$G$14:$K$14,CaseSolution!AT27)*AT26</f>
        <v>380000</v>
      </c>
      <c r="AU28" s="3">
        <f>INDEX(CaseData!$G$14:$K$14,CaseSolution!AU27)*AU26</f>
        <v>380000</v>
      </c>
      <c r="AV28" s="3">
        <f>INDEX(CaseData!$G$14:$K$14,CaseSolution!AV27)*AV26</f>
        <v>380000</v>
      </c>
      <c r="AW28" s="3">
        <f>INDEX(CaseData!$G$14:$K$14,CaseSolution!AW27)*AW26</f>
        <v>380000</v>
      </c>
      <c r="AX28" s="3">
        <f>INDEX(CaseData!$G$14:$K$14,CaseSolution!AX27)*AX26</f>
        <v>400000</v>
      </c>
      <c r="AY28" s="3">
        <f>INDEX(CaseData!$G$14:$K$14,CaseSolution!AY27)*AY26</f>
        <v>400000</v>
      </c>
      <c r="AZ28" s="3">
        <f>INDEX(CaseData!$G$14:$K$14,CaseSolution!AZ27)*AZ26</f>
        <v>400000</v>
      </c>
      <c r="BA28" s="3">
        <f>INDEX(CaseData!$G$14:$K$14,CaseSolution!BA27)*BA26</f>
        <v>400000</v>
      </c>
      <c r="BB28" s="3">
        <f>INDEX(CaseData!$G$14:$K$14,CaseSolution!BB27)*BB26</f>
        <v>400000</v>
      </c>
      <c r="BC28" s="3">
        <f>INDEX(CaseData!$G$14:$K$14,CaseSolution!BC27)*BC26</f>
        <v>400000</v>
      </c>
      <c r="BD28" s="3">
        <f>INDEX(CaseData!$G$14:$K$14,CaseSolution!BD27)*BD26</f>
        <v>400000</v>
      </c>
      <c r="BE28" s="3">
        <f>INDEX(CaseData!$G$14:$K$14,CaseSolution!BE27)*BE26</f>
        <v>400000</v>
      </c>
      <c r="BF28" s="3">
        <f>INDEX(CaseData!$G$14:$K$14,CaseSolution!BF27)*BF26</f>
        <v>400000</v>
      </c>
      <c r="BG28" s="3">
        <f>INDEX(CaseData!$G$14:$K$14,CaseSolution!BG27)*BG26</f>
        <v>400000</v>
      </c>
      <c r="BH28" s="3">
        <f>INDEX(CaseData!$G$14:$K$14,CaseSolution!BH27)*BH26</f>
        <v>400000</v>
      </c>
      <c r="BI28" s="3">
        <f>INDEX(CaseData!$G$14:$K$14,CaseSolution!BI27)*BI26</f>
        <v>400000</v>
      </c>
      <c r="BJ28" s="3">
        <f>INDEX(CaseData!$G$14:$K$14,CaseSolution!BJ27)*BJ26</f>
        <v>400000</v>
      </c>
      <c r="BK28" s="3">
        <f>INDEX(CaseData!$G$14:$K$14,CaseSolution!BK27)*BK26</f>
        <v>400000</v>
      </c>
      <c r="BL28" s="3">
        <f>INDEX(CaseData!$G$14:$K$14,CaseSolution!BL27)*BL26</f>
        <v>400000</v>
      </c>
      <c r="BM28" s="3">
        <f>INDEX(CaseData!$G$14:$K$14,CaseSolution!BM27)*BM26</f>
        <v>400000</v>
      </c>
      <c r="BN28" s="3">
        <f>INDEX(CaseData!$G$14:$K$14,CaseSolution!BN27)*BN26</f>
        <v>400000</v>
      </c>
      <c r="BO28" s="3">
        <f>INDEX(CaseData!$G$14:$K$14,CaseSolution!BO27)*BO26</f>
        <v>400000</v>
      </c>
      <c r="BP28" s="3">
        <f>INDEX(CaseData!$G$14:$K$14,CaseSolution!BP27)*BP26</f>
        <v>400000</v>
      </c>
      <c r="BQ28" s="3">
        <f>INDEX(CaseData!$G$14:$K$14,CaseSolution!BQ27)*BQ26</f>
        <v>400000</v>
      </c>
      <c r="BR28" s="3">
        <f>INDEX(CaseData!$G$14:$K$14,CaseSolution!BR27)*BR26</f>
        <v>450000</v>
      </c>
      <c r="BS28" s="3">
        <f>INDEX(CaseData!$G$14:$K$14,CaseSolution!BS27)*BS26</f>
        <v>450000</v>
      </c>
      <c r="BT28" s="3">
        <f>INDEX(CaseData!$G$14:$K$14,CaseSolution!BT27)*BT26</f>
        <v>450000</v>
      </c>
      <c r="BU28" s="3">
        <f>INDEX(CaseData!$G$14:$K$14,CaseSolution!BU27)*BU26</f>
        <v>450000</v>
      </c>
      <c r="BV28" s="3">
        <f>INDEX(CaseData!$G$14:$K$14,CaseSolution!BV27)*BV26</f>
        <v>450000</v>
      </c>
      <c r="BW28" s="3">
        <f>INDEX(CaseData!$G$14:$K$14,CaseSolution!BW27)*BW26</f>
        <v>450000</v>
      </c>
      <c r="BX28" s="3">
        <f>INDEX(CaseData!$G$14:$K$14,CaseSolution!BX27)*BX26</f>
        <v>450000</v>
      </c>
      <c r="BY28" s="3">
        <f>INDEX(CaseData!$G$14:$K$14,CaseSolution!BY27)*BY26</f>
        <v>450000</v>
      </c>
      <c r="BZ28" s="3">
        <f>INDEX(CaseData!$G$14:$K$14,CaseSolution!BZ27)*BZ26</f>
        <v>450000</v>
      </c>
      <c r="CA28" s="3">
        <f>INDEX(CaseData!$G$14:$K$14,CaseSolution!CA27)*CA26</f>
        <v>450000</v>
      </c>
      <c r="CB28" s="3">
        <f>INDEX(CaseData!$G$14:$K$14,CaseSolution!CB27)*CB26</f>
        <v>450000</v>
      </c>
      <c r="CC28" s="3">
        <f>INDEX(CaseData!$G$14:$K$14,CaseSolution!CC27)*CC26</f>
        <v>450000</v>
      </c>
      <c r="CD28" s="3">
        <f>INDEX(CaseData!$G$14:$K$14,CaseSolution!CD27)*CD26</f>
        <v>450000</v>
      </c>
      <c r="CE28" s="3">
        <f>INDEX(CaseData!$G$14:$K$14,CaseSolution!CE27)*CE26</f>
        <v>450000</v>
      </c>
      <c r="CF28" s="3">
        <f>INDEX(CaseData!$G$14:$K$14,CaseSolution!CF27)*CF26</f>
        <v>450000</v>
      </c>
      <c r="CG28" s="3">
        <f>INDEX(CaseData!$G$14:$K$14,CaseSolution!CG27)*CG26</f>
        <v>450000</v>
      </c>
      <c r="CH28" s="3">
        <f>INDEX(CaseData!$G$14:$K$14,CaseSolution!CH27)*CH26</f>
        <v>450000</v>
      </c>
      <c r="CI28" s="3">
        <f>INDEX(CaseData!$G$14:$K$14,CaseSolution!CI27)*CI26</f>
        <v>450000</v>
      </c>
      <c r="CJ28" s="3">
        <f>INDEX(CaseData!$G$14:$K$14,CaseSolution!CJ27)*CJ26</f>
        <v>450000</v>
      </c>
      <c r="CK28" s="3">
        <f>INDEX(CaseData!$G$14:$K$14,CaseSolution!CK27)*CK26</f>
        <v>450000</v>
      </c>
      <c r="CL28" s="3">
        <f>INDEX(CaseData!$G$14:$K$14,CaseSolution!CL27)*CL26</f>
        <v>500000</v>
      </c>
      <c r="CM28" s="3">
        <f>INDEX(CaseData!$G$14:$K$14,CaseSolution!CM27)*CM26</f>
        <v>500000</v>
      </c>
      <c r="CN28" s="3">
        <f>INDEX(CaseData!$G$14:$K$14,CaseSolution!CN27)*CN26</f>
        <v>500000</v>
      </c>
      <c r="CO28" s="3">
        <f>INDEX(CaseData!$G$14:$K$14,CaseSolution!CO27)*CO26</f>
        <v>500000</v>
      </c>
      <c r="CP28" s="3">
        <f>INDEX(CaseData!$G$14:$K$14,CaseSolution!CP27)*CP26</f>
        <v>500000</v>
      </c>
      <c r="CQ28" s="3">
        <f>INDEX(CaseData!$G$14:$K$14,CaseSolution!CQ27)*CQ26</f>
        <v>500000</v>
      </c>
      <c r="CR28" s="3">
        <f>INDEX(CaseData!$G$14:$K$14,CaseSolution!CR27)*CR26</f>
        <v>500000</v>
      </c>
      <c r="CS28" s="3">
        <f>INDEX(CaseData!$G$14:$K$14,CaseSolution!CS27)*CS26</f>
        <v>500000</v>
      </c>
      <c r="CT28" s="3">
        <f>INDEX(CaseData!$G$14:$K$14,CaseSolution!CT27)*CT26</f>
        <v>500000</v>
      </c>
      <c r="CU28" s="3">
        <f>INDEX(CaseData!$G$14:$K$14,CaseSolution!CU27)*CU26</f>
        <v>500000</v>
      </c>
      <c r="CV28" s="3">
        <f>INDEX(CaseData!$G$14:$K$14,CaseSolution!CV27)*CV26</f>
        <v>500000</v>
      </c>
      <c r="CW28" s="3">
        <f>INDEX(CaseData!$G$14:$K$14,CaseSolution!CW27)*CW26</f>
        <v>500000</v>
      </c>
      <c r="CX28" s="3">
        <f>INDEX(CaseData!$G$14:$K$14,CaseSolution!CX27)*CX26</f>
        <v>500000</v>
      </c>
      <c r="CY28" s="3">
        <f>INDEX(CaseData!$G$14:$K$14,CaseSolution!CY27)*CY26</f>
        <v>500000</v>
      </c>
      <c r="CZ28" s="3">
        <f>INDEX(CaseData!$G$14:$K$14,CaseSolution!CZ27)*CZ26</f>
        <v>500000</v>
      </c>
      <c r="DA28" s="3">
        <f>INDEX(CaseData!$G$14:$K$14,CaseSolution!DA27)*DA26</f>
        <v>500000</v>
      </c>
      <c r="DB28" s="3">
        <f>INDEX(CaseData!$G$14:$K$14,CaseSolution!DB27)*DB26</f>
        <v>500000</v>
      </c>
      <c r="DC28" s="3">
        <f>INDEX(CaseData!$G$14:$K$14,CaseSolution!DC27)*DC26</f>
        <v>500000</v>
      </c>
      <c r="DD28" s="3">
        <f>INDEX(CaseData!$G$14:$K$14,CaseSolution!DD27)*DD26</f>
        <v>500000</v>
      </c>
      <c r="DE28" s="3">
        <f>INDEX(CaseData!$G$14:$K$14,CaseSolution!DE27)*DE26</f>
        <v>500000</v>
      </c>
      <c r="DF28" s="3">
        <f>INDEX(CaseData!$G$14:$K$14,CaseSolution!DF27)*DF26</f>
        <v>500000</v>
      </c>
      <c r="DG28" s="3">
        <f>INDEX(CaseData!$G$14:$K$14,CaseSolution!DG27)*DG26</f>
        <v>500000</v>
      </c>
      <c r="DH28" s="3">
        <f>INDEX(CaseData!$G$14:$K$14,CaseSolution!DH27)*DH26</f>
        <v>500000</v>
      </c>
      <c r="DI28" s="3">
        <f>INDEX(CaseData!$G$14:$K$14,CaseSolution!DI27)*DI26</f>
        <v>500000</v>
      </c>
      <c r="DJ28" s="3">
        <f>INDEX(CaseData!$G$14:$K$14,CaseSolution!DJ27)*DJ26</f>
        <v>500000</v>
      </c>
      <c r="DK28" s="3">
        <f>INDEX(CaseData!$G$14:$K$14,CaseSolution!DK27)*DK26</f>
        <v>500000</v>
      </c>
      <c r="DL28" s="3">
        <f>INDEX(CaseData!$G$14:$K$14,CaseSolution!DL27)*DL26</f>
        <v>500000</v>
      </c>
      <c r="DM28" s="3">
        <f>INDEX(CaseData!$G$14:$K$14,CaseSolution!DM27)*DM26</f>
        <v>500000</v>
      </c>
      <c r="DN28" s="3">
        <f>INDEX(CaseData!$G$14:$K$14,CaseSolution!DN27)*DN26</f>
        <v>500000</v>
      </c>
      <c r="DO28" s="3">
        <f>INDEX(CaseData!$G$14:$K$14,CaseSolution!DO27)*DO26</f>
        <v>500000</v>
      </c>
      <c r="DP28" s="3">
        <f>INDEX(CaseData!$G$14:$K$14,CaseSolution!DP27)*DP26</f>
        <v>500000</v>
      </c>
      <c r="DQ28" s="3">
        <f>INDEX(CaseData!$G$14:$K$14,CaseSolution!DQ27)*DQ26</f>
        <v>500000</v>
      </c>
      <c r="DR28" s="3">
        <f>INDEX(CaseData!$G$14:$K$14,CaseSolution!DR27)*DR26</f>
        <v>500000</v>
      </c>
      <c r="DS28" s="3">
        <f>INDEX(CaseData!$G$14:$K$14,CaseSolution!DS27)*DS26</f>
        <v>500000</v>
      </c>
      <c r="DT28" s="3">
        <f>INDEX(CaseData!$G$14:$K$14,CaseSolution!DT27)*DT26</f>
        <v>500000</v>
      </c>
      <c r="DU28" s="3">
        <f>INDEX(CaseData!$G$14:$K$14,CaseSolution!DU27)*DU26</f>
        <v>500000</v>
      </c>
      <c r="DV28" s="3">
        <f>INDEX(CaseData!$G$14:$K$14,CaseSolution!DV27)*DV26</f>
        <v>500000</v>
      </c>
      <c r="DW28" s="3">
        <f>INDEX(CaseData!$G$14:$K$14,CaseSolution!DW27)*DW26</f>
        <v>500000</v>
      </c>
      <c r="DX28" s="3">
        <f>INDEX(CaseData!$G$14:$K$14,CaseSolution!DX27)*DX26</f>
        <v>500000</v>
      </c>
      <c r="DY28" s="3">
        <f>INDEX(CaseData!$G$14:$K$14,CaseSolution!DY27)*DY26</f>
        <v>500000</v>
      </c>
    </row>
    <row r="29" spans="1:129">
      <c r="D29" s="10"/>
    </row>
    <row r="30" spans="1:129">
      <c r="D30" s="10"/>
    </row>
    <row r="31" spans="1:129" ht="15.6">
      <c r="A31" s="9" t="s">
        <v>62</v>
      </c>
      <c r="D31" s="10"/>
    </row>
    <row r="32" spans="1:129">
      <c r="B32" s="15" t="s">
        <v>63</v>
      </c>
      <c r="D32" s="10"/>
    </row>
    <row r="33" spans="2:129" ht="13.8">
      <c r="C33" s="7" t="s">
        <v>14</v>
      </c>
      <c r="D33" s="10" t="s">
        <v>0</v>
      </c>
      <c r="F33" s="28"/>
      <c r="G33" s="23">
        <f t="shared" ref="G33" si="20">SUM(I33:DY33)</f>
        <v>51600000</v>
      </c>
      <c r="I33" s="3">
        <f t="shared" ref="I33:BT33" si="21">I28</f>
        <v>0</v>
      </c>
      <c r="J33" s="3">
        <f t="shared" si="21"/>
        <v>350000</v>
      </c>
      <c r="K33" s="3">
        <f t="shared" si="21"/>
        <v>350000</v>
      </c>
      <c r="L33" s="3">
        <f t="shared" si="21"/>
        <v>350000</v>
      </c>
      <c r="M33" s="3">
        <f t="shared" si="21"/>
        <v>350000</v>
      </c>
      <c r="N33" s="3">
        <f t="shared" si="21"/>
        <v>350000</v>
      </c>
      <c r="O33" s="3">
        <f t="shared" si="21"/>
        <v>350000</v>
      </c>
      <c r="P33" s="3">
        <f t="shared" si="21"/>
        <v>350000</v>
      </c>
      <c r="Q33" s="3">
        <f t="shared" si="21"/>
        <v>350000</v>
      </c>
      <c r="R33" s="3">
        <f t="shared" si="21"/>
        <v>350000</v>
      </c>
      <c r="S33" s="3">
        <f t="shared" si="21"/>
        <v>350000</v>
      </c>
      <c r="T33" s="3">
        <f t="shared" si="21"/>
        <v>350000</v>
      </c>
      <c r="U33" s="3">
        <f t="shared" si="21"/>
        <v>350000</v>
      </c>
      <c r="V33" s="3">
        <f t="shared" si="21"/>
        <v>350000</v>
      </c>
      <c r="W33" s="3">
        <f t="shared" si="21"/>
        <v>350000</v>
      </c>
      <c r="X33" s="3">
        <f t="shared" si="21"/>
        <v>350000</v>
      </c>
      <c r="Y33" s="3">
        <f t="shared" si="21"/>
        <v>350000</v>
      </c>
      <c r="Z33" s="3">
        <f t="shared" si="21"/>
        <v>350000</v>
      </c>
      <c r="AA33" s="3">
        <f t="shared" si="21"/>
        <v>350000</v>
      </c>
      <c r="AB33" s="3">
        <f t="shared" si="21"/>
        <v>350000</v>
      </c>
      <c r="AC33" s="3">
        <f t="shared" si="21"/>
        <v>350000</v>
      </c>
      <c r="AD33" s="3">
        <f t="shared" si="21"/>
        <v>380000</v>
      </c>
      <c r="AE33" s="3">
        <f t="shared" si="21"/>
        <v>380000</v>
      </c>
      <c r="AF33" s="3">
        <f t="shared" si="21"/>
        <v>380000</v>
      </c>
      <c r="AG33" s="3">
        <f t="shared" si="21"/>
        <v>380000</v>
      </c>
      <c r="AH33" s="3">
        <f t="shared" si="21"/>
        <v>380000</v>
      </c>
      <c r="AI33" s="3">
        <f t="shared" si="21"/>
        <v>380000</v>
      </c>
      <c r="AJ33" s="3">
        <f t="shared" si="21"/>
        <v>380000</v>
      </c>
      <c r="AK33" s="3">
        <f t="shared" si="21"/>
        <v>380000</v>
      </c>
      <c r="AL33" s="3">
        <f t="shared" si="21"/>
        <v>380000</v>
      </c>
      <c r="AM33" s="3">
        <f t="shared" si="21"/>
        <v>380000</v>
      </c>
      <c r="AN33" s="3">
        <f t="shared" si="21"/>
        <v>380000</v>
      </c>
      <c r="AO33" s="3">
        <f t="shared" si="21"/>
        <v>380000</v>
      </c>
      <c r="AP33" s="3">
        <f t="shared" si="21"/>
        <v>380000</v>
      </c>
      <c r="AQ33" s="3">
        <f t="shared" si="21"/>
        <v>380000</v>
      </c>
      <c r="AR33" s="3">
        <f t="shared" si="21"/>
        <v>380000</v>
      </c>
      <c r="AS33" s="3">
        <f t="shared" si="21"/>
        <v>380000</v>
      </c>
      <c r="AT33" s="3">
        <f t="shared" si="21"/>
        <v>380000</v>
      </c>
      <c r="AU33" s="3">
        <f t="shared" si="21"/>
        <v>380000</v>
      </c>
      <c r="AV33" s="3">
        <f t="shared" si="21"/>
        <v>380000</v>
      </c>
      <c r="AW33" s="3">
        <f t="shared" si="21"/>
        <v>380000</v>
      </c>
      <c r="AX33" s="3">
        <f t="shared" si="21"/>
        <v>400000</v>
      </c>
      <c r="AY33" s="3">
        <f t="shared" si="21"/>
        <v>400000</v>
      </c>
      <c r="AZ33" s="3">
        <f t="shared" si="21"/>
        <v>400000</v>
      </c>
      <c r="BA33" s="3">
        <f t="shared" si="21"/>
        <v>400000</v>
      </c>
      <c r="BB33" s="3">
        <f t="shared" si="21"/>
        <v>400000</v>
      </c>
      <c r="BC33" s="3">
        <f t="shared" si="21"/>
        <v>400000</v>
      </c>
      <c r="BD33" s="3">
        <f t="shared" si="21"/>
        <v>400000</v>
      </c>
      <c r="BE33" s="3">
        <f t="shared" si="21"/>
        <v>400000</v>
      </c>
      <c r="BF33" s="3">
        <f t="shared" si="21"/>
        <v>400000</v>
      </c>
      <c r="BG33" s="3">
        <f t="shared" si="21"/>
        <v>400000</v>
      </c>
      <c r="BH33" s="3">
        <f t="shared" si="21"/>
        <v>400000</v>
      </c>
      <c r="BI33" s="3">
        <f t="shared" si="21"/>
        <v>400000</v>
      </c>
      <c r="BJ33" s="3">
        <f t="shared" si="21"/>
        <v>400000</v>
      </c>
      <c r="BK33" s="3">
        <f t="shared" si="21"/>
        <v>400000</v>
      </c>
      <c r="BL33" s="3">
        <f t="shared" si="21"/>
        <v>400000</v>
      </c>
      <c r="BM33" s="3">
        <f t="shared" si="21"/>
        <v>400000</v>
      </c>
      <c r="BN33" s="3">
        <f t="shared" si="21"/>
        <v>400000</v>
      </c>
      <c r="BO33" s="3">
        <f t="shared" si="21"/>
        <v>400000</v>
      </c>
      <c r="BP33" s="3">
        <f t="shared" si="21"/>
        <v>400000</v>
      </c>
      <c r="BQ33" s="3">
        <f t="shared" si="21"/>
        <v>400000</v>
      </c>
      <c r="BR33" s="3">
        <f t="shared" si="21"/>
        <v>450000</v>
      </c>
      <c r="BS33" s="3">
        <f t="shared" si="21"/>
        <v>450000</v>
      </c>
      <c r="BT33" s="3">
        <f t="shared" si="21"/>
        <v>450000</v>
      </c>
      <c r="BU33" s="3">
        <f t="shared" ref="BU33:DY33" si="22">BU28</f>
        <v>450000</v>
      </c>
      <c r="BV33" s="3">
        <f t="shared" si="22"/>
        <v>450000</v>
      </c>
      <c r="BW33" s="3">
        <f t="shared" si="22"/>
        <v>450000</v>
      </c>
      <c r="BX33" s="3">
        <f t="shared" si="22"/>
        <v>450000</v>
      </c>
      <c r="BY33" s="3">
        <f t="shared" si="22"/>
        <v>450000</v>
      </c>
      <c r="BZ33" s="3">
        <f t="shared" si="22"/>
        <v>450000</v>
      </c>
      <c r="CA33" s="3">
        <f t="shared" si="22"/>
        <v>450000</v>
      </c>
      <c r="CB33" s="3">
        <f t="shared" si="22"/>
        <v>450000</v>
      </c>
      <c r="CC33" s="3">
        <f t="shared" si="22"/>
        <v>450000</v>
      </c>
      <c r="CD33" s="3">
        <f t="shared" si="22"/>
        <v>450000</v>
      </c>
      <c r="CE33" s="3">
        <f t="shared" si="22"/>
        <v>450000</v>
      </c>
      <c r="CF33" s="3">
        <f t="shared" si="22"/>
        <v>450000</v>
      </c>
      <c r="CG33" s="3">
        <f t="shared" si="22"/>
        <v>450000</v>
      </c>
      <c r="CH33" s="3">
        <f t="shared" si="22"/>
        <v>450000</v>
      </c>
      <c r="CI33" s="3">
        <f t="shared" si="22"/>
        <v>450000</v>
      </c>
      <c r="CJ33" s="3">
        <f t="shared" si="22"/>
        <v>450000</v>
      </c>
      <c r="CK33" s="3">
        <f t="shared" si="22"/>
        <v>450000</v>
      </c>
      <c r="CL33" s="3">
        <f t="shared" si="22"/>
        <v>500000</v>
      </c>
      <c r="CM33" s="3">
        <f t="shared" si="22"/>
        <v>500000</v>
      </c>
      <c r="CN33" s="3">
        <f t="shared" si="22"/>
        <v>500000</v>
      </c>
      <c r="CO33" s="3">
        <f t="shared" si="22"/>
        <v>500000</v>
      </c>
      <c r="CP33" s="3">
        <f t="shared" si="22"/>
        <v>500000</v>
      </c>
      <c r="CQ33" s="3">
        <f t="shared" si="22"/>
        <v>500000</v>
      </c>
      <c r="CR33" s="3">
        <f t="shared" si="22"/>
        <v>500000</v>
      </c>
      <c r="CS33" s="3">
        <f t="shared" si="22"/>
        <v>500000</v>
      </c>
      <c r="CT33" s="3">
        <f t="shared" si="22"/>
        <v>500000</v>
      </c>
      <c r="CU33" s="3">
        <f t="shared" si="22"/>
        <v>500000</v>
      </c>
      <c r="CV33" s="3">
        <f t="shared" si="22"/>
        <v>500000</v>
      </c>
      <c r="CW33" s="3">
        <f t="shared" si="22"/>
        <v>500000</v>
      </c>
      <c r="CX33" s="3">
        <f t="shared" si="22"/>
        <v>500000</v>
      </c>
      <c r="CY33" s="3">
        <f t="shared" si="22"/>
        <v>500000</v>
      </c>
      <c r="CZ33" s="3">
        <f t="shared" si="22"/>
        <v>500000</v>
      </c>
      <c r="DA33" s="3">
        <f t="shared" si="22"/>
        <v>500000</v>
      </c>
      <c r="DB33" s="3">
        <f t="shared" si="22"/>
        <v>500000</v>
      </c>
      <c r="DC33" s="3">
        <f t="shared" si="22"/>
        <v>500000</v>
      </c>
      <c r="DD33" s="3">
        <f t="shared" si="22"/>
        <v>500000</v>
      </c>
      <c r="DE33" s="3">
        <f t="shared" si="22"/>
        <v>500000</v>
      </c>
      <c r="DF33" s="3">
        <f t="shared" si="22"/>
        <v>500000</v>
      </c>
      <c r="DG33" s="3">
        <f t="shared" si="22"/>
        <v>500000</v>
      </c>
      <c r="DH33" s="3">
        <f t="shared" si="22"/>
        <v>500000</v>
      </c>
      <c r="DI33" s="3">
        <f t="shared" si="22"/>
        <v>500000</v>
      </c>
      <c r="DJ33" s="3">
        <f t="shared" si="22"/>
        <v>500000</v>
      </c>
      <c r="DK33" s="3">
        <f t="shared" si="22"/>
        <v>500000</v>
      </c>
      <c r="DL33" s="3">
        <f t="shared" si="22"/>
        <v>500000</v>
      </c>
      <c r="DM33" s="3">
        <f t="shared" si="22"/>
        <v>500000</v>
      </c>
      <c r="DN33" s="3">
        <f t="shared" si="22"/>
        <v>500000</v>
      </c>
      <c r="DO33" s="3">
        <f t="shared" si="22"/>
        <v>500000</v>
      </c>
      <c r="DP33" s="3">
        <f t="shared" si="22"/>
        <v>500000</v>
      </c>
      <c r="DQ33" s="3">
        <f t="shared" si="22"/>
        <v>500000</v>
      </c>
      <c r="DR33" s="3">
        <f t="shared" si="22"/>
        <v>500000</v>
      </c>
      <c r="DS33" s="3">
        <f t="shared" si="22"/>
        <v>500000</v>
      </c>
      <c r="DT33" s="3">
        <f t="shared" si="22"/>
        <v>500000</v>
      </c>
      <c r="DU33" s="3">
        <f t="shared" si="22"/>
        <v>500000</v>
      </c>
      <c r="DV33" s="3">
        <f t="shared" si="22"/>
        <v>500000</v>
      </c>
      <c r="DW33" s="3">
        <f t="shared" si="22"/>
        <v>500000</v>
      </c>
      <c r="DX33" s="3">
        <f t="shared" si="22"/>
        <v>500000</v>
      </c>
      <c r="DY33" s="3">
        <f t="shared" si="22"/>
        <v>500000</v>
      </c>
    </row>
    <row r="34" spans="2:129" ht="13.8">
      <c r="C34" s="7" t="s">
        <v>64</v>
      </c>
      <c r="D34" s="10" t="s">
        <v>0</v>
      </c>
      <c r="F34" s="28"/>
      <c r="G34" s="23">
        <f>SUM(I34:DY34)</f>
        <v>5000000</v>
      </c>
      <c r="I34" s="3">
        <f t="shared" ref="I34:BT34" si="23">0-I102</f>
        <v>5000000</v>
      </c>
      <c r="J34" s="3">
        <f t="shared" si="23"/>
        <v>0</v>
      </c>
      <c r="K34" s="3">
        <f t="shared" si="23"/>
        <v>0</v>
      </c>
      <c r="L34" s="3">
        <f t="shared" si="23"/>
        <v>0</v>
      </c>
      <c r="M34" s="3">
        <f t="shared" si="23"/>
        <v>0</v>
      </c>
      <c r="N34" s="3">
        <f t="shared" si="23"/>
        <v>0</v>
      </c>
      <c r="O34" s="3">
        <f t="shared" si="23"/>
        <v>0</v>
      </c>
      <c r="P34" s="3">
        <f t="shared" si="23"/>
        <v>0</v>
      </c>
      <c r="Q34" s="3">
        <f t="shared" si="23"/>
        <v>0</v>
      </c>
      <c r="R34" s="3">
        <f t="shared" si="23"/>
        <v>0</v>
      </c>
      <c r="S34" s="3">
        <f t="shared" si="23"/>
        <v>0</v>
      </c>
      <c r="T34" s="3">
        <f t="shared" si="23"/>
        <v>0</v>
      </c>
      <c r="U34" s="3">
        <f t="shared" si="23"/>
        <v>0</v>
      </c>
      <c r="V34" s="3">
        <f t="shared" si="23"/>
        <v>0</v>
      </c>
      <c r="W34" s="3">
        <f t="shared" si="23"/>
        <v>0</v>
      </c>
      <c r="X34" s="3">
        <f t="shared" si="23"/>
        <v>0</v>
      </c>
      <c r="Y34" s="3">
        <f t="shared" si="23"/>
        <v>0</v>
      </c>
      <c r="Z34" s="3">
        <f t="shared" si="23"/>
        <v>0</v>
      </c>
      <c r="AA34" s="3">
        <f t="shared" si="23"/>
        <v>0</v>
      </c>
      <c r="AB34" s="3">
        <f t="shared" si="23"/>
        <v>0</v>
      </c>
      <c r="AC34" s="3">
        <f t="shared" si="23"/>
        <v>0</v>
      </c>
      <c r="AD34" s="3">
        <f t="shared" si="23"/>
        <v>0</v>
      </c>
      <c r="AE34" s="3">
        <f t="shared" si="23"/>
        <v>0</v>
      </c>
      <c r="AF34" s="3">
        <f t="shared" si="23"/>
        <v>0</v>
      </c>
      <c r="AG34" s="3">
        <f t="shared" si="23"/>
        <v>0</v>
      </c>
      <c r="AH34" s="3">
        <f t="shared" si="23"/>
        <v>0</v>
      </c>
      <c r="AI34" s="3">
        <f t="shared" si="23"/>
        <v>0</v>
      </c>
      <c r="AJ34" s="3">
        <f t="shared" si="23"/>
        <v>0</v>
      </c>
      <c r="AK34" s="3">
        <f t="shared" si="23"/>
        <v>0</v>
      </c>
      <c r="AL34" s="3">
        <f t="shared" si="23"/>
        <v>0</v>
      </c>
      <c r="AM34" s="3">
        <f t="shared" si="23"/>
        <v>0</v>
      </c>
      <c r="AN34" s="3">
        <f t="shared" si="23"/>
        <v>0</v>
      </c>
      <c r="AO34" s="3">
        <f t="shared" si="23"/>
        <v>0</v>
      </c>
      <c r="AP34" s="3">
        <f t="shared" si="23"/>
        <v>0</v>
      </c>
      <c r="AQ34" s="3">
        <f t="shared" si="23"/>
        <v>0</v>
      </c>
      <c r="AR34" s="3">
        <f t="shared" si="23"/>
        <v>0</v>
      </c>
      <c r="AS34" s="3">
        <f t="shared" si="23"/>
        <v>0</v>
      </c>
      <c r="AT34" s="3">
        <f t="shared" si="23"/>
        <v>0</v>
      </c>
      <c r="AU34" s="3">
        <f t="shared" si="23"/>
        <v>0</v>
      </c>
      <c r="AV34" s="3">
        <f t="shared" si="23"/>
        <v>0</v>
      </c>
      <c r="AW34" s="3">
        <f t="shared" si="23"/>
        <v>0</v>
      </c>
      <c r="AX34" s="3">
        <f t="shared" si="23"/>
        <v>0</v>
      </c>
      <c r="AY34" s="3">
        <f t="shared" si="23"/>
        <v>0</v>
      </c>
      <c r="AZ34" s="3">
        <f t="shared" si="23"/>
        <v>0</v>
      </c>
      <c r="BA34" s="3">
        <f t="shared" si="23"/>
        <v>0</v>
      </c>
      <c r="BB34" s="3">
        <f t="shared" si="23"/>
        <v>0</v>
      </c>
      <c r="BC34" s="3">
        <f t="shared" si="23"/>
        <v>0</v>
      </c>
      <c r="BD34" s="3">
        <f t="shared" si="23"/>
        <v>0</v>
      </c>
      <c r="BE34" s="3">
        <f t="shared" si="23"/>
        <v>0</v>
      </c>
      <c r="BF34" s="3">
        <f t="shared" si="23"/>
        <v>0</v>
      </c>
      <c r="BG34" s="3">
        <f t="shared" si="23"/>
        <v>0</v>
      </c>
      <c r="BH34" s="3">
        <f t="shared" si="23"/>
        <v>0</v>
      </c>
      <c r="BI34" s="3">
        <f t="shared" si="23"/>
        <v>0</v>
      </c>
      <c r="BJ34" s="3">
        <f t="shared" si="23"/>
        <v>0</v>
      </c>
      <c r="BK34" s="3">
        <f t="shared" si="23"/>
        <v>0</v>
      </c>
      <c r="BL34" s="3">
        <f t="shared" si="23"/>
        <v>0</v>
      </c>
      <c r="BM34" s="3">
        <f t="shared" si="23"/>
        <v>0</v>
      </c>
      <c r="BN34" s="3">
        <f t="shared" si="23"/>
        <v>0</v>
      </c>
      <c r="BO34" s="3">
        <f t="shared" si="23"/>
        <v>0</v>
      </c>
      <c r="BP34" s="3">
        <f t="shared" si="23"/>
        <v>0</v>
      </c>
      <c r="BQ34" s="3">
        <f t="shared" si="23"/>
        <v>0</v>
      </c>
      <c r="BR34" s="3">
        <f t="shared" si="23"/>
        <v>0</v>
      </c>
      <c r="BS34" s="3">
        <f t="shared" si="23"/>
        <v>0</v>
      </c>
      <c r="BT34" s="3">
        <f t="shared" si="23"/>
        <v>0</v>
      </c>
      <c r="BU34" s="3">
        <f t="shared" ref="BU34:DY34" si="24">0-BU102</f>
        <v>0</v>
      </c>
      <c r="BV34" s="3">
        <f t="shared" si="24"/>
        <v>0</v>
      </c>
      <c r="BW34" s="3">
        <f t="shared" si="24"/>
        <v>0</v>
      </c>
      <c r="BX34" s="3">
        <f t="shared" si="24"/>
        <v>0</v>
      </c>
      <c r="BY34" s="3">
        <f t="shared" si="24"/>
        <v>0</v>
      </c>
      <c r="BZ34" s="3">
        <f t="shared" si="24"/>
        <v>0</v>
      </c>
      <c r="CA34" s="3">
        <f t="shared" si="24"/>
        <v>0</v>
      </c>
      <c r="CB34" s="3">
        <f t="shared" si="24"/>
        <v>0</v>
      </c>
      <c r="CC34" s="3">
        <f t="shared" si="24"/>
        <v>0</v>
      </c>
      <c r="CD34" s="3">
        <f t="shared" si="24"/>
        <v>0</v>
      </c>
      <c r="CE34" s="3">
        <f t="shared" si="24"/>
        <v>0</v>
      </c>
      <c r="CF34" s="3">
        <f t="shared" si="24"/>
        <v>0</v>
      </c>
      <c r="CG34" s="3">
        <f t="shared" si="24"/>
        <v>0</v>
      </c>
      <c r="CH34" s="3">
        <f t="shared" si="24"/>
        <v>0</v>
      </c>
      <c r="CI34" s="3">
        <f t="shared" si="24"/>
        <v>0</v>
      </c>
      <c r="CJ34" s="3">
        <f t="shared" si="24"/>
        <v>0</v>
      </c>
      <c r="CK34" s="3">
        <f t="shared" si="24"/>
        <v>0</v>
      </c>
      <c r="CL34" s="3">
        <f t="shared" si="24"/>
        <v>0</v>
      </c>
      <c r="CM34" s="3">
        <f t="shared" si="24"/>
        <v>0</v>
      </c>
      <c r="CN34" s="3">
        <f t="shared" si="24"/>
        <v>0</v>
      </c>
      <c r="CO34" s="3">
        <f t="shared" si="24"/>
        <v>0</v>
      </c>
      <c r="CP34" s="3">
        <f t="shared" si="24"/>
        <v>0</v>
      </c>
      <c r="CQ34" s="3">
        <f t="shared" si="24"/>
        <v>0</v>
      </c>
      <c r="CR34" s="3">
        <f t="shared" si="24"/>
        <v>0</v>
      </c>
      <c r="CS34" s="3">
        <f t="shared" si="24"/>
        <v>0</v>
      </c>
      <c r="CT34" s="3">
        <f t="shared" si="24"/>
        <v>0</v>
      </c>
      <c r="CU34" s="3">
        <f t="shared" si="24"/>
        <v>0</v>
      </c>
      <c r="CV34" s="3">
        <f t="shared" si="24"/>
        <v>0</v>
      </c>
      <c r="CW34" s="3">
        <f t="shared" si="24"/>
        <v>0</v>
      </c>
      <c r="CX34" s="3">
        <f t="shared" si="24"/>
        <v>0</v>
      </c>
      <c r="CY34" s="3">
        <f t="shared" si="24"/>
        <v>0</v>
      </c>
      <c r="CZ34" s="3">
        <f t="shared" si="24"/>
        <v>0</v>
      </c>
      <c r="DA34" s="3">
        <f t="shared" si="24"/>
        <v>0</v>
      </c>
      <c r="DB34" s="3">
        <f t="shared" si="24"/>
        <v>0</v>
      </c>
      <c r="DC34" s="3">
        <f t="shared" si="24"/>
        <v>0</v>
      </c>
      <c r="DD34" s="3">
        <f t="shared" si="24"/>
        <v>0</v>
      </c>
      <c r="DE34" s="3">
        <f t="shared" si="24"/>
        <v>0</v>
      </c>
      <c r="DF34" s="3">
        <f t="shared" si="24"/>
        <v>0</v>
      </c>
      <c r="DG34" s="3">
        <f t="shared" si="24"/>
        <v>0</v>
      </c>
      <c r="DH34" s="3">
        <f t="shared" si="24"/>
        <v>0</v>
      </c>
      <c r="DI34" s="3">
        <f t="shared" si="24"/>
        <v>0</v>
      </c>
      <c r="DJ34" s="3">
        <f t="shared" si="24"/>
        <v>0</v>
      </c>
      <c r="DK34" s="3">
        <f t="shared" si="24"/>
        <v>0</v>
      </c>
      <c r="DL34" s="3">
        <f t="shared" si="24"/>
        <v>0</v>
      </c>
      <c r="DM34" s="3">
        <f t="shared" si="24"/>
        <v>0</v>
      </c>
      <c r="DN34" s="3">
        <f t="shared" si="24"/>
        <v>0</v>
      </c>
      <c r="DO34" s="3">
        <f t="shared" si="24"/>
        <v>0</v>
      </c>
      <c r="DP34" s="3">
        <f t="shared" si="24"/>
        <v>0</v>
      </c>
      <c r="DQ34" s="3">
        <f t="shared" si="24"/>
        <v>0</v>
      </c>
      <c r="DR34" s="3">
        <f t="shared" si="24"/>
        <v>0</v>
      </c>
      <c r="DS34" s="3">
        <f t="shared" si="24"/>
        <v>0</v>
      </c>
      <c r="DT34" s="3">
        <f t="shared" si="24"/>
        <v>0</v>
      </c>
      <c r="DU34" s="3">
        <f t="shared" si="24"/>
        <v>0</v>
      </c>
      <c r="DV34" s="3">
        <f t="shared" si="24"/>
        <v>0</v>
      </c>
      <c r="DW34" s="3">
        <f t="shared" si="24"/>
        <v>0</v>
      </c>
      <c r="DX34" s="3">
        <f t="shared" si="24"/>
        <v>0</v>
      </c>
      <c r="DY34" s="3">
        <f t="shared" si="24"/>
        <v>0</v>
      </c>
    </row>
    <row r="35" spans="2:129" ht="13.8">
      <c r="C35" s="7" t="s">
        <v>65</v>
      </c>
      <c r="D35" s="10" t="s">
        <v>0</v>
      </c>
      <c r="F35" s="28"/>
      <c r="G35" s="23">
        <f>SUM(I35:DY35)</f>
        <v>10000000</v>
      </c>
      <c r="I35" s="3">
        <f t="shared" ref="I35:BT35" si="25">I70</f>
        <v>10000000</v>
      </c>
      <c r="J35" s="3">
        <f t="shared" si="25"/>
        <v>0</v>
      </c>
      <c r="K35" s="3">
        <f t="shared" si="25"/>
        <v>0</v>
      </c>
      <c r="L35" s="3">
        <f t="shared" si="25"/>
        <v>0</v>
      </c>
      <c r="M35" s="3">
        <f t="shared" si="25"/>
        <v>0</v>
      </c>
      <c r="N35" s="3">
        <f t="shared" si="25"/>
        <v>0</v>
      </c>
      <c r="O35" s="3">
        <f t="shared" si="25"/>
        <v>0</v>
      </c>
      <c r="P35" s="3">
        <f t="shared" si="25"/>
        <v>0</v>
      </c>
      <c r="Q35" s="3">
        <f t="shared" si="25"/>
        <v>0</v>
      </c>
      <c r="R35" s="3">
        <f t="shared" si="25"/>
        <v>0</v>
      </c>
      <c r="S35" s="3">
        <f t="shared" si="25"/>
        <v>0</v>
      </c>
      <c r="T35" s="3">
        <f t="shared" si="25"/>
        <v>0</v>
      </c>
      <c r="U35" s="3">
        <f t="shared" si="25"/>
        <v>0</v>
      </c>
      <c r="V35" s="3">
        <f t="shared" si="25"/>
        <v>0</v>
      </c>
      <c r="W35" s="3">
        <f t="shared" si="25"/>
        <v>0</v>
      </c>
      <c r="X35" s="3">
        <f t="shared" si="25"/>
        <v>0</v>
      </c>
      <c r="Y35" s="3">
        <f t="shared" si="25"/>
        <v>0</v>
      </c>
      <c r="Z35" s="3">
        <f t="shared" si="25"/>
        <v>0</v>
      </c>
      <c r="AA35" s="3">
        <f t="shared" si="25"/>
        <v>0</v>
      </c>
      <c r="AB35" s="3">
        <f t="shared" si="25"/>
        <v>0</v>
      </c>
      <c r="AC35" s="3">
        <f t="shared" si="25"/>
        <v>0</v>
      </c>
      <c r="AD35" s="3">
        <f t="shared" si="25"/>
        <v>0</v>
      </c>
      <c r="AE35" s="3">
        <f t="shared" si="25"/>
        <v>0</v>
      </c>
      <c r="AF35" s="3">
        <f t="shared" si="25"/>
        <v>0</v>
      </c>
      <c r="AG35" s="3">
        <f t="shared" si="25"/>
        <v>0</v>
      </c>
      <c r="AH35" s="3">
        <f t="shared" si="25"/>
        <v>0</v>
      </c>
      <c r="AI35" s="3">
        <f t="shared" si="25"/>
        <v>0</v>
      </c>
      <c r="AJ35" s="3">
        <f t="shared" si="25"/>
        <v>0</v>
      </c>
      <c r="AK35" s="3">
        <f t="shared" si="25"/>
        <v>0</v>
      </c>
      <c r="AL35" s="3">
        <f t="shared" si="25"/>
        <v>0</v>
      </c>
      <c r="AM35" s="3">
        <f t="shared" si="25"/>
        <v>0</v>
      </c>
      <c r="AN35" s="3">
        <f t="shared" si="25"/>
        <v>0</v>
      </c>
      <c r="AO35" s="3">
        <f t="shared" si="25"/>
        <v>0</v>
      </c>
      <c r="AP35" s="3">
        <f t="shared" si="25"/>
        <v>0</v>
      </c>
      <c r="AQ35" s="3">
        <f t="shared" si="25"/>
        <v>0</v>
      </c>
      <c r="AR35" s="3">
        <f t="shared" si="25"/>
        <v>0</v>
      </c>
      <c r="AS35" s="3">
        <f t="shared" si="25"/>
        <v>0</v>
      </c>
      <c r="AT35" s="3">
        <f t="shared" si="25"/>
        <v>0</v>
      </c>
      <c r="AU35" s="3">
        <f t="shared" si="25"/>
        <v>0</v>
      </c>
      <c r="AV35" s="3">
        <f t="shared" si="25"/>
        <v>0</v>
      </c>
      <c r="AW35" s="3">
        <f t="shared" si="25"/>
        <v>0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5"/>
        <v>0</v>
      </c>
      <c r="BC35" s="3">
        <f t="shared" si="25"/>
        <v>0</v>
      </c>
      <c r="BD35" s="3">
        <f t="shared" si="25"/>
        <v>0</v>
      </c>
      <c r="BE35" s="3">
        <f t="shared" si="25"/>
        <v>0</v>
      </c>
      <c r="BF35" s="3">
        <f t="shared" si="25"/>
        <v>0</v>
      </c>
      <c r="BG35" s="3">
        <f t="shared" si="25"/>
        <v>0</v>
      </c>
      <c r="BH35" s="3">
        <f t="shared" si="25"/>
        <v>0</v>
      </c>
      <c r="BI35" s="3">
        <f t="shared" si="25"/>
        <v>0</v>
      </c>
      <c r="BJ35" s="3">
        <f t="shared" si="25"/>
        <v>0</v>
      </c>
      <c r="BK35" s="3">
        <f t="shared" si="25"/>
        <v>0</v>
      </c>
      <c r="BL35" s="3">
        <f t="shared" si="25"/>
        <v>0</v>
      </c>
      <c r="BM35" s="3">
        <f t="shared" si="25"/>
        <v>0</v>
      </c>
      <c r="BN35" s="3">
        <f t="shared" si="25"/>
        <v>0</v>
      </c>
      <c r="BO35" s="3">
        <f t="shared" si="25"/>
        <v>0</v>
      </c>
      <c r="BP35" s="3">
        <f t="shared" si="25"/>
        <v>0</v>
      </c>
      <c r="BQ35" s="3">
        <f t="shared" si="25"/>
        <v>0</v>
      </c>
      <c r="BR35" s="3">
        <f t="shared" si="25"/>
        <v>0</v>
      </c>
      <c r="BS35" s="3">
        <f t="shared" si="25"/>
        <v>0</v>
      </c>
      <c r="BT35" s="3">
        <f t="shared" si="25"/>
        <v>0</v>
      </c>
      <c r="BU35" s="3">
        <f t="shared" ref="BU35:DY35" si="26">BU70</f>
        <v>0</v>
      </c>
      <c r="BV35" s="3">
        <f t="shared" si="26"/>
        <v>0</v>
      </c>
      <c r="BW35" s="3">
        <f t="shared" si="26"/>
        <v>0</v>
      </c>
      <c r="BX35" s="3">
        <f t="shared" si="26"/>
        <v>0</v>
      </c>
      <c r="BY35" s="3">
        <f t="shared" si="26"/>
        <v>0</v>
      </c>
      <c r="BZ35" s="3">
        <f t="shared" si="26"/>
        <v>0</v>
      </c>
      <c r="CA35" s="3">
        <f t="shared" si="26"/>
        <v>0</v>
      </c>
      <c r="CB35" s="3">
        <f t="shared" si="26"/>
        <v>0</v>
      </c>
      <c r="CC35" s="3">
        <f t="shared" si="26"/>
        <v>0</v>
      </c>
      <c r="CD35" s="3">
        <f t="shared" si="26"/>
        <v>0</v>
      </c>
      <c r="CE35" s="3">
        <f t="shared" si="26"/>
        <v>0</v>
      </c>
      <c r="CF35" s="3">
        <f t="shared" si="26"/>
        <v>0</v>
      </c>
      <c r="CG35" s="3">
        <f t="shared" si="26"/>
        <v>0</v>
      </c>
      <c r="CH35" s="3">
        <f t="shared" si="26"/>
        <v>0</v>
      </c>
      <c r="CI35" s="3">
        <f t="shared" si="26"/>
        <v>0</v>
      </c>
      <c r="CJ35" s="3">
        <f t="shared" si="26"/>
        <v>0</v>
      </c>
      <c r="CK35" s="3">
        <f t="shared" si="26"/>
        <v>0</v>
      </c>
      <c r="CL35" s="3">
        <f t="shared" si="26"/>
        <v>0</v>
      </c>
      <c r="CM35" s="3">
        <f t="shared" si="26"/>
        <v>0</v>
      </c>
      <c r="CN35" s="3">
        <f t="shared" si="26"/>
        <v>0</v>
      </c>
      <c r="CO35" s="3">
        <f t="shared" si="26"/>
        <v>0</v>
      </c>
      <c r="CP35" s="3">
        <f t="shared" si="26"/>
        <v>0</v>
      </c>
      <c r="CQ35" s="3">
        <f t="shared" si="26"/>
        <v>0</v>
      </c>
      <c r="CR35" s="3">
        <f t="shared" si="26"/>
        <v>0</v>
      </c>
      <c r="CS35" s="3">
        <f t="shared" si="26"/>
        <v>0</v>
      </c>
      <c r="CT35" s="3">
        <f t="shared" si="26"/>
        <v>0</v>
      </c>
      <c r="CU35" s="3">
        <f t="shared" si="26"/>
        <v>0</v>
      </c>
      <c r="CV35" s="3">
        <f t="shared" si="26"/>
        <v>0</v>
      </c>
      <c r="CW35" s="3">
        <f t="shared" si="26"/>
        <v>0</v>
      </c>
      <c r="CX35" s="3">
        <f t="shared" si="26"/>
        <v>0</v>
      </c>
      <c r="CY35" s="3">
        <f t="shared" si="26"/>
        <v>0</v>
      </c>
      <c r="CZ35" s="3">
        <f t="shared" si="26"/>
        <v>0</v>
      </c>
      <c r="DA35" s="3">
        <f t="shared" si="26"/>
        <v>0</v>
      </c>
      <c r="DB35" s="3">
        <f t="shared" si="26"/>
        <v>0</v>
      </c>
      <c r="DC35" s="3">
        <f t="shared" si="26"/>
        <v>0</v>
      </c>
      <c r="DD35" s="3">
        <f t="shared" si="26"/>
        <v>0</v>
      </c>
      <c r="DE35" s="3">
        <f t="shared" si="26"/>
        <v>0</v>
      </c>
      <c r="DF35" s="3">
        <f t="shared" si="26"/>
        <v>0</v>
      </c>
      <c r="DG35" s="3">
        <f t="shared" si="26"/>
        <v>0</v>
      </c>
      <c r="DH35" s="3">
        <f t="shared" si="26"/>
        <v>0</v>
      </c>
      <c r="DI35" s="3">
        <f t="shared" si="26"/>
        <v>0</v>
      </c>
      <c r="DJ35" s="3">
        <f t="shared" si="26"/>
        <v>0</v>
      </c>
      <c r="DK35" s="3">
        <f t="shared" si="26"/>
        <v>0</v>
      </c>
      <c r="DL35" s="3">
        <f t="shared" si="26"/>
        <v>0</v>
      </c>
      <c r="DM35" s="3">
        <f t="shared" si="26"/>
        <v>0</v>
      </c>
      <c r="DN35" s="3">
        <f t="shared" si="26"/>
        <v>0</v>
      </c>
      <c r="DO35" s="3">
        <f t="shared" si="26"/>
        <v>0</v>
      </c>
      <c r="DP35" s="3">
        <f t="shared" si="26"/>
        <v>0</v>
      </c>
      <c r="DQ35" s="3">
        <f t="shared" si="26"/>
        <v>0</v>
      </c>
      <c r="DR35" s="3">
        <f t="shared" si="26"/>
        <v>0</v>
      </c>
      <c r="DS35" s="3">
        <f t="shared" si="26"/>
        <v>0</v>
      </c>
      <c r="DT35" s="3">
        <f t="shared" si="26"/>
        <v>0</v>
      </c>
      <c r="DU35" s="3">
        <f t="shared" si="26"/>
        <v>0</v>
      </c>
      <c r="DV35" s="3">
        <f t="shared" si="26"/>
        <v>0</v>
      </c>
      <c r="DW35" s="3">
        <f t="shared" si="26"/>
        <v>0</v>
      </c>
      <c r="DX35" s="3">
        <f t="shared" si="26"/>
        <v>0</v>
      </c>
      <c r="DY35" s="3">
        <f t="shared" si="26"/>
        <v>0</v>
      </c>
    </row>
    <row r="36" spans="2:129" ht="13.8">
      <c r="C36" s="7" t="s">
        <v>66</v>
      </c>
      <c r="D36" s="10" t="s">
        <v>0</v>
      </c>
      <c r="F36" s="28"/>
      <c r="G36" s="23">
        <f>SUM(I36:DY36)</f>
        <v>3000000</v>
      </c>
      <c r="I36" s="3">
        <f t="shared" ref="I36:BT36" si="27">I89</f>
        <v>3000000</v>
      </c>
      <c r="J36" s="3">
        <f t="shared" si="27"/>
        <v>0</v>
      </c>
      <c r="K36" s="3">
        <f t="shared" si="27"/>
        <v>0</v>
      </c>
      <c r="L36" s="3">
        <f t="shared" si="27"/>
        <v>0</v>
      </c>
      <c r="M36" s="3">
        <f t="shared" si="27"/>
        <v>0</v>
      </c>
      <c r="N36" s="3">
        <f t="shared" si="27"/>
        <v>0</v>
      </c>
      <c r="O36" s="3">
        <f t="shared" si="27"/>
        <v>0</v>
      </c>
      <c r="P36" s="3">
        <f t="shared" si="27"/>
        <v>0</v>
      </c>
      <c r="Q36" s="3">
        <f t="shared" si="27"/>
        <v>0</v>
      </c>
      <c r="R36" s="3">
        <f t="shared" si="27"/>
        <v>0</v>
      </c>
      <c r="S36" s="3">
        <f t="shared" si="27"/>
        <v>0</v>
      </c>
      <c r="T36" s="3">
        <f t="shared" si="27"/>
        <v>0</v>
      </c>
      <c r="U36" s="3">
        <f t="shared" si="27"/>
        <v>0</v>
      </c>
      <c r="V36" s="3">
        <f t="shared" si="27"/>
        <v>0</v>
      </c>
      <c r="W36" s="3">
        <f t="shared" si="27"/>
        <v>0</v>
      </c>
      <c r="X36" s="3">
        <f t="shared" si="27"/>
        <v>0</v>
      </c>
      <c r="Y36" s="3">
        <f t="shared" si="27"/>
        <v>0</v>
      </c>
      <c r="Z36" s="3">
        <f t="shared" si="27"/>
        <v>0</v>
      </c>
      <c r="AA36" s="3">
        <f t="shared" si="27"/>
        <v>0</v>
      </c>
      <c r="AB36" s="3">
        <f t="shared" si="27"/>
        <v>0</v>
      </c>
      <c r="AC36" s="3">
        <f t="shared" si="27"/>
        <v>0</v>
      </c>
      <c r="AD36" s="3">
        <f t="shared" si="27"/>
        <v>0</v>
      </c>
      <c r="AE36" s="3">
        <f t="shared" si="27"/>
        <v>0</v>
      </c>
      <c r="AF36" s="3">
        <f t="shared" si="27"/>
        <v>0</v>
      </c>
      <c r="AG36" s="3">
        <f t="shared" si="27"/>
        <v>0</v>
      </c>
      <c r="AH36" s="3">
        <f t="shared" si="27"/>
        <v>0</v>
      </c>
      <c r="AI36" s="3">
        <f t="shared" si="27"/>
        <v>0</v>
      </c>
      <c r="AJ36" s="3">
        <f t="shared" si="27"/>
        <v>0</v>
      </c>
      <c r="AK36" s="3">
        <f t="shared" si="27"/>
        <v>0</v>
      </c>
      <c r="AL36" s="3">
        <f t="shared" si="27"/>
        <v>0</v>
      </c>
      <c r="AM36" s="3">
        <f t="shared" si="27"/>
        <v>0</v>
      </c>
      <c r="AN36" s="3">
        <f t="shared" si="27"/>
        <v>0</v>
      </c>
      <c r="AO36" s="3">
        <f t="shared" si="27"/>
        <v>0</v>
      </c>
      <c r="AP36" s="3">
        <f t="shared" si="27"/>
        <v>0</v>
      </c>
      <c r="AQ36" s="3">
        <f t="shared" si="27"/>
        <v>0</v>
      </c>
      <c r="AR36" s="3">
        <f t="shared" si="27"/>
        <v>0</v>
      </c>
      <c r="AS36" s="3">
        <f t="shared" si="27"/>
        <v>0</v>
      </c>
      <c r="AT36" s="3">
        <f t="shared" si="27"/>
        <v>0</v>
      </c>
      <c r="AU36" s="3">
        <f t="shared" si="27"/>
        <v>0</v>
      </c>
      <c r="AV36" s="3">
        <f t="shared" si="27"/>
        <v>0</v>
      </c>
      <c r="AW36" s="3">
        <f t="shared" si="27"/>
        <v>0</v>
      </c>
      <c r="AX36" s="3">
        <f t="shared" si="27"/>
        <v>0</v>
      </c>
      <c r="AY36" s="3">
        <f t="shared" si="27"/>
        <v>0</v>
      </c>
      <c r="AZ36" s="3">
        <f t="shared" si="27"/>
        <v>0</v>
      </c>
      <c r="BA36" s="3">
        <f t="shared" si="27"/>
        <v>0</v>
      </c>
      <c r="BB36" s="3">
        <f t="shared" si="27"/>
        <v>0</v>
      </c>
      <c r="BC36" s="3">
        <f t="shared" si="27"/>
        <v>0</v>
      </c>
      <c r="BD36" s="3">
        <f t="shared" si="27"/>
        <v>0</v>
      </c>
      <c r="BE36" s="3">
        <f t="shared" si="27"/>
        <v>0</v>
      </c>
      <c r="BF36" s="3">
        <f t="shared" si="27"/>
        <v>0</v>
      </c>
      <c r="BG36" s="3">
        <f t="shared" si="27"/>
        <v>0</v>
      </c>
      <c r="BH36" s="3">
        <f t="shared" si="27"/>
        <v>0</v>
      </c>
      <c r="BI36" s="3">
        <f t="shared" si="27"/>
        <v>0</v>
      </c>
      <c r="BJ36" s="3">
        <f t="shared" si="27"/>
        <v>0</v>
      </c>
      <c r="BK36" s="3">
        <f t="shared" si="27"/>
        <v>0</v>
      </c>
      <c r="BL36" s="3">
        <f t="shared" si="27"/>
        <v>0</v>
      </c>
      <c r="BM36" s="3">
        <f t="shared" si="27"/>
        <v>0</v>
      </c>
      <c r="BN36" s="3">
        <f t="shared" si="27"/>
        <v>0</v>
      </c>
      <c r="BO36" s="3">
        <f t="shared" si="27"/>
        <v>0</v>
      </c>
      <c r="BP36" s="3">
        <f t="shared" si="27"/>
        <v>0</v>
      </c>
      <c r="BQ36" s="3">
        <f t="shared" si="27"/>
        <v>0</v>
      </c>
      <c r="BR36" s="3">
        <f t="shared" si="27"/>
        <v>0</v>
      </c>
      <c r="BS36" s="3">
        <f t="shared" si="27"/>
        <v>0</v>
      </c>
      <c r="BT36" s="3">
        <f t="shared" si="27"/>
        <v>0</v>
      </c>
      <c r="BU36" s="3">
        <f t="shared" ref="BU36:DY36" si="28">BU89</f>
        <v>0</v>
      </c>
      <c r="BV36" s="3">
        <f t="shared" si="28"/>
        <v>0</v>
      </c>
      <c r="BW36" s="3">
        <f t="shared" si="28"/>
        <v>0</v>
      </c>
      <c r="BX36" s="3">
        <f t="shared" si="28"/>
        <v>0</v>
      </c>
      <c r="BY36" s="3">
        <f t="shared" si="28"/>
        <v>0</v>
      </c>
      <c r="BZ36" s="3">
        <f t="shared" si="28"/>
        <v>0</v>
      </c>
      <c r="CA36" s="3">
        <f t="shared" si="28"/>
        <v>0</v>
      </c>
      <c r="CB36" s="3">
        <f t="shared" si="28"/>
        <v>0</v>
      </c>
      <c r="CC36" s="3">
        <f t="shared" si="28"/>
        <v>0</v>
      </c>
      <c r="CD36" s="3">
        <f t="shared" si="28"/>
        <v>0</v>
      </c>
      <c r="CE36" s="3">
        <f t="shared" si="28"/>
        <v>0</v>
      </c>
      <c r="CF36" s="3">
        <f t="shared" si="28"/>
        <v>0</v>
      </c>
      <c r="CG36" s="3">
        <f t="shared" si="28"/>
        <v>0</v>
      </c>
      <c r="CH36" s="3">
        <f t="shared" si="28"/>
        <v>0</v>
      </c>
      <c r="CI36" s="3">
        <f t="shared" si="28"/>
        <v>0</v>
      </c>
      <c r="CJ36" s="3">
        <f t="shared" si="28"/>
        <v>0</v>
      </c>
      <c r="CK36" s="3">
        <f t="shared" si="28"/>
        <v>0</v>
      </c>
      <c r="CL36" s="3">
        <f t="shared" si="28"/>
        <v>0</v>
      </c>
      <c r="CM36" s="3">
        <f t="shared" si="28"/>
        <v>0</v>
      </c>
      <c r="CN36" s="3">
        <f t="shared" si="28"/>
        <v>0</v>
      </c>
      <c r="CO36" s="3">
        <f t="shared" si="28"/>
        <v>0</v>
      </c>
      <c r="CP36" s="3">
        <f t="shared" si="28"/>
        <v>0</v>
      </c>
      <c r="CQ36" s="3">
        <f t="shared" si="28"/>
        <v>0</v>
      </c>
      <c r="CR36" s="3">
        <f t="shared" si="28"/>
        <v>0</v>
      </c>
      <c r="CS36" s="3">
        <f t="shared" si="28"/>
        <v>0</v>
      </c>
      <c r="CT36" s="3">
        <f t="shared" si="28"/>
        <v>0</v>
      </c>
      <c r="CU36" s="3">
        <f t="shared" si="28"/>
        <v>0</v>
      </c>
      <c r="CV36" s="3">
        <f t="shared" si="28"/>
        <v>0</v>
      </c>
      <c r="CW36" s="3">
        <f t="shared" si="28"/>
        <v>0</v>
      </c>
      <c r="CX36" s="3">
        <f t="shared" si="28"/>
        <v>0</v>
      </c>
      <c r="CY36" s="3">
        <f t="shared" si="28"/>
        <v>0</v>
      </c>
      <c r="CZ36" s="3">
        <f t="shared" si="28"/>
        <v>0</v>
      </c>
      <c r="DA36" s="3">
        <f t="shared" si="28"/>
        <v>0</v>
      </c>
      <c r="DB36" s="3">
        <f t="shared" si="28"/>
        <v>0</v>
      </c>
      <c r="DC36" s="3">
        <f t="shared" si="28"/>
        <v>0</v>
      </c>
      <c r="DD36" s="3">
        <f t="shared" si="28"/>
        <v>0</v>
      </c>
      <c r="DE36" s="3">
        <f t="shared" si="28"/>
        <v>0</v>
      </c>
      <c r="DF36" s="3">
        <f t="shared" si="28"/>
        <v>0</v>
      </c>
      <c r="DG36" s="3">
        <f t="shared" si="28"/>
        <v>0</v>
      </c>
      <c r="DH36" s="3">
        <f t="shared" si="28"/>
        <v>0</v>
      </c>
      <c r="DI36" s="3">
        <f t="shared" si="28"/>
        <v>0</v>
      </c>
      <c r="DJ36" s="3">
        <f t="shared" si="28"/>
        <v>0</v>
      </c>
      <c r="DK36" s="3">
        <f t="shared" si="28"/>
        <v>0</v>
      </c>
      <c r="DL36" s="3">
        <f t="shared" si="28"/>
        <v>0</v>
      </c>
      <c r="DM36" s="3">
        <f t="shared" si="28"/>
        <v>0</v>
      </c>
      <c r="DN36" s="3">
        <f t="shared" si="28"/>
        <v>0</v>
      </c>
      <c r="DO36" s="3">
        <f t="shared" si="28"/>
        <v>0</v>
      </c>
      <c r="DP36" s="3">
        <f t="shared" si="28"/>
        <v>0</v>
      </c>
      <c r="DQ36" s="3">
        <f t="shared" si="28"/>
        <v>0</v>
      </c>
      <c r="DR36" s="3">
        <f t="shared" si="28"/>
        <v>0</v>
      </c>
      <c r="DS36" s="3">
        <f t="shared" si="28"/>
        <v>0</v>
      </c>
      <c r="DT36" s="3">
        <f t="shared" si="28"/>
        <v>0</v>
      </c>
      <c r="DU36" s="3">
        <f t="shared" si="28"/>
        <v>0</v>
      </c>
      <c r="DV36" s="3">
        <f t="shared" si="28"/>
        <v>0</v>
      </c>
      <c r="DW36" s="3">
        <f t="shared" si="28"/>
        <v>0</v>
      </c>
      <c r="DX36" s="3">
        <f t="shared" si="28"/>
        <v>0</v>
      </c>
      <c r="DY36" s="3">
        <f t="shared" si="28"/>
        <v>0</v>
      </c>
    </row>
    <row r="37" spans="2:129" ht="13.8">
      <c r="C37" s="7" t="s">
        <v>67</v>
      </c>
      <c r="D37" s="10" t="s">
        <v>0</v>
      </c>
      <c r="E37" s="27">
        <f>CaseData!$G$4</f>
        <v>44196</v>
      </c>
      <c r="F37" s="28">
        <f>0-CaseData!G8</f>
        <v>-18000000</v>
      </c>
      <c r="G37" s="23">
        <f>SUM(I37:DY37)</f>
        <v>-18000000</v>
      </c>
      <c r="I37" s="3">
        <f t="shared" ref="I37:BT37" si="29">$F37*(I$3=$E37)</f>
        <v>-18000000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  <c r="AB37" s="3">
        <f t="shared" si="29"/>
        <v>0</v>
      </c>
      <c r="AC37" s="3">
        <f t="shared" si="29"/>
        <v>0</v>
      </c>
      <c r="AD37" s="3">
        <f t="shared" si="29"/>
        <v>0</v>
      </c>
      <c r="AE37" s="3">
        <f t="shared" si="29"/>
        <v>0</v>
      </c>
      <c r="AF37" s="3">
        <f t="shared" si="29"/>
        <v>0</v>
      </c>
      <c r="AG37" s="3">
        <f t="shared" si="29"/>
        <v>0</v>
      </c>
      <c r="AH37" s="3">
        <f t="shared" si="29"/>
        <v>0</v>
      </c>
      <c r="AI37" s="3">
        <f t="shared" si="29"/>
        <v>0</v>
      </c>
      <c r="AJ37" s="3">
        <f t="shared" si="29"/>
        <v>0</v>
      </c>
      <c r="AK37" s="3">
        <f t="shared" si="29"/>
        <v>0</v>
      </c>
      <c r="AL37" s="3">
        <f t="shared" si="29"/>
        <v>0</v>
      </c>
      <c r="AM37" s="3">
        <f t="shared" si="29"/>
        <v>0</v>
      </c>
      <c r="AN37" s="3">
        <f t="shared" si="29"/>
        <v>0</v>
      </c>
      <c r="AO37" s="3">
        <f t="shared" si="29"/>
        <v>0</v>
      </c>
      <c r="AP37" s="3">
        <f t="shared" si="29"/>
        <v>0</v>
      </c>
      <c r="AQ37" s="3">
        <f t="shared" si="29"/>
        <v>0</v>
      </c>
      <c r="AR37" s="3">
        <f t="shared" si="29"/>
        <v>0</v>
      </c>
      <c r="AS37" s="3">
        <f t="shared" si="29"/>
        <v>0</v>
      </c>
      <c r="AT37" s="3">
        <f t="shared" si="29"/>
        <v>0</v>
      </c>
      <c r="AU37" s="3">
        <f t="shared" si="29"/>
        <v>0</v>
      </c>
      <c r="AV37" s="3">
        <f t="shared" si="29"/>
        <v>0</v>
      </c>
      <c r="AW37" s="3">
        <f t="shared" si="29"/>
        <v>0</v>
      </c>
      <c r="AX37" s="3">
        <f t="shared" si="29"/>
        <v>0</v>
      </c>
      <c r="AY37" s="3">
        <f t="shared" si="29"/>
        <v>0</v>
      </c>
      <c r="AZ37" s="3">
        <f t="shared" si="29"/>
        <v>0</v>
      </c>
      <c r="BA37" s="3">
        <f t="shared" si="29"/>
        <v>0</v>
      </c>
      <c r="BB37" s="3">
        <f t="shared" si="29"/>
        <v>0</v>
      </c>
      <c r="BC37" s="3">
        <f t="shared" si="29"/>
        <v>0</v>
      </c>
      <c r="BD37" s="3">
        <f t="shared" si="29"/>
        <v>0</v>
      </c>
      <c r="BE37" s="3">
        <f t="shared" si="29"/>
        <v>0</v>
      </c>
      <c r="BF37" s="3">
        <f t="shared" si="29"/>
        <v>0</v>
      </c>
      <c r="BG37" s="3">
        <f t="shared" si="29"/>
        <v>0</v>
      </c>
      <c r="BH37" s="3">
        <f t="shared" si="29"/>
        <v>0</v>
      </c>
      <c r="BI37" s="3">
        <f t="shared" si="29"/>
        <v>0</v>
      </c>
      <c r="BJ37" s="3">
        <f t="shared" si="29"/>
        <v>0</v>
      </c>
      <c r="BK37" s="3">
        <f t="shared" si="29"/>
        <v>0</v>
      </c>
      <c r="BL37" s="3">
        <f t="shared" si="29"/>
        <v>0</v>
      </c>
      <c r="BM37" s="3">
        <f t="shared" si="29"/>
        <v>0</v>
      </c>
      <c r="BN37" s="3">
        <f t="shared" si="29"/>
        <v>0</v>
      </c>
      <c r="BO37" s="3">
        <f t="shared" si="29"/>
        <v>0</v>
      </c>
      <c r="BP37" s="3">
        <f t="shared" si="29"/>
        <v>0</v>
      </c>
      <c r="BQ37" s="3">
        <f t="shared" si="29"/>
        <v>0</v>
      </c>
      <c r="BR37" s="3">
        <f t="shared" si="29"/>
        <v>0</v>
      </c>
      <c r="BS37" s="3">
        <f t="shared" si="29"/>
        <v>0</v>
      </c>
      <c r="BT37" s="3">
        <f t="shared" si="29"/>
        <v>0</v>
      </c>
      <c r="BU37" s="3">
        <f t="shared" ref="BU37:DY37" si="30">$F37*(BU$3=$E37)</f>
        <v>0</v>
      </c>
      <c r="BV37" s="3">
        <f t="shared" si="30"/>
        <v>0</v>
      </c>
      <c r="BW37" s="3">
        <f t="shared" si="30"/>
        <v>0</v>
      </c>
      <c r="BX37" s="3">
        <f t="shared" si="30"/>
        <v>0</v>
      </c>
      <c r="BY37" s="3">
        <f t="shared" si="30"/>
        <v>0</v>
      </c>
      <c r="BZ37" s="3">
        <f t="shared" si="30"/>
        <v>0</v>
      </c>
      <c r="CA37" s="3">
        <f t="shared" si="30"/>
        <v>0</v>
      </c>
      <c r="CB37" s="3">
        <f t="shared" si="30"/>
        <v>0</v>
      </c>
      <c r="CC37" s="3">
        <f t="shared" si="30"/>
        <v>0</v>
      </c>
      <c r="CD37" s="3">
        <f t="shared" si="30"/>
        <v>0</v>
      </c>
      <c r="CE37" s="3">
        <f t="shared" si="30"/>
        <v>0</v>
      </c>
      <c r="CF37" s="3">
        <f t="shared" si="30"/>
        <v>0</v>
      </c>
      <c r="CG37" s="3">
        <f t="shared" si="30"/>
        <v>0</v>
      </c>
      <c r="CH37" s="3">
        <f t="shared" si="30"/>
        <v>0</v>
      </c>
      <c r="CI37" s="3">
        <f t="shared" si="30"/>
        <v>0</v>
      </c>
      <c r="CJ37" s="3">
        <f t="shared" si="30"/>
        <v>0</v>
      </c>
      <c r="CK37" s="3">
        <f t="shared" si="30"/>
        <v>0</v>
      </c>
      <c r="CL37" s="3">
        <f t="shared" si="30"/>
        <v>0</v>
      </c>
      <c r="CM37" s="3">
        <f t="shared" si="30"/>
        <v>0</v>
      </c>
      <c r="CN37" s="3">
        <f t="shared" si="30"/>
        <v>0</v>
      </c>
      <c r="CO37" s="3">
        <f t="shared" si="30"/>
        <v>0</v>
      </c>
      <c r="CP37" s="3">
        <f t="shared" si="30"/>
        <v>0</v>
      </c>
      <c r="CQ37" s="3">
        <f t="shared" si="30"/>
        <v>0</v>
      </c>
      <c r="CR37" s="3">
        <f t="shared" si="30"/>
        <v>0</v>
      </c>
      <c r="CS37" s="3">
        <f t="shared" si="30"/>
        <v>0</v>
      </c>
      <c r="CT37" s="3">
        <f t="shared" si="30"/>
        <v>0</v>
      </c>
      <c r="CU37" s="3">
        <f t="shared" si="30"/>
        <v>0</v>
      </c>
      <c r="CV37" s="3">
        <f t="shared" si="30"/>
        <v>0</v>
      </c>
      <c r="CW37" s="3">
        <f t="shared" si="30"/>
        <v>0</v>
      </c>
      <c r="CX37" s="3">
        <f t="shared" si="30"/>
        <v>0</v>
      </c>
      <c r="CY37" s="3">
        <f t="shared" si="30"/>
        <v>0</v>
      </c>
      <c r="CZ37" s="3">
        <f t="shared" si="30"/>
        <v>0</v>
      </c>
      <c r="DA37" s="3">
        <f t="shared" si="30"/>
        <v>0</v>
      </c>
      <c r="DB37" s="3">
        <f t="shared" si="30"/>
        <v>0</v>
      </c>
      <c r="DC37" s="3">
        <f t="shared" si="30"/>
        <v>0</v>
      </c>
      <c r="DD37" s="3">
        <f t="shared" si="30"/>
        <v>0</v>
      </c>
      <c r="DE37" s="3">
        <f t="shared" si="30"/>
        <v>0</v>
      </c>
      <c r="DF37" s="3">
        <f t="shared" si="30"/>
        <v>0</v>
      </c>
      <c r="DG37" s="3">
        <f t="shared" si="30"/>
        <v>0</v>
      </c>
      <c r="DH37" s="3">
        <f t="shared" si="30"/>
        <v>0</v>
      </c>
      <c r="DI37" s="3">
        <f t="shared" si="30"/>
        <v>0</v>
      </c>
      <c r="DJ37" s="3">
        <f t="shared" si="30"/>
        <v>0</v>
      </c>
      <c r="DK37" s="3">
        <f t="shared" si="30"/>
        <v>0</v>
      </c>
      <c r="DL37" s="3">
        <f t="shared" si="30"/>
        <v>0</v>
      </c>
      <c r="DM37" s="3">
        <f t="shared" si="30"/>
        <v>0</v>
      </c>
      <c r="DN37" s="3">
        <f t="shared" si="30"/>
        <v>0</v>
      </c>
      <c r="DO37" s="3">
        <f t="shared" si="30"/>
        <v>0</v>
      </c>
      <c r="DP37" s="3">
        <f t="shared" si="30"/>
        <v>0</v>
      </c>
      <c r="DQ37" s="3">
        <f t="shared" si="30"/>
        <v>0</v>
      </c>
      <c r="DR37" s="3">
        <f t="shared" si="30"/>
        <v>0</v>
      </c>
      <c r="DS37" s="3">
        <f t="shared" si="30"/>
        <v>0</v>
      </c>
      <c r="DT37" s="3">
        <f t="shared" si="30"/>
        <v>0</v>
      </c>
      <c r="DU37" s="3">
        <f t="shared" si="30"/>
        <v>0</v>
      </c>
      <c r="DV37" s="3">
        <f t="shared" si="30"/>
        <v>0</v>
      </c>
      <c r="DW37" s="3">
        <f t="shared" si="30"/>
        <v>0</v>
      </c>
      <c r="DX37" s="3">
        <f t="shared" si="30"/>
        <v>0</v>
      </c>
      <c r="DY37" s="3">
        <f t="shared" si="30"/>
        <v>0</v>
      </c>
    </row>
    <row r="38" spans="2:129" ht="13.8">
      <c r="C38" s="7" t="s">
        <v>68</v>
      </c>
      <c r="D38" s="10" t="s">
        <v>0</v>
      </c>
      <c r="G38" s="23">
        <f>SUM(I38:DY38)</f>
        <v>-8454429.8123102393</v>
      </c>
      <c r="I38" s="3">
        <f t="shared" ref="I38:BT41" si="31">I72</f>
        <v>0</v>
      </c>
      <c r="J38" s="3">
        <f t="shared" si="31"/>
        <v>-125000</v>
      </c>
      <c r="K38" s="3">
        <f t="shared" si="31"/>
        <v>-124365.71515447486</v>
      </c>
      <c r="L38" s="3">
        <f t="shared" si="31"/>
        <v>-123723.50174838066</v>
      </c>
      <c r="M38" s="3">
        <f t="shared" si="31"/>
        <v>-123073.26067471027</v>
      </c>
      <c r="N38" s="3">
        <f t="shared" si="31"/>
        <v>-122414.891587619</v>
      </c>
      <c r="O38" s="3">
        <f t="shared" si="31"/>
        <v>-121748.29288693909</v>
      </c>
      <c r="P38" s="3">
        <f t="shared" si="31"/>
        <v>-121073.36170250068</v>
      </c>
      <c r="Q38" s="3">
        <f t="shared" si="31"/>
        <v>-120389.99387825679</v>
      </c>
      <c r="R38" s="3">
        <f t="shared" si="31"/>
        <v>-119698.08395620986</v>
      </c>
      <c r="S38" s="3">
        <f t="shared" si="31"/>
        <v>-118997.52516013733</v>
      </c>
      <c r="T38" s="3">
        <f t="shared" si="31"/>
        <v>-118288.20937911392</v>
      </c>
      <c r="U38" s="3">
        <f t="shared" si="31"/>
        <v>-117570.02715082769</v>
      </c>
      <c r="V38" s="3">
        <f t="shared" si="31"/>
        <v>-116842.86764468791</v>
      </c>
      <c r="W38" s="3">
        <f t="shared" si="31"/>
        <v>-116106.61864472137</v>
      </c>
      <c r="X38" s="3">
        <f t="shared" si="31"/>
        <v>-115361.16653225524</v>
      </c>
      <c r="Y38" s="3">
        <f t="shared" si="31"/>
        <v>-114606.39626838331</v>
      </c>
      <c r="Z38" s="3">
        <f t="shared" si="31"/>
        <v>-113842.19137621294</v>
      </c>
      <c r="AA38" s="3">
        <f t="shared" si="31"/>
        <v>-113068.43392289046</v>
      </c>
      <c r="AB38" s="3">
        <f t="shared" si="31"/>
        <v>-112285.00450140145</v>
      </c>
      <c r="AC38" s="3">
        <f t="shared" si="31"/>
        <v>-111491.78221214382</v>
      </c>
      <c r="AD38" s="3">
        <f t="shared" si="31"/>
        <v>-120176.24275663645</v>
      </c>
      <c r="AE38" s="3">
        <f t="shared" si="31"/>
        <v>-119293.36510166711</v>
      </c>
      <c r="AF38" s="3">
        <f t="shared" si="31"/>
        <v>-118399.45147601064</v>
      </c>
      <c r="AG38" s="3">
        <f t="shared" si="31"/>
        <v>-117494.36393003348</v>
      </c>
      <c r="AH38" s="3">
        <f t="shared" si="31"/>
        <v>-116577.96278973159</v>
      </c>
      <c r="AI38" s="3">
        <f t="shared" si="31"/>
        <v>-115650.10663517595</v>
      </c>
      <c r="AJ38" s="3">
        <f t="shared" si="31"/>
        <v>-114710.65227868834</v>
      </c>
      <c r="AK38" s="3">
        <f t="shared" si="31"/>
        <v>-113759.45474274467</v>
      </c>
      <c r="AL38" s="3">
        <f t="shared" si="31"/>
        <v>-112796.36723760166</v>
      </c>
      <c r="AM38" s="3">
        <f t="shared" si="31"/>
        <v>-111821.24113864439</v>
      </c>
      <c r="AN38" s="3">
        <f t="shared" si="31"/>
        <v>-110833.92596345014</v>
      </c>
      <c r="AO38" s="3">
        <f t="shared" si="31"/>
        <v>-109834.26934856595</v>
      </c>
      <c r="AP38" s="3">
        <f t="shared" si="31"/>
        <v>-108822.11702599574</v>
      </c>
      <c r="AQ38" s="3">
        <f t="shared" si="31"/>
        <v>-107797.31279939339</v>
      </c>
      <c r="AR38" s="3">
        <f t="shared" si="31"/>
        <v>-106759.69851995852</v>
      </c>
      <c r="AS38" s="3">
        <f t="shared" si="31"/>
        <v>-105709.11406203068</v>
      </c>
      <c r="AT38" s="3">
        <f t="shared" si="31"/>
        <v>-104645.39729837877</v>
      </c>
      <c r="AU38" s="3">
        <f t="shared" si="31"/>
        <v>-103568.38407518119</v>
      </c>
      <c r="AV38" s="3">
        <f t="shared" si="31"/>
        <v>-102477.90818669366</v>
      </c>
      <c r="AW38" s="3">
        <f t="shared" si="31"/>
        <v>-101373.80134960003</v>
      </c>
      <c r="AX38" s="3">
        <f t="shared" si="31"/>
        <v>-98199.271962427039</v>
      </c>
      <c r="AY38" s="3">
        <f t="shared" si="31"/>
        <v>-97044.463645178475</v>
      </c>
      <c r="AZ38" s="3">
        <f t="shared" si="31"/>
        <v>-95876.663734360889</v>
      </c>
      <c r="BA38" s="3">
        <f t="shared" si="31"/>
        <v>-94695.72607454659</v>
      </c>
      <c r="BB38" s="3">
        <f t="shared" si="31"/>
        <v>-93501.502866059396</v>
      </c>
      <c r="BC38" s="3">
        <f t="shared" si="31"/>
        <v>-92293.844646476704</v>
      </c>
      <c r="BD38" s="3">
        <f t="shared" si="31"/>
        <v>-91072.6002719237</v>
      </c>
      <c r="BE38" s="3">
        <f t="shared" si="31"/>
        <v>-89837.616898156994</v>
      </c>
      <c r="BF38" s="3">
        <f t="shared" si="31"/>
        <v>-88588.739961435393</v>
      </c>
      <c r="BG38" s="3">
        <f t="shared" si="31"/>
        <v>-87325.813159175683</v>
      </c>
      <c r="BH38" s="3">
        <f t="shared" si="31"/>
        <v>-86048.678430390559</v>
      </c>
      <c r="BI38" s="3">
        <f t="shared" si="31"/>
        <v>-84757.175935906605</v>
      </c>
      <c r="BJ38" s="3">
        <f t="shared" si="31"/>
        <v>-83451.144038359693</v>
      </c>
      <c r="BK38" s="3">
        <f t="shared" si="31"/>
        <v>-82130.419281965384</v>
      </c>
      <c r="BL38" s="3">
        <f t="shared" si="31"/>
        <v>-80794.836372061633</v>
      </c>
      <c r="BM38" s="3">
        <f t="shared" si="31"/>
        <v>-79444.228154421478</v>
      </c>
      <c r="BN38" s="3">
        <f t="shared" si="31"/>
        <v>-78078.425594332861</v>
      </c>
      <c r="BO38" s="3">
        <f t="shared" si="31"/>
        <v>-76697.257755443236</v>
      </c>
      <c r="BP38" s="3">
        <f t="shared" si="31"/>
        <v>-75300.55177836612</v>
      </c>
      <c r="BQ38" s="3">
        <f t="shared" si="31"/>
        <v>-73888.132859046877</v>
      </c>
      <c r="BR38" s="3">
        <f t="shared" si="31"/>
        <v>-95100.925694972699</v>
      </c>
      <c r="BS38" s="3">
        <f t="shared" si="31"/>
        <v>-93301.681998893007</v>
      </c>
      <c r="BT38" s="3">
        <f t="shared" si="31"/>
        <v>-91477.698701992224</v>
      </c>
      <c r="BU38" s="3">
        <f t="shared" ref="BU38:DY41" si="32">BU72</f>
        <v>-89628.635634759063</v>
      </c>
      <c r="BV38" s="3">
        <f t="shared" si="32"/>
        <v>-87754.147950351442</v>
      </c>
      <c r="BW38" s="3">
        <f t="shared" si="32"/>
        <v>-85853.886060283214</v>
      </c>
      <c r="BX38" s="3">
        <f t="shared" si="32"/>
        <v>-83927.495569226565</v>
      </c>
      <c r="BY38" s="3">
        <f t="shared" si="32"/>
        <v>-81974.617208917873</v>
      </c>
      <c r="BZ38" s="3">
        <f t="shared" si="32"/>
        <v>-79994.886771154925</v>
      </c>
      <c r="CA38" s="3">
        <f t="shared" si="32"/>
        <v>-77987.93503987274</v>
      </c>
      <c r="CB38" s="3">
        <f t="shared" si="32"/>
        <v>-75953.38772228545</v>
      </c>
      <c r="CC38" s="3">
        <f t="shared" si="32"/>
        <v>-73890.865379081311</v>
      </c>
      <c r="CD38" s="3">
        <f t="shared" si="32"/>
        <v>-71799.983353658128</v>
      </c>
      <c r="CE38" s="3">
        <f t="shared" si="32"/>
        <v>-69680.351700385363</v>
      </c>
      <c r="CF38" s="3">
        <f t="shared" si="32"/>
        <v>-67531.575111880113</v>
      </c>
      <c r="CG38" s="3">
        <f t="shared" si="32"/>
        <v>-65353.252845282899</v>
      </c>
      <c r="CH38" s="3">
        <f t="shared" si="32"/>
        <v>-63144.97864751998</v>
      </c>
      <c r="CI38" s="3">
        <f t="shared" si="32"/>
        <v>-60906.340679537818</v>
      </c>
      <c r="CJ38" s="3">
        <f t="shared" si="32"/>
        <v>-58636.921439495905</v>
      </c>
      <c r="CK38" s="3">
        <f t="shared" si="32"/>
        <v>-56336.297684903417</v>
      </c>
      <c r="CL38" s="3">
        <f t="shared" si="32"/>
        <v>-55231.301393247035</v>
      </c>
      <c r="CM38" s="3">
        <f t="shared" si="32"/>
        <v>-52783.428595626705</v>
      </c>
      <c r="CN38" s="3">
        <f t="shared" si="32"/>
        <v>-50304.957388036128</v>
      </c>
      <c r="CO38" s="3">
        <f t="shared" si="32"/>
        <v>-47795.505290350658</v>
      </c>
      <c r="CP38" s="3">
        <f t="shared" si="32"/>
        <v>-45254.685041444121</v>
      </c>
      <c r="CQ38" s="3">
        <f t="shared" si="32"/>
        <v>-42682.104539426255</v>
      </c>
      <c r="CR38" s="3">
        <f t="shared" si="32"/>
        <v>-40077.366781133169</v>
      </c>
      <c r="CS38" s="3">
        <f t="shared" si="32"/>
        <v>-37440.069800861413</v>
      </c>
      <c r="CT38" s="3">
        <f t="shared" si="32"/>
        <v>-34769.806608336265</v>
      </c>
      <c r="CU38" s="3">
        <f t="shared" si="32"/>
        <v>-32066.165125904547</v>
      </c>
      <c r="CV38" s="3">
        <f t="shared" si="32"/>
        <v>-29328.728124942441</v>
      </c>
      <c r="CW38" s="3">
        <f t="shared" si="32"/>
        <v>-26557.073161468306</v>
      </c>
      <c r="CX38" s="3">
        <f t="shared" si="32"/>
        <v>-23750.772510950745</v>
      </c>
      <c r="CY38" s="3">
        <f t="shared" si="32"/>
        <v>-20909.39310230171</v>
      </c>
      <c r="CZ38" s="3">
        <f t="shared" si="32"/>
        <v>-18032.496451044568</v>
      </c>
      <c r="DA38" s="3">
        <f t="shared" si="32"/>
        <v>-15119.638591646706</v>
      </c>
      <c r="DB38" s="3">
        <f t="shared" si="32"/>
        <v>-12170.370009006374</v>
      </c>
      <c r="DC38" s="3">
        <f t="shared" si="32"/>
        <v>-9184.2355690830373</v>
      </c>
      <c r="DD38" s="3">
        <f t="shared" si="32"/>
        <v>-6160.7744486606598</v>
      </c>
      <c r="DE38" s="3">
        <f t="shared" si="32"/>
        <v>-3099.5200642330024</v>
      </c>
      <c r="DF38" s="3">
        <f t="shared" si="32"/>
        <v>0</v>
      </c>
      <c r="DG38" s="3">
        <f t="shared" si="32"/>
        <v>0</v>
      </c>
      <c r="DH38" s="3">
        <f t="shared" si="32"/>
        <v>0</v>
      </c>
      <c r="DI38" s="3">
        <f t="shared" si="32"/>
        <v>0</v>
      </c>
      <c r="DJ38" s="3">
        <f t="shared" si="32"/>
        <v>0</v>
      </c>
      <c r="DK38" s="3">
        <f t="shared" si="32"/>
        <v>0</v>
      </c>
      <c r="DL38" s="3">
        <f t="shared" si="32"/>
        <v>0</v>
      </c>
      <c r="DM38" s="3">
        <f t="shared" si="32"/>
        <v>0</v>
      </c>
      <c r="DN38" s="3">
        <f t="shared" si="32"/>
        <v>0</v>
      </c>
      <c r="DO38" s="3">
        <f t="shared" si="32"/>
        <v>0</v>
      </c>
      <c r="DP38" s="3">
        <f t="shared" si="32"/>
        <v>0</v>
      </c>
      <c r="DQ38" s="3">
        <f t="shared" si="32"/>
        <v>0</v>
      </c>
      <c r="DR38" s="3">
        <f t="shared" si="32"/>
        <v>0</v>
      </c>
      <c r="DS38" s="3">
        <f t="shared" si="32"/>
        <v>0</v>
      </c>
      <c r="DT38" s="3">
        <f t="shared" si="32"/>
        <v>0</v>
      </c>
      <c r="DU38" s="3">
        <f t="shared" si="32"/>
        <v>0</v>
      </c>
      <c r="DV38" s="3">
        <f t="shared" si="32"/>
        <v>0</v>
      </c>
      <c r="DW38" s="3">
        <f t="shared" si="32"/>
        <v>0</v>
      </c>
      <c r="DX38" s="3">
        <f t="shared" si="32"/>
        <v>0</v>
      </c>
      <c r="DY38" s="3">
        <f t="shared" si="32"/>
        <v>0</v>
      </c>
    </row>
    <row r="39" spans="2:129" ht="13.8">
      <c r="C39" s="7" t="s">
        <v>69</v>
      </c>
      <c r="D39" s="10" t="s">
        <v>0</v>
      </c>
      <c r="G39" s="23">
        <f t="shared" ref="G39:G48" si="33">SUM(I39:DY39)</f>
        <v>-12433855.804568825</v>
      </c>
      <c r="I39" s="3">
        <f t="shared" si="31"/>
        <v>0</v>
      </c>
      <c r="J39" s="3">
        <f t="shared" si="31"/>
        <v>-50742.787642011492</v>
      </c>
      <c r="K39" s="3">
        <f t="shared" si="31"/>
        <v>-51377.072487536629</v>
      </c>
      <c r="L39" s="3">
        <f t="shared" si="31"/>
        <v>-52019.285893630826</v>
      </c>
      <c r="M39" s="3">
        <f t="shared" si="31"/>
        <v>-52669.526967301208</v>
      </c>
      <c r="N39" s="3">
        <f t="shared" si="31"/>
        <v>-53327.896054392484</v>
      </c>
      <c r="O39" s="3">
        <f t="shared" si="31"/>
        <v>-53994.494755072381</v>
      </c>
      <c r="P39" s="3">
        <f t="shared" si="31"/>
        <v>-54669.425939510787</v>
      </c>
      <c r="Q39" s="3">
        <f t="shared" si="31"/>
        <v>-55352.793763754657</v>
      </c>
      <c r="R39" s="3">
        <f t="shared" si="31"/>
        <v>-56044.703685801622</v>
      </c>
      <c r="S39" s="3">
        <f t="shared" si="31"/>
        <v>-56745.262481874117</v>
      </c>
      <c r="T39" s="3">
        <f t="shared" si="31"/>
        <v>-57454.57826289755</v>
      </c>
      <c r="U39" s="3">
        <f t="shared" si="31"/>
        <v>-58172.760491183777</v>
      </c>
      <c r="V39" s="3">
        <f t="shared" si="31"/>
        <v>-58899.919997323588</v>
      </c>
      <c r="W39" s="3">
        <f t="shared" si="31"/>
        <v>-59636.168997290115</v>
      </c>
      <c r="X39" s="3">
        <f t="shared" si="31"/>
        <v>-60381.621109756248</v>
      </c>
      <c r="Y39" s="3">
        <f t="shared" si="31"/>
        <v>-61136.391373628227</v>
      </c>
      <c r="Z39" s="3">
        <f t="shared" si="31"/>
        <v>-61900.596265798551</v>
      </c>
      <c r="AA39" s="3">
        <f t="shared" si="31"/>
        <v>-62674.353719121049</v>
      </c>
      <c r="AB39" s="3">
        <f t="shared" si="31"/>
        <v>-63457.783140610045</v>
      </c>
      <c r="AC39" s="3">
        <f t="shared" si="31"/>
        <v>-64251.005429867684</v>
      </c>
      <c r="AD39" s="3">
        <f t="shared" si="31"/>
        <v>-70630.212397547351</v>
      </c>
      <c r="AE39" s="3">
        <f t="shared" si="31"/>
        <v>-71513.09005251668</v>
      </c>
      <c r="AF39" s="3">
        <f t="shared" si="31"/>
        <v>-72407.003678173147</v>
      </c>
      <c r="AG39" s="3">
        <f t="shared" si="31"/>
        <v>-73312.091224150325</v>
      </c>
      <c r="AH39" s="3">
        <f t="shared" si="31"/>
        <v>-74228.492364452191</v>
      </c>
      <c r="AI39" s="3">
        <f t="shared" si="31"/>
        <v>-75156.348519007835</v>
      </c>
      <c r="AJ39" s="3">
        <f t="shared" si="31"/>
        <v>-76095.802875495458</v>
      </c>
      <c r="AK39" s="3">
        <f t="shared" si="31"/>
        <v>-77047.000411439149</v>
      </c>
      <c r="AL39" s="3">
        <f t="shared" si="31"/>
        <v>-78010.087916582124</v>
      </c>
      <c r="AM39" s="3">
        <f t="shared" si="31"/>
        <v>-78985.214015539401</v>
      </c>
      <c r="AN39" s="3">
        <f t="shared" si="31"/>
        <v>-79972.529190733636</v>
      </c>
      <c r="AO39" s="3">
        <f t="shared" si="31"/>
        <v>-80972.185805617817</v>
      </c>
      <c r="AP39" s="3">
        <f t="shared" si="31"/>
        <v>-81984.338128188028</v>
      </c>
      <c r="AQ39" s="3">
        <f t="shared" si="31"/>
        <v>-83009.142354790369</v>
      </c>
      <c r="AR39" s="3">
        <f t="shared" si="31"/>
        <v>-84046.756634225254</v>
      </c>
      <c r="AS39" s="3">
        <f t="shared" si="31"/>
        <v>-85097.341092153074</v>
      </c>
      <c r="AT39" s="3">
        <f t="shared" si="31"/>
        <v>-86161.057855804989</v>
      </c>
      <c r="AU39" s="3">
        <f t="shared" si="31"/>
        <v>-87238.071079002519</v>
      </c>
      <c r="AV39" s="3">
        <f t="shared" si="31"/>
        <v>-88328.546967490038</v>
      </c>
      <c r="AW39" s="3">
        <f t="shared" si="31"/>
        <v>-89432.653804583664</v>
      </c>
      <c r="AX39" s="3">
        <f t="shared" si="31"/>
        <v>-102649.62819987144</v>
      </c>
      <c r="AY39" s="3">
        <f t="shared" si="31"/>
        <v>-103804.43651712</v>
      </c>
      <c r="AZ39" s="3">
        <f t="shared" si="31"/>
        <v>-104972.23642793759</v>
      </c>
      <c r="BA39" s="3">
        <f t="shared" si="31"/>
        <v>-106153.17408775192</v>
      </c>
      <c r="BB39" s="3">
        <f t="shared" si="31"/>
        <v>-107347.39729623911</v>
      </c>
      <c r="BC39" s="3">
        <f t="shared" si="31"/>
        <v>-108555.05551582179</v>
      </c>
      <c r="BD39" s="3">
        <f t="shared" si="31"/>
        <v>-109776.29989037479</v>
      </c>
      <c r="BE39" s="3">
        <f t="shared" si="31"/>
        <v>-111011.28326414149</v>
      </c>
      <c r="BF39" s="3">
        <f t="shared" si="31"/>
        <v>-112260.16020086312</v>
      </c>
      <c r="BG39" s="3">
        <f t="shared" si="31"/>
        <v>-113523.08700312281</v>
      </c>
      <c r="BH39" s="3">
        <f t="shared" si="31"/>
        <v>-114800.22173190794</v>
      </c>
      <c r="BI39" s="3">
        <f t="shared" si="31"/>
        <v>-116091.72422639195</v>
      </c>
      <c r="BJ39" s="3">
        <f t="shared" si="31"/>
        <v>-117397.75612393886</v>
      </c>
      <c r="BK39" s="3">
        <f t="shared" si="31"/>
        <v>-118718.48088033317</v>
      </c>
      <c r="BL39" s="3">
        <f t="shared" si="31"/>
        <v>-120054.06379023693</v>
      </c>
      <c r="BM39" s="3">
        <f t="shared" si="31"/>
        <v>-121404.6720078771</v>
      </c>
      <c r="BN39" s="3">
        <f t="shared" si="31"/>
        <v>-122770.47456796571</v>
      </c>
      <c r="BO39" s="3">
        <f t="shared" si="31"/>
        <v>-124151.6424068553</v>
      </c>
      <c r="BP39" s="3">
        <f t="shared" si="31"/>
        <v>-125548.34838393242</v>
      </c>
      <c r="BQ39" s="3">
        <f t="shared" si="31"/>
        <v>-126960.76730325169</v>
      </c>
      <c r="BR39" s="3">
        <f t="shared" si="31"/>
        <v>-130854.08698761326</v>
      </c>
      <c r="BS39" s="3">
        <f t="shared" si="31"/>
        <v>-132653.33068369294</v>
      </c>
      <c r="BT39" s="3">
        <f t="shared" si="31"/>
        <v>-134477.3139805937</v>
      </c>
      <c r="BU39" s="3">
        <f t="shared" si="32"/>
        <v>-136326.37704782689</v>
      </c>
      <c r="BV39" s="3">
        <f t="shared" si="32"/>
        <v>-138200.86473223451</v>
      </c>
      <c r="BW39" s="3">
        <f t="shared" si="32"/>
        <v>-140101.12662230275</v>
      </c>
      <c r="BX39" s="3">
        <f t="shared" si="32"/>
        <v>-142027.51711335941</v>
      </c>
      <c r="BY39" s="3">
        <f t="shared" si="32"/>
        <v>-143980.39547366806</v>
      </c>
      <c r="BZ39" s="3">
        <f t="shared" si="32"/>
        <v>-145960.12591143101</v>
      </c>
      <c r="CA39" s="3">
        <f t="shared" si="32"/>
        <v>-147967.07764271318</v>
      </c>
      <c r="CB39" s="3">
        <f t="shared" si="32"/>
        <v>-150001.62496030045</v>
      </c>
      <c r="CC39" s="3">
        <f t="shared" si="32"/>
        <v>-152064.14730350461</v>
      </c>
      <c r="CD39" s="3">
        <f t="shared" si="32"/>
        <v>-154155.02932892783</v>
      </c>
      <c r="CE39" s="3">
        <f t="shared" si="32"/>
        <v>-156274.66098220058</v>
      </c>
      <c r="CF39" s="3">
        <f t="shared" si="32"/>
        <v>-158423.43757070584</v>
      </c>
      <c r="CG39" s="3">
        <f t="shared" si="32"/>
        <v>-160601.75983730302</v>
      </c>
      <c r="CH39" s="3">
        <f t="shared" si="32"/>
        <v>-162810.03403506597</v>
      </c>
      <c r="CI39" s="3">
        <f t="shared" si="32"/>
        <v>-165048.67200304809</v>
      </c>
      <c r="CJ39" s="3">
        <f t="shared" si="32"/>
        <v>-167318.09124309002</v>
      </c>
      <c r="CK39" s="3">
        <f t="shared" si="32"/>
        <v>-169618.71499768246</v>
      </c>
      <c r="CL39" s="3">
        <f t="shared" si="32"/>
        <v>-195829.8238096264</v>
      </c>
      <c r="CM39" s="3">
        <f t="shared" si="32"/>
        <v>-198277.69660724665</v>
      </c>
      <c r="CN39" s="3">
        <f t="shared" si="32"/>
        <v>-200756.16781483724</v>
      </c>
      <c r="CO39" s="3">
        <f t="shared" si="32"/>
        <v>-203265.6199125227</v>
      </c>
      <c r="CP39" s="3">
        <f t="shared" si="32"/>
        <v>-205806.44016142923</v>
      </c>
      <c r="CQ39" s="3">
        <f t="shared" si="32"/>
        <v>-208379.02066344707</v>
      </c>
      <c r="CR39" s="3">
        <f t="shared" si="32"/>
        <v>-210983.75842174015</v>
      </c>
      <c r="CS39" s="3">
        <f t="shared" si="32"/>
        <v>-213621.05540201196</v>
      </c>
      <c r="CT39" s="3">
        <f t="shared" si="32"/>
        <v>-216291.31859453704</v>
      </c>
      <c r="CU39" s="3">
        <f t="shared" si="32"/>
        <v>-218994.96007696871</v>
      </c>
      <c r="CV39" s="3">
        <f t="shared" si="32"/>
        <v>-221732.39707793086</v>
      </c>
      <c r="CW39" s="3">
        <f t="shared" si="32"/>
        <v>-224504.05204140503</v>
      </c>
      <c r="CX39" s="3">
        <f t="shared" si="32"/>
        <v>-227310.35269192257</v>
      </c>
      <c r="CY39" s="3">
        <f t="shared" si="32"/>
        <v>-230151.73210057162</v>
      </c>
      <c r="CZ39" s="3">
        <f t="shared" si="32"/>
        <v>-233028.62875182877</v>
      </c>
      <c r="DA39" s="3">
        <f t="shared" si="32"/>
        <v>-235941.48661122657</v>
      </c>
      <c r="DB39" s="3">
        <f t="shared" si="32"/>
        <v>-238890.75519386691</v>
      </c>
      <c r="DC39" s="3">
        <f t="shared" si="32"/>
        <v>-241876.88963379024</v>
      </c>
      <c r="DD39" s="3">
        <f t="shared" si="32"/>
        <v>-244900.35075421256</v>
      </c>
      <c r="DE39" s="3">
        <f t="shared" si="32"/>
        <v>-247961.60513864027</v>
      </c>
      <c r="DF39" s="3">
        <f t="shared" si="32"/>
        <v>0</v>
      </c>
      <c r="DG39" s="3">
        <f t="shared" si="32"/>
        <v>0</v>
      </c>
      <c r="DH39" s="3">
        <f t="shared" si="32"/>
        <v>0</v>
      </c>
      <c r="DI39" s="3">
        <f t="shared" si="32"/>
        <v>0</v>
      </c>
      <c r="DJ39" s="3">
        <f t="shared" si="32"/>
        <v>0</v>
      </c>
      <c r="DK39" s="3">
        <f t="shared" si="32"/>
        <v>0</v>
      </c>
      <c r="DL39" s="3">
        <f t="shared" si="32"/>
        <v>0</v>
      </c>
      <c r="DM39" s="3">
        <f t="shared" si="32"/>
        <v>0</v>
      </c>
      <c r="DN39" s="3">
        <f t="shared" si="32"/>
        <v>0</v>
      </c>
      <c r="DO39" s="3">
        <f t="shared" si="32"/>
        <v>0</v>
      </c>
      <c r="DP39" s="3">
        <f t="shared" si="32"/>
        <v>0</v>
      </c>
      <c r="DQ39" s="3">
        <f t="shared" si="32"/>
        <v>0</v>
      </c>
      <c r="DR39" s="3">
        <f t="shared" si="32"/>
        <v>0</v>
      </c>
      <c r="DS39" s="3">
        <f t="shared" si="32"/>
        <v>0</v>
      </c>
      <c r="DT39" s="3">
        <f t="shared" si="32"/>
        <v>0</v>
      </c>
      <c r="DU39" s="3">
        <f t="shared" si="32"/>
        <v>0</v>
      </c>
      <c r="DV39" s="3">
        <f t="shared" si="32"/>
        <v>0</v>
      </c>
      <c r="DW39" s="3">
        <f t="shared" si="32"/>
        <v>0</v>
      </c>
      <c r="DX39" s="3">
        <f t="shared" si="32"/>
        <v>0</v>
      </c>
      <c r="DY39" s="3">
        <f t="shared" si="32"/>
        <v>0</v>
      </c>
    </row>
    <row r="40" spans="2:129" ht="13.8">
      <c r="B40" s="29"/>
      <c r="C40" s="7" t="s">
        <v>70</v>
      </c>
      <c r="D40" s="10" t="s">
        <v>0</v>
      </c>
      <c r="F40" s="28"/>
      <c r="G40" s="23">
        <f>SUM(I40:DY40)</f>
        <v>-27244002.861494191</v>
      </c>
      <c r="I40" s="3">
        <f t="shared" si="31"/>
        <v>0</v>
      </c>
      <c r="J40" s="3">
        <f t="shared" si="31"/>
        <v>0</v>
      </c>
      <c r="K40" s="3">
        <f t="shared" si="31"/>
        <v>0</v>
      </c>
      <c r="L40" s="3">
        <f t="shared" si="31"/>
        <v>0</v>
      </c>
      <c r="M40" s="3">
        <f t="shared" si="31"/>
        <v>0</v>
      </c>
      <c r="N40" s="3">
        <f t="shared" si="31"/>
        <v>0</v>
      </c>
      <c r="O40" s="3">
        <f t="shared" si="31"/>
        <v>0</v>
      </c>
      <c r="P40" s="3">
        <f t="shared" si="31"/>
        <v>0</v>
      </c>
      <c r="Q40" s="3">
        <f t="shared" si="31"/>
        <v>0</v>
      </c>
      <c r="R40" s="3">
        <f t="shared" si="31"/>
        <v>0</v>
      </c>
      <c r="S40" s="3">
        <f t="shared" si="31"/>
        <v>0</v>
      </c>
      <c r="T40" s="3">
        <f t="shared" si="31"/>
        <v>0</v>
      </c>
      <c r="U40" s="3">
        <f t="shared" si="31"/>
        <v>0</v>
      </c>
      <c r="V40" s="3">
        <f t="shared" si="31"/>
        <v>0</v>
      </c>
      <c r="W40" s="3">
        <f t="shared" si="31"/>
        <v>0</v>
      </c>
      <c r="X40" s="3">
        <f t="shared" si="31"/>
        <v>0</v>
      </c>
      <c r="Y40" s="3">
        <f t="shared" si="31"/>
        <v>0</v>
      </c>
      <c r="Z40" s="3">
        <f t="shared" si="31"/>
        <v>0</v>
      </c>
      <c r="AA40" s="3">
        <f t="shared" si="31"/>
        <v>0</v>
      </c>
      <c r="AB40" s="3">
        <f t="shared" si="31"/>
        <v>0</v>
      </c>
      <c r="AC40" s="3">
        <f t="shared" si="31"/>
        <v>-8855091.5715416372</v>
      </c>
      <c r="AD40" s="3">
        <f t="shared" si="31"/>
        <v>0</v>
      </c>
      <c r="AE40" s="3">
        <f t="shared" si="31"/>
        <v>0</v>
      </c>
      <c r="AF40" s="3">
        <f t="shared" si="31"/>
        <v>0</v>
      </c>
      <c r="AG40" s="3">
        <f t="shared" si="31"/>
        <v>0</v>
      </c>
      <c r="AH40" s="3">
        <f t="shared" si="31"/>
        <v>0</v>
      </c>
      <c r="AI40" s="3">
        <f t="shared" si="31"/>
        <v>0</v>
      </c>
      <c r="AJ40" s="3">
        <f t="shared" si="31"/>
        <v>0</v>
      </c>
      <c r="AK40" s="3">
        <f t="shared" si="31"/>
        <v>0</v>
      </c>
      <c r="AL40" s="3">
        <f t="shared" si="31"/>
        <v>0</v>
      </c>
      <c r="AM40" s="3">
        <f t="shared" si="31"/>
        <v>0</v>
      </c>
      <c r="AN40" s="3">
        <f t="shared" si="31"/>
        <v>0</v>
      </c>
      <c r="AO40" s="3">
        <f t="shared" si="31"/>
        <v>0</v>
      </c>
      <c r="AP40" s="3">
        <f t="shared" si="31"/>
        <v>0</v>
      </c>
      <c r="AQ40" s="3">
        <f t="shared" si="31"/>
        <v>0</v>
      </c>
      <c r="AR40" s="3">
        <f t="shared" si="31"/>
        <v>0</v>
      </c>
      <c r="AS40" s="3">
        <f t="shared" si="31"/>
        <v>0</v>
      </c>
      <c r="AT40" s="3">
        <f t="shared" si="31"/>
        <v>0</v>
      </c>
      <c r="AU40" s="3">
        <f t="shared" si="31"/>
        <v>0</v>
      </c>
      <c r="AV40" s="3">
        <f t="shared" si="31"/>
        <v>0</v>
      </c>
      <c r="AW40" s="3">
        <f t="shared" si="31"/>
        <v>-8020471.4541634191</v>
      </c>
      <c r="AX40" s="3">
        <f t="shared" si="31"/>
        <v>0</v>
      </c>
      <c r="AY40" s="3">
        <f t="shared" si="31"/>
        <v>0</v>
      </c>
      <c r="AZ40" s="3">
        <f t="shared" si="31"/>
        <v>0</v>
      </c>
      <c r="BA40" s="3">
        <f t="shared" si="31"/>
        <v>0</v>
      </c>
      <c r="BB40" s="3">
        <f t="shared" si="31"/>
        <v>0</v>
      </c>
      <c r="BC40" s="3">
        <f t="shared" si="31"/>
        <v>0</v>
      </c>
      <c r="BD40" s="3">
        <f t="shared" si="31"/>
        <v>0</v>
      </c>
      <c r="BE40" s="3">
        <f t="shared" si="31"/>
        <v>0</v>
      </c>
      <c r="BF40" s="3">
        <f t="shared" si="31"/>
        <v>0</v>
      </c>
      <c r="BG40" s="3">
        <f t="shared" si="31"/>
        <v>0</v>
      </c>
      <c r="BH40" s="3">
        <f t="shared" si="31"/>
        <v>0</v>
      </c>
      <c r="BI40" s="3">
        <f t="shared" si="31"/>
        <v>0</v>
      </c>
      <c r="BJ40" s="3">
        <f t="shared" si="31"/>
        <v>0</v>
      </c>
      <c r="BK40" s="3">
        <f t="shared" si="31"/>
        <v>0</v>
      </c>
      <c r="BL40" s="3">
        <f t="shared" si="31"/>
        <v>0</v>
      </c>
      <c r="BM40" s="3">
        <f t="shared" si="31"/>
        <v>0</v>
      </c>
      <c r="BN40" s="3">
        <f t="shared" si="31"/>
        <v>0</v>
      </c>
      <c r="BO40" s="3">
        <f t="shared" si="31"/>
        <v>0</v>
      </c>
      <c r="BP40" s="3">
        <f t="shared" si="31"/>
        <v>0</v>
      </c>
      <c r="BQ40" s="3">
        <f t="shared" si="31"/>
        <v>-6440873.2646120265</v>
      </c>
      <c r="BR40" s="3">
        <f t="shared" si="31"/>
        <v>0</v>
      </c>
      <c r="BS40" s="3">
        <f t="shared" si="31"/>
        <v>0</v>
      </c>
      <c r="BT40" s="3">
        <f t="shared" si="31"/>
        <v>0</v>
      </c>
      <c r="BU40" s="3">
        <f t="shared" si="32"/>
        <v>0</v>
      </c>
      <c r="BV40" s="3">
        <f t="shared" si="32"/>
        <v>0</v>
      </c>
      <c r="BW40" s="3">
        <f t="shared" si="32"/>
        <v>0</v>
      </c>
      <c r="BX40" s="3">
        <f t="shared" si="32"/>
        <v>0</v>
      </c>
      <c r="BY40" s="3">
        <f t="shared" si="32"/>
        <v>0</v>
      </c>
      <c r="BZ40" s="3">
        <f t="shared" si="32"/>
        <v>0</v>
      </c>
      <c r="CA40" s="3">
        <f t="shared" si="32"/>
        <v>0</v>
      </c>
      <c r="CB40" s="3">
        <f t="shared" si="32"/>
        <v>0</v>
      </c>
      <c r="CC40" s="3">
        <f t="shared" si="32"/>
        <v>0</v>
      </c>
      <c r="CD40" s="3">
        <f t="shared" si="32"/>
        <v>0</v>
      </c>
      <c r="CE40" s="3">
        <f t="shared" si="32"/>
        <v>0</v>
      </c>
      <c r="CF40" s="3">
        <f t="shared" si="32"/>
        <v>0</v>
      </c>
      <c r="CG40" s="3">
        <f t="shared" si="32"/>
        <v>0</v>
      </c>
      <c r="CH40" s="3">
        <f t="shared" si="32"/>
        <v>0</v>
      </c>
      <c r="CI40" s="3">
        <f t="shared" si="32"/>
        <v>0</v>
      </c>
      <c r="CJ40" s="3">
        <f t="shared" si="32"/>
        <v>0</v>
      </c>
      <c r="CK40" s="3">
        <f t="shared" si="32"/>
        <v>-3927566.5711771115</v>
      </c>
      <c r="CL40" s="3">
        <f t="shared" si="32"/>
        <v>0</v>
      </c>
      <c r="CM40" s="3">
        <f t="shared" si="32"/>
        <v>0</v>
      </c>
      <c r="CN40" s="3">
        <f t="shared" si="32"/>
        <v>0</v>
      </c>
      <c r="CO40" s="3">
        <f t="shared" si="32"/>
        <v>0</v>
      </c>
      <c r="CP40" s="3">
        <f t="shared" si="32"/>
        <v>0</v>
      </c>
      <c r="CQ40" s="3">
        <f t="shared" si="32"/>
        <v>0</v>
      </c>
      <c r="CR40" s="3">
        <f t="shared" si="32"/>
        <v>0</v>
      </c>
      <c r="CS40" s="3">
        <f t="shared" si="32"/>
        <v>0</v>
      </c>
      <c r="CT40" s="3">
        <f t="shared" si="32"/>
        <v>0</v>
      </c>
      <c r="CU40" s="3">
        <f t="shared" si="32"/>
        <v>0</v>
      </c>
      <c r="CV40" s="3">
        <f t="shared" si="32"/>
        <v>0</v>
      </c>
      <c r="CW40" s="3">
        <f t="shared" si="32"/>
        <v>0</v>
      </c>
      <c r="CX40" s="3">
        <f t="shared" si="32"/>
        <v>0</v>
      </c>
      <c r="CY40" s="3">
        <f t="shared" si="32"/>
        <v>0</v>
      </c>
      <c r="CZ40" s="3">
        <f t="shared" si="32"/>
        <v>0</v>
      </c>
      <c r="DA40" s="3">
        <f t="shared" si="32"/>
        <v>0</v>
      </c>
      <c r="DB40" s="3">
        <f t="shared" si="32"/>
        <v>0</v>
      </c>
      <c r="DC40" s="3">
        <f t="shared" si="32"/>
        <v>0</v>
      </c>
      <c r="DD40" s="3">
        <f t="shared" si="32"/>
        <v>0</v>
      </c>
      <c r="DE40" s="3">
        <f t="shared" si="32"/>
        <v>0</v>
      </c>
      <c r="DF40" s="3">
        <f t="shared" si="32"/>
        <v>0</v>
      </c>
      <c r="DG40" s="3">
        <f t="shared" si="32"/>
        <v>0</v>
      </c>
      <c r="DH40" s="3">
        <f t="shared" si="32"/>
        <v>0</v>
      </c>
      <c r="DI40" s="3">
        <f t="shared" si="32"/>
        <v>0</v>
      </c>
      <c r="DJ40" s="3">
        <f t="shared" si="32"/>
        <v>0</v>
      </c>
      <c r="DK40" s="3">
        <f t="shared" si="32"/>
        <v>0</v>
      </c>
      <c r="DL40" s="3">
        <f t="shared" si="32"/>
        <v>0</v>
      </c>
      <c r="DM40" s="3">
        <f t="shared" si="32"/>
        <v>0</v>
      </c>
      <c r="DN40" s="3">
        <f t="shared" si="32"/>
        <v>0</v>
      </c>
      <c r="DO40" s="3">
        <f t="shared" si="32"/>
        <v>0</v>
      </c>
      <c r="DP40" s="3">
        <f t="shared" si="32"/>
        <v>0</v>
      </c>
      <c r="DQ40" s="3">
        <f t="shared" si="32"/>
        <v>0</v>
      </c>
      <c r="DR40" s="3">
        <f t="shared" si="32"/>
        <v>0</v>
      </c>
      <c r="DS40" s="3">
        <f t="shared" si="32"/>
        <v>0</v>
      </c>
      <c r="DT40" s="3">
        <f t="shared" si="32"/>
        <v>0</v>
      </c>
      <c r="DU40" s="3">
        <f t="shared" si="32"/>
        <v>0</v>
      </c>
      <c r="DV40" s="3">
        <f t="shared" si="32"/>
        <v>0</v>
      </c>
      <c r="DW40" s="3">
        <f t="shared" si="32"/>
        <v>0</v>
      </c>
      <c r="DX40" s="3">
        <f t="shared" si="32"/>
        <v>0</v>
      </c>
      <c r="DY40" s="3">
        <f t="shared" si="32"/>
        <v>0</v>
      </c>
    </row>
    <row r="41" spans="2:129" ht="13.8">
      <c r="B41" s="29"/>
      <c r="C41" s="7" t="s">
        <v>71</v>
      </c>
      <c r="D41" s="10" t="s">
        <v>0</v>
      </c>
      <c r="F41" s="28"/>
      <c r="G41" s="23">
        <f>SUM(I41:DY41)</f>
        <v>29381080.07940238</v>
      </c>
      <c r="I41" s="3">
        <f t="shared" si="31"/>
        <v>0</v>
      </c>
      <c r="J41" s="3">
        <f t="shared" si="31"/>
        <v>0</v>
      </c>
      <c r="K41" s="3">
        <f t="shared" si="31"/>
        <v>0</v>
      </c>
      <c r="L41" s="3">
        <f t="shared" si="31"/>
        <v>0</v>
      </c>
      <c r="M41" s="3">
        <f t="shared" si="31"/>
        <v>0</v>
      </c>
      <c r="N41" s="3">
        <f t="shared" si="31"/>
        <v>0</v>
      </c>
      <c r="O41" s="3">
        <f t="shared" si="31"/>
        <v>0</v>
      </c>
      <c r="P41" s="3">
        <f t="shared" si="31"/>
        <v>0</v>
      </c>
      <c r="Q41" s="3">
        <f t="shared" si="31"/>
        <v>0</v>
      </c>
      <c r="R41" s="3">
        <f t="shared" si="31"/>
        <v>0</v>
      </c>
      <c r="S41" s="3">
        <f t="shared" si="31"/>
        <v>0</v>
      </c>
      <c r="T41" s="3">
        <f t="shared" si="31"/>
        <v>0</v>
      </c>
      <c r="U41" s="3">
        <f t="shared" si="31"/>
        <v>0</v>
      </c>
      <c r="V41" s="3">
        <f t="shared" si="31"/>
        <v>0</v>
      </c>
      <c r="W41" s="3">
        <f t="shared" si="31"/>
        <v>0</v>
      </c>
      <c r="X41" s="3">
        <f t="shared" si="31"/>
        <v>0</v>
      </c>
      <c r="Y41" s="3">
        <f t="shared" si="31"/>
        <v>0</v>
      </c>
      <c r="Z41" s="3">
        <f t="shared" si="31"/>
        <v>0</v>
      </c>
      <c r="AA41" s="3">
        <f t="shared" si="31"/>
        <v>0</v>
      </c>
      <c r="AB41" s="3">
        <f t="shared" si="31"/>
        <v>0</v>
      </c>
      <c r="AC41" s="3">
        <f t="shared" si="31"/>
        <v>9517958.4263256062</v>
      </c>
      <c r="AD41" s="3">
        <f t="shared" si="31"/>
        <v>0</v>
      </c>
      <c r="AE41" s="3">
        <f t="shared" si="31"/>
        <v>0</v>
      </c>
      <c r="AF41" s="3">
        <f t="shared" si="31"/>
        <v>0</v>
      </c>
      <c r="AG41" s="3">
        <f t="shared" si="31"/>
        <v>0</v>
      </c>
      <c r="AH41" s="3">
        <f t="shared" si="31"/>
        <v>0</v>
      </c>
      <c r="AI41" s="3">
        <f t="shared" si="31"/>
        <v>0</v>
      </c>
      <c r="AJ41" s="3">
        <f t="shared" si="31"/>
        <v>0</v>
      </c>
      <c r="AK41" s="3">
        <f t="shared" si="31"/>
        <v>0</v>
      </c>
      <c r="AL41" s="3">
        <f t="shared" si="31"/>
        <v>0</v>
      </c>
      <c r="AM41" s="3">
        <f t="shared" si="31"/>
        <v>0</v>
      </c>
      <c r="AN41" s="3">
        <f t="shared" si="31"/>
        <v>0</v>
      </c>
      <c r="AO41" s="3">
        <f t="shared" si="31"/>
        <v>0</v>
      </c>
      <c r="AP41" s="3">
        <f t="shared" si="31"/>
        <v>0</v>
      </c>
      <c r="AQ41" s="3">
        <f t="shared" si="31"/>
        <v>0</v>
      </c>
      <c r="AR41" s="3">
        <f t="shared" si="31"/>
        <v>0</v>
      </c>
      <c r="AS41" s="3">
        <f t="shared" si="31"/>
        <v>0</v>
      </c>
      <c r="AT41" s="3">
        <f t="shared" si="31"/>
        <v>0</v>
      </c>
      <c r="AU41" s="3">
        <f t="shared" si="31"/>
        <v>0</v>
      </c>
      <c r="AV41" s="3">
        <f t="shared" si="31"/>
        <v>0</v>
      </c>
      <c r="AW41" s="3">
        <f t="shared" si="31"/>
        <v>8641535.9326935783</v>
      </c>
      <c r="AX41" s="3">
        <f t="shared" si="31"/>
        <v>0</v>
      </c>
      <c r="AY41" s="3">
        <f t="shared" si="31"/>
        <v>0</v>
      </c>
      <c r="AZ41" s="3">
        <f t="shared" si="31"/>
        <v>0</v>
      </c>
      <c r="BA41" s="3">
        <f t="shared" si="31"/>
        <v>0</v>
      </c>
      <c r="BB41" s="3">
        <f t="shared" si="31"/>
        <v>0</v>
      </c>
      <c r="BC41" s="3">
        <f t="shared" si="31"/>
        <v>0</v>
      </c>
      <c r="BD41" s="3">
        <f t="shared" si="31"/>
        <v>0</v>
      </c>
      <c r="BE41" s="3">
        <f t="shared" si="31"/>
        <v>0</v>
      </c>
      <c r="BF41" s="3">
        <f t="shared" si="31"/>
        <v>0</v>
      </c>
      <c r="BG41" s="3">
        <f t="shared" si="31"/>
        <v>0</v>
      </c>
      <c r="BH41" s="3">
        <f t="shared" si="31"/>
        <v>0</v>
      </c>
      <c r="BI41" s="3">
        <f t="shared" si="31"/>
        <v>0</v>
      </c>
      <c r="BJ41" s="3">
        <f t="shared" si="31"/>
        <v>0</v>
      </c>
      <c r="BK41" s="3">
        <f t="shared" si="31"/>
        <v>0</v>
      </c>
      <c r="BL41" s="3">
        <f t="shared" si="31"/>
        <v>0</v>
      </c>
      <c r="BM41" s="3">
        <f t="shared" si="31"/>
        <v>0</v>
      </c>
      <c r="BN41" s="3">
        <f t="shared" si="31"/>
        <v>0</v>
      </c>
      <c r="BO41" s="3">
        <f t="shared" si="31"/>
        <v>0</v>
      </c>
      <c r="BP41" s="3">
        <f t="shared" si="31"/>
        <v>0</v>
      </c>
      <c r="BQ41" s="3">
        <f t="shared" si="31"/>
        <v>6847266.6500380337</v>
      </c>
      <c r="BR41" s="3">
        <f t="shared" si="31"/>
        <v>0</v>
      </c>
      <c r="BS41" s="3">
        <f t="shared" si="31"/>
        <v>0</v>
      </c>
      <c r="BT41" s="3">
        <f t="shared" ref="BT41" si="34">BT75</f>
        <v>0</v>
      </c>
      <c r="BU41" s="3">
        <f t="shared" si="32"/>
        <v>0</v>
      </c>
      <c r="BV41" s="3">
        <f t="shared" si="32"/>
        <v>0</v>
      </c>
      <c r="BW41" s="3">
        <f t="shared" si="32"/>
        <v>0</v>
      </c>
      <c r="BX41" s="3">
        <f t="shared" si="32"/>
        <v>0</v>
      </c>
      <c r="BY41" s="3">
        <f t="shared" si="32"/>
        <v>0</v>
      </c>
      <c r="BZ41" s="3">
        <f t="shared" si="32"/>
        <v>0</v>
      </c>
      <c r="CA41" s="3">
        <f t="shared" si="32"/>
        <v>0</v>
      </c>
      <c r="CB41" s="3">
        <f t="shared" si="32"/>
        <v>0</v>
      </c>
      <c r="CC41" s="3">
        <f t="shared" si="32"/>
        <v>0</v>
      </c>
      <c r="CD41" s="3">
        <f t="shared" si="32"/>
        <v>0</v>
      </c>
      <c r="CE41" s="3">
        <f t="shared" si="32"/>
        <v>0</v>
      </c>
      <c r="CF41" s="3">
        <f t="shared" si="32"/>
        <v>0</v>
      </c>
      <c r="CG41" s="3">
        <f t="shared" si="32"/>
        <v>0</v>
      </c>
      <c r="CH41" s="3">
        <f t="shared" si="32"/>
        <v>0</v>
      </c>
      <c r="CI41" s="3">
        <f t="shared" si="32"/>
        <v>0</v>
      </c>
      <c r="CJ41" s="3">
        <f t="shared" si="32"/>
        <v>0</v>
      </c>
      <c r="CK41" s="3">
        <f t="shared" si="32"/>
        <v>4374319.0703451652</v>
      </c>
      <c r="CL41" s="3">
        <f t="shared" si="32"/>
        <v>0</v>
      </c>
      <c r="CM41" s="3">
        <f t="shared" si="32"/>
        <v>0</v>
      </c>
      <c r="CN41" s="3">
        <f t="shared" si="32"/>
        <v>0</v>
      </c>
      <c r="CO41" s="3">
        <f t="shared" si="32"/>
        <v>0</v>
      </c>
      <c r="CP41" s="3">
        <f t="shared" si="32"/>
        <v>0</v>
      </c>
      <c r="CQ41" s="3">
        <f t="shared" si="32"/>
        <v>0</v>
      </c>
      <c r="CR41" s="3">
        <f t="shared" si="32"/>
        <v>0</v>
      </c>
      <c r="CS41" s="3">
        <f t="shared" si="32"/>
        <v>0</v>
      </c>
      <c r="CT41" s="3">
        <f t="shared" si="32"/>
        <v>0</v>
      </c>
      <c r="CU41" s="3">
        <f t="shared" si="32"/>
        <v>0</v>
      </c>
      <c r="CV41" s="3">
        <f t="shared" si="32"/>
        <v>0</v>
      </c>
      <c r="CW41" s="3">
        <f t="shared" si="32"/>
        <v>0</v>
      </c>
      <c r="CX41" s="3">
        <f t="shared" si="32"/>
        <v>0</v>
      </c>
      <c r="CY41" s="3">
        <f t="shared" si="32"/>
        <v>0</v>
      </c>
      <c r="CZ41" s="3">
        <f t="shared" si="32"/>
        <v>0</v>
      </c>
      <c r="DA41" s="3">
        <f t="shared" si="32"/>
        <v>0</v>
      </c>
      <c r="DB41" s="3">
        <f t="shared" si="32"/>
        <v>0</v>
      </c>
      <c r="DC41" s="3">
        <f t="shared" si="32"/>
        <v>0</v>
      </c>
      <c r="DD41" s="3">
        <f t="shared" si="32"/>
        <v>0</v>
      </c>
      <c r="DE41" s="3">
        <f t="shared" si="32"/>
        <v>0</v>
      </c>
      <c r="DF41" s="3">
        <f t="shared" si="32"/>
        <v>0</v>
      </c>
      <c r="DG41" s="3">
        <f t="shared" si="32"/>
        <v>0</v>
      </c>
      <c r="DH41" s="3">
        <f t="shared" si="32"/>
        <v>0</v>
      </c>
      <c r="DI41" s="3">
        <f t="shared" si="32"/>
        <v>0</v>
      </c>
      <c r="DJ41" s="3">
        <f t="shared" si="32"/>
        <v>0</v>
      </c>
      <c r="DK41" s="3">
        <f t="shared" si="32"/>
        <v>0</v>
      </c>
      <c r="DL41" s="3">
        <f t="shared" si="32"/>
        <v>0</v>
      </c>
      <c r="DM41" s="3">
        <f t="shared" si="32"/>
        <v>0</v>
      </c>
      <c r="DN41" s="3">
        <f t="shared" si="32"/>
        <v>0</v>
      </c>
      <c r="DO41" s="3">
        <f t="shared" si="32"/>
        <v>0</v>
      </c>
      <c r="DP41" s="3">
        <f t="shared" si="32"/>
        <v>0</v>
      </c>
      <c r="DQ41" s="3">
        <f t="shared" si="32"/>
        <v>0</v>
      </c>
      <c r="DR41" s="3">
        <f t="shared" si="32"/>
        <v>0</v>
      </c>
      <c r="DS41" s="3">
        <f t="shared" si="32"/>
        <v>0</v>
      </c>
      <c r="DT41" s="3">
        <f t="shared" si="32"/>
        <v>0</v>
      </c>
      <c r="DU41" s="3">
        <f t="shared" si="32"/>
        <v>0</v>
      </c>
      <c r="DV41" s="3">
        <f t="shared" si="32"/>
        <v>0</v>
      </c>
      <c r="DW41" s="3">
        <f t="shared" si="32"/>
        <v>0</v>
      </c>
      <c r="DX41" s="3">
        <f t="shared" si="32"/>
        <v>0</v>
      </c>
      <c r="DY41" s="3">
        <f t="shared" si="32"/>
        <v>0</v>
      </c>
    </row>
    <row r="42" spans="2:129" ht="13.8">
      <c r="C42" s="7" t="s">
        <v>72</v>
      </c>
      <c r="D42" s="10" t="s">
        <v>0</v>
      </c>
      <c r="G42" s="23">
        <f t="shared" si="33"/>
        <v>-3285000.0000000121</v>
      </c>
      <c r="I42" s="3">
        <f t="shared" ref="I42:BT43" si="35">I91</f>
        <v>0</v>
      </c>
      <c r="J42" s="3">
        <f t="shared" si="35"/>
        <v>-56250</v>
      </c>
      <c r="K42" s="3">
        <f t="shared" si="35"/>
        <v>-55747.767857142862</v>
      </c>
      <c r="L42" s="3">
        <f t="shared" si="35"/>
        <v>-55245.535714285717</v>
      </c>
      <c r="M42" s="3">
        <f t="shared" si="35"/>
        <v>-54743.30357142858</v>
      </c>
      <c r="N42" s="3">
        <f t="shared" si="35"/>
        <v>-54241.071428571442</v>
      </c>
      <c r="O42" s="3">
        <f t="shared" si="35"/>
        <v>-53738.839285714304</v>
      </c>
      <c r="P42" s="3">
        <f t="shared" si="35"/>
        <v>-53236.607142857167</v>
      </c>
      <c r="Q42" s="3">
        <f t="shared" si="35"/>
        <v>-52734.375000000022</v>
      </c>
      <c r="R42" s="3">
        <f t="shared" si="35"/>
        <v>-52232.142857142884</v>
      </c>
      <c r="S42" s="3">
        <f t="shared" si="35"/>
        <v>-51729.910714285747</v>
      </c>
      <c r="T42" s="3">
        <f t="shared" si="35"/>
        <v>-51227.678571428609</v>
      </c>
      <c r="U42" s="3">
        <f t="shared" si="35"/>
        <v>-50725.446428571471</v>
      </c>
      <c r="V42" s="3">
        <f t="shared" si="35"/>
        <v>-50223.214285714326</v>
      </c>
      <c r="W42" s="3">
        <f t="shared" si="35"/>
        <v>-49720.982142857189</v>
      </c>
      <c r="X42" s="3">
        <f t="shared" si="35"/>
        <v>-49218.750000000051</v>
      </c>
      <c r="Y42" s="3">
        <f t="shared" si="35"/>
        <v>-48716.517857142913</v>
      </c>
      <c r="Z42" s="3">
        <f t="shared" si="35"/>
        <v>-48214.285714285776</v>
      </c>
      <c r="AA42" s="3">
        <f t="shared" si="35"/>
        <v>-47712.053571428631</v>
      </c>
      <c r="AB42" s="3">
        <f t="shared" si="35"/>
        <v>-47209.821428571493</v>
      </c>
      <c r="AC42" s="3">
        <f t="shared" si="35"/>
        <v>-46707.589285714355</v>
      </c>
      <c r="AD42" s="3">
        <f t="shared" si="35"/>
        <v>-46205.357142857218</v>
      </c>
      <c r="AE42" s="3">
        <f t="shared" si="35"/>
        <v>-45703.12500000008</v>
      </c>
      <c r="AF42" s="3">
        <f t="shared" si="35"/>
        <v>-45200.892857142935</v>
      </c>
      <c r="AG42" s="3">
        <f t="shared" si="35"/>
        <v>-44698.660714285797</v>
      </c>
      <c r="AH42" s="3">
        <f t="shared" si="35"/>
        <v>-44196.42857142866</v>
      </c>
      <c r="AI42" s="3">
        <f t="shared" si="35"/>
        <v>-43694.196428571522</v>
      </c>
      <c r="AJ42" s="3">
        <f t="shared" si="35"/>
        <v>-43191.964285714384</v>
      </c>
      <c r="AK42" s="3">
        <f t="shared" si="35"/>
        <v>-42689.73214285724</v>
      </c>
      <c r="AL42" s="3">
        <f t="shared" si="35"/>
        <v>-45000.000000000109</v>
      </c>
      <c r="AM42" s="3">
        <f t="shared" si="35"/>
        <v>-44464.285714285834</v>
      </c>
      <c r="AN42" s="3">
        <f t="shared" si="35"/>
        <v>-43928.571428571551</v>
      </c>
      <c r="AO42" s="3">
        <f t="shared" si="35"/>
        <v>-43392.857142857269</v>
      </c>
      <c r="AP42" s="3">
        <f t="shared" si="35"/>
        <v>-42857.142857142986</v>
      </c>
      <c r="AQ42" s="3">
        <f t="shared" si="35"/>
        <v>-42321.428571428703</v>
      </c>
      <c r="AR42" s="3">
        <f t="shared" si="35"/>
        <v>-41785.714285714421</v>
      </c>
      <c r="AS42" s="3">
        <f t="shared" si="35"/>
        <v>-41250.000000000131</v>
      </c>
      <c r="AT42" s="3">
        <f t="shared" si="35"/>
        <v>-40714.285714285841</v>
      </c>
      <c r="AU42" s="3">
        <f t="shared" si="35"/>
        <v>-40178.571428571551</v>
      </c>
      <c r="AV42" s="3">
        <f t="shared" si="35"/>
        <v>-39642.857142857269</v>
      </c>
      <c r="AW42" s="3">
        <f t="shared" si="35"/>
        <v>-39107.142857142979</v>
      </c>
      <c r="AX42" s="3">
        <f t="shared" si="35"/>
        <v>-38571.428571428696</v>
      </c>
      <c r="AY42" s="3">
        <f t="shared" si="35"/>
        <v>-38035.714285714406</v>
      </c>
      <c r="AZ42" s="3">
        <f t="shared" si="35"/>
        <v>-37500.000000000124</v>
      </c>
      <c r="BA42" s="3">
        <f t="shared" si="35"/>
        <v>-36964.285714285834</v>
      </c>
      <c r="BB42" s="3">
        <f t="shared" si="35"/>
        <v>-36428.571428571551</v>
      </c>
      <c r="BC42" s="3">
        <f t="shared" si="35"/>
        <v>-35892.857142857261</v>
      </c>
      <c r="BD42" s="3">
        <f t="shared" si="35"/>
        <v>-35357.142857142979</v>
      </c>
      <c r="BE42" s="3">
        <f t="shared" si="35"/>
        <v>-34821.428571428689</v>
      </c>
      <c r="BF42" s="3">
        <f t="shared" si="35"/>
        <v>-34285.714285714406</v>
      </c>
      <c r="BG42" s="3">
        <f t="shared" si="35"/>
        <v>-33750.000000000116</v>
      </c>
      <c r="BH42" s="3">
        <f t="shared" si="35"/>
        <v>-33214.285714285834</v>
      </c>
      <c r="BI42" s="3">
        <f t="shared" si="35"/>
        <v>-32678.571428571548</v>
      </c>
      <c r="BJ42" s="3">
        <f t="shared" si="35"/>
        <v>-32142.857142857261</v>
      </c>
      <c r="BK42" s="3">
        <f t="shared" si="35"/>
        <v>-31607.142857142975</v>
      </c>
      <c r="BL42" s="3">
        <f t="shared" si="35"/>
        <v>-31071.428571428689</v>
      </c>
      <c r="BM42" s="3">
        <f t="shared" si="35"/>
        <v>-30535.714285714403</v>
      </c>
      <c r="BN42" s="3">
        <f t="shared" si="35"/>
        <v>-28125.000000000109</v>
      </c>
      <c r="BO42" s="3">
        <f t="shared" si="35"/>
        <v>-27622.767857142964</v>
      </c>
      <c r="BP42" s="3">
        <f t="shared" si="35"/>
        <v>-27120.535714285823</v>
      </c>
      <c r="BQ42" s="3">
        <f t="shared" si="35"/>
        <v>-26618.303571428678</v>
      </c>
      <c r="BR42" s="3">
        <f t="shared" si="35"/>
        <v>-26116.071428571533</v>
      </c>
      <c r="BS42" s="3">
        <f t="shared" si="35"/>
        <v>-25613.839285714392</v>
      </c>
      <c r="BT42" s="3">
        <f t="shared" si="35"/>
        <v>-25111.607142857247</v>
      </c>
      <c r="BU42" s="3">
        <f t="shared" ref="BU42:DY43" si="36">BU91</f>
        <v>-24609.375000000106</v>
      </c>
      <c r="BV42" s="3">
        <f t="shared" si="36"/>
        <v>-24107.142857142961</v>
      </c>
      <c r="BW42" s="3">
        <f t="shared" si="36"/>
        <v>-23604.910714285816</v>
      </c>
      <c r="BX42" s="3">
        <f t="shared" si="36"/>
        <v>-23102.678571428674</v>
      </c>
      <c r="BY42" s="3">
        <f t="shared" si="36"/>
        <v>-22600.446428571529</v>
      </c>
      <c r="BZ42" s="3">
        <f t="shared" si="36"/>
        <v>-22098.214285714388</v>
      </c>
      <c r="CA42" s="3">
        <f t="shared" si="36"/>
        <v>-21595.982142857243</v>
      </c>
      <c r="CB42" s="3">
        <f t="shared" si="36"/>
        <v>-21093.750000000098</v>
      </c>
      <c r="CC42" s="3">
        <f t="shared" si="36"/>
        <v>-20591.517857142957</v>
      </c>
      <c r="CD42" s="3">
        <f t="shared" si="36"/>
        <v>-20089.285714285812</v>
      </c>
      <c r="CE42" s="3">
        <f t="shared" si="36"/>
        <v>-19587.053571428671</v>
      </c>
      <c r="CF42" s="3">
        <f t="shared" si="36"/>
        <v>-19084.821428571526</v>
      </c>
      <c r="CG42" s="3">
        <f t="shared" si="36"/>
        <v>-18582.589285714381</v>
      </c>
      <c r="CH42" s="3">
        <f t="shared" si="36"/>
        <v>-18080.35714285724</v>
      </c>
      <c r="CI42" s="3">
        <f t="shared" si="36"/>
        <v>-17578.125000000095</v>
      </c>
      <c r="CJ42" s="3">
        <f t="shared" si="36"/>
        <v>-17075.892857142953</v>
      </c>
      <c r="CK42" s="3">
        <f t="shared" si="36"/>
        <v>-16573.660714285808</v>
      </c>
      <c r="CL42" s="3">
        <f t="shared" si="36"/>
        <v>-16071.428571428665</v>
      </c>
      <c r="CM42" s="3">
        <f t="shared" si="36"/>
        <v>-15569.196428571522</v>
      </c>
      <c r="CN42" s="3">
        <f t="shared" si="36"/>
        <v>-15066.964285714377</v>
      </c>
      <c r="CO42" s="3">
        <f t="shared" si="36"/>
        <v>-14564.732142857234</v>
      </c>
      <c r="CP42" s="3">
        <f t="shared" si="36"/>
        <v>-16875.000000000109</v>
      </c>
      <c r="CQ42" s="3">
        <f t="shared" si="36"/>
        <v>-16272.321428571537</v>
      </c>
      <c r="CR42" s="3">
        <f t="shared" si="36"/>
        <v>-15669.642857142964</v>
      </c>
      <c r="CS42" s="3">
        <f t="shared" si="36"/>
        <v>-15066.964285714394</v>
      </c>
      <c r="CT42" s="3">
        <f t="shared" si="36"/>
        <v>-14464.285714285821</v>
      </c>
      <c r="CU42" s="3">
        <f t="shared" si="36"/>
        <v>-13861.607142857249</v>
      </c>
      <c r="CV42" s="3">
        <f t="shared" si="36"/>
        <v>-13258.928571428676</v>
      </c>
      <c r="CW42" s="3">
        <f t="shared" si="36"/>
        <v>-12656.250000000104</v>
      </c>
      <c r="CX42" s="3">
        <f t="shared" si="36"/>
        <v>-12053.571428571533</v>
      </c>
      <c r="CY42" s="3">
        <f t="shared" si="36"/>
        <v>-11450.892857142961</v>
      </c>
      <c r="CZ42" s="3">
        <f t="shared" si="36"/>
        <v>-10848.21428571439</v>
      </c>
      <c r="DA42" s="3">
        <f t="shared" si="36"/>
        <v>-10245.535714285819</v>
      </c>
      <c r="DB42" s="3">
        <f t="shared" si="36"/>
        <v>-9642.8571428572486</v>
      </c>
      <c r="DC42" s="3">
        <f t="shared" si="36"/>
        <v>-9040.178571428678</v>
      </c>
      <c r="DD42" s="3">
        <f t="shared" si="36"/>
        <v>-8437.5000000001073</v>
      </c>
      <c r="DE42" s="3">
        <f t="shared" si="36"/>
        <v>-7834.8214285715367</v>
      </c>
      <c r="DF42" s="3">
        <f t="shared" si="36"/>
        <v>-7232.1428571429651</v>
      </c>
      <c r="DG42" s="3">
        <f t="shared" si="36"/>
        <v>-6629.4642857143945</v>
      </c>
      <c r="DH42" s="3">
        <f t="shared" si="36"/>
        <v>-6026.7857142858238</v>
      </c>
      <c r="DI42" s="3">
        <f t="shared" si="36"/>
        <v>-5424.1071428572523</v>
      </c>
      <c r="DJ42" s="3">
        <f t="shared" si="36"/>
        <v>-4821.4285714286807</v>
      </c>
      <c r="DK42" s="3">
        <f t="shared" si="36"/>
        <v>-4218.7500000001091</v>
      </c>
      <c r="DL42" s="3">
        <f t="shared" si="36"/>
        <v>-3616.0714285715376</v>
      </c>
      <c r="DM42" s="3">
        <f t="shared" si="36"/>
        <v>-3013.392857142966</v>
      </c>
      <c r="DN42" s="3">
        <f t="shared" si="36"/>
        <v>-2410.7142857143949</v>
      </c>
      <c r="DO42" s="3">
        <f t="shared" si="36"/>
        <v>-1808.0357142858231</v>
      </c>
      <c r="DP42" s="3">
        <f t="shared" si="36"/>
        <v>-1205.3571428572518</v>
      </c>
      <c r="DQ42" s="3">
        <f t="shared" si="36"/>
        <v>-602.67857142868024</v>
      </c>
      <c r="DR42" s="3">
        <f t="shared" si="36"/>
        <v>0</v>
      </c>
      <c r="DS42" s="3">
        <f t="shared" si="36"/>
        <v>0</v>
      </c>
      <c r="DT42" s="3">
        <f t="shared" si="36"/>
        <v>0</v>
      </c>
      <c r="DU42" s="3">
        <f t="shared" si="36"/>
        <v>0</v>
      </c>
      <c r="DV42" s="3">
        <f t="shared" si="36"/>
        <v>0</v>
      </c>
      <c r="DW42" s="3">
        <f t="shared" si="36"/>
        <v>0</v>
      </c>
      <c r="DX42" s="3">
        <f t="shared" si="36"/>
        <v>0</v>
      </c>
      <c r="DY42" s="3">
        <f t="shared" si="36"/>
        <v>0</v>
      </c>
    </row>
    <row r="43" spans="2:129" ht="13.8">
      <c r="C43" s="7" t="s">
        <v>73</v>
      </c>
      <c r="D43" s="10" t="s">
        <v>0</v>
      </c>
      <c r="G43" s="23">
        <f t="shared" si="33"/>
        <v>-2999999.9999999949</v>
      </c>
      <c r="I43" s="3">
        <f t="shared" si="35"/>
        <v>0</v>
      </c>
      <c r="J43" s="3">
        <f t="shared" si="35"/>
        <v>-26785.714285714286</v>
      </c>
      <c r="K43" s="3">
        <f t="shared" si="35"/>
        <v>-26785.714285714286</v>
      </c>
      <c r="L43" s="3">
        <f t="shared" si="35"/>
        <v>-26785.714285714286</v>
      </c>
      <c r="M43" s="3">
        <f t="shared" si="35"/>
        <v>-26785.714285714286</v>
      </c>
      <c r="N43" s="3">
        <f t="shared" si="35"/>
        <v>-26785.714285714286</v>
      </c>
      <c r="O43" s="3">
        <f t="shared" si="35"/>
        <v>-26785.714285714286</v>
      </c>
      <c r="P43" s="3">
        <f t="shared" si="35"/>
        <v>-26785.714285714286</v>
      </c>
      <c r="Q43" s="3">
        <f t="shared" si="35"/>
        <v>-26785.714285714286</v>
      </c>
      <c r="R43" s="3">
        <f t="shared" si="35"/>
        <v>-26785.714285714286</v>
      </c>
      <c r="S43" s="3">
        <f t="shared" si="35"/>
        <v>-26785.714285714286</v>
      </c>
      <c r="T43" s="3">
        <f t="shared" si="35"/>
        <v>-26785.714285714286</v>
      </c>
      <c r="U43" s="3">
        <f t="shared" si="35"/>
        <v>-26785.714285714286</v>
      </c>
      <c r="V43" s="3">
        <f t="shared" si="35"/>
        <v>-26785.714285714286</v>
      </c>
      <c r="W43" s="3">
        <f t="shared" si="35"/>
        <v>-26785.714285714286</v>
      </c>
      <c r="X43" s="3">
        <f t="shared" si="35"/>
        <v>-26785.714285714286</v>
      </c>
      <c r="Y43" s="3">
        <f t="shared" si="35"/>
        <v>-26785.714285714286</v>
      </c>
      <c r="Z43" s="3">
        <f t="shared" si="35"/>
        <v>-26785.714285714286</v>
      </c>
      <c r="AA43" s="3">
        <f t="shared" si="35"/>
        <v>-26785.714285714286</v>
      </c>
      <c r="AB43" s="3">
        <f t="shared" si="35"/>
        <v>-26785.714285714286</v>
      </c>
      <c r="AC43" s="3">
        <f t="shared" si="35"/>
        <v>-26785.714285714286</v>
      </c>
      <c r="AD43" s="3">
        <f t="shared" si="35"/>
        <v>-26785.714285714286</v>
      </c>
      <c r="AE43" s="3">
        <f t="shared" si="35"/>
        <v>-26785.714285714286</v>
      </c>
      <c r="AF43" s="3">
        <f t="shared" si="35"/>
        <v>-26785.714285714286</v>
      </c>
      <c r="AG43" s="3">
        <f t="shared" si="35"/>
        <v>-26785.714285714286</v>
      </c>
      <c r="AH43" s="3">
        <f t="shared" si="35"/>
        <v>-26785.714285714286</v>
      </c>
      <c r="AI43" s="3">
        <f t="shared" si="35"/>
        <v>-26785.714285714286</v>
      </c>
      <c r="AJ43" s="3">
        <f t="shared" si="35"/>
        <v>-26785.714285714286</v>
      </c>
      <c r="AK43" s="3">
        <f t="shared" si="35"/>
        <v>-26785.714285714286</v>
      </c>
      <c r="AL43" s="3">
        <f t="shared" si="35"/>
        <v>-26785.714285714286</v>
      </c>
      <c r="AM43" s="3">
        <f t="shared" si="35"/>
        <v>-26785.714285714286</v>
      </c>
      <c r="AN43" s="3">
        <f t="shared" si="35"/>
        <v>-26785.714285714286</v>
      </c>
      <c r="AO43" s="3">
        <f t="shared" si="35"/>
        <v>-26785.714285714286</v>
      </c>
      <c r="AP43" s="3">
        <f t="shared" si="35"/>
        <v>-26785.714285714286</v>
      </c>
      <c r="AQ43" s="3">
        <f t="shared" si="35"/>
        <v>-26785.714285714286</v>
      </c>
      <c r="AR43" s="3">
        <f t="shared" si="35"/>
        <v>-26785.714285714286</v>
      </c>
      <c r="AS43" s="3">
        <f t="shared" si="35"/>
        <v>-26785.714285714286</v>
      </c>
      <c r="AT43" s="3">
        <f t="shared" si="35"/>
        <v>-26785.714285714286</v>
      </c>
      <c r="AU43" s="3">
        <f t="shared" si="35"/>
        <v>-26785.714285714286</v>
      </c>
      <c r="AV43" s="3">
        <f t="shared" si="35"/>
        <v>-26785.714285714286</v>
      </c>
      <c r="AW43" s="3">
        <f t="shared" si="35"/>
        <v>-26785.714285714286</v>
      </c>
      <c r="AX43" s="3">
        <f t="shared" si="35"/>
        <v>-26785.714285714286</v>
      </c>
      <c r="AY43" s="3">
        <f t="shared" si="35"/>
        <v>-26785.714285714286</v>
      </c>
      <c r="AZ43" s="3">
        <f t="shared" si="35"/>
        <v>-26785.714285714286</v>
      </c>
      <c r="BA43" s="3">
        <f t="shared" si="35"/>
        <v>-26785.714285714286</v>
      </c>
      <c r="BB43" s="3">
        <f t="shared" si="35"/>
        <v>-26785.714285714286</v>
      </c>
      <c r="BC43" s="3">
        <f t="shared" si="35"/>
        <v>-26785.714285714286</v>
      </c>
      <c r="BD43" s="3">
        <f t="shared" si="35"/>
        <v>-26785.714285714286</v>
      </c>
      <c r="BE43" s="3">
        <f t="shared" si="35"/>
        <v>-26785.714285714286</v>
      </c>
      <c r="BF43" s="3">
        <f t="shared" si="35"/>
        <v>-26785.714285714286</v>
      </c>
      <c r="BG43" s="3">
        <f t="shared" si="35"/>
        <v>-26785.714285714286</v>
      </c>
      <c r="BH43" s="3">
        <f t="shared" si="35"/>
        <v>-26785.714285714286</v>
      </c>
      <c r="BI43" s="3">
        <f t="shared" si="35"/>
        <v>-26785.714285714286</v>
      </c>
      <c r="BJ43" s="3">
        <f t="shared" si="35"/>
        <v>-26785.714285714286</v>
      </c>
      <c r="BK43" s="3">
        <f t="shared" si="35"/>
        <v>-26785.714285714286</v>
      </c>
      <c r="BL43" s="3">
        <f t="shared" si="35"/>
        <v>-26785.714285714286</v>
      </c>
      <c r="BM43" s="3">
        <f t="shared" si="35"/>
        <v>-26785.714285714286</v>
      </c>
      <c r="BN43" s="3">
        <f t="shared" si="35"/>
        <v>-26785.714285714286</v>
      </c>
      <c r="BO43" s="3">
        <f t="shared" si="35"/>
        <v>-26785.714285714286</v>
      </c>
      <c r="BP43" s="3">
        <f t="shared" si="35"/>
        <v>-26785.714285714286</v>
      </c>
      <c r="BQ43" s="3">
        <f t="shared" si="35"/>
        <v>-26785.714285714286</v>
      </c>
      <c r="BR43" s="3">
        <f t="shared" si="35"/>
        <v>-26785.714285714286</v>
      </c>
      <c r="BS43" s="3">
        <f t="shared" si="35"/>
        <v>-26785.714285714286</v>
      </c>
      <c r="BT43" s="3">
        <f t="shared" si="35"/>
        <v>-26785.714285714286</v>
      </c>
      <c r="BU43" s="3">
        <f t="shared" si="36"/>
        <v>-26785.714285714286</v>
      </c>
      <c r="BV43" s="3">
        <f t="shared" si="36"/>
        <v>-26785.714285714286</v>
      </c>
      <c r="BW43" s="3">
        <f t="shared" si="36"/>
        <v>-26785.714285714286</v>
      </c>
      <c r="BX43" s="3">
        <f t="shared" si="36"/>
        <v>-26785.714285714286</v>
      </c>
      <c r="BY43" s="3">
        <f t="shared" si="36"/>
        <v>-26785.714285714286</v>
      </c>
      <c r="BZ43" s="3">
        <f t="shared" si="36"/>
        <v>-26785.714285714286</v>
      </c>
      <c r="CA43" s="3">
        <f t="shared" si="36"/>
        <v>-26785.714285714286</v>
      </c>
      <c r="CB43" s="3">
        <f t="shared" si="36"/>
        <v>-26785.714285714286</v>
      </c>
      <c r="CC43" s="3">
        <f t="shared" si="36"/>
        <v>-26785.714285714286</v>
      </c>
      <c r="CD43" s="3">
        <f t="shared" si="36"/>
        <v>-26785.714285714286</v>
      </c>
      <c r="CE43" s="3">
        <f t="shared" si="36"/>
        <v>-26785.714285714286</v>
      </c>
      <c r="CF43" s="3">
        <f t="shared" si="36"/>
        <v>-26785.714285714286</v>
      </c>
      <c r="CG43" s="3">
        <f t="shared" si="36"/>
        <v>-26785.714285714286</v>
      </c>
      <c r="CH43" s="3">
        <f t="shared" si="36"/>
        <v>-26785.714285714286</v>
      </c>
      <c r="CI43" s="3">
        <f t="shared" si="36"/>
        <v>-26785.714285714286</v>
      </c>
      <c r="CJ43" s="3">
        <f t="shared" si="36"/>
        <v>-26785.714285714286</v>
      </c>
      <c r="CK43" s="3">
        <f t="shared" si="36"/>
        <v>-26785.714285714286</v>
      </c>
      <c r="CL43" s="3">
        <f t="shared" si="36"/>
        <v>-26785.714285714286</v>
      </c>
      <c r="CM43" s="3">
        <f t="shared" si="36"/>
        <v>-26785.714285714286</v>
      </c>
      <c r="CN43" s="3">
        <f t="shared" si="36"/>
        <v>-26785.714285714286</v>
      </c>
      <c r="CO43" s="3">
        <f t="shared" si="36"/>
        <v>-26785.714285714286</v>
      </c>
      <c r="CP43" s="3">
        <f t="shared" si="36"/>
        <v>-26785.714285714286</v>
      </c>
      <c r="CQ43" s="3">
        <f t="shared" si="36"/>
        <v>-26785.714285714286</v>
      </c>
      <c r="CR43" s="3">
        <f t="shared" si="36"/>
        <v>-26785.714285714286</v>
      </c>
      <c r="CS43" s="3">
        <f t="shared" si="36"/>
        <v>-26785.714285714286</v>
      </c>
      <c r="CT43" s="3">
        <f t="shared" si="36"/>
        <v>-26785.714285714286</v>
      </c>
      <c r="CU43" s="3">
        <f t="shared" si="36"/>
        <v>-26785.714285714286</v>
      </c>
      <c r="CV43" s="3">
        <f t="shared" si="36"/>
        <v>-26785.714285714286</v>
      </c>
      <c r="CW43" s="3">
        <f t="shared" si="36"/>
        <v>-26785.714285714286</v>
      </c>
      <c r="CX43" s="3">
        <f t="shared" si="36"/>
        <v>-26785.714285714286</v>
      </c>
      <c r="CY43" s="3">
        <f t="shared" si="36"/>
        <v>-26785.714285714286</v>
      </c>
      <c r="CZ43" s="3">
        <f t="shared" si="36"/>
        <v>-26785.714285714286</v>
      </c>
      <c r="DA43" s="3">
        <f t="shared" si="36"/>
        <v>-26785.714285714286</v>
      </c>
      <c r="DB43" s="3">
        <f t="shared" si="36"/>
        <v>-26785.714285714286</v>
      </c>
      <c r="DC43" s="3">
        <f t="shared" si="36"/>
        <v>-26785.714285714286</v>
      </c>
      <c r="DD43" s="3">
        <f t="shared" si="36"/>
        <v>-26785.714285714286</v>
      </c>
      <c r="DE43" s="3">
        <f t="shared" si="36"/>
        <v>-26785.714285714286</v>
      </c>
      <c r="DF43" s="3">
        <f t="shared" si="36"/>
        <v>-26785.714285714286</v>
      </c>
      <c r="DG43" s="3">
        <f t="shared" si="36"/>
        <v>-26785.714285714286</v>
      </c>
      <c r="DH43" s="3">
        <f t="shared" si="36"/>
        <v>-26785.714285714286</v>
      </c>
      <c r="DI43" s="3">
        <f t="shared" si="36"/>
        <v>-26785.714285714286</v>
      </c>
      <c r="DJ43" s="3">
        <f t="shared" si="36"/>
        <v>-26785.714285714286</v>
      </c>
      <c r="DK43" s="3">
        <f t="shared" si="36"/>
        <v>-26785.714285714286</v>
      </c>
      <c r="DL43" s="3">
        <f t="shared" si="36"/>
        <v>-26785.714285714286</v>
      </c>
      <c r="DM43" s="3">
        <f t="shared" si="36"/>
        <v>-26785.714285714286</v>
      </c>
      <c r="DN43" s="3">
        <f t="shared" si="36"/>
        <v>-26785.714285714286</v>
      </c>
      <c r="DO43" s="3">
        <f t="shared" si="36"/>
        <v>-26785.714285714286</v>
      </c>
      <c r="DP43" s="3">
        <f t="shared" si="36"/>
        <v>-26785.714285714286</v>
      </c>
      <c r="DQ43" s="3">
        <f t="shared" si="36"/>
        <v>-26785.714285714286</v>
      </c>
      <c r="DR43" s="3">
        <f t="shared" si="36"/>
        <v>0</v>
      </c>
      <c r="DS43" s="3">
        <f t="shared" si="36"/>
        <v>0</v>
      </c>
      <c r="DT43" s="3">
        <f t="shared" si="36"/>
        <v>0</v>
      </c>
      <c r="DU43" s="3">
        <f t="shared" si="36"/>
        <v>0</v>
      </c>
      <c r="DV43" s="3">
        <f t="shared" si="36"/>
        <v>0</v>
      </c>
      <c r="DW43" s="3">
        <f t="shared" si="36"/>
        <v>0</v>
      </c>
      <c r="DX43" s="3">
        <f t="shared" si="36"/>
        <v>0</v>
      </c>
      <c r="DY43" s="3">
        <f t="shared" si="36"/>
        <v>0</v>
      </c>
    </row>
    <row r="44" spans="2:129" ht="13.8">
      <c r="C44" s="7" t="s">
        <v>74</v>
      </c>
      <c r="D44" s="10" t="s">
        <v>0</v>
      </c>
      <c r="E44" s="27">
        <f>CaseData!G7</f>
        <v>55153</v>
      </c>
      <c r="F44" s="28">
        <f>CaseData!G9</f>
        <v>25000000</v>
      </c>
      <c r="G44" s="23">
        <f t="shared" si="33"/>
        <v>25000000</v>
      </c>
      <c r="I44" s="3">
        <f t="shared" ref="I44:BT44" si="37">$F44*(I$3=$E44)</f>
        <v>0</v>
      </c>
      <c r="J44" s="3">
        <f t="shared" si="37"/>
        <v>0</v>
      </c>
      <c r="K44" s="3">
        <f t="shared" si="37"/>
        <v>0</v>
      </c>
      <c r="L44" s="3">
        <f t="shared" si="37"/>
        <v>0</v>
      </c>
      <c r="M44" s="3">
        <f t="shared" si="37"/>
        <v>0</v>
      </c>
      <c r="N44" s="3">
        <f t="shared" si="37"/>
        <v>0</v>
      </c>
      <c r="O44" s="3">
        <f t="shared" si="37"/>
        <v>0</v>
      </c>
      <c r="P44" s="3">
        <f t="shared" si="37"/>
        <v>0</v>
      </c>
      <c r="Q44" s="3">
        <f t="shared" si="37"/>
        <v>0</v>
      </c>
      <c r="R44" s="3">
        <f t="shared" si="37"/>
        <v>0</v>
      </c>
      <c r="S44" s="3">
        <f t="shared" si="37"/>
        <v>0</v>
      </c>
      <c r="T44" s="3">
        <f t="shared" si="37"/>
        <v>0</v>
      </c>
      <c r="U44" s="3">
        <f t="shared" si="37"/>
        <v>0</v>
      </c>
      <c r="V44" s="3">
        <f t="shared" si="37"/>
        <v>0</v>
      </c>
      <c r="W44" s="3">
        <f t="shared" si="37"/>
        <v>0</v>
      </c>
      <c r="X44" s="3">
        <f t="shared" si="37"/>
        <v>0</v>
      </c>
      <c r="Y44" s="3">
        <f t="shared" si="37"/>
        <v>0</v>
      </c>
      <c r="Z44" s="3">
        <f t="shared" si="37"/>
        <v>0</v>
      </c>
      <c r="AA44" s="3">
        <f t="shared" si="37"/>
        <v>0</v>
      </c>
      <c r="AB44" s="3">
        <f t="shared" si="37"/>
        <v>0</v>
      </c>
      <c r="AC44" s="3">
        <f t="shared" si="37"/>
        <v>0</v>
      </c>
      <c r="AD44" s="3">
        <f t="shared" si="37"/>
        <v>0</v>
      </c>
      <c r="AE44" s="3">
        <f t="shared" si="37"/>
        <v>0</v>
      </c>
      <c r="AF44" s="3">
        <f t="shared" si="37"/>
        <v>0</v>
      </c>
      <c r="AG44" s="3">
        <f t="shared" si="37"/>
        <v>0</v>
      </c>
      <c r="AH44" s="3">
        <f t="shared" si="37"/>
        <v>0</v>
      </c>
      <c r="AI44" s="3">
        <f t="shared" si="37"/>
        <v>0</v>
      </c>
      <c r="AJ44" s="3">
        <f t="shared" si="37"/>
        <v>0</v>
      </c>
      <c r="AK44" s="3">
        <f t="shared" si="37"/>
        <v>0</v>
      </c>
      <c r="AL44" s="3">
        <f t="shared" si="37"/>
        <v>0</v>
      </c>
      <c r="AM44" s="3">
        <f t="shared" si="37"/>
        <v>0</v>
      </c>
      <c r="AN44" s="3">
        <f t="shared" si="37"/>
        <v>0</v>
      </c>
      <c r="AO44" s="3">
        <f t="shared" si="37"/>
        <v>0</v>
      </c>
      <c r="AP44" s="3">
        <f t="shared" si="37"/>
        <v>0</v>
      </c>
      <c r="AQ44" s="3">
        <f t="shared" si="37"/>
        <v>0</v>
      </c>
      <c r="AR44" s="3">
        <f t="shared" si="37"/>
        <v>0</v>
      </c>
      <c r="AS44" s="3">
        <f t="shared" si="37"/>
        <v>0</v>
      </c>
      <c r="AT44" s="3">
        <f t="shared" si="37"/>
        <v>0</v>
      </c>
      <c r="AU44" s="3">
        <f t="shared" si="37"/>
        <v>0</v>
      </c>
      <c r="AV44" s="3">
        <f t="shared" si="37"/>
        <v>0</v>
      </c>
      <c r="AW44" s="3">
        <f t="shared" si="37"/>
        <v>0</v>
      </c>
      <c r="AX44" s="3">
        <f t="shared" si="37"/>
        <v>0</v>
      </c>
      <c r="AY44" s="3">
        <f t="shared" si="37"/>
        <v>0</v>
      </c>
      <c r="AZ44" s="3">
        <f t="shared" si="37"/>
        <v>0</v>
      </c>
      <c r="BA44" s="3">
        <f t="shared" si="37"/>
        <v>0</v>
      </c>
      <c r="BB44" s="3">
        <f t="shared" si="37"/>
        <v>0</v>
      </c>
      <c r="BC44" s="3">
        <f t="shared" si="37"/>
        <v>0</v>
      </c>
      <c r="BD44" s="3">
        <f t="shared" si="37"/>
        <v>0</v>
      </c>
      <c r="BE44" s="3">
        <f t="shared" si="37"/>
        <v>0</v>
      </c>
      <c r="BF44" s="3">
        <f t="shared" si="37"/>
        <v>0</v>
      </c>
      <c r="BG44" s="3">
        <f t="shared" si="37"/>
        <v>0</v>
      </c>
      <c r="BH44" s="3">
        <f t="shared" si="37"/>
        <v>0</v>
      </c>
      <c r="BI44" s="3">
        <f t="shared" si="37"/>
        <v>0</v>
      </c>
      <c r="BJ44" s="3">
        <f t="shared" si="37"/>
        <v>0</v>
      </c>
      <c r="BK44" s="3">
        <f t="shared" si="37"/>
        <v>0</v>
      </c>
      <c r="BL44" s="3">
        <f t="shared" si="37"/>
        <v>0</v>
      </c>
      <c r="BM44" s="3">
        <f t="shared" si="37"/>
        <v>0</v>
      </c>
      <c r="BN44" s="3">
        <f t="shared" si="37"/>
        <v>0</v>
      </c>
      <c r="BO44" s="3">
        <f t="shared" si="37"/>
        <v>0</v>
      </c>
      <c r="BP44" s="3">
        <f t="shared" si="37"/>
        <v>0</v>
      </c>
      <c r="BQ44" s="3">
        <f t="shared" si="37"/>
        <v>0</v>
      </c>
      <c r="BR44" s="3">
        <f t="shared" si="37"/>
        <v>0</v>
      </c>
      <c r="BS44" s="3">
        <f t="shared" si="37"/>
        <v>0</v>
      </c>
      <c r="BT44" s="3">
        <f t="shared" si="37"/>
        <v>0</v>
      </c>
      <c r="BU44" s="3">
        <f t="shared" ref="BU44:DY44" si="38">$F44*(BU$3=$E44)</f>
        <v>0</v>
      </c>
      <c r="BV44" s="3">
        <f t="shared" si="38"/>
        <v>0</v>
      </c>
      <c r="BW44" s="3">
        <f t="shared" si="38"/>
        <v>0</v>
      </c>
      <c r="BX44" s="3">
        <f t="shared" si="38"/>
        <v>0</v>
      </c>
      <c r="BY44" s="3">
        <f t="shared" si="38"/>
        <v>0</v>
      </c>
      <c r="BZ44" s="3">
        <f t="shared" si="38"/>
        <v>0</v>
      </c>
      <c r="CA44" s="3">
        <f t="shared" si="38"/>
        <v>0</v>
      </c>
      <c r="CB44" s="3">
        <f t="shared" si="38"/>
        <v>0</v>
      </c>
      <c r="CC44" s="3">
        <f t="shared" si="38"/>
        <v>0</v>
      </c>
      <c r="CD44" s="3">
        <f t="shared" si="38"/>
        <v>0</v>
      </c>
      <c r="CE44" s="3">
        <f t="shared" si="38"/>
        <v>0</v>
      </c>
      <c r="CF44" s="3">
        <f t="shared" si="38"/>
        <v>0</v>
      </c>
      <c r="CG44" s="3">
        <f t="shared" si="38"/>
        <v>0</v>
      </c>
      <c r="CH44" s="3">
        <f t="shared" si="38"/>
        <v>0</v>
      </c>
      <c r="CI44" s="3">
        <f t="shared" si="38"/>
        <v>0</v>
      </c>
      <c r="CJ44" s="3">
        <f t="shared" si="38"/>
        <v>0</v>
      </c>
      <c r="CK44" s="3">
        <f t="shared" si="38"/>
        <v>0</v>
      </c>
      <c r="CL44" s="3">
        <f t="shared" si="38"/>
        <v>0</v>
      </c>
      <c r="CM44" s="3">
        <f t="shared" si="38"/>
        <v>0</v>
      </c>
      <c r="CN44" s="3">
        <f t="shared" si="38"/>
        <v>0</v>
      </c>
      <c r="CO44" s="3">
        <f t="shared" si="38"/>
        <v>0</v>
      </c>
      <c r="CP44" s="3">
        <f t="shared" si="38"/>
        <v>0</v>
      </c>
      <c r="CQ44" s="3">
        <f t="shared" si="38"/>
        <v>0</v>
      </c>
      <c r="CR44" s="3">
        <f t="shared" si="38"/>
        <v>0</v>
      </c>
      <c r="CS44" s="3">
        <f t="shared" si="38"/>
        <v>0</v>
      </c>
      <c r="CT44" s="3">
        <f t="shared" si="38"/>
        <v>0</v>
      </c>
      <c r="CU44" s="3">
        <f t="shared" si="38"/>
        <v>0</v>
      </c>
      <c r="CV44" s="3">
        <f t="shared" si="38"/>
        <v>0</v>
      </c>
      <c r="CW44" s="3">
        <f t="shared" si="38"/>
        <v>0</v>
      </c>
      <c r="CX44" s="3">
        <f t="shared" si="38"/>
        <v>0</v>
      </c>
      <c r="CY44" s="3">
        <f t="shared" si="38"/>
        <v>0</v>
      </c>
      <c r="CZ44" s="3">
        <f t="shared" si="38"/>
        <v>0</v>
      </c>
      <c r="DA44" s="3">
        <f t="shared" si="38"/>
        <v>0</v>
      </c>
      <c r="DB44" s="3">
        <f t="shared" si="38"/>
        <v>0</v>
      </c>
      <c r="DC44" s="3">
        <f t="shared" si="38"/>
        <v>0</v>
      </c>
      <c r="DD44" s="3">
        <f t="shared" si="38"/>
        <v>0</v>
      </c>
      <c r="DE44" s="3">
        <f t="shared" si="38"/>
        <v>0</v>
      </c>
      <c r="DF44" s="3">
        <f t="shared" si="38"/>
        <v>0</v>
      </c>
      <c r="DG44" s="3">
        <f t="shared" si="38"/>
        <v>0</v>
      </c>
      <c r="DH44" s="3">
        <f t="shared" si="38"/>
        <v>0</v>
      </c>
      <c r="DI44" s="3">
        <f t="shared" si="38"/>
        <v>0</v>
      </c>
      <c r="DJ44" s="3">
        <f t="shared" si="38"/>
        <v>0</v>
      </c>
      <c r="DK44" s="3">
        <f t="shared" si="38"/>
        <v>0</v>
      </c>
      <c r="DL44" s="3">
        <f t="shared" si="38"/>
        <v>0</v>
      </c>
      <c r="DM44" s="3">
        <f t="shared" si="38"/>
        <v>0</v>
      </c>
      <c r="DN44" s="3">
        <f t="shared" si="38"/>
        <v>0</v>
      </c>
      <c r="DO44" s="3">
        <f t="shared" si="38"/>
        <v>0</v>
      </c>
      <c r="DP44" s="3">
        <f t="shared" si="38"/>
        <v>0</v>
      </c>
      <c r="DQ44" s="3">
        <f t="shared" si="38"/>
        <v>0</v>
      </c>
      <c r="DR44" s="3">
        <f t="shared" si="38"/>
        <v>0</v>
      </c>
      <c r="DS44" s="3">
        <f t="shared" si="38"/>
        <v>0</v>
      </c>
      <c r="DT44" s="3">
        <f t="shared" si="38"/>
        <v>0</v>
      </c>
      <c r="DU44" s="3">
        <f t="shared" si="38"/>
        <v>0</v>
      </c>
      <c r="DV44" s="3">
        <f t="shared" si="38"/>
        <v>0</v>
      </c>
      <c r="DW44" s="3">
        <f t="shared" si="38"/>
        <v>0</v>
      </c>
      <c r="DX44" s="3">
        <f t="shared" si="38"/>
        <v>0</v>
      </c>
      <c r="DY44" s="3">
        <f t="shared" si="38"/>
        <v>25000000</v>
      </c>
    </row>
    <row r="45" spans="2:129" ht="13.8">
      <c r="C45" s="30" t="s">
        <v>75</v>
      </c>
      <c r="D45" s="10" t="s">
        <v>0</v>
      </c>
      <c r="G45" s="31">
        <f t="shared" si="33"/>
        <v>51563791.60102912</v>
      </c>
      <c r="I45" s="32">
        <f t="shared" ref="I45:BT45" si="39">SUM(I33:I44)</f>
        <v>0</v>
      </c>
      <c r="J45" s="32">
        <f t="shared" si="39"/>
        <v>91221.498072274233</v>
      </c>
      <c r="K45" s="32">
        <f t="shared" si="39"/>
        <v>91723.730215131363</v>
      </c>
      <c r="L45" s="32">
        <f t="shared" si="39"/>
        <v>92225.962357988523</v>
      </c>
      <c r="M45" s="32">
        <f t="shared" si="39"/>
        <v>92728.194500845653</v>
      </c>
      <c r="N45" s="32">
        <f t="shared" si="39"/>
        <v>93230.426643702784</v>
      </c>
      <c r="O45" s="32">
        <f t="shared" si="39"/>
        <v>93732.658786559958</v>
      </c>
      <c r="P45" s="32">
        <f t="shared" si="39"/>
        <v>94234.890929417103</v>
      </c>
      <c r="Q45" s="32">
        <f t="shared" si="39"/>
        <v>94737.123072274233</v>
      </c>
      <c r="R45" s="32">
        <f t="shared" si="39"/>
        <v>95239.355215131349</v>
      </c>
      <c r="S45" s="32">
        <f t="shared" si="39"/>
        <v>95741.587357988523</v>
      </c>
      <c r="T45" s="32">
        <f t="shared" si="39"/>
        <v>96243.819500845624</v>
      </c>
      <c r="U45" s="32">
        <f t="shared" si="39"/>
        <v>96746.051643702755</v>
      </c>
      <c r="V45" s="32">
        <f t="shared" si="39"/>
        <v>97248.283786559885</v>
      </c>
      <c r="W45" s="32">
        <f t="shared" si="39"/>
        <v>97750.515929417044</v>
      </c>
      <c r="X45" s="32">
        <f t="shared" si="39"/>
        <v>98252.748072274175</v>
      </c>
      <c r="Y45" s="32">
        <f t="shared" si="39"/>
        <v>98754.980215131262</v>
      </c>
      <c r="Z45" s="32">
        <f t="shared" si="39"/>
        <v>99257.212357988465</v>
      </c>
      <c r="AA45" s="32">
        <f t="shared" si="39"/>
        <v>99759.444500845566</v>
      </c>
      <c r="AB45" s="32">
        <f t="shared" si="39"/>
        <v>100261.67664370274</v>
      </c>
      <c r="AC45" s="32">
        <f t="shared" si="39"/>
        <v>763630.76357052894</v>
      </c>
      <c r="AD45" s="32">
        <f t="shared" si="39"/>
        <v>116202.47341724468</v>
      </c>
      <c r="AE45" s="32">
        <f t="shared" si="39"/>
        <v>116704.70556010184</v>
      </c>
      <c r="AF45" s="32">
        <f t="shared" si="39"/>
        <v>117206.937702959</v>
      </c>
      <c r="AG45" s="32">
        <f t="shared" si="39"/>
        <v>117709.16984581613</v>
      </c>
      <c r="AH45" s="32">
        <f t="shared" si="39"/>
        <v>118211.40198867329</v>
      </c>
      <c r="AI45" s="32">
        <f t="shared" si="39"/>
        <v>118713.63413153039</v>
      </c>
      <c r="AJ45" s="32">
        <f t="shared" si="39"/>
        <v>119215.86627438755</v>
      </c>
      <c r="AK45" s="32">
        <f t="shared" si="39"/>
        <v>119718.09841724462</v>
      </c>
      <c r="AL45" s="32">
        <f t="shared" si="39"/>
        <v>117407.83056010181</v>
      </c>
      <c r="AM45" s="32">
        <f t="shared" si="39"/>
        <v>117943.5448458161</v>
      </c>
      <c r="AN45" s="32">
        <f t="shared" si="39"/>
        <v>118479.25913153045</v>
      </c>
      <c r="AO45" s="32">
        <f t="shared" si="39"/>
        <v>119014.97341724465</v>
      </c>
      <c r="AP45" s="32">
        <f t="shared" si="39"/>
        <v>119550.68770295894</v>
      </c>
      <c r="AQ45" s="32">
        <f t="shared" si="39"/>
        <v>120086.40198867329</v>
      </c>
      <c r="AR45" s="32">
        <f t="shared" si="39"/>
        <v>120622.11627438749</v>
      </c>
      <c r="AS45" s="32">
        <f t="shared" si="39"/>
        <v>121157.83056010181</v>
      </c>
      <c r="AT45" s="32">
        <f t="shared" si="39"/>
        <v>121693.54484581613</v>
      </c>
      <c r="AU45" s="32">
        <f t="shared" si="39"/>
        <v>122229.25913153045</v>
      </c>
      <c r="AV45" s="32">
        <f t="shared" si="39"/>
        <v>122764.97341724471</v>
      </c>
      <c r="AW45" s="32">
        <f t="shared" si="39"/>
        <v>744365.16623311862</v>
      </c>
      <c r="AX45" s="32">
        <f t="shared" si="39"/>
        <v>133793.95698055849</v>
      </c>
      <c r="AY45" s="32">
        <f t="shared" si="39"/>
        <v>134329.67126627284</v>
      </c>
      <c r="AZ45" s="32">
        <f t="shared" si="39"/>
        <v>134865.38555198713</v>
      </c>
      <c r="BA45" s="32">
        <f t="shared" si="39"/>
        <v>135401.09983770139</v>
      </c>
      <c r="BB45" s="32">
        <f t="shared" si="39"/>
        <v>135936.81412341565</v>
      </c>
      <c r="BC45" s="32">
        <f t="shared" si="39"/>
        <v>136472.52840912997</v>
      </c>
      <c r="BD45" s="32">
        <f t="shared" si="39"/>
        <v>137008.24269484423</v>
      </c>
      <c r="BE45" s="32">
        <f t="shared" si="39"/>
        <v>137543.95698055855</v>
      </c>
      <c r="BF45" s="32">
        <f t="shared" si="39"/>
        <v>138079.67126627281</v>
      </c>
      <c r="BG45" s="32">
        <f t="shared" si="39"/>
        <v>138615.3855519871</v>
      </c>
      <c r="BH45" s="32">
        <f t="shared" si="39"/>
        <v>139151.09983770142</v>
      </c>
      <c r="BI45" s="32">
        <f t="shared" si="39"/>
        <v>139686.81412341565</v>
      </c>
      <c r="BJ45" s="32">
        <f t="shared" si="39"/>
        <v>140222.52840912991</v>
      </c>
      <c r="BK45" s="32">
        <f t="shared" si="39"/>
        <v>140758.2426948442</v>
      </c>
      <c r="BL45" s="32">
        <f t="shared" si="39"/>
        <v>141293.95698055843</v>
      </c>
      <c r="BM45" s="32">
        <f t="shared" si="39"/>
        <v>141829.67126627272</v>
      </c>
      <c r="BN45" s="32">
        <f t="shared" si="39"/>
        <v>144240.38555198701</v>
      </c>
      <c r="BO45" s="32">
        <f t="shared" si="39"/>
        <v>144742.61769484423</v>
      </c>
      <c r="BP45" s="32">
        <f t="shared" si="39"/>
        <v>145244.84983770136</v>
      </c>
      <c r="BQ45" s="32">
        <f t="shared" si="39"/>
        <v>552140.46740656602</v>
      </c>
      <c r="BR45" s="32">
        <f t="shared" si="39"/>
        <v>171143.20160312823</v>
      </c>
      <c r="BS45" s="32">
        <f t="shared" si="39"/>
        <v>171645.43374598536</v>
      </c>
      <c r="BT45" s="32">
        <f t="shared" si="39"/>
        <v>172147.66588884254</v>
      </c>
      <c r="BU45" s="32">
        <f t="shared" ref="BU45:DY45" si="40">SUM(BU33:BU44)</f>
        <v>172649.89803169962</v>
      </c>
      <c r="BV45" s="32">
        <f t="shared" si="40"/>
        <v>173152.13017455678</v>
      </c>
      <c r="BW45" s="32">
        <f t="shared" si="40"/>
        <v>173654.36231741391</v>
      </c>
      <c r="BX45" s="32">
        <f t="shared" si="40"/>
        <v>174156.59446027107</v>
      </c>
      <c r="BY45" s="32">
        <f t="shared" si="40"/>
        <v>174658.82660312825</v>
      </c>
      <c r="BZ45" s="32">
        <f t="shared" si="40"/>
        <v>175161.05874598539</v>
      </c>
      <c r="CA45" s="32">
        <f t="shared" si="40"/>
        <v>175663.29088884252</v>
      </c>
      <c r="CB45" s="32">
        <f t="shared" si="40"/>
        <v>176165.5230316997</v>
      </c>
      <c r="CC45" s="32">
        <f t="shared" si="40"/>
        <v>176667.75517455681</v>
      </c>
      <c r="CD45" s="32">
        <f t="shared" si="40"/>
        <v>177169.98731741394</v>
      </c>
      <c r="CE45" s="32">
        <f t="shared" si="40"/>
        <v>177672.21946027112</v>
      </c>
      <c r="CF45" s="32">
        <f t="shared" si="40"/>
        <v>178174.45160312825</v>
      </c>
      <c r="CG45" s="32">
        <f t="shared" si="40"/>
        <v>178676.68374598541</v>
      </c>
      <c r="CH45" s="32">
        <f t="shared" si="40"/>
        <v>179178.91588884254</v>
      </c>
      <c r="CI45" s="32">
        <f t="shared" si="40"/>
        <v>179681.14803169973</v>
      </c>
      <c r="CJ45" s="32">
        <f t="shared" si="40"/>
        <v>180183.38017455681</v>
      </c>
      <c r="CK45" s="32">
        <f t="shared" si="40"/>
        <v>627438.11148546764</v>
      </c>
      <c r="CL45" s="32">
        <f t="shared" si="40"/>
        <v>206081.73193998361</v>
      </c>
      <c r="CM45" s="32">
        <f t="shared" si="40"/>
        <v>206583.9640828408</v>
      </c>
      <c r="CN45" s="32">
        <f t="shared" si="40"/>
        <v>207086.19622569796</v>
      </c>
      <c r="CO45" s="32">
        <f t="shared" si="40"/>
        <v>207588.42836855512</v>
      </c>
      <c r="CP45" s="32">
        <f t="shared" si="40"/>
        <v>205278.16051141222</v>
      </c>
      <c r="CQ45" s="32">
        <f t="shared" si="40"/>
        <v>205880.83908284083</v>
      </c>
      <c r="CR45" s="32">
        <f t="shared" si="40"/>
        <v>206483.51765426944</v>
      </c>
      <c r="CS45" s="32">
        <f t="shared" si="40"/>
        <v>207086.19622569793</v>
      </c>
      <c r="CT45" s="32">
        <f t="shared" si="40"/>
        <v>207688.87479712657</v>
      </c>
      <c r="CU45" s="32">
        <f t="shared" si="40"/>
        <v>208291.55336855521</v>
      </c>
      <c r="CV45" s="32">
        <f t="shared" si="40"/>
        <v>208894.23193998373</v>
      </c>
      <c r="CW45" s="32">
        <f t="shared" si="40"/>
        <v>209496.91051141225</v>
      </c>
      <c r="CX45" s="32">
        <f t="shared" si="40"/>
        <v>210099.58908284086</v>
      </c>
      <c r="CY45" s="32">
        <f t="shared" si="40"/>
        <v>210702.26765426944</v>
      </c>
      <c r="CZ45" s="32">
        <f t="shared" si="40"/>
        <v>211304.94622569799</v>
      </c>
      <c r="DA45" s="32">
        <f t="shared" si="40"/>
        <v>211907.62479712663</v>
      </c>
      <c r="DB45" s="32">
        <f t="shared" si="40"/>
        <v>212510.30336855521</v>
      </c>
      <c r="DC45" s="32">
        <f t="shared" si="40"/>
        <v>213112.98193998379</v>
      </c>
      <c r="DD45" s="32">
        <f t="shared" si="40"/>
        <v>213715.66051141237</v>
      </c>
      <c r="DE45" s="32">
        <f t="shared" si="40"/>
        <v>214318.33908284092</v>
      </c>
      <c r="DF45" s="32">
        <f t="shared" si="40"/>
        <v>465982.14285714278</v>
      </c>
      <c r="DG45" s="32">
        <f t="shared" si="40"/>
        <v>466584.82142857136</v>
      </c>
      <c r="DH45" s="32">
        <f t="shared" si="40"/>
        <v>467187.49999999994</v>
      </c>
      <c r="DI45" s="32">
        <f t="shared" si="40"/>
        <v>467790.17857142846</v>
      </c>
      <c r="DJ45" s="32">
        <f t="shared" si="40"/>
        <v>468392.85714285704</v>
      </c>
      <c r="DK45" s="32">
        <f t="shared" si="40"/>
        <v>468995.53571428562</v>
      </c>
      <c r="DL45" s="32">
        <f t="shared" si="40"/>
        <v>469598.2142857142</v>
      </c>
      <c r="DM45" s="32">
        <f t="shared" si="40"/>
        <v>470200.89285714278</v>
      </c>
      <c r="DN45" s="32">
        <f t="shared" si="40"/>
        <v>470803.57142857136</v>
      </c>
      <c r="DO45" s="32">
        <f t="shared" si="40"/>
        <v>471406.24999999994</v>
      </c>
      <c r="DP45" s="32">
        <f t="shared" si="40"/>
        <v>472008.92857142846</v>
      </c>
      <c r="DQ45" s="32">
        <f t="shared" si="40"/>
        <v>472611.60714285704</v>
      </c>
      <c r="DR45" s="32">
        <f t="shared" si="40"/>
        <v>500000</v>
      </c>
      <c r="DS45" s="32">
        <f t="shared" si="40"/>
        <v>500000</v>
      </c>
      <c r="DT45" s="32">
        <f t="shared" si="40"/>
        <v>500000</v>
      </c>
      <c r="DU45" s="32">
        <f t="shared" si="40"/>
        <v>500000</v>
      </c>
      <c r="DV45" s="32">
        <f t="shared" si="40"/>
        <v>500000</v>
      </c>
      <c r="DW45" s="32">
        <f t="shared" si="40"/>
        <v>500000</v>
      </c>
      <c r="DX45" s="32">
        <f t="shared" si="40"/>
        <v>500000</v>
      </c>
      <c r="DY45" s="32">
        <f t="shared" si="40"/>
        <v>25500000</v>
      </c>
    </row>
    <row r="46" spans="2:129" ht="13.8">
      <c r="C46" s="7" t="s">
        <v>76</v>
      </c>
      <c r="D46" s="10" t="s">
        <v>0</v>
      </c>
      <c r="G46" s="33">
        <f t="shared" si="33"/>
        <v>-51563791.60102912</v>
      </c>
      <c r="I46" s="3">
        <f t="shared" ref="I46:BT46" si="41">-I45</f>
        <v>0</v>
      </c>
      <c r="J46" s="3">
        <f t="shared" si="41"/>
        <v>-91221.498072274233</v>
      </c>
      <c r="K46" s="3">
        <f t="shared" si="41"/>
        <v>-91723.730215131363</v>
      </c>
      <c r="L46" s="3">
        <f t="shared" si="41"/>
        <v>-92225.962357988523</v>
      </c>
      <c r="M46" s="3">
        <f t="shared" si="41"/>
        <v>-92728.194500845653</v>
      </c>
      <c r="N46" s="3">
        <f t="shared" si="41"/>
        <v>-93230.426643702784</v>
      </c>
      <c r="O46" s="3">
        <f t="shared" si="41"/>
        <v>-93732.658786559958</v>
      </c>
      <c r="P46" s="3">
        <f t="shared" si="41"/>
        <v>-94234.890929417103</v>
      </c>
      <c r="Q46" s="3">
        <f t="shared" si="41"/>
        <v>-94737.123072274233</v>
      </c>
      <c r="R46" s="3">
        <f t="shared" si="41"/>
        <v>-95239.355215131349</v>
      </c>
      <c r="S46" s="3">
        <f t="shared" si="41"/>
        <v>-95741.587357988523</v>
      </c>
      <c r="T46" s="3">
        <f t="shared" si="41"/>
        <v>-96243.819500845624</v>
      </c>
      <c r="U46" s="3">
        <f t="shared" si="41"/>
        <v>-96746.051643702755</v>
      </c>
      <c r="V46" s="3">
        <f t="shared" si="41"/>
        <v>-97248.283786559885</v>
      </c>
      <c r="W46" s="3">
        <f t="shared" si="41"/>
        <v>-97750.515929417044</v>
      </c>
      <c r="X46" s="3">
        <f t="shared" si="41"/>
        <v>-98252.748072274175</v>
      </c>
      <c r="Y46" s="3">
        <f t="shared" si="41"/>
        <v>-98754.980215131262</v>
      </c>
      <c r="Z46" s="3">
        <f t="shared" si="41"/>
        <v>-99257.212357988465</v>
      </c>
      <c r="AA46" s="3">
        <f t="shared" si="41"/>
        <v>-99759.444500845566</v>
      </c>
      <c r="AB46" s="3">
        <f t="shared" si="41"/>
        <v>-100261.67664370274</v>
      </c>
      <c r="AC46" s="3">
        <f t="shared" si="41"/>
        <v>-763630.76357052894</v>
      </c>
      <c r="AD46" s="3">
        <f t="shared" si="41"/>
        <v>-116202.47341724468</v>
      </c>
      <c r="AE46" s="3">
        <f t="shared" si="41"/>
        <v>-116704.70556010184</v>
      </c>
      <c r="AF46" s="3">
        <f t="shared" si="41"/>
        <v>-117206.937702959</v>
      </c>
      <c r="AG46" s="3">
        <f t="shared" si="41"/>
        <v>-117709.16984581613</v>
      </c>
      <c r="AH46" s="3">
        <f t="shared" si="41"/>
        <v>-118211.40198867329</v>
      </c>
      <c r="AI46" s="3">
        <f t="shared" si="41"/>
        <v>-118713.63413153039</v>
      </c>
      <c r="AJ46" s="3">
        <f t="shared" si="41"/>
        <v>-119215.86627438755</v>
      </c>
      <c r="AK46" s="3">
        <f t="shared" si="41"/>
        <v>-119718.09841724462</v>
      </c>
      <c r="AL46" s="3">
        <f t="shared" si="41"/>
        <v>-117407.83056010181</v>
      </c>
      <c r="AM46" s="3">
        <f t="shared" si="41"/>
        <v>-117943.5448458161</v>
      </c>
      <c r="AN46" s="3">
        <f t="shared" si="41"/>
        <v>-118479.25913153045</v>
      </c>
      <c r="AO46" s="3">
        <f t="shared" si="41"/>
        <v>-119014.97341724465</v>
      </c>
      <c r="AP46" s="3">
        <f t="shared" si="41"/>
        <v>-119550.68770295894</v>
      </c>
      <c r="AQ46" s="3">
        <f t="shared" si="41"/>
        <v>-120086.40198867329</v>
      </c>
      <c r="AR46" s="3">
        <f t="shared" si="41"/>
        <v>-120622.11627438749</v>
      </c>
      <c r="AS46" s="3">
        <f t="shared" si="41"/>
        <v>-121157.83056010181</v>
      </c>
      <c r="AT46" s="3">
        <f t="shared" si="41"/>
        <v>-121693.54484581613</v>
      </c>
      <c r="AU46" s="3">
        <f t="shared" si="41"/>
        <v>-122229.25913153045</v>
      </c>
      <c r="AV46" s="3">
        <f t="shared" si="41"/>
        <v>-122764.97341724471</v>
      </c>
      <c r="AW46" s="3">
        <f t="shared" si="41"/>
        <v>-744365.16623311862</v>
      </c>
      <c r="AX46" s="3">
        <f t="shared" si="41"/>
        <v>-133793.95698055849</v>
      </c>
      <c r="AY46" s="3">
        <f t="shared" si="41"/>
        <v>-134329.67126627284</v>
      </c>
      <c r="AZ46" s="3">
        <f t="shared" si="41"/>
        <v>-134865.38555198713</v>
      </c>
      <c r="BA46" s="3">
        <f t="shared" si="41"/>
        <v>-135401.09983770139</v>
      </c>
      <c r="BB46" s="3">
        <f t="shared" si="41"/>
        <v>-135936.81412341565</v>
      </c>
      <c r="BC46" s="3">
        <f t="shared" si="41"/>
        <v>-136472.52840912997</v>
      </c>
      <c r="BD46" s="3">
        <f t="shared" si="41"/>
        <v>-137008.24269484423</v>
      </c>
      <c r="BE46" s="3">
        <f t="shared" si="41"/>
        <v>-137543.95698055855</v>
      </c>
      <c r="BF46" s="3">
        <f t="shared" si="41"/>
        <v>-138079.67126627281</v>
      </c>
      <c r="BG46" s="3">
        <f t="shared" si="41"/>
        <v>-138615.3855519871</v>
      </c>
      <c r="BH46" s="3">
        <f t="shared" si="41"/>
        <v>-139151.09983770142</v>
      </c>
      <c r="BI46" s="3">
        <f t="shared" si="41"/>
        <v>-139686.81412341565</v>
      </c>
      <c r="BJ46" s="3">
        <f t="shared" si="41"/>
        <v>-140222.52840912991</v>
      </c>
      <c r="BK46" s="3">
        <f t="shared" si="41"/>
        <v>-140758.2426948442</v>
      </c>
      <c r="BL46" s="3">
        <f t="shared" si="41"/>
        <v>-141293.95698055843</v>
      </c>
      <c r="BM46" s="3">
        <f t="shared" si="41"/>
        <v>-141829.67126627272</v>
      </c>
      <c r="BN46" s="3">
        <f t="shared" si="41"/>
        <v>-144240.38555198701</v>
      </c>
      <c r="BO46" s="3">
        <f t="shared" si="41"/>
        <v>-144742.61769484423</v>
      </c>
      <c r="BP46" s="3">
        <f t="shared" si="41"/>
        <v>-145244.84983770136</v>
      </c>
      <c r="BQ46" s="3">
        <f t="shared" si="41"/>
        <v>-552140.46740656602</v>
      </c>
      <c r="BR46" s="3">
        <f t="shared" si="41"/>
        <v>-171143.20160312823</v>
      </c>
      <c r="BS46" s="3">
        <f t="shared" si="41"/>
        <v>-171645.43374598536</v>
      </c>
      <c r="BT46" s="3">
        <f t="shared" si="41"/>
        <v>-172147.66588884254</v>
      </c>
      <c r="BU46" s="3">
        <f t="shared" ref="BU46:DY46" si="42">-BU45</f>
        <v>-172649.89803169962</v>
      </c>
      <c r="BV46" s="3">
        <f t="shared" si="42"/>
        <v>-173152.13017455678</v>
      </c>
      <c r="BW46" s="3">
        <f t="shared" si="42"/>
        <v>-173654.36231741391</v>
      </c>
      <c r="BX46" s="3">
        <f t="shared" si="42"/>
        <v>-174156.59446027107</v>
      </c>
      <c r="BY46" s="3">
        <f t="shared" si="42"/>
        <v>-174658.82660312825</v>
      </c>
      <c r="BZ46" s="3">
        <f t="shared" si="42"/>
        <v>-175161.05874598539</v>
      </c>
      <c r="CA46" s="3">
        <f t="shared" si="42"/>
        <v>-175663.29088884252</v>
      </c>
      <c r="CB46" s="3">
        <f t="shared" si="42"/>
        <v>-176165.5230316997</v>
      </c>
      <c r="CC46" s="3">
        <f t="shared" si="42"/>
        <v>-176667.75517455681</v>
      </c>
      <c r="CD46" s="3">
        <f t="shared" si="42"/>
        <v>-177169.98731741394</v>
      </c>
      <c r="CE46" s="3">
        <f t="shared" si="42"/>
        <v>-177672.21946027112</v>
      </c>
      <c r="CF46" s="3">
        <f t="shared" si="42"/>
        <v>-178174.45160312825</v>
      </c>
      <c r="CG46" s="3">
        <f t="shared" si="42"/>
        <v>-178676.68374598541</v>
      </c>
      <c r="CH46" s="3">
        <f t="shared" si="42"/>
        <v>-179178.91588884254</v>
      </c>
      <c r="CI46" s="3">
        <f t="shared" si="42"/>
        <v>-179681.14803169973</v>
      </c>
      <c r="CJ46" s="3">
        <f t="shared" si="42"/>
        <v>-180183.38017455681</v>
      </c>
      <c r="CK46" s="3">
        <f t="shared" si="42"/>
        <v>-627438.11148546764</v>
      </c>
      <c r="CL46" s="3">
        <f t="shared" si="42"/>
        <v>-206081.73193998361</v>
      </c>
      <c r="CM46" s="3">
        <f t="shared" si="42"/>
        <v>-206583.9640828408</v>
      </c>
      <c r="CN46" s="3">
        <f t="shared" si="42"/>
        <v>-207086.19622569796</v>
      </c>
      <c r="CO46" s="3">
        <f t="shared" si="42"/>
        <v>-207588.42836855512</v>
      </c>
      <c r="CP46" s="3">
        <f t="shared" si="42"/>
        <v>-205278.16051141222</v>
      </c>
      <c r="CQ46" s="3">
        <f t="shared" si="42"/>
        <v>-205880.83908284083</v>
      </c>
      <c r="CR46" s="3">
        <f t="shared" si="42"/>
        <v>-206483.51765426944</v>
      </c>
      <c r="CS46" s="3">
        <f t="shared" si="42"/>
        <v>-207086.19622569793</v>
      </c>
      <c r="CT46" s="3">
        <f t="shared" si="42"/>
        <v>-207688.87479712657</v>
      </c>
      <c r="CU46" s="3">
        <f t="shared" si="42"/>
        <v>-208291.55336855521</v>
      </c>
      <c r="CV46" s="3">
        <f t="shared" si="42"/>
        <v>-208894.23193998373</v>
      </c>
      <c r="CW46" s="3">
        <f t="shared" si="42"/>
        <v>-209496.91051141225</v>
      </c>
      <c r="CX46" s="3">
        <f t="shared" si="42"/>
        <v>-210099.58908284086</v>
      </c>
      <c r="CY46" s="3">
        <f t="shared" si="42"/>
        <v>-210702.26765426944</v>
      </c>
      <c r="CZ46" s="3">
        <f t="shared" si="42"/>
        <v>-211304.94622569799</v>
      </c>
      <c r="DA46" s="3">
        <f t="shared" si="42"/>
        <v>-211907.62479712663</v>
      </c>
      <c r="DB46" s="3">
        <f t="shared" si="42"/>
        <v>-212510.30336855521</v>
      </c>
      <c r="DC46" s="3">
        <f t="shared" si="42"/>
        <v>-213112.98193998379</v>
      </c>
      <c r="DD46" s="3">
        <f t="shared" si="42"/>
        <v>-213715.66051141237</v>
      </c>
      <c r="DE46" s="3">
        <f t="shared" si="42"/>
        <v>-214318.33908284092</v>
      </c>
      <c r="DF46" s="3">
        <f t="shared" si="42"/>
        <v>-465982.14285714278</v>
      </c>
      <c r="DG46" s="3">
        <f t="shared" si="42"/>
        <v>-466584.82142857136</v>
      </c>
      <c r="DH46" s="3">
        <f t="shared" si="42"/>
        <v>-467187.49999999994</v>
      </c>
      <c r="DI46" s="3">
        <f t="shared" si="42"/>
        <v>-467790.17857142846</v>
      </c>
      <c r="DJ46" s="3">
        <f t="shared" si="42"/>
        <v>-468392.85714285704</v>
      </c>
      <c r="DK46" s="3">
        <f t="shared" si="42"/>
        <v>-468995.53571428562</v>
      </c>
      <c r="DL46" s="3">
        <f t="shared" si="42"/>
        <v>-469598.2142857142</v>
      </c>
      <c r="DM46" s="3">
        <f t="shared" si="42"/>
        <v>-470200.89285714278</v>
      </c>
      <c r="DN46" s="3">
        <f t="shared" si="42"/>
        <v>-470803.57142857136</v>
      </c>
      <c r="DO46" s="3">
        <f t="shared" si="42"/>
        <v>-471406.24999999994</v>
      </c>
      <c r="DP46" s="3">
        <f t="shared" si="42"/>
        <v>-472008.92857142846</v>
      </c>
      <c r="DQ46" s="3">
        <f t="shared" si="42"/>
        <v>-472611.60714285704</v>
      </c>
      <c r="DR46" s="3">
        <f t="shared" si="42"/>
        <v>-500000</v>
      </c>
      <c r="DS46" s="3">
        <f t="shared" si="42"/>
        <v>-500000</v>
      </c>
      <c r="DT46" s="3">
        <f t="shared" si="42"/>
        <v>-500000</v>
      </c>
      <c r="DU46" s="3">
        <f t="shared" si="42"/>
        <v>-500000</v>
      </c>
      <c r="DV46" s="3">
        <f t="shared" si="42"/>
        <v>-500000</v>
      </c>
      <c r="DW46" s="3">
        <f t="shared" si="42"/>
        <v>-500000</v>
      </c>
      <c r="DX46" s="3">
        <f t="shared" si="42"/>
        <v>-500000</v>
      </c>
      <c r="DY46" s="3">
        <f t="shared" si="42"/>
        <v>-25500000</v>
      </c>
    </row>
    <row r="47" spans="2:129" ht="13.8">
      <c r="C47" s="30" t="s">
        <v>77</v>
      </c>
      <c r="D47" s="10" t="s">
        <v>0</v>
      </c>
      <c r="G47" s="31">
        <f t="shared" si="33"/>
        <v>0</v>
      </c>
      <c r="I47" s="32">
        <f t="shared" ref="I47:BT47" si="43">SUM(I45:I46)</f>
        <v>0</v>
      </c>
      <c r="J47" s="32">
        <f t="shared" si="43"/>
        <v>0</v>
      </c>
      <c r="K47" s="32">
        <f t="shared" si="43"/>
        <v>0</v>
      </c>
      <c r="L47" s="32">
        <f t="shared" si="43"/>
        <v>0</v>
      </c>
      <c r="M47" s="32">
        <f t="shared" si="43"/>
        <v>0</v>
      </c>
      <c r="N47" s="32">
        <f t="shared" si="43"/>
        <v>0</v>
      </c>
      <c r="O47" s="32">
        <f t="shared" si="43"/>
        <v>0</v>
      </c>
      <c r="P47" s="32">
        <f t="shared" si="43"/>
        <v>0</v>
      </c>
      <c r="Q47" s="32">
        <f t="shared" si="43"/>
        <v>0</v>
      </c>
      <c r="R47" s="32">
        <f t="shared" si="43"/>
        <v>0</v>
      </c>
      <c r="S47" s="32">
        <f t="shared" si="43"/>
        <v>0</v>
      </c>
      <c r="T47" s="32">
        <f t="shared" si="43"/>
        <v>0</v>
      </c>
      <c r="U47" s="32">
        <f t="shared" si="43"/>
        <v>0</v>
      </c>
      <c r="V47" s="32">
        <f t="shared" si="43"/>
        <v>0</v>
      </c>
      <c r="W47" s="32">
        <f t="shared" si="43"/>
        <v>0</v>
      </c>
      <c r="X47" s="32">
        <f t="shared" si="43"/>
        <v>0</v>
      </c>
      <c r="Y47" s="32">
        <f t="shared" si="43"/>
        <v>0</v>
      </c>
      <c r="Z47" s="32">
        <f t="shared" si="43"/>
        <v>0</v>
      </c>
      <c r="AA47" s="32">
        <f t="shared" si="43"/>
        <v>0</v>
      </c>
      <c r="AB47" s="32">
        <f t="shared" si="43"/>
        <v>0</v>
      </c>
      <c r="AC47" s="32">
        <f t="shared" si="43"/>
        <v>0</v>
      </c>
      <c r="AD47" s="32">
        <f t="shared" si="43"/>
        <v>0</v>
      </c>
      <c r="AE47" s="32">
        <f t="shared" si="43"/>
        <v>0</v>
      </c>
      <c r="AF47" s="32">
        <f t="shared" si="43"/>
        <v>0</v>
      </c>
      <c r="AG47" s="32">
        <f t="shared" si="43"/>
        <v>0</v>
      </c>
      <c r="AH47" s="32">
        <f t="shared" si="43"/>
        <v>0</v>
      </c>
      <c r="AI47" s="32">
        <f t="shared" si="43"/>
        <v>0</v>
      </c>
      <c r="AJ47" s="32">
        <f t="shared" si="43"/>
        <v>0</v>
      </c>
      <c r="AK47" s="32">
        <f t="shared" si="43"/>
        <v>0</v>
      </c>
      <c r="AL47" s="32">
        <f t="shared" si="43"/>
        <v>0</v>
      </c>
      <c r="AM47" s="32">
        <f t="shared" si="43"/>
        <v>0</v>
      </c>
      <c r="AN47" s="32">
        <f t="shared" si="43"/>
        <v>0</v>
      </c>
      <c r="AO47" s="32">
        <f t="shared" si="43"/>
        <v>0</v>
      </c>
      <c r="AP47" s="32">
        <f t="shared" si="43"/>
        <v>0</v>
      </c>
      <c r="AQ47" s="32">
        <f t="shared" si="43"/>
        <v>0</v>
      </c>
      <c r="AR47" s="32">
        <f t="shared" si="43"/>
        <v>0</v>
      </c>
      <c r="AS47" s="32">
        <f t="shared" si="43"/>
        <v>0</v>
      </c>
      <c r="AT47" s="32">
        <f t="shared" si="43"/>
        <v>0</v>
      </c>
      <c r="AU47" s="32">
        <f t="shared" si="43"/>
        <v>0</v>
      </c>
      <c r="AV47" s="32">
        <f t="shared" si="43"/>
        <v>0</v>
      </c>
      <c r="AW47" s="32">
        <f t="shared" si="43"/>
        <v>0</v>
      </c>
      <c r="AX47" s="32">
        <f t="shared" si="43"/>
        <v>0</v>
      </c>
      <c r="AY47" s="32">
        <f t="shared" si="43"/>
        <v>0</v>
      </c>
      <c r="AZ47" s="32">
        <f t="shared" si="43"/>
        <v>0</v>
      </c>
      <c r="BA47" s="32">
        <f t="shared" si="43"/>
        <v>0</v>
      </c>
      <c r="BB47" s="32">
        <f t="shared" si="43"/>
        <v>0</v>
      </c>
      <c r="BC47" s="32">
        <f t="shared" si="43"/>
        <v>0</v>
      </c>
      <c r="BD47" s="32">
        <f t="shared" si="43"/>
        <v>0</v>
      </c>
      <c r="BE47" s="32">
        <f t="shared" si="43"/>
        <v>0</v>
      </c>
      <c r="BF47" s="32">
        <f t="shared" si="43"/>
        <v>0</v>
      </c>
      <c r="BG47" s="32">
        <f t="shared" si="43"/>
        <v>0</v>
      </c>
      <c r="BH47" s="32">
        <f t="shared" si="43"/>
        <v>0</v>
      </c>
      <c r="BI47" s="32">
        <f t="shared" si="43"/>
        <v>0</v>
      </c>
      <c r="BJ47" s="32">
        <f t="shared" si="43"/>
        <v>0</v>
      </c>
      <c r="BK47" s="32">
        <f t="shared" si="43"/>
        <v>0</v>
      </c>
      <c r="BL47" s="32">
        <f t="shared" si="43"/>
        <v>0</v>
      </c>
      <c r="BM47" s="32">
        <f t="shared" si="43"/>
        <v>0</v>
      </c>
      <c r="BN47" s="32">
        <f t="shared" si="43"/>
        <v>0</v>
      </c>
      <c r="BO47" s="32">
        <f t="shared" si="43"/>
        <v>0</v>
      </c>
      <c r="BP47" s="32">
        <f t="shared" si="43"/>
        <v>0</v>
      </c>
      <c r="BQ47" s="32">
        <f t="shared" si="43"/>
        <v>0</v>
      </c>
      <c r="BR47" s="32">
        <f t="shared" si="43"/>
        <v>0</v>
      </c>
      <c r="BS47" s="32">
        <f t="shared" si="43"/>
        <v>0</v>
      </c>
      <c r="BT47" s="32">
        <f t="shared" si="43"/>
        <v>0</v>
      </c>
      <c r="BU47" s="32">
        <f t="shared" ref="BU47:DY47" si="44">SUM(BU45:BU46)</f>
        <v>0</v>
      </c>
      <c r="BV47" s="32">
        <f t="shared" si="44"/>
        <v>0</v>
      </c>
      <c r="BW47" s="32">
        <f t="shared" si="44"/>
        <v>0</v>
      </c>
      <c r="BX47" s="32">
        <f t="shared" si="44"/>
        <v>0</v>
      </c>
      <c r="BY47" s="32">
        <f t="shared" si="44"/>
        <v>0</v>
      </c>
      <c r="BZ47" s="32">
        <f t="shared" si="44"/>
        <v>0</v>
      </c>
      <c r="CA47" s="32">
        <f t="shared" si="44"/>
        <v>0</v>
      </c>
      <c r="CB47" s="32">
        <f t="shared" si="44"/>
        <v>0</v>
      </c>
      <c r="CC47" s="32">
        <f t="shared" si="44"/>
        <v>0</v>
      </c>
      <c r="CD47" s="32">
        <f t="shared" si="44"/>
        <v>0</v>
      </c>
      <c r="CE47" s="32">
        <f t="shared" si="44"/>
        <v>0</v>
      </c>
      <c r="CF47" s="32">
        <f t="shared" si="44"/>
        <v>0</v>
      </c>
      <c r="CG47" s="32">
        <f t="shared" si="44"/>
        <v>0</v>
      </c>
      <c r="CH47" s="32">
        <f t="shared" si="44"/>
        <v>0</v>
      </c>
      <c r="CI47" s="32">
        <f t="shared" si="44"/>
        <v>0</v>
      </c>
      <c r="CJ47" s="32">
        <f t="shared" si="44"/>
        <v>0</v>
      </c>
      <c r="CK47" s="32">
        <f t="shared" si="44"/>
        <v>0</v>
      </c>
      <c r="CL47" s="32">
        <f t="shared" si="44"/>
        <v>0</v>
      </c>
      <c r="CM47" s="32">
        <f t="shared" si="44"/>
        <v>0</v>
      </c>
      <c r="CN47" s="32">
        <f t="shared" si="44"/>
        <v>0</v>
      </c>
      <c r="CO47" s="32">
        <f t="shared" si="44"/>
        <v>0</v>
      </c>
      <c r="CP47" s="32">
        <f t="shared" si="44"/>
        <v>0</v>
      </c>
      <c r="CQ47" s="32">
        <f t="shared" si="44"/>
        <v>0</v>
      </c>
      <c r="CR47" s="32">
        <f t="shared" si="44"/>
        <v>0</v>
      </c>
      <c r="CS47" s="32">
        <f t="shared" si="44"/>
        <v>0</v>
      </c>
      <c r="CT47" s="32">
        <f t="shared" si="44"/>
        <v>0</v>
      </c>
      <c r="CU47" s="32">
        <f t="shared" si="44"/>
        <v>0</v>
      </c>
      <c r="CV47" s="32">
        <f t="shared" si="44"/>
        <v>0</v>
      </c>
      <c r="CW47" s="32">
        <f t="shared" si="44"/>
        <v>0</v>
      </c>
      <c r="CX47" s="32">
        <f t="shared" si="44"/>
        <v>0</v>
      </c>
      <c r="CY47" s="32">
        <f t="shared" si="44"/>
        <v>0</v>
      </c>
      <c r="CZ47" s="32">
        <f t="shared" si="44"/>
        <v>0</v>
      </c>
      <c r="DA47" s="32">
        <f t="shared" si="44"/>
        <v>0</v>
      </c>
      <c r="DB47" s="32">
        <f t="shared" si="44"/>
        <v>0</v>
      </c>
      <c r="DC47" s="32">
        <f t="shared" si="44"/>
        <v>0</v>
      </c>
      <c r="DD47" s="32">
        <f t="shared" si="44"/>
        <v>0</v>
      </c>
      <c r="DE47" s="32">
        <f t="shared" si="44"/>
        <v>0</v>
      </c>
      <c r="DF47" s="32">
        <f t="shared" si="44"/>
        <v>0</v>
      </c>
      <c r="DG47" s="32">
        <f t="shared" si="44"/>
        <v>0</v>
      </c>
      <c r="DH47" s="32">
        <f t="shared" si="44"/>
        <v>0</v>
      </c>
      <c r="DI47" s="32">
        <f t="shared" si="44"/>
        <v>0</v>
      </c>
      <c r="DJ47" s="32">
        <f t="shared" si="44"/>
        <v>0</v>
      </c>
      <c r="DK47" s="32">
        <f t="shared" si="44"/>
        <v>0</v>
      </c>
      <c r="DL47" s="32">
        <f t="shared" si="44"/>
        <v>0</v>
      </c>
      <c r="DM47" s="32">
        <f t="shared" si="44"/>
        <v>0</v>
      </c>
      <c r="DN47" s="32">
        <f t="shared" si="44"/>
        <v>0</v>
      </c>
      <c r="DO47" s="32">
        <f t="shared" si="44"/>
        <v>0</v>
      </c>
      <c r="DP47" s="32">
        <f t="shared" si="44"/>
        <v>0</v>
      </c>
      <c r="DQ47" s="32">
        <f t="shared" si="44"/>
        <v>0</v>
      </c>
      <c r="DR47" s="32">
        <f t="shared" si="44"/>
        <v>0</v>
      </c>
      <c r="DS47" s="32">
        <f t="shared" si="44"/>
        <v>0</v>
      </c>
      <c r="DT47" s="32">
        <f t="shared" si="44"/>
        <v>0</v>
      </c>
      <c r="DU47" s="32">
        <f t="shared" si="44"/>
        <v>0</v>
      </c>
      <c r="DV47" s="32">
        <f t="shared" si="44"/>
        <v>0</v>
      </c>
      <c r="DW47" s="32">
        <f t="shared" si="44"/>
        <v>0</v>
      </c>
      <c r="DX47" s="32">
        <f t="shared" si="44"/>
        <v>0</v>
      </c>
      <c r="DY47" s="32">
        <f t="shared" si="44"/>
        <v>0</v>
      </c>
    </row>
    <row r="48" spans="2:129" ht="13.8">
      <c r="C48" s="34" t="s">
        <v>78</v>
      </c>
      <c r="D48" s="10" t="s">
        <v>79</v>
      </c>
      <c r="G48" s="22">
        <f t="shared" si="33"/>
        <v>0</v>
      </c>
      <c r="I48" s="35">
        <f t="shared" ref="I48:BT48" si="45">1*(I45&lt;0)</f>
        <v>0</v>
      </c>
      <c r="J48" s="35">
        <f t="shared" si="45"/>
        <v>0</v>
      </c>
      <c r="K48" s="35">
        <f t="shared" si="45"/>
        <v>0</v>
      </c>
      <c r="L48" s="35">
        <f t="shared" si="45"/>
        <v>0</v>
      </c>
      <c r="M48" s="35">
        <f t="shared" si="45"/>
        <v>0</v>
      </c>
      <c r="N48" s="35">
        <f t="shared" si="45"/>
        <v>0</v>
      </c>
      <c r="O48" s="35">
        <f t="shared" si="45"/>
        <v>0</v>
      </c>
      <c r="P48" s="35">
        <f t="shared" si="45"/>
        <v>0</v>
      </c>
      <c r="Q48" s="35">
        <f t="shared" si="45"/>
        <v>0</v>
      </c>
      <c r="R48" s="35">
        <f t="shared" si="45"/>
        <v>0</v>
      </c>
      <c r="S48" s="35">
        <f t="shared" si="45"/>
        <v>0</v>
      </c>
      <c r="T48" s="35">
        <f t="shared" si="45"/>
        <v>0</v>
      </c>
      <c r="U48" s="35">
        <f t="shared" si="45"/>
        <v>0</v>
      </c>
      <c r="V48" s="35">
        <f t="shared" si="45"/>
        <v>0</v>
      </c>
      <c r="W48" s="35">
        <f t="shared" si="45"/>
        <v>0</v>
      </c>
      <c r="X48" s="35">
        <f t="shared" si="45"/>
        <v>0</v>
      </c>
      <c r="Y48" s="35">
        <f t="shared" si="45"/>
        <v>0</v>
      </c>
      <c r="Z48" s="35">
        <f t="shared" si="45"/>
        <v>0</v>
      </c>
      <c r="AA48" s="35">
        <f t="shared" si="45"/>
        <v>0</v>
      </c>
      <c r="AB48" s="35">
        <f t="shared" si="45"/>
        <v>0</v>
      </c>
      <c r="AC48" s="35">
        <f t="shared" si="45"/>
        <v>0</v>
      </c>
      <c r="AD48" s="35">
        <f t="shared" si="45"/>
        <v>0</v>
      </c>
      <c r="AE48" s="35">
        <f t="shared" si="45"/>
        <v>0</v>
      </c>
      <c r="AF48" s="35">
        <f t="shared" si="45"/>
        <v>0</v>
      </c>
      <c r="AG48" s="35">
        <f t="shared" si="45"/>
        <v>0</v>
      </c>
      <c r="AH48" s="35">
        <f t="shared" si="45"/>
        <v>0</v>
      </c>
      <c r="AI48" s="35">
        <f t="shared" si="45"/>
        <v>0</v>
      </c>
      <c r="AJ48" s="35">
        <f t="shared" si="45"/>
        <v>0</v>
      </c>
      <c r="AK48" s="35">
        <f t="shared" si="45"/>
        <v>0</v>
      </c>
      <c r="AL48" s="35">
        <f t="shared" si="45"/>
        <v>0</v>
      </c>
      <c r="AM48" s="35">
        <f t="shared" si="45"/>
        <v>0</v>
      </c>
      <c r="AN48" s="35">
        <f t="shared" si="45"/>
        <v>0</v>
      </c>
      <c r="AO48" s="35">
        <f t="shared" si="45"/>
        <v>0</v>
      </c>
      <c r="AP48" s="35">
        <f t="shared" si="45"/>
        <v>0</v>
      </c>
      <c r="AQ48" s="35">
        <f t="shared" si="45"/>
        <v>0</v>
      </c>
      <c r="AR48" s="35">
        <f t="shared" si="45"/>
        <v>0</v>
      </c>
      <c r="AS48" s="35">
        <f t="shared" si="45"/>
        <v>0</v>
      </c>
      <c r="AT48" s="35">
        <f t="shared" si="45"/>
        <v>0</v>
      </c>
      <c r="AU48" s="35">
        <f t="shared" si="45"/>
        <v>0</v>
      </c>
      <c r="AV48" s="35">
        <f t="shared" si="45"/>
        <v>0</v>
      </c>
      <c r="AW48" s="35">
        <f t="shared" si="45"/>
        <v>0</v>
      </c>
      <c r="AX48" s="35">
        <f t="shared" si="45"/>
        <v>0</v>
      </c>
      <c r="AY48" s="35">
        <f t="shared" si="45"/>
        <v>0</v>
      </c>
      <c r="AZ48" s="35">
        <f t="shared" si="45"/>
        <v>0</v>
      </c>
      <c r="BA48" s="35">
        <f t="shared" si="45"/>
        <v>0</v>
      </c>
      <c r="BB48" s="35">
        <f t="shared" si="45"/>
        <v>0</v>
      </c>
      <c r="BC48" s="35">
        <f t="shared" si="45"/>
        <v>0</v>
      </c>
      <c r="BD48" s="35">
        <f t="shared" si="45"/>
        <v>0</v>
      </c>
      <c r="BE48" s="35">
        <f t="shared" si="45"/>
        <v>0</v>
      </c>
      <c r="BF48" s="35">
        <f t="shared" si="45"/>
        <v>0</v>
      </c>
      <c r="BG48" s="35">
        <f t="shared" si="45"/>
        <v>0</v>
      </c>
      <c r="BH48" s="35">
        <f t="shared" si="45"/>
        <v>0</v>
      </c>
      <c r="BI48" s="35">
        <f t="shared" si="45"/>
        <v>0</v>
      </c>
      <c r="BJ48" s="35">
        <f t="shared" si="45"/>
        <v>0</v>
      </c>
      <c r="BK48" s="35">
        <f t="shared" si="45"/>
        <v>0</v>
      </c>
      <c r="BL48" s="35">
        <f t="shared" si="45"/>
        <v>0</v>
      </c>
      <c r="BM48" s="35">
        <f t="shared" si="45"/>
        <v>0</v>
      </c>
      <c r="BN48" s="35">
        <f t="shared" si="45"/>
        <v>0</v>
      </c>
      <c r="BO48" s="35">
        <f t="shared" si="45"/>
        <v>0</v>
      </c>
      <c r="BP48" s="35">
        <f t="shared" si="45"/>
        <v>0</v>
      </c>
      <c r="BQ48" s="35">
        <f t="shared" si="45"/>
        <v>0</v>
      </c>
      <c r="BR48" s="35">
        <f t="shared" si="45"/>
        <v>0</v>
      </c>
      <c r="BS48" s="35">
        <f t="shared" si="45"/>
        <v>0</v>
      </c>
      <c r="BT48" s="35">
        <f t="shared" si="45"/>
        <v>0</v>
      </c>
      <c r="BU48" s="35">
        <f t="shared" ref="BU48:DY48" si="46">1*(BU45&lt;0)</f>
        <v>0</v>
      </c>
      <c r="BV48" s="35">
        <f t="shared" si="46"/>
        <v>0</v>
      </c>
      <c r="BW48" s="35">
        <f t="shared" si="46"/>
        <v>0</v>
      </c>
      <c r="BX48" s="35">
        <f t="shared" si="46"/>
        <v>0</v>
      </c>
      <c r="BY48" s="35">
        <f t="shared" si="46"/>
        <v>0</v>
      </c>
      <c r="BZ48" s="35">
        <f t="shared" si="46"/>
        <v>0</v>
      </c>
      <c r="CA48" s="35">
        <f t="shared" si="46"/>
        <v>0</v>
      </c>
      <c r="CB48" s="35">
        <f t="shared" si="46"/>
        <v>0</v>
      </c>
      <c r="CC48" s="35">
        <f t="shared" si="46"/>
        <v>0</v>
      </c>
      <c r="CD48" s="35">
        <f t="shared" si="46"/>
        <v>0</v>
      </c>
      <c r="CE48" s="35">
        <f t="shared" si="46"/>
        <v>0</v>
      </c>
      <c r="CF48" s="35">
        <f t="shared" si="46"/>
        <v>0</v>
      </c>
      <c r="CG48" s="35">
        <f t="shared" si="46"/>
        <v>0</v>
      </c>
      <c r="CH48" s="35">
        <f t="shared" si="46"/>
        <v>0</v>
      </c>
      <c r="CI48" s="35">
        <f t="shared" si="46"/>
        <v>0</v>
      </c>
      <c r="CJ48" s="35">
        <f t="shared" si="46"/>
        <v>0</v>
      </c>
      <c r="CK48" s="35">
        <f t="shared" si="46"/>
        <v>0</v>
      </c>
      <c r="CL48" s="35">
        <f t="shared" si="46"/>
        <v>0</v>
      </c>
      <c r="CM48" s="35">
        <f t="shared" si="46"/>
        <v>0</v>
      </c>
      <c r="CN48" s="35">
        <f t="shared" si="46"/>
        <v>0</v>
      </c>
      <c r="CO48" s="35">
        <f t="shared" si="46"/>
        <v>0</v>
      </c>
      <c r="CP48" s="35">
        <f t="shared" si="46"/>
        <v>0</v>
      </c>
      <c r="CQ48" s="35">
        <f t="shared" si="46"/>
        <v>0</v>
      </c>
      <c r="CR48" s="35">
        <f t="shared" si="46"/>
        <v>0</v>
      </c>
      <c r="CS48" s="35">
        <f t="shared" si="46"/>
        <v>0</v>
      </c>
      <c r="CT48" s="35">
        <f t="shared" si="46"/>
        <v>0</v>
      </c>
      <c r="CU48" s="35">
        <f t="shared" si="46"/>
        <v>0</v>
      </c>
      <c r="CV48" s="35">
        <f t="shared" si="46"/>
        <v>0</v>
      </c>
      <c r="CW48" s="35">
        <f t="shared" si="46"/>
        <v>0</v>
      </c>
      <c r="CX48" s="35">
        <f t="shared" si="46"/>
        <v>0</v>
      </c>
      <c r="CY48" s="35">
        <f t="shared" si="46"/>
        <v>0</v>
      </c>
      <c r="CZ48" s="35">
        <f t="shared" si="46"/>
        <v>0</v>
      </c>
      <c r="DA48" s="35">
        <f t="shared" si="46"/>
        <v>0</v>
      </c>
      <c r="DB48" s="35">
        <f t="shared" si="46"/>
        <v>0</v>
      </c>
      <c r="DC48" s="35">
        <f t="shared" si="46"/>
        <v>0</v>
      </c>
      <c r="DD48" s="35">
        <f t="shared" si="46"/>
        <v>0</v>
      </c>
      <c r="DE48" s="35">
        <f t="shared" si="46"/>
        <v>0</v>
      </c>
      <c r="DF48" s="35">
        <f t="shared" si="46"/>
        <v>0</v>
      </c>
      <c r="DG48" s="35">
        <f t="shared" si="46"/>
        <v>0</v>
      </c>
      <c r="DH48" s="35">
        <f t="shared" si="46"/>
        <v>0</v>
      </c>
      <c r="DI48" s="35">
        <f t="shared" si="46"/>
        <v>0</v>
      </c>
      <c r="DJ48" s="35">
        <f t="shared" si="46"/>
        <v>0</v>
      </c>
      <c r="DK48" s="35">
        <f t="shared" si="46"/>
        <v>0</v>
      </c>
      <c r="DL48" s="35">
        <f t="shared" si="46"/>
        <v>0</v>
      </c>
      <c r="DM48" s="35">
        <f t="shared" si="46"/>
        <v>0</v>
      </c>
      <c r="DN48" s="35">
        <f t="shared" si="46"/>
        <v>0</v>
      </c>
      <c r="DO48" s="35">
        <f t="shared" si="46"/>
        <v>0</v>
      </c>
      <c r="DP48" s="35">
        <f t="shared" si="46"/>
        <v>0</v>
      </c>
      <c r="DQ48" s="35">
        <f t="shared" si="46"/>
        <v>0</v>
      </c>
      <c r="DR48" s="35">
        <f t="shared" si="46"/>
        <v>0</v>
      </c>
      <c r="DS48" s="35">
        <f t="shared" si="46"/>
        <v>0</v>
      </c>
      <c r="DT48" s="35">
        <f t="shared" si="46"/>
        <v>0</v>
      </c>
      <c r="DU48" s="35">
        <f t="shared" si="46"/>
        <v>0</v>
      </c>
      <c r="DV48" s="35">
        <f t="shared" si="46"/>
        <v>0</v>
      </c>
      <c r="DW48" s="35">
        <f t="shared" si="46"/>
        <v>0</v>
      </c>
      <c r="DX48" s="35">
        <f t="shared" si="46"/>
        <v>0</v>
      </c>
      <c r="DY48" s="35">
        <f t="shared" si="46"/>
        <v>0</v>
      </c>
    </row>
    <row r="49" spans="1:129">
      <c r="D49" s="10"/>
    </row>
    <row r="50" spans="1:129" ht="15.6">
      <c r="A50" s="9" t="s">
        <v>80</v>
      </c>
      <c r="D50" s="10"/>
    </row>
    <row r="51" spans="1:129" ht="13.8">
      <c r="B51" s="15" t="s">
        <v>81</v>
      </c>
      <c r="C51" s="7"/>
      <c r="D51" s="10"/>
    </row>
    <row r="52" spans="1:129" ht="13.8">
      <c r="B52" s="15"/>
      <c r="C52" s="7" t="s">
        <v>82</v>
      </c>
      <c r="D52" s="10" t="s">
        <v>83</v>
      </c>
      <c r="F52" s="36">
        <f>0-CaseData!$G$14/PMT(CaseData!$G$19/4,CaseData!$G$20*4,CaseData!$G$17)</f>
        <v>1.9915468776616363</v>
      </c>
    </row>
    <row r="53" spans="1:129">
      <c r="B53" s="15"/>
      <c r="C53" s="3" t="s">
        <v>84</v>
      </c>
      <c r="D53" s="10" t="s">
        <v>83</v>
      </c>
      <c r="I53" s="37">
        <f t="shared" ref="I53:AN53" si="47">IF(I18,I33/-SUM(I38:I39),0)</f>
        <v>0</v>
      </c>
      <c r="J53" s="37">
        <f t="shared" si="47"/>
        <v>1.9915468776616365</v>
      </c>
      <c r="K53" s="37">
        <f t="shared" si="47"/>
        <v>1.9915468776616365</v>
      </c>
      <c r="L53" s="37">
        <f t="shared" si="47"/>
        <v>1.9915468776616365</v>
      </c>
      <c r="M53" s="37">
        <f t="shared" si="47"/>
        <v>1.9915468776616365</v>
      </c>
      <c r="N53" s="37">
        <f t="shared" si="47"/>
        <v>1.9915468776616365</v>
      </c>
      <c r="O53" s="37">
        <f t="shared" si="47"/>
        <v>1.9915468776616365</v>
      </c>
      <c r="P53" s="37">
        <f t="shared" si="47"/>
        <v>1.9915468776616365</v>
      </c>
      <c r="Q53" s="37">
        <f t="shared" si="47"/>
        <v>1.991546877661637</v>
      </c>
      <c r="R53" s="37">
        <f t="shared" si="47"/>
        <v>1.9915468776616365</v>
      </c>
      <c r="S53" s="37">
        <f t="shared" si="47"/>
        <v>1.991546877661637</v>
      </c>
      <c r="T53" s="37">
        <f t="shared" si="47"/>
        <v>1.9915468776616365</v>
      </c>
      <c r="U53" s="37">
        <f t="shared" si="47"/>
        <v>1.9915468776616365</v>
      </c>
      <c r="V53" s="37">
        <f t="shared" si="47"/>
        <v>1.9915468776616363</v>
      </c>
      <c r="W53" s="37">
        <f t="shared" si="47"/>
        <v>1.9915468776616365</v>
      </c>
      <c r="X53" s="37">
        <f t="shared" si="47"/>
        <v>1.9915468776616365</v>
      </c>
      <c r="Y53" s="37">
        <f t="shared" si="47"/>
        <v>1.9915468776616359</v>
      </c>
      <c r="Z53" s="37">
        <f t="shared" si="47"/>
        <v>1.9915468776616365</v>
      </c>
      <c r="AA53" s="37">
        <f t="shared" si="47"/>
        <v>1.9915468776616363</v>
      </c>
      <c r="AB53" s="37">
        <f t="shared" si="47"/>
        <v>1.9915468776616365</v>
      </c>
      <c r="AC53" s="37">
        <f t="shared" si="47"/>
        <v>1.9915468776616363</v>
      </c>
      <c r="AD53" s="37">
        <f t="shared" si="47"/>
        <v>1.9915468776616376</v>
      </c>
      <c r="AE53" s="37">
        <f t="shared" si="47"/>
        <v>1.9915468776616376</v>
      </c>
      <c r="AF53" s="37">
        <f t="shared" si="47"/>
        <v>1.9915468776616376</v>
      </c>
      <c r="AG53" s="37">
        <f t="shared" si="47"/>
        <v>1.9915468776616376</v>
      </c>
      <c r="AH53" s="37">
        <f t="shared" si="47"/>
        <v>1.9915468776616376</v>
      </c>
      <c r="AI53" s="37">
        <f t="shared" si="47"/>
        <v>1.9915468776616376</v>
      </c>
      <c r="AJ53" s="37">
        <f t="shared" si="47"/>
        <v>1.9915468776616376</v>
      </c>
      <c r="AK53" s="37">
        <f t="shared" si="47"/>
        <v>1.9915468776616374</v>
      </c>
      <c r="AL53" s="37">
        <f t="shared" si="47"/>
        <v>1.9915468776616376</v>
      </c>
      <c r="AM53" s="37">
        <f t="shared" si="47"/>
        <v>1.9915468776616376</v>
      </c>
      <c r="AN53" s="37">
        <f t="shared" si="47"/>
        <v>1.9915468776616376</v>
      </c>
      <c r="AO53" s="37">
        <f t="shared" ref="AO53:CZ53" si="48">IF(AO18,AO33/-SUM(AO38:AO39),0)</f>
        <v>1.9915468776616376</v>
      </c>
      <c r="AP53" s="37">
        <f t="shared" si="48"/>
        <v>1.9915468776616376</v>
      </c>
      <c r="AQ53" s="37">
        <f t="shared" si="48"/>
        <v>1.9915468776616378</v>
      </c>
      <c r="AR53" s="37">
        <f t="shared" si="48"/>
        <v>1.9915468776616376</v>
      </c>
      <c r="AS53" s="37">
        <f t="shared" si="48"/>
        <v>1.9915468776616378</v>
      </c>
      <c r="AT53" s="37">
        <f t="shared" si="48"/>
        <v>1.9915468776616378</v>
      </c>
      <c r="AU53" s="37">
        <f t="shared" si="48"/>
        <v>1.9915468776616383</v>
      </c>
      <c r="AV53" s="37">
        <f t="shared" si="48"/>
        <v>1.9915468776616385</v>
      </c>
      <c r="AW53" s="37">
        <f t="shared" si="48"/>
        <v>1.9915468776616385</v>
      </c>
      <c r="AX53" s="37">
        <f t="shared" si="48"/>
        <v>1.9915468776616401</v>
      </c>
      <c r="AY53" s="37">
        <f t="shared" si="48"/>
        <v>1.9915468776616401</v>
      </c>
      <c r="AZ53" s="37">
        <f t="shared" si="48"/>
        <v>1.9915468776616401</v>
      </c>
      <c r="BA53" s="37">
        <f t="shared" si="48"/>
        <v>1.9915468776616396</v>
      </c>
      <c r="BB53" s="37">
        <f t="shared" si="48"/>
        <v>1.9915468776616396</v>
      </c>
      <c r="BC53" s="37">
        <f t="shared" si="48"/>
        <v>1.9915468776616398</v>
      </c>
      <c r="BD53" s="37">
        <f t="shared" si="48"/>
        <v>1.9915468776616398</v>
      </c>
      <c r="BE53" s="37">
        <f t="shared" si="48"/>
        <v>1.9915468776616401</v>
      </c>
      <c r="BF53" s="37">
        <f t="shared" si="48"/>
        <v>1.9915468776616396</v>
      </c>
      <c r="BG53" s="37">
        <f t="shared" si="48"/>
        <v>1.9915468776616398</v>
      </c>
      <c r="BH53" s="37">
        <f t="shared" si="48"/>
        <v>1.9915468776616398</v>
      </c>
      <c r="BI53" s="37">
        <f t="shared" si="48"/>
        <v>1.9915468776616394</v>
      </c>
      <c r="BJ53" s="37">
        <f t="shared" si="48"/>
        <v>1.9915468776616394</v>
      </c>
      <c r="BK53" s="37">
        <f t="shared" si="48"/>
        <v>1.9915468776616394</v>
      </c>
      <c r="BL53" s="37">
        <f t="shared" si="48"/>
        <v>1.991546877661639</v>
      </c>
      <c r="BM53" s="37">
        <f t="shared" si="48"/>
        <v>1.991546877661639</v>
      </c>
      <c r="BN53" s="37">
        <f t="shared" si="48"/>
        <v>1.991546877661639</v>
      </c>
      <c r="BO53" s="37">
        <f t="shared" si="48"/>
        <v>1.9915468776616396</v>
      </c>
      <c r="BP53" s="37">
        <f t="shared" si="48"/>
        <v>1.9915468776616396</v>
      </c>
      <c r="BQ53" s="37">
        <f t="shared" si="48"/>
        <v>1.991546877661639</v>
      </c>
      <c r="BR53" s="37">
        <f t="shared" si="48"/>
        <v>1.9915468776616383</v>
      </c>
      <c r="BS53" s="37">
        <f t="shared" si="48"/>
        <v>1.9915468776616385</v>
      </c>
      <c r="BT53" s="37">
        <f t="shared" si="48"/>
        <v>1.991546877661639</v>
      </c>
      <c r="BU53" s="37">
        <f t="shared" si="48"/>
        <v>1.9915468776616385</v>
      </c>
      <c r="BV53" s="37">
        <f t="shared" si="48"/>
        <v>1.9915468776616385</v>
      </c>
      <c r="BW53" s="37">
        <f t="shared" si="48"/>
        <v>1.9915468776616383</v>
      </c>
      <c r="BX53" s="37">
        <f t="shared" si="48"/>
        <v>1.9915468776616383</v>
      </c>
      <c r="BY53" s="37">
        <f t="shared" si="48"/>
        <v>1.991546877661639</v>
      </c>
      <c r="BZ53" s="37">
        <f t="shared" si="48"/>
        <v>1.991546877661639</v>
      </c>
      <c r="CA53" s="37">
        <f t="shared" si="48"/>
        <v>1.991546877661639</v>
      </c>
      <c r="CB53" s="37">
        <f t="shared" si="48"/>
        <v>1.991546877661639</v>
      </c>
      <c r="CC53" s="37">
        <f t="shared" si="48"/>
        <v>1.991546877661639</v>
      </c>
      <c r="CD53" s="37">
        <f t="shared" si="48"/>
        <v>1.9915468776616383</v>
      </c>
      <c r="CE53" s="37">
        <f t="shared" si="48"/>
        <v>1.9915468776616385</v>
      </c>
      <c r="CF53" s="37">
        <f t="shared" si="48"/>
        <v>1.9915468776616385</v>
      </c>
      <c r="CG53" s="37">
        <f t="shared" si="48"/>
        <v>1.991546877661639</v>
      </c>
      <c r="CH53" s="37">
        <f t="shared" si="48"/>
        <v>1.9915468776616385</v>
      </c>
      <c r="CI53" s="37">
        <f t="shared" si="48"/>
        <v>1.991546877661639</v>
      </c>
      <c r="CJ53" s="37">
        <f t="shared" si="48"/>
        <v>1.991546877661639</v>
      </c>
      <c r="CK53" s="37">
        <f t="shared" si="48"/>
        <v>1.9915468776616394</v>
      </c>
      <c r="CL53" s="37">
        <f t="shared" si="48"/>
        <v>1.9915468776616374</v>
      </c>
      <c r="CM53" s="37">
        <f t="shared" si="48"/>
        <v>1.9915468776616381</v>
      </c>
      <c r="CN53" s="37">
        <f t="shared" si="48"/>
        <v>1.9915468776616378</v>
      </c>
      <c r="CO53" s="37">
        <f t="shared" si="48"/>
        <v>1.9915468776616378</v>
      </c>
      <c r="CP53" s="37">
        <f t="shared" si="48"/>
        <v>1.9915468776616381</v>
      </c>
      <c r="CQ53" s="37">
        <f t="shared" si="48"/>
        <v>1.9915468776616383</v>
      </c>
      <c r="CR53" s="37">
        <f t="shared" si="48"/>
        <v>1.9915468776616383</v>
      </c>
      <c r="CS53" s="37">
        <f t="shared" si="48"/>
        <v>1.9915468776616378</v>
      </c>
      <c r="CT53" s="37">
        <f t="shared" si="48"/>
        <v>1.9915468776616383</v>
      </c>
      <c r="CU53" s="37">
        <f t="shared" si="48"/>
        <v>1.9915468776616387</v>
      </c>
      <c r="CV53" s="37">
        <f t="shared" si="48"/>
        <v>1.9915468776616383</v>
      </c>
      <c r="CW53" s="37">
        <f t="shared" si="48"/>
        <v>1.9915468776616381</v>
      </c>
      <c r="CX53" s="37">
        <f t="shared" si="48"/>
        <v>1.9915468776616383</v>
      </c>
      <c r="CY53" s="37">
        <f t="shared" si="48"/>
        <v>1.9915468776616381</v>
      </c>
      <c r="CZ53" s="37">
        <f t="shared" si="48"/>
        <v>1.9915468776616381</v>
      </c>
      <c r="DA53" s="37">
        <f t="shared" ref="DA53:DY53" si="49">IF(DA18,DA33/-SUM(DA38:DA39),0)</f>
        <v>1.9915468776616385</v>
      </c>
      <c r="DB53" s="37">
        <f t="shared" si="49"/>
        <v>1.9915468776616385</v>
      </c>
      <c r="DC53" s="37">
        <f t="shared" si="49"/>
        <v>1.9915468776616385</v>
      </c>
      <c r="DD53" s="37">
        <f t="shared" si="49"/>
        <v>1.991546877661639</v>
      </c>
      <c r="DE53" s="37">
        <f t="shared" si="49"/>
        <v>1.9915468776616385</v>
      </c>
      <c r="DF53" s="37">
        <f t="shared" si="49"/>
        <v>0</v>
      </c>
      <c r="DG53" s="37">
        <f t="shared" si="49"/>
        <v>0</v>
      </c>
      <c r="DH53" s="37">
        <f t="shared" si="49"/>
        <v>0</v>
      </c>
      <c r="DI53" s="37">
        <f t="shared" si="49"/>
        <v>0</v>
      </c>
      <c r="DJ53" s="37">
        <f t="shared" si="49"/>
        <v>0</v>
      </c>
      <c r="DK53" s="37">
        <f t="shared" si="49"/>
        <v>0</v>
      </c>
      <c r="DL53" s="37">
        <f t="shared" si="49"/>
        <v>0</v>
      </c>
      <c r="DM53" s="37">
        <f t="shared" si="49"/>
        <v>0</v>
      </c>
      <c r="DN53" s="37">
        <f t="shared" si="49"/>
        <v>0</v>
      </c>
      <c r="DO53" s="37">
        <f t="shared" si="49"/>
        <v>0</v>
      </c>
      <c r="DP53" s="37">
        <f t="shared" si="49"/>
        <v>0</v>
      </c>
      <c r="DQ53" s="37">
        <f t="shared" si="49"/>
        <v>0</v>
      </c>
      <c r="DR53" s="37">
        <f t="shared" si="49"/>
        <v>0</v>
      </c>
      <c r="DS53" s="37">
        <f t="shared" si="49"/>
        <v>0</v>
      </c>
      <c r="DT53" s="37">
        <f t="shared" si="49"/>
        <v>0</v>
      </c>
      <c r="DU53" s="37">
        <f t="shared" si="49"/>
        <v>0</v>
      </c>
      <c r="DV53" s="37">
        <f t="shared" si="49"/>
        <v>0</v>
      </c>
      <c r="DW53" s="37">
        <f t="shared" si="49"/>
        <v>0</v>
      </c>
      <c r="DX53" s="37">
        <f t="shared" si="49"/>
        <v>0</v>
      </c>
      <c r="DY53" s="37">
        <f t="shared" si="49"/>
        <v>0</v>
      </c>
    </row>
    <row r="54" spans="1:129" ht="13.8">
      <c r="B54" s="15"/>
      <c r="C54" s="7" t="s">
        <v>85</v>
      </c>
      <c r="D54" s="10" t="s">
        <v>83</v>
      </c>
      <c r="I54" s="37">
        <f t="shared" ref="I54:BT54" si="50">ROUND(I18*(I53-$F$52),8)</f>
        <v>0</v>
      </c>
      <c r="J54" s="37">
        <f t="shared" si="50"/>
        <v>0</v>
      </c>
      <c r="K54" s="37">
        <f t="shared" si="50"/>
        <v>0</v>
      </c>
      <c r="L54" s="37">
        <f t="shared" si="50"/>
        <v>0</v>
      </c>
      <c r="M54" s="37">
        <f t="shared" si="50"/>
        <v>0</v>
      </c>
      <c r="N54" s="37">
        <f t="shared" si="50"/>
        <v>0</v>
      </c>
      <c r="O54" s="37">
        <f t="shared" si="50"/>
        <v>0</v>
      </c>
      <c r="P54" s="37">
        <f t="shared" si="50"/>
        <v>0</v>
      </c>
      <c r="Q54" s="37">
        <f t="shared" si="50"/>
        <v>0</v>
      </c>
      <c r="R54" s="37">
        <f t="shared" si="50"/>
        <v>0</v>
      </c>
      <c r="S54" s="37">
        <f t="shared" si="50"/>
        <v>0</v>
      </c>
      <c r="T54" s="37">
        <f t="shared" si="50"/>
        <v>0</v>
      </c>
      <c r="U54" s="37">
        <f t="shared" si="50"/>
        <v>0</v>
      </c>
      <c r="V54" s="37">
        <f t="shared" si="50"/>
        <v>0</v>
      </c>
      <c r="W54" s="37">
        <f t="shared" si="50"/>
        <v>0</v>
      </c>
      <c r="X54" s="37">
        <f t="shared" si="50"/>
        <v>0</v>
      </c>
      <c r="Y54" s="37">
        <f t="shared" si="50"/>
        <v>0</v>
      </c>
      <c r="Z54" s="37">
        <f t="shared" si="50"/>
        <v>0</v>
      </c>
      <c r="AA54" s="37">
        <f t="shared" si="50"/>
        <v>0</v>
      </c>
      <c r="AB54" s="37">
        <f t="shared" si="50"/>
        <v>0</v>
      </c>
      <c r="AC54" s="37">
        <f t="shared" si="50"/>
        <v>0</v>
      </c>
      <c r="AD54" s="37">
        <f t="shared" si="50"/>
        <v>0</v>
      </c>
      <c r="AE54" s="37">
        <f t="shared" si="50"/>
        <v>0</v>
      </c>
      <c r="AF54" s="37">
        <f t="shared" si="50"/>
        <v>0</v>
      </c>
      <c r="AG54" s="37">
        <f t="shared" si="50"/>
        <v>0</v>
      </c>
      <c r="AH54" s="37">
        <f t="shared" si="50"/>
        <v>0</v>
      </c>
      <c r="AI54" s="37">
        <f t="shared" si="50"/>
        <v>0</v>
      </c>
      <c r="AJ54" s="37">
        <f t="shared" si="50"/>
        <v>0</v>
      </c>
      <c r="AK54" s="37">
        <f t="shared" si="50"/>
        <v>0</v>
      </c>
      <c r="AL54" s="37">
        <f t="shared" si="50"/>
        <v>0</v>
      </c>
      <c r="AM54" s="37">
        <f t="shared" si="50"/>
        <v>0</v>
      </c>
      <c r="AN54" s="37">
        <f t="shared" si="50"/>
        <v>0</v>
      </c>
      <c r="AO54" s="37">
        <f t="shared" si="50"/>
        <v>0</v>
      </c>
      <c r="AP54" s="37">
        <f t="shared" si="50"/>
        <v>0</v>
      </c>
      <c r="AQ54" s="37">
        <f t="shared" si="50"/>
        <v>0</v>
      </c>
      <c r="AR54" s="37">
        <f t="shared" si="50"/>
        <v>0</v>
      </c>
      <c r="AS54" s="37">
        <f t="shared" si="50"/>
        <v>0</v>
      </c>
      <c r="AT54" s="37">
        <f t="shared" si="50"/>
        <v>0</v>
      </c>
      <c r="AU54" s="37">
        <f t="shared" si="50"/>
        <v>0</v>
      </c>
      <c r="AV54" s="37">
        <f t="shared" si="50"/>
        <v>0</v>
      </c>
      <c r="AW54" s="37">
        <f t="shared" si="50"/>
        <v>0</v>
      </c>
      <c r="AX54" s="37">
        <f t="shared" si="50"/>
        <v>0</v>
      </c>
      <c r="AY54" s="37">
        <f t="shared" si="50"/>
        <v>0</v>
      </c>
      <c r="AZ54" s="37">
        <f t="shared" si="50"/>
        <v>0</v>
      </c>
      <c r="BA54" s="37">
        <f t="shared" si="50"/>
        <v>0</v>
      </c>
      <c r="BB54" s="37">
        <f t="shared" si="50"/>
        <v>0</v>
      </c>
      <c r="BC54" s="37">
        <f t="shared" si="50"/>
        <v>0</v>
      </c>
      <c r="BD54" s="37">
        <f t="shared" si="50"/>
        <v>0</v>
      </c>
      <c r="BE54" s="37">
        <f t="shared" si="50"/>
        <v>0</v>
      </c>
      <c r="BF54" s="37">
        <f t="shared" si="50"/>
        <v>0</v>
      </c>
      <c r="BG54" s="37">
        <f t="shared" si="50"/>
        <v>0</v>
      </c>
      <c r="BH54" s="37">
        <f t="shared" si="50"/>
        <v>0</v>
      </c>
      <c r="BI54" s="37">
        <f t="shared" si="50"/>
        <v>0</v>
      </c>
      <c r="BJ54" s="37">
        <f t="shared" si="50"/>
        <v>0</v>
      </c>
      <c r="BK54" s="37">
        <f t="shared" si="50"/>
        <v>0</v>
      </c>
      <c r="BL54" s="37">
        <f t="shared" si="50"/>
        <v>0</v>
      </c>
      <c r="BM54" s="37">
        <f t="shared" si="50"/>
        <v>0</v>
      </c>
      <c r="BN54" s="37">
        <f t="shared" si="50"/>
        <v>0</v>
      </c>
      <c r="BO54" s="37">
        <f t="shared" si="50"/>
        <v>0</v>
      </c>
      <c r="BP54" s="37">
        <f t="shared" si="50"/>
        <v>0</v>
      </c>
      <c r="BQ54" s="37">
        <f t="shared" si="50"/>
        <v>0</v>
      </c>
      <c r="BR54" s="37">
        <f t="shared" si="50"/>
        <v>0</v>
      </c>
      <c r="BS54" s="37">
        <f t="shared" si="50"/>
        <v>0</v>
      </c>
      <c r="BT54" s="37">
        <f t="shared" si="50"/>
        <v>0</v>
      </c>
      <c r="BU54" s="37">
        <f t="shared" ref="BU54:DY54" si="51">ROUND(BU18*(BU53-$F$52),8)</f>
        <v>0</v>
      </c>
      <c r="BV54" s="37">
        <f t="shared" si="51"/>
        <v>0</v>
      </c>
      <c r="BW54" s="37">
        <f t="shared" si="51"/>
        <v>0</v>
      </c>
      <c r="BX54" s="37">
        <f t="shared" si="51"/>
        <v>0</v>
      </c>
      <c r="BY54" s="37">
        <f t="shared" si="51"/>
        <v>0</v>
      </c>
      <c r="BZ54" s="37">
        <f t="shared" si="51"/>
        <v>0</v>
      </c>
      <c r="CA54" s="37">
        <f t="shared" si="51"/>
        <v>0</v>
      </c>
      <c r="CB54" s="37">
        <f t="shared" si="51"/>
        <v>0</v>
      </c>
      <c r="CC54" s="37">
        <f t="shared" si="51"/>
        <v>0</v>
      </c>
      <c r="CD54" s="37">
        <f t="shared" si="51"/>
        <v>0</v>
      </c>
      <c r="CE54" s="37">
        <f t="shared" si="51"/>
        <v>0</v>
      </c>
      <c r="CF54" s="37">
        <f t="shared" si="51"/>
        <v>0</v>
      </c>
      <c r="CG54" s="37">
        <f t="shared" si="51"/>
        <v>0</v>
      </c>
      <c r="CH54" s="37">
        <f t="shared" si="51"/>
        <v>0</v>
      </c>
      <c r="CI54" s="37">
        <f t="shared" si="51"/>
        <v>0</v>
      </c>
      <c r="CJ54" s="37">
        <f t="shared" si="51"/>
        <v>0</v>
      </c>
      <c r="CK54" s="37">
        <f t="shared" si="51"/>
        <v>0</v>
      </c>
      <c r="CL54" s="37">
        <f t="shared" si="51"/>
        <v>0</v>
      </c>
      <c r="CM54" s="37">
        <f t="shared" si="51"/>
        <v>0</v>
      </c>
      <c r="CN54" s="37">
        <f t="shared" si="51"/>
        <v>0</v>
      </c>
      <c r="CO54" s="37">
        <f t="shared" si="51"/>
        <v>0</v>
      </c>
      <c r="CP54" s="37">
        <f t="shared" si="51"/>
        <v>0</v>
      </c>
      <c r="CQ54" s="37">
        <f t="shared" si="51"/>
        <v>0</v>
      </c>
      <c r="CR54" s="37">
        <f t="shared" si="51"/>
        <v>0</v>
      </c>
      <c r="CS54" s="37">
        <f t="shared" si="51"/>
        <v>0</v>
      </c>
      <c r="CT54" s="37">
        <f t="shared" si="51"/>
        <v>0</v>
      </c>
      <c r="CU54" s="37">
        <f t="shared" si="51"/>
        <v>0</v>
      </c>
      <c r="CV54" s="37">
        <f t="shared" si="51"/>
        <v>0</v>
      </c>
      <c r="CW54" s="37">
        <f t="shared" si="51"/>
        <v>0</v>
      </c>
      <c r="CX54" s="37">
        <f t="shared" si="51"/>
        <v>0</v>
      </c>
      <c r="CY54" s="37">
        <f t="shared" si="51"/>
        <v>0</v>
      </c>
      <c r="CZ54" s="37">
        <f t="shared" si="51"/>
        <v>0</v>
      </c>
      <c r="DA54" s="37">
        <f t="shared" si="51"/>
        <v>0</v>
      </c>
      <c r="DB54" s="37">
        <f t="shared" si="51"/>
        <v>0</v>
      </c>
      <c r="DC54" s="37">
        <f t="shared" si="51"/>
        <v>0</v>
      </c>
      <c r="DD54" s="37">
        <f t="shared" si="51"/>
        <v>0</v>
      </c>
      <c r="DE54" s="37">
        <f t="shared" si="51"/>
        <v>0</v>
      </c>
      <c r="DF54" s="37">
        <f t="shared" si="51"/>
        <v>0</v>
      </c>
      <c r="DG54" s="37">
        <f t="shared" si="51"/>
        <v>0</v>
      </c>
      <c r="DH54" s="37">
        <f t="shared" si="51"/>
        <v>0</v>
      </c>
      <c r="DI54" s="37">
        <f t="shared" si="51"/>
        <v>0</v>
      </c>
      <c r="DJ54" s="37">
        <f t="shared" si="51"/>
        <v>0</v>
      </c>
      <c r="DK54" s="37">
        <f t="shared" si="51"/>
        <v>0</v>
      </c>
      <c r="DL54" s="37">
        <f t="shared" si="51"/>
        <v>0</v>
      </c>
      <c r="DM54" s="37">
        <f t="shared" si="51"/>
        <v>0</v>
      </c>
      <c r="DN54" s="37">
        <f t="shared" si="51"/>
        <v>0</v>
      </c>
      <c r="DO54" s="37">
        <f t="shared" si="51"/>
        <v>0</v>
      </c>
      <c r="DP54" s="37">
        <f t="shared" si="51"/>
        <v>0</v>
      </c>
      <c r="DQ54" s="37">
        <f t="shared" si="51"/>
        <v>0</v>
      </c>
      <c r="DR54" s="37">
        <f t="shared" si="51"/>
        <v>0</v>
      </c>
      <c r="DS54" s="37">
        <f t="shared" si="51"/>
        <v>0</v>
      </c>
      <c r="DT54" s="37">
        <f t="shared" si="51"/>
        <v>0</v>
      </c>
      <c r="DU54" s="37">
        <f t="shared" si="51"/>
        <v>0</v>
      </c>
      <c r="DV54" s="37">
        <f t="shared" si="51"/>
        <v>0</v>
      </c>
      <c r="DW54" s="37">
        <f t="shared" si="51"/>
        <v>0</v>
      </c>
      <c r="DX54" s="37">
        <f t="shared" si="51"/>
        <v>0</v>
      </c>
      <c r="DY54" s="37">
        <f t="shared" si="51"/>
        <v>0</v>
      </c>
    </row>
    <row r="55" spans="1:129" ht="13.8">
      <c r="B55" s="15"/>
      <c r="C55" s="7" t="s">
        <v>86</v>
      </c>
      <c r="D55" s="10" t="s">
        <v>79</v>
      </c>
      <c r="G55" s="22">
        <f t="shared" ref="G55" si="52">SUM(I55:DY55)</f>
        <v>0</v>
      </c>
      <c r="I55" s="35">
        <f t="shared" ref="I55:BT55" si="53">1*(ABS(I54)&lt;&gt;0)</f>
        <v>0</v>
      </c>
      <c r="J55" s="35">
        <f t="shared" si="53"/>
        <v>0</v>
      </c>
      <c r="K55" s="35">
        <f t="shared" si="53"/>
        <v>0</v>
      </c>
      <c r="L55" s="35">
        <f t="shared" si="53"/>
        <v>0</v>
      </c>
      <c r="M55" s="35">
        <f t="shared" si="53"/>
        <v>0</v>
      </c>
      <c r="N55" s="35">
        <f t="shared" si="53"/>
        <v>0</v>
      </c>
      <c r="O55" s="35">
        <f t="shared" si="53"/>
        <v>0</v>
      </c>
      <c r="P55" s="35">
        <f t="shared" si="53"/>
        <v>0</v>
      </c>
      <c r="Q55" s="35">
        <f t="shared" si="53"/>
        <v>0</v>
      </c>
      <c r="R55" s="35">
        <f t="shared" si="53"/>
        <v>0</v>
      </c>
      <c r="S55" s="35">
        <f t="shared" si="53"/>
        <v>0</v>
      </c>
      <c r="T55" s="35">
        <f t="shared" si="53"/>
        <v>0</v>
      </c>
      <c r="U55" s="35">
        <f t="shared" si="53"/>
        <v>0</v>
      </c>
      <c r="V55" s="35">
        <f t="shared" si="53"/>
        <v>0</v>
      </c>
      <c r="W55" s="35">
        <f t="shared" si="53"/>
        <v>0</v>
      </c>
      <c r="X55" s="35">
        <f t="shared" si="53"/>
        <v>0</v>
      </c>
      <c r="Y55" s="35">
        <f t="shared" si="53"/>
        <v>0</v>
      </c>
      <c r="Z55" s="35">
        <f t="shared" si="53"/>
        <v>0</v>
      </c>
      <c r="AA55" s="35">
        <f t="shared" si="53"/>
        <v>0</v>
      </c>
      <c r="AB55" s="35">
        <f t="shared" si="53"/>
        <v>0</v>
      </c>
      <c r="AC55" s="35">
        <f t="shared" si="53"/>
        <v>0</v>
      </c>
      <c r="AD55" s="35">
        <f t="shared" si="53"/>
        <v>0</v>
      </c>
      <c r="AE55" s="35">
        <f t="shared" si="53"/>
        <v>0</v>
      </c>
      <c r="AF55" s="35">
        <f t="shared" si="53"/>
        <v>0</v>
      </c>
      <c r="AG55" s="35">
        <f t="shared" si="53"/>
        <v>0</v>
      </c>
      <c r="AH55" s="35">
        <f t="shared" si="53"/>
        <v>0</v>
      </c>
      <c r="AI55" s="35">
        <f t="shared" si="53"/>
        <v>0</v>
      </c>
      <c r="AJ55" s="35">
        <f t="shared" si="53"/>
        <v>0</v>
      </c>
      <c r="AK55" s="35">
        <f t="shared" si="53"/>
        <v>0</v>
      </c>
      <c r="AL55" s="35">
        <f t="shared" si="53"/>
        <v>0</v>
      </c>
      <c r="AM55" s="35">
        <f t="shared" si="53"/>
        <v>0</v>
      </c>
      <c r="AN55" s="35">
        <f t="shared" si="53"/>
        <v>0</v>
      </c>
      <c r="AO55" s="35">
        <f t="shared" si="53"/>
        <v>0</v>
      </c>
      <c r="AP55" s="35">
        <f t="shared" si="53"/>
        <v>0</v>
      </c>
      <c r="AQ55" s="35">
        <f t="shared" si="53"/>
        <v>0</v>
      </c>
      <c r="AR55" s="35">
        <f t="shared" si="53"/>
        <v>0</v>
      </c>
      <c r="AS55" s="35">
        <f t="shared" si="53"/>
        <v>0</v>
      </c>
      <c r="AT55" s="35">
        <f t="shared" si="53"/>
        <v>0</v>
      </c>
      <c r="AU55" s="35">
        <f t="shared" si="53"/>
        <v>0</v>
      </c>
      <c r="AV55" s="35">
        <f t="shared" si="53"/>
        <v>0</v>
      </c>
      <c r="AW55" s="35">
        <f t="shared" si="53"/>
        <v>0</v>
      </c>
      <c r="AX55" s="35">
        <f t="shared" si="53"/>
        <v>0</v>
      </c>
      <c r="AY55" s="35">
        <f t="shared" si="53"/>
        <v>0</v>
      </c>
      <c r="AZ55" s="35">
        <f t="shared" si="53"/>
        <v>0</v>
      </c>
      <c r="BA55" s="35">
        <f t="shared" si="53"/>
        <v>0</v>
      </c>
      <c r="BB55" s="35">
        <f t="shared" si="53"/>
        <v>0</v>
      </c>
      <c r="BC55" s="35">
        <f t="shared" si="53"/>
        <v>0</v>
      </c>
      <c r="BD55" s="35">
        <f t="shared" si="53"/>
        <v>0</v>
      </c>
      <c r="BE55" s="35">
        <f t="shared" si="53"/>
        <v>0</v>
      </c>
      <c r="BF55" s="35">
        <f t="shared" si="53"/>
        <v>0</v>
      </c>
      <c r="BG55" s="35">
        <f t="shared" si="53"/>
        <v>0</v>
      </c>
      <c r="BH55" s="35">
        <f t="shared" si="53"/>
        <v>0</v>
      </c>
      <c r="BI55" s="35">
        <f t="shared" si="53"/>
        <v>0</v>
      </c>
      <c r="BJ55" s="35">
        <f t="shared" si="53"/>
        <v>0</v>
      </c>
      <c r="BK55" s="35">
        <f t="shared" si="53"/>
        <v>0</v>
      </c>
      <c r="BL55" s="35">
        <f t="shared" si="53"/>
        <v>0</v>
      </c>
      <c r="BM55" s="35">
        <f t="shared" si="53"/>
        <v>0</v>
      </c>
      <c r="BN55" s="35">
        <f t="shared" si="53"/>
        <v>0</v>
      </c>
      <c r="BO55" s="35">
        <f t="shared" si="53"/>
        <v>0</v>
      </c>
      <c r="BP55" s="35">
        <f t="shared" si="53"/>
        <v>0</v>
      </c>
      <c r="BQ55" s="35">
        <f t="shared" si="53"/>
        <v>0</v>
      </c>
      <c r="BR55" s="35">
        <f t="shared" si="53"/>
        <v>0</v>
      </c>
      <c r="BS55" s="35">
        <f t="shared" si="53"/>
        <v>0</v>
      </c>
      <c r="BT55" s="35">
        <f t="shared" si="53"/>
        <v>0</v>
      </c>
      <c r="BU55" s="35">
        <f t="shared" ref="BU55:DY55" si="54">1*(ABS(BU54)&lt;&gt;0)</f>
        <v>0</v>
      </c>
      <c r="BV55" s="35">
        <f t="shared" si="54"/>
        <v>0</v>
      </c>
      <c r="BW55" s="35">
        <f t="shared" si="54"/>
        <v>0</v>
      </c>
      <c r="BX55" s="35">
        <f t="shared" si="54"/>
        <v>0</v>
      </c>
      <c r="BY55" s="35">
        <f t="shared" si="54"/>
        <v>0</v>
      </c>
      <c r="BZ55" s="35">
        <f t="shared" si="54"/>
        <v>0</v>
      </c>
      <c r="CA55" s="35">
        <f t="shared" si="54"/>
        <v>0</v>
      </c>
      <c r="CB55" s="35">
        <f t="shared" si="54"/>
        <v>0</v>
      </c>
      <c r="CC55" s="35">
        <f t="shared" si="54"/>
        <v>0</v>
      </c>
      <c r="CD55" s="35">
        <f t="shared" si="54"/>
        <v>0</v>
      </c>
      <c r="CE55" s="35">
        <f t="shared" si="54"/>
        <v>0</v>
      </c>
      <c r="CF55" s="35">
        <f t="shared" si="54"/>
        <v>0</v>
      </c>
      <c r="CG55" s="35">
        <f t="shared" si="54"/>
        <v>0</v>
      </c>
      <c r="CH55" s="35">
        <f t="shared" si="54"/>
        <v>0</v>
      </c>
      <c r="CI55" s="35">
        <f t="shared" si="54"/>
        <v>0</v>
      </c>
      <c r="CJ55" s="35">
        <f t="shared" si="54"/>
        <v>0</v>
      </c>
      <c r="CK55" s="35">
        <f t="shared" si="54"/>
        <v>0</v>
      </c>
      <c r="CL55" s="35">
        <f t="shared" si="54"/>
        <v>0</v>
      </c>
      <c r="CM55" s="35">
        <f t="shared" si="54"/>
        <v>0</v>
      </c>
      <c r="CN55" s="35">
        <f t="shared" si="54"/>
        <v>0</v>
      </c>
      <c r="CO55" s="35">
        <f t="shared" si="54"/>
        <v>0</v>
      </c>
      <c r="CP55" s="35">
        <f t="shared" si="54"/>
        <v>0</v>
      </c>
      <c r="CQ55" s="35">
        <f t="shared" si="54"/>
        <v>0</v>
      </c>
      <c r="CR55" s="35">
        <f t="shared" si="54"/>
        <v>0</v>
      </c>
      <c r="CS55" s="35">
        <f t="shared" si="54"/>
        <v>0</v>
      </c>
      <c r="CT55" s="35">
        <f t="shared" si="54"/>
        <v>0</v>
      </c>
      <c r="CU55" s="35">
        <f t="shared" si="54"/>
        <v>0</v>
      </c>
      <c r="CV55" s="35">
        <f t="shared" si="54"/>
        <v>0</v>
      </c>
      <c r="CW55" s="35">
        <f t="shared" si="54"/>
        <v>0</v>
      </c>
      <c r="CX55" s="35">
        <f t="shared" si="54"/>
        <v>0</v>
      </c>
      <c r="CY55" s="35">
        <f t="shared" si="54"/>
        <v>0</v>
      </c>
      <c r="CZ55" s="35">
        <f t="shared" si="54"/>
        <v>0</v>
      </c>
      <c r="DA55" s="35">
        <f t="shared" si="54"/>
        <v>0</v>
      </c>
      <c r="DB55" s="35">
        <f t="shared" si="54"/>
        <v>0</v>
      </c>
      <c r="DC55" s="35">
        <f t="shared" si="54"/>
        <v>0</v>
      </c>
      <c r="DD55" s="35">
        <f t="shared" si="54"/>
        <v>0</v>
      </c>
      <c r="DE55" s="35">
        <f t="shared" si="54"/>
        <v>0</v>
      </c>
      <c r="DF55" s="35">
        <f t="shared" si="54"/>
        <v>0</v>
      </c>
      <c r="DG55" s="35">
        <f t="shared" si="54"/>
        <v>0</v>
      </c>
      <c r="DH55" s="35">
        <f t="shared" si="54"/>
        <v>0</v>
      </c>
      <c r="DI55" s="35">
        <f t="shared" si="54"/>
        <v>0</v>
      </c>
      <c r="DJ55" s="35">
        <f t="shared" si="54"/>
        <v>0</v>
      </c>
      <c r="DK55" s="35">
        <f t="shared" si="54"/>
        <v>0</v>
      </c>
      <c r="DL55" s="35">
        <f t="shared" si="54"/>
        <v>0</v>
      </c>
      <c r="DM55" s="35">
        <f t="shared" si="54"/>
        <v>0</v>
      </c>
      <c r="DN55" s="35">
        <f t="shared" si="54"/>
        <v>0</v>
      </c>
      <c r="DO55" s="35">
        <f t="shared" si="54"/>
        <v>0</v>
      </c>
      <c r="DP55" s="35">
        <f t="shared" si="54"/>
        <v>0</v>
      </c>
      <c r="DQ55" s="35">
        <f t="shared" si="54"/>
        <v>0</v>
      </c>
      <c r="DR55" s="35">
        <f t="shared" si="54"/>
        <v>0</v>
      </c>
      <c r="DS55" s="35">
        <f t="shared" si="54"/>
        <v>0</v>
      </c>
      <c r="DT55" s="35">
        <f t="shared" si="54"/>
        <v>0</v>
      </c>
      <c r="DU55" s="35">
        <f t="shared" si="54"/>
        <v>0</v>
      </c>
      <c r="DV55" s="35">
        <f t="shared" si="54"/>
        <v>0</v>
      </c>
      <c r="DW55" s="35">
        <f t="shared" si="54"/>
        <v>0</v>
      </c>
      <c r="DX55" s="35">
        <f t="shared" si="54"/>
        <v>0</v>
      </c>
      <c r="DY55" s="35">
        <f t="shared" si="54"/>
        <v>0</v>
      </c>
    </row>
    <row r="56" spans="1:129" ht="13.8">
      <c r="B56" s="15"/>
      <c r="C56" s="7"/>
      <c r="D56" s="10"/>
    </row>
    <row r="57" spans="1:129" ht="13.8">
      <c r="B57" s="15" t="s">
        <v>87</v>
      </c>
      <c r="C57" s="7"/>
      <c r="D57" s="10"/>
    </row>
    <row r="58" spans="1:129" ht="13.8">
      <c r="C58" s="7" t="s">
        <v>14</v>
      </c>
      <c r="D58" s="10" t="s">
        <v>0</v>
      </c>
      <c r="G58" s="23">
        <f>SUM(I58:DY58)</f>
        <v>51600000</v>
      </c>
      <c r="I58" s="3">
        <f t="shared" ref="I58:BT58" si="55">I28</f>
        <v>0</v>
      </c>
      <c r="J58" s="3">
        <f t="shared" si="55"/>
        <v>350000</v>
      </c>
      <c r="K58" s="3">
        <f t="shared" si="55"/>
        <v>350000</v>
      </c>
      <c r="L58" s="3">
        <f t="shared" si="55"/>
        <v>350000</v>
      </c>
      <c r="M58" s="3">
        <f t="shared" si="55"/>
        <v>350000</v>
      </c>
      <c r="N58" s="3">
        <f t="shared" si="55"/>
        <v>350000</v>
      </c>
      <c r="O58" s="3">
        <f t="shared" si="55"/>
        <v>350000</v>
      </c>
      <c r="P58" s="3">
        <f t="shared" si="55"/>
        <v>350000</v>
      </c>
      <c r="Q58" s="3">
        <f t="shared" si="55"/>
        <v>350000</v>
      </c>
      <c r="R58" s="3">
        <f t="shared" si="55"/>
        <v>350000</v>
      </c>
      <c r="S58" s="3">
        <f t="shared" si="55"/>
        <v>350000</v>
      </c>
      <c r="T58" s="3">
        <f t="shared" si="55"/>
        <v>350000</v>
      </c>
      <c r="U58" s="3">
        <f t="shared" si="55"/>
        <v>350000</v>
      </c>
      <c r="V58" s="3">
        <f t="shared" si="55"/>
        <v>350000</v>
      </c>
      <c r="W58" s="3">
        <f t="shared" si="55"/>
        <v>350000</v>
      </c>
      <c r="X58" s="3">
        <f t="shared" si="55"/>
        <v>350000</v>
      </c>
      <c r="Y58" s="3">
        <f t="shared" si="55"/>
        <v>350000</v>
      </c>
      <c r="Z58" s="3">
        <f t="shared" si="55"/>
        <v>350000</v>
      </c>
      <c r="AA58" s="3">
        <f t="shared" si="55"/>
        <v>350000</v>
      </c>
      <c r="AB58" s="3">
        <f t="shared" si="55"/>
        <v>350000</v>
      </c>
      <c r="AC58" s="3">
        <f t="shared" si="55"/>
        <v>350000</v>
      </c>
      <c r="AD58" s="3">
        <f t="shared" si="55"/>
        <v>380000</v>
      </c>
      <c r="AE58" s="3">
        <f t="shared" si="55"/>
        <v>380000</v>
      </c>
      <c r="AF58" s="3">
        <f t="shared" si="55"/>
        <v>380000</v>
      </c>
      <c r="AG58" s="3">
        <f t="shared" si="55"/>
        <v>380000</v>
      </c>
      <c r="AH58" s="3">
        <f t="shared" si="55"/>
        <v>380000</v>
      </c>
      <c r="AI58" s="3">
        <f t="shared" si="55"/>
        <v>380000</v>
      </c>
      <c r="AJ58" s="3">
        <f t="shared" si="55"/>
        <v>380000</v>
      </c>
      <c r="AK58" s="3">
        <f t="shared" si="55"/>
        <v>380000</v>
      </c>
      <c r="AL58" s="3">
        <f t="shared" si="55"/>
        <v>380000</v>
      </c>
      <c r="AM58" s="3">
        <f t="shared" si="55"/>
        <v>380000</v>
      </c>
      <c r="AN58" s="3">
        <f t="shared" si="55"/>
        <v>380000</v>
      </c>
      <c r="AO58" s="3">
        <f t="shared" si="55"/>
        <v>380000</v>
      </c>
      <c r="AP58" s="3">
        <f t="shared" si="55"/>
        <v>380000</v>
      </c>
      <c r="AQ58" s="3">
        <f t="shared" si="55"/>
        <v>380000</v>
      </c>
      <c r="AR58" s="3">
        <f t="shared" si="55"/>
        <v>380000</v>
      </c>
      <c r="AS58" s="3">
        <f t="shared" si="55"/>
        <v>380000</v>
      </c>
      <c r="AT58" s="3">
        <f t="shared" si="55"/>
        <v>380000</v>
      </c>
      <c r="AU58" s="3">
        <f t="shared" si="55"/>
        <v>380000</v>
      </c>
      <c r="AV58" s="3">
        <f t="shared" si="55"/>
        <v>380000</v>
      </c>
      <c r="AW58" s="3">
        <f t="shared" si="55"/>
        <v>380000</v>
      </c>
      <c r="AX58" s="3">
        <f t="shared" si="55"/>
        <v>400000</v>
      </c>
      <c r="AY58" s="3">
        <f t="shared" si="55"/>
        <v>400000</v>
      </c>
      <c r="AZ58" s="3">
        <f t="shared" si="55"/>
        <v>400000</v>
      </c>
      <c r="BA58" s="3">
        <f t="shared" si="55"/>
        <v>400000</v>
      </c>
      <c r="BB58" s="3">
        <f t="shared" si="55"/>
        <v>400000</v>
      </c>
      <c r="BC58" s="3">
        <f t="shared" si="55"/>
        <v>400000</v>
      </c>
      <c r="BD58" s="3">
        <f t="shared" si="55"/>
        <v>400000</v>
      </c>
      <c r="BE58" s="3">
        <f t="shared" si="55"/>
        <v>400000</v>
      </c>
      <c r="BF58" s="3">
        <f t="shared" si="55"/>
        <v>400000</v>
      </c>
      <c r="BG58" s="3">
        <f t="shared" si="55"/>
        <v>400000</v>
      </c>
      <c r="BH58" s="3">
        <f t="shared" si="55"/>
        <v>400000</v>
      </c>
      <c r="BI58" s="3">
        <f t="shared" si="55"/>
        <v>400000</v>
      </c>
      <c r="BJ58" s="3">
        <f t="shared" si="55"/>
        <v>400000</v>
      </c>
      <c r="BK58" s="3">
        <f t="shared" si="55"/>
        <v>400000</v>
      </c>
      <c r="BL58" s="3">
        <f t="shared" si="55"/>
        <v>400000</v>
      </c>
      <c r="BM58" s="3">
        <f t="shared" si="55"/>
        <v>400000</v>
      </c>
      <c r="BN58" s="3">
        <f t="shared" si="55"/>
        <v>400000</v>
      </c>
      <c r="BO58" s="3">
        <f t="shared" si="55"/>
        <v>400000</v>
      </c>
      <c r="BP58" s="3">
        <f t="shared" si="55"/>
        <v>400000</v>
      </c>
      <c r="BQ58" s="3">
        <f t="shared" si="55"/>
        <v>400000</v>
      </c>
      <c r="BR58" s="3">
        <f t="shared" si="55"/>
        <v>450000</v>
      </c>
      <c r="BS58" s="3">
        <f t="shared" si="55"/>
        <v>450000</v>
      </c>
      <c r="BT58" s="3">
        <f t="shared" si="55"/>
        <v>450000</v>
      </c>
      <c r="BU58" s="3">
        <f t="shared" ref="BU58:DY58" si="56">BU28</f>
        <v>450000</v>
      </c>
      <c r="BV58" s="3">
        <f t="shared" si="56"/>
        <v>450000</v>
      </c>
      <c r="BW58" s="3">
        <f t="shared" si="56"/>
        <v>450000</v>
      </c>
      <c r="BX58" s="3">
        <f t="shared" si="56"/>
        <v>450000</v>
      </c>
      <c r="BY58" s="3">
        <f t="shared" si="56"/>
        <v>450000</v>
      </c>
      <c r="BZ58" s="3">
        <f t="shared" si="56"/>
        <v>450000</v>
      </c>
      <c r="CA58" s="3">
        <f t="shared" si="56"/>
        <v>450000</v>
      </c>
      <c r="CB58" s="3">
        <f t="shared" si="56"/>
        <v>450000</v>
      </c>
      <c r="CC58" s="3">
        <f t="shared" si="56"/>
        <v>450000</v>
      </c>
      <c r="CD58" s="3">
        <f t="shared" si="56"/>
        <v>450000</v>
      </c>
      <c r="CE58" s="3">
        <f t="shared" si="56"/>
        <v>450000</v>
      </c>
      <c r="CF58" s="3">
        <f t="shared" si="56"/>
        <v>450000</v>
      </c>
      <c r="CG58" s="3">
        <f t="shared" si="56"/>
        <v>450000</v>
      </c>
      <c r="CH58" s="3">
        <f t="shared" si="56"/>
        <v>450000</v>
      </c>
      <c r="CI58" s="3">
        <f t="shared" si="56"/>
        <v>450000</v>
      </c>
      <c r="CJ58" s="3">
        <f t="shared" si="56"/>
        <v>450000</v>
      </c>
      <c r="CK58" s="3">
        <f t="shared" si="56"/>
        <v>450000</v>
      </c>
      <c r="CL58" s="3">
        <f t="shared" si="56"/>
        <v>500000</v>
      </c>
      <c r="CM58" s="3">
        <f t="shared" si="56"/>
        <v>500000</v>
      </c>
      <c r="CN58" s="3">
        <f t="shared" si="56"/>
        <v>500000</v>
      </c>
      <c r="CO58" s="3">
        <f t="shared" si="56"/>
        <v>500000</v>
      </c>
      <c r="CP58" s="3">
        <f t="shared" si="56"/>
        <v>500000</v>
      </c>
      <c r="CQ58" s="3">
        <f t="shared" si="56"/>
        <v>500000</v>
      </c>
      <c r="CR58" s="3">
        <f t="shared" si="56"/>
        <v>500000</v>
      </c>
      <c r="CS58" s="3">
        <f t="shared" si="56"/>
        <v>500000</v>
      </c>
      <c r="CT58" s="3">
        <f t="shared" si="56"/>
        <v>500000</v>
      </c>
      <c r="CU58" s="3">
        <f t="shared" si="56"/>
        <v>500000</v>
      </c>
      <c r="CV58" s="3">
        <f t="shared" si="56"/>
        <v>500000</v>
      </c>
      <c r="CW58" s="3">
        <f t="shared" si="56"/>
        <v>500000</v>
      </c>
      <c r="CX58" s="3">
        <f t="shared" si="56"/>
        <v>500000</v>
      </c>
      <c r="CY58" s="3">
        <f t="shared" si="56"/>
        <v>500000</v>
      </c>
      <c r="CZ58" s="3">
        <f t="shared" si="56"/>
        <v>500000</v>
      </c>
      <c r="DA58" s="3">
        <f t="shared" si="56"/>
        <v>500000</v>
      </c>
      <c r="DB58" s="3">
        <f t="shared" si="56"/>
        <v>500000</v>
      </c>
      <c r="DC58" s="3">
        <f t="shared" si="56"/>
        <v>500000</v>
      </c>
      <c r="DD58" s="3">
        <f t="shared" si="56"/>
        <v>500000</v>
      </c>
      <c r="DE58" s="3">
        <f t="shared" si="56"/>
        <v>500000</v>
      </c>
      <c r="DF58" s="3">
        <f t="shared" si="56"/>
        <v>500000</v>
      </c>
      <c r="DG58" s="3">
        <f t="shared" si="56"/>
        <v>500000</v>
      </c>
      <c r="DH58" s="3">
        <f t="shared" si="56"/>
        <v>500000</v>
      </c>
      <c r="DI58" s="3">
        <f t="shared" si="56"/>
        <v>500000</v>
      </c>
      <c r="DJ58" s="3">
        <f t="shared" si="56"/>
        <v>500000</v>
      </c>
      <c r="DK58" s="3">
        <f t="shared" si="56"/>
        <v>500000</v>
      </c>
      <c r="DL58" s="3">
        <f t="shared" si="56"/>
        <v>500000</v>
      </c>
      <c r="DM58" s="3">
        <f t="shared" si="56"/>
        <v>500000</v>
      </c>
      <c r="DN58" s="3">
        <f t="shared" si="56"/>
        <v>500000</v>
      </c>
      <c r="DO58" s="3">
        <f t="shared" si="56"/>
        <v>500000</v>
      </c>
      <c r="DP58" s="3">
        <f t="shared" si="56"/>
        <v>500000</v>
      </c>
      <c r="DQ58" s="3">
        <f t="shared" si="56"/>
        <v>500000</v>
      </c>
      <c r="DR58" s="3">
        <f t="shared" si="56"/>
        <v>500000</v>
      </c>
      <c r="DS58" s="3">
        <f t="shared" si="56"/>
        <v>500000</v>
      </c>
      <c r="DT58" s="3">
        <f t="shared" si="56"/>
        <v>500000</v>
      </c>
      <c r="DU58" s="3">
        <f t="shared" si="56"/>
        <v>500000</v>
      </c>
      <c r="DV58" s="3">
        <f t="shared" si="56"/>
        <v>500000</v>
      </c>
      <c r="DW58" s="3">
        <f t="shared" si="56"/>
        <v>500000</v>
      </c>
      <c r="DX58" s="3">
        <f t="shared" si="56"/>
        <v>500000</v>
      </c>
      <c r="DY58" s="3">
        <f t="shared" si="56"/>
        <v>500000</v>
      </c>
    </row>
    <row r="59" spans="1:129" ht="13.8">
      <c r="C59" s="7" t="s">
        <v>88</v>
      </c>
      <c r="D59" s="10" t="s">
        <v>0</v>
      </c>
      <c r="F59" s="38">
        <f>F52</f>
        <v>1.9915468776616363</v>
      </c>
      <c r="I59" s="37">
        <f t="shared" ref="I59:BT59" si="57">$F$59*I18</f>
        <v>0</v>
      </c>
      <c r="J59" s="37">
        <f t="shared" si="57"/>
        <v>1.9915468776616363</v>
      </c>
      <c r="K59" s="37">
        <f t="shared" si="57"/>
        <v>1.9915468776616363</v>
      </c>
      <c r="L59" s="37">
        <f t="shared" si="57"/>
        <v>1.9915468776616363</v>
      </c>
      <c r="M59" s="37">
        <f t="shared" si="57"/>
        <v>1.9915468776616363</v>
      </c>
      <c r="N59" s="37">
        <f t="shared" si="57"/>
        <v>1.9915468776616363</v>
      </c>
      <c r="O59" s="37">
        <f t="shared" si="57"/>
        <v>1.9915468776616363</v>
      </c>
      <c r="P59" s="37">
        <f t="shared" si="57"/>
        <v>1.9915468776616363</v>
      </c>
      <c r="Q59" s="37">
        <f t="shared" si="57"/>
        <v>1.9915468776616363</v>
      </c>
      <c r="R59" s="37">
        <f t="shared" si="57"/>
        <v>1.9915468776616363</v>
      </c>
      <c r="S59" s="37">
        <f t="shared" si="57"/>
        <v>1.9915468776616363</v>
      </c>
      <c r="T59" s="37">
        <f t="shared" si="57"/>
        <v>1.9915468776616363</v>
      </c>
      <c r="U59" s="37">
        <f t="shared" si="57"/>
        <v>1.9915468776616363</v>
      </c>
      <c r="V59" s="37">
        <f t="shared" si="57"/>
        <v>1.9915468776616363</v>
      </c>
      <c r="W59" s="37">
        <f t="shared" si="57"/>
        <v>1.9915468776616363</v>
      </c>
      <c r="X59" s="37">
        <f t="shared" si="57"/>
        <v>1.9915468776616363</v>
      </c>
      <c r="Y59" s="37">
        <f t="shared" si="57"/>
        <v>1.9915468776616363</v>
      </c>
      <c r="Z59" s="37">
        <f t="shared" si="57"/>
        <v>1.9915468776616363</v>
      </c>
      <c r="AA59" s="37">
        <f t="shared" si="57"/>
        <v>1.9915468776616363</v>
      </c>
      <c r="AB59" s="37">
        <f t="shared" si="57"/>
        <v>1.9915468776616363</v>
      </c>
      <c r="AC59" s="37">
        <f t="shared" si="57"/>
        <v>1.9915468776616363</v>
      </c>
      <c r="AD59" s="37">
        <f t="shared" si="57"/>
        <v>1.9915468776616363</v>
      </c>
      <c r="AE59" s="37">
        <f t="shared" si="57"/>
        <v>1.9915468776616363</v>
      </c>
      <c r="AF59" s="37">
        <f t="shared" si="57"/>
        <v>1.9915468776616363</v>
      </c>
      <c r="AG59" s="37">
        <f t="shared" si="57"/>
        <v>1.9915468776616363</v>
      </c>
      <c r="AH59" s="37">
        <f t="shared" si="57"/>
        <v>1.9915468776616363</v>
      </c>
      <c r="AI59" s="37">
        <f t="shared" si="57"/>
        <v>1.9915468776616363</v>
      </c>
      <c r="AJ59" s="37">
        <f t="shared" si="57"/>
        <v>1.9915468776616363</v>
      </c>
      <c r="AK59" s="37">
        <f t="shared" si="57"/>
        <v>1.9915468776616363</v>
      </c>
      <c r="AL59" s="37">
        <f t="shared" si="57"/>
        <v>1.9915468776616363</v>
      </c>
      <c r="AM59" s="37">
        <f t="shared" si="57"/>
        <v>1.9915468776616363</v>
      </c>
      <c r="AN59" s="37">
        <f t="shared" si="57"/>
        <v>1.9915468776616363</v>
      </c>
      <c r="AO59" s="37">
        <f t="shared" si="57"/>
        <v>1.9915468776616363</v>
      </c>
      <c r="AP59" s="37">
        <f t="shared" si="57"/>
        <v>1.9915468776616363</v>
      </c>
      <c r="AQ59" s="37">
        <f t="shared" si="57"/>
        <v>1.9915468776616363</v>
      </c>
      <c r="AR59" s="37">
        <f t="shared" si="57"/>
        <v>1.9915468776616363</v>
      </c>
      <c r="AS59" s="37">
        <f t="shared" si="57"/>
        <v>1.9915468776616363</v>
      </c>
      <c r="AT59" s="37">
        <f t="shared" si="57"/>
        <v>1.9915468776616363</v>
      </c>
      <c r="AU59" s="37">
        <f t="shared" si="57"/>
        <v>1.9915468776616363</v>
      </c>
      <c r="AV59" s="37">
        <f t="shared" si="57"/>
        <v>1.9915468776616363</v>
      </c>
      <c r="AW59" s="37">
        <f t="shared" si="57"/>
        <v>1.9915468776616363</v>
      </c>
      <c r="AX59" s="37">
        <f t="shared" si="57"/>
        <v>1.9915468776616363</v>
      </c>
      <c r="AY59" s="37">
        <f t="shared" si="57"/>
        <v>1.9915468776616363</v>
      </c>
      <c r="AZ59" s="37">
        <f t="shared" si="57"/>
        <v>1.9915468776616363</v>
      </c>
      <c r="BA59" s="37">
        <f t="shared" si="57"/>
        <v>1.9915468776616363</v>
      </c>
      <c r="BB59" s="37">
        <f t="shared" si="57"/>
        <v>1.9915468776616363</v>
      </c>
      <c r="BC59" s="37">
        <f t="shared" si="57"/>
        <v>1.9915468776616363</v>
      </c>
      <c r="BD59" s="37">
        <f t="shared" si="57"/>
        <v>1.9915468776616363</v>
      </c>
      <c r="BE59" s="37">
        <f t="shared" si="57"/>
        <v>1.9915468776616363</v>
      </c>
      <c r="BF59" s="37">
        <f t="shared" si="57"/>
        <v>1.9915468776616363</v>
      </c>
      <c r="BG59" s="37">
        <f t="shared" si="57"/>
        <v>1.9915468776616363</v>
      </c>
      <c r="BH59" s="37">
        <f t="shared" si="57"/>
        <v>1.9915468776616363</v>
      </c>
      <c r="BI59" s="37">
        <f t="shared" si="57"/>
        <v>1.9915468776616363</v>
      </c>
      <c r="BJ59" s="37">
        <f t="shared" si="57"/>
        <v>1.9915468776616363</v>
      </c>
      <c r="BK59" s="37">
        <f t="shared" si="57"/>
        <v>1.9915468776616363</v>
      </c>
      <c r="BL59" s="37">
        <f t="shared" si="57"/>
        <v>1.9915468776616363</v>
      </c>
      <c r="BM59" s="37">
        <f t="shared" si="57"/>
        <v>1.9915468776616363</v>
      </c>
      <c r="BN59" s="37">
        <f t="shared" si="57"/>
        <v>1.9915468776616363</v>
      </c>
      <c r="BO59" s="37">
        <f t="shared" si="57"/>
        <v>1.9915468776616363</v>
      </c>
      <c r="BP59" s="37">
        <f t="shared" si="57"/>
        <v>1.9915468776616363</v>
      </c>
      <c r="BQ59" s="37">
        <f t="shared" si="57"/>
        <v>1.9915468776616363</v>
      </c>
      <c r="BR59" s="37">
        <f t="shared" si="57"/>
        <v>1.9915468776616363</v>
      </c>
      <c r="BS59" s="37">
        <f t="shared" si="57"/>
        <v>1.9915468776616363</v>
      </c>
      <c r="BT59" s="37">
        <f t="shared" si="57"/>
        <v>1.9915468776616363</v>
      </c>
      <c r="BU59" s="37">
        <f t="shared" ref="BU59:DY59" si="58">$F$59*BU18</f>
        <v>1.9915468776616363</v>
      </c>
      <c r="BV59" s="37">
        <f t="shared" si="58"/>
        <v>1.9915468776616363</v>
      </c>
      <c r="BW59" s="37">
        <f t="shared" si="58"/>
        <v>1.9915468776616363</v>
      </c>
      <c r="BX59" s="37">
        <f t="shared" si="58"/>
        <v>1.9915468776616363</v>
      </c>
      <c r="BY59" s="37">
        <f t="shared" si="58"/>
        <v>1.9915468776616363</v>
      </c>
      <c r="BZ59" s="37">
        <f t="shared" si="58"/>
        <v>1.9915468776616363</v>
      </c>
      <c r="CA59" s="37">
        <f t="shared" si="58"/>
        <v>1.9915468776616363</v>
      </c>
      <c r="CB59" s="37">
        <f t="shared" si="58"/>
        <v>1.9915468776616363</v>
      </c>
      <c r="CC59" s="37">
        <f t="shared" si="58"/>
        <v>1.9915468776616363</v>
      </c>
      <c r="CD59" s="37">
        <f t="shared" si="58"/>
        <v>1.9915468776616363</v>
      </c>
      <c r="CE59" s="37">
        <f t="shared" si="58"/>
        <v>1.9915468776616363</v>
      </c>
      <c r="CF59" s="37">
        <f t="shared" si="58"/>
        <v>1.9915468776616363</v>
      </c>
      <c r="CG59" s="37">
        <f t="shared" si="58"/>
        <v>1.9915468776616363</v>
      </c>
      <c r="CH59" s="37">
        <f t="shared" si="58"/>
        <v>1.9915468776616363</v>
      </c>
      <c r="CI59" s="37">
        <f t="shared" si="58"/>
        <v>1.9915468776616363</v>
      </c>
      <c r="CJ59" s="37">
        <f t="shared" si="58"/>
        <v>1.9915468776616363</v>
      </c>
      <c r="CK59" s="37">
        <f t="shared" si="58"/>
        <v>1.9915468776616363</v>
      </c>
      <c r="CL59" s="37">
        <f t="shared" si="58"/>
        <v>1.9915468776616363</v>
      </c>
      <c r="CM59" s="37">
        <f t="shared" si="58"/>
        <v>1.9915468776616363</v>
      </c>
      <c r="CN59" s="37">
        <f t="shared" si="58"/>
        <v>1.9915468776616363</v>
      </c>
      <c r="CO59" s="37">
        <f t="shared" si="58"/>
        <v>1.9915468776616363</v>
      </c>
      <c r="CP59" s="37">
        <f t="shared" si="58"/>
        <v>1.9915468776616363</v>
      </c>
      <c r="CQ59" s="37">
        <f t="shared" si="58"/>
        <v>1.9915468776616363</v>
      </c>
      <c r="CR59" s="37">
        <f t="shared" si="58"/>
        <v>1.9915468776616363</v>
      </c>
      <c r="CS59" s="37">
        <f t="shared" si="58"/>
        <v>1.9915468776616363</v>
      </c>
      <c r="CT59" s="37">
        <f t="shared" si="58"/>
        <v>1.9915468776616363</v>
      </c>
      <c r="CU59" s="37">
        <f t="shared" si="58"/>
        <v>1.9915468776616363</v>
      </c>
      <c r="CV59" s="37">
        <f t="shared" si="58"/>
        <v>1.9915468776616363</v>
      </c>
      <c r="CW59" s="37">
        <f t="shared" si="58"/>
        <v>1.9915468776616363</v>
      </c>
      <c r="CX59" s="37">
        <f t="shared" si="58"/>
        <v>1.9915468776616363</v>
      </c>
      <c r="CY59" s="37">
        <f t="shared" si="58"/>
        <v>1.9915468776616363</v>
      </c>
      <c r="CZ59" s="37">
        <f t="shared" si="58"/>
        <v>1.9915468776616363</v>
      </c>
      <c r="DA59" s="37">
        <f t="shared" si="58"/>
        <v>1.9915468776616363</v>
      </c>
      <c r="DB59" s="37">
        <f t="shared" si="58"/>
        <v>1.9915468776616363</v>
      </c>
      <c r="DC59" s="37">
        <f t="shared" si="58"/>
        <v>1.9915468776616363</v>
      </c>
      <c r="DD59" s="37">
        <f t="shared" si="58"/>
        <v>1.9915468776616363</v>
      </c>
      <c r="DE59" s="37">
        <f t="shared" si="58"/>
        <v>1.9915468776616363</v>
      </c>
      <c r="DF59" s="37">
        <f t="shared" si="58"/>
        <v>0</v>
      </c>
      <c r="DG59" s="37">
        <f t="shared" si="58"/>
        <v>0</v>
      </c>
      <c r="DH59" s="37">
        <f t="shared" si="58"/>
        <v>0</v>
      </c>
      <c r="DI59" s="37">
        <f t="shared" si="58"/>
        <v>0</v>
      </c>
      <c r="DJ59" s="37">
        <f t="shared" si="58"/>
        <v>0</v>
      </c>
      <c r="DK59" s="37">
        <f t="shared" si="58"/>
        <v>0</v>
      </c>
      <c r="DL59" s="37">
        <f t="shared" si="58"/>
        <v>0</v>
      </c>
      <c r="DM59" s="37">
        <f t="shared" si="58"/>
        <v>0</v>
      </c>
      <c r="DN59" s="37">
        <f t="shared" si="58"/>
        <v>0</v>
      </c>
      <c r="DO59" s="37">
        <f t="shared" si="58"/>
        <v>0</v>
      </c>
      <c r="DP59" s="37">
        <f t="shared" si="58"/>
        <v>0</v>
      </c>
      <c r="DQ59" s="37">
        <f t="shared" si="58"/>
        <v>0</v>
      </c>
      <c r="DR59" s="37">
        <f t="shared" si="58"/>
        <v>0</v>
      </c>
      <c r="DS59" s="37">
        <f t="shared" si="58"/>
        <v>0</v>
      </c>
      <c r="DT59" s="37">
        <f t="shared" si="58"/>
        <v>0</v>
      </c>
      <c r="DU59" s="37">
        <f t="shared" si="58"/>
        <v>0</v>
      </c>
      <c r="DV59" s="37">
        <f t="shared" si="58"/>
        <v>0</v>
      </c>
      <c r="DW59" s="37">
        <f t="shared" si="58"/>
        <v>0</v>
      </c>
      <c r="DX59" s="37">
        <f t="shared" si="58"/>
        <v>0</v>
      </c>
      <c r="DY59" s="37">
        <f t="shared" si="58"/>
        <v>0</v>
      </c>
    </row>
    <row r="60" spans="1:129" ht="13.8">
      <c r="C60" s="7" t="s">
        <v>89</v>
      </c>
      <c r="D60" s="10" t="s">
        <v>0</v>
      </c>
      <c r="G60" s="23">
        <f>SUM(I60:DY60)</f>
        <v>20888285.616879065</v>
      </c>
      <c r="I60" s="3">
        <f t="shared" ref="I60:BT60" si="59">IF(I59,I58/I59,0)</f>
        <v>0</v>
      </c>
      <c r="J60" s="3">
        <f t="shared" si="59"/>
        <v>175742.78764201151</v>
      </c>
      <c r="K60" s="3">
        <f t="shared" si="59"/>
        <v>175742.78764201151</v>
      </c>
      <c r="L60" s="3">
        <f t="shared" si="59"/>
        <v>175742.78764201151</v>
      </c>
      <c r="M60" s="3">
        <f t="shared" si="59"/>
        <v>175742.78764201151</v>
      </c>
      <c r="N60" s="3">
        <f t="shared" si="59"/>
        <v>175742.78764201151</v>
      </c>
      <c r="O60" s="3">
        <f t="shared" si="59"/>
        <v>175742.78764201151</v>
      </c>
      <c r="P60" s="3">
        <f t="shared" si="59"/>
        <v>175742.78764201151</v>
      </c>
      <c r="Q60" s="3">
        <f t="shared" si="59"/>
        <v>175742.78764201151</v>
      </c>
      <c r="R60" s="3">
        <f t="shared" si="59"/>
        <v>175742.78764201151</v>
      </c>
      <c r="S60" s="3">
        <f t="shared" si="59"/>
        <v>175742.78764201151</v>
      </c>
      <c r="T60" s="3">
        <f t="shared" si="59"/>
        <v>175742.78764201151</v>
      </c>
      <c r="U60" s="3">
        <f t="shared" si="59"/>
        <v>175742.78764201151</v>
      </c>
      <c r="V60" s="3">
        <f t="shared" si="59"/>
        <v>175742.78764201151</v>
      </c>
      <c r="W60" s="3">
        <f t="shared" si="59"/>
        <v>175742.78764201151</v>
      </c>
      <c r="X60" s="3">
        <f t="shared" si="59"/>
        <v>175742.78764201151</v>
      </c>
      <c r="Y60" s="3">
        <f t="shared" si="59"/>
        <v>175742.78764201151</v>
      </c>
      <c r="Z60" s="3">
        <f t="shared" si="59"/>
        <v>175742.78764201151</v>
      </c>
      <c r="AA60" s="3">
        <f t="shared" si="59"/>
        <v>175742.78764201151</v>
      </c>
      <c r="AB60" s="3">
        <f t="shared" si="59"/>
        <v>175742.78764201151</v>
      </c>
      <c r="AC60" s="3">
        <f t="shared" si="59"/>
        <v>175742.78764201151</v>
      </c>
      <c r="AD60" s="3">
        <f t="shared" si="59"/>
        <v>190806.4551541839</v>
      </c>
      <c r="AE60" s="3">
        <f t="shared" si="59"/>
        <v>190806.4551541839</v>
      </c>
      <c r="AF60" s="3">
        <f t="shared" si="59"/>
        <v>190806.4551541839</v>
      </c>
      <c r="AG60" s="3">
        <f t="shared" si="59"/>
        <v>190806.4551541839</v>
      </c>
      <c r="AH60" s="3">
        <f t="shared" si="59"/>
        <v>190806.4551541839</v>
      </c>
      <c r="AI60" s="3">
        <f t="shared" si="59"/>
        <v>190806.4551541839</v>
      </c>
      <c r="AJ60" s="3">
        <f t="shared" si="59"/>
        <v>190806.4551541839</v>
      </c>
      <c r="AK60" s="3">
        <f t="shared" si="59"/>
        <v>190806.4551541839</v>
      </c>
      <c r="AL60" s="3">
        <f t="shared" si="59"/>
        <v>190806.4551541839</v>
      </c>
      <c r="AM60" s="3">
        <f t="shared" si="59"/>
        <v>190806.4551541839</v>
      </c>
      <c r="AN60" s="3">
        <f t="shared" si="59"/>
        <v>190806.4551541839</v>
      </c>
      <c r="AO60" s="3">
        <f t="shared" si="59"/>
        <v>190806.4551541839</v>
      </c>
      <c r="AP60" s="3">
        <f t="shared" si="59"/>
        <v>190806.4551541839</v>
      </c>
      <c r="AQ60" s="3">
        <f t="shared" si="59"/>
        <v>190806.4551541839</v>
      </c>
      <c r="AR60" s="3">
        <f t="shared" si="59"/>
        <v>190806.4551541839</v>
      </c>
      <c r="AS60" s="3">
        <f t="shared" si="59"/>
        <v>190806.4551541839</v>
      </c>
      <c r="AT60" s="3">
        <f t="shared" si="59"/>
        <v>190806.4551541839</v>
      </c>
      <c r="AU60" s="3">
        <f t="shared" si="59"/>
        <v>190806.4551541839</v>
      </c>
      <c r="AV60" s="3">
        <f t="shared" si="59"/>
        <v>190806.4551541839</v>
      </c>
      <c r="AW60" s="3">
        <f t="shared" si="59"/>
        <v>190806.4551541839</v>
      </c>
      <c r="AX60" s="3">
        <f t="shared" si="59"/>
        <v>200848.90016229884</v>
      </c>
      <c r="AY60" s="3">
        <f t="shared" si="59"/>
        <v>200848.90016229884</v>
      </c>
      <c r="AZ60" s="3">
        <f t="shared" si="59"/>
        <v>200848.90016229884</v>
      </c>
      <c r="BA60" s="3">
        <f t="shared" si="59"/>
        <v>200848.90016229884</v>
      </c>
      <c r="BB60" s="3">
        <f t="shared" si="59"/>
        <v>200848.90016229884</v>
      </c>
      <c r="BC60" s="3">
        <f t="shared" si="59"/>
        <v>200848.90016229884</v>
      </c>
      <c r="BD60" s="3">
        <f t="shared" si="59"/>
        <v>200848.90016229884</v>
      </c>
      <c r="BE60" s="3">
        <f t="shared" si="59"/>
        <v>200848.90016229884</v>
      </c>
      <c r="BF60" s="3">
        <f t="shared" si="59"/>
        <v>200848.90016229884</v>
      </c>
      <c r="BG60" s="3">
        <f t="shared" si="59"/>
        <v>200848.90016229884</v>
      </c>
      <c r="BH60" s="3">
        <f t="shared" si="59"/>
        <v>200848.90016229884</v>
      </c>
      <c r="BI60" s="3">
        <f t="shared" si="59"/>
        <v>200848.90016229884</v>
      </c>
      <c r="BJ60" s="3">
        <f t="shared" si="59"/>
        <v>200848.90016229884</v>
      </c>
      <c r="BK60" s="3">
        <f t="shared" si="59"/>
        <v>200848.90016229884</v>
      </c>
      <c r="BL60" s="3">
        <f t="shared" si="59"/>
        <v>200848.90016229884</v>
      </c>
      <c r="BM60" s="3">
        <f t="shared" si="59"/>
        <v>200848.90016229884</v>
      </c>
      <c r="BN60" s="3">
        <f t="shared" si="59"/>
        <v>200848.90016229884</v>
      </c>
      <c r="BO60" s="3">
        <f t="shared" si="59"/>
        <v>200848.90016229884</v>
      </c>
      <c r="BP60" s="3">
        <f t="shared" si="59"/>
        <v>200848.90016229884</v>
      </c>
      <c r="BQ60" s="3">
        <f t="shared" si="59"/>
        <v>200848.90016229884</v>
      </c>
      <c r="BR60" s="3">
        <f t="shared" si="59"/>
        <v>225955.01268258621</v>
      </c>
      <c r="BS60" s="3">
        <f t="shared" si="59"/>
        <v>225955.01268258621</v>
      </c>
      <c r="BT60" s="3">
        <f t="shared" si="59"/>
        <v>225955.01268258621</v>
      </c>
      <c r="BU60" s="3">
        <f t="shared" ref="BU60:DY60" si="60">IF(BU59,BU58/BU59,0)</f>
        <v>225955.01268258621</v>
      </c>
      <c r="BV60" s="3">
        <f t="shared" si="60"/>
        <v>225955.01268258621</v>
      </c>
      <c r="BW60" s="3">
        <f t="shared" si="60"/>
        <v>225955.01268258621</v>
      </c>
      <c r="BX60" s="3">
        <f t="shared" si="60"/>
        <v>225955.01268258621</v>
      </c>
      <c r="BY60" s="3">
        <f t="shared" si="60"/>
        <v>225955.01268258621</v>
      </c>
      <c r="BZ60" s="3">
        <f t="shared" si="60"/>
        <v>225955.01268258621</v>
      </c>
      <c r="CA60" s="3">
        <f t="shared" si="60"/>
        <v>225955.01268258621</v>
      </c>
      <c r="CB60" s="3">
        <f t="shared" si="60"/>
        <v>225955.01268258621</v>
      </c>
      <c r="CC60" s="3">
        <f t="shared" si="60"/>
        <v>225955.01268258621</v>
      </c>
      <c r="CD60" s="3">
        <f t="shared" si="60"/>
        <v>225955.01268258621</v>
      </c>
      <c r="CE60" s="3">
        <f t="shared" si="60"/>
        <v>225955.01268258621</v>
      </c>
      <c r="CF60" s="3">
        <f t="shared" si="60"/>
        <v>225955.01268258621</v>
      </c>
      <c r="CG60" s="3">
        <f t="shared" si="60"/>
        <v>225955.01268258621</v>
      </c>
      <c r="CH60" s="3">
        <f t="shared" si="60"/>
        <v>225955.01268258621</v>
      </c>
      <c r="CI60" s="3">
        <f t="shared" si="60"/>
        <v>225955.01268258621</v>
      </c>
      <c r="CJ60" s="3">
        <f t="shared" si="60"/>
        <v>225955.01268258621</v>
      </c>
      <c r="CK60" s="3">
        <f t="shared" si="60"/>
        <v>225955.01268258621</v>
      </c>
      <c r="CL60" s="3">
        <f t="shared" si="60"/>
        <v>251061.12520287358</v>
      </c>
      <c r="CM60" s="3">
        <f t="shared" si="60"/>
        <v>251061.12520287358</v>
      </c>
      <c r="CN60" s="3">
        <f t="shared" si="60"/>
        <v>251061.12520287358</v>
      </c>
      <c r="CO60" s="3">
        <f t="shared" si="60"/>
        <v>251061.12520287358</v>
      </c>
      <c r="CP60" s="3">
        <f t="shared" si="60"/>
        <v>251061.12520287358</v>
      </c>
      <c r="CQ60" s="3">
        <f t="shared" si="60"/>
        <v>251061.12520287358</v>
      </c>
      <c r="CR60" s="3">
        <f t="shared" si="60"/>
        <v>251061.12520287358</v>
      </c>
      <c r="CS60" s="3">
        <f t="shared" si="60"/>
        <v>251061.12520287358</v>
      </c>
      <c r="CT60" s="3">
        <f t="shared" si="60"/>
        <v>251061.12520287358</v>
      </c>
      <c r="CU60" s="3">
        <f t="shared" si="60"/>
        <v>251061.12520287358</v>
      </c>
      <c r="CV60" s="3">
        <f t="shared" si="60"/>
        <v>251061.12520287358</v>
      </c>
      <c r="CW60" s="3">
        <f t="shared" si="60"/>
        <v>251061.12520287358</v>
      </c>
      <c r="CX60" s="3">
        <f t="shared" si="60"/>
        <v>251061.12520287358</v>
      </c>
      <c r="CY60" s="3">
        <f t="shared" si="60"/>
        <v>251061.12520287358</v>
      </c>
      <c r="CZ60" s="3">
        <f t="shared" si="60"/>
        <v>251061.12520287358</v>
      </c>
      <c r="DA60" s="3">
        <f t="shared" si="60"/>
        <v>251061.12520287358</v>
      </c>
      <c r="DB60" s="3">
        <f t="shared" si="60"/>
        <v>251061.12520287358</v>
      </c>
      <c r="DC60" s="3">
        <f t="shared" si="60"/>
        <v>251061.12520287358</v>
      </c>
      <c r="DD60" s="3">
        <f t="shared" si="60"/>
        <v>251061.12520287358</v>
      </c>
      <c r="DE60" s="3">
        <f t="shared" si="60"/>
        <v>251061.12520287358</v>
      </c>
      <c r="DF60" s="3">
        <f t="shared" si="60"/>
        <v>0</v>
      </c>
      <c r="DG60" s="3">
        <f t="shared" si="60"/>
        <v>0</v>
      </c>
      <c r="DH60" s="3">
        <f t="shared" si="60"/>
        <v>0</v>
      </c>
      <c r="DI60" s="3">
        <f t="shared" si="60"/>
        <v>0</v>
      </c>
      <c r="DJ60" s="3">
        <f t="shared" si="60"/>
        <v>0</v>
      </c>
      <c r="DK60" s="3">
        <f t="shared" si="60"/>
        <v>0</v>
      </c>
      <c r="DL60" s="3">
        <f t="shared" si="60"/>
        <v>0</v>
      </c>
      <c r="DM60" s="3">
        <f t="shared" si="60"/>
        <v>0</v>
      </c>
      <c r="DN60" s="3">
        <f t="shared" si="60"/>
        <v>0</v>
      </c>
      <c r="DO60" s="3">
        <f t="shared" si="60"/>
        <v>0</v>
      </c>
      <c r="DP60" s="3">
        <f t="shared" si="60"/>
        <v>0</v>
      </c>
      <c r="DQ60" s="3">
        <f t="shared" si="60"/>
        <v>0</v>
      </c>
      <c r="DR60" s="3">
        <f t="shared" si="60"/>
        <v>0</v>
      </c>
      <c r="DS60" s="3">
        <f t="shared" si="60"/>
        <v>0</v>
      </c>
      <c r="DT60" s="3">
        <f t="shared" si="60"/>
        <v>0</v>
      </c>
      <c r="DU60" s="3">
        <f t="shared" si="60"/>
        <v>0</v>
      </c>
      <c r="DV60" s="3">
        <f t="shared" si="60"/>
        <v>0</v>
      </c>
      <c r="DW60" s="3">
        <f t="shared" si="60"/>
        <v>0</v>
      </c>
      <c r="DX60" s="3">
        <f t="shared" si="60"/>
        <v>0</v>
      </c>
      <c r="DY60" s="3">
        <f t="shared" si="60"/>
        <v>0</v>
      </c>
    </row>
    <row r="61" spans="1:129">
      <c r="C61" s="3" t="s">
        <v>90</v>
      </c>
      <c r="D61" s="10" t="s">
        <v>91</v>
      </c>
      <c r="I61" s="25">
        <f t="shared" ref="I61:BT61" si="61">I$16/4</f>
        <v>1.2500000000000001E-2</v>
      </c>
      <c r="J61" s="25">
        <f t="shared" si="61"/>
        <v>1.2500000000000001E-2</v>
      </c>
      <c r="K61" s="25">
        <f t="shared" si="61"/>
        <v>1.2500000000000001E-2</v>
      </c>
      <c r="L61" s="25">
        <f t="shared" si="61"/>
        <v>1.2500000000000001E-2</v>
      </c>
      <c r="M61" s="25">
        <f t="shared" si="61"/>
        <v>1.2500000000000001E-2</v>
      </c>
      <c r="N61" s="25">
        <f t="shared" si="61"/>
        <v>1.2500000000000001E-2</v>
      </c>
      <c r="O61" s="25">
        <f t="shared" si="61"/>
        <v>1.2500000000000001E-2</v>
      </c>
      <c r="P61" s="25">
        <f t="shared" si="61"/>
        <v>1.2500000000000001E-2</v>
      </c>
      <c r="Q61" s="25">
        <f t="shared" si="61"/>
        <v>1.2500000000000001E-2</v>
      </c>
      <c r="R61" s="25">
        <f t="shared" si="61"/>
        <v>1.2500000000000001E-2</v>
      </c>
      <c r="S61" s="25">
        <f t="shared" si="61"/>
        <v>1.2500000000000001E-2</v>
      </c>
      <c r="T61" s="25">
        <f t="shared" si="61"/>
        <v>1.2500000000000001E-2</v>
      </c>
      <c r="U61" s="25">
        <f t="shared" si="61"/>
        <v>1.2500000000000001E-2</v>
      </c>
      <c r="V61" s="25">
        <f t="shared" si="61"/>
        <v>1.2500000000000001E-2</v>
      </c>
      <c r="W61" s="25">
        <f t="shared" si="61"/>
        <v>1.2500000000000001E-2</v>
      </c>
      <c r="X61" s="25">
        <f t="shared" si="61"/>
        <v>1.2500000000000001E-2</v>
      </c>
      <c r="Y61" s="25">
        <f t="shared" si="61"/>
        <v>1.2500000000000001E-2</v>
      </c>
      <c r="Z61" s="25">
        <f t="shared" si="61"/>
        <v>1.2500000000000001E-2</v>
      </c>
      <c r="AA61" s="25">
        <f t="shared" si="61"/>
        <v>1.2500000000000001E-2</v>
      </c>
      <c r="AB61" s="25">
        <f t="shared" si="61"/>
        <v>1.2500000000000001E-2</v>
      </c>
      <c r="AC61" s="25">
        <f t="shared" si="61"/>
        <v>1.2500000000000001E-2</v>
      </c>
      <c r="AD61" s="25">
        <f t="shared" si="61"/>
        <v>1.2500000000000001E-2</v>
      </c>
      <c r="AE61" s="25">
        <f t="shared" si="61"/>
        <v>1.2500000000000001E-2</v>
      </c>
      <c r="AF61" s="25">
        <f t="shared" si="61"/>
        <v>1.2500000000000001E-2</v>
      </c>
      <c r="AG61" s="25">
        <f t="shared" si="61"/>
        <v>1.2500000000000001E-2</v>
      </c>
      <c r="AH61" s="25">
        <f t="shared" si="61"/>
        <v>1.2500000000000001E-2</v>
      </c>
      <c r="AI61" s="25">
        <f t="shared" si="61"/>
        <v>1.2500000000000001E-2</v>
      </c>
      <c r="AJ61" s="25">
        <f t="shared" si="61"/>
        <v>1.2500000000000001E-2</v>
      </c>
      <c r="AK61" s="25">
        <f t="shared" si="61"/>
        <v>1.2500000000000001E-2</v>
      </c>
      <c r="AL61" s="25">
        <f t="shared" si="61"/>
        <v>1.2500000000000001E-2</v>
      </c>
      <c r="AM61" s="25">
        <f t="shared" si="61"/>
        <v>1.2500000000000001E-2</v>
      </c>
      <c r="AN61" s="25">
        <f t="shared" si="61"/>
        <v>1.2500000000000001E-2</v>
      </c>
      <c r="AO61" s="25">
        <f t="shared" si="61"/>
        <v>1.2500000000000001E-2</v>
      </c>
      <c r="AP61" s="25">
        <f t="shared" si="61"/>
        <v>1.2500000000000001E-2</v>
      </c>
      <c r="AQ61" s="25">
        <f t="shared" si="61"/>
        <v>1.2500000000000001E-2</v>
      </c>
      <c r="AR61" s="25">
        <f t="shared" si="61"/>
        <v>1.2500000000000001E-2</v>
      </c>
      <c r="AS61" s="25">
        <f t="shared" si="61"/>
        <v>1.2500000000000001E-2</v>
      </c>
      <c r="AT61" s="25">
        <f t="shared" si="61"/>
        <v>1.2500000000000001E-2</v>
      </c>
      <c r="AU61" s="25">
        <f t="shared" si="61"/>
        <v>1.2500000000000001E-2</v>
      </c>
      <c r="AV61" s="25">
        <f t="shared" si="61"/>
        <v>1.2500000000000001E-2</v>
      </c>
      <c r="AW61" s="25">
        <f t="shared" si="61"/>
        <v>1.2500000000000001E-2</v>
      </c>
      <c r="AX61" s="25">
        <f t="shared" si="61"/>
        <v>1.125E-2</v>
      </c>
      <c r="AY61" s="25">
        <f t="shared" si="61"/>
        <v>1.125E-2</v>
      </c>
      <c r="AZ61" s="25">
        <f t="shared" si="61"/>
        <v>1.125E-2</v>
      </c>
      <c r="BA61" s="25">
        <f t="shared" si="61"/>
        <v>1.125E-2</v>
      </c>
      <c r="BB61" s="25">
        <f t="shared" si="61"/>
        <v>1.125E-2</v>
      </c>
      <c r="BC61" s="25">
        <f t="shared" si="61"/>
        <v>1.125E-2</v>
      </c>
      <c r="BD61" s="25">
        <f t="shared" si="61"/>
        <v>1.125E-2</v>
      </c>
      <c r="BE61" s="25">
        <f t="shared" si="61"/>
        <v>1.125E-2</v>
      </c>
      <c r="BF61" s="25">
        <f t="shared" si="61"/>
        <v>1.125E-2</v>
      </c>
      <c r="BG61" s="25">
        <f t="shared" si="61"/>
        <v>1.125E-2</v>
      </c>
      <c r="BH61" s="25">
        <f t="shared" si="61"/>
        <v>1.125E-2</v>
      </c>
      <c r="BI61" s="25">
        <f t="shared" si="61"/>
        <v>1.125E-2</v>
      </c>
      <c r="BJ61" s="25">
        <f t="shared" si="61"/>
        <v>1.125E-2</v>
      </c>
      <c r="BK61" s="25">
        <f t="shared" si="61"/>
        <v>1.125E-2</v>
      </c>
      <c r="BL61" s="25">
        <f t="shared" si="61"/>
        <v>1.125E-2</v>
      </c>
      <c r="BM61" s="25">
        <f t="shared" si="61"/>
        <v>1.125E-2</v>
      </c>
      <c r="BN61" s="25">
        <f t="shared" si="61"/>
        <v>1.125E-2</v>
      </c>
      <c r="BO61" s="25">
        <f t="shared" si="61"/>
        <v>1.125E-2</v>
      </c>
      <c r="BP61" s="25">
        <f t="shared" si="61"/>
        <v>1.125E-2</v>
      </c>
      <c r="BQ61" s="25">
        <f t="shared" si="61"/>
        <v>1.125E-2</v>
      </c>
      <c r="BR61" s="25">
        <f t="shared" si="61"/>
        <v>1.375E-2</v>
      </c>
      <c r="BS61" s="25">
        <f t="shared" si="61"/>
        <v>1.375E-2</v>
      </c>
      <c r="BT61" s="25">
        <f t="shared" si="61"/>
        <v>1.375E-2</v>
      </c>
      <c r="BU61" s="25">
        <f t="shared" ref="BU61:DY61" si="62">BU$16/4</f>
        <v>1.375E-2</v>
      </c>
      <c r="BV61" s="25">
        <f t="shared" si="62"/>
        <v>1.375E-2</v>
      </c>
      <c r="BW61" s="25">
        <f t="shared" si="62"/>
        <v>1.375E-2</v>
      </c>
      <c r="BX61" s="25">
        <f t="shared" si="62"/>
        <v>1.375E-2</v>
      </c>
      <c r="BY61" s="25">
        <f t="shared" si="62"/>
        <v>1.375E-2</v>
      </c>
      <c r="BZ61" s="25">
        <f t="shared" si="62"/>
        <v>1.375E-2</v>
      </c>
      <c r="CA61" s="25">
        <f t="shared" si="62"/>
        <v>1.375E-2</v>
      </c>
      <c r="CB61" s="25">
        <f t="shared" si="62"/>
        <v>1.375E-2</v>
      </c>
      <c r="CC61" s="25">
        <f t="shared" si="62"/>
        <v>1.375E-2</v>
      </c>
      <c r="CD61" s="25">
        <f t="shared" si="62"/>
        <v>1.375E-2</v>
      </c>
      <c r="CE61" s="25">
        <f t="shared" si="62"/>
        <v>1.375E-2</v>
      </c>
      <c r="CF61" s="25">
        <f t="shared" si="62"/>
        <v>1.375E-2</v>
      </c>
      <c r="CG61" s="25">
        <f t="shared" si="62"/>
        <v>1.375E-2</v>
      </c>
      <c r="CH61" s="25">
        <f t="shared" si="62"/>
        <v>1.375E-2</v>
      </c>
      <c r="CI61" s="25">
        <f t="shared" si="62"/>
        <v>1.375E-2</v>
      </c>
      <c r="CJ61" s="25">
        <f t="shared" si="62"/>
        <v>1.375E-2</v>
      </c>
      <c r="CK61" s="25">
        <f t="shared" si="62"/>
        <v>1.375E-2</v>
      </c>
      <c r="CL61" s="25">
        <f t="shared" si="62"/>
        <v>1.2500000000000001E-2</v>
      </c>
      <c r="CM61" s="25">
        <f t="shared" si="62"/>
        <v>1.2500000000000001E-2</v>
      </c>
      <c r="CN61" s="25">
        <f t="shared" si="62"/>
        <v>1.2500000000000001E-2</v>
      </c>
      <c r="CO61" s="25">
        <f t="shared" si="62"/>
        <v>1.2500000000000001E-2</v>
      </c>
      <c r="CP61" s="25">
        <f t="shared" si="62"/>
        <v>1.2500000000000001E-2</v>
      </c>
      <c r="CQ61" s="25">
        <f t="shared" si="62"/>
        <v>1.2500000000000001E-2</v>
      </c>
      <c r="CR61" s="25">
        <f t="shared" si="62"/>
        <v>1.2500000000000001E-2</v>
      </c>
      <c r="CS61" s="25">
        <f t="shared" si="62"/>
        <v>1.2500000000000001E-2</v>
      </c>
      <c r="CT61" s="25">
        <f t="shared" si="62"/>
        <v>1.2500000000000001E-2</v>
      </c>
      <c r="CU61" s="25">
        <f t="shared" si="62"/>
        <v>1.2500000000000001E-2</v>
      </c>
      <c r="CV61" s="25">
        <f t="shared" si="62"/>
        <v>1.2500000000000001E-2</v>
      </c>
      <c r="CW61" s="25">
        <f t="shared" si="62"/>
        <v>1.2500000000000001E-2</v>
      </c>
      <c r="CX61" s="25">
        <f t="shared" si="62"/>
        <v>1.2500000000000001E-2</v>
      </c>
      <c r="CY61" s="25">
        <f t="shared" si="62"/>
        <v>1.2500000000000001E-2</v>
      </c>
      <c r="CZ61" s="25">
        <f t="shared" si="62"/>
        <v>1.2500000000000001E-2</v>
      </c>
      <c r="DA61" s="25">
        <f t="shared" si="62"/>
        <v>1.2500000000000001E-2</v>
      </c>
      <c r="DB61" s="25">
        <f t="shared" si="62"/>
        <v>1.2500000000000001E-2</v>
      </c>
      <c r="DC61" s="25">
        <f t="shared" si="62"/>
        <v>1.2500000000000001E-2</v>
      </c>
      <c r="DD61" s="25">
        <f t="shared" si="62"/>
        <v>1.2500000000000001E-2</v>
      </c>
      <c r="DE61" s="25">
        <f t="shared" si="62"/>
        <v>1.2500000000000001E-2</v>
      </c>
      <c r="DF61" s="25">
        <f t="shared" si="62"/>
        <v>1.2500000000000001E-2</v>
      </c>
      <c r="DG61" s="25">
        <f t="shared" si="62"/>
        <v>1.2500000000000001E-2</v>
      </c>
      <c r="DH61" s="25">
        <f t="shared" si="62"/>
        <v>1.2500000000000001E-2</v>
      </c>
      <c r="DI61" s="25">
        <f t="shared" si="62"/>
        <v>1.2500000000000001E-2</v>
      </c>
      <c r="DJ61" s="25">
        <f t="shared" si="62"/>
        <v>1.2500000000000001E-2</v>
      </c>
      <c r="DK61" s="25">
        <f t="shared" si="62"/>
        <v>1.2500000000000001E-2</v>
      </c>
      <c r="DL61" s="25">
        <f t="shared" si="62"/>
        <v>1.2500000000000001E-2</v>
      </c>
      <c r="DM61" s="25">
        <f t="shared" si="62"/>
        <v>1.2500000000000001E-2</v>
      </c>
      <c r="DN61" s="25">
        <f t="shared" si="62"/>
        <v>1.2500000000000001E-2</v>
      </c>
      <c r="DO61" s="25">
        <f t="shared" si="62"/>
        <v>1.2500000000000001E-2</v>
      </c>
      <c r="DP61" s="25">
        <f t="shared" si="62"/>
        <v>1.2500000000000001E-2</v>
      </c>
      <c r="DQ61" s="25">
        <f t="shared" si="62"/>
        <v>1.2500000000000001E-2</v>
      </c>
      <c r="DR61" s="25">
        <f t="shared" si="62"/>
        <v>1.2500000000000001E-2</v>
      </c>
      <c r="DS61" s="25">
        <f t="shared" si="62"/>
        <v>1.2500000000000001E-2</v>
      </c>
      <c r="DT61" s="25">
        <f t="shared" si="62"/>
        <v>1.2500000000000001E-2</v>
      </c>
      <c r="DU61" s="25">
        <f t="shared" si="62"/>
        <v>1.2500000000000001E-2</v>
      </c>
      <c r="DV61" s="25">
        <f t="shared" si="62"/>
        <v>1.2500000000000001E-2</v>
      </c>
      <c r="DW61" s="25">
        <f t="shared" si="62"/>
        <v>1.2500000000000001E-2</v>
      </c>
      <c r="DX61" s="25">
        <f t="shared" si="62"/>
        <v>1.2500000000000001E-2</v>
      </c>
      <c r="DY61" s="25">
        <f t="shared" si="62"/>
        <v>1.2500000000000001E-2</v>
      </c>
    </row>
    <row r="62" spans="1:129">
      <c r="B62" s="39"/>
      <c r="C62" s="3" t="s">
        <v>92</v>
      </c>
      <c r="D62" s="10" t="s">
        <v>0</v>
      </c>
      <c r="I62" s="3">
        <f t="shared" ref="I62:BT62" si="63">0-PV(I61,I19,I60,0,0)</f>
        <v>0</v>
      </c>
      <c r="J62" s="3">
        <f t="shared" si="63"/>
        <v>9999999.9999999963</v>
      </c>
      <c r="K62" s="3">
        <f t="shared" si="63"/>
        <v>9949257.2123579849</v>
      </c>
      <c r="L62" s="3">
        <f t="shared" si="63"/>
        <v>9897880.1398704499</v>
      </c>
      <c r="M62" s="3">
        <f t="shared" si="63"/>
        <v>9845860.8539768178</v>
      </c>
      <c r="N62" s="3">
        <f t="shared" si="63"/>
        <v>9793191.3270095158</v>
      </c>
      <c r="O62" s="3">
        <f t="shared" si="63"/>
        <v>9739863.4309551232</v>
      </c>
      <c r="P62" s="3">
        <f t="shared" si="63"/>
        <v>9685868.9362000525</v>
      </c>
      <c r="Q62" s="3">
        <f t="shared" si="63"/>
        <v>9631199.5102605391</v>
      </c>
      <c r="R62" s="3">
        <f t="shared" si="63"/>
        <v>9575846.7164967861</v>
      </c>
      <c r="S62" s="3">
        <f t="shared" si="63"/>
        <v>9519802.0128109846</v>
      </c>
      <c r="T62" s="3">
        <f t="shared" si="63"/>
        <v>9463056.7503291108</v>
      </c>
      <c r="U62" s="3">
        <f t="shared" si="63"/>
        <v>9405602.1720662117</v>
      </c>
      <c r="V62" s="3">
        <f t="shared" si="63"/>
        <v>9347429.4115750287</v>
      </c>
      <c r="W62" s="3">
        <f t="shared" si="63"/>
        <v>9288529.4915777035</v>
      </c>
      <c r="X62" s="3">
        <f t="shared" si="63"/>
        <v>9228893.3225804158</v>
      </c>
      <c r="Y62" s="3">
        <f t="shared" si="63"/>
        <v>9168511.7014706582</v>
      </c>
      <c r="Z62" s="3">
        <f t="shared" si="63"/>
        <v>9107375.3100970313</v>
      </c>
      <c r="AA62" s="3">
        <f t="shared" si="63"/>
        <v>9045474.713831231</v>
      </c>
      <c r="AB62" s="3">
        <f t="shared" si="63"/>
        <v>8982800.360112112</v>
      </c>
      <c r="AC62" s="3">
        <f t="shared" si="63"/>
        <v>8919342.5769715011</v>
      </c>
      <c r="AD62" s="3">
        <f t="shared" si="63"/>
        <v>9614099.4205309153</v>
      </c>
      <c r="AE62" s="3">
        <f t="shared" si="63"/>
        <v>9543469.2081333678</v>
      </c>
      <c r="AF62" s="3">
        <f t="shared" si="63"/>
        <v>9471956.1180808526</v>
      </c>
      <c r="AG62" s="3">
        <f t="shared" si="63"/>
        <v>9399549.114402676</v>
      </c>
      <c r="AH62" s="3">
        <f t="shared" si="63"/>
        <v>9326237.023178529</v>
      </c>
      <c r="AI62" s="3">
        <f t="shared" si="63"/>
        <v>9252008.5308140758</v>
      </c>
      <c r="AJ62" s="3">
        <f t="shared" si="63"/>
        <v>9176852.1822950691</v>
      </c>
      <c r="AK62" s="3">
        <f t="shared" si="63"/>
        <v>9100756.3794195727</v>
      </c>
      <c r="AL62" s="3">
        <f t="shared" si="63"/>
        <v>9023709.379008133</v>
      </c>
      <c r="AM62" s="3">
        <f t="shared" si="63"/>
        <v>8945699.2910915501</v>
      </c>
      <c r="AN62" s="3">
        <f t="shared" si="63"/>
        <v>8866714.0770760123</v>
      </c>
      <c r="AO62" s="3">
        <f t="shared" si="63"/>
        <v>8786741.5478852764</v>
      </c>
      <c r="AP62" s="3">
        <f t="shared" si="63"/>
        <v>8705769.3620796613</v>
      </c>
      <c r="AQ62" s="3">
        <f t="shared" si="63"/>
        <v>8623785.0239514709</v>
      </c>
      <c r="AR62" s="3">
        <f t="shared" si="63"/>
        <v>8540775.8815966826</v>
      </c>
      <c r="AS62" s="3">
        <f t="shared" si="63"/>
        <v>8456729.1249624565</v>
      </c>
      <c r="AT62" s="3">
        <f t="shared" si="63"/>
        <v>8371631.7838703031</v>
      </c>
      <c r="AU62" s="3">
        <f t="shared" si="63"/>
        <v>8285470.7260144977</v>
      </c>
      <c r="AV62" s="3">
        <f t="shared" si="63"/>
        <v>8198232.6549354969</v>
      </c>
      <c r="AW62" s="3">
        <f t="shared" si="63"/>
        <v>8109904.1079680044</v>
      </c>
      <c r="AX62" s="3">
        <f t="shared" si="63"/>
        <v>8728824.1744379587</v>
      </c>
      <c r="AY62" s="3">
        <f t="shared" si="63"/>
        <v>8626174.546238089</v>
      </c>
      <c r="AZ62" s="3">
        <f t="shared" si="63"/>
        <v>8522370.1097209696</v>
      </c>
      <c r="BA62" s="3">
        <f t="shared" si="63"/>
        <v>8417397.873293031</v>
      </c>
      <c r="BB62" s="3">
        <f t="shared" si="63"/>
        <v>8311244.6992052784</v>
      </c>
      <c r="BC62" s="3">
        <f t="shared" si="63"/>
        <v>8203897.301909036</v>
      </c>
      <c r="BD62" s="3">
        <f t="shared" si="63"/>
        <v>8095342.2463932177</v>
      </c>
      <c r="BE62" s="3">
        <f t="shared" si="63"/>
        <v>7985565.9465028429</v>
      </c>
      <c r="BF62" s="3">
        <f t="shared" si="63"/>
        <v>7874554.6632387014</v>
      </c>
      <c r="BG62" s="3">
        <f t="shared" si="63"/>
        <v>7762294.5030378364</v>
      </c>
      <c r="BH62" s="3">
        <f t="shared" si="63"/>
        <v>7648771.4160347153</v>
      </c>
      <c r="BI62" s="3">
        <f t="shared" si="63"/>
        <v>7533971.1943028066</v>
      </c>
      <c r="BJ62" s="3">
        <f t="shared" si="63"/>
        <v>7417879.4700764148</v>
      </c>
      <c r="BK62" s="3">
        <f t="shared" si="63"/>
        <v>7300481.7139524724</v>
      </c>
      <c r="BL62" s="3">
        <f t="shared" si="63"/>
        <v>7181763.2330721421</v>
      </c>
      <c r="BM62" s="3">
        <f t="shared" si="63"/>
        <v>7061709.1692819046</v>
      </c>
      <c r="BN62" s="3">
        <f t="shared" si="63"/>
        <v>6940304.4972740281</v>
      </c>
      <c r="BO62" s="3">
        <f t="shared" si="63"/>
        <v>6817534.0227060616</v>
      </c>
      <c r="BP62" s="3">
        <f t="shared" si="63"/>
        <v>6693382.3802992068</v>
      </c>
      <c r="BQ62" s="3">
        <f t="shared" si="63"/>
        <v>6567834.0319152763</v>
      </c>
      <c r="BR62" s="3">
        <f t="shared" si="63"/>
        <v>6916430.9596343776</v>
      </c>
      <c r="BS62" s="3">
        <f t="shared" si="63"/>
        <v>6785576.8726467649</v>
      </c>
      <c r="BT62" s="3">
        <f t="shared" si="63"/>
        <v>6652923.5419630697</v>
      </c>
      <c r="BU62" s="3">
        <f t="shared" ref="BU62:DY62" si="64">0-PV(BU61,BU19,BU60,0,0)</f>
        <v>6518446.2279824764</v>
      </c>
      <c r="BV62" s="3">
        <f t="shared" si="64"/>
        <v>6382119.8509346498</v>
      </c>
      <c r="BW62" s="3">
        <f t="shared" si="64"/>
        <v>6243918.9862024151</v>
      </c>
      <c r="BX62" s="3">
        <f t="shared" si="64"/>
        <v>6103817.8595801117</v>
      </c>
      <c r="BY62" s="3">
        <f t="shared" si="64"/>
        <v>5961790.3424667539</v>
      </c>
      <c r="BZ62" s="3">
        <f t="shared" si="64"/>
        <v>5817809.9469930846</v>
      </c>
      <c r="CA62" s="3">
        <f t="shared" si="64"/>
        <v>5671849.8210816542</v>
      </c>
      <c r="CB62" s="3">
        <f t="shared" si="64"/>
        <v>5523882.7434389405</v>
      </c>
      <c r="CC62" s="3">
        <f t="shared" si="64"/>
        <v>5373881.1184786391</v>
      </c>
      <c r="CD62" s="3">
        <f t="shared" si="64"/>
        <v>5221816.9711751342</v>
      </c>
      <c r="CE62" s="3">
        <f t="shared" si="64"/>
        <v>5067661.9418462086</v>
      </c>
      <c r="CF62" s="3">
        <f t="shared" si="64"/>
        <v>4911387.2808640059</v>
      </c>
      <c r="CG62" s="3">
        <f t="shared" si="64"/>
        <v>4752963.8432933018</v>
      </c>
      <c r="CH62" s="3">
        <f t="shared" si="64"/>
        <v>4592362.0834559975</v>
      </c>
      <c r="CI62" s="3">
        <f t="shared" si="64"/>
        <v>4429552.0494209314</v>
      </c>
      <c r="CJ62" s="3">
        <f t="shared" si="64"/>
        <v>4264503.3774178829</v>
      </c>
      <c r="CK62" s="3">
        <f t="shared" si="64"/>
        <v>4097185.2861747928</v>
      </c>
      <c r="CL62" s="3">
        <f t="shared" si="64"/>
        <v>4418504.1114597628</v>
      </c>
      <c r="CM62" s="3">
        <f t="shared" si="64"/>
        <v>4222674.2876501363</v>
      </c>
      <c r="CN62" s="3">
        <f t="shared" si="64"/>
        <v>4024396.5910428921</v>
      </c>
      <c r="CO62" s="3">
        <f t="shared" si="64"/>
        <v>3823640.4232280529</v>
      </c>
      <c r="CP62" s="3">
        <f t="shared" si="64"/>
        <v>3620374.8033155305</v>
      </c>
      <c r="CQ62" s="3">
        <f t="shared" si="64"/>
        <v>3414568.3631540979</v>
      </c>
      <c r="CR62" s="3">
        <f t="shared" si="64"/>
        <v>3206189.342490654</v>
      </c>
      <c r="CS62" s="3">
        <f t="shared" si="64"/>
        <v>2995205.5840689107</v>
      </c>
      <c r="CT62" s="3">
        <f t="shared" si="64"/>
        <v>2781584.5286669019</v>
      </c>
      <c r="CU62" s="3">
        <f t="shared" si="64"/>
        <v>2565293.2100723614</v>
      </c>
      <c r="CV62" s="3">
        <f t="shared" si="64"/>
        <v>2346298.2499953969</v>
      </c>
      <c r="CW62" s="3">
        <f t="shared" si="64"/>
        <v>2124565.852917464</v>
      </c>
      <c r="CX62" s="3">
        <f t="shared" si="64"/>
        <v>1900061.8008760598</v>
      </c>
      <c r="CY62" s="3">
        <f t="shared" si="64"/>
        <v>1672751.4481841335</v>
      </c>
      <c r="CZ62" s="3">
        <f t="shared" si="64"/>
        <v>1442599.7160835643</v>
      </c>
      <c r="DA62" s="3">
        <f t="shared" si="64"/>
        <v>1209571.0873317344</v>
      </c>
      <c r="DB62" s="3">
        <f t="shared" si="64"/>
        <v>973629.60072051024</v>
      </c>
      <c r="DC62" s="3">
        <f t="shared" si="64"/>
        <v>734738.845526641</v>
      </c>
      <c r="DD62" s="3">
        <f t="shared" si="64"/>
        <v>492861.95589285332</v>
      </c>
      <c r="DE62" s="3">
        <f t="shared" si="64"/>
        <v>247961.60513863969</v>
      </c>
      <c r="DF62" s="3">
        <f t="shared" si="64"/>
        <v>0</v>
      </c>
      <c r="DG62" s="3">
        <f t="shared" si="64"/>
        <v>0</v>
      </c>
      <c r="DH62" s="3">
        <f t="shared" si="64"/>
        <v>0</v>
      </c>
      <c r="DI62" s="3">
        <f t="shared" si="64"/>
        <v>0</v>
      </c>
      <c r="DJ62" s="3">
        <f t="shared" si="64"/>
        <v>0</v>
      </c>
      <c r="DK62" s="3">
        <f t="shared" si="64"/>
        <v>0</v>
      </c>
      <c r="DL62" s="3">
        <f t="shared" si="64"/>
        <v>0</v>
      </c>
      <c r="DM62" s="3">
        <f t="shared" si="64"/>
        <v>0</v>
      </c>
      <c r="DN62" s="3">
        <f t="shared" si="64"/>
        <v>0</v>
      </c>
      <c r="DO62" s="3">
        <f t="shared" si="64"/>
        <v>0</v>
      </c>
      <c r="DP62" s="3">
        <f t="shared" si="64"/>
        <v>0</v>
      </c>
      <c r="DQ62" s="3">
        <f t="shared" si="64"/>
        <v>0</v>
      </c>
      <c r="DR62" s="3">
        <f t="shared" si="64"/>
        <v>0</v>
      </c>
      <c r="DS62" s="3">
        <f t="shared" si="64"/>
        <v>0</v>
      </c>
      <c r="DT62" s="3">
        <f t="shared" si="64"/>
        <v>0</v>
      </c>
      <c r="DU62" s="3">
        <f t="shared" si="64"/>
        <v>0</v>
      </c>
      <c r="DV62" s="3">
        <f t="shared" si="64"/>
        <v>0</v>
      </c>
      <c r="DW62" s="3">
        <f t="shared" si="64"/>
        <v>0</v>
      </c>
      <c r="DX62" s="3">
        <f t="shared" si="64"/>
        <v>0</v>
      </c>
      <c r="DY62" s="3">
        <f t="shared" si="64"/>
        <v>0</v>
      </c>
    </row>
    <row r="63" spans="1:129">
      <c r="C63" s="3" t="s">
        <v>93</v>
      </c>
      <c r="D63" s="10" t="s">
        <v>0</v>
      </c>
      <c r="G63" s="23">
        <f>SUM(I63:DY63)</f>
        <v>29677858.666063014</v>
      </c>
      <c r="I63" s="3">
        <f t="shared" ref="I63:BT63" si="65">IF(I12,J62,0)</f>
        <v>0</v>
      </c>
      <c r="J63" s="3">
        <f t="shared" si="65"/>
        <v>0</v>
      </c>
      <c r="K63" s="3">
        <f t="shared" si="65"/>
        <v>0</v>
      </c>
      <c r="L63" s="3">
        <f t="shared" si="65"/>
        <v>0</v>
      </c>
      <c r="M63" s="3">
        <f t="shared" si="65"/>
        <v>0</v>
      </c>
      <c r="N63" s="3">
        <f t="shared" si="65"/>
        <v>0</v>
      </c>
      <c r="O63" s="3">
        <f t="shared" si="65"/>
        <v>0</v>
      </c>
      <c r="P63" s="3">
        <f t="shared" si="65"/>
        <v>0</v>
      </c>
      <c r="Q63" s="3">
        <f t="shared" si="65"/>
        <v>0</v>
      </c>
      <c r="R63" s="3">
        <f t="shared" si="65"/>
        <v>0</v>
      </c>
      <c r="S63" s="3">
        <f t="shared" si="65"/>
        <v>0</v>
      </c>
      <c r="T63" s="3">
        <f t="shared" si="65"/>
        <v>0</v>
      </c>
      <c r="U63" s="3">
        <f t="shared" si="65"/>
        <v>0</v>
      </c>
      <c r="V63" s="3">
        <f t="shared" si="65"/>
        <v>0</v>
      </c>
      <c r="W63" s="3">
        <f t="shared" si="65"/>
        <v>0</v>
      </c>
      <c r="X63" s="3">
        <f t="shared" si="65"/>
        <v>0</v>
      </c>
      <c r="Y63" s="3">
        <f t="shared" si="65"/>
        <v>0</v>
      </c>
      <c r="Z63" s="3">
        <f t="shared" si="65"/>
        <v>0</v>
      </c>
      <c r="AA63" s="3">
        <f t="shared" si="65"/>
        <v>0</v>
      </c>
      <c r="AB63" s="3">
        <f t="shared" si="65"/>
        <v>0</v>
      </c>
      <c r="AC63" s="3">
        <f t="shared" si="65"/>
        <v>9614099.4205309153</v>
      </c>
      <c r="AD63" s="3">
        <f t="shared" si="65"/>
        <v>0</v>
      </c>
      <c r="AE63" s="3">
        <f t="shared" si="65"/>
        <v>0</v>
      </c>
      <c r="AF63" s="3">
        <f t="shared" si="65"/>
        <v>0</v>
      </c>
      <c r="AG63" s="3">
        <f t="shared" si="65"/>
        <v>0</v>
      </c>
      <c r="AH63" s="3">
        <f t="shared" si="65"/>
        <v>0</v>
      </c>
      <c r="AI63" s="3">
        <f t="shared" si="65"/>
        <v>0</v>
      </c>
      <c r="AJ63" s="3">
        <f t="shared" si="65"/>
        <v>0</v>
      </c>
      <c r="AK63" s="3">
        <f t="shared" si="65"/>
        <v>0</v>
      </c>
      <c r="AL63" s="3">
        <f t="shared" si="65"/>
        <v>0</v>
      </c>
      <c r="AM63" s="3">
        <f t="shared" si="65"/>
        <v>0</v>
      </c>
      <c r="AN63" s="3">
        <f t="shared" si="65"/>
        <v>0</v>
      </c>
      <c r="AO63" s="3">
        <f t="shared" si="65"/>
        <v>0</v>
      </c>
      <c r="AP63" s="3">
        <f t="shared" si="65"/>
        <v>0</v>
      </c>
      <c r="AQ63" s="3">
        <f t="shared" si="65"/>
        <v>0</v>
      </c>
      <c r="AR63" s="3">
        <f t="shared" si="65"/>
        <v>0</v>
      </c>
      <c r="AS63" s="3">
        <f t="shared" si="65"/>
        <v>0</v>
      </c>
      <c r="AT63" s="3">
        <f t="shared" si="65"/>
        <v>0</v>
      </c>
      <c r="AU63" s="3">
        <f t="shared" si="65"/>
        <v>0</v>
      </c>
      <c r="AV63" s="3">
        <f t="shared" si="65"/>
        <v>0</v>
      </c>
      <c r="AW63" s="3">
        <f t="shared" si="65"/>
        <v>8728824.1744379587</v>
      </c>
      <c r="AX63" s="3">
        <f t="shared" si="65"/>
        <v>0</v>
      </c>
      <c r="AY63" s="3">
        <f t="shared" si="65"/>
        <v>0</v>
      </c>
      <c r="AZ63" s="3">
        <f t="shared" si="65"/>
        <v>0</v>
      </c>
      <c r="BA63" s="3">
        <f t="shared" si="65"/>
        <v>0</v>
      </c>
      <c r="BB63" s="3">
        <f t="shared" si="65"/>
        <v>0</v>
      </c>
      <c r="BC63" s="3">
        <f t="shared" si="65"/>
        <v>0</v>
      </c>
      <c r="BD63" s="3">
        <f t="shared" si="65"/>
        <v>0</v>
      </c>
      <c r="BE63" s="3">
        <f t="shared" si="65"/>
        <v>0</v>
      </c>
      <c r="BF63" s="3">
        <f t="shared" si="65"/>
        <v>0</v>
      </c>
      <c r="BG63" s="3">
        <f t="shared" si="65"/>
        <v>0</v>
      </c>
      <c r="BH63" s="3">
        <f t="shared" si="65"/>
        <v>0</v>
      </c>
      <c r="BI63" s="3">
        <f t="shared" si="65"/>
        <v>0</v>
      </c>
      <c r="BJ63" s="3">
        <f t="shared" si="65"/>
        <v>0</v>
      </c>
      <c r="BK63" s="3">
        <f t="shared" si="65"/>
        <v>0</v>
      </c>
      <c r="BL63" s="3">
        <f t="shared" si="65"/>
        <v>0</v>
      </c>
      <c r="BM63" s="3">
        <f t="shared" si="65"/>
        <v>0</v>
      </c>
      <c r="BN63" s="3">
        <f t="shared" si="65"/>
        <v>0</v>
      </c>
      <c r="BO63" s="3">
        <f t="shared" si="65"/>
        <v>0</v>
      </c>
      <c r="BP63" s="3">
        <f t="shared" si="65"/>
        <v>0</v>
      </c>
      <c r="BQ63" s="3">
        <f t="shared" si="65"/>
        <v>6916430.9596343776</v>
      </c>
      <c r="BR63" s="3">
        <f t="shared" si="65"/>
        <v>0</v>
      </c>
      <c r="BS63" s="3">
        <f t="shared" si="65"/>
        <v>0</v>
      </c>
      <c r="BT63" s="3">
        <f t="shared" si="65"/>
        <v>0</v>
      </c>
      <c r="BU63" s="3">
        <f t="shared" ref="BU63:DY63" si="66">IF(BU12,BV62,0)</f>
        <v>0</v>
      </c>
      <c r="BV63" s="3">
        <f t="shared" si="66"/>
        <v>0</v>
      </c>
      <c r="BW63" s="3">
        <f t="shared" si="66"/>
        <v>0</v>
      </c>
      <c r="BX63" s="3">
        <f t="shared" si="66"/>
        <v>0</v>
      </c>
      <c r="BY63" s="3">
        <f t="shared" si="66"/>
        <v>0</v>
      </c>
      <c r="BZ63" s="3">
        <f t="shared" si="66"/>
        <v>0</v>
      </c>
      <c r="CA63" s="3">
        <f t="shared" si="66"/>
        <v>0</v>
      </c>
      <c r="CB63" s="3">
        <f t="shared" si="66"/>
        <v>0</v>
      </c>
      <c r="CC63" s="3">
        <f t="shared" si="66"/>
        <v>0</v>
      </c>
      <c r="CD63" s="3">
        <f t="shared" si="66"/>
        <v>0</v>
      </c>
      <c r="CE63" s="3">
        <f t="shared" si="66"/>
        <v>0</v>
      </c>
      <c r="CF63" s="3">
        <f t="shared" si="66"/>
        <v>0</v>
      </c>
      <c r="CG63" s="3">
        <f t="shared" si="66"/>
        <v>0</v>
      </c>
      <c r="CH63" s="3">
        <f t="shared" si="66"/>
        <v>0</v>
      </c>
      <c r="CI63" s="3">
        <f t="shared" si="66"/>
        <v>0</v>
      </c>
      <c r="CJ63" s="3">
        <f t="shared" si="66"/>
        <v>0</v>
      </c>
      <c r="CK63" s="3">
        <f t="shared" si="66"/>
        <v>4418504.1114597628</v>
      </c>
      <c r="CL63" s="3">
        <f t="shared" si="66"/>
        <v>0</v>
      </c>
      <c r="CM63" s="3">
        <f t="shared" si="66"/>
        <v>0</v>
      </c>
      <c r="CN63" s="3">
        <f t="shared" si="66"/>
        <v>0</v>
      </c>
      <c r="CO63" s="3">
        <f t="shared" si="66"/>
        <v>0</v>
      </c>
      <c r="CP63" s="3">
        <f t="shared" si="66"/>
        <v>0</v>
      </c>
      <c r="CQ63" s="3">
        <f t="shared" si="66"/>
        <v>0</v>
      </c>
      <c r="CR63" s="3">
        <f t="shared" si="66"/>
        <v>0</v>
      </c>
      <c r="CS63" s="3">
        <f t="shared" si="66"/>
        <v>0</v>
      </c>
      <c r="CT63" s="3">
        <f t="shared" si="66"/>
        <v>0</v>
      </c>
      <c r="CU63" s="3">
        <f t="shared" si="66"/>
        <v>0</v>
      </c>
      <c r="CV63" s="3">
        <f t="shared" si="66"/>
        <v>0</v>
      </c>
      <c r="CW63" s="3">
        <f t="shared" si="66"/>
        <v>0</v>
      </c>
      <c r="CX63" s="3">
        <f t="shared" si="66"/>
        <v>0</v>
      </c>
      <c r="CY63" s="3">
        <f t="shared" si="66"/>
        <v>0</v>
      </c>
      <c r="CZ63" s="3">
        <f t="shared" si="66"/>
        <v>0</v>
      </c>
      <c r="DA63" s="3">
        <f t="shared" si="66"/>
        <v>0</v>
      </c>
      <c r="DB63" s="3">
        <f t="shared" si="66"/>
        <v>0</v>
      </c>
      <c r="DC63" s="3">
        <f t="shared" si="66"/>
        <v>0</v>
      </c>
      <c r="DD63" s="3">
        <f t="shared" si="66"/>
        <v>0</v>
      </c>
      <c r="DE63" s="3">
        <f t="shared" si="66"/>
        <v>0</v>
      </c>
      <c r="DF63" s="3">
        <f t="shared" si="66"/>
        <v>0</v>
      </c>
      <c r="DG63" s="3">
        <f t="shared" si="66"/>
        <v>0</v>
      </c>
      <c r="DH63" s="3">
        <f t="shared" si="66"/>
        <v>0</v>
      </c>
      <c r="DI63" s="3">
        <f t="shared" si="66"/>
        <v>0</v>
      </c>
      <c r="DJ63" s="3">
        <f t="shared" si="66"/>
        <v>0</v>
      </c>
      <c r="DK63" s="3">
        <f t="shared" si="66"/>
        <v>0</v>
      </c>
      <c r="DL63" s="3">
        <f t="shared" si="66"/>
        <v>0</v>
      </c>
      <c r="DM63" s="3">
        <f t="shared" si="66"/>
        <v>0</v>
      </c>
      <c r="DN63" s="3">
        <f t="shared" si="66"/>
        <v>0</v>
      </c>
      <c r="DO63" s="3">
        <f t="shared" si="66"/>
        <v>0</v>
      </c>
      <c r="DP63" s="3">
        <f t="shared" si="66"/>
        <v>0</v>
      </c>
      <c r="DQ63" s="3">
        <f t="shared" si="66"/>
        <v>0</v>
      </c>
      <c r="DR63" s="3">
        <f t="shared" si="66"/>
        <v>0</v>
      </c>
      <c r="DS63" s="3">
        <f t="shared" si="66"/>
        <v>0</v>
      </c>
      <c r="DT63" s="3">
        <f t="shared" si="66"/>
        <v>0</v>
      </c>
      <c r="DU63" s="3">
        <f t="shared" si="66"/>
        <v>0</v>
      </c>
      <c r="DV63" s="3">
        <f t="shared" si="66"/>
        <v>0</v>
      </c>
      <c r="DW63" s="3">
        <f t="shared" si="66"/>
        <v>0</v>
      </c>
      <c r="DX63" s="3">
        <f t="shared" si="66"/>
        <v>0</v>
      </c>
      <c r="DY63" s="3">
        <f t="shared" si="66"/>
        <v>0</v>
      </c>
    </row>
    <row r="64" spans="1:129">
      <c r="C64" s="3" t="s">
        <v>94</v>
      </c>
      <c r="D64" s="10" t="s">
        <v>0</v>
      </c>
      <c r="G64" s="23">
        <f>SUM(I64:DY64)</f>
        <v>296778.58666063013</v>
      </c>
      <c r="I64" s="3">
        <f t="shared" ref="I64:BT64" si="67">I15*I63</f>
        <v>0</v>
      </c>
      <c r="J64" s="3">
        <f t="shared" si="67"/>
        <v>0</v>
      </c>
      <c r="K64" s="3">
        <f t="shared" si="67"/>
        <v>0</v>
      </c>
      <c r="L64" s="3">
        <f t="shared" si="67"/>
        <v>0</v>
      </c>
      <c r="M64" s="3">
        <f t="shared" si="67"/>
        <v>0</v>
      </c>
      <c r="N64" s="3">
        <f t="shared" si="67"/>
        <v>0</v>
      </c>
      <c r="O64" s="3">
        <f t="shared" si="67"/>
        <v>0</v>
      </c>
      <c r="P64" s="3">
        <f t="shared" si="67"/>
        <v>0</v>
      </c>
      <c r="Q64" s="3">
        <f t="shared" si="67"/>
        <v>0</v>
      </c>
      <c r="R64" s="3">
        <f t="shared" si="67"/>
        <v>0</v>
      </c>
      <c r="S64" s="3">
        <f t="shared" si="67"/>
        <v>0</v>
      </c>
      <c r="T64" s="3">
        <f t="shared" si="67"/>
        <v>0</v>
      </c>
      <c r="U64" s="3">
        <f t="shared" si="67"/>
        <v>0</v>
      </c>
      <c r="V64" s="3">
        <f t="shared" si="67"/>
        <v>0</v>
      </c>
      <c r="W64" s="3">
        <f t="shared" si="67"/>
        <v>0</v>
      </c>
      <c r="X64" s="3">
        <f t="shared" si="67"/>
        <v>0</v>
      </c>
      <c r="Y64" s="3">
        <f t="shared" si="67"/>
        <v>0</v>
      </c>
      <c r="Z64" s="3">
        <f t="shared" si="67"/>
        <v>0</v>
      </c>
      <c r="AA64" s="3">
        <f t="shared" si="67"/>
        <v>0</v>
      </c>
      <c r="AB64" s="3">
        <f t="shared" si="67"/>
        <v>0</v>
      </c>
      <c r="AC64" s="3">
        <f t="shared" si="67"/>
        <v>96140.994205309151</v>
      </c>
      <c r="AD64" s="3">
        <f t="shared" si="67"/>
        <v>0</v>
      </c>
      <c r="AE64" s="3">
        <f t="shared" si="67"/>
        <v>0</v>
      </c>
      <c r="AF64" s="3">
        <f t="shared" si="67"/>
        <v>0</v>
      </c>
      <c r="AG64" s="3">
        <f t="shared" si="67"/>
        <v>0</v>
      </c>
      <c r="AH64" s="3">
        <f t="shared" si="67"/>
        <v>0</v>
      </c>
      <c r="AI64" s="3">
        <f t="shared" si="67"/>
        <v>0</v>
      </c>
      <c r="AJ64" s="3">
        <f t="shared" si="67"/>
        <v>0</v>
      </c>
      <c r="AK64" s="3">
        <f t="shared" si="67"/>
        <v>0</v>
      </c>
      <c r="AL64" s="3">
        <f t="shared" si="67"/>
        <v>0</v>
      </c>
      <c r="AM64" s="3">
        <f t="shared" si="67"/>
        <v>0</v>
      </c>
      <c r="AN64" s="3">
        <f t="shared" si="67"/>
        <v>0</v>
      </c>
      <c r="AO64" s="3">
        <f t="shared" si="67"/>
        <v>0</v>
      </c>
      <c r="AP64" s="3">
        <f t="shared" si="67"/>
        <v>0</v>
      </c>
      <c r="AQ64" s="3">
        <f t="shared" si="67"/>
        <v>0</v>
      </c>
      <c r="AR64" s="3">
        <f t="shared" si="67"/>
        <v>0</v>
      </c>
      <c r="AS64" s="3">
        <f t="shared" si="67"/>
        <v>0</v>
      </c>
      <c r="AT64" s="3">
        <f t="shared" si="67"/>
        <v>0</v>
      </c>
      <c r="AU64" s="3">
        <f t="shared" si="67"/>
        <v>0</v>
      </c>
      <c r="AV64" s="3">
        <f t="shared" si="67"/>
        <v>0</v>
      </c>
      <c r="AW64" s="3">
        <f t="shared" si="67"/>
        <v>87288.241744379586</v>
      </c>
      <c r="AX64" s="3">
        <f t="shared" si="67"/>
        <v>0</v>
      </c>
      <c r="AY64" s="3">
        <f t="shared" si="67"/>
        <v>0</v>
      </c>
      <c r="AZ64" s="3">
        <f t="shared" si="67"/>
        <v>0</v>
      </c>
      <c r="BA64" s="3">
        <f t="shared" si="67"/>
        <v>0</v>
      </c>
      <c r="BB64" s="3">
        <f t="shared" si="67"/>
        <v>0</v>
      </c>
      <c r="BC64" s="3">
        <f t="shared" si="67"/>
        <v>0</v>
      </c>
      <c r="BD64" s="3">
        <f t="shared" si="67"/>
        <v>0</v>
      </c>
      <c r="BE64" s="3">
        <f t="shared" si="67"/>
        <v>0</v>
      </c>
      <c r="BF64" s="3">
        <f t="shared" si="67"/>
        <v>0</v>
      </c>
      <c r="BG64" s="3">
        <f t="shared" si="67"/>
        <v>0</v>
      </c>
      <c r="BH64" s="3">
        <f t="shared" si="67"/>
        <v>0</v>
      </c>
      <c r="BI64" s="3">
        <f t="shared" si="67"/>
        <v>0</v>
      </c>
      <c r="BJ64" s="3">
        <f t="shared" si="67"/>
        <v>0</v>
      </c>
      <c r="BK64" s="3">
        <f t="shared" si="67"/>
        <v>0</v>
      </c>
      <c r="BL64" s="3">
        <f t="shared" si="67"/>
        <v>0</v>
      </c>
      <c r="BM64" s="3">
        <f t="shared" si="67"/>
        <v>0</v>
      </c>
      <c r="BN64" s="3">
        <f t="shared" si="67"/>
        <v>0</v>
      </c>
      <c r="BO64" s="3">
        <f t="shared" si="67"/>
        <v>0</v>
      </c>
      <c r="BP64" s="3">
        <f t="shared" si="67"/>
        <v>0</v>
      </c>
      <c r="BQ64" s="3">
        <f t="shared" si="67"/>
        <v>69164.309596343781</v>
      </c>
      <c r="BR64" s="3">
        <f t="shared" si="67"/>
        <v>0</v>
      </c>
      <c r="BS64" s="3">
        <f t="shared" si="67"/>
        <v>0</v>
      </c>
      <c r="BT64" s="3">
        <f t="shared" si="67"/>
        <v>0</v>
      </c>
      <c r="BU64" s="3">
        <f t="shared" ref="BU64:DY64" si="68">BU15*BU63</f>
        <v>0</v>
      </c>
      <c r="BV64" s="3">
        <f t="shared" si="68"/>
        <v>0</v>
      </c>
      <c r="BW64" s="3">
        <f t="shared" si="68"/>
        <v>0</v>
      </c>
      <c r="BX64" s="3">
        <f t="shared" si="68"/>
        <v>0</v>
      </c>
      <c r="BY64" s="3">
        <f t="shared" si="68"/>
        <v>0</v>
      </c>
      <c r="BZ64" s="3">
        <f t="shared" si="68"/>
        <v>0</v>
      </c>
      <c r="CA64" s="3">
        <f t="shared" si="68"/>
        <v>0</v>
      </c>
      <c r="CB64" s="3">
        <f t="shared" si="68"/>
        <v>0</v>
      </c>
      <c r="CC64" s="3">
        <f t="shared" si="68"/>
        <v>0</v>
      </c>
      <c r="CD64" s="3">
        <f t="shared" si="68"/>
        <v>0</v>
      </c>
      <c r="CE64" s="3">
        <f t="shared" si="68"/>
        <v>0</v>
      </c>
      <c r="CF64" s="3">
        <f t="shared" si="68"/>
        <v>0</v>
      </c>
      <c r="CG64" s="3">
        <f t="shared" si="68"/>
        <v>0</v>
      </c>
      <c r="CH64" s="3">
        <f t="shared" si="68"/>
        <v>0</v>
      </c>
      <c r="CI64" s="3">
        <f t="shared" si="68"/>
        <v>0</v>
      </c>
      <c r="CJ64" s="3">
        <f t="shared" si="68"/>
        <v>0</v>
      </c>
      <c r="CK64" s="3">
        <f t="shared" si="68"/>
        <v>44185.041114597632</v>
      </c>
      <c r="CL64" s="3">
        <f t="shared" si="68"/>
        <v>0</v>
      </c>
      <c r="CM64" s="3">
        <f t="shared" si="68"/>
        <v>0</v>
      </c>
      <c r="CN64" s="3">
        <f t="shared" si="68"/>
        <v>0</v>
      </c>
      <c r="CO64" s="3">
        <f t="shared" si="68"/>
        <v>0</v>
      </c>
      <c r="CP64" s="3">
        <f t="shared" si="68"/>
        <v>0</v>
      </c>
      <c r="CQ64" s="3">
        <f t="shared" si="68"/>
        <v>0</v>
      </c>
      <c r="CR64" s="3">
        <f t="shared" si="68"/>
        <v>0</v>
      </c>
      <c r="CS64" s="3">
        <f t="shared" si="68"/>
        <v>0</v>
      </c>
      <c r="CT64" s="3">
        <f t="shared" si="68"/>
        <v>0</v>
      </c>
      <c r="CU64" s="3">
        <f t="shared" si="68"/>
        <v>0</v>
      </c>
      <c r="CV64" s="3">
        <f t="shared" si="68"/>
        <v>0</v>
      </c>
      <c r="CW64" s="3">
        <f t="shared" si="68"/>
        <v>0</v>
      </c>
      <c r="CX64" s="3">
        <f t="shared" si="68"/>
        <v>0</v>
      </c>
      <c r="CY64" s="3">
        <f t="shared" si="68"/>
        <v>0</v>
      </c>
      <c r="CZ64" s="3">
        <f t="shared" si="68"/>
        <v>0</v>
      </c>
      <c r="DA64" s="3">
        <f t="shared" si="68"/>
        <v>0</v>
      </c>
      <c r="DB64" s="3">
        <f t="shared" si="68"/>
        <v>0</v>
      </c>
      <c r="DC64" s="3">
        <f t="shared" si="68"/>
        <v>0</v>
      </c>
      <c r="DD64" s="3">
        <f t="shared" si="68"/>
        <v>0</v>
      </c>
      <c r="DE64" s="3">
        <f t="shared" si="68"/>
        <v>0</v>
      </c>
      <c r="DF64" s="3">
        <f t="shared" si="68"/>
        <v>0</v>
      </c>
      <c r="DG64" s="3">
        <f t="shared" si="68"/>
        <v>0</v>
      </c>
      <c r="DH64" s="3">
        <f t="shared" si="68"/>
        <v>0</v>
      </c>
      <c r="DI64" s="3">
        <f t="shared" si="68"/>
        <v>0</v>
      </c>
      <c r="DJ64" s="3">
        <f t="shared" si="68"/>
        <v>0</v>
      </c>
      <c r="DK64" s="3">
        <f t="shared" si="68"/>
        <v>0</v>
      </c>
      <c r="DL64" s="3">
        <f t="shared" si="68"/>
        <v>0</v>
      </c>
      <c r="DM64" s="3">
        <f t="shared" si="68"/>
        <v>0</v>
      </c>
      <c r="DN64" s="3">
        <f t="shared" si="68"/>
        <v>0</v>
      </c>
      <c r="DO64" s="3">
        <f t="shared" si="68"/>
        <v>0</v>
      </c>
      <c r="DP64" s="3">
        <f t="shared" si="68"/>
        <v>0</v>
      </c>
      <c r="DQ64" s="3">
        <f t="shared" si="68"/>
        <v>0</v>
      </c>
      <c r="DR64" s="3">
        <f t="shared" si="68"/>
        <v>0</v>
      </c>
      <c r="DS64" s="3">
        <f t="shared" si="68"/>
        <v>0</v>
      </c>
      <c r="DT64" s="3">
        <f t="shared" si="68"/>
        <v>0</v>
      </c>
      <c r="DU64" s="3">
        <f t="shared" si="68"/>
        <v>0</v>
      </c>
      <c r="DV64" s="3">
        <f t="shared" si="68"/>
        <v>0</v>
      </c>
      <c r="DW64" s="3">
        <f t="shared" si="68"/>
        <v>0</v>
      </c>
      <c r="DX64" s="3">
        <f t="shared" si="68"/>
        <v>0</v>
      </c>
      <c r="DY64" s="3">
        <f t="shared" si="68"/>
        <v>0</v>
      </c>
    </row>
    <row r="65" spans="1:129">
      <c r="C65" s="3" t="s">
        <v>95</v>
      </c>
      <c r="D65" s="10" t="s">
        <v>0</v>
      </c>
      <c r="G65" s="23">
        <f>SUM(I65:DY65)</f>
        <v>29381080.07940238</v>
      </c>
      <c r="I65" s="3">
        <f t="shared" ref="I65:BT65" si="69">I63-I64</f>
        <v>0</v>
      </c>
      <c r="J65" s="3">
        <f t="shared" si="69"/>
        <v>0</v>
      </c>
      <c r="K65" s="3">
        <f t="shared" si="69"/>
        <v>0</v>
      </c>
      <c r="L65" s="3">
        <f t="shared" si="69"/>
        <v>0</v>
      </c>
      <c r="M65" s="3">
        <f t="shared" si="69"/>
        <v>0</v>
      </c>
      <c r="N65" s="3">
        <f t="shared" si="69"/>
        <v>0</v>
      </c>
      <c r="O65" s="3">
        <f t="shared" si="69"/>
        <v>0</v>
      </c>
      <c r="P65" s="3">
        <f t="shared" si="69"/>
        <v>0</v>
      </c>
      <c r="Q65" s="3">
        <f t="shared" si="69"/>
        <v>0</v>
      </c>
      <c r="R65" s="3">
        <f t="shared" si="69"/>
        <v>0</v>
      </c>
      <c r="S65" s="3">
        <f t="shared" si="69"/>
        <v>0</v>
      </c>
      <c r="T65" s="3">
        <f t="shared" si="69"/>
        <v>0</v>
      </c>
      <c r="U65" s="3">
        <f t="shared" si="69"/>
        <v>0</v>
      </c>
      <c r="V65" s="3">
        <f t="shared" si="69"/>
        <v>0</v>
      </c>
      <c r="W65" s="3">
        <f t="shared" si="69"/>
        <v>0</v>
      </c>
      <c r="X65" s="3">
        <f t="shared" si="69"/>
        <v>0</v>
      </c>
      <c r="Y65" s="3">
        <f t="shared" si="69"/>
        <v>0</v>
      </c>
      <c r="Z65" s="3">
        <f t="shared" si="69"/>
        <v>0</v>
      </c>
      <c r="AA65" s="3">
        <f t="shared" si="69"/>
        <v>0</v>
      </c>
      <c r="AB65" s="3">
        <f t="shared" si="69"/>
        <v>0</v>
      </c>
      <c r="AC65" s="3">
        <f t="shared" si="69"/>
        <v>9517958.4263256062</v>
      </c>
      <c r="AD65" s="3">
        <f t="shared" si="69"/>
        <v>0</v>
      </c>
      <c r="AE65" s="3">
        <f t="shared" si="69"/>
        <v>0</v>
      </c>
      <c r="AF65" s="3">
        <f t="shared" si="69"/>
        <v>0</v>
      </c>
      <c r="AG65" s="3">
        <f t="shared" si="69"/>
        <v>0</v>
      </c>
      <c r="AH65" s="3">
        <f t="shared" si="69"/>
        <v>0</v>
      </c>
      <c r="AI65" s="3">
        <f t="shared" si="69"/>
        <v>0</v>
      </c>
      <c r="AJ65" s="3">
        <f t="shared" si="69"/>
        <v>0</v>
      </c>
      <c r="AK65" s="3">
        <f t="shared" si="69"/>
        <v>0</v>
      </c>
      <c r="AL65" s="3">
        <f t="shared" si="69"/>
        <v>0</v>
      </c>
      <c r="AM65" s="3">
        <f t="shared" si="69"/>
        <v>0</v>
      </c>
      <c r="AN65" s="3">
        <f t="shared" si="69"/>
        <v>0</v>
      </c>
      <c r="AO65" s="3">
        <f t="shared" si="69"/>
        <v>0</v>
      </c>
      <c r="AP65" s="3">
        <f t="shared" si="69"/>
        <v>0</v>
      </c>
      <c r="AQ65" s="3">
        <f t="shared" si="69"/>
        <v>0</v>
      </c>
      <c r="AR65" s="3">
        <f t="shared" si="69"/>
        <v>0</v>
      </c>
      <c r="AS65" s="3">
        <f t="shared" si="69"/>
        <v>0</v>
      </c>
      <c r="AT65" s="3">
        <f t="shared" si="69"/>
        <v>0</v>
      </c>
      <c r="AU65" s="3">
        <f t="shared" si="69"/>
        <v>0</v>
      </c>
      <c r="AV65" s="3">
        <f t="shared" si="69"/>
        <v>0</v>
      </c>
      <c r="AW65" s="3">
        <f t="shared" si="69"/>
        <v>8641535.9326935783</v>
      </c>
      <c r="AX65" s="3">
        <f t="shared" si="69"/>
        <v>0</v>
      </c>
      <c r="AY65" s="3">
        <f t="shared" si="69"/>
        <v>0</v>
      </c>
      <c r="AZ65" s="3">
        <f t="shared" si="69"/>
        <v>0</v>
      </c>
      <c r="BA65" s="3">
        <f t="shared" si="69"/>
        <v>0</v>
      </c>
      <c r="BB65" s="3">
        <f t="shared" si="69"/>
        <v>0</v>
      </c>
      <c r="BC65" s="3">
        <f t="shared" si="69"/>
        <v>0</v>
      </c>
      <c r="BD65" s="3">
        <f t="shared" si="69"/>
        <v>0</v>
      </c>
      <c r="BE65" s="3">
        <f t="shared" si="69"/>
        <v>0</v>
      </c>
      <c r="BF65" s="3">
        <f t="shared" si="69"/>
        <v>0</v>
      </c>
      <c r="BG65" s="3">
        <f t="shared" si="69"/>
        <v>0</v>
      </c>
      <c r="BH65" s="3">
        <f t="shared" si="69"/>
        <v>0</v>
      </c>
      <c r="BI65" s="3">
        <f t="shared" si="69"/>
        <v>0</v>
      </c>
      <c r="BJ65" s="3">
        <f t="shared" si="69"/>
        <v>0</v>
      </c>
      <c r="BK65" s="3">
        <f t="shared" si="69"/>
        <v>0</v>
      </c>
      <c r="BL65" s="3">
        <f t="shared" si="69"/>
        <v>0</v>
      </c>
      <c r="BM65" s="3">
        <f t="shared" si="69"/>
        <v>0</v>
      </c>
      <c r="BN65" s="3">
        <f t="shared" si="69"/>
        <v>0</v>
      </c>
      <c r="BO65" s="3">
        <f t="shared" si="69"/>
        <v>0</v>
      </c>
      <c r="BP65" s="3">
        <f t="shared" si="69"/>
        <v>0</v>
      </c>
      <c r="BQ65" s="3">
        <f t="shared" si="69"/>
        <v>6847266.6500380337</v>
      </c>
      <c r="BR65" s="3">
        <f t="shared" si="69"/>
        <v>0</v>
      </c>
      <c r="BS65" s="3">
        <f t="shared" si="69"/>
        <v>0</v>
      </c>
      <c r="BT65" s="3">
        <f t="shared" si="69"/>
        <v>0</v>
      </c>
      <c r="BU65" s="3">
        <f t="shared" ref="BU65:DY65" si="70">BU63-BU64</f>
        <v>0</v>
      </c>
      <c r="BV65" s="3">
        <f t="shared" si="70"/>
        <v>0</v>
      </c>
      <c r="BW65" s="3">
        <f t="shared" si="70"/>
        <v>0</v>
      </c>
      <c r="BX65" s="3">
        <f t="shared" si="70"/>
        <v>0</v>
      </c>
      <c r="BY65" s="3">
        <f t="shared" si="70"/>
        <v>0</v>
      </c>
      <c r="BZ65" s="3">
        <f t="shared" si="70"/>
        <v>0</v>
      </c>
      <c r="CA65" s="3">
        <f t="shared" si="70"/>
        <v>0</v>
      </c>
      <c r="CB65" s="3">
        <f t="shared" si="70"/>
        <v>0</v>
      </c>
      <c r="CC65" s="3">
        <f t="shared" si="70"/>
        <v>0</v>
      </c>
      <c r="CD65" s="3">
        <f t="shared" si="70"/>
        <v>0</v>
      </c>
      <c r="CE65" s="3">
        <f t="shared" si="70"/>
        <v>0</v>
      </c>
      <c r="CF65" s="3">
        <f t="shared" si="70"/>
        <v>0</v>
      </c>
      <c r="CG65" s="3">
        <f t="shared" si="70"/>
        <v>0</v>
      </c>
      <c r="CH65" s="3">
        <f t="shared" si="70"/>
        <v>0</v>
      </c>
      <c r="CI65" s="3">
        <f t="shared" si="70"/>
        <v>0</v>
      </c>
      <c r="CJ65" s="3">
        <f t="shared" si="70"/>
        <v>0</v>
      </c>
      <c r="CK65" s="3">
        <f t="shared" si="70"/>
        <v>4374319.0703451652</v>
      </c>
      <c r="CL65" s="3">
        <f t="shared" si="70"/>
        <v>0</v>
      </c>
      <c r="CM65" s="3">
        <f t="shared" si="70"/>
        <v>0</v>
      </c>
      <c r="CN65" s="3">
        <f t="shared" si="70"/>
        <v>0</v>
      </c>
      <c r="CO65" s="3">
        <f t="shared" si="70"/>
        <v>0</v>
      </c>
      <c r="CP65" s="3">
        <f t="shared" si="70"/>
        <v>0</v>
      </c>
      <c r="CQ65" s="3">
        <f t="shared" si="70"/>
        <v>0</v>
      </c>
      <c r="CR65" s="3">
        <f t="shared" si="70"/>
        <v>0</v>
      </c>
      <c r="CS65" s="3">
        <f t="shared" si="70"/>
        <v>0</v>
      </c>
      <c r="CT65" s="3">
        <f t="shared" si="70"/>
        <v>0</v>
      </c>
      <c r="CU65" s="3">
        <f t="shared" si="70"/>
        <v>0</v>
      </c>
      <c r="CV65" s="3">
        <f t="shared" si="70"/>
        <v>0</v>
      </c>
      <c r="CW65" s="3">
        <f t="shared" si="70"/>
        <v>0</v>
      </c>
      <c r="CX65" s="3">
        <f t="shared" si="70"/>
        <v>0</v>
      </c>
      <c r="CY65" s="3">
        <f t="shared" si="70"/>
        <v>0</v>
      </c>
      <c r="CZ65" s="3">
        <f t="shared" si="70"/>
        <v>0</v>
      </c>
      <c r="DA65" s="3">
        <f t="shared" si="70"/>
        <v>0</v>
      </c>
      <c r="DB65" s="3">
        <f t="shared" si="70"/>
        <v>0</v>
      </c>
      <c r="DC65" s="3">
        <f t="shared" si="70"/>
        <v>0</v>
      </c>
      <c r="DD65" s="3">
        <f t="shared" si="70"/>
        <v>0</v>
      </c>
      <c r="DE65" s="3">
        <f t="shared" si="70"/>
        <v>0</v>
      </c>
      <c r="DF65" s="3">
        <f t="shared" si="70"/>
        <v>0</v>
      </c>
      <c r="DG65" s="3">
        <f t="shared" si="70"/>
        <v>0</v>
      </c>
      <c r="DH65" s="3">
        <f t="shared" si="70"/>
        <v>0</v>
      </c>
      <c r="DI65" s="3">
        <f t="shared" si="70"/>
        <v>0</v>
      </c>
      <c r="DJ65" s="3">
        <f t="shared" si="70"/>
        <v>0</v>
      </c>
      <c r="DK65" s="3">
        <f t="shared" si="70"/>
        <v>0</v>
      </c>
      <c r="DL65" s="3">
        <f t="shared" si="70"/>
        <v>0</v>
      </c>
      <c r="DM65" s="3">
        <f t="shared" si="70"/>
        <v>0</v>
      </c>
      <c r="DN65" s="3">
        <f t="shared" si="70"/>
        <v>0</v>
      </c>
      <c r="DO65" s="3">
        <f t="shared" si="70"/>
        <v>0</v>
      </c>
      <c r="DP65" s="3">
        <f t="shared" si="70"/>
        <v>0</v>
      </c>
      <c r="DQ65" s="3">
        <f t="shared" si="70"/>
        <v>0</v>
      </c>
      <c r="DR65" s="3">
        <f t="shared" si="70"/>
        <v>0</v>
      </c>
      <c r="DS65" s="3">
        <f t="shared" si="70"/>
        <v>0</v>
      </c>
      <c r="DT65" s="3">
        <f t="shared" si="70"/>
        <v>0</v>
      </c>
      <c r="DU65" s="3">
        <f t="shared" si="70"/>
        <v>0</v>
      </c>
      <c r="DV65" s="3">
        <f t="shared" si="70"/>
        <v>0</v>
      </c>
      <c r="DW65" s="3">
        <f t="shared" si="70"/>
        <v>0</v>
      </c>
      <c r="DX65" s="3">
        <f t="shared" si="70"/>
        <v>0</v>
      </c>
      <c r="DY65" s="3">
        <f t="shared" si="70"/>
        <v>0</v>
      </c>
    </row>
    <row r="66" spans="1:129">
      <c r="D66" s="10"/>
    </row>
    <row r="67" spans="1:129" ht="15.6">
      <c r="A67" s="9" t="s">
        <v>21</v>
      </c>
      <c r="D67" s="10"/>
    </row>
    <row r="68" spans="1:129">
      <c r="B68" s="15" t="s">
        <v>96</v>
      </c>
      <c r="D68" s="10"/>
    </row>
    <row r="69" spans="1:129" ht="13.8">
      <c r="C69" s="7" t="s">
        <v>97</v>
      </c>
      <c r="D69" s="10" t="s">
        <v>0</v>
      </c>
      <c r="I69" s="3">
        <f t="shared" ref="I69:BT69" si="71">H77</f>
        <v>0</v>
      </c>
      <c r="J69" s="3">
        <f t="shared" si="71"/>
        <v>10000000</v>
      </c>
      <c r="K69" s="3">
        <f t="shared" si="71"/>
        <v>9949257.2123579886</v>
      </c>
      <c r="L69" s="3">
        <f t="shared" si="71"/>
        <v>9897880.1398704518</v>
      </c>
      <c r="M69" s="3">
        <f t="shared" si="71"/>
        <v>9845860.8539768215</v>
      </c>
      <c r="N69" s="3">
        <f t="shared" si="71"/>
        <v>9793191.3270095196</v>
      </c>
      <c r="O69" s="3">
        <f t="shared" si="71"/>
        <v>9739863.4309551269</v>
      </c>
      <c r="P69" s="3">
        <f t="shared" si="71"/>
        <v>9685868.9362000544</v>
      </c>
      <c r="Q69" s="3">
        <f t="shared" si="71"/>
        <v>9631199.5102605429</v>
      </c>
      <c r="R69" s="3">
        <f t="shared" si="71"/>
        <v>9575846.716496788</v>
      </c>
      <c r="S69" s="3">
        <f t="shared" si="71"/>
        <v>9519802.0128109865</v>
      </c>
      <c r="T69" s="3">
        <f t="shared" si="71"/>
        <v>9463056.7503291126</v>
      </c>
      <c r="U69" s="3">
        <f t="shared" si="71"/>
        <v>9405602.1720662154</v>
      </c>
      <c r="V69" s="3">
        <f t="shared" si="71"/>
        <v>9347429.4115750324</v>
      </c>
      <c r="W69" s="3">
        <f t="shared" si="71"/>
        <v>9288529.4915777091</v>
      </c>
      <c r="X69" s="3">
        <f t="shared" si="71"/>
        <v>9228893.3225804195</v>
      </c>
      <c r="Y69" s="3">
        <f t="shared" si="71"/>
        <v>9168511.7014706638</v>
      </c>
      <c r="Z69" s="3">
        <f t="shared" si="71"/>
        <v>9107375.310097035</v>
      </c>
      <c r="AA69" s="3">
        <f t="shared" si="71"/>
        <v>9045474.7138312366</v>
      </c>
      <c r="AB69" s="3">
        <f t="shared" si="71"/>
        <v>8982800.3601121157</v>
      </c>
      <c r="AC69" s="3">
        <f t="shared" si="71"/>
        <v>8919342.5769715048</v>
      </c>
      <c r="AD69" s="3">
        <f t="shared" si="71"/>
        <v>9614099.4205309153</v>
      </c>
      <c r="AE69" s="3">
        <f t="shared" si="71"/>
        <v>9543469.2081333678</v>
      </c>
      <c r="AF69" s="3">
        <f t="shared" si="71"/>
        <v>9471956.1180808507</v>
      </c>
      <c r="AG69" s="3">
        <f t="shared" si="71"/>
        <v>9399549.1144026779</v>
      </c>
      <c r="AH69" s="3">
        <f t="shared" si="71"/>
        <v>9326237.0231785271</v>
      </c>
      <c r="AI69" s="3">
        <f t="shared" si="71"/>
        <v>9252008.5308140758</v>
      </c>
      <c r="AJ69" s="3">
        <f t="shared" si="71"/>
        <v>9176852.1822950672</v>
      </c>
      <c r="AK69" s="3">
        <f t="shared" si="71"/>
        <v>9100756.3794195727</v>
      </c>
      <c r="AL69" s="3">
        <f t="shared" si="71"/>
        <v>9023709.379008133</v>
      </c>
      <c r="AM69" s="3">
        <f t="shared" si="71"/>
        <v>8945699.2910915501</v>
      </c>
      <c r="AN69" s="3">
        <f t="shared" si="71"/>
        <v>8866714.0770760104</v>
      </c>
      <c r="AO69" s="3">
        <f t="shared" si="71"/>
        <v>8786741.5478852764</v>
      </c>
      <c r="AP69" s="3">
        <f t="shared" si="71"/>
        <v>8705769.3620796595</v>
      </c>
      <c r="AQ69" s="3">
        <f t="shared" si="71"/>
        <v>8623785.0239514709</v>
      </c>
      <c r="AR69" s="3">
        <f t="shared" si="71"/>
        <v>8540775.8815966807</v>
      </c>
      <c r="AS69" s="3">
        <f t="shared" si="71"/>
        <v>8456729.1249624547</v>
      </c>
      <c r="AT69" s="3">
        <f t="shared" si="71"/>
        <v>8371631.7838703012</v>
      </c>
      <c r="AU69" s="3">
        <f t="shared" si="71"/>
        <v>8285470.7260144949</v>
      </c>
      <c r="AV69" s="3">
        <f t="shared" si="71"/>
        <v>8198232.6549354922</v>
      </c>
      <c r="AW69" s="3">
        <f t="shared" si="71"/>
        <v>8109904.1079680026</v>
      </c>
      <c r="AX69" s="3">
        <f t="shared" si="71"/>
        <v>8728824.1744379587</v>
      </c>
      <c r="AY69" s="3">
        <f t="shared" si="71"/>
        <v>8626174.5462380871</v>
      </c>
      <c r="AZ69" s="3">
        <f t="shared" si="71"/>
        <v>8522370.1097209677</v>
      </c>
      <c r="BA69" s="3">
        <f t="shared" si="71"/>
        <v>8417397.873293031</v>
      </c>
      <c r="BB69" s="3">
        <f t="shared" si="71"/>
        <v>8311244.6992052794</v>
      </c>
      <c r="BC69" s="3">
        <f t="shared" si="71"/>
        <v>8203897.3019090407</v>
      </c>
      <c r="BD69" s="3">
        <f t="shared" si="71"/>
        <v>8095342.2463932186</v>
      </c>
      <c r="BE69" s="3">
        <f t="shared" si="71"/>
        <v>7985565.9465028439</v>
      </c>
      <c r="BF69" s="3">
        <f t="shared" si="71"/>
        <v>7874554.6632387023</v>
      </c>
      <c r="BG69" s="3">
        <f t="shared" si="71"/>
        <v>7762294.5030378392</v>
      </c>
      <c r="BH69" s="3">
        <f t="shared" si="71"/>
        <v>7648771.4160347171</v>
      </c>
      <c r="BI69" s="3">
        <f t="shared" si="71"/>
        <v>7533971.1943028094</v>
      </c>
      <c r="BJ69" s="3">
        <f t="shared" si="71"/>
        <v>7417879.4700764176</v>
      </c>
      <c r="BK69" s="3">
        <f t="shared" si="71"/>
        <v>7300481.713952479</v>
      </c>
      <c r="BL69" s="3">
        <f t="shared" si="71"/>
        <v>7181763.2330721458</v>
      </c>
      <c r="BM69" s="3">
        <f t="shared" si="71"/>
        <v>7061709.1692819092</v>
      </c>
      <c r="BN69" s="3">
        <f t="shared" si="71"/>
        <v>6940304.4972740319</v>
      </c>
      <c r="BO69" s="3">
        <f t="shared" si="71"/>
        <v>6817534.0227060663</v>
      </c>
      <c r="BP69" s="3">
        <f t="shared" si="71"/>
        <v>6693382.3802992105</v>
      </c>
      <c r="BQ69" s="3">
        <f t="shared" si="71"/>
        <v>6567834.0319152782</v>
      </c>
      <c r="BR69" s="3">
        <f t="shared" si="71"/>
        <v>6916430.9596343776</v>
      </c>
      <c r="BS69" s="3">
        <f t="shared" si="71"/>
        <v>6785576.8726467639</v>
      </c>
      <c r="BT69" s="3">
        <f t="shared" si="71"/>
        <v>6652923.5419630706</v>
      </c>
      <c r="BU69" s="3">
        <f t="shared" ref="BU69:DY69" si="72">BT77</f>
        <v>6518446.2279824773</v>
      </c>
      <c r="BV69" s="3">
        <f t="shared" si="72"/>
        <v>6382119.8509346507</v>
      </c>
      <c r="BW69" s="3">
        <f t="shared" si="72"/>
        <v>6243918.986202416</v>
      </c>
      <c r="BX69" s="3">
        <f t="shared" si="72"/>
        <v>6103817.8595801136</v>
      </c>
      <c r="BY69" s="3">
        <f t="shared" si="72"/>
        <v>5961790.3424667539</v>
      </c>
      <c r="BZ69" s="3">
        <f t="shared" si="72"/>
        <v>5817809.9469930856</v>
      </c>
      <c r="CA69" s="3">
        <f t="shared" si="72"/>
        <v>5671849.8210816542</v>
      </c>
      <c r="CB69" s="3">
        <f t="shared" si="72"/>
        <v>5523882.7434389414</v>
      </c>
      <c r="CC69" s="3">
        <f t="shared" si="72"/>
        <v>5373881.1184786409</v>
      </c>
      <c r="CD69" s="3">
        <f t="shared" si="72"/>
        <v>5221816.971175136</v>
      </c>
      <c r="CE69" s="3">
        <f t="shared" si="72"/>
        <v>5067661.9418462086</v>
      </c>
      <c r="CF69" s="3">
        <f t="shared" si="72"/>
        <v>4911387.2808640078</v>
      </c>
      <c r="CG69" s="3">
        <f t="shared" si="72"/>
        <v>4752963.8432933018</v>
      </c>
      <c r="CH69" s="3">
        <f t="shared" si="72"/>
        <v>4592362.0834559985</v>
      </c>
      <c r="CI69" s="3">
        <f t="shared" si="72"/>
        <v>4429552.0494209323</v>
      </c>
      <c r="CJ69" s="3">
        <f t="shared" si="72"/>
        <v>4264503.3774178838</v>
      </c>
      <c r="CK69" s="3">
        <f t="shared" si="72"/>
        <v>4097185.2861747937</v>
      </c>
      <c r="CL69" s="3">
        <f t="shared" si="72"/>
        <v>4418504.1114597628</v>
      </c>
      <c r="CM69" s="3">
        <f t="shared" si="72"/>
        <v>4222674.2876501363</v>
      </c>
      <c r="CN69" s="3">
        <f t="shared" si="72"/>
        <v>4024396.5910428897</v>
      </c>
      <c r="CO69" s="3">
        <f t="shared" si="72"/>
        <v>3823640.4232280524</v>
      </c>
      <c r="CP69" s="3">
        <f t="shared" si="72"/>
        <v>3620374.8033155296</v>
      </c>
      <c r="CQ69" s="3">
        <f t="shared" si="72"/>
        <v>3414568.3631541003</v>
      </c>
      <c r="CR69" s="3">
        <f t="shared" si="72"/>
        <v>3206189.342490653</v>
      </c>
      <c r="CS69" s="3">
        <f t="shared" si="72"/>
        <v>2995205.584068913</v>
      </c>
      <c r="CT69" s="3">
        <f t="shared" si="72"/>
        <v>2781584.5286669009</v>
      </c>
      <c r="CU69" s="3">
        <f t="shared" si="72"/>
        <v>2565293.2100723637</v>
      </c>
      <c r="CV69" s="3">
        <f t="shared" si="72"/>
        <v>2346298.2499953951</v>
      </c>
      <c r="CW69" s="3">
        <f t="shared" si="72"/>
        <v>2124565.8529174645</v>
      </c>
      <c r="CX69" s="3">
        <f t="shared" si="72"/>
        <v>1900061.8008760593</v>
      </c>
      <c r="CY69" s="3">
        <f t="shared" si="72"/>
        <v>1672751.4481841368</v>
      </c>
      <c r="CZ69" s="3">
        <f t="shared" si="72"/>
        <v>1442599.7160835653</v>
      </c>
      <c r="DA69" s="3">
        <f t="shared" si="72"/>
        <v>1209571.0873317365</v>
      </c>
      <c r="DB69" s="3">
        <f t="shared" si="72"/>
        <v>973629.60072050989</v>
      </c>
      <c r="DC69" s="3">
        <f t="shared" si="72"/>
        <v>734738.84552664298</v>
      </c>
      <c r="DD69" s="3">
        <f t="shared" si="72"/>
        <v>492861.95589285274</v>
      </c>
      <c r="DE69" s="3">
        <f t="shared" si="72"/>
        <v>247961.60513864018</v>
      </c>
      <c r="DF69" s="3">
        <f t="shared" si="72"/>
        <v>0</v>
      </c>
      <c r="DG69" s="3">
        <f t="shared" si="72"/>
        <v>0</v>
      </c>
      <c r="DH69" s="3">
        <f t="shared" si="72"/>
        <v>0</v>
      </c>
      <c r="DI69" s="3">
        <f t="shared" si="72"/>
        <v>0</v>
      </c>
      <c r="DJ69" s="3">
        <f t="shared" si="72"/>
        <v>0</v>
      </c>
      <c r="DK69" s="3">
        <f t="shared" si="72"/>
        <v>0</v>
      </c>
      <c r="DL69" s="3">
        <f t="shared" si="72"/>
        <v>0</v>
      </c>
      <c r="DM69" s="3">
        <f t="shared" si="72"/>
        <v>0</v>
      </c>
      <c r="DN69" s="3">
        <f t="shared" si="72"/>
        <v>0</v>
      </c>
      <c r="DO69" s="3">
        <f t="shared" si="72"/>
        <v>0</v>
      </c>
      <c r="DP69" s="3">
        <f t="shared" si="72"/>
        <v>0</v>
      </c>
      <c r="DQ69" s="3">
        <f t="shared" si="72"/>
        <v>0</v>
      </c>
      <c r="DR69" s="3">
        <f t="shared" si="72"/>
        <v>0</v>
      </c>
      <c r="DS69" s="3">
        <f t="shared" si="72"/>
        <v>0</v>
      </c>
      <c r="DT69" s="3">
        <f t="shared" si="72"/>
        <v>0</v>
      </c>
      <c r="DU69" s="3">
        <f t="shared" si="72"/>
        <v>0</v>
      </c>
      <c r="DV69" s="3">
        <f t="shared" si="72"/>
        <v>0</v>
      </c>
      <c r="DW69" s="3">
        <f t="shared" si="72"/>
        <v>0</v>
      </c>
      <c r="DX69" s="3">
        <f t="shared" si="72"/>
        <v>0</v>
      </c>
      <c r="DY69" s="3">
        <f t="shared" si="72"/>
        <v>0</v>
      </c>
    </row>
    <row r="70" spans="1:129" ht="13.8">
      <c r="C70" s="7" t="s">
        <v>98</v>
      </c>
      <c r="D70" s="10" t="s">
        <v>0</v>
      </c>
      <c r="E70" s="27">
        <f>CaseData!$G$18</f>
        <v>44196</v>
      </c>
      <c r="F70" s="28">
        <f>CaseData!G17</f>
        <v>10000000</v>
      </c>
      <c r="G70" s="23">
        <f>SUM(I70:DY70)</f>
        <v>10000000</v>
      </c>
      <c r="I70" s="3">
        <f t="shared" ref="I70:BT70" si="73">$F70*(I$3=$E70)</f>
        <v>10000000</v>
      </c>
      <c r="J70" s="3">
        <f t="shared" si="73"/>
        <v>0</v>
      </c>
      <c r="K70" s="3">
        <f t="shared" si="73"/>
        <v>0</v>
      </c>
      <c r="L70" s="3">
        <f t="shared" si="73"/>
        <v>0</v>
      </c>
      <c r="M70" s="3">
        <f t="shared" si="73"/>
        <v>0</v>
      </c>
      <c r="N70" s="3">
        <f t="shared" si="73"/>
        <v>0</v>
      </c>
      <c r="O70" s="3">
        <f t="shared" si="73"/>
        <v>0</v>
      </c>
      <c r="P70" s="3">
        <f t="shared" si="73"/>
        <v>0</v>
      </c>
      <c r="Q70" s="3">
        <f t="shared" si="73"/>
        <v>0</v>
      </c>
      <c r="R70" s="3">
        <f t="shared" si="73"/>
        <v>0</v>
      </c>
      <c r="S70" s="3">
        <f t="shared" si="73"/>
        <v>0</v>
      </c>
      <c r="T70" s="3">
        <f t="shared" si="73"/>
        <v>0</v>
      </c>
      <c r="U70" s="3">
        <f t="shared" si="73"/>
        <v>0</v>
      </c>
      <c r="V70" s="3">
        <f t="shared" si="73"/>
        <v>0</v>
      </c>
      <c r="W70" s="3">
        <f t="shared" si="73"/>
        <v>0</v>
      </c>
      <c r="X70" s="3">
        <f t="shared" si="73"/>
        <v>0</v>
      </c>
      <c r="Y70" s="3">
        <f t="shared" si="73"/>
        <v>0</v>
      </c>
      <c r="Z70" s="3">
        <f t="shared" si="73"/>
        <v>0</v>
      </c>
      <c r="AA70" s="3">
        <f t="shared" si="73"/>
        <v>0</v>
      </c>
      <c r="AB70" s="3">
        <f t="shared" si="73"/>
        <v>0</v>
      </c>
      <c r="AC70" s="3">
        <f t="shared" si="73"/>
        <v>0</v>
      </c>
      <c r="AD70" s="3">
        <f t="shared" si="73"/>
        <v>0</v>
      </c>
      <c r="AE70" s="3">
        <f t="shared" si="73"/>
        <v>0</v>
      </c>
      <c r="AF70" s="3">
        <f t="shared" si="73"/>
        <v>0</v>
      </c>
      <c r="AG70" s="3">
        <f t="shared" si="73"/>
        <v>0</v>
      </c>
      <c r="AH70" s="3">
        <f t="shared" si="73"/>
        <v>0</v>
      </c>
      <c r="AI70" s="3">
        <f t="shared" si="73"/>
        <v>0</v>
      </c>
      <c r="AJ70" s="3">
        <f t="shared" si="73"/>
        <v>0</v>
      </c>
      <c r="AK70" s="3">
        <f t="shared" si="73"/>
        <v>0</v>
      </c>
      <c r="AL70" s="3">
        <f t="shared" si="73"/>
        <v>0</v>
      </c>
      <c r="AM70" s="3">
        <f t="shared" si="73"/>
        <v>0</v>
      </c>
      <c r="AN70" s="3">
        <f t="shared" si="73"/>
        <v>0</v>
      </c>
      <c r="AO70" s="3">
        <f t="shared" si="73"/>
        <v>0</v>
      </c>
      <c r="AP70" s="3">
        <f t="shared" si="73"/>
        <v>0</v>
      </c>
      <c r="AQ70" s="3">
        <f t="shared" si="73"/>
        <v>0</v>
      </c>
      <c r="AR70" s="3">
        <f t="shared" si="73"/>
        <v>0</v>
      </c>
      <c r="AS70" s="3">
        <f t="shared" si="73"/>
        <v>0</v>
      </c>
      <c r="AT70" s="3">
        <f t="shared" si="73"/>
        <v>0</v>
      </c>
      <c r="AU70" s="3">
        <f t="shared" si="73"/>
        <v>0</v>
      </c>
      <c r="AV70" s="3">
        <f t="shared" si="73"/>
        <v>0</v>
      </c>
      <c r="AW70" s="3">
        <f t="shared" si="73"/>
        <v>0</v>
      </c>
      <c r="AX70" s="3">
        <f t="shared" si="73"/>
        <v>0</v>
      </c>
      <c r="AY70" s="3">
        <f t="shared" si="73"/>
        <v>0</v>
      </c>
      <c r="AZ70" s="3">
        <f t="shared" si="73"/>
        <v>0</v>
      </c>
      <c r="BA70" s="3">
        <f t="shared" si="73"/>
        <v>0</v>
      </c>
      <c r="BB70" s="3">
        <f t="shared" si="73"/>
        <v>0</v>
      </c>
      <c r="BC70" s="3">
        <f t="shared" si="73"/>
        <v>0</v>
      </c>
      <c r="BD70" s="3">
        <f t="shared" si="73"/>
        <v>0</v>
      </c>
      <c r="BE70" s="3">
        <f t="shared" si="73"/>
        <v>0</v>
      </c>
      <c r="BF70" s="3">
        <f t="shared" si="73"/>
        <v>0</v>
      </c>
      <c r="BG70" s="3">
        <f t="shared" si="73"/>
        <v>0</v>
      </c>
      <c r="BH70" s="3">
        <f t="shared" si="73"/>
        <v>0</v>
      </c>
      <c r="BI70" s="3">
        <f t="shared" si="73"/>
        <v>0</v>
      </c>
      <c r="BJ70" s="3">
        <f t="shared" si="73"/>
        <v>0</v>
      </c>
      <c r="BK70" s="3">
        <f t="shared" si="73"/>
        <v>0</v>
      </c>
      <c r="BL70" s="3">
        <f t="shared" si="73"/>
        <v>0</v>
      </c>
      <c r="BM70" s="3">
        <f t="shared" si="73"/>
        <v>0</v>
      </c>
      <c r="BN70" s="3">
        <f t="shared" si="73"/>
        <v>0</v>
      </c>
      <c r="BO70" s="3">
        <f t="shared" si="73"/>
        <v>0</v>
      </c>
      <c r="BP70" s="3">
        <f t="shared" si="73"/>
        <v>0</v>
      </c>
      <c r="BQ70" s="3">
        <f t="shared" si="73"/>
        <v>0</v>
      </c>
      <c r="BR70" s="3">
        <f t="shared" si="73"/>
        <v>0</v>
      </c>
      <c r="BS70" s="3">
        <f t="shared" si="73"/>
        <v>0</v>
      </c>
      <c r="BT70" s="3">
        <f t="shared" si="73"/>
        <v>0</v>
      </c>
      <c r="BU70" s="3">
        <f t="shared" ref="BU70:DY70" si="74">$F70*(BU$3=$E70)</f>
        <v>0</v>
      </c>
      <c r="BV70" s="3">
        <f t="shared" si="74"/>
        <v>0</v>
      </c>
      <c r="BW70" s="3">
        <f t="shared" si="74"/>
        <v>0</v>
      </c>
      <c r="BX70" s="3">
        <f t="shared" si="74"/>
        <v>0</v>
      </c>
      <c r="BY70" s="3">
        <f t="shared" si="74"/>
        <v>0</v>
      </c>
      <c r="BZ70" s="3">
        <f t="shared" si="74"/>
        <v>0</v>
      </c>
      <c r="CA70" s="3">
        <f t="shared" si="74"/>
        <v>0</v>
      </c>
      <c r="CB70" s="3">
        <f t="shared" si="74"/>
        <v>0</v>
      </c>
      <c r="CC70" s="3">
        <f t="shared" si="74"/>
        <v>0</v>
      </c>
      <c r="CD70" s="3">
        <f t="shared" si="74"/>
        <v>0</v>
      </c>
      <c r="CE70" s="3">
        <f t="shared" si="74"/>
        <v>0</v>
      </c>
      <c r="CF70" s="3">
        <f t="shared" si="74"/>
        <v>0</v>
      </c>
      <c r="CG70" s="3">
        <f t="shared" si="74"/>
        <v>0</v>
      </c>
      <c r="CH70" s="3">
        <f t="shared" si="74"/>
        <v>0</v>
      </c>
      <c r="CI70" s="3">
        <f t="shared" si="74"/>
        <v>0</v>
      </c>
      <c r="CJ70" s="3">
        <f t="shared" si="74"/>
        <v>0</v>
      </c>
      <c r="CK70" s="3">
        <f t="shared" si="74"/>
        <v>0</v>
      </c>
      <c r="CL70" s="3">
        <f t="shared" si="74"/>
        <v>0</v>
      </c>
      <c r="CM70" s="3">
        <f t="shared" si="74"/>
        <v>0</v>
      </c>
      <c r="CN70" s="3">
        <f t="shared" si="74"/>
        <v>0</v>
      </c>
      <c r="CO70" s="3">
        <f t="shared" si="74"/>
        <v>0</v>
      </c>
      <c r="CP70" s="3">
        <f t="shared" si="74"/>
        <v>0</v>
      </c>
      <c r="CQ70" s="3">
        <f t="shared" si="74"/>
        <v>0</v>
      </c>
      <c r="CR70" s="3">
        <f t="shared" si="74"/>
        <v>0</v>
      </c>
      <c r="CS70" s="3">
        <f t="shared" si="74"/>
        <v>0</v>
      </c>
      <c r="CT70" s="3">
        <f t="shared" si="74"/>
        <v>0</v>
      </c>
      <c r="CU70" s="3">
        <f t="shared" si="74"/>
        <v>0</v>
      </c>
      <c r="CV70" s="3">
        <f t="shared" si="74"/>
        <v>0</v>
      </c>
      <c r="CW70" s="3">
        <f t="shared" si="74"/>
        <v>0</v>
      </c>
      <c r="CX70" s="3">
        <f t="shared" si="74"/>
        <v>0</v>
      </c>
      <c r="CY70" s="3">
        <f t="shared" si="74"/>
        <v>0</v>
      </c>
      <c r="CZ70" s="3">
        <f t="shared" si="74"/>
        <v>0</v>
      </c>
      <c r="DA70" s="3">
        <f t="shared" si="74"/>
        <v>0</v>
      </c>
      <c r="DB70" s="3">
        <f t="shared" si="74"/>
        <v>0</v>
      </c>
      <c r="DC70" s="3">
        <f t="shared" si="74"/>
        <v>0</v>
      </c>
      <c r="DD70" s="3">
        <f t="shared" si="74"/>
        <v>0</v>
      </c>
      <c r="DE70" s="3">
        <f t="shared" si="74"/>
        <v>0</v>
      </c>
      <c r="DF70" s="3">
        <f t="shared" si="74"/>
        <v>0</v>
      </c>
      <c r="DG70" s="3">
        <f t="shared" si="74"/>
        <v>0</v>
      </c>
      <c r="DH70" s="3">
        <f t="shared" si="74"/>
        <v>0</v>
      </c>
      <c r="DI70" s="3">
        <f t="shared" si="74"/>
        <v>0</v>
      </c>
      <c r="DJ70" s="3">
        <f t="shared" si="74"/>
        <v>0</v>
      </c>
      <c r="DK70" s="3">
        <f t="shared" si="74"/>
        <v>0</v>
      </c>
      <c r="DL70" s="3">
        <f t="shared" si="74"/>
        <v>0</v>
      </c>
      <c r="DM70" s="3">
        <f t="shared" si="74"/>
        <v>0</v>
      </c>
      <c r="DN70" s="3">
        <f t="shared" si="74"/>
        <v>0</v>
      </c>
      <c r="DO70" s="3">
        <f t="shared" si="74"/>
        <v>0</v>
      </c>
      <c r="DP70" s="3">
        <f t="shared" si="74"/>
        <v>0</v>
      </c>
      <c r="DQ70" s="3">
        <f t="shared" si="74"/>
        <v>0</v>
      </c>
      <c r="DR70" s="3">
        <f t="shared" si="74"/>
        <v>0</v>
      </c>
      <c r="DS70" s="3">
        <f t="shared" si="74"/>
        <v>0</v>
      </c>
      <c r="DT70" s="3">
        <f t="shared" si="74"/>
        <v>0</v>
      </c>
      <c r="DU70" s="3">
        <f t="shared" si="74"/>
        <v>0</v>
      </c>
      <c r="DV70" s="3">
        <f t="shared" si="74"/>
        <v>0</v>
      </c>
      <c r="DW70" s="3">
        <f t="shared" si="74"/>
        <v>0</v>
      </c>
      <c r="DX70" s="3">
        <f t="shared" si="74"/>
        <v>0</v>
      </c>
      <c r="DY70" s="3">
        <f t="shared" si="74"/>
        <v>0</v>
      </c>
    </row>
    <row r="71" spans="1:129" ht="13.8">
      <c r="C71" s="7" t="s">
        <v>99</v>
      </c>
      <c r="D71" s="10" t="s">
        <v>0</v>
      </c>
      <c r="G71" s="23">
        <f>SUM(I71:DY71)</f>
        <v>8454429.8123102393</v>
      </c>
      <c r="I71" s="3">
        <f t="shared" ref="I71:BT71" si="75">I80</f>
        <v>0</v>
      </c>
      <c r="J71" s="3">
        <f t="shared" si="75"/>
        <v>125000</v>
      </c>
      <c r="K71" s="3">
        <f t="shared" si="75"/>
        <v>124365.71515447486</v>
      </c>
      <c r="L71" s="3">
        <f t="shared" si="75"/>
        <v>123723.50174838066</v>
      </c>
      <c r="M71" s="3">
        <f t="shared" si="75"/>
        <v>123073.26067471027</v>
      </c>
      <c r="N71" s="3">
        <f t="shared" si="75"/>
        <v>122414.891587619</v>
      </c>
      <c r="O71" s="3">
        <f t="shared" si="75"/>
        <v>121748.29288693909</v>
      </c>
      <c r="P71" s="3">
        <f t="shared" si="75"/>
        <v>121073.36170250068</v>
      </c>
      <c r="Q71" s="3">
        <f t="shared" si="75"/>
        <v>120389.99387825679</v>
      </c>
      <c r="R71" s="3">
        <f t="shared" si="75"/>
        <v>119698.08395620986</v>
      </c>
      <c r="S71" s="3">
        <f t="shared" si="75"/>
        <v>118997.52516013733</v>
      </c>
      <c r="T71" s="3">
        <f t="shared" si="75"/>
        <v>118288.20937911392</v>
      </c>
      <c r="U71" s="3">
        <f t="shared" si="75"/>
        <v>117570.02715082769</v>
      </c>
      <c r="V71" s="3">
        <f t="shared" si="75"/>
        <v>116842.86764468791</v>
      </c>
      <c r="W71" s="3">
        <f t="shared" si="75"/>
        <v>116106.61864472137</v>
      </c>
      <c r="X71" s="3">
        <f t="shared" si="75"/>
        <v>115361.16653225524</v>
      </c>
      <c r="Y71" s="3">
        <f t="shared" si="75"/>
        <v>114606.39626838331</v>
      </c>
      <c r="Z71" s="3">
        <f t="shared" si="75"/>
        <v>113842.19137621294</v>
      </c>
      <c r="AA71" s="3">
        <f t="shared" si="75"/>
        <v>113068.43392289046</v>
      </c>
      <c r="AB71" s="3">
        <f t="shared" si="75"/>
        <v>112285.00450140145</v>
      </c>
      <c r="AC71" s="3">
        <f t="shared" si="75"/>
        <v>111491.78221214382</v>
      </c>
      <c r="AD71" s="3">
        <f t="shared" si="75"/>
        <v>120176.24275663645</v>
      </c>
      <c r="AE71" s="3">
        <f t="shared" si="75"/>
        <v>119293.36510166711</v>
      </c>
      <c r="AF71" s="3">
        <f t="shared" si="75"/>
        <v>118399.45147601064</v>
      </c>
      <c r="AG71" s="3">
        <f t="shared" si="75"/>
        <v>117494.36393003348</v>
      </c>
      <c r="AH71" s="3">
        <f t="shared" si="75"/>
        <v>116577.96278973159</v>
      </c>
      <c r="AI71" s="3">
        <f t="shared" si="75"/>
        <v>115650.10663517595</v>
      </c>
      <c r="AJ71" s="3">
        <f t="shared" si="75"/>
        <v>114710.65227868834</v>
      </c>
      <c r="AK71" s="3">
        <f t="shared" si="75"/>
        <v>113759.45474274467</v>
      </c>
      <c r="AL71" s="3">
        <f t="shared" si="75"/>
        <v>112796.36723760166</v>
      </c>
      <c r="AM71" s="3">
        <f t="shared" si="75"/>
        <v>111821.24113864439</v>
      </c>
      <c r="AN71" s="3">
        <f t="shared" si="75"/>
        <v>110833.92596345014</v>
      </c>
      <c r="AO71" s="3">
        <f t="shared" si="75"/>
        <v>109834.26934856595</v>
      </c>
      <c r="AP71" s="3">
        <f t="shared" si="75"/>
        <v>108822.11702599574</v>
      </c>
      <c r="AQ71" s="3">
        <f t="shared" si="75"/>
        <v>107797.31279939339</v>
      </c>
      <c r="AR71" s="3">
        <f t="shared" si="75"/>
        <v>106759.69851995852</v>
      </c>
      <c r="AS71" s="3">
        <f t="shared" si="75"/>
        <v>105709.11406203068</v>
      </c>
      <c r="AT71" s="3">
        <f t="shared" si="75"/>
        <v>104645.39729837877</v>
      </c>
      <c r="AU71" s="3">
        <f t="shared" si="75"/>
        <v>103568.38407518119</v>
      </c>
      <c r="AV71" s="3">
        <f t="shared" si="75"/>
        <v>102477.90818669366</v>
      </c>
      <c r="AW71" s="3">
        <f t="shared" si="75"/>
        <v>101373.80134960003</v>
      </c>
      <c r="AX71" s="3">
        <f t="shared" si="75"/>
        <v>98199.271962427039</v>
      </c>
      <c r="AY71" s="3">
        <f t="shared" si="75"/>
        <v>97044.463645178475</v>
      </c>
      <c r="AZ71" s="3">
        <f t="shared" si="75"/>
        <v>95876.663734360889</v>
      </c>
      <c r="BA71" s="3">
        <f t="shared" si="75"/>
        <v>94695.72607454659</v>
      </c>
      <c r="BB71" s="3">
        <f t="shared" si="75"/>
        <v>93501.502866059396</v>
      </c>
      <c r="BC71" s="3">
        <f t="shared" si="75"/>
        <v>92293.844646476704</v>
      </c>
      <c r="BD71" s="3">
        <f t="shared" si="75"/>
        <v>91072.6002719237</v>
      </c>
      <c r="BE71" s="3">
        <f t="shared" si="75"/>
        <v>89837.616898156994</v>
      </c>
      <c r="BF71" s="3">
        <f t="shared" si="75"/>
        <v>88588.739961435393</v>
      </c>
      <c r="BG71" s="3">
        <f t="shared" si="75"/>
        <v>87325.813159175683</v>
      </c>
      <c r="BH71" s="3">
        <f t="shared" si="75"/>
        <v>86048.678430390559</v>
      </c>
      <c r="BI71" s="3">
        <f t="shared" si="75"/>
        <v>84757.175935906605</v>
      </c>
      <c r="BJ71" s="3">
        <f t="shared" si="75"/>
        <v>83451.144038359693</v>
      </c>
      <c r="BK71" s="3">
        <f t="shared" si="75"/>
        <v>82130.419281965384</v>
      </c>
      <c r="BL71" s="3">
        <f t="shared" si="75"/>
        <v>80794.836372061633</v>
      </c>
      <c r="BM71" s="3">
        <f t="shared" si="75"/>
        <v>79444.228154421478</v>
      </c>
      <c r="BN71" s="3">
        <f t="shared" si="75"/>
        <v>78078.425594332861</v>
      </c>
      <c r="BO71" s="3">
        <f t="shared" si="75"/>
        <v>76697.257755443236</v>
      </c>
      <c r="BP71" s="3">
        <f t="shared" si="75"/>
        <v>75300.55177836612</v>
      </c>
      <c r="BQ71" s="3">
        <f t="shared" si="75"/>
        <v>73888.132859046877</v>
      </c>
      <c r="BR71" s="3">
        <f t="shared" si="75"/>
        <v>95100.925694972699</v>
      </c>
      <c r="BS71" s="3">
        <f t="shared" si="75"/>
        <v>93301.681998893007</v>
      </c>
      <c r="BT71" s="3">
        <f t="shared" si="75"/>
        <v>91477.698701992224</v>
      </c>
      <c r="BU71" s="3">
        <f t="shared" ref="BU71:DY71" si="76">BU80</f>
        <v>89628.635634759063</v>
      </c>
      <c r="BV71" s="3">
        <f t="shared" si="76"/>
        <v>87754.147950351442</v>
      </c>
      <c r="BW71" s="3">
        <f t="shared" si="76"/>
        <v>85853.886060283214</v>
      </c>
      <c r="BX71" s="3">
        <f t="shared" si="76"/>
        <v>83927.495569226565</v>
      </c>
      <c r="BY71" s="3">
        <f t="shared" si="76"/>
        <v>81974.617208917873</v>
      </c>
      <c r="BZ71" s="3">
        <f t="shared" si="76"/>
        <v>79994.886771154925</v>
      </c>
      <c r="CA71" s="3">
        <f t="shared" si="76"/>
        <v>77987.93503987274</v>
      </c>
      <c r="CB71" s="3">
        <f t="shared" si="76"/>
        <v>75953.38772228545</v>
      </c>
      <c r="CC71" s="3">
        <f t="shared" si="76"/>
        <v>73890.865379081311</v>
      </c>
      <c r="CD71" s="3">
        <f t="shared" si="76"/>
        <v>71799.983353658128</v>
      </c>
      <c r="CE71" s="3">
        <f t="shared" si="76"/>
        <v>69680.351700385363</v>
      </c>
      <c r="CF71" s="3">
        <f t="shared" si="76"/>
        <v>67531.575111880113</v>
      </c>
      <c r="CG71" s="3">
        <f t="shared" si="76"/>
        <v>65353.252845282899</v>
      </c>
      <c r="CH71" s="3">
        <f t="shared" si="76"/>
        <v>63144.97864751998</v>
      </c>
      <c r="CI71" s="3">
        <f t="shared" si="76"/>
        <v>60906.340679537818</v>
      </c>
      <c r="CJ71" s="3">
        <f t="shared" si="76"/>
        <v>58636.921439495905</v>
      </c>
      <c r="CK71" s="3">
        <f t="shared" si="76"/>
        <v>56336.297684903417</v>
      </c>
      <c r="CL71" s="3">
        <f t="shared" si="76"/>
        <v>55231.301393247035</v>
      </c>
      <c r="CM71" s="3">
        <f t="shared" si="76"/>
        <v>52783.428595626705</v>
      </c>
      <c r="CN71" s="3">
        <f t="shared" si="76"/>
        <v>50304.957388036128</v>
      </c>
      <c r="CO71" s="3">
        <f t="shared" si="76"/>
        <v>47795.505290350658</v>
      </c>
      <c r="CP71" s="3">
        <f t="shared" si="76"/>
        <v>45254.685041444121</v>
      </c>
      <c r="CQ71" s="3">
        <f t="shared" si="76"/>
        <v>42682.104539426255</v>
      </c>
      <c r="CR71" s="3">
        <f t="shared" si="76"/>
        <v>40077.366781133169</v>
      </c>
      <c r="CS71" s="3">
        <f t="shared" si="76"/>
        <v>37440.069800861413</v>
      </c>
      <c r="CT71" s="3">
        <f t="shared" si="76"/>
        <v>34769.806608336265</v>
      </c>
      <c r="CU71" s="3">
        <f t="shared" si="76"/>
        <v>32066.165125904547</v>
      </c>
      <c r="CV71" s="3">
        <f t="shared" si="76"/>
        <v>29328.728124942441</v>
      </c>
      <c r="CW71" s="3">
        <f t="shared" si="76"/>
        <v>26557.073161468306</v>
      </c>
      <c r="CX71" s="3">
        <f t="shared" si="76"/>
        <v>23750.772510950745</v>
      </c>
      <c r="CY71" s="3">
        <f t="shared" si="76"/>
        <v>20909.39310230171</v>
      </c>
      <c r="CZ71" s="3">
        <f t="shared" si="76"/>
        <v>18032.496451044568</v>
      </c>
      <c r="DA71" s="3">
        <f t="shared" si="76"/>
        <v>15119.638591646706</v>
      </c>
      <c r="DB71" s="3">
        <f t="shared" si="76"/>
        <v>12170.370009006374</v>
      </c>
      <c r="DC71" s="3">
        <f t="shared" si="76"/>
        <v>9184.2355690830373</v>
      </c>
      <c r="DD71" s="3">
        <f t="shared" si="76"/>
        <v>6160.7744486606598</v>
      </c>
      <c r="DE71" s="3">
        <f t="shared" si="76"/>
        <v>3099.5200642330024</v>
      </c>
      <c r="DF71" s="3">
        <f t="shared" si="76"/>
        <v>0</v>
      </c>
      <c r="DG71" s="3">
        <f t="shared" si="76"/>
        <v>0</v>
      </c>
      <c r="DH71" s="3">
        <f t="shared" si="76"/>
        <v>0</v>
      </c>
      <c r="DI71" s="3">
        <f t="shared" si="76"/>
        <v>0</v>
      </c>
      <c r="DJ71" s="3">
        <f t="shared" si="76"/>
        <v>0</v>
      </c>
      <c r="DK71" s="3">
        <f t="shared" si="76"/>
        <v>0</v>
      </c>
      <c r="DL71" s="3">
        <f t="shared" si="76"/>
        <v>0</v>
      </c>
      <c r="DM71" s="3">
        <f t="shared" si="76"/>
        <v>0</v>
      </c>
      <c r="DN71" s="3">
        <f t="shared" si="76"/>
        <v>0</v>
      </c>
      <c r="DO71" s="3">
        <f t="shared" si="76"/>
        <v>0</v>
      </c>
      <c r="DP71" s="3">
        <f t="shared" si="76"/>
        <v>0</v>
      </c>
      <c r="DQ71" s="3">
        <f t="shared" si="76"/>
        <v>0</v>
      </c>
      <c r="DR71" s="3">
        <f t="shared" si="76"/>
        <v>0</v>
      </c>
      <c r="DS71" s="3">
        <f t="shared" si="76"/>
        <v>0</v>
      </c>
      <c r="DT71" s="3">
        <f t="shared" si="76"/>
        <v>0</v>
      </c>
      <c r="DU71" s="3">
        <f t="shared" si="76"/>
        <v>0</v>
      </c>
      <c r="DV71" s="3">
        <f t="shared" si="76"/>
        <v>0</v>
      </c>
      <c r="DW71" s="3">
        <f t="shared" si="76"/>
        <v>0</v>
      </c>
      <c r="DX71" s="3">
        <f t="shared" si="76"/>
        <v>0</v>
      </c>
      <c r="DY71" s="3">
        <f t="shared" si="76"/>
        <v>0</v>
      </c>
    </row>
    <row r="72" spans="1:129" ht="13.8">
      <c r="C72" s="7" t="s">
        <v>100</v>
      </c>
      <c r="D72" s="10" t="s">
        <v>0</v>
      </c>
      <c r="G72" s="23">
        <f>SUM(I72:DY72)</f>
        <v>-8454429.8123102393</v>
      </c>
      <c r="I72" s="3">
        <f t="shared" ref="I72:BT72" si="77">0-I71</f>
        <v>0</v>
      </c>
      <c r="J72" s="3">
        <f t="shared" si="77"/>
        <v>-125000</v>
      </c>
      <c r="K72" s="3">
        <f t="shared" si="77"/>
        <v>-124365.71515447486</v>
      </c>
      <c r="L72" s="3">
        <f t="shared" si="77"/>
        <v>-123723.50174838066</v>
      </c>
      <c r="M72" s="3">
        <f t="shared" si="77"/>
        <v>-123073.26067471027</v>
      </c>
      <c r="N72" s="3">
        <f t="shared" si="77"/>
        <v>-122414.891587619</v>
      </c>
      <c r="O72" s="3">
        <f t="shared" si="77"/>
        <v>-121748.29288693909</v>
      </c>
      <c r="P72" s="3">
        <f t="shared" si="77"/>
        <v>-121073.36170250068</v>
      </c>
      <c r="Q72" s="3">
        <f t="shared" si="77"/>
        <v>-120389.99387825679</v>
      </c>
      <c r="R72" s="3">
        <f t="shared" si="77"/>
        <v>-119698.08395620986</v>
      </c>
      <c r="S72" s="3">
        <f t="shared" si="77"/>
        <v>-118997.52516013733</v>
      </c>
      <c r="T72" s="3">
        <f t="shared" si="77"/>
        <v>-118288.20937911392</v>
      </c>
      <c r="U72" s="3">
        <f t="shared" si="77"/>
        <v>-117570.02715082769</v>
      </c>
      <c r="V72" s="3">
        <f t="shared" si="77"/>
        <v>-116842.86764468791</v>
      </c>
      <c r="W72" s="3">
        <f t="shared" si="77"/>
        <v>-116106.61864472137</v>
      </c>
      <c r="X72" s="3">
        <f t="shared" si="77"/>
        <v>-115361.16653225524</v>
      </c>
      <c r="Y72" s="3">
        <f t="shared" si="77"/>
        <v>-114606.39626838331</v>
      </c>
      <c r="Z72" s="3">
        <f t="shared" si="77"/>
        <v>-113842.19137621294</v>
      </c>
      <c r="AA72" s="3">
        <f t="shared" si="77"/>
        <v>-113068.43392289046</v>
      </c>
      <c r="AB72" s="3">
        <f t="shared" si="77"/>
        <v>-112285.00450140145</v>
      </c>
      <c r="AC72" s="3">
        <f t="shared" si="77"/>
        <v>-111491.78221214382</v>
      </c>
      <c r="AD72" s="3">
        <f t="shared" si="77"/>
        <v>-120176.24275663645</v>
      </c>
      <c r="AE72" s="3">
        <f t="shared" si="77"/>
        <v>-119293.36510166711</v>
      </c>
      <c r="AF72" s="3">
        <f t="shared" si="77"/>
        <v>-118399.45147601064</v>
      </c>
      <c r="AG72" s="3">
        <f t="shared" si="77"/>
        <v>-117494.36393003348</v>
      </c>
      <c r="AH72" s="3">
        <f t="shared" si="77"/>
        <v>-116577.96278973159</v>
      </c>
      <c r="AI72" s="3">
        <f t="shared" si="77"/>
        <v>-115650.10663517595</v>
      </c>
      <c r="AJ72" s="3">
        <f t="shared" si="77"/>
        <v>-114710.65227868834</v>
      </c>
      <c r="AK72" s="3">
        <f t="shared" si="77"/>
        <v>-113759.45474274467</v>
      </c>
      <c r="AL72" s="3">
        <f t="shared" si="77"/>
        <v>-112796.36723760166</v>
      </c>
      <c r="AM72" s="3">
        <f t="shared" si="77"/>
        <v>-111821.24113864439</v>
      </c>
      <c r="AN72" s="3">
        <f t="shared" si="77"/>
        <v>-110833.92596345014</v>
      </c>
      <c r="AO72" s="3">
        <f t="shared" si="77"/>
        <v>-109834.26934856595</v>
      </c>
      <c r="AP72" s="3">
        <f t="shared" si="77"/>
        <v>-108822.11702599574</v>
      </c>
      <c r="AQ72" s="3">
        <f t="shared" si="77"/>
        <v>-107797.31279939339</v>
      </c>
      <c r="AR72" s="3">
        <f t="shared" si="77"/>
        <v>-106759.69851995852</v>
      </c>
      <c r="AS72" s="3">
        <f t="shared" si="77"/>
        <v>-105709.11406203068</v>
      </c>
      <c r="AT72" s="3">
        <f t="shared" si="77"/>
        <v>-104645.39729837877</v>
      </c>
      <c r="AU72" s="3">
        <f t="shared" si="77"/>
        <v>-103568.38407518119</v>
      </c>
      <c r="AV72" s="3">
        <f t="shared" si="77"/>
        <v>-102477.90818669366</v>
      </c>
      <c r="AW72" s="3">
        <f t="shared" si="77"/>
        <v>-101373.80134960003</v>
      </c>
      <c r="AX72" s="3">
        <f t="shared" si="77"/>
        <v>-98199.271962427039</v>
      </c>
      <c r="AY72" s="3">
        <f t="shared" si="77"/>
        <v>-97044.463645178475</v>
      </c>
      <c r="AZ72" s="3">
        <f t="shared" si="77"/>
        <v>-95876.663734360889</v>
      </c>
      <c r="BA72" s="3">
        <f t="shared" si="77"/>
        <v>-94695.72607454659</v>
      </c>
      <c r="BB72" s="3">
        <f t="shared" si="77"/>
        <v>-93501.502866059396</v>
      </c>
      <c r="BC72" s="3">
        <f t="shared" si="77"/>
        <v>-92293.844646476704</v>
      </c>
      <c r="BD72" s="3">
        <f t="shared" si="77"/>
        <v>-91072.6002719237</v>
      </c>
      <c r="BE72" s="3">
        <f t="shared" si="77"/>
        <v>-89837.616898156994</v>
      </c>
      <c r="BF72" s="3">
        <f t="shared" si="77"/>
        <v>-88588.739961435393</v>
      </c>
      <c r="BG72" s="3">
        <f t="shared" si="77"/>
        <v>-87325.813159175683</v>
      </c>
      <c r="BH72" s="3">
        <f t="shared" si="77"/>
        <v>-86048.678430390559</v>
      </c>
      <c r="BI72" s="3">
        <f t="shared" si="77"/>
        <v>-84757.175935906605</v>
      </c>
      <c r="BJ72" s="3">
        <f t="shared" si="77"/>
        <v>-83451.144038359693</v>
      </c>
      <c r="BK72" s="3">
        <f t="shared" si="77"/>
        <v>-82130.419281965384</v>
      </c>
      <c r="BL72" s="3">
        <f t="shared" si="77"/>
        <v>-80794.836372061633</v>
      </c>
      <c r="BM72" s="3">
        <f t="shared" si="77"/>
        <v>-79444.228154421478</v>
      </c>
      <c r="BN72" s="3">
        <f t="shared" si="77"/>
        <v>-78078.425594332861</v>
      </c>
      <c r="BO72" s="3">
        <f t="shared" si="77"/>
        <v>-76697.257755443236</v>
      </c>
      <c r="BP72" s="3">
        <f t="shared" si="77"/>
        <v>-75300.55177836612</v>
      </c>
      <c r="BQ72" s="3">
        <f t="shared" si="77"/>
        <v>-73888.132859046877</v>
      </c>
      <c r="BR72" s="3">
        <f t="shared" si="77"/>
        <v>-95100.925694972699</v>
      </c>
      <c r="BS72" s="3">
        <f t="shared" si="77"/>
        <v>-93301.681998893007</v>
      </c>
      <c r="BT72" s="3">
        <f t="shared" si="77"/>
        <v>-91477.698701992224</v>
      </c>
      <c r="BU72" s="3">
        <f t="shared" ref="BU72:DY72" si="78">0-BU71</f>
        <v>-89628.635634759063</v>
      </c>
      <c r="BV72" s="3">
        <f t="shared" si="78"/>
        <v>-87754.147950351442</v>
      </c>
      <c r="BW72" s="3">
        <f t="shared" si="78"/>
        <v>-85853.886060283214</v>
      </c>
      <c r="BX72" s="3">
        <f t="shared" si="78"/>
        <v>-83927.495569226565</v>
      </c>
      <c r="BY72" s="3">
        <f t="shared" si="78"/>
        <v>-81974.617208917873</v>
      </c>
      <c r="BZ72" s="3">
        <f t="shared" si="78"/>
        <v>-79994.886771154925</v>
      </c>
      <c r="CA72" s="3">
        <f t="shared" si="78"/>
        <v>-77987.93503987274</v>
      </c>
      <c r="CB72" s="3">
        <f t="shared" si="78"/>
        <v>-75953.38772228545</v>
      </c>
      <c r="CC72" s="3">
        <f t="shared" si="78"/>
        <v>-73890.865379081311</v>
      </c>
      <c r="CD72" s="3">
        <f t="shared" si="78"/>
        <v>-71799.983353658128</v>
      </c>
      <c r="CE72" s="3">
        <f t="shared" si="78"/>
        <v>-69680.351700385363</v>
      </c>
      <c r="CF72" s="3">
        <f t="shared" si="78"/>
        <v>-67531.575111880113</v>
      </c>
      <c r="CG72" s="3">
        <f t="shared" si="78"/>
        <v>-65353.252845282899</v>
      </c>
      <c r="CH72" s="3">
        <f t="shared" si="78"/>
        <v>-63144.97864751998</v>
      </c>
      <c r="CI72" s="3">
        <f t="shared" si="78"/>
        <v>-60906.340679537818</v>
      </c>
      <c r="CJ72" s="3">
        <f t="shared" si="78"/>
        <v>-58636.921439495905</v>
      </c>
      <c r="CK72" s="3">
        <f t="shared" si="78"/>
        <v>-56336.297684903417</v>
      </c>
      <c r="CL72" s="3">
        <f t="shared" si="78"/>
        <v>-55231.301393247035</v>
      </c>
      <c r="CM72" s="3">
        <f t="shared" si="78"/>
        <v>-52783.428595626705</v>
      </c>
      <c r="CN72" s="3">
        <f t="shared" si="78"/>
        <v>-50304.957388036128</v>
      </c>
      <c r="CO72" s="3">
        <f t="shared" si="78"/>
        <v>-47795.505290350658</v>
      </c>
      <c r="CP72" s="3">
        <f t="shared" si="78"/>
        <v>-45254.685041444121</v>
      </c>
      <c r="CQ72" s="3">
        <f t="shared" si="78"/>
        <v>-42682.104539426255</v>
      </c>
      <c r="CR72" s="3">
        <f t="shared" si="78"/>
        <v>-40077.366781133169</v>
      </c>
      <c r="CS72" s="3">
        <f t="shared" si="78"/>
        <v>-37440.069800861413</v>
      </c>
      <c r="CT72" s="3">
        <f t="shared" si="78"/>
        <v>-34769.806608336265</v>
      </c>
      <c r="CU72" s="3">
        <f t="shared" si="78"/>
        <v>-32066.165125904547</v>
      </c>
      <c r="CV72" s="3">
        <f t="shared" si="78"/>
        <v>-29328.728124942441</v>
      </c>
      <c r="CW72" s="3">
        <f t="shared" si="78"/>
        <v>-26557.073161468306</v>
      </c>
      <c r="CX72" s="3">
        <f t="shared" si="78"/>
        <v>-23750.772510950745</v>
      </c>
      <c r="CY72" s="3">
        <f t="shared" si="78"/>
        <v>-20909.39310230171</v>
      </c>
      <c r="CZ72" s="3">
        <f t="shared" si="78"/>
        <v>-18032.496451044568</v>
      </c>
      <c r="DA72" s="3">
        <f t="shared" si="78"/>
        <v>-15119.638591646706</v>
      </c>
      <c r="DB72" s="3">
        <f t="shared" si="78"/>
        <v>-12170.370009006374</v>
      </c>
      <c r="DC72" s="3">
        <f t="shared" si="78"/>
        <v>-9184.2355690830373</v>
      </c>
      <c r="DD72" s="3">
        <f t="shared" si="78"/>
        <v>-6160.7744486606598</v>
      </c>
      <c r="DE72" s="3">
        <f t="shared" si="78"/>
        <v>-3099.5200642330024</v>
      </c>
      <c r="DF72" s="3">
        <f t="shared" si="78"/>
        <v>0</v>
      </c>
      <c r="DG72" s="3">
        <f t="shared" si="78"/>
        <v>0</v>
      </c>
      <c r="DH72" s="3">
        <f t="shared" si="78"/>
        <v>0</v>
      </c>
      <c r="DI72" s="3">
        <f t="shared" si="78"/>
        <v>0</v>
      </c>
      <c r="DJ72" s="3">
        <f t="shared" si="78"/>
        <v>0</v>
      </c>
      <c r="DK72" s="3">
        <f t="shared" si="78"/>
        <v>0</v>
      </c>
      <c r="DL72" s="3">
        <f t="shared" si="78"/>
        <v>0</v>
      </c>
      <c r="DM72" s="3">
        <f t="shared" si="78"/>
        <v>0</v>
      </c>
      <c r="DN72" s="3">
        <f t="shared" si="78"/>
        <v>0</v>
      </c>
      <c r="DO72" s="3">
        <f t="shared" si="78"/>
        <v>0</v>
      </c>
      <c r="DP72" s="3">
        <f t="shared" si="78"/>
        <v>0</v>
      </c>
      <c r="DQ72" s="3">
        <f t="shared" si="78"/>
        <v>0</v>
      </c>
      <c r="DR72" s="3">
        <f t="shared" si="78"/>
        <v>0</v>
      </c>
      <c r="DS72" s="3">
        <f t="shared" si="78"/>
        <v>0</v>
      </c>
      <c r="DT72" s="3">
        <f t="shared" si="78"/>
        <v>0</v>
      </c>
      <c r="DU72" s="3">
        <f t="shared" si="78"/>
        <v>0</v>
      </c>
      <c r="DV72" s="3">
        <f t="shared" si="78"/>
        <v>0</v>
      </c>
      <c r="DW72" s="3">
        <f t="shared" si="78"/>
        <v>0</v>
      </c>
      <c r="DX72" s="3">
        <f t="shared" si="78"/>
        <v>0</v>
      </c>
      <c r="DY72" s="3">
        <f t="shared" si="78"/>
        <v>0</v>
      </c>
    </row>
    <row r="73" spans="1:129" ht="13.8">
      <c r="C73" s="7" t="s">
        <v>101</v>
      </c>
      <c r="D73" s="10" t="s">
        <v>0</v>
      </c>
      <c r="G73" s="23">
        <f t="shared" ref="G73:G76" si="79">SUM(I73:DY73)</f>
        <v>-12433855.804568825</v>
      </c>
      <c r="I73" s="3">
        <f t="shared" ref="I73:BT73" si="80">0-I83</f>
        <v>0</v>
      </c>
      <c r="J73" s="3">
        <f t="shared" si="80"/>
        <v>-50742.787642011492</v>
      </c>
      <c r="K73" s="3">
        <f t="shared" si="80"/>
        <v>-51377.072487536629</v>
      </c>
      <c r="L73" s="3">
        <f t="shared" si="80"/>
        <v>-52019.285893630826</v>
      </c>
      <c r="M73" s="3">
        <f t="shared" si="80"/>
        <v>-52669.526967301208</v>
      </c>
      <c r="N73" s="3">
        <f t="shared" si="80"/>
        <v>-53327.896054392484</v>
      </c>
      <c r="O73" s="3">
        <f t="shared" si="80"/>
        <v>-53994.494755072381</v>
      </c>
      <c r="P73" s="3">
        <f t="shared" si="80"/>
        <v>-54669.425939510787</v>
      </c>
      <c r="Q73" s="3">
        <f t="shared" si="80"/>
        <v>-55352.793763754657</v>
      </c>
      <c r="R73" s="3">
        <f t="shared" si="80"/>
        <v>-56044.703685801622</v>
      </c>
      <c r="S73" s="3">
        <f t="shared" si="80"/>
        <v>-56745.262481874117</v>
      </c>
      <c r="T73" s="3">
        <f t="shared" si="80"/>
        <v>-57454.57826289755</v>
      </c>
      <c r="U73" s="3">
        <f t="shared" si="80"/>
        <v>-58172.760491183777</v>
      </c>
      <c r="V73" s="3">
        <f t="shared" si="80"/>
        <v>-58899.919997323588</v>
      </c>
      <c r="W73" s="3">
        <f t="shared" si="80"/>
        <v>-59636.168997290115</v>
      </c>
      <c r="X73" s="3">
        <f t="shared" si="80"/>
        <v>-60381.621109756248</v>
      </c>
      <c r="Y73" s="3">
        <f t="shared" si="80"/>
        <v>-61136.391373628227</v>
      </c>
      <c r="Z73" s="3">
        <f t="shared" si="80"/>
        <v>-61900.596265798551</v>
      </c>
      <c r="AA73" s="3">
        <f t="shared" si="80"/>
        <v>-62674.353719121049</v>
      </c>
      <c r="AB73" s="3">
        <f t="shared" si="80"/>
        <v>-63457.783140610045</v>
      </c>
      <c r="AC73" s="3">
        <f t="shared" si="80"/>
        <v>-64251.005429867684</v>
      </c>
      <c r="AD73" s="3">
        <f t="shared" si="80"/>
        <v>-70630.212397547351</v>
      </c>
      <c r="AE73" s="3">
        <f t="shared" si="80"/>
        <v>-71513.09005251668</v>
      </c>
      <c r="AF73" s="3">
        <f t="shared" si="80"/>
        <v>-72407.003678173147</v>
      </c>
      <c r="AG73" s="3">
        <f t="shared" si="80"/>
        <v>-73312.091224150325</v>
      </c>
      <c r="AH73" s="3">
        <f t="shared" si="80"/>
        <v>-74228.492364452191</v>
      </c>
      <c r="AI73" s="3">
        <f t="shared" si="80"/>
        <v>-75156.348519007835</v>
      </c>
      <c r="AJ73" s="3">
        <f t="shared" si="80"/>
        <v>-76095.802875495458</v>
      </c>
      <c r="AK73" s="3">
        <f t="shared" si="80"/>
        <v>-77047.000411439149</v>
      </c>
      <c r="AL73" s="3">
        <f t="shared" si="80"/>
        <v>-78010.087916582124</v>
      </c>
      <c r="AM73" s="3">
        <f t="shared" si="80"/>
        <v>-78985.214015539401</v>
      </c>
      <c r="AN73" s="3">
        <f t="shared" si="80"/>
        <v>-79972.529190733636</v>
      </c>
      <c r="AO73" s="3">
        <f t="shared" si="80"/>
        <v>-80972.185805617817</v>
      </c>
      <c r="AP73" s="3">
        <f t="shared" si="80"/>
        <v>-81984.338128188028</v>
      </c>
      <c r="AQ73" s="3">
        <f t="shared" si="80"/>
        <v>-83009.142354790369</v>
      </c>
      <c r="AR73" s="3">
        <f t="shared" si="80"/>
        <v>-84046.756634225254</v>
      </c>
      <c r="AS73" s="3">
        <f t="shared" si="80"/>
        <v>-85097.341092153074</v>
      </c>
      <c r="AT73" s="3">
        <f t="shared" si="80"/>
        <v>-86161.057855804989</v>
      </c>
      <c r="AU73" s="3">
        <f t="shared" si="80"/>
        <v>-87238.071079002519</v>
      </c>
      <c r="AV73" s="3">
        <f t="shared" si="80"/>
        <v>-88328.546967490038</v>
      </c>
      <c r="AW73" s="3">
        <f t="shared" si="80"/>
        <v>-89432.653804583664</v>
      </c>
      <c r="AX73" s="3">
        <f t="shared" si="80"/>
        <v>-102649.62819987144</v>
      </c>
      <c r="AY73" s="3">
        <f t="shared" si="80"/>
        <v>-103804.43651712</v>
      </c>
      <c r="AZ73" s="3">
        <f t="shared" si="80"/>
        <v>-104972.23642793759</v>
      </c>
      <c r="BA73" s="3">
        <f t="shared" si="80"/>
        <v>-106153.17408775192</v>
      </c>
      <c r="BB73" s="3">
        <f t="shared" si="80"/>
        <v>-107347.39729623911</v>
      </c>
      <c r="BC73" s="3">
        <f t="shared" si="80"/>
        <v>-108555.05551582179</v>
      </c>
      <c r="BD73" s="3">
        <f t="shared" si="80"/>
        <v>-109776.29989037479</v>
      </c>
      <c r="BE73" s="3">
        <f t="shared" si="80"/>
        <v>-111011.28326414149</v>
      </c>
      <c r="BF73" s="3">
        <f t="shared" si="80"/>
        <v>-112260.16020086312</v>
      </c>
      <c r="BG73" s="3">
        <f t="shared" si="80"/>
        <v>-113523.08700312281</v>
      </c>
      <c r="BH73" s="3">
        <f t="shared" si="80"/>
        <v>-114800.22173190794</v>
      </c>
      <c r="BI73" s="3">
        <f t="shared" si="80"/>
        <v>-116091.72422639195</v>
      </c>
      <c r="BJ73" s="3">
        <f t="shared" si="80"/>
        <v>-117397.75612393886</v>
      </c>
      <c r="BK73" s="3">
        <f t="shared" si="80"/>
        <v>-118718.48088033317</v>
      </c>
      <c r="BL73" s="3">
        <f t="shared" si="80"/>
        <v>-120054.06379023693</v>
      </c>
      <c r="BM73" s="3">
        <f t="shared" si="80"/>
        <v>-121404.6720078771</v>
      </c>
      <c r="BN73" s="3">
        <f t="shared" si="80"/>
        <v>-122770.47456796571</v>
      </c>
      <c r="BO73" s="3">
        <f t="shared" si="80"/>
        <v>-124151.6424068553</v>
      </c>
      <c r="BP73" s="3">
        <f t="shared" si="80"/>
        <v>-125548.34838393242</v>
      </c>
      <c r="BQ73" s="3">
        <f t="shared" si="80"/>
        <v>-126960.76730325169</v>
      </c>
      <c r="BR73" s="3">
        <f t="shared" si="80"/>
        <v>-130854.08698761326</v>
      </c>
      <c r="BS73" s="3">
        <f t="shared" si="80"/>
        <v>-132653.33068369294</v>
      </c>
      <c r="BT73" s="3">
        <f t="shared" si="80"/>
        <v>-134477.3139805937</v>
      </c>
      <c r="BU73" s="3">
        <f t="shared" ref="BU73:DY73" si="81">0-BU83</f>
        <v>-136326.37704782689</v>
      </c>
      <c r="BV73" s="3">
        <f t="shared" si="81"/>
        <v>-138200.86473223451</v>
      </c>
      <c r="BW73" s="3">
        <f t="shared" si="81"/>
        <v>-140101.12662230275</v>
      </c>
      <c r="BX73" s="3">
        <f t="shared" si="81"/>
        <v>-142027.51711335941</v>
      </c>
      <c r="BY73" s="3">
        <f t="shared" si="81"/>
        <v>-143980.39547366806</v>
      </c>
      <c r="BZ73" s="3">
        <f t="shared" si="81"/>
        <v>-145960.12591143101</v>
      </c>
      <c r="CA73" s="3">
        <f t="shared" si="81"/>
        <v>-147967.07764271318</v>
      </c>
      <c r="CB73" s="3">
        <f t="shared" si="81"/>
        <v>-150001.62496030045</v>
      </c>
      <c r="CC73" s="3">
        <f t="shared" si="81"/>
        <v>-152064.14730350461</v>
      </c>
      <c r="CD73" s="3">
        <f t="shared" si="81"/>
        <v>-154155.02932892783</v>
      </c>
      <c r="CE73" s="3">
        <f t="shared" si="81"/>
        <v>-156274.66098220058</v>
      </c>
      <c r="CF73" s="3">
        <f t="shared" si="81"/>
        <v>-158423.43757070584</v>
      </c>
      <c r="CG73" s="3">
        <f t="shared" si="81"/>
        <v>-160601.75983730302</v>
      </c>
      <c r="CH73" s="3">
        <f t="shared" si="81"/>
        <v>-162810.03403506597</v>
      </c>
      <c r="CI73" s="3">
        <f t="shared" si="81"/>
        <v>-165048.67200304809</v>
      </c>
      <c r="CJ73" s="3">
        <f t="shared" si="81"/>
        <v>-167318.09124309002</v>
      </c>
      <c r="CK73" s="3">
        <f t="shared" si="81"/>
        <v>-169618.71499768246</v>
      </c>
      <c r="CL73" s="3">
        <f t="shared" si="81"/>
        <v>-195829.8238096264</v>
      </c>
      <c r="CM73" s="3">
        <f t="shared" si="81"/>
        <v>-198277.69660724665</v>
      </c>
      <c r="CN73" s="3">
        <f t="shared" si="81"/>
        <v>-200756.16781483724</v>
      </c>
      <c r="CO73" s="3">
        <f t="shared" si="81"/>
        <v>-203265.6199125227</v>
      </c>
      <c r="CP73" s="3">
        <f t="shared" si="81"/>
        <v>-205806.44016142923</v>
      </c>
      <c r="CQ73" s="3">
        <f t="shared" si="81"/>
        <v>-208379.02066344707</v>
      </c>
      <c r="CR73" s="3">
        <f t="shared" si="81"/>
        <v>-210983.75842174015</v>
      </c>
      <c r="CS73" s="3">
        <f t="shared" si="81"/>
        <v>-213621.05540201196</v>
      </c>
      <c r="CT73" s="3">
        <f t="shared" si="81"/>
        <v>-216291.31859453704</v>
      </c>
      <c r="CU73" s="3">
        <f t="shared" si="81"/>
        <v>-218994.96007696871</v>
      </c>
      <c r="CV73" s="3">
        <f t="shared" si="81"/>
        <v>-221732.39707793086</v>
      </c>
      <c r="CW73" s="3">
        <f t="shared" si="81"/>
        <v>-224504.05204140503</v>
      </c>
      <c r="CX73" s="3">
        <f t="shared" si="81"/>
        <v>-227310.35269192257</v>
      </c>
      <c r="CY73" s="3">
        <f t="shared" si="81"/>
        <v>-230151.73210057162</v>
      </c>
      <c r="CZ73" s="3">
        <f t="shared" si="81"/>
        <v>-233028.62875182877</v>
      </c>
      <c r="DA73" s="3">
        <f t="shared" si="81"/>
        <v>-235941.48661122657</v>
      </c>
      <c r="DB73" s="3">
        <f t="shared" si="81"/>
        <v>-238890.75519386691</v>
      </c>
      <c r="DC73" s="3">
        <f t="shared" si="81"/>
        <v>-241876.88963379024</v>
      </c>
      <c r="DD73" s="3">
        <f t="shared" si="81"/>
        <v>-244900.35075421256</v>
      </c>
      <c r="DE73" s="3">
        <f t="shared" si="81"/>
        <v>-247961.60513864027</v>
      </c>
      <c r="DF73" s="3">
        <f t="shared" si="81"/>
        <v>0</v>
      </c>
      <c r="DG73" s="3">
        <f t="shared" si="81"/>
        <v>0</v>
      </c>
      <c r="DH73" s="3">
        <f t="shared" si="81"/>
        <v>0</v>
      </c>
      <c r="DI73" s="3">
        <f t="shared" si="81"/>
        <v>0</v>
      </c>
      <c r="DJ73" s="3">
        <f t="shared" si="81"/>
        <v>0</v>
      </c>
      <c r="DK73" s="3">
        <f t="shared" si="81"/>
        <v>0</v>
      </c>
      <c r="DL73" s="3">
        <f t="shared" si="81"/>
        <v>0</v>
      </c>
      <c r="DM73" s="3">
        <f t="shared" si="81"/>
        <v>0</v>
      </c>
      <c r="DN73" s="3">
        <f t="shared" si="81"/>
        <v>0</v>
      </c>
      <c r="DO73" s="3">
        <f t="shared" si="81"/>
        <v>0</v>
      </c>
      <c r="DP73" s="3">
        <f t="shared" si="81"/>
        <v>0</v>
      </c>
      <c r="DQ73" s="3">
        <f t="shared" si="81"/>
        <v>0</v>
      </c>
      <c r="DR73" s="3">
        <f t="shared" si="81"/>
        <v>0</v>
      </c>
      <c r="DS73" s="3">
        <f t="shared" si="81"/>
        <v>0</v>
      </c>
      <c r="DT73" s="3">
        <f t="shared" si="81"/>
        <v>0</v>
      </c>
      <c r="DU73" s="3">
        <f t="shared" si="81"/>
        <v>0</v>
      </c>
      <c r="DV73" s="3">
        <f t="shared" si="81"/>
        <v>0</v>
      </c>
      <c r="DW73" s="3">
        <f t="shared" si="81"/>
        <v>0</v>
      </c>
      <c r="DX73" s="3">
        <f t="shared" si="81"/>
        <v>0</v>
      </c>
      <c r="DY73" s="3">
        <f t="shared" si="81"/>
        <v>0</v>
      </c>
    </row>
    <row r="74" spans="1:129" ht="13.8">
      <c r="B74" s="29"/>
      <c r="C74" s="7" t="s">
        <v>102</v>
      </c>
      <c r="D74" s="10" t="s">
        <v>0</v>
      </c>
      <c r="G74" s="23">
        <f t="shared" si="79"/>
        <v>-27244002.861494191</v>
      </c>
      <c r="I74" s="3">
        <f t="shared" ref="I74:AN74" si="82">I12*-SUM(I69:I73)</f>
        <v>0</v>
      </c>
      <c r="J74" s="3">
        <f t="shared" si="82"/>
        <v>0</v>
      </c>
      <c r="K74" s="3">
        <f t="shared" si="82"/>
        <v>0</v>
      </c>
      <c r="L74" s="3">
        <f t="shared" si="82"/>
        <v>0</v>
      </c>
      <c r="M74" s="3">
        <f t="shared" si="82"/>
        <v>0</v>
      </c>
      <c r="N74" s="3">
        <f t="shared" si="82"/>
        <v>0</v>
      </c>
      <c r="O74" s="3">
        <f t="shared" si="82"/>
        <v>0</v>
      </c>
      <c r="P74" s="3">
        <f t="shared" si="82"/>
        <v>0</v>
      </c>
      <c r="Q74" s="3">
        <f t="shared" si="82"/>
        <v>0</v>
      </c>
      <c r="R74" s="3">
        <f t="shared" si="82"/>
        <v>0</v>
      </c>
      <c r="S74" s="3">
        <f t="shared" si="82"/>
        <v>0</v>
      </c>
      <c r="T74" s="3">
        <f t="shared" si="82"/>
        <v>0</v>
      </c>
      <c r="U74" s="3">
        <f t="shared" si="82"/>
        <v>0</v>
      </c>
      <c r="V74" s="3">
        <f t="shared" si="82"/>
        <v>0</v>
      </c>
      <c r="W74" s="3">
        <f t="shared" si="82"/>
        <v>0</v>
      </c>
      <c r="X74" s="3">
        <f t="shared" si="82"/>
        <v>0</v>
      </c>
      <c r="Y74" s="3">
        <f t="shared" si="82"/>
        <v>0</v>
      </c>
      <c r="Z74" s="3">
        <f t="shared" si="82"/>
        <v>0</v>
      </c>
      <c r="AA74" s="3">
        <f t="shared" si="82"/>
        <v>0</v>
      </c>
      <c r="AB74" s="3">
        <f t="shared" si="82"/>
        <v>0</v>
      </c>
      <c r="AC74" s="3">
        <f t="shared" si="82"/>
        <v>-8855091.5715416372</v>
      </c>
      <c r="AD74" s="3">
        <f t="shared" si="82"/>
        <v>0</v>
      </c>
      <c r="AE74" s="3">
        <f t="shared" si="82"/>
        <v>0</v>
      </c>
      <c r="AF74" s="3">
        <f t="shared" si="82"/>
        <v>0</v>
      </c>
      <c r="AG74" s="3">
        <f t="shared" si="82"/>
        <v>0</v>
      </c>
      <c r="AH74" s="3">
        <f t="shared" si="82"/>
        <v>0</v>
      </c>
      <c r="AI74" s="3">
        <f t="shared" si="82"/>
        <v>0</v>
      </c>
      <c r="AJ74" s="3">
        <f t="shared" si="82"/>
        <v>0</v>
      </c>
      <c r="AK74" s="3">
        <f t="shared" si="82"/>
        <v>0</v>
      </c>
      <c r="AL74" s="3">
        <f t="shared" si="82"/>
        <v>0</v>
      </c>
      <c r="AM74" s="3">
        <f t="shared" si="82"/>
        <v>0</v>
      </c>
      <c r="AN74" s="3">
        <f t="shared" si="82"/>
        <v>0</v>
      </c>
      <c r="AO74" s="3">
        <f t="shared" ref="AO74:BT74" si="83">AO12*-SUM(AO69:AO73)</f>
        <v>0</v>
      </c>
      <c r="AP74" s="3">
        <f t="shared" si="83"/>
        <v>0</v>
      </c>
      <c r="AQ74" s="3">
        <f t="shared" si="83"/>
        <v>0</v>
      </c>
      <c r="AR74" s="3">
        <f t="shared" si="83"/>
        <v>0</v>
      </c>
      <c r="AS74" s="3">
        <f t="shared" si="83"/>
        <v>0</v>
      </c>
      <c r="AT74" s="3">
        <f t="shared" si="83"/>
        <v>0</v>
      </c>
      <c r="AU74" s="3">
        <f t="shared" si="83"/>
        <v>0</v>
      </c>
      <c r="AV74" s="3">
        <f t="shared" si="83"/>
        <v>0</v>
      </c>
      <c r="AW74" s="3">
        <f t="shared" si="83"/>
        <v>-8020471.4541634191</v>
      </c>
      <c r="AX74" s="3">
        <f t="shared" si="83"/>
        <v>0</v>
      </c>
      <c r="AY74" s="3">
        <f t="shared" si="83"/>
        <v>0</v>
      </c>
      <c r="AZ74" s="3">
        <f t="shared" si="83"/>
        <v>0</v>
      </c>
      <c r="BA74" s="3">
        <f t="shared" si="83"/>
        <v>0</v>
      </c>
      <c r="BB74" s="3">
        <f t="shared" si="83"/>
        <v>0</v>
      </c>
      <c r="BC74" s="3">
        <f t="shared" si="83"/>
        <v>0</v>
      </c>
      <c r="BD74" s="3">
        <f t="shared" si="83"/>
        <v>0</v>
      </c>
      <c r="BE74" s="3">
        <f t="shared" si="83"/>
        <v>0</v>
      </c>
      <c r="BF74" s="3">
        <f t="shared" si="83"/>
        <v>0</v>
      </c>
      <c r="BG74" s="3">
        <f t="shared" si="83"/>
        <v>0</v>
      </c>
      <c r="BH74" s="3">
        <f t="shared" si="83"/>
        <v>0</v>
      </c>
      <c r="BI74" s="3">
        <f t="shared" si="83"/>
        <v>0</v>
      </c>
      <c r="BJ74" s="3">
        <f t="shared" si="83"/>
        <v>0</v>
      </c>
      <c r="BK74" s="3">
        <f t="shared" si="83"/>
        <v>0</v>
      </c>
      <c r="BL74" s="3">
        <f t="shared" si="83"/>
        <v>0</v>
      </c>
      <c r="BM74" s="3">
        <f t="shared" si="83"/>
        <v>0</v>
      </c>
      <c r="BN74" s="3">
        <f t="shared" si="83"/>
        <v>0</v>
      </c>
      <c r="BO74" s="3">
        <f t="shared" si="83"/>
        <v>0</v>
      </c>
      <c r="BP74" s="3">
        <f t="shared" si="83"/>
        <v>0</v>
      </c>
      <c r="BQ74" s="3">
        <f t="shared" si="83"/>
        <v>-6440873.2646120265</v>
      </c>
      <c r="BR74" s="3">
        <f t="shared" si="83"/>
        <v>0</v>
      </c>
      <c r="BS74" s="3">
        <f t="shared" si="83"/>
        <v>0</v>
      </c>
      <c r="BT74" s="3">
        <f t="shared" si="83"/>
        <v>0</v>
      </c>
      <c r="BU74" s="3">
        <f t="shared" ref="BU74:DY74" si="84">BU12*-SUM(BU69:BU73)</f>
        <v>0</v>
      </c>
      <c r="BV74" s="3">
        <f t="shared" si="84"/>
        <v>0</v>
      </c>
      <c r="BW74" s="3">
        <f t="shared" si="84"/>
        <v>0</v>
      </c>
      <c r="BX74" s="3">
        <f t="shared" si="84"/>
        <v>0</v>
      </c>
      <c r="BY74" s="3">
        <f t="shared" si="84"/>
        <v>0</v>
      </c>
      <c r="BZ74" s="3">
        <f t="shared" si="84"/>
        <v>0</v>
      </c>
      <c r="CA74" s="3">
        <f t="shared" si="84"/>
        <v>0</v>
      </c>
      <c r="CB74" s="3">
        <f t="shared" si="84"/>
        <v>0</v>
      </c>
      <c r="CC74" s="3">
        <f t="shared" si="84"/>
        <v>0</v>
      </c>
      <c r="CD74" s="3">
        <f t="shared" si="84"/>
        <v>0</v>
      </c>
      <c r="CE74" s="3">
        <f t="shared" si="84"/>
        <v>0</v>
      </c>
      <c r="CF74" s="3">
        <f t="shared" si="84"/>
        <v>0</v>
      </c>
      <c r="CG74" s="3">
        <f t="shared" si="84"/>
        <v>0</v>
      </c>
      <c r="CH74" s="3">
        <f t="shared" si="84"/>
        <v>0</v>
      </c>
      <c r="CI74" s="3">
        <f t="shared" si="84"/>
        <v>0</v>
      </c>
      <c r="CJ74" s="3">
        <f t="shared" si="84"/>
        <v>0</v>
      </c>
      <c r="CK74" s="3">
        <f t="shared" si="84"/>
        <v>-3927566.5711771115</v>
      </c>
      <c r="CL74" s="3">
        <f t="shared" si="84"/>
        <v>0</v>
      </c>
      <c r="CM74" s="3">
        <f t="shared" si="84"/>
        <v>0</v>
      </c>
      <c r="CN74" s="3">
        <f t="shared" si="84"/>
        <v>0</v>
      </c>
      <c r="CO74" s="3">
        <f t="shared" si="84"/>
        <v>0</v>
      </c>
      <c r="CP74" s="3">
        <f t="shared" si="84"/>
        <v>0</v>
      </c>
      <c r="CQ74" s="3">
        <f t="shared" si="84"/>
        <v>0</v>
      </c>
      <c r="CR74" s="3">
        <f t="shared" si="84"/>
        <v>0</v>
      </c>
      <c r="CS74" s="3">
        <f t="shared" si="84"/>
        <v>0</v>
      </c>
      <c r="CT74" s="3">
        <f t="shared" si="84"/>
        <v>0</v>
      </c>
      <c r="CU74" s="3">
        <f t="shared" si="84"/>
        <v>0</v>
      </c>
      <c r="CV74" s="3">
        <f t="shared" si="84"/>
        <v>0</v>
      </c>
      <c r="CW74" s="3">
        <f t="shared" si="84"/>
        <v>0</v>
      </c>
      <c r="CX74" s="3">
        <f t="shared" si="84"/>
        <v>0</v>
      </c>
      <c r="CY74" s="3">
        <f t="shared" si="84"/>
        <v>0</v>
      </c>
      <c r="CZ74" s="3">
        <f t="shared" si="84"/>
        <v>0</v>
      </c>
      <c r="DA74" s="3">
        <f t="shared" si="84"/>
        <v>0</v>
      </c>
      <c r="DB74" s="3">
        <f t="shared" si="84"/>
        <v>0</v>
      </c>
      <c r="DC74" s="3">
        <f t="shared" si="84"/>
        <v>0</v>
      </c>
      <c r="DD74" s="3">
        <f t="shared" si="84"/>
        <v>0</v>
      </c>
      <c r="DE74" s="3">
        <f t="shared" si="84"/>
        <v>0</v>
      </c>
      <c r="DF74" s="3">
        <f t="shared" si="84"/>
        <v>0</v>
      </c>
      <c r="DG74" s="3">
        <f t="shared" si="84"/>
        <v>0</v>
      </c>
      <c r="DH74" s="3">
        <f t="shared" si="84"/>
        <v>0</v>
      </c>
      <c r="DI74" s="3">
        <f t="shared" si="84"/>
        <v>0</v>
      </c>
      <c r="DJ74" s="3">
        <f t="shared" si="84"/>
        <v>0</v>
      </c>
      <c r="DK74" s="3">
        <f t="shared" si="84"/>
        <v>0</v>
      </c>
      <c r="DL74" s="3">
        <f t="shared" si="84"/>
        <v>0</v>
      </c>
      <c r="DM74" s="3">
        <f t="shared" si="84"/>
        <v>0</v>
      </c>
      <c r="DN74" s="3">
        <f t="shared" si="84"/>
        <v>0</v>
      </c>
      <c r="DO74" s="3">
        <f t="shared" si="84"/>
        <v>0</v>
      </c>
      <c r="DP74" s="3">
        <f t="shared" si="84"/>
        <v>0</v>
      </c>
      <c r="DQ74" s="3">
        <f t="shared" si="84"/>
        <v>0</v>
      </c>
      <c r="DR74" s="3">
        <f t="shared" si="84"/>
        <v>0</v>
      </c>
      <c r="DS74" s="3">
        <f t="shared" si="84"/>
        <v>0</v>
      </c>
      <c r="DT74" s="3">
        <f t="shared" si="84"/>
        <v>0</v>
      </c>
      <c r="DU74" s="3">
        <f t="shared" si="84"/>
        <v>0</v>
      </c>
      <c r="DV74" s="3">
        <f t="shared" si="84"/>
        <v>0</v>
      </c>
      <c r="DW74" s="3">
        <f t="shared" si="84"/>
        <v>0</v>
      </c>
      <c r="DX74" s="3">
        <f t="shared" si="84"/>
        <v>0</v>
      </c>
      <c r="DY74" s="3">
        <f t="shared" si="84"/>
        <v>0</v>
      </c>
    </row>
    <row r="75" spans="1:129" ht="13.8">
      <c r="B75" s="29"/>
      <c r="C75" s="7" t="s">
        <v>103</v>
      </c>
      <c r="D75" s="10" t="s">
        <v>0</v>
      </c>
      <c r="G75" s="23">
        <f t="shared" si="79"/>
        <v>29381080.07940238</v>
      </c>
      <c r="I75" s="3">
        <f t="shared" ref="I75:BT75" si="85">I65</f>
        <v>0</v>
      </c>
      <c r="J75" s="3">
        <f t="shared" si="85"/>
        <v>0</v>
      </c>
      <c r="K75" s="3">
        <f t="shared" si="85"/>
        <v>0</v>
      </c>
      <c r="L75" s="3">
        <f t="shared" si="85"/>
        <v>0</v>
      </c>
      <c r="M75" s="3">
        <f t="shared" si="85"/>
        <v>0</v>
      </c>
      <c r="N75" s="3">
        <f t="shared" si="85"/>
        <v>0</v>
      </c>
      <c r="O75" s="3">
        <f t="shared" si="85"/>
        <v>0</v>
      </c>
      <c r="P75" s="3">
        <f t="shared" si="85"/>
        <v>0</v>
      </c>
      <c r="Q75" s="3">
        <f t="shared" si="85"/>
        <v>0</v>
      </c>
      <c r="R75" s="3">
        <f t="shared" si="85"/>
        <v>0</v>
      </c>
      <c r="S75" s="3">
        <f t="shared" si="85"/>
        <v>0</v>
      </c>
      <c r="T75" s="3">
        <f t="shared" si="85"/>
        <v>0</v>
      </c>
      <c r="U75" s="3">
        <f t="shared" si="85"/>
        <v>0</v>
      </c>
      <c r="V75" s="3">
        <f t="shared" si="85"/>
        <v>0</v>
      </c>
      <c r="W75" s="3">
        <f t="shared" si="85"/>
        <v>0</v>
      </c>
      <c r="X75" s="3">
        <f t="shared" si="85"/>
        <v>0</v>
      </c>
      <c r="Y75" s="3">
        <f t="shared" si="85"/>
        <v>0</v>
      </c>
      <c r="Z75" s="3">
        <f t="shared" si="85"/>
        <v>0</v>
      </c>
      <c r="AA75" s="3">
        <f t="shared" si="85"/>
        <v>0</v>
      </c>
      <c r="AB75" s="3">
        <f t="shared" si="85"/>
        <v>0</v>
      </c>
      <c r="AC75" s="3">
        <f t="shared" si="85"/>
        <v>9517958.4263256062</v>
      </c>
      <c r="AD75" s="3">
        <f t="shared" si="85"/>
        <v>0</v>
      </c>
      <c r="AE75" s="3">
        <f t="shared" si="85"/>
        <v>0</v>
      </c>
      <c r="AF75" s="3">
        <f t="shared" si="85"/>
        <v>0</v>
      </c>
      <c r="AG75" s="3">
        <f t="shared" si="85"/>
        <v>0</v>
      </c>
      <c r="AH75" s="3">
        <f t="shared" si="85"/>
        <v>0</v>
      </c>
      <c r="AI75" s="3">
        <f t="shared" si="85"/>
        <v>0</v>
      </c>
      <c r="AJ75" s="3">
        <f t="shared" si="85"/>
        <v>0</v>
      </c>
      <c r="AK75" s="3">
        <f t="shared" si="85"/>
        <v>0</v>
      </c>
      <c r="AL75" s="3">
        <f t="shared" si="85"/>
        <v>0</v>
      </c>
      <c r="AM75" s="3">
        <f t="shared" si="85"/>
        <v>0</v>
      </c>
      <c r="AN75" s="3">
        <f t="shared" si="85"/>
        <v>0</v>
      </c>
      <c r="AO75" s="3">
        <f t="shared" si="85"/>
        <v>0</v>
      </c>
      <c r="AP75" s="3">
        <f t="shared" si="85"/>
        <v>0</v>
      </c>
      <c r="AQ75" s="3">
        <f t="shared" si="85"/>
        <v>0</v>
      </c>
      <c r="AR75" s="3">
        <f t="shared" si="85"/>
        <v>0</v>
      </c>
      <c r="AS75" s="3">
        <f t="shared" si="85"/>
        <v>0</v>
      </c>
      <c r="AT75" s="3">
        <f t="shared" si="85"/>
        <v>0</v>
      </c>
      <c r="AU75" s="3">
        <f t="shared" si="85"/>
        <v>0</v>
      </c>
      <c r="AV75" s="3">
        <f t="shared" si="85"/>
        <v>0</v>
      </c>
      <c r="AW75" s="3">
        <f t="shared" si="85"/>
        <v>8641535.9326935783</v>
      </c>
      <c r="AX75" s="3">
        <f t="shared" si="85"/>
        <v>0</v>
      </c>
      <c r="AY75" s="3">
        <f t="shared" si="85"/>
        <v>0</v>
      </c>
      <c r="AZ75" s="3">
        <f t="shared" si="85"/>
        <v>0</v>
      </c>
      <c r="BA75" s="3">
        <f t="shared" si="85"/>
        <v>0</v>
      </c>
      <c r="BB75" s="3">
        <f t="shared" si="85"/>
        <v>0</v>
      </c>
      <c r="BC75" s="3">
        <f t="shared" si="85"/>
        <v>0</v>
      </c>
      <c r="BD75" s="3">
        <f t="shared" si="85"/>
        <v>0</v>
      </c>
      <c r="BE75" s="3">
        <f t="shared" si="85"/>
        <v>0</v>
      </c>
      <c r="BF75" s="3">
        <f t="shared" si="85"/>
        <v>0</v>
      </c>
      <c r="BG75" s="3">
        <f t="shared" si="85"/>
        <v>0</v>
      </c>
      <c r="BH75" s="3">
        <f t="shared" si="85"/>
        <v>0</v>
      </c>
      <c r="BI75" s="3">
        <f t="shared" si="85"/>
        <v>0</v>
      </c>
      <c r="BJ75" s="3">
        <f t="shared" si="85"/>
        <v>0</v>
      </c>
      <c r="BK75" s="3">
        <f t="shared" si="85"/>
        <v>0</v>
      </c>
      <c r="BL75" s="3">
        <f t="shared" si="85"/>
        <v>0</v>
      </c>
      <c r="BM75" s="3">
        <f t="shared" si="85"/>
        <v>0</v>
      </c>
      <c r="BN75" s="3">
        <f t="shared" si="85"/>
        <v>0</v>
      </c>
      <c r="BO75" s="3">
        <f t="shared" si="85"/>
        <v>0</v>
      </c>
      <c r="BP75" s="3">
        <f t="shared" si="85"/>
        <v>0</v>
      </c>
      <c r="BQ75" s="3">
        <f t="shared" si="85"/>
        <v>6847266.6500380337</v>
      </c>
      <c r="BR75" s="3">
        <f t="shared" si="85"/>
        <v>0</v>
      </c>
      <c r="BS75" s="3">
        <f t="shared" si="85"/>
        <v>0</v>
      </c>
      <c r="BT75" s="3">
        <f t="shared" si="85"/>
        <v>0</v>
      </c>
      <c r="BU75" s="3">
        <f t="shared" ref="BU75:DY75" si="86">BU65</f>
        <v>0</v>
      </c>
      <c r="BV75" s="3">
        <f t="shared" si="86"/>
        <v>0</v>
      </c>
      <c r="BW75" s="3">
        <f t="shared" si="86"/>
        <v>0</v>
      </c>
      <c r="BX75" s="3">
        <f t="shared" si="86"/>
        <v>0</v>
      </c>
      <c r="BY75" s="3">
        <f t="shared" si="86"/>
        <v>0</v>
      </c>
      <c r="BZ75" s="3">
        <f t="shared" si="86"/>
        <v>0</v>
      </c>
      <c r="CA75" s="3">
        <f t="shared" si="86"/>
        <v>0</v>
      </c>
      <c r="CB75" s="3">
        <f t="shared" si="86"/>
        <v>0</v>
      </c>
      <c r="CC75" s="3">
        <f t="shared" si="86"/>
        <v>0</v>
      </c>
      <c r="CD75" s="3">
        <f t="shared" si="86"/>
        <v>0</v>
      </c>
      <c r="CE75" s="3">
        <f t="shared" si="86"/>
        <v>0</v>
      </c>
      <c r="CF75" s="3">
        <f t="shared" si="86"/>
        <v>0</v>
      </c>
      <c r="CG75" s="3">
        <f t="shared" si="86"/>
        <v>0</v>
      </c>
      <c r="CH75" s="3">
        <f t="shared" si="86"/>
        <v>0</v>
      </c>
      <c r="CI75" s="3">
        <f t="shared" si="86"/>
        <v>0</v>
      </c>
      <c r="CJ75" s="3">
        <f t="shared" si="86"/>
        <v>0</v>
      </c>
      <c r="CK75" s="3">
        <f t="shared" si="86"/>
        <v>4374319.0703451652</v>
      </c>
      <c r="CL75" s="3">
        <f t="shared" si="86"/>
        <v>0</v>
      </c>
      <c r="CM75" s="3">
        <f t="shared" si="86"/>
        <v>0</v>
      </c>
      <c r="CN75" s="3">
        <f t="shared" si="86"/>
        <v>0</v>
      </c>
      <c r="CO75" s="3">
        <f t="shared" si="86"/>
        <v>0</v>
      </c>
      <c r="CP75" s="3">
        <f t="shared" si="86"/>
        <v>0</v>
      </c>
      <c r="CQ75" s="3">
        <f t="shared" si="86"/>
        <v>0</v>
      </c>
      <c r="CR75" s="3">
        <f t="shared" si="86"/>
        <v>0</v>
      </c>
      <c r="CS75" s="3">
        <f t="shared" si="86"/>
        <v>0</v>
      </c>
      <c r="CT75" s="3">
        <f t="shared" si="86"/>
        <v>0</v>
      </c>
      <c r="CU75" s="3">
        <f t="shared" si="86"/>
        <v>0</v>
      </c>
      <c r="CV75" s="3">
        <f t="shared" si="86"/>
        <v>0</v>
      </c>
      <c r="CW75" s="3">
        <f t="shared" si="86"/>
        <v>0</v>
      </c>
      <c r="CX75" s="3">
        <f t="shared" si="86"/>
        <v>0</v>
      </c>
      <c r="CY75" s="3">
        <f t="shared" si="86"/>
        <v>0</v>
      </c>
      <c r="CZ75" s="3">
        <f t="shared" si="86"/>
        <v>0</v>
      </c>
      <c r="DA75" s="3">
        <f t="shared" si="86"/>
        <v>0</v>
      </c>
      <c r="DB75" s="3">
        <f t="shared" si="86"/>
        <v>0</v>
      </c>
      <c r="DC75" s="3">
        <f t="shared" si="86"/>
        <v>0</v>
      </c>
      <c r="DD75" s="3">
        <f t="shared" si="86"/>
        <v>0</v>
      </c>
      <c r="DE75" s="3">
        <f t="shared" si="86"/>
        <v>0</v>
      </c>
      <c r="DF75" s="3">
        <f t="shared" si="86"/>
        <v>0</v>
      </c>
      <c r="DG75" s="3">
        <f t="shared" si="86"/>
        <v>0</v>
      </c>
      <c r="DH75" s="3">
        <f t="shared" si="86"/>
        <v>0</v>
      </c>
      <c r="DI75" s="3">
        <f t="shared" si="86"/>
        <v>0</v>
      </c>
      <c r="DJ75" s="3">
        <f t="shared" si="86"/>
        <v>0</v>
      </c>
      <c r="DK75" s="3">
        <f t="shared" si="86"/>
        <v>0</v>
      </c>
      <c r="DL75" s="3">
        <f t="shared" si="86"/>
        <v>0</v>
      </c>
      <c r="DM75" s="3">
        <f t="shared" si="86"/>
        <v>0</v>
      </c>
      <c r="DN75" s="3">
        <f t="shared" si="86"/>
        <v>0</v>
      </c>
      <c r="DO75" s="3">
        <f t="shared" si="86"/>
        <v>0</v>
      </c>
      <c r="DP75" s="3">
        <f t="shared" si="86"/>
        <v>0</v>
      </c>
      <c r="DQ75" s="3">
        <f t="shared" si="86"/>
        <v>0</v>
      </c>
      <c r="DR75" s="3">
        <f t="shared" si="86"/>
        <v>0</v>
      </c>
      <c r="DS75" s="3">
        <f t="shared" si="86"/>
        <v>0</v>
      </c>
      <c r="DT75" s="3">
        <f t="shared" si="86"/>
        <v>0</v>
      </c>
      <c r="DU75" s="3">
        <f t="shared" si="86"/>
        <v>0</v>
      </c>
      <c r="DV75" s="3">
        <f t="shared" si="86"/>
        <v>0</v>
      </c>
      <c r="DW75" s="3">
        <f t="shared" si="86"/>
        <v>0</v>
      </c>
      <c r="DX75" s="3">
        <f t="shared" si="86"/>
        <v>0</v>
      </c>
      <c r="DY75" s="3">
        <f t="shared" si="86"/>
        <v>0</v>
      </c>
    </row>
    <row r="76" spans="1:129" ht="13.8">
      <c r="B76" s="29"/>
      <c r="C76" s="7" t="s">
        <v>104</v>
      </c>
      <c r="D76" s="10" t="s">
        <v>0</v>
      </c>
      <c r="G76" s="23">
        <f t="shared" si="79"/>
        <v>296778.58666063013</v>
      </c>
      <c r="I76" s="3">
        <f t="shared" ref="I76:BT76" si="87">I64</f>
        <v>0</v>
      </c>
      <c r="J76" s="3">
        <f t="shared" si="87"/>
        <v>0</v>
      </c>
      <c r="K76" s="3">
        <f t="shared" si="87"/>
        <v>0</v>
      </c>
      <c r="L76" s="3">
        <f t="shared" si="87"/>
        <v>0</v>
      </c>
      <c r="M76" s="3">
        <f t="shared" si="87"/>
        <v>0</v>
      </c>
      <c r="N76" s="3">
        <f t="shared" si="87"/>
        <v>0</v>
      </c>
      <c r="O76" s="3">
        <f t="shared" si="87"/>
        <v>0</v>
      </c>
      <c r="P76" s="3">
        <f t="shared" si="87"/>
        <v>0</v>
      </c>
      <c r="Q76" s="3">
        <f t="shared" si="87"/>
        <v>0</v>
      </c>
      <c r="R76" s="3">
        <f t="shared" si="87"/>
        <v>0</v>
      </c>
      <c r="S76" s="3">
        <f t="shared" si="87"/>
        <v>0</v>
      </c>
      <c r="T76" s="3">
        <f t="shared" si="87"/>
        <v>0</v>
      </c>
      <c r="U76" s="3">
        <f t="shared" si="87"/>
        <v>0</v>
      </c>
      <c r="V76" s="3">
        <f t="shared" si="87"/>
        <v>0</v>
      </c>
      <c r="W76" s="3">
        <f t="shared" si="87"/>
        <v>0</v>
      </c>
      <c r="X76" s="3">
        <f t="shared" si="87"/>
        <v>0</v>
      </c>
      <c r="Y76" s="3">
        <f t="shared" si="87"/>
        <v>0</v>
      </c>
      <c r="Z76" s="3">
        <f t="shared" si="87"/>
        <v>0</v>
      </c>
      <c r="AA76" s="3">
        <f t="shared" si="87"/>
        <v>0</v>
      </c>
      <c r="AB76" s="3">
        <f t="shared" si="87"/>
        <v>0</v>
      </c>
      <c r="AC76" s="3">
        <f t="shared" si="87"/>
        <v>96140.994205309151</v>
      </c>
      <c r="AD76" s="3">
        <f t="shared" si="87"/>
        <v>0</v>
      </c>
      <c r="AE76" s="3">
        <f t="shared" si="87"/>
        <v>0</v>
      </c>
      <c r="AF76" s="3">
        <f t="shared" si="87"/>
        <v>0</v>
      </c>
      <c r="AG76" s="3">
        <f t="shared" si="87"/>
        <v>0</v>
      </c>
      <c r="AH76" s="3">
        <f t="shared" si="87"/>
        <v>0</v>
      </c>
      <c r="AI76" s="3">
        <f t="shared" si="87"/>
        <v>0</v>
      </c>
      <c r="AJ76" s="3">
        <f t="shared" si="87"/>
        <v>0</v>
      </c>
      <c r="AK76" s="3">
        <f t="shared" si="87"/>
        <v>0</v>
      </c>
      <c r="AL76" s="3">
        <f t="shared" si="87"/>
        <v>0</v>
      </c>
      <c r="AM76" s="3">
        <f t="shared" si="87"/>
        <v>0</v>
      </c>
      <c r="AN76" s="3">
        <f t="shared" si="87"/>
        <v>0</v>
      </c>
      <c r="AO76" s="3">
        <f t="shared" si="87"/>
        <v>0</v>
      </c>
      <c r="AP76" s="3">
        <f t="shared" si="87"/>
        <v>0</v>
      </c>
      <c r="AQ76" s="3">
        <f t="shared" si="87"/>
        <v>0</v>
      </c>
      <c r="AR76" s="3">
        <f t="shared" si="87"/>
        <v>0</v>
      </c>
      <c r="AS76" s="3">
        <f t="shared" si="87"/>
        <v>0</v>
      </c>
      <c r="AT76" s="3">
        <f t="shared" si="87"/>
        <v>0</v>
      </c>
      <c r="AU76" s="3">
        <f t="shared" si="87"/>
        <v>0</v>
      </c>
      <c r="AV76" s="3">
        <f t="shared" si="87"/>
        <v>0</v>
      </c>
      <c r="AW76" s="3">
        <f t="shared" si="87"/>
        <v>87288.241744379586</v>
      </c>
      <c r="AX76" s="3">
        <f t="shared" si="87"/>
        <v>0</v>
      </c>
      <c r="AY76" s="3">
        <f t="shared" si="87"/>
        <v>0</v>
      </c>
      <c r="AZ76" s="3">
        <f t="shared" si="87"/>
        <v>0</v>
      </c>
      <c r="BA76" s="3">
        <f t="shared" si="87"/>
        <v>0</v>
      </c>
      <c r="BB76" s="3">
        <f t="shared" si="87"/>
        <v>0</v>
      </c>
      <c r="BC76" s="3">
        <f t="shared" si="87"/>
        <v>0</v>
      </c>
      <c r="BD76" s="3">
        <f t="shared" si="87"/>
        <v>0</v>
      </c>
      <c r="BE76" s="3">
        <f t="shared" si="87"/>
        <v>0</v>
      </c>
      <c r="BF76" s="3">
        <f t="shared" si="87"/>
        <v>0</v>
      </c>
      <c r="BG76" s="3">
        <f t="shared" si="87"/>
        <v>0</v>
      </c>
      <c r="BH76" s="3">
        <f t="shared" si="87"/>
        <v>0</v>
      </c>
      <c r="BI76" s="3">
        <f t="shared" si="87"/>
        <v>0</v>
      </c>
      <c r="BJ76" s="3">
        <f t="shared" si="87"/>
        <v>0</v>
      </c>
      <c r="BK76" s="3">
        <f t="shared" si="87"/>
        <v>0</v>
      </c>
      <c r="BL76" s="3">
        <f t="shared" si="87"/>
        <v>0</v>
      </c>
      <c r="BM76" s="3">
        <f t="shared" si="87"/>
        <v>0</v>
      </c>
      <c r="BN76" s="3">
        <f t="shared" si="87"/>
        <v>0</v>
      </c>
      <c r="BO76" s="3">
        <f t="shared" si="87"/>
        <v>0</v>
      </c>
      <c r="BP76" s="3">
        <f t="shared" si="87"/>
        <v>0</v>
      </c>
      <c r="BQ76" s="3">
        <f t="shared" si="87"/>
        <v>69164.309596343781</v>
      </c>
      <c r="BR76" s="3">
        <f t="shared" si="87"/>
        <v>0</v>
      </c>
      <c r="BS76" s="3">
        <f t="shared" si="87"/>
        <v>0</v>
      </c>
      <c r="BT76" s="3">
        <f t="shared" si="87"/>
        <v>0</v>
      </c>
      <c r="BU76" s="3">
        <f t="shared" ref="BU76:DY76" si="88">BU64</f>
        <v>0</v>
      </c>
      <c r="BV76" s="3">
        <f t="shared" si="88"/>
        <v>0</v>
      </c>
      <c r="BW76" s="3">
        <f t="shared" si="88"/>
        <v>0</v>
      </c>
      <c r="BX76" s="3">
        <f t="shared" si="88"/>
        <v>0</v>
      </c>
      <c r="BY76" s="3">
        <f t="shared" si="88"/>
        <v>0</v>
      </c>
      <c r="BZ76" s="3">
        <f t="shared" si="88"/>
        <v>0</v>
      </c>
      <c r="CA76" s="3">
        <f t="shared" si="88"/>
        <v>0</v>
      </c>
      <c r="CB76" s="3">
        <f t="shared" si="88"/>
        <v>0</v>
      </c>
      <c r="CC76" s="3">
        <f t="shared" si="88"/>
        <v>0</v>
      </c>
      <c r="CD76" s="3">
        <f t="shared" si="88"/>
        <v>0</v>
      </c>
      <c r="CE76" s="3">
        <f t="shared" si="88"/>
        <v>0</v>
      </c>
      <c r="CF76" s="3">
        <f t="shared" si="88"/>
        <v>0</v>
      </c>
      <c r="CG76" s="3">
        <f t="shared" si="88"/>
        <v>0</v>
      </c>
      <c r="CH76" s="3">
        <f t="shared" si="88"/>
        <v>0</v>
      </c>
      <c r="CI76" s="3">
        <f t="shared" si="88"/>
        <v>0</v>
      </c>
      <c r="CJ76" s="3">
        <f t="shared" si="88"/>
        <v>0</v>
      </c>
      <c r="CK76" s="3">
        <f t="shared" si="88"/>
        <v>44185.041114597632</v>
      </c>
      <c r="CL76" s="3">
        <f t="shared" si="88"/>
        <v>0</v>
      </c>
      <c r="CM76" s="3">
        <f t="shared" si="88"/>
        <v>0</v>
      </c>
      <c r="CN76" s="3">
        <f t="shared" si="88"/>
        <v>0</v>
      </c>
      <c r="CO76" s="3">
        <f t="shared" si="88"/>
        <v>0</v>
      </c>
      <c r="CP76" s="3">
        <f t="shared" si="88"/>
        <v>0</v>
      </c>
      <c r="CQ76" s="3">
        <f t="shared" si="88"/>
        <v>0</v>
      </c>
      <c r="CR76" s="3">
        <f t="shared" si="88"/>
        <v>0</v>
      </c>
      <c r="CS76" s="3">
        <f t="shared" si="88"/>
        <v>0</v>
      </c>
      <c r="CT76" s="3">
        <f t="shared" si="88"/>
        <v>0</v>
      </c>
      <c r="CU76" s="3">
        <f t="shared" si="88"/>
        <v>0</v>
      </c>
      <c r="CV76" s="3">
        <f t="shared" si="88"/>
        <v>0</v>
      </c>
      <c r="CW76" s="3">
        <f t="shared" si="88"/>
        <v>0</v>
      </c>
      <c r="CX76" s="3">
        <f t="shared" si="88"/>
        <v>0</v>
      </c>
      <c r="CY76" s="3">
        <f t="shared" si="88"/>
        <v>0</v>
      </c>
      <c r="CZ76" s="3">
        <f t="shared" si="88"/>
        <v>0</v>
      </c>
      <c r="DA76" s="3">
        <f t="shared" si="88"/>
        <v>0</v>
      </c>
      <c r="DB76" s="3">
        <f t="shared" si="88"/>
        <v>0</v>
      </c>
      <c r="DC76" s="3">
        <f t="shared" si="88"/>
        <v>0</v>
      </c>
      <c r="DD76" s="3">
        <f t="shared" si="88"/>
        <v>0</v>
      </c>
      <c r="DE76" s="3">
        <f t="shared" si="88"/>
        <v>0</v>
      </c>
      <c r="DF76" s="3">
        <f t="shared" si="88"/>
        <v>0</v>
      </c>
      <c r="DG76" s="3">
        <f t="shared" si="88"/>
        <v>0</v>
      </c>
      <c r="DH76" s="3">
        <f t="shared" si="88"/>
        <v>0</v>
      </c>
      <c r="DI76" s="3">
        <f t="shared" si="88"/>
        <v>0</v>
      </c>
      <c r="DJ76" s="3">
        <f t="shared" si="88"/>
        <v>0</v>
      </c>
      <c r="DK76" s="3">
        <f t="shared" si="88"/>
        <v>0</v>
      </c>
      <c r="DL76" s="3">
        <f t="shared" si="88"/>
        <v>0</v>
      </c>
      <c r="DM76" s="3">
        <f t="shared" si="88"/>
        <v>0</v>
      </c>
      <c r="DN76" s="3">
        <f t="shared" si="88"/>
        <v>0</v>
      </c>
      <c r="DO76" s="3">
        <f t="shared" si="88"/>
        <v>0</v>
      </c>
      <c r="DP76" s="3">
        <f t="shared" si="88"/>
        <v>0</v>
      </c>
      <c r="DQ76" s="3">
        <f t="shared" si="88"/>
        <v>0</v>
      </c>
      <c r="DR76" s="3">
        <f t="shared" si="88"/>
        <v>0</v>
      </c>
      <c r="DS76" s="3">
        <f t="shared" si="88"/>
        <v>0</v>
      </c>
      <c r="DT76" s="3">
        <f t="shared" si="88"/>
        <v>0</v>
      </c>
      <c r="DU76" s="3">
        <f t="shared" si="88"/>
        <v>0</v>
      </c>
      <c r="DV76" s="3">
        <f t="shared" si="88"/>
        <v>0</v>
      </c>
      <c r="DW76" s="3">
        <f t="shared" si="88"/>
        <v>0</v>
      </c>
      <c r="DX76" s="3">
        <f t="shared" si="88"/>
        <v>0</v>
      </c>
      <c r="DY76" s="3">
        <f t="shared" si="88"/>
        <v>0</v>
      </c>
    </row>
    <row r="77" spans="1:129" ht="13.8">
      <c r="C77" s="30" t="s">
        <v>105</v>
      </c>
      <c r="D77" s="10" t="s">
        <v>0</v>
      </c>
      <c r="G77" s="31">
        <f>SUM(G69:G76)</f>
        <v>-4.5984052121639252E-9</v>
      </c>
      <c r="I77" s="32">
        <f t="shared" ref="I77:AN77" si="89">IF(ROUND(SUM(I69:I76),6)=0,0,SUM(I69:I76))</f>
        <v>10000000</v>
      </c>
      <c r="J77" s="32">
        <f t="shared" si="89"/>
        <v>9949257.2123579886</v>
      </c>
      <c r="K77" s="32">
        <f t="shared" si="89"/>
        <v>9897880.1398704518</v>
      </c>
      <c r="L77" s="32">
        <f t="shared" si="89"/>
        <v>9845860.8539768215</v>
      </c>
      <c r="M77" s="32">
        <f t="shared" si="89"/>
        <v>9793191.3270095196</v>
      </c>
      <c r="N77" s="32">
        <f t="shared" si="89"/>
        <v>9739863.4309551269</v>
      </c>
      <c r="O77" s="32">
        <f t="shared" si="89"/>
        <v>9685868.9362000544</v>
      </c>
      <c r="P77" s="32">
        <f t="shared" si="89"/>
        <v>9631199.5102605429</v>
      </c>
      <c r="Q77" s="32">
        <f t="shared" si="89"/>
        <v>9575846.716496788</v>
      </c>
      <c r="R77" s="32">
        <f t="shared" si="89"/>
        <v>9519802.0128109865</v>
      </c>
      <c r="S77" s="32">
        <f t="shared" si="89"/>
        <v>9463056.7503291126</v>
      </c>
      <c r="T77" s="32">
        <f t="shared" si="89"/>
        <v>9405602.1720662154</v>
      </c>
      <c r="U77" s="32">
        <f t="shared" si="89"/>
        <v>9347429.4115750324</v>
      </c>
      <c r="V77" s="32">
        <f t="shared" si="89"/>
        <v>9288529.4915777091</v>
      </c>
      <c r="W77" s="32">
        <f t="shared" si="89"/>
        <v>9228893.3225804195</v>
      </c>
      <c r="X77" s="32">
        <f t="shared" si="89"/>
        <v>9168511.7014706638</v>
      </c>
      <c r="Y77" s="32">
        <f t="shared" si="89"/>
        <v>9107375.310097035</v>
      </c>
      <c r="Z77" s="32">
        <f t="shared" si="89"/>
        <v>9045474.7138312366</v>
      </c>
      <c r="AA77" s="32">
        <f t="shared" si="89"/>
        <v>8982800.3601121157</v>
      </c>
      <c r="AB77" s="32">
        <f t="shared" si="89"/>
        <v>8919342.5769715048</v>
      </c>
      <c r="AC77" s="32">
        <f t="shared" si="89"/>
        <v>9614099.4205309153</v>
      </c>
      <c r="AD77" s="32">
        <f t="shared" si="89"/>
        <v>9543469.2081333678</v>
      </c>
      <c r="AE77" s="32">
        <f t="shared" si="89"/>
        <v>9471956.1180808507</v>
      </c>
      <c r="AF77" s="32">
        <f t="shared" si="89"/>
        <v>9399549.1144026779</v>
      </c>
      <c r="AG77" s="32">
        <f t="shared" si="89"/>
        <v>9326237.0231785271</v>
      </c>
      <c r="AH77" s="32">
        <f t="shared" si="89"/>
        <v>9252008.5308140758</v>
      </c>
      <c r="AI77" s="32">
        <f t="shared" si="89"/>
        <v>9176852.1822950672</v>
      </c>
      <c r="AJ77" s="32">
        <f t="shared" si="89"/>
        <v>9100756.3794195727</v>
      </c>
      <c r="AK77" s="32">
        <f t="shared" si="89"/>
        <v>9023709.379008133</v>
      </c>
      <c r="AL77" s="32">
        <f t="shared" si="89"/>
        <v>8945699.2910915501</v>
      </c>
      <c r="AM77" s="32">
        <f t="shared" si="89"/>
        <v>8866714.0770760104</v>
      </c>
      <c r="AN77" s="32">
        <f t="shared" si="89"/>
        <v>8786741.5478852764</v>
      </c>
      <c r="AO77" s="32">
        <f t="shared" ref="AO77:CZ77" si="90">IF(ROUND(SUM(AO69:AO76),6)=0,0,SUM(AO69:AO76))</f>
        <v>8705769.3620796595</v>
      </c>
      <c r="AP77" s="32">
        <f t="shared" si="90"/>
        <v>8623785.0239514709</v>
      </c>
      <c r="AQ77" s="32">
        <f t="shared" si="90"/>
        <v>8540775.8815966807</v>
      </c>
      <c r="AR77" s="32">
        <f t="shared" si="90"/>
        <v>8456729.1249624547</v>
      </c>
      <c r="AS77" s="32">
        <f t="shared" si="90"/>
        <v>8371631.7838703012</v>
      </c>
      <c r="AT77" s="32">
        <f t="shared" si="90"/>
        <v>8285470.7260144949</v>
      </c>
      <c r="AU77" s="32">
        <f t="shared" si="90"/>
        <v>8198232.6549354922</v>
      </c>
      <c r="AV77" s="32">
        <f t="shared" si="90"/>
        <v>8109904.1079680026</v>
      </c>
      <c r="AW77" s="32">
        <f t="shared" si="90"/>
        <v>8728824.1744379587</v>
      </c>
      <c r="AX77" s="32">
        <f t="shared" si="90"/>
        <v>8626174.5462380871</v>
      </c>
      <c r="AY77" s="32">
        <f t="shared" si="90"/>
        <v>8522370.1097209677</v>
      </c>
      <c r="AZ77" s="32">
        <f t="shared" si="90"/>
        <v>8417397.873293031</v>
      </c>
      <c r="BA77" s="32">
        <f t="shared" si="90"/>
        <v>8311244.6992052794</v>
      </c>
      <c r="BB77" s="32">
        <f t="shared" si="90"/>
        <v>8203897.3019090407</v>
      </c>
      <c r="BC77" s="32">
        <f t="shared" si="90"/>
        <v>8095342.2463932186</v>
      </c>
      <c r="BD77" s="32">
        <f t="shared" si="90"/>
        <v>7985565.9465028439</v>
      </c>
      <c r="BE77" s="32">
        <f t="shared" si="90"/>
        <v>7874554.6632387023</v>
      </c>
      <c r="BF77" s="32">
        <f t="shared" si="90"/>
        <v>7762294.5030378392</v>
      </c>
      <c r="BG77" s="32">
        <f t="shared" si="90"/>
        <v>7648771.4160347171</v>
      </c>
      <c r="BH77" s="32">
        <f t="shared" si="90"/>
        <v>7533971.1943028094</v>
      </c>
      <c r="BI77" s="32">
        <f t="shared" si="90"/>
        <v>7417879.4700764176</v>
      </c>
      <c r="BJ77" s="32">
        <f t="shared" si="90"/>
        <v>7300481.713952479</v>
      </c>
      <c r="BK77" s="32">
        <f t="shared" si="90"/>
        <v>7181763.2330721458</v>
      </c>
      <c r="BL77" s="32">
        <f t="shared" si="90"/>
        <v>7061709.1692819092</v>
      </c>
      <c r="BM77" s="32">
        <f t="shared" si="90"/>
        <v>6940304.4972740319</v>
      </c>
      <c r="BN77" s="32">
        <f t="shared" si="90"/>
        <v>6817534.0227060663</v>
      </c>
      <c r="BO77" s="32">
        <f t="shared" si="90"/>
        <v>6693382.3802992105</v>
      </c>
      <c r="BP77" s="32">
        <f t="shared" si="90"/>
        <v>6567834.0319152782</v>
      </c>
      <c r="BQ77" s="32">
        <f t="shared" si="90"/>
        <v>6916430.9596343776</v>
      </c>
      <c r="BR77" s="32">
        <f t="shared" si="90"/>
        <v>6785576.8726467639</v>
      </c>
      <c r="BS77" s="32">
        <f t="shared" si="90"/>
        <v>6652923.5419630706</v>
      </c>
      <c r="BT77" s="32">
        <f t="shared" si="90"/>
        <v>6518446.2279824773</v>
      </c>
      <c r="BU77" s="32">
        <f t="shared" si="90"/>
        <v>6382119.8509346507</v>
      </c>
      <c r="BV77" s="32">
        <f t="shared" si="90"/>
        <v>6243918.986202416</v>
      </c>
      <c r="BW77" s="32">
        <f t="shared" si="90"/>
        <v>6103817.8595801136</v>
      </c>
      <c r="BX77" s="32">
        <f t="shared" si="90"/>
        <v>5961790.3424667539</v>
      </c>
      <c r="BY77" s="32">
        <f t="shared" si="90"/>
        <v>5817809.9469930856</v>
      </c>
      <c r="BZ77" s="32">
        <f t="shared" si="90"/>
        <v>5671849.8210816542</v>
      </c>
      <c r="CA77" s="32">
        <f t="shared" si="90"/>
        <v>5523882.7434389414</v>
      </c>
      <c r="CB77" s="32">
        <f t="shared" si="90"/>
        <v>5373881.1184786409</v>
      </c>
      <c r="CC77" s="32">
        <f t="shared" si="90"/>
        <v>5221816.971175136</v>
      </c>
      <c r="CD77" s="32">
        <f t="shared" si="90"/>
        <v>5067661.9418462086</v>
      </c>
      <c r="CE77" s="32">
        <f t="shared" si="90"/>
        <v>4911387.2808640078</v>
      </c>
      <c r="CF77" s="32">
        <f t="shared" si="90"/>
        <v>4752963.8432933018</v>
      </c>
      <c r="CG77" s="32">
        <f t="shared" si="90"/>
        <v>4592362.0834559985</v>
      </c>
      <c r="CH77" s="32">
        <f t="shared" si="90"/>
        <v>4429552.0494209323</v>
      </c>
      <c r="CI77" s="32">
        <f t="shared" si="90"/>
        <v>4264503.3774178838</v>
      </c>
      <c r="CJ77" s="32">
        <f t="shared" si="90"/>
        <v>4097185.2861747937</v>
      </c>
      <c r="CK77" s="32">
        <f t="shared" si="90"/>
        <v>4418504.1114597628</v>
      </c>
      <c r="CL77" s="32">
        <f t="shared" si="90"/>
        <v>4222674.2876501363</v>
      </c>
      <c r="CM77" s="32">
        <f t="shared" si="90"/>
        <v>4024396.5910428897</v>
      </c>
      <c r="CN77" s="32">
        <f t="shared" si="90"/>
        <v>3823640.4232280524</v>
      </c>
      <c r="CO77" s="32">
        <f t="shared" si="90"/>
        <v>3620374.8033155296</v>
      </c>
      <c r="CP77" s="32">
        <f t="shared" si="90"/>
        <v>3414568.3631541003</v>
      </c>
      <c r="CQ77" s="32">
        <f t="shared" si="90"/>
        <v>3206189.342490653</v>
      </c>
      <c r="CR77" s="32">
        <f t="shared" si="90"/>
        <v>2995205.584068913</v>
      </c>
      <c r="CS77" s="32">
        <f t="shared" si="90"/>
        <v>2781584.5286669009</v>
      </c>
      <c r="CT77" s="32">
        <f t="shared" si="90"/>
        <v>2565293.2100723637</v>
      </c>
      <c r="CU77" s="32">
        <f t="shared" si="90"/>
        <v>2346298.2499953951</v>
      </c>
      <c r="CV77" s="32">
        <f t="shared" si="90"/>
        <v>2124565.8529174645</v>
      </c>
      <c r="CW77" s="32">
        <f t="shared" si="90"/>
        <v>1900061.8008760593</v>
      </c>
      <c r="CX77" s="32">
        <f t="shared" si="90"/>
        <v>1672751.4481841368</v>
      </c>
      <c r="CY77" s="32">
        <f t="shared" si="90"/>
        <v>1442599.7160835653</v>
      </c>
      <c r="CZ77" s="32">
        <f t="shared" si="90"/>
        <v>1209571.0873317365</v>
      </c>
      <c r="DA77" s="32">
        <f t="shared" ref="DA77:DY77" si="91">IF(ROUND(SUM(DA69:DA76),6)=0,0,SUM(DA69:DA76))</f>
        <v>973629.60072050989</v>
      </c>
      <c r="DB77" s="32">
        <f t="shared" si="91"/>
        <v>734738.84552664298</v>
      </c>
      <c r="DC77" s="32">
        <f t="shared" si="91"/>
        <v>492861.95589285274</v>
      </c>
      <c r="DD77" s="32">
        <f t="shared" si="91"/>
        <v>247961.60513864018</v>
      </c>
      <c r="DE77" s="32">
        <f t="shared" si="91"/>
        <v>0</v>
      </c>
      <c r="DF77" s="32">
        <f t="shared" si="91"/>
        <v>0</v>
      </c>
      <c r="DG77" s="32">
        <f t="shared" si="91"/>
        <v>0</v>
      </c>
      <c r="DH77" s="32">
        <f t="shared" si="91"/>
        <v>0</v>
      </c>
      <c r="DI77" s="32">
        <f t="shared" si="91"/>
        <v>0</v>
      </c>
      <c r="DJ77" s="32">
        <f t="shared" si="91"/>
        <v>0</v>
      </c>
      <c r="DK77" s="32">
        <f t="shared" si="91"/>
        <v>0</v>
      </c>
      <c r="DL77" s="32">
        <f t="shared" si="91"/>
        <v>0</v>
      </c>
      <c r="DM77" s="32">
        <f t="shared" si="91"/>
        <v>0</v>
      </c>
      <c r="DN77" s="32">
        <f t="shared" si="91"/>
        <v>0</v>
      </c>
      <c r="DO77" s="32">
        <f t="shared" si="91"/>
        <v>0</v>
      </c>
      <c r="DP77" s="32">
        <f t="shared" si="91"/>
        <v>0</v>
      </c>
      <c r="DQ77" s="32">
        <f t="shared" si="91"/>
        <v>0</v>
      </c>
      <c r="DR77" s="32">
        <f t="shared" si="91"/>
        <v>0</v>
      </c>
      <c r="DS77" s="32">
        <f t="shared" si="91"/>
        <v>0</v>
      </c>
      <c r="DT77" s="32">
        <f t="shared" si="91"/>
        <v>0</v>
      </c>
      <c r="DU77" s="32">
        <f t="shared" si="91"/>
        <v>0</v>
      </c>
      <c r="DV77" s="32">
        <f t="shared" si="91"/>
        <v>0</v>
      </c>
      <c r="DW77" s="32">
        <f t="shared" si="91"/>
        <v>0</v>
      </c>
      <c r="DX77" s="32">
        <f t="shared" si="91"/>
        <v>0</v>
      </c>
      <c r="DY77" s="32">
        <f t="shared" si="91"/>
        <v>0</v>
      </c>
    </row>
    <row r="78" spans="1:129">
      <c r="D78" s="10"/>
    </row>
    <row r="79" spans="1:129" ht="13.8">
      <c r="C79" s="7" t="s">
        <v>106</v>
      </c>
      <c r="D79" s="10" t="s">
        <v>91</v>
      </c>
      <c r="F79" s="40"/>
      <c r="I79" s="25">
        <f t="shared" ref="I79:BT79" si="92">I$16/4</f>
        <v>1.2500000000000001E-2</v>
      </c>
      <c r="J79" s="25">
        <f t="shared" si="92"/>
        <v>1.2500000000000001E-2</v>
      </c>
      <c r="K79" s="25">
        <f t="shared" si="92"/>
        <v>1.2500000000000001E-2</v>
      </c>
      <c r="L79" s="25">
        <f t="shared" si="92"/>
        <v>1.2500000000000001E-2</v>
      </c>
      <c r="M79" s="25">
        <f t="shared" si="92"/>
        <v>1.2500000000000001E-2</v>
      </c>
      <c r="N79" s="25">
        <f t="shared" si="92"/>
        <v>1.2500000000000001E-2</v>
      </c>
      <c r="O79" s="25">
        <f t="shared" si="92"/>
        <v>1.2500000000000001E-2</v>
      </c>
      <c r="P79" s="25">
        <f t="shared" si="92"/>
        <v>1.2500000000000001E-2</v>
      </c>
      <c r="Q79" s="25">
        <f t="shared" si="92"/>
        <v>1.2500000000000001E-2</v>
      </c>
      <c r="R79" s="25">
        <f t="shared" si="92"/>
        <v>1.2500000000000001E-2</v>
      </c>
      <c r="S79" s="25">
        <f t="shared" si="92"/>
        <v>1.2500000000000001E-2</v>
      </c>
      <c r="T79" s="25">
        <f t="shared" si="92"/>
        <v>1.2500000000000001E-2</v>
      </c>
      <c r="U79" s="25">
        <f t="shared" si="92"/>
        <v>1.2500000000000001E-2</v>
      </c>
      <c r="V79" s="25">
        <f t="shared" si="92"/>
        <v>1.2500000000000001E-2</v>
      </c>
      <c r="W79" s="25">
        <f t="shared" si="92"/>
        <v>1.2500000000000001E-2</v>
      </c>
      <c r="X79" s="25">
        <f t="shared" si="92"/>
        <v>1.2500000000000001E-2</v>
      </c>
      <c r="Y79" s="25">
        <f t="shared" si="92"/>
        <v>1.2500000000000001E-2</v>
      </c>
      <c r="Z79" s="25">
        <f t="shared" si="92"/>
        <v>1.2500000000000001E-2</v>
      </c>
      <c r="AA79" s="25">
        <f t="shared" si="92"/>
        <v>1.2500000000000001E-2</v>
      </c>
      <c r="AB79" s="25">
        <f t="shared" si="92"/>
        <v>1.2500000000000001E-2</v>
      </c>
      <c r="AC79" s="25">
        <f t="shared" si="92"/>
        <v>1.2500000000000001E-2</v>
      </c>
      <c r="AD79" s="25">
        <f t="shared" si="92"/>
        <v>1.2500000000000001E-2</v>
      </c>
      <c r="AE79" s="25">
        <f t="shared" si="92"/>
        <v>1.2500000000000001E-2</v>
      </c>
      <c r="AF79" s="25">
        <f t="shared" si="92"/>
        <v>1.2500000000000001E-2</v>
      </c>
      <c r="AG79" s="25">
        <f t="shared" si="92"/>
        <v>1.2500000000000001E-2</v>
      </c>
      <c r="AH79" s="25">
        <f t="shared" si="92"/>
        <v>1.2500000000000001E-2</v>
      </c>
      <c r="AI79" s="25">
        <f t="shared" si="92"/>
        <v>1.2500000000000001E-2</v>
      </c>
      <c r="AJ79" s="25">
        <f t="shared" si="92"/>
        <v>1.2500000000000001E-2</v>
      </c>
      <c r="AK79" s="25">
        <f t="shared" si="92"/>
        <v>1.2500000000000001E-2</v>
      </c>
      <c r="AL79" s="25">
        <f t="shared" si="92"/>
        <v>1.2500000000000001E-2</v>
      </c>
      <c r="AM79" s="25">
        <f t="shared" si="92"/>
        <v>1.2500000000000001E-2</v>
      </c>
      <c r="AN79" s="25">
        <f t="shared" si="92"/>
        <v>1.2500000000000001E-2</v>
      </c>
      <c r="AO79" s="25">
        <f t="shared" si="92"/>
        <v>1.2500000000000001E-2</v>
      </c>
      <c r="AP79" s="25">
        <f t="shared" si="92"/>
        <v>1.2500000000000001E-2</v>
      </c>
      <c r="AQ79" s="25">
        <f t="shared" si="92"/>
        <v>1.2500000000000001E-2</v>
      </c>
      <c r="AR79" s="25">
        <f t="shared" si="92"/>
        <v>1.2500000000000001E-2</v>
      </c>
      <c r="AS79" s="25">
        <f t="shared" si="92"/>
        <v>1.2500000000000001E-2</v>
      </c>
      <c r="AT79" s="25">
        <f t="shared" si="92"/>
        <v>1.2500000000000001E-2</v>
      </c>
      <c r="AU79" s="25">
        <f t="shared" si="92"/>
        <v>1.2500000000000001E-2</v>
      </c>
      <c r="AV79" s="25">
        <f t="shared" si="92"/>
        <v>1.2500000000000001E-2</v>
      </c>
      <c r="AW79" s="25">
        <f t="shared" si="92"/>
        <v>1.2500000000000001E-2</v>
      </c>
      <c r="AX79" s="25">
        <f t="shared" si="92"/>
        <v>1.125E-2</v>
      </c>
      <c r="AY79" s="25">
        <f t="shared" si="92"/>
        <v>1.125E-2</v>
      </c>
      <c r="AZ79" s="25">
        <f t="shared" si="92"/>
        <v>1.125E-2</v>
      </c>
      <c r="BA79" s="25">
        <f t="shared" si="92"/>
        <v>1.125E-2</v>
      </c>
      <c r="BB79" s="25">
        <f t="shared" si="92"/>
        <v>1.125E-2</v>
      </c>
      <c r="BC79" s="25">
        <f t="shared" si="92"/>
        <v>1.125E-2</v>
      </c>
      <c r="BD79" s="25">
        <f t="shared" si="92"/>
        <v>1.125E-2</v>
      </c>
      <c r="BE79" s="25">
        <f t="shared" si="92"/>
        <v>1.125E-2</v>
      </c>
      <c r="BF79" s="25">
        <f t="shared" si="92"/>
        <v>1.125E-2</v>
      </c>
      <c r="BG79" s="25">
        <f t="shared" si="92"/>
        <v>1.125E-2</v>
      </c>
      <c r="BH79" s="25">
        <f t="shared" si="92"/>
        <v>1.125E-2</v>
      </c>
      <c r="BI79" s="25">
        <f t="shared" si="92"/>
        <v>1.125E-2</v>
      </c>
      <c r="BJ79" s="25">
        <f t="shared" si="92"/>
        <v>1.125E-2</v>
      </c>
      <c r="BK79" s="25">
        <f t="shared" si="92"/>
        <v>1.125E-2</v>
      </c>
      <c r="BL79" s="25">
        <f t="shared" si="92"/>
        <v>1.125E-2</v>
      </c>
      <c r="BM79" s="25">
        <f t="shared" si="92"/>
        <v>1.125E-2</v>
      </c>
      <c r="BN79" s="25">
        <f t="shared" si="92"/>
        <v>1.125E-2</v>
      </c>
      <c r="BO79" s="25">
        <f t="shared" si="92"/>
        <v>1.125E-2</v>
      </c>
      <c r="BP79" s="25">
        <f t="shared" si="92"/>
        <v>1.125E-2</v>
      </c>
      <c r="BQ79" s="25">
        <f t="shared" si="92"/>
        <v>1.125E-2</v>
      </c>
      <c r="BR79" s="25">
        <f t="shared" si="92"/>
        <v>1.375E-2</v>
      </c>
      <c r="BS79" s="25">
        <f t="shared" si="92"/>
        <v>1.375E-2</v>
      </c>
      <c r="BT79" s="25">
        <f t="shared" si="92"/>
        <v>1.375E-2</v>
      </c>
      <c r="BU79" s="25">
        <f t="shared" ref="BU79:DY79" si="93">BU$16/4</f>
        <v>1.375E-2</v>
      </c>
      <c r="BV79" s="25">
        <f t="shared" si="93"/>
        <v>1.375E-2</v>
      </c>
      <c r="BW79" s="25">
        <f t="shared" si="93"/>
        <v>1.375E-2</v>
      </c>
      <c r="BX79" s="25">
        <f t="shared" si="93"/>
        <v>1.375E-2</v>
      </c>
      <c r="BY79" s="25">
        <f t="shared" si="93"/>
        <v>1.375E-2</v>
      </c>
      <c r="BZ79" s="25">
        <f t="shared" si="93"/>
        <v>1.375E-2</v>
      </c>
      <c r="CA79" s="25">
        <f t="shared" si="93"/>
        <v>1.375E-2</v>
      </c>
      <c r="CB79" s="25">
        <f t="shared" si="93"/>
        <v>1.375E-2</v>
      </c>
      <c r="CC79" s="25">
        <f t="shared" si="93"/>
        <v>1.375E-2</v>
      </c>
      <c r="CD79" s="25">
        <f t="shared" si="93"/>
        <v>1.375E-2</v>
      </c>
      <c r="CE79" s="25">
        <f t="shared" si="93"/>
        <v>1.375E-2</v>
      </c>
      <c r="CF79" s="25">
        <f t="shared" si="93"/>
        <v>1.375E-2</v>
      </c>
      <c r="CG79" s="25">
        <f t="shared" si="93"/>
        <v>1.375E-2</v>
      </c>
      <c r="CH79" s="25">
        <f t="shared" si="93"/>
        <v>1.375E-2</v>
      </c>
      <c r="CI79" s="25">
        <f t="shared" si="93"/>
        <v>1.375E-2</v>
      </c>
      <c r="CJ79" s="25">
        <f t="shared" si="93"/>
        <v>1.375E-2</v>
      </c>
      <c r="CK79" s="25">
        <f t="shared" si="93"/>
        <v>1.375E-2</v>
      </c>
      <c r="CL79" s="25">
        <f t="shared" si="93"/>
        <v>1.2500000000000001E-2</v>
      </c>
      <c r="CM79" s="25">
        <f t="shared" si="93"/>
        <v>1.2500000000000001E-2</v>
      </c>
      <c r="CN79" s="25">
        <f t="shared" si="93"/>
        <v>1.2500000000000001E-2</v>
      </c>
      <c r="CO79" s="25">
        <f t="shared" si="93"/>
        <v>1.2500000000000001E-2</v>
      </c>
      <c r="CP79" s="25">
        <f t="shared" si="93"/>
        <v>1.2500000000000001E-2</v>
      </c>
      <c r="CQ79" s="25">
        <f t="shared" si="93"/>
        <v>1.2500000000000001E-2</v>
      </c>
      <c r="CR79" s="25">
        <f t="shared" si="93"/>
        <v>1.2500000000000001E-2</v>
      </c>
      <c r="CS79" s="25">
        <f t="shared" si="93"/>
        <v>1.2500000000000001E-2</v>
      </c>
      <c r="CT79" s="25">
        <f t="shared" si="93"/>
        <v>1.2500000000000001E-2</v>
      </c>
      <c r="CU79" s="25">
        <f t="shared" si="93"/>
        <v>1.2500000000000001E-2</v>
      </c>
      <c r="CV79" s="25">
        <f t="shared" si="93"/>
        <v>1.2500000000000001E-2</v>
      </c>
      <c r="CW79" s="25">
        <f t="shared" si="93"/>
        <v>1.2500000000000001E-2</v>
      </c>
      <c r="CX79" s="25">
        <f t="shared" si="93"/>
        <v>1.2500000000000001E-2</v>
      </c>
      <c r="CY79" s="25">
        <f t="shared" si="93"/>
        <v>1.2500000000000001E-2</v>
      </c>
      <c r="CZ79" s="25">
        <f t="shared" si="93"/>
        <v>1.2500000000000001E-2</v>
      </c>
      <c r="DA79" s="25">
        <f t="shared" si="93"/>
        <v>1.2500000000000001E-2</v>
      </c>
      <c r="DB79" s="25">
        <f t="shared" si="93"/>
        <v>1.2500000000000001E-2</v>
      </c>
      <c r="DC79" s="25">
        <f t="shared" si="93"/>
        <v>1.2500000000000001E-2</v>
      </c>
      <c r="DD79" s="25">
        <f t="shared" si="93"/>
        <v>1.2500000000000001E-2</v>
      </c>
      <c r="DE79" s="25">
        <f t="shared" si="93"/>
        <v>1.2500000000000001E-2</v>
      </c>
      <c r="DF79" s="25">
        <f t="shared" si="93"/>
        <v>1.2500000000000001E-2</v>
      </c>
      <c r="DG79" s="25">
        <f t="shared" si="93"/>
        <v>1.2500000000000001E-2</v>
      </c>
      <c r="DH79" s="25">
        <f t="shared" si="93"/>
        <v>1.2500000000000001E-2</v>
      </c>
      <c r="DI79" s="25">
        <f t="shared" si="93"/>
        <v>1.2500000000000001E-2</v>
      </c>
      <c r="DJ79" s="25">
        <f t="shared" si="93"/>
        <v>1.2500000000000001E-2</v>
      </c>
      <c r="DK79" s="25">
        <f t="shared" si="93"/>
        <v>1.2500000000000001E-2</v>
      </c>
      <c r="DL79" s="25">
        <f t="shared" si="93"/>
        <v>1.2500000000000001E-2</v>
      </c>
      <c r="DM79" s="25">
        <f t="shared" si="93"/>
        <v>1.2500000000000001E-2</v>
      </c>
      <c r="DN79" s="25">
        <f t="shared" si="93"/>
        <v>1.2500000000000001E-2</v>
      </c>
      <c r="DO79" s="25">
        <f t="shared" si="93"/>
        <v>1.2500000000000001E-2</v>
      </c>
      <c r="DP79" s="25">
        <f t="shared" si="93"/>
        <v>1.2500000000000001E-2</v>
      </c>
      <c r="DQ79" s="25">
        <f t="shared" si="93"/>
        <v>1.2500000000000001E-2</v>
      </c>
      <c r="DR79" s="25">
        <f t="shared" si="93"/>
        <v>1.2500000000000001E-2</v>
      </c>
      <c r="DS79" s="25">
        <f t="shared" si="93"/>
        <v>1.2500000000000001E-2</v>
      </c>
      <c r="DT79" s="25">
        <f t="shared" si="93"/>
        <v>1.2500000000000001E-2</v>
      </c>
      <c r="DU79" s="25">
        <f t="shared" si="93"/>
        <v>1.2500000000000001E-2</v>
      </c>
      <c r="DV79" s="25">
        <f t="shared" si="93"/>
        <v>1.2500000000000001E-2</v>
      </c>
      <c r="DW79" s="25">
        <f t="shared" si="93"/>
        <v>1.2500000000000001E-2</v>
      </c>
      <c r="DX79" s="25">
        <f t="shared" si="93"/>
        <v>1.2500000000000001E-2</v>
      </c>
      <c r="DY79" s="25">
        <f t="shared" si="93"/>
        <v>1.2500000000000001E-2</v>
      </c>
    </row>
    <row r="80" spans="1:129" ht="13.8">
      <c r="C80" s="7" t="s">
        <v>107</v>
      </c>
      <c r="D80" s="10" t="s">
        <v>0</v>
      </c>
      <c r="F80" s="40"/>
      <c r="G80" s="23">
        <f>SUM(I80:DY80)</f>
        <v>8454429.8123102393</v>
      </c>
      <c r="I80" s="3">
        <f t="shared" ref="I80:BT80" si="94">I79*I69</f>
        <v>0</v>
      </c>
      <c r="J80" s="3">
        <f t="shared" si="94"/>
        <v>125000</v>
      </c>
      <c r="K80" s="3">
        <f t="shared" si="94"/>
        <v>124365.71515447486</v>
      </c>
      <c r="L80" s="3">
        <f t="shared" si="94"/>
        <v>123723.50174838066</v>
      </c>
      <c r="M80" s="3">
        <f t="shared" si="94"/>
        <v>123073.26067471027</v>
      </c>
      <c r="N80" s="3">
        <f t="shared" si="94"/>
        <v>122414.891587619</v>
      </c>
      <c r="O80" s="3">
        <f t="shared" si="94"/>
        <v>121748.29288693909</v>
      </c>
      <c r="P80" s="3">
        <f t="shared" si="94"/>
        <v>121073.36170250068</v>
      </c>
      <c r="Q80" s="3">
        <f t="shared" si="94"/>
        <v>120389.99387825679</v>
      </c>
      <c r="R80" s="3">
        <f t="shared" si="94"/>
        <v>119698.08395620986</v>
      </c>
      <c r="S80" s="3">
        <f t="shared" si="94"/>
        <v>118997.52516013733</v>
      </c>
      <c r="T80" s="3">
        <f t="shared" si="94"/>
        <v>118288.20937911392</v>
      </c>
      <c r="U80" s="3">
        <f t="shared" si="94"/>
        <v>117570.02715082769</v>
      </c>
      <c r="V80" s="3">
        <f t="shared" si="94"/>
        <v>116842.86764468791</v>
      </c>
      <c r="W80" s="3">
        <f t="shared" si="94"/>
        <v>116106.61864472137</v>
      </c>
      <c r="X80" s="3">
        <f t="shared" si="94"/>
        <v>115361.16653225524</v>
      </c>
      <c r="Y80" s="3">
        <f t="shared" si="94"/>
        <v>114606.39626838331</v>
      </c>
      <c r="Z80" s="3">
        <f t="shared" si="94"/>
        <v>113842.19137621294</v>
      </c>
      <c r="AA80" s="3">
        <f t="shared" si="94"/>
        <v>113068.43392289046</v>
      </c>
      <c r="AB80" s="3">
        <f t="shared" si="94"/>
        <v>112285.00450140145</v>
      </c>
      <c r="AC80" s="3">
        <f t="shared" si="94"/>
        <v>111491.78221214382</v>
      </c>
      <c r="AD80" s="3">
        <f t="shared" si="94"/>
        <v>120176.24275663645</v>
      </c>
      <c r="AE80" s="3">
        <f t="shared" si="94"/>
        <v>119293.36510166711</v>
      </c>
      <c r="AF80" s="3">
        <f t="shared" si="94"/>
        <v>118399.45147601064</v>
      </c>
      <c r="AG80" s="3">
        <f t="shared" si="94"/>
        <v>117494.36393003348</v>
      </c>
      <c r="AH80" s="3">
        <f t="shared" si="94"/>
        <v>116577.96278973159</v>
      </c>
      <c r="AI80" s="3">
        <f t="shared" si="94"/>
        <v>115650.10663517595</v>
      </c>
      <c r="AJ80" s="3">
        <f t="shared" si="94"/>
        <v>114710.65227868834</v>
      </c>
      <c r="AK80" s="3">
        <f t="shared" si="94"/>
        <v>113759.45474274467</v>
      </c>
      <c r="AL80" s="3">
        <f t="shared" si="94"/>
        <v>112796.36723760166</v>
      </c>
      <c r="AM80" s="3">
        <f t="shared" si="94"/>
        <v>111821.24113864439</v>
      </c>
      <c r="AN80" s="3">
        <f t="shared" si="94"/>
        <v>110833.92596345014</v>
      </c>
      <c r="AO80" s="3">
        <f t="shared" si="94"/>
        <v>109834.26934856595</v>
      </c>
      <c r="AP80" s="3">
        <f t="shared" si="94"/>
        <v>108822.11702599574</v>
      </c>
      <c r="AQ80" s="3">
        <f t="shared" si="94"/>
        <v>107797.31279939339</v>
      </c>
      <c r="AR80" s="3">
        <f t="shared" si="94"/>
        <v>106759.69851995852</v>
      </c>
      <c r="AS80" s="3">
        <f t="shared" si="94"/>
        <v>105709.11406203068</v>
      </c>
      <c r="AT80" s="3">
        <f t="shared" si="94"/>
        <v>104645.39729837877</v>
      </c>
      <c r="AU80" s="3">
        <f t="shared" si="94"/>
        <v>103568.38407518119</v>
      </c>
      <c r="AV80" s="3">
        <f t="shared" si="94"/>
        <v>102477.90818669366</v>
      </c>
      <c r="AW80" s="3">
        <f t="shared" si="94"/>
        <v>101373.80134960003</v>
      </c>
      <c r="AX80" s="3">
        <f t="shared" si="94"/>
        <v>98199.271962427039</v>
      </c>
      <c r="AY80" s="3">
        <f t="shared" si="94"/>
        <v>97044.463645178475</v>
      </c>
      <c r="AZ80" s="3">
        <f t="shared" si="94"/>
        <v>95876.663734360889</v>
      </c>
      <c r="BA80" s="3">
        <f t="shared" si="94"/>
        <v>94695.72607454659</v>
      </c>
      <c r="BB80" s="3">
        <f t="shared" si="94"/>
        <v>93501.502866059396</v>
      </c>
      <c r="BC80" s="3">
        <f t="shared" si="94"/>
        <v>92293.844646476704</v>
      </c>
      <c r="BD80" s="3">
        <f t="shared" si="94"/>
        <v>91072.6002719237</v>
      </c>
      <c r="BE80" s="3">
        <f t="shared" si="94"/>
        <v>89837.616898156994</v>
      </c>
      <c r="BF80" s="3">
        <f t="shared" si="94"/>
        <v>88588.739961435393</v>
      </c>
      <c r="BG80" s="3">
        <f t="shared" si="94"/>
        <v>87325.813159175683</v>
      </c>
      <c r="BH80" s="3">
        <f t="shared" si="94"/>
        <v>86048.678430390559</v>
      </c>
      <c r="BI80" s="3">
        <f t="shared" si="94"/>
        <v>84757.175935906605</v>
      </c>
      <c r="BJ80" s="3">
        <f t="shared" si="94"/>
        <v>83451.144038359693</v>
      </c>
      <c r="BK80" s="3">
        <f t="shared" si="94"/>
        <v>82130.419281965384</v>
      </c>
      <c r="BL80" s="3">
        <f t="shared" si="94"/>
        <v>80794.836372061633</v>
      </c>
      <c r="BM80" s="3">
        <f t="shared" si="94"/>
        <v>79444.228154421478</v>
      </c>
      <c r="BN80" s="3">
        <f t="shared" si="94"/>
        <v>78078.425594332861</v>
      </c>
      <c r="BO80" s="3">
        <f t="shared" si="94"/>
        <v>76697.257755443236</v>
      </c>
      <c r="BP80" s="3">
        <f t="shared" si="94"/>
        <v>75300.55177836612</v>
      </c>
      <c r="BQ80" s="3">
        <f t="shared" si="94"/>
        <v>73888.132859046877</v>
      </c>
      <c r="BR80" s="3">
        <f t="shared" si="94"/>
        <v>95100.925694972699</v>
      </c>
      <c r="BS80" s="3">
        <f t="shared" si="94"/>
        <v>93301.681998893007</v>
      </c>
      <c r="BT80" s="3">
        <f t="shared" si="94"/>
        <v>91477.698701992224</v>
      </c>
      <c r="BU80" s="3">
        <f t="shared" ref="BU80:DY80" si="95">BU79*BU69</f>
        <v>89628.635634759063</v>
      </c>
      <c r="BV80" s="3">
        <f t="shared" si="95"/>
        <v>87754.147950351442</v>
      </c>
      <c r="BW80" s="3">
        <f t="shared" si="95"/>
        <v>85853.886060283214</v>
      </c>
      <c r="BX80" s="3">
        <f t="shared" si="95"/>
        <v>83927.495569226565</v>
      </c>
      <c r="BY80" s="3">
        <f t="shared" si="95"/>
        <v>81974.617208917873</v>
      </c>
      <c r="BZ80" s="3">
        <f t="shared" si="95"/>
        <v>79994.886771154925</v>
      </c>
      <c r="CA80" s="3">
        <f t="shared" si="95"/>
        <v>77987.93503987274</v>
      </c>
      <c r="CB80" s="3">
        <f t="shared" si="95"/>
        <v>75953.38772228545</v>
      </c>
      <c r="CC80" s="3">
        <f t="shared" si="95"/>
        <v>73890.865379081311</v>
      </c>
      <c r="CD80" s="3">
        <f t="shared" si="95"/>
        <v>71799.983353658128</v>
      </c>
      <c r="CE80" s="3">
        <f t="shared" si="95"/>
        <v>69680.351700385363</v>
      </c>
      <c r="CF80" s="3">
        <f t="shared" si="95"/>
        <v>67531.575111880113</v>
      </c>
      <c r="CG80" s="3">
        <f t="shared" si="95"/>
        <v>65353.252845282899</v>
      </c>
      <c r="CH80" s="3">
        <f t="shared" si="95"/>
        <v>63144.97864751998</v>
      </c>
      <c r="CI80" s="3">
        <f t="shared" si="95"/>
        <v>60906.340679537818</v>
      </c>
      <c r="CJ80" s="3">
        <f t="shared" si="95"/>
        <v>58636.921439495905</v>
      </c>
      <c r="CK80" s="3">
        <f t="shared" si="95"/>
        <v>56336.297684903417</v>
      </c>
      <c r="CL80" s="3">
        <f t="shared" si="95"/>
        <v>55231.301393247035</v>
      </c>
      <c r="CM80" s="3">
        <f t="shared" si="95"/>
        <v>52783.428595626705</v>
      </c>
      <c r="CN80" s="3">
        <f t="shared" si="95"/>
        <v>50304.957388036128</v>
      </c>
      <c r="CO80" s="3">
        <f t="shared" si="95"/>
        <v>47795.505290350658</v>
      </c>
      <c r="CP80" s="3">
        <f t="shared" si="95"/>
        <v>45254.685041444121</v>
      </c>
      <c r="CQ80" s="3">
        <f t="shared" si="95"/>
        <v>42682.104539426255</v>
      </c>
      <c r="CR80" s="3">
        <f t="shared" si="95"/>
        <v>40077.366781133169</v>
      </c>
      <c r="CS80" s="3">
        <f t="shared" si="95"/>
        <v>37440.069800861413</v>
      </c>
      <c r="CT80" s="3">
        <f t="shared" si="95"/>
        <v>34769.806608336265</v>
      </c>
      <c r="CU80" s="3">
        <f t="shared" si="95"/>
        <v>32066.165125904547</v>
      </c>
      <c r="CV80" s="3">
        <f t="shared" si="95"/>
        <v>29328.728124942441</v>
      </c>
      <c r="CW80" s="3">
        <f t="shared" si="95"/>
        <v>26557.073161468306</v>
      </c>
      <c r="CX80" s="3">
        <f t="shared" si="95"/>
        <v>23750.772510950745</v>
      </c>
      <c r="CY80" s="3">
        <f t="shared" si="95"/>
        <v>20909.39310230171</v>
      </c>
      <c r="CZ80" s="3">
        <f t="shared" si="95"/>
        <v>18032.496451044568</v>
      </c>
      <c r="DA80" s="3">
        <f t="shared" si="95"/>
        <v>15119.638591646706</v>
      </c>
      <c r="DB80" s="3">
        <f t="shared" si="95"/>
        <v>12170.370009006374</v>
      </c>
      <c r="DC80" s="3">
        <f t="shared" si="95"/>
        <v>9184.2355690830373</v>
      </c>
      <c r="DD80" s="3">
        <f t="shared" si="95"/>
        <v>6160.7744486606598</v>
      </c>
      <c r="DE80" s="3">
        <f t="shared" si="95"/>
        <v>3099.5200642330024</v>
      </c>
      <c r="DF80" s="3">
        <f t="shared" si="95"/>
        <v>0</v>
      </c>
      <c r="DG80" s="3">
        <f t="shared" si="95"/>
        <v>0</v>
      </c>
      <c r="DH80" s="3">
        <f t="shared" si="95"/>
        <v>0</v>
      </c>
      <c r="DI80" s="3">
        <f t="shared" si="95"/>
        <v>0</v>
      </c>
      <c r="DJ80" s="3">
        <f t="shared" si="95"/>
        <v>0</v>
      </c>
      <c r="DK80" s="3">
        <f t="shared" si="95"/>
        <v>0</v>
      </c>
      <c r="DL80" s="3">
        <f t="shared" si="95"/>
        <v>0</v>
      </c>
      <c r="DM80" s="3">
        <f t="shared" si="95"/>
        <v>0</v>
      </c>
      <c r="DN80" s="3">
        <f t="shared" si="95"/>
        <v>0</v>
      </c>
      <c r="DO80" s="3">
        <f t="shared" si="95"/>
        <v>0</v>
      </c>
      <c r="DP80" s="3">
        <f t="shared" si="95"/>
        <v>0</v>
      </c>
      <c r="DQ80" s="3">
        <f t="shared" si="95"/>
        <v>0</v>
      </c>
      <c r="DR80" s="3">
        <f t="shared" si="95"/>
        <v>0</v>
      </c>
      <c r="DS80" s="3">
        <f t="shared" si="95"/>
        <v>0</v>
      </c>
      <c r="DT80" s="3">
        <f t="shared" si="95"/>
        <v>0</v>
      </c>
      <c r="DU80" s="3">
        <f t="shared" si="95"/>
        <v>0</v>
      </c>
      <c r="DV80" s="3">
        <f t="shared" si="95"/>
        <v>0</v>
      </c>
      <c r="DW80" s="3">
        <f t="shared" si="95"/>
        <v>0</v>
      </c>
      <c r="DX80" s="3">
        <f t="shared" si="95"/>
        <v>0</v>
      </c>
      <c r="DY80" s="3">
        <f t="shared" si="95"/>
        <v>0</v>
      </c>
    </row>
    <row r="81" spans="1:129" ht="13.8">
      <c r="C81" s="7" t="s">
        <v>108</v>
      </c>
      <c r="D81" s="10" t="s">
        <v>0</v>
      </c>
      <c r="F81" s="40"/>
      <c r="G81" s="23">
        <f>SUM(I81:DY81)</f>
        <v>8454429.8123102393</v>
      </c>
      <c r="I81" s="3">
        <f t="shared" ref="I81:BT81" si="96">0-IF(I$18,IPMT(I$79,1,I$19,I$69,0,0),0)</f>
        <v>0</v>
      </c>
      <c r="J81" s="3">
        <f t="shared" si="96"/>
        <v>125000</v>
      </c>
      <c r="K81" s="3">
        <f t="shared" si="96"/>
        <v>124365.71515447486</v>
      </c>
      <c r="L81" s="3">
        <f t="shared" si="96"/>
        <v>123723.50174838066</v>
      </c>
      <c r="M81" s="3">
        <f t="shared" si="96"/>
        <v>123073.26067471027</v>
      </c>
      <c r="N81" s="3">
        <f t="shared" si="96"/>
        <v>122414.891587619</v>
      </c>
      <c r="O81" s="3">
        <f t="shared" si="96"/>
        <v>121748.29288693909</v>
      </c>
      <c r="P81" s="3">
        <f t="shared" si="96"/>
        <v>121073.36170250068</v>
      </c>
      <c r="Q81" s="3">
        <f t="shared" si="96"/>
        <v>120389.99387825679</v>
      </c>
      <c r="R81" s="3">
        <f t="shared" si="96"/>
        <v>119698.08395620986</v>
      </c>
      <c r="S81" s="3">
        <f t="shared" si="96"/>
        <v>118997.52516013733</v>
      </c>
      <c r="T81" s="3">
        <f t="shared" si="96"/>
        <v>118288.20937911392</v>
      </c>
      <c r="U81" s="3">
        <f t="shared" si="96"/>
        <v>117570.02715082769</v>
      </c>
      <c r="V81" s="3">
        <f t="shared" si="96"/>
        <v>116842.86764468791</v>
      </c>
      <c r="W81" s="3">
        <f t="shared" si="96"/>
        <v>116106.61864472137</v>
      </c>
      <c r="X81" s="3">
        <f t="shared" si="96"/>
        <v>115361.16653225524</v>
      </c>
      <c r="Y81" s="3">
        <f t="shared" si="96"/>
        <v>114606.39626838331</v>
      </c>
      <c r="Z81" s="3">
        <f t="shared" si="96"/>
        <v>113842.19137621294</v>
      </c>
      <c r="AA81" s="3">
        <f t="shared" si="96"/>
        <v>113068.43392289046</v>
      </c>
      <c r="AB81" s="3">
        <f t="shared" si="96"/>
        <v>112285.00450140145</v>
      </c>
      <c r="AC81" s="3">
        <f t="shared" si="96"/>
        <v>111491.78221214382</v>
      </c>
      <c r="AD81" s="3">
        <f t="shared" si="96"/>
        <v>120176.24275663645</v>
      </c>
      <c r="AE81" s="3">
        <f t="shared" si="96"/>
        <v>119293.36510166711</v>
      </c>
      <c r="AF81" s="3">
        <f t="shared" si="96"/>
        <v>118399.45147601064</v>
      </c>
      <c r="AG81" s="3">
        <f t="shared" si="96"/>
        <v>117494.36393003348</v>
      </c>
      <c r="AH81" s="3">
        <f t="shared" si="96"/>
        <v>116577.96278973159</v>
      </c>
      <c r="AI81" s="3">
        <f t="shared" si="96"/>
        <v>115650.10663517595</v>
      </c>
      <c r="AJ81" s="3">
        <f t="shared" si="96"/>
        <v>114710.65227868834</v>
      </c>
      <c r="AK81" s="3">
        <f t="shared" si="96"/>
        <v>113759.45474274467</v>
      </c>
      <c r="AL81" s="3">
        <f t="shared" si="96"/>
        <v>112796.36723760166</v>
      </c>
      <c r="AM81" s="3">
        <f t="shared" si="96"/>
        <v>111821.24113864439</v>
      </c>
      <c r="AN81" s="3">
        <f t="shared" si="96"/>
        <v>110833.92596345014</v>
      </c>
      <c r="AO81" s="3">
        <f t="shared" si="96"/>
        <v>109834.26934856595</v>
      </c>
      <c r="AP81" s="3">
        <f t="shared" si="96"/>
        <v>108822.11702599574</v>
      </c>
      <c r="AQ81" s="3">
        <f t="shared" si="96"/>
        <v>107797.31279939339</v>
      </c>
      <c r="AR81" s="3">
        <f t="shared" si="96"/>
        <v>106759.69851995852</v>
      </c>
      <c r="AS81" s="3">
        <f t="shared" si="96"/>
        <v>105709.11406203068</v>
      </c>
      <c r="AT81" s="3">
        <f t="shared" si="96"/>
        <v>104645.39729837877</v>
      </c>
      <c r="AU81" s="3">
        <f t="shared" si="96"/>
        <v>103568.38407518119</v>
      </c>
      <c r="AV81" s="3">
        <f t="shared" si="96"/>
        <v>102477.90818669366</v>
      </c>
      <c r="AW81" s="3">
        <f t="shared" si="96"/>
        <v>101373.80134960003</v>
      </c>
      <c r="AX81" s="3">
        <f t="shared" si="96"/>
        <v>98199.271962427039</v>
      </c>
      <c r="AY81" s="3">
        <f t="shared" si="96"/>
        <v>97044.463645178475</v>
      </c>
      <c r="AZ81" s="3">
        <f t="shared" si="96"/>
        <v>95876.663734360889</v>
      </c>
      <c r="BA81" s="3">
        <f t="shared" si="96"/>
        <v>94695.72607454659</v>
      </c>
      <c r="BB81" s="3">
        <f t="shared" si="96"/>
        <v>93501.502866059396</v>
      </c>
      <c r="BC81" s="3">
        <f t="shared" si="96"/>
        <v>92293.844646476689</v>
      </c>
      <c r="BD81" s="3">
        <f t="shared" si="96"/>
        <v>91072.6002719237</v>
      </c>
      <c r="BE81" s="3">
        <f t="shared" si="96"/>
        <v>89837.616898156979</v>
      </c>
      <c r="BF81" s="3">
        <f t="shared" si="96"/>
        <v>88588.739961435393</v>
      </c>
      <c r="BG81" s="3">
        <f t="shared" si="96"/>
        <v>87325.813159175683</v>
      </c>
      <c r="BH81" s="3">
        <f t="shared" si="96"/>
        <v>86048.678430390559</v>
      </c>
      <c r="BI81" s="3">
        <f t="shared" si="96"/>
        <v>84757.175935906605</v>
      </c>
      <c r="BJ81" s="3">
        <f t="shared" si="96"/>
        <v>83451.144038359693</v>
      </c>
      <c r="BK81" s="3">
        <f t="shared" si="96"/>
        <v>82130.419281965384</v>
      </c>
      <c r="BL81" s="3">
        <f t="shared" si="96"/>
        <v>80794.836372061633</v>
      </c>
      <c r="BM81" s="3">
        <f t="shared" si="96"/>
        <v>79444.228154421493</v>
      </c>
      <c r="BN81" s="3">
        <f t="shared" si="96"/>
        <v>78078.425594332861</v>
      </c>
      <c r="BO81" s="3">
        <f t="shared" si="96"/>
        <v>76697.257755443236</v>
      </c>
      <c r="BP81" s="3">
        <f t="shared" si="96"/>
        <v>75300.55177836612</v>
      </c>
      <c r="BQ81" s="3">
        <f t="shared" si="96"/>
        <v>73888.132859046891</v>
      </c>
      <c r="BR81" s="3">
        <f t="shared" si="96"/>
        <v>95100.925694972699</v>
      </c>
      <c r="BS81" s="3">
        <f t="shared" si="96"/>
        <v>93301.681998893007</v>
      </c>
      <c r="BT81" s="3">
        <f t="shared" si="96"/>
        <v>91477.698701992224</v>
      </c>
      <c r="BU81" s="3">
        <f t="shared" ref="BU81:DY81" si="97">0-IF(BU$18,IPMT(BU$79,1,BU$19,BU$69,0,0),0)</f>
        <v>89628.635634759063</v>
      </c>
      <c r="BV81" s="3">
        <f t="shared" si="97"/>
        <v>87754.147950351442</v>
      </c>
      <c r="BW81" s="3">
        <f t="shared" si="97"/>
        <v>85853.886060283214</v>
      </c>
      <c r="BX81" s="3">
        <f t="shared" si="97"/>
        <v>83927.495569226565</v>
      </c>
      <c r="BY81" s="3">
        <f t="shared" si="97"/>
        <v>81974.617208917873</v>
      </c>
      <c r="BZ81" s="3">
        <f t="shared" si="97"/>
        <v>79994.886771154925</v>
      </c>
      <c r="CA81" s="3">
        <f t="shared" si="97"/>
        <v>77987.93503987274</v>
      </c>
      <c r="CB81" s="3">
        <f t="shared" si="97"/>
        <v>75953.38772228545</v>
      </c>
      <c r="CC81" s="3">
        <f t="shared" si="97"/>
        <v>73890.865379081311</v>
      </c>
      <c r="CD81" s="3">
        <f t="shared" si="97"/>
        <v>71799.983353658128</v>
      </c>
      <c r="CE81" s="3">
        <f t="shared" si="97"/>
        <v>69680.351700385363</v>
      </c>
      <c r="CF81" s="3">
        <f t="shared" si="97"/>
        <v>67531.575111880113</v>
      </c>
      <c r="CG81" s="3">
        <f t="shared" si="97"/>
        <v>65353.252845282899</v>
      </c>
      <c r="CH81" s="3">
        <f t="shared" si="97"/>
        <v>63144.97864751998</v>
      </c>
      <c r="CI81" s="3">
        <f t="shared" si="97"/>
        <v>60906.340679537818</v>
      </c>
      <c r="CJ81" s="3">
        <f t="shared" si="97"/>
        <v>58636.921439495905</v>
      </c>
      <c r="CK81" s="3">
        <f t="shared" si="97"/>
        <v>56336.297684903417</v>
      </c>
      <c r="CL81" s="3">
        <f t="shared" si="97"/>
        <v>55231.301393247035</v>
      </c>
      <c r="CM81" s="3">
        <f t="shared" si="97"/>
        <v>52783.428595626705</v>
      </c>
      <c r="CN81" s="3">
        <f t="shared" si="97"/>
        <v>50304.95738803612</v>
      </c>
      <c r="CO81" s="3">
        <f t="shared" si="97"/>
        <v>47795.505290350658</v>
      </c>
      <c r="CP81" s="3">
        <f t="shared" si="97"/>
        <v>45254.685041444121</v>
      </c>
      <c r="CQ81" s="3">
        <f t="shared" si="97"/>
        <v>42682.104539426255</v>
      </c>
      <c r="CR81" s="3">
        <f t="shared" si="97"/>
        <v>40077.366781133169</v>
      </c>
      <c r="CS81" s="3">
        <f t="shared" si="97"/>
        <v>37440.069800861413</v>
      </c>
      <c r="CT81" s="3">
        <f t="shared" si="97"/>
        <v>34769.806608336265</v>
      </c>
      <c r="CU81" s="3">
        <f t="shared" si="97"/>
        <v>32066.165125904547</v>
      </c>
      <c r="CV81" s="3">
        <f t="shared" si="97"/>
        <v>29328.728124942441</v>
      </c>
      <c r="CW81" s="3">
        <f t="shared" si="97"/>
        <v>26557.073161468306</v>
      </c>
      <c r="CX81" s="3">
        <f t="shared" si="97"/>
        <v>23750.772510950745</v>
      </c>
      <c r="CY81" s="3">
        <f t="shared" si="97"/>
        <v>20909.39310230171</v>
      </c>
      <c r="CZ81" s="3">
        <f t="shared" si="97"/>
        <v>18032.496451044568</v>
      </c>
      <c r="DA81" s="3">
        <f t="shared" si="97"/>
        <v>15119.638591646706</v>
      </c>
      <c r="DB81" s="3">
        <f t="shared" si="97"/>
        <v>12170.370009006374</v>
      </c>
      <c r="DC81" s="3">
        <f t="shared" si="97"/>
        <v>9184.2355690830373</v>
      </c>
      <c r="DD81" s="3">
        <f t="shared" si="97"/>
        <v>6160.7744486606598</v>
      </c>
      <c r="DE81" s="3">
        <f t="shared" si="97"/>
        <v>3099.5200642330028</v>
      </c>
      <c r="DF81" s="3">
        <f t="shared" si="97"/>
        <v>0</v>
      </c>
      <c r="DG81" s="3">
        <f t="shared" si="97"/>
        <v>0</v>
      </c>
      <c r="DH81" s="3">
        <f t="shared" si="97"/>
        <v>0</v>
      </c>
      <c r="DI81" s="3">
        <f t="shared" si="97"/>
        <v>0</v>
      </c>
      <c r="DJ81" s="3">
        <f t="shared" si="97"/>
        <v>0</v>
      </c>
      <c r="DK81" s="3">
        <f t="shared" si="97"/>
        <v>0</v>
      </c>
      <c r="DL81" s="3">
        <f t="shared" si="97"/>
        <v>0</v>
      </c>
      <c r="DM81" s="3">
        <f t="shared" si="97"/>
        <v>0</v>
      </c>
      <c r="DN81" s="3">
        <f t="shared" si="97"/>
        <v>0</v>
      </c>
      <c r="DO81" s="3">
        <f t="shared" si="97"/>
        <v>0</v>
      </c>
      <c r="DP81" s="3">
        <f t="shared" si="97"/>
        <v>0</v>
      </c>
      <c r="DQ81" s="3">
        <f t="shared" si="97"/>
        <v>0</v>
      </c>
      <c r="DR81" s="3">
        <f t="shared" si="97"/>
        <v>0</v>
      </c>
      <c r="DS81" s="3">
        <f t="shared" si="97"/>
        <v>0</v>
      </c>
      <c r="DT81" s="3">
        <f t="shared" si="97"/>
        <v>0</v>
      </c>
      <c r="DU81" s="3">
        <f t="shared" si="97"/>
        <v>0</v>
      </c>
      <c r="DV81" s="3">
        <f t="shared" si="97"/>
        <v>0</v>
      </c>
      <c r="DW81" s="3">
        <f t="shared" si="97"/>
        <v>0</v>
      </c>
      <c r="DX81" s="3">
        <f t="shared" si="97"/>
        <v>0</v>
      </c>
      <c r="DY81" s="3">
        <f t="shared" si="97"/>
        <v>0</v>
      </c>
    </row>
    <row r="82" spans="1:129" ht="13.8">
      <c r="C82" s="7" t="s">
        <v>109</v>
      </c>
      <c r="D82" s="10" t="s">
        <v>79</v>
      </c>
      <c r="F82" s="40"/>
      <c r="G82" s="22">
        <f>SUM(I82:DY82)</f>
        <v>0</v>
      </c>
      <c r="I82" s="35">
        <f>1*(ROUND(I80-I81,8)&lt;&gt;0)</f>
        <v>0</v>
      </c>
      <c r="J82" s="35">
        <f t="shared" ref="J82:BU82" si="98">1*(ROUND(J80-J81,8)&lt;&gt;0)</f>
        <v>0</v>
      </c>
      <c r="K82" s="35">
        <f t="shared" si="98"/>
        <v>0</v>
      </c>
      <c r="L82" s="35">
        <f t="shared" si="98"/>
        <v>0</v>
      </c>
      <c r="M82" s="35">
        <f t="shared" si="98"/>
        <v>0</v>
      </c>
      <c r="N82" s="35">
        <f t="shared" si="98"/>
        <v>0</v>
      </c>
      <c r="O82" s="35">
        <f t="shared" si="98"/>
        <v>0</v>
      </c>
      <c r="P82" s="35">
        <f t="shared" si="98"/>
        <v>0</v>
      </c>
      <c r="Q82" s="35">
        <f t="shared" si="98"/>
        <v>0</v>
      </c>
      <c r="R82" s="35">
        <f t="shared" si="98"/>
        <v>0</v>
      </c>
      <c r="S82" s="35">
        <f t="shared" si="98"/>
        <v>0</v>
      </c>
      <c r="T82" s="35">
        <f t="shared" si="98"/>
        <v>0</v>
      </c>
      <c r="U82" s="35">
        <f t="shared" si="98"/>
        <v>0</v>
      </c>
      <c r="V82" s="35">
        <f t="shared" si="98"/>
        <v>0</v>
      </c>
      <c r="W82" s="35">
        <f t="shared" si="98"/>
        <v>0</v>
      </c>
      <c r="X82" s="35">
        <f t="shared" si="98"/>
        <v>0</v>
      </c>
      <c r="Y82" s="35">
        <f t="shared" si="98"/>
        <v>0</v>
      </c>
      <c r="Z82" s="35">
        <f t="shared" si="98"/>
        <v>0</v>
      </c>
      <c r="AA82" s="35">
        <f t="shared" si="98"/>
        <v>0</v>
      </c>
      <c r="AB82" s="35">
        <f t="shared" si="98"/>
        <v>0</v>
      </c>
      <c r="AC82" s="35">
        <f t="shared" si="98"/>
        <v>0</v>
      </c>
      <c r="AD82" s="35">
        <f t="shared" si="98"/>
        <v>0</v>
      </c>
      <c r="AE82" s="35">
        <f t="shared" si="98"/>
        <v>0</v>
      </c>
      <c r="AF82" s="35">
        <f t="shared" si="98"/>
        <v>0</v>
      </c>
      <c r="AG82" s="35">
        <f t="shared" si="98"/>
        <v>0</v>
      </c>
      <c r="AH82" s="35">
        <f t="shared" si="98"/>
        <v>0</v>
      </c>
      <c r="AI82" s="35">
        <f t="shared" si="98"/>
        <v>0</v>
      </c>
      <c r="AJ82" s="35">
        <f t="shared" si="98"/>
        <v>0</v>
      </c>
      <c r="AK82" s="35">
        <f t="shared" si="98"/>
        <v>0</v>
      </c>
      <c r="AL82" s="35">
        <f t="shared" si="98"/>
        <v>0</v>
      </c>
      <c r="AM82" s="35">
        <f t="shared" si="98"/>
        <v>0</v>
      </c>
      <c r="AN82" s="35">
        <f t="shared" si="98"/>
        <v>0</v>
      </c>
      <c r="AO82" s="35">
        <f t="shared" si="98"/>
        <v>0</v>
      </c>
      <c r="AP82" s="35">
        <f t="shared" si="98"/>
        <v>0</v>
      </c>
      <c r="AQ82" s="35">
        <f t="shared" si="98"/>
        <v>0</v>
      </c>
      <c r="AR82" s="35">
        <f t="shared" si="98"/>
        <v>0</v>
      </c>
      <c r="AS82" s="35">
        <f t="shared" si="98"/>
        <v>0</v>
      </c>
      <c r="AT82" s="35">
        <f t="shared" si="98"/>
        <v>0</v>
      </c>
      <c r="AU82" s="35">
        <f t="shared" si="98"/>
        <v>0</v>
      </c>
      <c r="AV82" s="35">
        <f t="shared" si="98"/>
        <v>0</v>
      </c>
      <c r="AW82" s="35">
        <f t="shared" si="98"/>
        <v>0</v>
      </c>
      <c r="AX82" s="35">
        <f t="shared" si="98"/>
        <v>0</v>
      </c>
      <c r="AY82" s="35">
        <f t="shared" si="98"/>
        <v>0</v>
      </c>
      <c r="AZ82" s="35">
        <f t="shared" si="98"/>
        <v>0</v>
      </c>
      <c r="BA82" s="35">
        <f t="shared" si="98"/>
        <v>0</v>
      </c>
      <c r="BB82" s="35">
        <f t="shared" si="98"/>
        <v>0</v>
      </c>
      <c r="BC82" s="35">
        <f t="shared" si="98"/>
        <v>0</v>
      </c>
      <c r="BD82" s="35">
        <f t="shared" si="98"/>
        <v>0</v>
      </c>
      <c r="BE82" s="35">
        <f t="shared" si="98"/>
        <v>0</v>
      </c>
      <c r="BF82" s="35">
        <f t="shared" si="98"/>
        <v>0</v>
      </c>
      <c r="BG82" s="35">
        <f t="shared" si="98"/>
        <v>0</v>
      </c>
      <c r="BH82" s="35">
        <f t="shared" si="98"/>
        <v>0</v>
      </c>
      <c r="BI82" s="35">
        <f t="shared" si="98"/>
        <v>0</v>
      </c>
      <c r="BJ82" s="35">
        <f t="shared" si="98"/>
        <v>0</v>
      </c>
      <c r="BK82" s="35">
        <f t="shared" si="98"/>
        <v>0</v>
      </c>
      <c r="BL82" s="35">
        <f t="shared" si="98"/>
        <v>0</v>
      </c>
      <c r="BM82" s="35">
        <f t="shared" si="98"/>
        <v>0</v>
      </c>
      <c r="BN82" s="35">
        <f t="shared" si="98"/>
        <v>0</v>
      </c>
      <c r="BO82" s="35">
        <f t="shared" si="98"/>
        <v>0</v>
      </c>
      <c r="BP82" s="35">
        <f t="shared" si="98"/>
        <v>0</v>
      </c>
      <c r="BQ82" s="35">
        <f t="shared" si="98"/>
        <v>0</v>
      </c>
      <c r="BR82" s="35">
        <f t="shared" si="98"/>
        <v>0</v>
      </c>
      <c r="BS82" s="35">
        <f t="shared" si="98"/>
        <v>0</v>
      </c>
      <c r="BT82" s="35">
        <f t="shared" si="98"/>
        <v>0</v>
      </c>
      <c r="BU82" s="35">
        <f t="shared" si="98"/>
        <v>0</v>
      </c>
      <c r="BV82" s="35">
        <f t="shared" ref="BV82:DY82" si="99">1*(ROUND(BV80-BV81,8)&lt;&gt;0)</f>
        <v>0</v>
      </c>
      <c r="BW82" s="35">
        <f t="shared" si="99"/>
        <v>0</v>
      </c>
      <c r="BX82" s="35">
        <f t="shared" si="99"/>
        <v>0</v>
      </c>
      <c r="BY82" s="35">
        <f t="shared" si="99"/>
        <v>0</v>
      </c>
      <c r="BZ82" s="35">
        <f t="shared" si="99"/>
        <v>0</v>
      </c>
      <c r="CA82" s="35">
        <f t="shared" si="99"/>
        <v>0</v>
      </c>
      <c r="CB82" s="35">
        <f t="shared" si="99"/>
        <v>0</v>
      </c>
      <c r="CC82" s="35">
        <f t="shared" si="99"/>
        <v>0</v>
      </c>
      <c r="CD82" s="35">
        <f t="shared" si="99"/>
        <v>0</v>
      </c>
      <c r="CE82" s="35">
        <f t="shared" si="99"/>
        <v>0</v>
      </c>
      <c r="CF82" s="35">
        <f t="shared" si="99"/>
        <v>0</v>
      </c>
      <c r="CG82" s="35">
        <f t="shared" si="99"/>
        <v>0</v>
      </c>
      <c r="CH82" s="35">
        <f t="shared" si="99"/>
        <v>0</v>
      </c>
      <c r="CI82" s="35">
        <f t="shared" si="99"/>
        <v>0</v>
      </c>
      <c r="CJ82" s="35">
        <f t="shared" si="99"/>
        <v>0</v>
      </c>
      <c r="CK82" s="35">
        <f t="shared" si="99"/>
        <v>0</v>
      </c>
      <c r="CL82" s="35">
        <f t="shared" si="99"/>
        <v>0</v>
      </c>
      <c r="CM82" s="35">
        <f t="shared" si="99"/>
        <v>0</v>
      </c>
      <c r="CN82" s="35">
        <f t="shared" si="99"/>
        <v>0</v>
      </c>
      <c r="CO82" s="35">
        <f t="shared" si="99"/>
        <v>0</v>
      </c>
      <c r="CP82" s="35">
        <f t="shared" si="99"/>
        <v>0</v>
      </c>
      <c r="CQ82" s="35">
        <f t="shared" si="99"/>
        <v>0</v>
      </c>
      <c r="CR82" s="35">
        <f t="shared" si="99"/>
        <v>0</v>
      </c>
      <c r="CS82" s="35">
        <f t="shared" si="99"/>
        <v>0</v>
      </c>
      <c r="CT82" s="35">
        <f t="shared" si="99"/>
        <v>0</v>
      </c>
      <c r="CU82" s="35">
        <f t="shared" si="99"/>
        <v>0</v>
      </c>
      <c r="CV82" s="35">
        <f t="shared" si="99"/>
        <v>0</v>
      </c>
      <c r="CW82" s="35">
        <f t="shared" si="99"/>
        <v>0</v>
      </c>
      <c r="CX82" s="35">
        <f t="shared" si="99"/>
        <v>0</v>
      </c>
      <c r="CY82" s="35">
        <f t="shared" si="99"/>
        <v>0</v>
      </c>
      <c r="CZ82" s="35">
        <f t="shared" si="99"/>
        <v>0</v>
      </c>
      <c r="DA82" s="35">
        <f t="shared" si="99"/>
        <v>0</v>
      </c>
      <c r="DB82" s="35">
        <f t="shared" si="99"/>
        <v>0</v>
      </c>
      <c r="DC82" s="35">
        <f t="shared" si="99"/>
        <v>0</v>
      </c>
      <c r="DD82" s="35">
        <f t="shared" si="99"/>
        <v>0</v>
      </c>
      <c r="DE82" s="35">
        <f t="shared" si="99"/>
        <v>0</v>
      </c>
      <c r="DF82" s="35">
        <f t="shared" si="99"/>
        <v>0</v>
      </c>
      <c r="DG82" s="35">
        <f t="shared" si="99"/>
        <v>0</v>
      </c>
      <c r="DH82" s="35">
        <f t="shared" si="99"/>
        <v>0</v>
      </c>
      <c r="DI82" s="35">
        <f t="shared" si="99"/>
        <v>0</v>
      </c>
      <c r="DJ82" s="35">
        <f t="shared" si="99"/>
        <v>0</v>
      </c>
      <c r="DK82" s="35">
        <f t="shared" si="99"/>
        <v>0</v>
      </c>
      <c r="DL82" s="35">
        <f t="shared" si="99"/>
        <v>0</v>
      </c>
      <c r="DM82" s="35">
        <f t="shared" si="99"/>
        <v>0</v>
      </c>
      <c r="DN82" s="35">
        <f t="shared" si="99"/>
        <v>0</v>
      </c>
      <c r="DO82" s="35">
        <f t="shared" si="99"/>
        <v>0</v>
      </c>
      <c r="DP82" s="35">
        <f t="shared" si="99"/>
        <v>0</v>
      </c>
      <c r="DQ82" s="35">
        <f t="shared" si="99"/>
        <v>0</v>
      </c>
      <c r="DR82" s="35">
        <f t="shared" si="99"/>
        <v>0</v>
      </c>
      <c r="DS82" s="35">
        <f t="shared" si="99"/>
        <v>0</v>
      </c>
      <c r="DT82" s="35">
        <f t="shared" si="99"/>
        <v>0</v>
      </c>
      <c r="DU82" s="35">
        <f t="shared" si="99"/>
        <v>0</v>
      </c>
      <c r="DV82" s="35">
        <f t="shared" si="99"/>
        <v>0</v>
      </c>
      <c r="DW82" s="35">
        <f t="shared" si="99"/>
        <v>0</v>
      </c>
      <c r="DX82" s="35">
        <f t="shared" si="99"/>
        <v>0</v>
      </c>
      <c r="DY82" s="35">
        <f t="shared" si="99"/>
        <v>0</v>
      </c>
    </row>
    <row r="83" spans="1:129" ht="13.8">
      <c r="C83" s="7" t="s">
        <v>110</v>
      </c>
      <c r="D83" s="10" t="s">
        <v>0</v>
      </c>
      <c r="G83" s="23">
        <f>SUM(I83:DY83)</f>
        <v>12433855.804568825</v>
      </c>
      <c r="I83" s="3">
        <f t="shared" ref="I83:BT83" si="100">0-IF(I$18,PPMT(I$79,1,I$19,I$69,0,0),0)</f>
        <v>0</v>
      </c>
      <c r="J83" s="3">
        <f t="shared" si="100"/>
        <v>50742.787642011492</v>
      </c>
      <c r="K83" s="3">
        <f t="shared" si="100"/>
        <v>51377.072487536629</v>
      </c>
      <c r="L83" s="3">
        <f t="shared" si="100"/>
        <v>52019.285893630826</v>
      </c>
      <c r="M83" s="3">
        <f t="shared" si="100"/>
        <v>52669.526967301208</v>
      </c>
      <c r="N83" s="3">
        <f t="shared" si="100"/>
        <v>53327.896054392484</v>
      </c>
      <c r="O83" s="3">
        <f t="shared" si="100"/>
        <v>53994.494755072381</v>
      </c>
      <c r="P83" s="3">
        <f t="shared" si="100"/>
        <v>54669.425939510787</v>
      </c>
      <c r="Q83" s="3">
        <f t="shared" si="100"/>
        <v>55352.793763754657</v>
      </c>
      <c r="R83" s="3">
        <f t="shared" si="100"/>
        <v>56044.703685801622</v>
      </c>
      <c r="S83" s="3">
        <f t="shared" si="100"/>
        <v>56745.262481874117</v>
      </c>
      <c r="T83" s="3">
        <f t="shared" si="100"/>
        <v>57454.57826289755</v>
      </c>
      <c r="U83" s="3">
        <f t="shared" si="100"/>
        <v>58172.760491183777</v>
      </c>
      <c r="V83" s="3">
        <f t="shared" si="100"/>
        <v>58899.919997323588</v>
      </c>
      <c r="W83" s="3">
        <f t="shared" si="100"/>
        <v>59636.168997290115</v>
      </c>
      <c r="X83" s="3">
        <f t="shared" si="100"/>
        <v>60381.621109756248</v>
      </c>
      <c r="Y83" s="3">
        <f t="shared" si="100"/>
        <v>61136.391373628227</v>
      </c>
      <c r="Z83" s="3">
        <f t="shared" si="100"/>
        <v>61900.596265798551</v>
      </c>
      <c r="AA83" s="3">
        <f t="shared" si="100"/>
        <v>62674.353719121049</v>
      </c>
      <c r="AB83" s="3">
        <f t="shared" si="100"/>
        <v>63457.783140610045</v>
      </c>
      <c r="AC83" s="3">
        <f t="shared" si="100"/>
        <v>64251.005429867684</v>
      </c>
      <c r="AD83" s="3">
        <f t="shared" si="100"/>
        <v>70630.212397547351</v>
      </c>
      <c r="AE83" s="3">
        <f t="shared" si="100"/>
        <v>71513.09005251668</v>
      </c>
      <c r="AF83" s="3">
        <f t="shared" si="100"/>
        <v>72407.003678173147</v>
      </c>
      <c r="AG83" s="3">
        <f t="shared" si="100"/>
        <v>73312.091224150325</v>
      </c>
      <c r="AH83" s="3">
        <f t="shared" si="100"/>
        <v>74228.492364452191</v>
      </c>
      <c r="AI83" s="3">
        <f t="shared" si="100"/>
        <v>75156.348519007835</v>
      </c>
      <c r="AJ83" s="3">
        <f t="shared" si="100"/>
        <v>76095.802875495458</v>
      </c>
      <c r="AK83" s="3">
        <f t="shared" si="100"/>
        <v>77047.000411439149</v>
      </c>
      <c r="AL83" s="3">
        <f t="shared" si="100"/>
        <v>78010.087916582124</v>
      </c>
      <c r="AM83" s="3">
        <f t="shared" si="100"/>
        <v>78985.214015539401</v>
      </c>
      <c r="AN83" s="3">
        <f t="shared" si="100"/>
        <v>79972.529190733636</v>
      </c>
      <c r="AO83" s="3">
        <f t="shared" si="100"/>
        <v>80972.185805617817</v>
      </c>
      <c r="AP83" s="3">
        <f t="shared" si="100"/>
        <v>81984.338128188028</v>
      </c>
      <c r="AQ83" s="3">
        <f t="shared" si="100"/>
        <v>83009.142354790369</v>
      </c>
      <c r="AR83" s="3">
        <f t="shared" si="100"/>
        <v>84046.756634225254</v>
      </c>
      <c r="AS83" s="3">
        <f t="shared" si="100"/>
        <v>85097.341092153074</v>
      </c>
      <c r="AT83" s="3">
        <f t="shared" si="100"/>
        <v>86161.057855804989</v>
      </c>
      <c r="AU83" s="3">
        <f t="shared" si="100"/>
        <v>87238.071079002519</v>
      </c>
      <c r="AV83" s="3">
        <f t="shared" si="100"/>
        <v>88328.546967490038</v>
      </c>
      <c r="AW83" s="3">
        <f t="shared" si="100"/>
        <v>89432.653804583664</v>
      </c>
      <c r="AX83" s="3">
        <f t="shared" si="100"/>
        <v>102649.62819987144</v>
      </c>
      <c r="AY83" s="3">
        <f t="shared" si="100"/>
        <v>103804.43651712</v>
      </c>
      <c r="AZ83" s="3">
        <f t="shared" si="100"/>
        <v>104972.23642793759</v>
      </c>
      <c r="BA83" s="3">
        <f t="shared" si="100"/>
        <v>106153.17408775192</v>
      </c>
      <c r="BB83" s="3">
        <f t="shared" si="100"/>
        <v>107347.39729623911</v>
      </c>
      <c r="BC83" s="3">
        <f t="shared" si="100"/>
        <v>108555.05551582179</v>
      </c>
      <c r="BD83" s="3">
        <f t="shared" si="100"/>
        <v>109776.29989037479</v>
      </c>
      <c r="BE83" s="3">
        <f t="shared" si="100"/>
        <v>111011.28326414149</v>
      </c>
      <c r="BF83" s="3">
        <f t="shared" si="100"/>
        <v>112260.16020086312</v>
      </c>
      <c r="BG83" s="3">
        <f t="shared" si="100"/>
        <v>113523.08700312281</v>
      </c>
      <c r="BH83" s="3">
        <f t="shared" si="100"/>
        <v>114800.22173190794</v>
      </c>
      <c r="BI83" s="3">
        <f t="shared" si="100"/>
        <v>116091.72422639195</v>
      </c>
      <c r="BJ83" s="3">
        <f t="shared" si="100"/>
        <v>117397.75612393886</v>
      </c>
      <c r="BK83" s="3">
        <f t="shared" si="100"/>
        <v>118718.48088033317</v>
      </c>
      <c r="BL83" s="3">
        <f t="shared" si="100"/>
        <v>120054.06379023693</v>
      </c>
      <c r="BM83" s="3">
        <f t="shared" si="100"/>
        <v>121404.6720078771</v>
      </c>
      <c r="BN83" s="3">
        <f t="shared" si="100"/>
        <v>122770.47456796571</v>
      </c>
      <c r="BO83" s="3">
        <f t="shared" si="100"/>
        <v>124151.6424068553</v>
      </c>
      <c r="BP83" s="3">
        <f t="shared" si="100"/>
        <v>125548.34838393242</v>
      </c>
      <c r="BQ83" s="3">
        <f t="shared" si="100"/>
        <v>126960.76730325169</v>
      </c>
      <c r="BR83" s="3">
        <f t="shared" si="100"/>
        <v>130854.08698761326</v>
      </c>
      <c r="BS83" s="3">
        <f t="shared" si="100"/>
        <v>132653.33068369294</v>
      </c>
      <c r="BT83" s="3">
        <f t="shared" si="100"/>
        <v>134477.3139805937</v>
      </c>
      <c r="BU83" s="3">
        <f t="shared" ref="BU83:DY83" si="101">0-IF(BU$18,PPMT(BU$79,1,BU$19,BU$69,0,0),0)</f>
        <v>136326.37704782689</v>
      </c>
      <c r="BV83" s="3">
        <f t="shared" si="101"/>
        <v>138200.86473223451</v>
      </c>
      <c r="BW83" s="3">
        <f t="shared" si="101"/>
        <v>140101.12662230275</v>
      </c>
      <c r="BX83" s="3">
        <f t="shared" si="101"/>
        <v>142027.51711335941</v>
      </c>
      <c r="BY83" s="3">
        <f t="shared" si="101"/>
        <v>143980.39547366806</v>
      </c>
      <c r="BZ83" s="3">
        <f t="shared" si="101"/>
        <v>145960.12591143101</v>
      </c>
      <c r="CA83" s="3">
        <f t="shared" si="101"/>
        <v>147967.07764271318</v>
      </c>
      <c r="CB83" s="3">
        <f t="shared" si="101"/>
        <v>150001.62496030045</v>
      </c>
      <c r="CC83" s="3">
        <f t="shared" si="101"/>
        <v>152064.14730350461</v>
      </c>
      <c r="CD83" s="3">
        <f t="shared" si="101"/>
        <v>154155.02932892783</v>
      </c>
      <c r="CE83" s="3">
        <f t="shared" si="101"/>
        <v>156274.66098220058</v>
      </c>
      <c r="CF83" s="3">
        <f t="shared" si="101"/>
        <v>158423.43757070584</v>
      </c>
      <c r="CG83" s="3">
        <f t="shared" si="101"/>
        <v>160601.75983730302</v>
      </c>
      <c r="CH83" s="3">
        <f t="shared" si="101"/>
        <v>162810.03403506597</v>
      </c>
      <c r="CI83" s="3">
        <f t="shared" si="101"/>
        <v>165048.67200304809</v>
      </c>
      <c r="CJ83" s="3">
        <f t="shared" si="101"/>
        <v>167318.09124309002</v>
      </c>
      <c r="CK83" s="3">
        <f t="shared" si="101"/>
        <v>169618.71499768246</v>
      </c>
      <c r="CL83" s="3">
        <f t="shared" si="101"/>
        <v>195829.8238096264</v>
      </c>
      <c r="CM83" s="3">
        <f t="shared" si="101"/>
        <v>198277.69660724665</v>
      </c>
      <c r="CN83" s="3">
        <f t="shared" si="101"/>
        <v>200756.16781483724</v>
      </c>
      <c r="CO83" s="3">
        <f t="shared" si="101"/>
        <v>203265.6199125227</v>
      </c>
      <c r="CP83" s="3">
        <f t="shared" si="101"/>
        <v>205806.44016142923</v>
      </c>
      <c r="CQ83" s="3">
        <f t="shared" si="101"/>
        <v>208379.02066344707</v>
      </c>
      <c r="CR83" s="3">
        <f t="shared" si="101"/>
        <v>210983.75842174015</v>
      </c>
      <c r="CS83" s="3">
        <f t="shared" si="101"/>
        <v>213621.05540201196</v>
      </c>
      <c r="CT83" s="3">
        <f t="shared" si="101"/>
        <v>216291.31859453704</v>
      </c>
      <c r="CU83" s="3">
        <f t="shared" si="101"/>
        <v>218994.96007696871</v>
      </c>
      <c r="CV83" s="3">
        <f t="shared" si="101"/>
        <v>221732.39707793086</v>
      </c>
      <c r="CW83" s="3">
        <f t="shared" si="101"/>
        <v>224504.05204140503</v>
      </c>
      <c r="CX83" s="3">
        <f t="shared" si="101"/>
        <v>227310.35269192257</v>
      </c>
      <c r="CY83" s="3">
        <f t="shared" si="101"/>
        <v>230151.73210057162</v>
      </c>
      <c r="CZ83" s="3">
        <f t="shared" si="101"/>
        <v>233028.62875182877</v>
      </c>
      <c r="DA83" s="3">
        <f t="shared" si="101"/>
        <v>235941.48661122657</v>
      </c>
      <c r="DB83" s="3">
        <f t="shared" si="101"/>
        <v>238890.75519386691</v>
      </c>
      <c r="DC83" s="3">
        <f t="shared" si="101"/>
        <v>241876.88963379024</v>
      </c>
      <c r="DD83" s="3">
        <f t="shared" si="101"/>
        <v>244900.35075421256</v>
      </c>
      <c r="DE83" s="3">
        <f t="shared" si="101"/>
        <v>247961.60513864027</v>
      </c>
      <c r="DF83" s="3">
        <f t="shared" si="101"/>
        <v>0</v>
      </c>
      <c r="DG83" s="3">
        <f t="shared" si="101"/>
        <v>0</v>
      </c>
      <c r="DH83" s="3">
        <f t="shared" si="101"/>
        <v>0</v>
      </c>
      <c r="DI83" s="3">
        <f t="shared" si="101"/>
        <v>0</v>
      </c>
      <c r="DJ83" s="3">
        <f t="shared" si="101"/>
        <v>0</v>
      </c>
      <c r="DK83" s="3">
        <f t="shared" si="101"/>
        <v>0</v>
      </c>
      <c r="DL83" s="3">
        <f t="shared" si="101"/>
        <v>0</v>
      </c>
      <c r="DM83" s="3">
        <f t="shared" si="101"/>
        <v>0</v>
      </c>
      <c r="DN83" s="3">
        <f t="shared" si="101"/>
        <v>0</v>
      </c>
      <c r="DO83" s="3">
        <f t="shared" si="101"/>
        <v>0</v>
      </c>
      <c r="DP83" s="3">
        <f t="shared" si="101"/>
        <v>0</v>
      </c>
      <c r="DQ83" s="3">
        <f t="shared" si="101"/>
        <v>0</v>
      </c>
      <c r="DR83" s="3">
        <f t="shared" si="101"/>
        <v>0</v>
      </c>
      <c r="DS83" s="3">
        <f t="shared" si="101"/>
        <v>0</v>
      </c>
      <c r="DT83" s="3">
        <f t="shared" si="101"/>
        <v>0</v>
      </c>
      <c r="DU83" s="3">
        <f t="shared" si="101"/>
        <v>0</v>
      </c>
      <c r="DV83" s="3">
        <f t="shared" si="101"/>
        <v>0</v>
      </c>
      <c r="DW83" s="3">
        <f t="shared" si="101"/>
        <v>0</v>
      </c>
      <c r="DX83" s="3">
        <f t="shared" si="101"/>
        <v>0</v>
      </c>
      <c r="DY83" s="3">
        <f t="shared" si="101"/>
        <v>0</v>
      </c>
    </row>
    <row r="84" spans="1:129" ht="13.8">
      <c r="C84" s="7" t="s">
        <v>111</v>
      </c>
      <c r="D84" s="10" t="s">
        <v>0</v>
      </c>
      <c r="G84" s="23">
        <f>SUM(I84:DY84)</f>
        <v>20888285.61687902</v>
      </c>
      <c r="I84" s="3">
        <f t="shared" ref="I84:BT84" si="102">SUM(I80,I83)</f>
        <v>0</v>
      </c>
      <c r="J84" s="3">
        <f t="shared" si="102"/>
        <v>175742.78764201148</v>
      </c>
      <c r="K84" s="3">
        <f t="shared" si="102"/>
        <v>175742.78764201148</v>
      </c>
      <c r="L84" s="3">
        <f t="shared" si="102"/>
        <v>175742.78764201148</v>
      </c>
      <c r="M84" s="3">
        <f t="shared" si="102"/>
        <v>175742.78764201148</v>
      </c>
      <c r="N84" s="3">
        <f t="shared" si="102"/>
        <v>175742.78764201148</v>
      </c>
      <c r="O84" s="3">
        <f t="shared" si="102"/>
        <v>175742.78764201148</v>
      </c>
      <c r="P84" s="3">
        <f t="shared" si="102"/>
        <v>175742.78764201148</v>
      </c>
      <c r="Q84" s="3">
        <f t="shared" si="102"/>
        <v>175742.78764201145</v>
      </c>
      <c r="R84" s="3">
        <f t="shared" si="102"/>
        <v>175742.78764201148</v>
      </c>
      <c r="S84" s="3">
        <f t="shared" si="102"/>
        <v>175742.78764201145</v>
      </c>
      <c r="T84" s="3">
        <f t="shared" si="102"/>
        <v>175742.78764201148</v>
      </c>
      <c r="U84" s="3">
        <f t="shared" si="102"/>
        <v>175742.78764201148</v>
      </c>
      <c r="V84" s="3">
        <f t="shared" si="102"/>
        <v>175742.78764201151</v>
      </c>
      <c r="W84" s="3">
        <f t="shared" si="102"/>
        <v>175742.78764201148</v>
      </c>
      <c r="X84" s="3">
        <f t="shared" si="102"/>
        <v>175742.78764201148</v>
      </c>
      <c r="Y84" s="3">
        <f t="shared" si="102"/>
        <v>175742.78764201154</v>
      </c>
      <c r="Z84" s="3">
        <f t="shared" si="102"/>
        <v>175742.78764201148</v>
      </c>
      <c r="AA84" s="3">
        <f t="shared" si="102"/>
        <v>175742.78764201151</v>
      </c>
      <c r="AB84" s="3">
        <f t="shared" si="102"/>
        <v>175742.78764201148</v>
      </c>
      <c r="AC84" s="3">
        <f t="shared" si="102"/>
        <v>175742.78764201151</v>
      </c>
      <c r="AD84" s="3">
        <f t="shared" si="102"/>
        <v>190806.45515418379</v>
      </c>
      <c r="AE84" s="3">
        <f t="shared" si="102"/>
        <v>190806.45515418379</v>
      </c>
      <c r="AF84" s="3">
        <f t="shared" si="102"/>
        <v>190806.45515418379</v>
      </c>
      <c r="AG84" s="3">
        <f t="shared" si="102"/>
        <v>190806.45515418379</v>
      </c>
      <c r="AH84" s="3">
        <f t="shared" si="102"/>
        <v>190806.45515418379</v>
      </c>
      <c r="AI84" s="3">
        <f t="shared" si="102"/>
        <v>190806.45515418379</v>
      </c>
      <c r="AJ84" s="3">
        <f t="shared" si="102"/>
        <v>190806.45515418379</v>
      </c>
      <c r="AK84" s="3">
        <f t="shared" si="102"/>
        <v>190806.45515418382</v>
      </c>
      <c r="AL84" s="3">
        <f t="shared" si="102"/>
        <v>190806.45515418379</v>
      </c>
      <c r="AM84" s="3">
        <f t="shared" si="102"/>
        <v>190806.45515418379</v>
      </c>
      <c r="AN84" s="3">
        <f t="shared" si="102"/>
        <v>190806.45515418379</v>
      </c>
      <c r="AO84" s="3">
        <f t="shared" si="102"/>
        <v>190806.45515418379</v>
      </c>
      <c r="AP84" s="3">
        <f t="shared" si="102"/>
        <v>190806.45515418379</v>
      </c>
      <c r="AQ84" s="3">
        <f t="shared" si="102"/>
        <v>190806.45515418376</v>
      </c>
      <c r="AR84" s="3">
        <f t="shared" si="102"/>
        <v>190806.45515418379</v>
      </c>
      <c r="AS84" s="3">
        <f t="shared" si="102"/>
        <v>190806.45515418376</v>
      </c>
      <c r="AT84" s="3">
        <f t="shared" si="102"/>
        <v>190806.45515418376</v>
      </c>
      <c r="AU84" s="3">
        <f t="shared" si="102"/>
        <v>190806.45515418373</v>
      </c>
      <c r="AV84" s="3">
        <f t="shared" si="102"/>
        <v>190806.4551541837</v>
      </c>
      <c r="AW84" s="3">
        <f t="shared" si="102"/>
        <v>190806.4551541837</v>
      </c>
      <c r="AX84" s="3">
        <f t="shared" si="102"/>
        <v>200848.90016229847</v>
      </c>
      <c r="AY84" s="3">
        <f t="shared" si="102"/>
        <v>200848.90016229847</v>
      </c>
      <c r="AZ84" s="3">
        <f t="shared" si="102"/>
        <v>200848.90016229847</v>
      </c>
      <c r="BA84" s="3">
        <f t="shared" si="102"/>
        <v>200848.90016229852</v>
      </c>
      <c r="BB84" s="3">
        <f t="shared" si="102"/>
        <v>200848.90016229852</v>
      </c>
      <c r="BC84" s="3">
        <f t="shared" si="102"/>
        <v>200848.90016229849</v>
      </c>
      <c r="BD84" s="3">
        <f t="shared" si="102"/>
        <v>200848.90016229849</v>
      </c>
      <c r="BE84" s="3">
        <f t="shared" si="102"/>
        <v>200848.90016229847</v>
      </c>
      <c r="BF84" s="3">
        <f t="shared" si="102"/>
        <v>200848.90016229852</v>
      </c>
      <c r="BG84" s="3">
        <f t="shared" si="102"/>
        <v>200848.90016229849</v>
      </c>
      <c r="BH84" s="3">
        <f t="shared" si="102"/>
        <v>200848.90016229849</v>
      </c>
      <c r="BI84" s="3">
        <f t="shared" si="102"/>
        <v>200848.90016229855</v>
      </c>
      <c r="BJ84" s="3">
        <f t="shared" si="102"/>
        <v>200848.90016229855</v>
      </c>
      <c r="BK84" s="3">
        <f t="shared" si="102"/>
        <v>200848.90016229855</v>
      </c>
      <c r="BL84" s="3">
        <f t="shared" si="102"/>
        <v>200848.90016229858</v>
      </c>
      <c r="BM84" s="3">
        <f t="shared" si="102"/>
        <v>200848.90016229858</v>
      </c>
      <c r="BN84" s="3">
        <f t="shared" si="102"/>
        <v>200848.90016229858</v>
      </c>
      <c r="BO84" s="3">
        <f t="shared" si="102"/>
        <v>200848.90016229852</v>
      </c>
      <c r="BP84" s="3">
        <f t="shared" si="102"/>
        <v>200848.90016229852</v>
      </c>
      <c r="BQ84" s="3">
        <f t="shared" si="102"/>
        <v>200848.90016229858</v>
      </c>
      <c r="BR84" s="3">
        <f t="shared" si="102"/>
        <v>225955.01268258598</v>
      </c>
      <c r="BS84" s="3">
        <f t="shared" si="102"/>
        <v>225955.01268258595</v>
      </c>
      <c r="BT84" s="3">
        <f t="shared" si="102"/>
        <v>225955.01268258592</v>
      </c>
      <c r="BU84" s="3">
        <f t="shared" ref="BU84:DY84" si="103">SUM(BU80,BU83)</f>
        <v>225955.01268258595</v>
      </c>
      <c r="BV84" s="3">
        <f t="shared" si="103"/>
        <v>225955.01268258595</v>
      </c>
      <c r="BW84" s="3">
        <f t="shared" si="103"/>
        <v>225955.01268258598</v>
      </c>
      <c r="BX84" s="3">
        <f t="shared" si="103"/>
        <v>225955.01268258598</v>
      </c>
      <c r="BY84" s="3">
        <f t="shared" si="103"/>
        <v>225955.01268258592</v>
      </c>
      <c r="BZ84" s="3">
        <f t="shared" si="103"/>
        <v>225955.01268258592</v>
      </c>
      <c r="CA84" s="3">
        <f t="shared" si="103"/>
        <v>225955.01268258592</v>
      </c>
      <c r="CB84" s="3">
        <f t="shared" si="103"/>
        <v>225955.01268258592</v>
      </c>
      <c r="CC84" s="3">
        <f t="shared" si="103"/>
        <v>225955.01268258592</v>
      </c>
      <c r="CD84" s="3">
        <f t="shared" si="103"/>
        <v>225955.01268258598</v>
      </c>
      <c r="CE84" s="3">
        <f t="shared" si="103"/>
        <v>225955.01268258595</v>
      </c>
      <c r="CF84" s="3">
        <f t="shared" si="103"/>
        <v>225955.01268258595</v>
      </c>
      <c r="CG84" s="3">
        <f t="shared" si="103"/>
        <v>225955.01268258592</v>
      </c>
      <c r="CH84" s="3">
        <f t="shared" si="103"/>
        <v>225955.01268258595</v>
      </c>
      <c r="CI84" s="3">
        <f t="shared" si="103"/>
        <v>225955.01268258592</v>
      </c>
      <c r="CJ84" s="3">
        <f t="shared" si="103"/>
        <v>225955.01268258592</v>
      </c>
      <c r="CK84" s="3">
        <f t="shared" si="103"/>
        <v>225955.01268258586</v>
      </c>
      <c r="CL84" s="3">
        <f t="shared" si="103"/>
        <v>251061.12520287343</v>
      </c>
      <c r="CM84" s="3">
        <f t="shared" si="103"/>
        <v>251061.12520287334</v>
      </c>
      <c r="CN84" s="3">
        <f t="shared" si="103"/>
        <v>251061.12520287337</v>
      </c>
      <c r="CO84" s="3">
        <f t="shared" si="103"/>
        <v>251061.12520287337</v>
      </c>
      <c r="CP84" s="3">
        <f t="shared" si="103"/>
        <v>251061.12520287334</v>
      </c>
      <c r="CQ84" s="3">
        <f t="shared" si="103"/>
        <v>251061.12520287331</v>
      </c>
      <c r="CR84" s="3">
        <f t="shared" si="103"/>
        <v>251061.12520287331</v>
      </c>
      <c r="CS84" s="3">
        <f t="shared" si="103"/>
        <v>251061.12520287337</v>
      </c>
      <c r="CT84" s="3">
        <f t="shared" si="103"/>
        <v>251061.12520287331</v>
      </c>
      <c r="CU84" s="3">
        <f t="shared" si="103"/>
        <v>251061.12520287326</v>
      </c>
      <c r="CV84" s="3">
        <f t="shared" si="103"/>
        <v>251061.12520287331</v>
      </c>
      <c r="CW84" s="3">
        <f t="shared" si="103"/>
        <v>251061.12520287334</v>
      </c>
      <c r="CX84" s="3">
        <f t="shared" si="103"/>
        <v>251061.12520287331</v>
      </c>
      <c r="CY84" s="3">
        <f t="shared" si="103"/>
        <v>251061.12520287334</v>
      </c>
      <c r="CZ84" s="3">
        <f t="shared" si="103"/>
        <v>251061.12520287334</v>
      </c>
      <c r="DA84" s="3">
        <f t="shared" si="103"/>
        <v>251061.12520287329</v>
      </c>
      <c r="DB84" s="3">
        <f t="shared" si="103"/>
        <v>251061.12520287329</v>
      </c>
      <c r="DC84" s="3">
        <f t="shared" si="103"/>
        <v>251061.12520287329</v>
      </c>
      <c r="DD84" s="3">
        <f t="shared" si="103"/>
        <v>251061.12520287323</v>
      </c>
      <c r="DE84" s="3">
        <f t="shared" si="103"/>
        <v>251061.12520287329</v>
      </c>
      <c r="DF84" s="3">
        <f t="shared" si="103"/>
        <v>0</v>
      </c>
      <c r="DG84" s="3">
        <f t="shared" si="103"/>
        <v>0</v>
      </c>
      <c r="DH84" s="3">
        <f t="shared" si="103"/>
        <v>0</v>
      </c>
      <c r="DI84" s="3">
        <f t="shared" si="103"/>
        <v>0</v>
      </c>
      <c r="DJ84" s="3">
        <f t="shared" si="103"/>
        <v>0</v>
      </c>
      <c r="DK84" s="3">
        <f t="shared" si="103"/>
        <v>0</v>
      </c>
      <c r="DL84" s="3">
        <f t="shared" si="103"/>
        <v>0</v>
      </c>
      <c r="DM84" s="3">
        <f t="shared" si="103"/>
        <v>0</v>
      </c>
      <c r="DN84" s="3">
        <f t="shared" si="103"/>
        <v>0</v>
      </c>
      <c r="DO84" s="3">
        <f t="shared" si="103"/>
        <v>0</v>
      </c>
      <c r="DP84" s="3">
        <f t="shared" si="103"/>
        <v>0</v>
      </c>
      <c r="DQ84" s="3">
        <f t="shared" si="103"/>
        <v>0</v>
      </c>
      <c r="DR84" s="3">
        <f t="shared" si="103"/>
        <v>0</v>
      </c>
      <c r="DS84" s="3">
        <f t="shared" si="103"/>
        <v>0</v>
      </c>
      <c r="DT84" s="3">
        <f t="shared" si="103"/>
        <v>0</v>
      </c>
      <c r="DU84" s="3">
        <f t="shared" si="103"/>
        <v>0</v>
      </c>
      <c r="DV84" s="3">
        <f t="shared" si="103"/>
        <v>0</v>
      </c>
      <c r="DW84" s="3">
        <f t="shared" si="103"/>
        <v>0</v>
      </c>
      <c r="DX84" s="3">
        <f t="shared" si="103"/>
        <v>0</v>
      </c>
      <c r="DY84" s="3">
        <f t="shared" si="103"/>
        <v>0</v>
      </c>
    </row>
    <row r="85" spans="1:129">
      <c r="C85" s="41"/>
      <c r="D85" s="10"/>
    </row>
    <row r="86" spans="1:129" ht="15.6">
      <c r="A86" s="9" t="s">
        <v>37</v>
      </c>
      <c r="D86" s="10"/>
    </row>
    <row r="87" spans="1:129">
      <c r="B87" s="15" t="s">
        <v>112</v>
      </c>
      <c r="D87" s="10"/>
    </row>
    <row r="88" spans="1:129" ht="13.8">
      <c r="C88" s="7" t="s">
        <v>97</v>
      </c>
      <c r="D88" s="10" t="s">
        <v>0</v>
      </c>
      <c r="I88" s="3">
        <f t="shared" ref="I88:BT88" si="104">H93</f>
        <v>0</v>
      </c>
      <c r="J88" s="3">
        <f t="shared" si="104"/>
        <v>3000000</v>
      </c>
      <c r="K88" s="3">
        <f t="shared" si="104"/>
        <v>2973214.2857142859</v>
      </c>
      <c r="L88" s="3">
        <f t="shared" si="104"/>
        <v>2946428.5714285718</v>
      </c>
      <c r="M88" s="3">
        <f t="shared" si="104"/>
        <v>2919642.8571428577</v>
      </c>
      <c r="N88" s="3">
        <f t="shared" si="104"/>
        <v>2892857.1428571437</v>
      </c>
      <c r="O88" s="3">
        <f t="shared" si="104"/>
        <v>2866071.4285714296</v>
      </c>
      <c r="P88" s="3">
        <f t="shared" si="104"/>
        <v>2839285.7142857155</v>
      </c>
      <c r="Q88" s="3">
        <f t="shared" si="104"/>
        <v>2812500.0000000014</v>
      </c>
      <c r="R88" s="3">
        <f t="shared" si="104"/>
        <v>2785714.2857142873</v>
      </c>
      <c r="S88" s="3">
        <f t="shared" si="104"/>
        <v>2758928.5714285732</v>
      </c>
      <c r="T88" s="3">
        <f t="shared" si="104"/>
        <v>2732142.8571428591</v>
      </c>
      <c r="U88" s="3">
        <f t="shared" si="104"/>
        <v>2705357.1428571451</v>
      </c>
      <c r="V88" s="3">
        <f t="shared" si="104"/>
        <v>2678571.428571431</v>
      </c>
      <c r="W88" s="3">
        <f t="shared" si="104"/>
        <v>2651785.7142857169</v>
      </c>
      <c r="X88" s="3">
        <f t="shared" si="104"/>
        <v>2625000.0000000028</v>
      </c>
      <c r="Y88" s="3">
        <f t="shared" si="104"/>
        <v>2598214.2857142887</v>
      </c>
      <c r="Z88" s="3">
        <f t="shared" si="104"/>
        <v>2571428.5714285746</v>
      </c>
      <c r="AA88" s="3">
        <f t="shared" si="104"/>
        <v>2544642.8571428605</v>
      </c>
      <c r="AB88" s="3">
        <f t="shared" si="104"/>
        <v>2517857.1428571464</v>
      </c>
      <c r="AC88" s="3">
        <f t="shared" si="104"/>
        <v>2491071.4285714324</v>
      </c>
      <c r="AD88" s="3">
        <f t="shared" si="104"/>
        <v>2464285.7142857183</v>
      </c>
      <c r="AE88" s="3">
        <f t="shared" si="104"/>
        <v>2437500.0000000042</v>
      </c>
      <c r="AF88" s="3">
        <f t="shared" si="104"/>
        <v>2410714.2857142901</v>
      </c>
      <c r="AG88" s="3">
        <f t="shared" si="104"/>
        <v>2383928.571428576</v>
      </c>
      <c r="AH88" s="3">
        <f t="shared" si="104"/>
        <v>2357142.8571428619</v>
      </c>
      <c r="AI88" s="3">
        <f t="shared" si="104"/>
        <v>2330357.1428571478</v>
      </c>
      <c r="AJ88" s="3">
        <f t="shared" si="104"/>
        <v>2303571.4285714338</v>
      </c>
      <c r="AK88" s="3">
        <f t="shared" si="104"/>
        <v>2276785.7142857197</v>
      </c>
      <c r="AL88" s="3">
        <f t="shared" si="104"/>
        <v>2250000.0000000056</v>
      </c>
      <c r="AM88" s="3">
        <f t="shared" si="104"/>
        <v>2223214.2857142915</v>
      </c>
      <c r="AN88" s="3">
        <f t="shared" si="104"/>
        <v>2196428.5714285774</v>
      </c>
      <c r="AO88" s="3">
        <f t="shared" si="104"/>
        <v>2169642.8571428633</v>
      </c>
      <c r="AP88" s="3">
        <f t="shared" si="104"/>
        <v>2142857.1428571492</v>
      </c>
      <c r="AQ88" s="3">
        <f t="shared" si="104"/>
        <v>2116071.4285714352</v>
      </c>
      <c r="AR88" s="3">
        <f t="shared" si="104"/>
        <v>2089285.7142857208</v>
      </c>
      <c r="AS88" s="3">
        <f t="shared" si="104"/>
        <v>2062500.0000000065</v>
      </c>
      <c r="AT88" s="3">
        <f t="shared" si="104"/>
        <v>2035714.285714292</v>
      </c>
      <c r="AU88" s="3">
        <f t="shared" si="104"/>
        <v>2008928.5714285776</v>
      </c>
      <c r="AV88" s="3">
        <f t="shared" si="104"/>
        <v>1982142.8571428633</v>
      </c>
      <c r="AW88" s="3">
        <f t="shared" si="104"/>
        <v>1955357.142857149</v>
      </c>
      <c r="AX88" s="3">
        <f t="shared" si="104"/>
        <v>1928571.4285714347</v>
      </c>
      <c r="AY88" s="3">
        <f t="shared" si="104"/>
        <v>1901785.7142857204</v>
      </c>
      <c r="AZ88" s="3">
        <f t="shared" si="104"/>
        <v>1875000.0000000061</v>
      </c>
      <c r="BA88" s="3">
        <f t="shared" si="104"/>
        <v>1848214.2857142917</v>
      </c>
      <c r="BB88" s="3">
        <f t="shared" si="104"/>
        <v>1821428.5714285774</v>
      </c>
      <c r="BC88" s="3">
        <f t="shared" si="104"/>
        <v>1794642.8571428631</v>
      </c>
      <c r="BD88" s="3">
        <f t="shared" si="104"/>
        <v>1767857.1428571488</v>
      </c>
      <c r="BE88" s="3">
        <f t="shared" si="104"/>
        <v>1741071.4285714345</v>
      </c>
      <c r="BF88" s="3">
        <f t="shared" si="104"/>
        <v>1714285.7142857201</v>
      </c>
      <c r="BG88" s="3">
        <f t="shared" si="104"/>
        <v>1687500.0000000058</v>
      </c>
      <c r="BH88" s="3">
        <f t="shared" si="104"/>
        <v>1660714.2857142917</v>
      </c>
      <c r="BI88" s="3">
        <f t="shared" si="104"/>
        <v>1633928.5714285774</v>
      </c>
      <c r="BJ88" s="3">
        <f t="shared" si="104"/>
        <v>1607142.8571428631</v>
      </c>
      <c r="BK88" s="3">
        <f t="shared" si="104"/>
        <v>1580357.1428571488</v>
      </c>
      <c r="BL88" s="3">
        <f t="shared" si="104"/>
        <v>1553571.4285714345</v>
      </c>
      <c r="BM88" s="3">
        <f t="shared" si="104"/>
        <v>1526785.7142857201</v>
      </c>
      <c r="BN88" s="3">
        <f t="shared" si="104"/>
        <v>1500000.0000000058</v>
      </c>
      <c r="BO88" s="3">
        <f t="shared" si="104"/>
        <v>1473214.2857142915</v>
      </c>
      <c r="BP88" s="3">
        <f t="shared" si="104"/>
        <v>1446428.5714285772</v>
      </c>
      <c r="BQ88" s="3">
        <f t="shared" si="104"/>
        <v>1419642.8571428629</v>
      </c>
      <c r="BR88" s="3">
        <f t="shared" si="104"/>
        <v>1392857.1428571485</v>
      </c>
      <c r="BS88" s="3">
        <f t="shared" si="104"/>
        <v>1366071.4285714342</v>
      </c>
      <c r="BT88" s="3">
        <f t="shared" si="104"/>
        <v>1339285.7142857199</v>
      </c>
      <c r="BU88" s="3">
        <f t="shared" ref="BU88:DY88" si="105">BT93</f>
        <v>1312500.0000000056</v>
      </c>
      <c r="BV88" s="3">
        <f t="shared" si="105"/>
        <v>1285714.2857142913</v>
      </c>
      <c r="BW88" s="3">
        <f t="shared" si="105"/>
        <v>1258928.5714285769</v>
      </c>
      <c r="BX88" s="3">
        <f t="shared" si="105"/>
        <v>1232142.8571428626</v>
      </c>
      <c r="BY88" s="3">
        <f t="shared" si="105"/>
        <v>1205357.1428571483</v>
      </c>
      <c r="BZ88" s="3">
        <f t="shared" si="105"/>
        <v>1178571.428571434</v>
      </c>
      <c r="CA88" s="3">
        <f t="shared" si="105"/>
        <v>1151785.7142857197</v>
      </c>
      <c r="CB88" s="3">
        <f t="shared" si="105"/>
        <v>1125000.0000000054</v>
      </c>
      <c r="CC88" s="3">
        <f t="shared" si="105"/>
        <v>1098214.285714291</v>
      </c>
      <c r="CD88" s="3">
        <f t="shared" si="105"/>
        <v>1071428.5714285767</v>
      </c>
      <c r="CE88" s="3">
        <f t="shared" si="105"/>
        <v>1044642.8571428624</v>
      </c>
      <c r="CF88" s="3">
        <f t="shared" si="105"/>
        <v>1017857.1428571481</v>
      </c>
      <c r="CG88" s="3">
        <f t="shared" si="105"/>
        <v>991071.42857143376</v>
      </c>
      <c r="CH88" s="3">
        <f t="shared" si="105"/>
        <v>964285.71428571944</v>
      </c>
      <c r="CI88" s="3">
        <f t="shared" si="105"/>
        <v>937500.00000000512</v>
      </c>
      <c r="CJ88" s="3">
        <f t="shared" si="105"/>
        <v>910714.2857142908</v>
      </c>
      <c r="CK88" s="3">
        <f t="shared" si="105"/>
        <v>883928.57142857648</v>
      </c>
      <c r="CL88" s="3">
        <f t="shared" si="105"/>
        <v>857142.85714286217</v>
      </c>
      <c r="CM88" s="3">
        <f t="shared" si="105"/>
        <v>830357.14285714785</v>
      </c>
      <c r="CN88" s="3">
        <f t="shared" si="105"/>
        <v>803571.42857143353</v>
      </c>
      <c r="CO88" s="3">
        <f t="shared" si="105"/>
        <v>776785.71428571921</v>
      </c>
      <c r="CP88" s="3">
        <f t="shared" si="105"/>
        <v>750000.00000000489</v>
      </c>
      <c r="CQ88" s="3">
        <f t="shared" si="105"/>
        <v>723214.28571429057</v>
      </c>
      <c r="CR88" s="3">
        <f t="shared" si="105"/>
        <v>696428.57142857625</v>
      </c>
      <c r="CS88" s="3">
        <f t="shared" si="105"/>
        <v>669642.85714286193</v>
      </c>
      <c r="CT88" s="3">
        <f t="shared" si="105"/>
        <v>642857.14285714761</v>
      </c>
      <c r="CU88" s="3">
        <f t="shared" si="105"/>
        <v>616071.42857143329</v>
      </c>
      <c r="CV88" s="3">
        <f t="shared" si="105"/>
        <v>589285.71428571898</v>
      </c>
      <c r="CW88" s="3">
        <f t="shared" si="105"/>
        <v>562500.00000000466</v>
      </c>
      <c r="CX88" s="3">
        <f t="shared" si="105"/>
        <v>535714.28571429034</v>
      </c>
      <c r="CY88" s="3">
        <f t="shared" si="105"/>
        <v>508928.57142857608</v>
      </c>
      <c r="CZ88" s="3">
        <f t="shared" si="105"/>
        <v>482142.85714286182</v>
      </c>
      <c r="DA88" s="3">
        <f t="shared" si="105"/>
        <v>455357.14285714756</v>
      </c>
      <c r="DB88" s="3">
        <f t="shared" si="105"/>
        <v>428571.42857143329</v>
      </c>
      <c r="DC88" s="3">
        <f t="shared" si="105"/>
        <v>401785.71428571903</v>
      </c>
      <c r="DD88" s="3">
        <f t="shared" si="105"/>
        <v>375000.00000000477</v>
      </c>
      <c r="DE88" s="3">
        <f t="shared" si="105"/>
        <v>348214.28571429051</v>
      </c>
      <c r="DF88" s="3">
        <f t="shared" si="105"/>
        <v>321428.57142857625</v>
      </c>
      <c r="DG88" s="3">
        <f t="shared" si="105"/>
        <v>294642.85714286199</v>
      </c>
      <c r="DH88" s="3">
        <f t="shared" si="105"/>
        <v>267857.14285714773</v>
      </c>
      <c r="DI88" s="3">
        <f t="shared" si="105"/>
        <v>241071.42857143344</v>
      </c>
      <c r="DJ88" s="3">
        <f t="shared" si="105"/>
        <v>214285.71428571915</v>
      </c>
      <c r="DK88" s="3">
        <f t="shared" si="105"/>
        <v>187500.00000000486</v>
      </c>
      <c r="DL88" s="3">
        <f t="shared" si="105"/>
        <v>160714.28571429057</v>
      </c>
      <c r="DM88" s="3">
        <f t="shared" si="105"/>
        <v>133928.57142857628</v>
      </c>
      <c r="DN88" s="3">
        <f t="shared" si="105"/>
        <v>107142.85714286199</v>
      </c>
      <c r="DO88" s="3">
        <f t="shared" si="105"/>
        <v>80357.142857147701</v>
      </c>
      <c r="DP88" s="3">
        <f t="shared" si="105"/>
        <v>53571.428571433411</v>
      </c>
      <c r="DQ88" s="3">
        <f t="shared" si="105"/>
        <v>26785.714285719125</v>
      </c>
      <c r="DR88" s="3">
        <f t="shared" si="105"/>
        <v>0</v>
      </c>
      <c r="DS88" s="3">
        <f t="shared" si="105"/>
        <v>0</v>
      </c>
      <c r="DT88" s="3">
        <f t="shared" si="105"/>
        <v>0</v>
      </c>
      <c r="DU88" s="3">
        <f t="shared" si="105"/>
        <v>0</v>
      </c>
      <c r="DV88" s="3">
        <f t="shared" si="105"/>
        <v>0</v>
      </c>
      <c r="DW88" s="3">
        <f t="shared" si="105"/>
        <v>0</v>
      </c>
      <c r="DX88" s="3">
        <f t="shared" si="105"/>
        <v>0</v>
      </c>
      <c r="DY88" s="3">
        <f t="shared" si="105"/>
        <v>0</v>
      </c>
    </row>
    <row r="89" spans="1:129" ht="13.8">
      <c r="C89" s="7" t="s">
        <v>98</v>
      </c>
      <c r="D89" s="10" t="s">
        <v>0</v>
      </c>
      <c r="E89" s="27">
        <f>CaseData!G37</f>
        <v>44196</v>
      </c>
      <c r="F89" s="28">
        <f>CaseData!G36</f>
        <v>3000000</v>
      </c>
      <c r="G89" s="23">
        <f>SUM(I89:DY89)</f>
        <v>3000000</v>
      </c>
      <c r="I89" s="3">
        <f t="shared" ref="I89:BT89" si="106">$F89*(I$3=$E89)</f>
        <v>3000000</v>
      </c>
      <c r="J89" s="3">
        <f t="shared" si="106"/>
        <v>0</v>
      </c>
      <c r="K89" s="3">
        <f t="shared" si="106"/>
        <v>0</v>
      </c>
      <c r="L89" s="3">
        <f t="shared" si="106"/>
        <v>0</v>
      </c>
      <c r="M89" s="3">
        <f t="shared" si="106"/>
        <v>0</v>
      </c>
      <c r="N89" s="3">
        <f t="shared" si="106"/>
        <v>0</v>
      </c>
      <c r="O89" s="3">
        <f t="shared" si="106"/>
        <v>0</v>
      </c>
      <c r="P89" s="3">
        <f t="shared" si="106"/>
        <v>0</v>
      </c>
      <c r="Q89" s="3">
        <f t="shared" si="106"/>
        <v>0</v>
      </c>
      <c r="R89" s="3">
        <f t="shared" si="106"/>
        <v>0</v>
      </c>
      <c r="S89" s="3">
        <f t="shared" si="106"/>
        <v>0</v>
      </c>
      <c r="T89" s="3">
        <f t="shared" si="106"/>
        <v>0</v>
      </c>
      <c r="U89" s="3">
        <f t="shared" si="106"/>
        <v>0</v>
      </c>
      <c r="V89" s="3">
        <f t="shared" si="106"/>
        <v>0</v>
      </c>
      <c r="W89" s="3">
        <f t="shared" si="106"/>
        <v>0</v>
      </c>
      <c r="X89" s="3">
        <f t="shared" si="106"/>
        <v>0</v>
      </c>
      <c r="Y89" s="3">
        <f t="shared" si="106"/>
        <v>0</v>
      </c>
      <c r="Z89" s="3">
        <f t="shared" si="106"/>
        <v>0</v>
      </c>
      <c r="AA89" s="3">
        <f t="shared" si="106"/>
        <v>0</v>
      </c>
      <c r="AB89" s="3">
        <f t="shared" si="106"/>
        <v>0</v>
      </c>
      <c r="AC89" s="3">
        <f t="shared" si="106"/>
        <v>0</v>
      </c>
      <c r="AD89" s="3">
        <f t="shared" si="106"/>
        <v>0</v>
      </c>
      <c r="AE89" s="3">
        <f t="shared" si="106"/>
        <v>0</v>
      </c>
      <c r="AF89" s="3">
        <f t="shared" si="106"/>
        <v>0</v>
      </c>
      <c r="AG89" s="3">
        <f t="shared" si="106"/>
        <v>0</v>
      </c>
      <c r="AH89" s="3">
        <f t="shared" si="106"/>
        <v>0</v>
      </c>
      <c r="AI89" s="3">
        <f t="shared" si="106"/>
        <v>0</v>
      </c>
      <c r="AJ89" s="3">
        <f t="shared" si="106"/>
        <v>0</v>
      </c>
      <c r="AK89" s="3">
        <f t="shared" si="106"/>
        <v>0</v>
      </c>
      <c r="AL89" s="3">
        <f t="shared" si="106"/>
        <v>0</v>
      </c>
      <c r="AM89" s="3">
        <f t="shared" si="106"/>
        <v>0</v>
      </c>
      <c r="AN89" s="3">
        <f t="shared" si="106"/>
        <v>0</v>
      </c>
      <c r="AO89" s="3">
        <f t="shared" si="106"/>
        <v>0</v>
      </c>
      <c r="AP89" s="3">
        <f t="shared" si="106"/>
        <v>0</v>
      </c>
      <c r="AQ89" s="3">
        <f t="shared" si="106"/>
        <v>0</v>
      </c>
      <c r="AR89" s="3">
        <f t="shared" si="106"/>
        <v>0</v>
      </c>
      <c r="AS89" s="3">
        <f t="shared" si="106"/>
        <v>0</v>
      </c>
      <c r="AT89" s="3">
        <f t="shared" si="106"/>
        <v>0</v>
      </c>
      <c r="AU89" s="3">
        <f t="shared" si="106"/>
        <v>0</v>
      </c>
      <c r="AV89" s="3">
        <f t="shared" si="106"/>
        <v>0</v>
      </c>
      <c r="AW89" s="3">
        <f t="shared" si="106"/>
        <v>0</v>
      </c>
      <c r="AX89" s="3">
        <f t="shared" si="106"/>
        <v>0</v>
      </c>
      <c r="AY89" s="3">
        <f t="shared" si="106"/>
        <v>0</v>
      </c>
      <c r="AZ89" s="3">
        <f t="shared" si="106"/>
        <v>0</v>
      </c>
      <c r="BA89" s="3">
        <f t="shared" si="106"/>
        <v>0</v>
      </c>
      <c r="BB89" s="3">
        <f t="shared" si="106"/>
        <v>0</v>
      </c>
      <c r="BC89" s="3">
        <f t="shared" si="106"/>
        <v>0</v>
      </c>
      <c r="BD89" s="3">
        <f t="shared" si="106"/>
        <v>0</v>
      </c>
      <c r="BE89" s="3">
        <f t="shared" si="106"/>
        <v>0</v>
      </c>
      <c r="BF89" s="3">
        <f t="shared" si="106"/>
        <v>0</v>
      </c>
      <c r="BG89" s="3">
        <f t="shared" si="106"/>
        <v>0</v>
      </c>
      <c r="BH89" s="3">
        <f t="shared" si="106"/>
        <v>0</v>
      </c>
      <c r="BI89" s="3">
        <f t="shared" si="106"/>
        <v>0</v>
      </c>
      <c r="BJ89" s="3">
        <f t="shared" si="106"/>
        <v>0</v>
      </c>
      <c r="BK89" s="3">
        <f t="shared" si="106"/>
        <v>0</v>
      </c>
      <c r="BL89" s="3">
        <f t="shared" si="106"/>
        <v>0</v>
      </c>
      <c r="BM89" s="3">
        <f t="shared" si="106"/>
        <v>0</v>
      </c>
      <c r="BN89" s="3">
        <f t="shared" si="106"/>
        <v>0</v>
      </c>
      <c r="BO89" s="3">
        <f t="shared" si="106"/>
        <v>0</v>
      </c>
      <c r="BP89" s="3">
        <f t="shared" si="106"/>
        <v>0</v>
      </c>
      <c r="BQ89" s="3">
        <f t="shared" si="106"/>
        <v>0</v>
      </c>
      <c r="BR89" s="3">
        <f t="shared" si="106"/>
        <v>0</v>
      </c>
      <c r="BS89" s="3">
        <f t="shared" si="106"/>
        <v>0</v>
      </c>
      <c r="BT89" s="3">
        <f t="shared" si="106"/>
        <v>0</v>
      </c>
      <c r="BU89" s="3">
        <f t="shared" ref="BU89:DY89" si="107">$F89*(BU$3=$E89)</f>
        <v>0</v>
      </c>
      <c r="BV89" s="3">
        <f t="shared" si="107"/>
        <v>0</v>
      </c>
      <c r="BW89" s="3">
        <f t="shared" si="107"/>
        <v>0</v>
      </c>
      <c r="BX89" s="3">
        <f t="shared" si="107"/>
        <v>0</v>
      </c>
      <c r="BY89" s="3">
        <f t="shared" si="107"/>
        <v>0</v>
      </c>
      <c r="BZ89" s="3">
        <f t="shared" si="107"/>
        <v>0</v>
      </c>
      <c r="CA89" s="3">
        <f t="shared" si="107"/>
        <v>0</v>
      </c>
      <c r="CB89" s="3">
        <f t="shared" si="107"/>
        <v>0</v>
      </c>
      <c r="CC89" s="3">
        <f t="shared" si="107"/>
        <v>0</v>
      </c>
      <c r="CD89" s="3">
        <f t="shared" si="107"/>
        <v>0</v>
      </c>
      <c r="CE89" s="3">
        <f t="shared" si="107"/>
        <v>0</v>
      </c>
      <c r="CF89" s="3">
        <f t="shared" si="107"/>
        <v>0</v>
      </c>
      <c r="CG89" s="3">
        <f t="shared" si="107"/>
        <v>0</v>
      </c>
      <c r="CH89" s="3">
        <f t="shared" si="107"/>
        <v>0</v>
      </c>
      <c r="CI89" s="3">
        <f t="shared" si="107"/>
        <v>0</v>
      </c>
      <c r="CJ89" s="3">
        <f t="shared" si="107"/>
        <v>0</v>
      </c>
      <c r="CK89" s="3">
        <f t="shared" si="107"/>
        <v>0</v>
      </c>
      <c r="CL89" s="3">
        <f t="shared" si="107"/>
        <v>0</v>
      </c>
      <c r="CM89" s="3">
        <f t="shared" si="107"/>
        <v>0</v>
      </c>
      <c r="CN89" s="3">
        <f t="shared" si="107"/>
        <v>0</v>
      </c>
      <c r="CO89" s="3">
        <f t="shared" si="107"/>
        <v>0</v>
      </c>
      <c r="CP89" s="3">
        <f t="shared" si="107"/>
        <v>0</v>
      </c>
      <c r="CQ89" s="3">
        <f t="shared" si="107"/>
        <v>0</v>
      </c>
      <c r="CR89" s="3">
        <f t="shared" si="107"/>
        <v>0</v>
      </c>
      <c r="CS89" s="3">
        <f t="shared" si="107"/>
        <v>0</v>
      </c>
      <c r="CT89" s="3">
        <f t="shared" si="107"/>
        <v>0</v>
      </c>
      <c r="CU89" s="3">
        <f t="shared" si="107"/>
        <v>0</v>
      </c>
      <c r="CV89" s="3">
        <f t="shared" si="107"/>
        <v>0</v>
      </c>
      <c r="CW89" s="3">
        <f t="shared" si="107"/>
        <v>0</v>
      </c>
      <c r="CX89" s="3">
        <f t="shared" si="107"/>
        <v>0</v>
      </c>
      <c r="CY89" s="3">
        <f t="shared" si="107"/>
        <v>0</v>
      </c>
      <c r="CZ89" s="3">
        <f t="shared" si="107"/>
        <v>0</v>
      </c>
      <c r="DA89" s="3">
        <f t="shared" si="107"/>
        <v>0</v>
      </c>
      <c r="DB89" s="3">
        <f t="shared" si="107"/>
        <v>0</v>
      </c>
      <c r="DC89" s="3">
        <f t="shared" si="107"/>
        <v>0</v>
      </c>
      <c r="DD89" s="3">
        <f t="shared" si="107"/>
        <v>0</v>
      </c>
      <c r="DE89" s="3">
        <f t="shared" si="107"/>
        <v>0</v>
      </c>
      <c r="DF89" s="3">
        <f t="shared" si="107"/>
        <v>0</v>
      </c>
      <c r="DG89" s="3">
        <f t="shared" si="107"/>
        <v>0</v>
      </c>
      <c r="DH89" s="3">
        <f t="shared" si="107"/>
        <v>0</v>
      </c>
      <c r="DI89" s="3">
        <f t="shared" si="107"/>
        <v>0</v>
      </c>
      <c r="DJ89" s="3">
        <f t="shared" si="107"/>
        <v>0</v>
      </c>
      <c r="DK89" s="3">
        <f t="shared" si="107"/>
        <v>0</v>
      </c>
      <c r="DL89" s="3">
        <f t="shared" si="107"/>
        <v>0</v>
      </c>
      <c r="DM89" s="3">
        <f t="shared" si="107"/>
        <v>0</v>
      </c>
      <c r="DN89" s="3">
        <f t="shared" si="107"/>
        <v>0</v>
      </c>
      <c r="DO89" s="3">
        <f t="shared" si="107"/>
        <v>0</v>
      </c>
      <c r="DP89" s="3">
        <f t="shared" si="107"/>
        <v>0</v>
      </c>
      <c r="DQ89" s="3">
        <f t="shared" si="107"/>
        <v>0</v>
      </c>
      <c r="DR89" s="3">
        <f t="shared" si="107"/>
        <v>0</v>
      </c>
      <c r="DS89" s="3">
        <f t="shared" si="107"/>
        <v>0</v>
      </c>
      <c r="DT89" s="3">
        <f t="shared" si="107"/>
        <v>0</v>
      </c>
      <c r="DU89" s="3">
        <f t="shared" si="107"/>
        <v>0</v>
      </c>
      <c r="DV89" s="3">
        <f t="shared" si="107"/>
        <v>0</v>
      </c>
      <c r="DW89" s="3">
        <f t="shared" si="107"/>
        <v>0</v>
      </c>
      <c r="DX89" s="3">
        <f t="shared" si="107"/>
        <v>0</v>
      </c>
      <c r="DY89" s="3">
        <f t="shared" si="107"/>
        <v>0</v>
      </c>
    </row>
    <row r="90" spans="1:129" ht="13.8">
      <c r="C90" s="7" t="s">
        <v>99</v>
      </c>
      <c r="D90" s="10" t="s">
        <v>0</v>
      </c>
      <c r="G90" s="23">
        <f>SUM(I90:DY90)</f>
        <v>3285000.0000000121</v>
      </c>
      <c r="I90" s="3">
        <f t="shared" ref="I90:BT90" si="108">I98</f>
        <v>0</v>
      </c>
      <c r="J90" s="3">
        <f t="shared" si="108"/>
        <v>56250</v>
      </c>
      <c r="K90" s="3">
        <f t="shared" si="108"/>
        <v>55747.767857142862</v>
      </c>
      <c r="L90" s="3">
        <f t="shared" si="108"/>
        <v>55245.535714285717</v>
      </c>
      <c r="M90" s="3">
        <f t="shared" si="108"/>
        <v>54743.30357142858</v>
      </c>
      <c r="N90" s="3">
        <f t="shared" si="108"/>
        <v>54241.071428571442</v>
      </c>
      <c r="O90" s="3">
        <f t="shared" si="108"/>
        <v>53738.839285714304</v>
      </c>
      <c r="P90" s="3">
        <f t="shared" si="108"/>
        <v>53236.607142857167</v>
      </c>
      <c r="Q90" s="3">
        <f t="shared" si="108"/>
        <v>52734.375000000022</v>
      </c>
      <c r="R90" s="3">
        <f t="shared" si="108"/>
        <v>52232.142857142884</v>
      </c>
      <c r="S90" s="3">
        <f t="shared" si="108"/>
        <v>51729.910714285747</v>
      </c>
      <c r="T90" s="3">
        <f t="shared" si="108"/>
        <v>51227.678571428609</v>
      </c>
      <c r="U90" s="3">
        <f t="shared" si="108"/>
        <v>50725.446428571471</v>
      </c>
      <c r="V90" s="3">
        <f t="shared" si="108"/>
        <v>50223.214285714326</v>
      </c>
      <c r="W90" s="3">
        <f t="shared" si="108"/>
        <v>49720.982142857189</v>
      </c>
      <c r="X90" s="3">
        <f t="shared" si="108"/>
        <v>49218.750000000051</v>
      </c>
      <c r="Y90" s="3">
        <f t="shared" si="108"/>
        <v>48716.517857142913</v>
      </c>
      <c r="Z90" s="3">
        <f t="shared" si="108"/>
        <v>48214.285714285776</v>
      </c>
      <c r="AA90" s="3">
        <f t="shared" si="108"/>
        <v>47712.053571428631</v>
      </c>
      <c r="AB90" s="3">
        <f t="shared" si="108"/>
        <v>47209.821428571493</v>
      </c>
      <c r="AC90" s="3">
        <f t="shared" si="108"/>
        <v>46707.589285714355</v>
      </c>
      <c r="AD90" s="3">
        <f t="shared" si="108"/>
        <v>46205.357142857218</v>
      </c>
      <c r="AE90" s="3">
        <f t="shared" si="108"/>
        <v>45703.12500000008</v>
      </c>
      <c r="AF90" s="3">
        <f t="shared" si="108"/>
        <v>45200.892857142935</v>
      </c>
      <c r="AG90" s="3">
        <f t="shared" si="108"/>
        <v>44698.660714285797</v>
      </c>
      <c r="AH90" s="3">
        <f t="shared" si="108"/>
        <v>44196.42857142866</v>
      </c>
      <c r="AI90" s="3">
        <f t="shared" si="108"/>
        <v>43694.196428571522</v>
      </c>
      <c r="AJ90" s="3">
        <f t="shared" si="108"/>
        <v>43191.964285714384</v>
      </c>
      <c r="AK90" s="3">
        <f t="shared" si="108"/>
        <v>42689.73214285724</v>
      </c>
      <c r="AL90" s="3">
        <f t="shared" si="108"/>
        <v>45000.000000000109</v>
      </c>
      <c r="AM90" s="3">
        <f t="shared" si="108"/>
        <v>44464.285714285834</v>
      </c>
      <c r="AN90" s="3">
        <f t="shared" si="108"/>
        <v>43928.571428571551</v>
      </c>
      <c r="AO90" s="3">
        <f t="shared" si="108"/>
        <v>43392.857142857269</v>
      </c>
      <c r="AP90" s="3">
        <f t="shared" si="108"/>
        <v>42857.142857142986</v>
      </c>
      <c r="AQ90" s="3">
        <f t="shared" si="108"/>
        <v>42321.428571428703</v>
      </c>
      <c r="AR90" s="3">
        <f t="shared" si="108"/>
        <v>41785.714285714421</v>
      </c>
      <c r="AS90" s="3">
        <f t="shared" si="108"/>
        <v>41250.000000000131</v>
      </c>
      <c r="AT90" s="3">
        <f t="shared" si="108"/>
        <v>40714.285714285841</v>
      </c>
      <c r="AU90" s="3">
        <f t="shared" si="108"/>
        <v>40178.571428571551</v>
      </c>
      <c r="AV90" s="3">
        <f t="shared" si="108"/>
        <v>39642.857142857269</v>
      </c>
      <c r="AW90" s="3">
        <f t="shared" si="108"/>
        <v>39107.142857142979</v>
      </c>
      <c r="AX90" s="3">
        <f t="shared" si="108"/>
        <v>38571.428571428696</v>
      </c>
      <c r="AY90" s="3">
        <f t="shared" si="108"/>
        <v>38035.714285714406</v>
      </c>
      <c r="AZ90" s="3">
        <f t="shared" si="108"/>
        <v>37500.000000000124</v>
      </c>
      <c r="BA90" s="3">
        <f t="shared" si="108"/>
        <v>36964.285714285834</v>
      </c>
      <c r="BB90" s="3">
        <f t="shared" si="108"/>
        <v>36428.571428571551</v>
      </c>
      <c r="BC90" s="3">
        <f t="shared" si="108"/>
        <v>35892.857142857261</v>
      </c>
      <c r="BD90" s="3">
        <f t="shared" si="108"/>
        <v>35357.142857142979</v>
      </c>
      <c r="BE90" s="3">
        <f t="shared" si="108"/>
        <v>34821.428571428689</v>
      </c>
      <c r="BF90" s="3">
        <f t="shared" si="108"/>
        <v>34285.714285714406</v>
      </c>
      <c r="BG90" s="3">
        <f t="shared" si="108"/>
        <v>33750.000000000116</v>
      </c>
      <c r="BH90" s="3">
        <f t="shared" si="108"/>
        <v>33214.285714285834</v>
      </c>
      <c r="BI90" s="3">
        <f t="shared" si="108"/>
        <v>32678.571428571548</v>
      </c>
      <c r="BJ90" s="3">
        <f t="shared" si="108"/>
        <v>32142.857142857261</v>
      </c>
      <c r="BK90" s="3">
        <f t="shared" si="108"/>
        <v>31607.142857142975</v>
      </c>
      <c r="BL90" s="3">
        <f t="shared" si="108"/>
        <v>31071.428571428689</v>
      </c>
      <c r="BM90" s="3">
        <f t="shared" si="108"/>
        <v>30535.714285714403</v>
      </c>
      <c r="BN90" s="3">
        <f t="shared" si="108"/>
        <v>28125.000000000109</v>
      </c>
      <c r="BO90" s="3">
        <f t="shared" si="108"/>
        <v>27622.767857142964</v>
      </c>
      <c r="BP90" s="3">
        <f t="shared" si="108"/>
        <v>27120.535714285823</v>
      </c>
      <c r="BQ90" s="3">
        <f t="shared" si="108"/>
        <v>26618.303571428678</v>
      </c>
      <c r="BR90" s="3">
        <f t="shared" si="108"/>
        <v>26116.071428571533</v>
      </c>
      <c r="BS90" s="3">
        <f t="shared" si="108"/>
        <v>25613.839285714392</v>
      </c>
      <c r="BT90" s="3">
        <f t="shared" si="108"/>
        <v>25111.607142857247</v>
      </c>
      <c r="BU90" s="3">
        <f t="shared" ref="BU90:DY90" si="109">BU98</f>
        <v>24609.375000000106</v>
      </c>
      <c r="BV90" s="3">
        <f t="shared" si="109"/>
        <v>24107.142857142961</v>
      </c>
      <c r="BW90" s="3">
        <f t="shared" si="109"/>
        <v>23604.910714285816</v>
      </c>
      <c r="BX90" s="3">
        <f t="shared" si="109"/>
        <v>23102.678571428674</v>
      </c>
      <c r="BY90" s="3">
        <f t="shared" si="109"/>
        <v>22600.446428571529</v>
      </c>
      <c r="BZ90" s="3">
        <f t="shared" si="109"/>
        <v>22098.214285714388</v>
      </c>
      <c r="CA90" s="3">
        <f t="shared" si="109"/>
        <v>21595.982142857243</v>
      </c>
      <c r="CB90" s="3">
        <f t="shared" si="109"/>
        <v>21093.750000000098</v>
      </c>
      <c r="CC90" s="3">
        <f t="shared" si="109"/>
        <v>20591.517857142957</v>
      </c>
      <c r="CD90" s="3">
        <f t="shared" si="109"/>
        <v>20089.285714285812</v>
      </c>
      <c r="CE90" s="3">
        <f t="shared" si="109"/>
        <v>19587.053571428671</v>
      </c>
      <c r="CF90" s="3">
        <f t="shared" si="109"/>
        <v>19084.821428571526</v>
      </c>
      <c r="CG90" s="3">
        <f t="shared" si="109"/>
        <v>18582.589285714381</v>
      </c>
      <c r="CH90" s="3">
        <f t="shared" si="109"/>
        <v>18080.35714285724</v>
      </c>
      <c r="CI90" s="3">
        <f t="shared" si="109"/>
        <v>17578.125000000095</v>
      </c>
      <c r="CJ90" s="3">
        <f t="shared" si="109"/>
        <v>17075.892857142953</v>
      </c>
      <c r="CK90" s="3">
        <f t="shared" si="109"/>
        <v>16573.660714285808</v>
      </c>
      <c r="CL90" s="3">
        <f t="shared" si="109"/>
        <v>16071.428571428665</v>
      </c>
      <c r="CM90" s="3">
        <f t="shared" si="109"/>
        <v>15569.196428571522</v>
      </c>
      <c r="CN90" s="3">
        <f t="shared" si="109"/>
        <v>15066.964285714377</v>
      </c>
      <c r="CO90" s="3">
        <f t="shared" si="109"/>
        <v>14564.732142857234</v>
      </c>
      <c r="CP90" s="3">
        <f t="shared" si="109"/>
        <v>16875.000000000109</v>
      </c>
      <c r="CQ90" s="3">
        <f t="shared" si="109"/>
        <v>16272.321428571537</v>
      </c>
      <c r="CR90" s="3">
        <f t="shared" si="109"/>
        <v>15669.642857142964</v>
      </c>
      <c r="CS90" s="3">
        <f t="shared" si="109"/>
        <v>15066.964285714394</v>
      </c>
      <c r="CT90" s="3">
        <f t="shared" si="109"/>
        <v>14464.285714285821</v>
      </c>
      <c r="CU90" s="3">
        <f t="shared" si="109"/>
        <v>13861.607142857249</v>
      </c>
      <c r="CV90" s="3">
        <f t="shared" si="109"/>
        <v>13258.928571428676</v>
      </c>
      <c r="CW90" s="3">
        <f t="shared" si="109"/>
        <v>12656.250000000104</v>
      </c>
      <c r="CX90" s="3">
        <f t="shared" si="109"/>
        <v>12053.571428571533</v>
      </c>
      <c r="CY90" s="3">
        <f t="shared" si="109"/>
        <v>11450.892857142961</v>
      </c>
      <c r="CZ90" s="3">
        <f t="shared" si="109"/>
        <v>10848.21428571439</v>
      </c>
      <c r="DA90" s="3">
        <f t="shared" si="109"/>
        <v>10245.535714285819</v>
      </c>
      <c r="DB90" s="3">
        <f t="shared" si="109"/>
        <v>9642.8571428572486</v>
      </c>
      <c r="DC90" s="3">
        <f t="shared" si="109"/>
        <v>9040.178571428678</v>
      </c>
      <c r="DD90" s="3">
        <f t="shared" si="109"/>
        <v>8437.5000000001073</v>
      </c>
      <c r="DE90" s="3">
        <f t="shared" si="109"/>
        <v>7834.8214285715367</v>
      </c>
      <c r="DF90" s="3">
        <f t="shared" si="109"/>
        <v>7232.1428571429651</v>
      </c>
      <c r="DG90" s="3">
        <f t="shared" si="109"/>
        <v>6629.4642857143945</v>
      </c>
      <c r="DH90" s="3">
        <f t="shared" si="109"/>
        <v>6026.7857142858238</v>
      </c>
      <c r="DI90" s="3">
        <f t="shared" si="109"/>
        <v>5424.1071428572523</v>
      </c>
      <c r="DJ90" s="3">
        <f t="shared" si="109"/>
        <v>4821.4285714286807</v>
      </c>
      <c r="DK90" s="3">
        <f t="shared" si="109"/>
        <v>4218.7500000001091</v>
      </c>
      <c r="DL90" s="3">
        <f t="shared" si="109"/>
        <v>3616.0714285715376</v>
      </c>
      <c r="DM90" s="3">
        <f t="shared" si="109"/>
        <v>3013.392857142966</v>
      </c>
      <c r="DN90" s="3">
        <f t="shared" si="109"/>
        <v>2410.7142857143949</v>
      </c>
      <c r="DO90" s="3">
        <f t="shared" si="109"/>
        <v>1808.0357142858231</v>
      </c>
      <c r="DP90" s="3">
        <f t="shared" si="109"/>
        <v>1205.3571428572518</v>
      </c>
      <c r="DQ90" s="3">
        <f t="shared" si="109"/>
        <v>602.67857142868024</v>
      </c>
      <c r="DR90" s="3">
        <f t="shared" si="109"/>
        <v>0</v>
      </c>
      <c r="DS90" s="3">
        <f t="shared" si="109"/>
        <v>0</v>
      </c>
      <c r="DT90" s="3">
        <f t="shared" si="109"/>
        <v>0</v>
      </c>
      <c r="DU90" s="3">
        <f t="shared" si="109"/>
        <v>0</v>
      </c>
      <c r="DV90" s="3">
        <f t="shared" si="109"/>
        <v>0</v>
      </c>
      <c r="DW90" s="3">
        <f t="shared" si="109"/>
        <v>0</v>
      </c>
      <c r="DX90" s="3">
        <f t="shared" si="109"/>
        <v>0</v>
      </c>
      <c r="DY90" s="3">
        <f t="shared" si="109"/>
        <v>0</v>
      </c>
    </row>
    <row r="91" spans="1:129" ht="13.8">
      <c r="C91" s="7" t="s">
        <v>100</v>
      </c>
      <c r="D91" s="10" t="s">
        <v>0</v>
      </c>
      <c r="G91" s="23">
        <f>SUM(I91:DY91)</f>
        <v>-3285000.0000000121</v>
      </c>
      <c r="I91" s="3">
        <f t="shared" ref="I91:BT91" si="110">0-I90</f>
        <v>0</v>
      </c>
      <c r="J91" s="3">
        <f t="shared" si="110"/>
        <v>-56250</v>
      </c>
      <c r="K91" s="3">
        <f t="shared" si="110"/>
        <v>-55747.767857142862</v>
      </c>
      <c r="L91" s="3">
        <f t="shared" si="110"/>
        <v>-55245.535714285717</v>
      </c>
      <c r="M91" s="3">
        <f t="shared" si="110"/>
        <v>-54743.30357142858</v>
      </c>
      <c r="N91" s="3">
        <f t="shared" si="110"/>
        <v>-54241.071428571442</v>
      </c>
      <c r="O91" s="3">
        <f t="shared" si="110"/>
        <v>-53738.839285714304</v>
      </c>
      <c r="P91" s="3">
        <f t="shared" si="110"/>
        <v>-53236.607142857167</v>
      </c>
      <c r="Q91" s="3">
        <f t="shared" si="110"/>
        <v>-52734.375000000022</v>
      </c>
      <c r="R91" s="3">
        <f t="shared" si="110"/>
        <v>-52232.142857142884</v>
      </c>
      <c r="S91" s="3">
        <f t="shared" si="110"/>
        <v>-51729.910714285747</v>
      </c>
      <c r="T91" s="3">
        <f t="shared" si="110"/>
        <v>-51227.678571428609</v>
      </c>
      <c r="U91" s="3">
        <f t="shared" si="110"/>
        <v>-50725.446428571471</v>
      </c>
      <c r="V91" s="3">
        <f t="shared" si="110"/>
        <v>-50223.214285714326</v>
      </c>
      <c r="W91" s="3">
        <f t="shared" si="110"/>
        <v>-49720.982142857189</v>
      </c>
      <c r="X91" s="3">
        <f t="shared" si="110"/>
        <v>-49218.750000000051</v>
      </c>
      <c r="Y91" s="3">
        <f t="shared" si="110"/>
        <v>-48716.517857142913</v>
      </c>
      <c r="Z91" s="3">
        <f t="shared" si="110"/>
        <v>-48214.285714285776</v>
      </c>
      <c r="AA91" s="3">
        <f t="shared" si="110"/>
        <v>-47712.053571428631</v>
      </c>
      <c r="AB91" s="3">
        <f t="shared" si="110"/>
        <v>-47209.821428571493</v>
      </c>
      <c r="AC91" s="3">
        <f t="shared" si="110"/>
        <v>-46707.589285714355</v>
      </c>
      <c r="AD91" s="3">
        <f t="shared" si="110"/>
        <v>-46205.357142857218</v>
      </c>
      <c r="AE91" s="3">
        <f t="shared" si="110"/>
        <v>-45703.12500000008</v>
      </c>
      <c r="AF91" s="3">
        <f t="shared" si="110"/>
        <v>-45200.892857142935</v>
      </c>
      <c r="AG91" s="3">
        <f t="shared" si="110"/>
        <v>-44698.660714285797</v>
      </c>
      <c r="AH91" s="3">
        <f t="shared" si="110"/>
        <v>-44196.42857142866</v>
      </c>
      <c r="AI91" s="3">
        <f t="shared" si="110"/>
        <v>-43694.196428571522</v>
      </c>
      <c r="AJ91" s="3">
        <f t="shared" si="110"/>
        <v>-43191.964285714384</v>
      </c>
      <c r="AK91" s="3">
        <f t="shared" si="110"/>
        <v>-42689.73214285724</v>
      </c>
      <c r="AL91" s="3">
        <f t="shared" si="110"/>
        <v>-45000.000000000109</v>
      </c>
      <c r="AM91" s="3">
        <f t="shared" si="110"/>
        <v>-44464.285714285834</v>
      </c>
      <c r="AN91" s="3">
        <f t="shared" si="110"/>
        <v>-43928.571428571551</v>
      </c>
      <c r="AO91" s="3">
        <f t="shared" si="110"/>
        <v>-43392.857142857269</v>
      </c>
      <c r="AP91" s="3">
        <f t="shared" si="110"/>
        <v>-42857.142857142986</v>
      </c>
      <c r="AQ91" s="3">
        <f t="shared" si="110"/>
        <v>-42321.428571428703</v>
      </c>
      <c r="AR91" s="3">
        <f t="shared" si="110"/>
        <v>-41785.714285714421</v>
      </c>
      <c r="AS91" s="3">
        <f t="shared" si="110"/>
        <v>-41250.000000000131</v>
      </c>
      <c r="AT91" s="3">
        <f t="shared" si="110"/>
        <v>-40714.285714285841</v>
      </c>
      <c r="AU91" s="3">
        <f t="shared" si="110"/>
        <v>-40178.571428571551</v>
      </c>
      <c r="AV91" s="3">
        <f t="shared" si="110"/>
        <v>-39642.857142857269</v>
      </c>
      <c r="AW91" s="3">
        <f t="shared" si="110"/>
        <v>-39107.142857142979</v>
      </c>
      <c r="AX91" s="3">
        <f t="shared" si="110"/>
        <v>-38571.428571428696</v>
      </c>
      <c r="AY91" s="3">
        <f t="shared" si="110"/>
        <v>-38035.714285714406</v>
      </c>
      <c r="AZ91" s="3">
        <f t="shared" si="110"/>
        <v>-37500.000000000124</v>
      </c>
      <c r="BA91" s="3">
        <f t="shared" si="110"/>
        <v>-36964.285714285834</v>
      </c>
      <c r="BB91" s="3">
        <f t="shared" si="110"/>
        <v>-36428.571428571551</v>
      </c>
      <c r="BC91" s="3">
        <f t="shared" si="110"/>
        <v>-35892.857142857261</v>
      </c>
      <c r="BD91" s="3">
        <f t="shared" si="110"/>
        <v>-35357.142857142979</v>
      </c>
      <c r="BE91" s="3">
        <f t="shared" si="110"/>
        <v>-34821.428571428689</v>
      </c>
      <c r="BF91" s="3">
        <f t="shared" si="110"/>
        <v>-34285.714285714406</v>
      </c>
      <c r="BG91" s="3">
        <f t="shared" si="110"/>
        <v>-33750.000000000116</v>
      </c>
      <c r="BH91" s="3">
        <f t="shared" si="110"/>
        <v>-33214.285714285834</v>
      </c>
      <c r="BI91" s="3">
        <f t="shared" si="110"/>
        <v>-32678.571428571548</v>
      </c>
      <c r="BJ91" s="3">
        <f t="shared" si="110"/>
        <v>-32142.857142857261</v>
      </c>
      <c r="BK91" s="3">
        <f t="shared" si="110"/>
        <v>-31607.142857142975</v>
      </c>
      <c r="BL91" s="3">
        <f t="shared" si="110"/>
        <v>-31071.428571428689</v>
      </c>
      <c r="BM91" s="3">
        <f t="shared" si="110"/>
        <v>-30535.714285714403</v>
      </c>
      <c r="BN91" s="3">
        <f t="shared" si="110"/>
        <v>-28125.000000000109</v>
      </c>
      <c r="BO91" s="3">
        <f t="shared" si="110"/>
        <v>-27622.767857142964</v>
      </c>
      <c r="BP91" s="3">
        <f t="shared" si="110"/>
        <v>-27120.535714285823</v>
      </c>
      <c r="BQ91" s="3">
        <f t="shared" si="110"/>
        <v>-26618.303571428678</v>
      </c>
      <c r="BR91" s="3">
        <f t="shared" si="110"/>
        <v>-26116.071428571533</v>
      </c>
      <c r="BS91" s="3">
        <f t="shared" si="110"/>
        <v>-25613.839285714392</v>
      </c>
      <c r="BT91" s="3">
        <f t="shared" si="110"/>
        <v>-25111.607142857247</v>
      </c>
      <c r="BU91" s="3">
        <f t="shared" ref="BU91:DY91" si="111">0-BU90</f>
        <v>-24609.375000000106</v>
      </c>
      <c r="BV91" s="3">
        <f t="shared" si="111"/>
        <v>-24107.142857142961</v>
      </c>
      <c r="BW91" s="3">
        <f t="shared" si="111"/>
        <v>-23604.910714285816</v>
      </c>
      <c r="BX91" s="3">
        <f t="shared" si="111"/>
        <v>-23102.678571428674</v>
      </c>
      <c r="BY91" s="3">
        <f t="shared" si="111"/>
        <v>-22600.446428571529</v>
      </c>
      <c r="BZ91" s="3">
        <f t="shared" si="111"/>
        <v>-22098.214285714388</v>
      </c>
      <c r="CA91" s="3">
        <f t="shared" si="111"/>
        <v>-21595.982142857243</v>
      </c>
      <c r="CB91" s="3">
        <f t="shared" si="111"/>
        <v>-21093.750000000098</v>
      </c>
      <c r="CC91" s="3">
        <f t="shared" si="111"/>
        <v>-20591.517857142957</v>
      </c>
      <c r="CD91" s="3">
        <f t="shared" si="111"/>
        <v>-20089.285714285812</v>
      </c>
      <c r="CE91" s="3">
        <f t="shared" si="111"/>
        <v>-19587.053571428671</v>
      </c>
      <c r="CF91" s="3">
        <f t="shared" si="111"/>
        <v>-19084.821428571526</v>
      </c>
      <c r="CG91" s="3">
        <f t="shared" si="111"/>
        <v>-18582.589285714381</v>
      </c>
      <c r="CH91" s="3">
        <f t="shared" si="111"/>
        <v>-18080.35714285724</v>
      </c>
      <c r="CI91" s="3">
        <f t="shared" si="111"/>
        <v>-17578.125000000095</v>
      </c>
      <c r="CJ91" s="3">
        <f t="shared" si="111"/>
        <v>-17075.892857142953</v>
      </c>
      <c r="CK91" s="3">
        <f t="shared" si="111"/>
        <v>-16573.660714285808</v>
      </c>
      <c r="CL91" s="3">
        <f t="shared" si="111"/>
        <v>-16071.428571428665</v>
      </c>
      <c r="CM91" s="3">
        <f t="shared" si="111"/>
        <v>-15569.196428571522</v>
      </c>
      <c r="CN91" s="3">
        <f t="shared" si="111"/>
        <v>-15066.964285714377</v>
      </c>
      <c r="CO91" s="3">
        <f t="shared" si="111"/>
        <v>-14564.732142857234</v>
      </c>
      <c r="CP91" s="3">
        <f t="shared" si="111"/>
        <v>-16875.000000000109</v>
      </c>
      <c r="CQ91" s="3">
        <f t="shared" si="111"/>
        <v>-16272.321428571537</v>
      </c>
      <c r="CR91" s="3">
        <f t="shared" si="111"/>
        <v>-15669.642857142964</v>
      </c>
      <c r="CS91" s="3">
        <f t="shared" si="111"/>
        <v>-15066.964285714394</v>
      </c>
      <c r="CT91" s="3">
        <f t="shared" si="111"/>
        <v>-14464.285714285821</v>
      </c>
      <c r="CU91" s="3">
        <f t="shared" si="111"/>
        <v>-13861.607142857249</v>
      </c>
      <c r="CV91" s="3">
        <f t="shared" si="111"/>
        <v>-13258.928571428676</v>
      </c>
      <c r="CW91" s="3">
        <f t="shared" si="111"/>
        <v>-12656.250000000104</v>
      </c>
      <c r="CX91" s="3">
        <f t="shared" si="111"/>
        <v>-12053.571428571533</v>
      </c>
      <c r="CY91" s="3">
        <f t="shared" si="111"/>
        <v>-11450.892857142961</v>
      </c>
      <c r="CZ91" s="3">
        <f t="shared" si="111"/>
        <v>-10848.21428571439</v>
      </c>
      <c r="DA91" s="3">
        <f t="shared" si="111"/>
        <v>-10245.535714285819</v>
      </c>
      <c r="DB91" s="3">
        <f t="shared" si="111"/>
        <v>-9642.8571428572486</v>
      </c>
      <c r="DC91" s="3">
        <f t="shared" si="111"/>
        <v>-9040.178571428678</v>
      </c>
      <c r="DD91" s="3">
        <f t="shared" si="111"/>
        <v>-8437.5000000001073</v>
      </c>
      <c r="DE91" s="3">
        <f t="shared" si="111"/>
        <v>-7834.8214285715367</v>
      </c>
      <c r="DF91" s="3">
        <f t="shared" si="111"/>
        <v>-7232.1428571429651</v>
      </c>
      <c r="DG91" s="3">
        <f t="shared" si="111"/>
        <v>-6629.4642857143945</v>
      </c>
      <c r="DH91" s="3">
        <f t="shared" si="111"/>
        <v>-6026.7857142858238</v>
      </c>
      <c r="DI91" s="3">
        <f t="shared" si="111"/>
        <v>-5424.1071428572523</v>
      </c>
      <c r="DJ91" s="3">
        <f t="shared" si="111"/>
        <v>-4821.4285714286807</v>
      </c>
      <c r="DK91" s="3">
        <f t="shared" si="111"/>
        <v>-4218.7500000001091</v>
      </c>
      <c r="DL91" s="3">
        <f t="shared" si="111"/>
        <v>-3616.0714285715376</v>
      </c>
      <c r="DM91" s="3">
        <f t="shared" si="111"/>
        <v>-3013.392857142966</v>
      </c>
      <c r="DN91" s="3">
        <f t="shared" si="111"/>
        <v>-2410.7142857143949</v>
      </c>
      <c r="DO91" s="3">
        <f t="shared" si="111"/>
        <v>-1808.0357142858231</v>
      </c>
      <c r="DP91" s="3">
        <f t="shared" si="111"/>
        <v>-1205.3571428572518</v>
      </c>
      <c r="DQ91" s="3">
        <f t="shared" si="111"/>
        <v>-602.67857142868024</v>
      </c>
      <c r="DR91" s="3">
        <f t="shared" si="111"/>
        <v>0</v>
      </c>
      <c r="DS91" s="3">
        <f t="shared" si="111"/>
        <v>0</v>
      </c>
      <c r="DT91" s="3">
        <f t="shared" si="111"/>
        <v>0</v>
      </c>
      <c r="DU91" s="3">
        <f t="shared" si="111"/>
        <v>0</v>
      </c>
      <c r="DV91" s="3">
        <f t="shared" si="111"/>
        <v>0</v>
      </c>
      <c r="DW91" s="3">
        <f t="shared" si="111"/>
        <v>0</v>
      </c>
      <c r="DX91" s="3">
        <f t="shared" si="111"/>
        <v>0</v>
      </c>
      <c r="DY91" s="3">
        <f t="shared" si="111"/>
        <v>0</v>
      </c>
    </row>
    <row r="92" spans="1:129" ht="13.8">
      <c r="C92" s="7" t="s">
        <v>113</v>
      </c>
      <c r="D92" s="10" t="s">
        <v>0</v>
      </c>
      <c r="G92" s="23">
        <f>SUM(I92:DY92)</f>
        <v>-2999999.9999999949</v>
      </c>
      <c r="I92" s="3">
        <f t="shared" ref="I92" si="112">0-I99</f>
        <v>0</v>
      </c>
      <c r="J92" s="3">
        <f t="shared" ref="J92:AO92" si="113">-MIN(SUM(J88:J91),J99)</f>
        <v>-26785.714285714286</v>
      </c>
      <c r="K92" s="3">
        <f t="shared" si="113"/>
        <v>-26785.714285714286</v>
      </c>
      <c r="L92" s="3">
        <f t="shared" si="113"/>
        <v>-26785.714285714286</v>
      </c>
      <c r="M92" s="3">
        <f t="shared" si="113"/>
        <v>-26785.714285714286</v>
      </c>
      <c r="N92" s="3">
        <f t="shared" si="113"/>
        <v>-26785.714285714286</v>
      </c>
      <c r="O92" s="3">
        <f t="shared" si="113"/>
        <v>-26785.714285714286</v>
      </c>
      <c r="P92" s="3">
        <f t="shared" si="113"/>
        <v>-26785.714285714286</v>
      </c>
      <c r="Q92" s="3">
        <f t="shared" si="113"/>
        <v>-26785.714285714286</v>
      </c>
      <c r="R92" s="3">
        <f t="shared" si="113"/>
        <v>-26785.714285714286</v>
      </c>
      <c r="S92" s="3">
        <f t="shared" si="113"/>
        <v>-26785.714285714286</v>
      </c>
      <c r="T92" s="3">
        <f t="shared" si="113"/>
        <v>-26785.714285714286</v>
      </c>
      <c r="U92" s="3">
        <f t="shared" si="113"/>
        <v>-26785.714285714286</v>
      </c>
      <c r="V92" s="3">
        <f t="shared" si="113"/>
        <v>-26785.714285714286</v>
      </c>
      <c r="W92" s="3">
        <f t="shared" si="113"/>
        <v>-26785.714285714286</v>
      </c>
      <c r="X92" s="3">
        <f t="shared" si="113"/>
        <v>-26785.714285714286</v>
      </c>
      <c r="Y92" s="3">
        <f t="shared" si="113"/>
        <v>-26785.714285714286</v>
      </c>
      <c r="Z92" s="3">
        <f t="shared" si="113"/>
        <v>-26785.714285714286</v>
      </c>
      <c r="AA92" s="3">
        <f t="shared" si="113"/>
        <v>-26785.714285714286</v>
      </c>
      <c r="AB92" s="3">
        <f t="shared" si="113"/>
        <v>-26785.714285714286</v>
      </c>
      <c r="AC92" s="3">
        <f t="shared" si="113"/>
        <v>-26785.714285714286</v>
      </c>
      <c r="AD92" s="3">
        <f t="shared" si="113"/>
        <v>-26785.714285714286</v>
      </c>
      <c r="AE92" s="3">
        <f t="shared" si="113"/>
        <v>-26785.714285714286</v>
      </c>
      <c r="AF92" s="3">
        <f t="shared" si="113"/>
        <v>-26785.714285714286</v>
      </c>
      <c r="AG92" s="3">
        <f t="shared" si="113"/>
        <v>-26785.714285714286</v>
      </c>
      <c r="AH92" s="3">
        <f t="shared" si="113"/>
        <v>-26785.714285714286</v>
      </c>
      <c r="AI92" s="3">
        <f t="shared" si="113"/>
        <v>-26785.714285714286</v>
      </c>
      <c r="AJ92" s="3">
        <f t="shared" si="113"/>
        <v>-26785.714285714286</v>
      </c>
      <c r="AK92" s="3">
        <f t="shared" si="113"/>
        <v>-26785.714285714286</v>
      </c>
      <c r="AL92" s="3">
        <f t="shared" si="113"/>
        <v>-26785.714285714286</v>
      </c>
      <c r="AM92" s="3">
        <f t="shared" si="113"/>
        <v>-26785.714285714286</v>
      </c>
      <c r="AN92" s="3">
        <f t="shared" si="113"/>
        <v>-26785.714285714286</v>
      </c>
      <c r="AO92" s="3">
        <f t="shared" si="113"/>
        <v>-26785.714285714286</v>
      </c>
      <c r="AP92" s="3">
        <f t="shared" ref="AP92:DA92" si="114">-MIN(SUM(AP88:AP91),AP99)</f>
        <v>-26785.714285714286</v>
      </c>
      <c r="AQ92" s="3">
        <f t="shared" si="114"/>
        <v>-26785.714285714286</v>
      </c>
      <c r="AR92" s="3">
        <f t="shared" si="114"/>
        <v>-26785.714285714286</v>
      </c>
      <c r="AS92" s="3">
        <f t="shared" si="114"/>
        <v>-26785.714285714286</v>
      </c>
      <c r="AT92" s="3">
        <f t="shared" si="114"/>
        <v>-26785.714285714286</v>
      </c>
      <c r="AU92" s="3">
        <f t="shared" si="114"/>
        <v>-26785.714285714286</v>
      </c>
      <c r="AV92" s="3">
        <f t="shared" si="114"/>
        <v>-26785.714285714286</v>
      </c>
      <c r="AW92" s="3">
        <f t="shared" si="114"/>
        <v>-26785.714285714286</v>
      </c>
      <c r="AX92" s="3">
        <f t="shared" si="114"/>
        <v>-26785.714285714286</v>
      </c>
      <c r="AY92" s="3">
        <f t="shared" si="114"/>
        <v>-26785.714285714286</v>
      </c>
      <c r="AZ92" s="3">
        <f t="shared" si="114"/>
        <v>-26785.714285714286</v>
      </c>
      <c r="BA92" s="3">
        <f t="shared" si="114"/>
        <v>-26785.714285714286</v>
      </c>
      <c r="BB92" s="3">
        <f t="shared" si="114"/>
        <v>-26785.714285714286</v>
      </c>
      <c r="BC92" s="3">
        <f t="shared" si="114"/>
        <v>-26785.714285714286</v>
      </c>
      <c r="BD92" s="3">
        <f t="shared" si="114"/>
        <v>-26785.714285714286</v>
      </c>
      <c r="BE92" s="3">
        <f t="shared" si="114"/>
        <v>-26785.714285714286</v>
      </c>
      <c r="BF92" s="3">
        <f t="shared" si="114"/>
        <v>-26785.714285714286</v>
      </c>
      <c r="BG92" s="3">
        <f t="shared" si="114"/>
        <v>-26785.714285714286</v>
      </c>
      <c r="BH92" s="3">
        <f t="shared" si="114"/>
        <v>-26785.714285714286</v>
      </c>
      <c r="BI92" s="3">
        <f t="shared" si="114"/>
        <v>-26785.714285714286</v>
      </c>
      <c r="BJ92" s="3">
        <f t="shared" si="114"/>
        <v>-26785.714285714286</v>
      </c>
      <c r="BK92" s="3">
        <f t="shared" si="114"/>
        <v>-26785.714285714286</v>
      </c>
      <c r="BL92" s="3">
        <f t="shared" si="114"/>
        <v>-26785.714285714286</v>
      </c>
      <c r="BM92" s="3">
        <f t="shared" si="114"/>
        <v>-26785.714285714286</v>
      </c>
      <c r="BN92" s="3">
        <f t="shared" si="114"/>
        <v>-26785.714285714286</v>
      </c>
      <c r="BO92" s="3">
        <f t="shared" si="114"/>
        <v>-26785.714285714286</v>
      </c>
      <c r="BP92" s="3">
        <f t="shared" si="114"/>
        <v>-26785.714285714286</v>
      </c>
      <c r="BQ92" s="3">
        <f t="shared" si="114"/>
        <v>-26785.714285714286</v>
      </c>
      <c r="BR92" s="3">
        <f t="shared" si="114"/>
        <v>-26785.714285714286</v>
      </c>
      <c r="BS92" s="3">
        <f t="shared" si="114"/>
        <v>-26785.714285714286</v>
      </c>
      <c r="BT92" s="3">
        <f t="shared" si="114"/>
        <v>-26785.714285714286</v>
      </c>
      <c r="BU92" s="3">
        <f t="shared" si="114"/>
        <v>-26785.714285714286</v>
      </c>
      <c r="BV92" s="3">
        <f t="shared" si="114"/>
        <v>-26785.714285714286</v>
      </c>
      <c r="BW92" s="3">
        <f t="shared" si="114"/>
        <v>-26785.714285714286</v>
      </c>
      <c r="BX92" s="3">
        <f t="shared" si="114"/>
        <v>-26785.714285714286</v>
      </c>
      <c r="BY92" s="3">
        <f t="shared" si="114"/>
        <v>-26785.714285714286</v>
      </c>
      <c r="BZ92" s="3">
        <f t="shared" si="114"/>
        <v>-26785.714285714286</v>
      </c>
      <c r="CA92" s="3">
        <f t="shared" si="114"/>
        <v>-26785.714285714286</v>
      </c>
      <c r="CB92" s="3">
        <f t="shared" si="114"/>
        <v>-26785.714285714286</v>
      </c>
      <c r="CC92" s="3">
        <f t="shared" si="114"/>
        <v>-26785.714285714286</v>
      </c>
      <c r="CD92" s="3">
        <f t="shared" si="114"/>
        <v>-26785.714285714286</v>
      </c>
      <c r="CE92" s="3">
        <f t="shared" si="114"/>
        <v>-26785.714285714286</v>
      </c>
      <c r="CF92" s="3">
        <f t="shared" si="114"/>
        <v>-26785.714285714286</v>
      </c>
      <c r="CG92" s="3">
        <f t="shared" si="114"/>
        <v>-26785.714285714286</v>
      </c>
      <c r="CH92" s="3">
        <f t="shared" si="114"/>
        <v>-26785.714285714286</v>
      </c>
      <c r="CI92" s="3">
        <f t="shared" si="114"/>
        <v>-26785.714285714286</v>
      </c>
      <c r="CJ92" s="3">
        <f t="shared" si="114"/>
        <v>-26785.714285714286</v>
      </c>
      <c r="CK92" s="3">
        <f t="shared" si="114"/>
        <v>-26785.714285714286</v>
      </c>
      <c r="CL92" s="3">
        <f t="shared" si="114"/>
        <v>-26785.714285714286</v>
      </c>
      <c r="CM92" s="3">
        <f t="shared" si="114"/>
        <v>-26785.714285714286</v>
      </c>
      <c r="CN92" s="3">
        <f t="shared" si="114"/>
        <v>-26785.714285714286</v>
      </c>
      <c r="CO92" s="3">
        <f t="shared" si="114"/>
        <v>-26785.714285714286</v>
      </c>
      <c r="CP92" s="3">
        <f t="shared" si="114"/>
        <v>-26785.714285714286</v>
      </c>
      <c r="CQ92" s="3">
        <f t="shared" si="114"/>
        <v>-26785.714285714286</v>
      </c>
      <c r="CR92" s="3">
        <f t="shared" si="114"/>
        <v>-26785.714285714286</v>
      </c>
      <c r="CS92" s="3">
        <f t="shared" si="114"/>
        <v>-26785.714285714286</v>
      </c>
      <c r="CT92" s="3">
        <f t="shared" si="114"/>
        <v>-26785.714285714286</v>
      </c>
      <c r="CU92" s="3">
        <f t="shared" si="114"/>
        <v>-26785.714285714286</v>
      </c>
      <c r="CV92" s="3">
        <f t="shared" si="114"/>
        <v>-26785.714285714286</v>
      </c>
      <c r="CW92" s="3">
        <f t="shared" si="114"/>
        <v>-26785.714285714286</v>
      </c>
      <c r="CX92" s="3">
        <f t="shared" si="114"/>
        <v>-26785.714285714286</v>
      </c>
      <c r="CY92" s="3">
        <f t="shared" si="114"/>
        <v>-26785.714285714286</v>
      </c>
      <c r="CZ92" s="3">
        <f t="shared" si="114"/>
        <v>-26785.714285714286</v>
      </c>
      <c r="DA92" s="3">
        <f t="shared" si="114"/>
        <v>-26785.714285714286</v>
      </c>
      <c r="DB92" s="3">
        <f t="shared" ref="DB92:DY92" si="115">-MIN(SUM(DB88:DB91),DB99)</f>
        <v>-26785.714285714286</v>
      </c>
      <c r="DC92" s="3">
        <f t="shared" si="115"/>
        <v>-26785.714285714286</v>
      </c>
      <c r="DD92" s="3">
        <f t="shared" si="115"/>
        <v>-26785.714285714286</v>
      </c>
      <c r="DE92" s="3">
        <f t="shared" si="115"/>
        <v>-26785.714285714286</v>
      </c>
      <c r="DF92" s="3">
        <f t="shared" si="115"/>
        <v>-26785.714285714286</v>
      </c>
      <c r="DG92" s="3">
        <f t="shared" si="115"/>
        <v>-26785.714285714286</v>
      </c>
      <c r="DH92" s="3">
        <f t="shared" si="115"/>
        <v>-26785.714285714286</v>
      </c>
      <c r="DI92" s="3">
        <f t="shared" si="115"/>
        <v>-26785.714285714286</v>
      </c>
      <c r="DJ92" s="3">
        <f t="shared" si="115"/>
        <v>-26785.714285714286</v>
      </c>
      <c r="DK92" s="3">
        <f t="shared" si="115"/>
        <v>-26785.714285714286</v>
      </c>
      <c r="DL92" s="3">
        <f t="shared" si="115"/>
        <v>-26785.714285714286</v>
      </c>
      <c r="DM92" s="3">
        <f t="shared" si="115"/>
        <v>-26785.714285714286</v>
      </c>
      <c r="DN92" s="3">
        <f t="shared" si="115"/>
        <v>-26785.714285714286</v>
      </c>
      <c r="DO92" s="3">
        <f t="shared" si="115"/>
        <v>-26785.714285714286</v>
      </c>
      <c r="DP92" s="3">
        <f t="shared" si="115"/>
        <v>-26785.714285714286</v>
      </c>
      <c r="DQ92" s="3">
        <f t="shared" si="115"/>
        <v>-26785.714285714286</v>
      </c>
      <c r="DR92" s="3">
        <f t="shared" si="115"/>
        <v>0</v>
      </c>
      <c r="DS92" s="3">
        <f t="shared" si="115"/>
        <v>0</v>
      </c>
      <c r="DT92" s="3">
        <f t="shared" si="115"/>
        <v>0</v>
      </c>
      <c r="DU92" s="3">
        <f t="shared" si="115"/>
        <v>0</v>
      </c>
      <c r="DV92" s="3">
        <f t="shared" si="115"/>
        <v>0</v>
      </c>
      <c r="DW92" s="3">
        <f t="shared" si="115"/>
        <v>0</v>
      </c>
      <c r="DX92" s="3">
        <f t="shared" si="115"/>
        <v>0</v>
      </c>
      <c r="DY92" s="3">
        <f t="shared" si="115"/>
        <v>0</v>
      </c>
    </row>
    <row r="93" spans="1:129" ht="13.8">
      <c r="C93" s="30" t="s">
        <v>105</v>
      </c>
      <c r="D93" s="10" t="s">
        <v>0</v>
      </c>
      <c r="G93" s="31">
        <f>SUM(G88:G92)</f>
        <v>5.1222741603851318E-9</v>
      </c>
      <c r="I93" s="32">
        <f t="shared" ref="I93:AN93" si="116">IF(ROUND(SUM(I88:I92),6)=0,0,SUM(I88:I92))</f>
        <v>3000000</v>
      </c>
      <c r="J93" s="32">
        <f t="shared" si="116"/>
        <v>2973214.2857142859</v>
      </c>
      <c r="K93" s="32">
        <f t="shared" si="116"/>
        <v>2946428.5714285718</v>
      </c>
      <c r="L93" s="32">
        <f t="shared" si="116"/>
        <v>2919642.8571428577</v>
      </c>
      <c r="M93" s="32">
        <f t="shared" si="116"/>
        <v>2892857.1428571437</v>
      </c>
      <c r="N93" s="32">
        <f t="shared" si="116"/>
        <v>2866071.4285714296</v>
      </c>
      <c r="O93" s="32">
        <f t="shared" si="116"/>
        <v>2839285.7142857155</v>
      </c>
      <c r="P93" s="32">
        <f t="shared" si="116"/>
        <v>2812500.0000000014</v>
      </c>
      <c r="Q93" s="32">
        <f t="shared" si="116"/>
        <v>2785714.2857142873</v>
      </c>
      <c r="R93" s="32">
        <f t="shared" si="116"/>
        <v>2758928.5714285732</v>
      </c>
      <c r="S93" s="32">
        <f t="shared" si="116"/>
        <v>2732142.8571428591</v>
      </c>
      <c r="T93" s="32">
        <f t="shared" si="116"/>
        <v>2705357.1428571451</v>
      </c>
      <c r="U93" s="32">
        <f t="shared" si="116"/>
        <v>2678571.428571431</v>
      </c>
      <c r="V93" s="32">
        <f t="shared" si="116"/>
        <v>2651785.7142857169</v>
      </c>
      <c r="W93" s="32">
        <f t="shared" si="116"/>
        <v>2625000.0000000028</v>
      </c>
      <c r="X93" s="32">
        <f t="shared" si="116"/>
        <v>2598214.2857142887</v>
      </c>
      <c r="Y93" s="32">
        <f t="shared" si="116"/>
        <v>2571428.5714285746</v>
      </c>
      <c r="Z93" s="32">
        <f t="shared" si="116"/>
        <v>2544642.8571428605</v>
      </c>
      <c r="AA93" s="32">
        <f t="shared" si="116"/>
        <v>2517857.1428571464</v>
      </c>
      <c r="AB93" s="32">
        <f t="shared" si="116"/>
        <v>2491071.4285714324</v>
      </c>
      <c r="AC93" s="32">
        <f t="shared" si="116"/>
        <v>2464285.7142857183</v>
      </c>
      <c r="AD93" s="32">
        <f t="shared" si="116"/>
        <v>2437500.0000000042</v>
      </c>
      <c r="AE93" s="32">
        <f t="shared" si="116"/>
        <v>2410714.2857142901</v>
      </c>
      <c r="AF93" s="32">
        <f t="shared" si="116"/>
        <v>2383928.571428576</v>
      </c>
      <c r="AG93" s="32">
        <f t="shared" si="116"/>
        <v>2357142.8571428619</v>
      </c>
      <c r="AH93" s="32">
        <f t="shared" si="116"/>
        <v>2330357.1428571478</v>
      </c>
      <c r="AI93" s="32">
        <f t="shared" si="116"/>
        <v>2303571.4285714338</v>
      </c>
      <c r="AJ93" s="32">
        <f t="shared" si="116"/>
        <v>2276785.7142857197</v>
      </c>
      <c r="AK93" s="32">
        <f t="shared" si="116"/>
        <v>2250000.0000000056</v>
      </c>
      <c r="AL93" s="32">
        <f t="shared" si="116"/>
        <v>2223214.2857142915</v>
      </c>
      <c r="AM93" s="32">
        <f t="shared" si="116"/>
        <v>2196428.5714285774</v>
      </c>
      <c r="AN93" s="32">
        <f t="shared" si="116"/>
        <v>2169642.8571428633</v>
      </c>
      <c r="AO93" s="32">
        <f t="shared" ref="AO93:CZ93" si="117">IF(ROUND(SUM(AO88:AO92),6)=0,0,SUM(AO88:AO92))</f>
        <v>2142857.1428571492</v>
      </c>
      <c r="AP93" s="32">
        <f t="shared" si="117"/>
        <v>2116071.4285714352</v>
      </c>
      <c r="AQ93" s="32">
        <f t="shared" si="117"/>
        <v>2089285.7142857208</v>
      </c>
      <c r="AR93" s="32">
        <f t="shared" si="117"/>
        <v>2062500.0000000065</v>
      </c>
      <c r="AS93" s="32">
        <f t="shared" si="117"/>
        <v>2035714.285714292</v>
      </c>
      <c r="AT93" s="32">
        <f t="shared" si="117"/>
        <v>2008928.5714285776</v>
      </c>
      <c r="AU93" s="32">
        <f t="shared" si="117"/>
        <v>1982142.8571428633</v>
      </c>
      <c r="AV93" s="32">
        <f t="shared" si="117"/>
        <v>1955357.142857149</v>
      </c>
      <c r="AW93" s="32">
        <f t="shared" si="117"/>
        <v>1928571.4285714347</v>
      </c>
      <c r="AX93" s="32">
        <f t="shared" si="117"/>
        <v>1901785.7142857204</v>
      </c>
      <c r="AY93" s="32">
        <f t="shared" si="117"/>
        <v>1875000.0000000061</v>
      </c>
      <c r="AZ93" s="32">
        <f t="shared" si="117"/>
        <v>1848214.2857142917</v>
      </c>
      <c r="BA93" s="32">
        <f t="shared" si="117"/>
        <v>1821428.5714285774</v>
      </c>
      <c r="BB93" s="32">
        <f t="shared" si="117"/>
        <v>1794642.8571428631</v>
      </c>
      <c r="BC93" s="32">
        <f t="shared" si="117"/>
        <v>1767857.1428571488</v>
      </c>
      <c r="BD93" s="32">
        <f t="shared" si="117"/>
        <v>1741071.4285714345</v>
      </c>
      <c r="BE93" s="32">
        <f t="shared" si="117"/>
        <v>1714285.7142857201</v>
      </c>
      <c r="BF93" s="32">
        <f t="shared" si="117"/>
        <v>1687500.0000000058</v>
      </c>
      <c r="BG93" s="32">
        <f t="shared" si="117"/>
        <v>1660714.2857142917</v>
      </c>
      <c r="BH93" s="32">
        <f t="shared" si="117"/>
        <v>1633928.5714285774</v>
      </c>
      <c r="BI93" s="32">
        <f t="shared" si="117"/>
        <v>1607142.8571428631</v>
      </c>
      <c r="BJ93" s="32">
        <f t="shared" si="117"/>
        <v>1580357.1428571488</v>
      </c>
      <c r="BK93" s="32">
        <f t="shared" si="117"/>
        <v>1553571.4285714345</v>
      </c>
      <c r="BL93" s="32">
        <f t="shared" si="117"/>
        <v>1526785.7142857201</v>
      </c>
      <c r="BM93" s="32">
        <f t="shared" si="117"/>
        <v>1500000.0000000058</v>
      </c>
      <c r="BN93" s="32">
        <f t="shared" si="117"/>
        <v>1473214.2857142915</v>
      </c>
      <c r="BO93" s="32">
        <f t="shared" si="117"/>
        <v>1446428.5714285772</v>
      </c>
      <c r="BP93" s="32">
        <f t="shared" si="117"/>
        <v>1419642.8571428629</v>
      </c>
      <c r="BQ93" s="32">
        <f t="shared" si="117"/>
        <v>1392857.1428571485</v>
      </c>
      <c r="BR93" s="32">
        <f t="shared" si="117"/>
        <v>1366071.4285714342</v>
      </c>
      <c r="BS93" s="32">
        <f t="shared" si="117"/>
        <v>1339285.7142857199</v>
      </c>
      <c r="BT93" s="32">
        <f t="shared" si="117"/>
        <v>1312500.0000000056</v>
      </c>
      <c r="BU93" s="32">
        <f t="shared" si="117"/>
        <v>1285714.2857142913</v>
      </c>
      <c r="BV93" s="32">
        <f t="shared" si="117"/>
        <v>1258928.5714285769</v>
      </c>
      <c r="BW93" s="32">
        <f t="shared" si="117"/>
        <v>1232142.8571428626</v>
      </c>
      <c r="BX93" s="32">
        <f t="shared" si="117"/>
        <v>1205357.1428571483</v>
      </c>
      <c r="BY93" s="32">
        <f t="shared" si="117"/>
        <v>1178571.428571434</v>
      </c>
      <c r="BZ93" s="32">
        <f t="shared" si="117"/>
        <v>1151785.7142857197</v>
      </c>
      <c r="CA93" s="32">
        <f t="shared" si="117"/>
        <v>1125000.0000000054</v>
      </c>
      <c r="CB93" s="32">
        <f t="shared" si="117"/>
        <v>1098214.285714291</v>
      </c>
      <c r="CC93" s="32">
        <f t="shared" si="117"/>
        <v>1071428.5714285767</v>
      </c>
      <c r="CD93" s="32">
        <f t="shared" si="117"/>
        <v>1044642.8571428624</v>
      </c>
      <c r="CE93" s="32">
        <f t="shared" si="117"/>
        <v>1017857.1428571481</v>
      </c>
      <c r="CF93" s="32">
        <f t="shared" si="117"/>
        <v>991071.42857143376</v>
      </c>
      <c r="CG93" s="32">
        <f t="shared" si="117"/>
        <v>964285.71428571944</v>
      </c>
      <c r="CH93" s="32">
        <f t="shared" si="117"/>
        <v>937500.00000000512</v>
      </c>
      <c r="CI93" s="32">
        <f t="shared" si="117"/>
        <v>910714.2857142908</v>
      </c>
      <c r="CJ93" s="32">
        <f t="shared" si="117"/>
        <v>883928.57142857648</v>
      </c>
      <c r="CK93" s="32">
        <f t="shared" si="117"/>
        <v>857142.85714286217</v>
      </c>
      <c r="CL93" s="32">
        <f t="shared" si="117"/>
        <v>830357.14285714785</v>
      </c>
      <c r="CM93" s="32">
        <f t="shared" si="117"/>
        <v>803571.42857143353</v>
      </c>
      <c r="CN93" s="32">
        <f t="shared" si="117"/>
        <v>776785.71428571921</v>
      </c>
      <c r="CO93" s="32">
        <f t="shared" si="117"/>
        <v>750000.00000000489</v>
      </c>
      <c r="CP93" s="32">
        <f t="shared" si="117"/>
        <v>723214.28571429057</v>
      </c>
      <c r="CQ93" s="32">
        <f t="shared" si="117"/>
        <v>696428.57142857625</v>
      </c>
      <c r="CR93" s="32">
        <f t="shared" si="117"/>
        <v>669642.85714286193</v>
      </c>
      <c r="CS93" s="32">
        <f t="shared" si="117"/>
        <v>642857.14285714761</v>
      </c>
      <c r="CT93" s="32">
        <f t="shared" si="117"/>
        <v>616071.42857143329</v>
      </c>
      <c r="CU93" s="32">
        <f t="shared" si="117"/>
        <v>589285.71428571898</v>
      </c>
      <c r="CV93" s="32">
        <f t="shared" si="117"/>
        <v>562500.00000000466</v>
      </c>
      <c r="CW93" s="32">
        <f t="shared" si="117"/>
        <v>535714.28571429034</v>
      </c>
      <c r="CX93" s="32">
        <f t="shared" si="117"/>
        <v>508928.57142857608</v>
      </c>
      <c r="CY93" s="32">
        <f t="shared" si="117"/>
        <v>482142.85714286182</v>
      </c>
      <c r="CZ93" s="32">
        <f t="shared" si="117"/>
        <v>455357.14285714756</v>
      </c>
      <c r="DA93" s="32">
        <f t="shared" ref="DA93:DY93" si="118">IF(ROUND(SUM(DA88:DA92),6)=0,0,SUM(DA88:DA92))</f>
        <v>428571.42857143329</v>
      </c>
      <c r="DB93" s="32">
        <f t="shared" si="118"/>
        <v>401785.71428571903</v>
      </c>
      <c r="DC93" s="32">
        <f t="shared" si="118"/>
        <v>375000.00000000477</v>
      </c>
      <c r="DD93" s="32">
        <f t="shared" si="118"/>
        <v>348214.28571429051</v>
      </c>
      <c r="DE93" s="32">
        <f t="shared" si="118"/>
        <v>321428.57142857625</v>
      </c>
      <c r="DF93" s="32">
        <f t="shared" si="118"/>
        <v>294642.85714286199</v>
      </c>
      <c r="DG93" s="32">
        <f t="shared" si="118"/>
        <v>267857.14285714773</v>
      </c>
      <c r="DH93" s="32">
        <f t="shared" si="118"/>
        <v>241071.42857143344</v>
      </c>
      <c r="DI93" s="32">
        <f t="shared" si="118"/>
        <v>214285.71428571915</v>
      </c>
      <c r="DJ93" s="32">
        <f t="shared" si="118"/>
        <v>187500.00000000486</v>
      </c>
      <c r="DK93" s="32">
        <f t="shared" si="118"/>
        <v>160714.28571429057</v>
      </c>
      <c r="DL93" s="32">
        <f t="shared" si="118"/>
        <v>133928.57142857628</v>
      </c>
      <c r="DM93" s="32">
        <f t="shared" si="118"/>
        <v>107142.85714286199</v>
      </c>
      <c r="DN93" s="32">
        <f t="shared" si="118"/>
        <v>80357.142857147701</v>
      </c>
      <c r="DO93" s="32">
        <f t="shared" si="118"/>
        <v>53571.428571433411</v>
      </c>
      <c r="DP93" s="32">
        <f t="shared" si="118"/>
        <v>26785.714285719125</v>
      </c>
      <c r="DQ93" s="32">
        <f t="shared" si="118"/>
        <v>0</v>
      </c>
      <c r="DR93" s="32">
        <f t="shared" si="118"/>
        <v>0</v>
      </c>
      <c r="DS93" s="32">
        <f t="shared" si="118"/>
        <v>0</v>
      </c>
      <c r="DT93" s="32">
        <f t="shared" si="118"/>
        <v>0</v>
      </c>
      <c r="DU93" s="32">
        <f t="shared" si="118"/>
        <v>0</v>
      </c>
      <c r="DV93" s="32">
        <f t="shared" si="118"/>
        <v>0</v>
      </c>
      <c r="DW93" s="32">
        <f t="shared" si="118"/>
        <v>0</v>
      </c>
      <c r="DX93" s="32">
        <f t="shared" si="118"/>
        <v>0</v>
      </c>
      <c r="DY93" s="32">
        <f t="shared" si="118"/>
        <v>0</v>
      </c>
    </row>
    <row r="94" spans="1:129">
      <c r="D94" s="10"/>
    </row>
    <row r="95" spans="1:129">
      <c r="C95" s="3" t="s">
        <v>114</v>
      </c>
      <c r="D95" s="10" t="s">
        <v>1</v>
      </c>
      <c r="I95" s="3">
        <f>IF(I23,MATCH(I$3,CaseData!$G$42:$K$42,1),0)</f>
        <v>0</v>
      </c>
      <c r="J95" s="3">
        <f>IF(J23,MATCH(J$3,CaseData!$G$42:$K$42,1),0)</f>
        <v>1</v>
      </c>
      <c r="K95" s="3">
        <f>IF(K23,MATCH(K$3,CaseData!$G$42:$K$42,1),0)</f>
        <v>1</v>
      </c>
      <c r="L95" s="3">
        <f>IF(L23,MATCH(L$3,CaseData!$G$42:$K$42,1),0)</f>
        <v>1</v>
      </c>
      <c r="M95" s="3">
        <f>IF(M23,MATCH(M$3,CaseData!$G$42:$K$42,1),0)</f>
        <v>1</v>
      </c>
      <c r="N95" s="3">
        <f>IF(N23,MATCH(N$3,CaseData!$G$42:$K$42,1),0)</f>
        <v>1</v>
      </c>
      <c r="O95" s="3">
        <f>IF(O23,MATCH(O$3,CaseData!$G$42:$K$42,1),0)</f>
        <v>1</v>
      </c>
      <c r="P95" s="3">
        <f>IF(P23,MATCH(P$3,CaseData!$G$42:$K$42,1),0)</f>
        <v>1</v>
      </c>
      <c r="Q95" s="3">
        <f>IF(Q23,MATCH(Q$3,CaseData!$G$42:$K$42,1),0)</f>
        <v>1</v>
      </c>
      <c r="R95" s="3">
        <f>IF(R23,MATCH(R$3,CaseData!$G$42:$K$42,1),0)</f>
        <v>1</v>
      </c>
      <c r="S95" s="3">
        <f>IF(S23,MATCH(S$3,CaseData!$G$42:$K$42,1),0)</f>
        <v>1</v>
      </c>
      <c r="T95" s="3">
        <f>IF(T23,MATCH(T$3,CaseData!$G$42:$K$42,1),0)</f>
        <v>1</v>
      </c>
      <c r="U95" s="3">
        <f>IF(U23,MATCH(U$3,CaseData!$G$42:$K$42,1),0)</f>
        <v>1</v>
      </c>
      <c r="V95" s="3">
        <f>IF(V23,MATCH(V$3,CaseData!$G$42:$K$42,1),0)</f>
        <v>1</v>
      </c>
      <c r="W95" s="3">
        <f>IF(W23,MATCH(W$3,CaseData!$G$42:$K$42,1),0)</f>
        <v>1</v>
      </c>
      <c r="X95" s="3">
        <f>IF(X23,MATCH(X$3,CaseData!$G$42:$K$42,1),0)</f>
        <v>1</v>
      </c>
      <c r="Y95" s="3">
        <f>IF(Y23,MATCH(Y$3,CaseData!$G$42:$K$42,1),0)</f>
        <v>1</v>
      </c>
      <c r="Z95" s="3">
        <f>IF(Z23,MATCH(Z$3,CaseData!$G$42:$K$42,1),0)</f>
        <v>1</v>
      </c>
      <c r="AA95" s="3">
        <f>IF(AA23,MATCH(AA$3,CaseData!$G$42:$K$42,1),0)</f>
        <v>1</v>
      </c>
      <c r="AB95" s="3">
        <f>IF(AB23,MATCH(AB$3,CaseData!$G$42:$K$42,1),0)</f>
        <v>1</v>
      </c>
      <c r="AC95" s="3">
        <f>IF(AC23,MATCH(AC$3,CaseData!$G$42:$K$42,1),0)</f>
        <v>1</v>
      </c>
      <c r="AD95" s="3">
        <f>IF(AD23,MATCH(AD$3,CaseData!$G$42:$K$42,1),0)</f>
        <v>1</v>
      </c>
      <c r="AE95" s="3">
        <f>IF(AE23,MATCH(AE$3,CaseData!$G$42:$K$42,1),0)</f>
        <v>1</v>
      </c>
      <c r="AF95" s="3">
        <f>IF(AF23,MATCH(AF$3,CaseData!$G$42:$K$42,1),0)</f>
        <v>1</v>
      </c>
      <c r="AG95" s="3">
        <f>IF(AG23,MATCH(AG$3,CaseData!$G$42:$K$42,1),0)</f>
        <v>1</v>
      </c>
      <c r="AH95" s="3">
        <f>IF(AH23,MATCH(AH$3,CaseData!$G$42:$K$42,1),0)</f>
        <v>1</v>
      </c>
      <c r="AI95" s="3">
        <f>IF(AI23,MATCH(AI$3,CaseData!$G$42:$K$42,1),0)</f>
        <v>1</v>
      </c>
      <c r="AJ95" s="3">
        <f>IF(AJ23,MATCH(AJ$3,CaseData!$G$42:$K$42,1),0)</f>
        <v>1</v>
      </c>
      <c r="AK95" s="3">
        <f>IF(AK23,MATCH(AK$3,CaseData!$G$42:$K$42,1),0)</f>
        <v>1</v>
      </c>
      <c r="AL95" s="3">
        <f>IF(AL23,MATCH(AL$3,CaseData!$G$42:$K$42,1),0)</f>
        <v>2</v>
      </c>
      <c r="AM95" s="3">
        <f>IF(AM23,MATCH(AM$3,CaseData!$G$42:$K$42,1),0)</f>
        <v>2</v>
      </c>
      <c r="AN95" s="3">
        <f>IF(AN23,MATCH(AN$3,CaseData!$G$42:$K$42,1),0)</f>
        <v>2</v>
      </c>
      <c r="AO95" s="3">
        <f>IF(AO23,MATCH(AO$3,CaseData!$G$42:$K$42,1),0)</f>
        <v>2</v>
      </c>
      <c r="AP95" s="3">
        <f>IF(AP23,MATCH(AP$3,CaseData!$G$42:$K$42,1),0)</f>
        <v>2</v>
      </c>
      <c r="AQ95" s="3">
        <f>IF(AQ23,MATCH(AQ$3,CaseData!$G$42:$K$42,1),0)</f>
        <v>2</v>
      </c>
      <c r="AR95" s="3">
        <f>IF(AR23,MATCH(AR$3,CaseData!$G$42:$K$42,1),0)</f>
        <v>2</v>
      </c>
      <c r="AS95" s="3">
        <f>IF(AS23,MATCH(AS$3,CaseData!$G$42:$K$42,1),0)</f>
        <v>2</v>
      </c>
      <c r="AT95" s="3">
        <f>IF(AT23,MATCH(AT$3,CaseData!$G$42:$K$42,1),0)</f>
        <v>2</v>
      </c>
      <c r="AU95" s="3">
        <f>IF(AU23,MATCH(AU$3,CaseData!$G$42:$K$42,1),0)</f>
        <v>2</v>
      </c>
      <c r="AV95" s="3">
        <f>IF(AV23,MATCH(AV$3,CaseData!$G$42:$K$42,1),0)</f>
        <v>2</v>
      </c>
      <c r="AW95" s="3">
        <f>IF(AW23,MATCH(AW$3,CaseData!$G$42:$K$42,1),0)</f>
        <v>2</v>
      </c>
      <c r="AX95" s="3">
        <f>IF(AX23,MATCH(AX$3,CaseData!$G$42:$K$42,1),0)</f>
        <v>2</v>
      </c>
      <c r="AY95" s="3">
        <f>IF(AY23,MATCH(AY$3,CaseData!$G$42:$K$42,1),0)</f>
        <v>2</v>
      </c>
      <c r="AZ95" s="3">
        <f>IF(AZ23,MATCH(AZ$3,CaseData!$G$42:$K$42,1),0)</f>
        <v>2</v>
      </c>
      <c r="BA95" s="3">
        <f>IF(BA23,MATCH(BA$3,CaseData!$G$42:$K$42,1),0)</f>
        <v>2</v>
      </c>
      <c r="BB95" s="3">
        <f>IF(BB23,MATCH(BB$3,CaseData!$G$42:$K$42,1),0)</f>
        <v>2</v>
      </c>
      <c r="BC95" s="3">
        <f>IF(BC23,MATCH(BC$3,CaseData!$G$42:$K$42,1),0)</f>
        <v>2</v>
      </c>
      <c r="BD95" s="3">
        <f>IF(BD23,MATCH(BD$3,CaseData!$G$42:$K$42,1),0)</f>
        <v>2</v>
      </c>
      <c r="BE95" s="3">
        <f>IF(BE23,MATCH(BE$3,CaseData!$G$42:$K$42,1),0)</f>
        <v>2</v>
      </c>
      <c r="BF95" s="3">
        <f>IF(BF23,MATCH(BF$3,CaseData!$G$42:$K$42,1),0)</f>
        <v>2</v>
      </c>
      <c r="BG95" s="3">
        <f>IF(BG23,MATCH(BG$3,CaseData!$G$42:$K$42,1),0)</f>
        <v>2</v>
      </c>
      <c r="BH95" s="3">
        <f>IF(BH23,MATCH(BH$3,CaseData!$G$42:$K$42,1),0)</f>
        <v>2</v>
      </c>
      <c r="BI95" s="3">
        <f>IF(BI23,MATCH(BI$3,CaseData!$G$42:$K$42,1),0)</f>
        <v>2</v>
      </c>
      <c r="BJ95" s="3">
        <f>IF(BJ23,MATCH(BJ$3,CaseData!$G$42:$K$42,1),0)</f>
        <v>2</v>
      </c>
      <c r="BK95" s="3">
        <f>IF(BK23,MATCH(BK$3,CaseData!$G$42:$K$42,1),0)</f>
        <v>2</v>
      </c>
      <c r="BL95" s="3">
        <f>IF(BL23,MATCH(BL$3,CaseData!$G$42:$K$42,1),0)</f>
        <v>2</v>
      </c>
      <c r="BM95" s="3">
        <f>IF(BM23,MATCH(BM$3,CaseData!$G$42:$K$42,1),0)</f>
        <v>2</v>
      </c>
      <c r="BN95" s="3">
        <f>IF(BN23,MATCH(BN$3,CaseData!$G$42:$K$42,1),0)</f>
        <v>3</v>
      </c>
      <c r="BO95" s="3">
        <f>IF(BO23,MATCH(BO$3,CaseData!$G$42:$K$42,1),0)</f>
        <v>3</v>
      </c>
      <c r="BP95" s="3">
        <f>IF(BP23,MATCH(BP$3,CaseData!$G$42:$K$42,1),0)</f>
        <v>3</v>
      </c>
      <c r="BQ95" s="3">
        <f>IF(BQ23,MATCH(BQ$3,CaseData!$G$42:$K$42,1),0)</f>
        <v>3</v>
      </c>
      <c r="BR95" s="3">
        <f>IF(BR23,MATCH(BR$3,CaseData!$G$42:$K$42,1),0)</f>
        <v>3</v>
      </c>
      <c r="BS95" s="3">
        <f>IF(BS23,MATCH(BS$3,CaseData!$G$42:$K$42,1),0)</f>
        <v>3</v>
      </c>
      <c r="BT95" s="3">
        <f>IF(BT23,MATCH(BT$3,CaseData!$G$42:$K$42,1),0)</f>
        <v>3</v>
      </c>
      <c r="BU95" s="3">
        <f>IF(BU23,MATCH(BU$3,CaseData!$G$42:$K$42,1),0)</f>
        <v>3</v>
      </c>
      <c r="BV95" s="3">
        <f>IF(BV23,MATCH(BV$3,CaseData!$G$42:$K$42,1),0)</f>
        <v>3</v>
      </c>
      <c r="BW95" s="3">
        <f>IF(BW23,MATCH(BW$3,CaseData!$G$42:$K$42,1),0)</f>
        <v>3</v>
      </c>
      <c r="BX95" s="3">
        <f>IF(BX23,MATCH(BX$3,CaseData!$G$42:$K$42,1),0)</f>
        <v>3</v>
      </c>
      <c r="BY95" s="3">
        <f>IF(BY23,MATCH(BY$3,CaseData!$G$42:$K$42,1),0)</f>
        <v>3</v>
      </c>
      <c r="BZ95" s="3">
        <f>IF(BZ23,MATCH(BZ$3,CaseData!$G$42:$K$42,1),0)</f>
        <v>3</v>
      </c>
      <c r="CA95" s="3">
        <f>IF(CA23,MATCH(CA$3,CaseData!$G$42:$K$42,1),0)</f>
        <v>3</v>
      </c>
      <c r="CB95" s="3">
        <f>IF(CB23,MATCH(CB$3,CaseData!$G$42:$K$42,1),0)</f>
        <v>3</v>
      </c>
      <c r="CC95" s="3">
        <f>IF(CC23,MATCH(CC$3,CaseData!$G$42:$K$42,1),0)</f>
        <v>3</v>
      </c>
      <c r="CD95" s="3">
        <f>IF(CD23,MATCH(CD$3,CaseData!$G$42:$K$42,1),0)</f>
        <v>3</v>
      </c>
      <c r="CE95" s="3">
        <f>IF(CE23,MATCH(CE$3,CaseData!$G$42:$K$42,1),0)</f>
        <v>3</v>
      </c>
      <c r="CF95" s="3">
        <f>IF(CF23,MATCH(CF$3,CaseData!$G$42:$K$42,1),0)</f>
        <v>3</v>
      </c>
      <c r="CG95" s="3">
        <f>IF(CG23,MATCH(CG$3,CaseData!$G$42:$K$42,1),0)</f>
        <v>3</v>
      </c>
      <c r="CH95" s="3">
        <f>IF(CH23,MATCH(CH$3,CaseData!$G$42:$K$42,1),0)</f>
        <v>3</v>
      </c>
      <c r="CI95" s="3">
        <f>IF(CI23,MATCH(CI$3,CaseData!$G$42:$K$42,1),0)</f>
        <v>3</v>
      </c>
      <c r="CJ95" s="3">
        <f>IF(CJ23,MATCH(CJ$3,CaseData!$G$42:$K$42,1),0)</f>
        <v>3</v>
      </c>
      <c r="CK95" s="3">
        <f>IF(CK23,MATCH(CK$3,CaseData!$G$42:$K$42,1),0)</f>
        <v>3</v>
      </c>
      <c r="CL95" s="3">
        <f>IF(CL23,MATCH(CL$3,CaseData!$G$42:$K$42,1),0)</f>
        <v>3</v>
      </c>
      <c r="CM95" s="3">
        <f>IF(CM23,MATCH(CM$3,CaseData!$G$42:$K$42,1),0)</f>
        <v>3</v>
      </c>
      <c r="CN95" s="3">
        <f>IF(CN23,MATCH(CN$3,CaseData!$G$42:$K$42,1),0)</f>
        <v>3</v>
      </c>
      <c r="CO95" s="3">
        <f>IF(CO23,MATCH(CO$3,CaseData!$G$42:$K$42,1),0)</f>
        <v>3</v>
      </c>
      <c r="CP95" s="3">
        <f>IF(CP23,MATCH(CP$3,CaseData!$G$42:$K$42,1),0)</f>
        <v>4</v>
      </c>
      <c r="CQ95" s="3">
        <f>IF(CQ23,MATCH(CQ$3,CaseData!$G$42:$K$42,1),0)</f>
        <v>4</v>
      </c>
      <c r="CR95" s="3">
        <f>IF(CR23,MATCH(CR$3,CaseData!$G$42:$K$42,1),0)</f>
        <v>4</v>
      </c>
      <c r="CS95" s="3">
        <f>IF(CS23,MATCH(CS$3,CaseData!$G$42:$K$42,1),0)</f>
        <v>4</v>
      </c>
      <c r="CT95" s="3">
        <f>IF(CT23,MATCH(CT$3,CaseData!$G$42:$K$42,1),0)</f>
        <v>4</v>
      </c>
      <c r="CU95" s="3">
        <f>IF(CU23,MATCH(CU$3,CaseData!$G$42:$K$42,1),0)</f>
        <v>4</v>
      </c>
      <c r="CV95" s="3">
        <f>IF(CV23,MATCH(CV$3,CaseData!$G$42:$K$42,1),0)</f>
        <v>4</v>
      </c>
      <c r="CW95" s="3">
        <f>IF(CW23,MATCH(CW$3,CaseData!$G$42:$K$42,1),0)</f>
        <v>4</v>
      </c>
      <c r="CX95" s="3">
        <f>IF(CX23,MATCH(CX$3,CaseData!$G$42:$K$42,1),0)</f>
        <v>4</v>
      </c>
      <c r="CY95" s="3">
        <f>IF(CY23,MATCH(CY$3,CaseData!$G$42:$K$42,1),0)</f>
        <v>4</v>
      </c>
      <c r="CZ95" s="3">
        <f>IF(CZ23,MATCH(CZ$3,CaseData!$G$42:$K$42,1),0)</f>
        <v>4</v>
      </c>
      <c r="DA95" s="3">
        <f>IF(DA23,MATCH(DA$3,CaseData!$G$42:$K$42,1),0)</f>
        <v>4</v>
      </c>
      <c r="DB95" s="3">
        <f>IF(DB23,MATCH(DB$3,CaseData!$G$42:$K$42,1),0)</f>
        <v>4</v>
      </c>
      <c r="DC95" s="3">
        <f>IF(DC23,MATCH(DC$3,CaseData!$G$42:$K$42,1),0)</f>
        <v>4</v>
      </c>
      <c r="DD95" s="3">
        <f>IF(DD23,MATCH(DD$3,CaseData!$G$42:$K$42,1),0)</f>
        <v>4</v>
      </c>
      <c r="DE95" s="3">
        <f>IF(DE23,MATCH(DE$3,CaseData!$G$42:$K$42,1),0)</f>
        <v>4</v>
      </c>
      <c r="DF95" s="3">
        <f>IF(DF23,MATCH(DF$3,CaseData!$G$42:$K$42,1),0)</f>
        <v>4</v>
      </c>
      <c r="DG95" s="3">
        <f>IF(DG23,MATCH(DG$3,CaseData!$G$42:$K$42,1),0)</f>
        <v>4</v>
      </c>
      <c r="DH95" s="3">
        <f>IF(DH23,MATCH(DH$3,CaseData!$G$42:$K$42,1),0)</f>
        <v>4</v>
      </c>
      <c r="DI95" s="3">
        <f>IF(DI23,MATCH(DI$3,CaseData!$G$42:$K$42,1),0)</f>
        <v>4</v>
      </c>
      <c r="DJ95" s="3">
        <f>IF(DJ23,MATCH(DJ$3,CaseData!$G$42:$K$42,1),0)</f>
        <v>4</v>
      </c>
      <c r="DK95" s="3">
        <f>IF(DK23,MATCH(DK$3,CaseData!$G$42:$K$42,1),0)</f>
        <v>4</v>
      </c>
      <c r="DL95" s="3">
        <f>IF(DL23,MATCH(DL$3,CaseData!$G$42:$K$42,1),0)</f>
        <v>4</v>
      </c>
      <c r="DM95" s="3">
        <f>IF(DM23,MATCH(DM$3,CaseData!$G$42:$K$42,1),0)</f>
        <v>4</v>
      </c>
      <c r="DN95" s="3">
        <f>IF(DN23,MATCH(DN$3,CaseData!$G$42:$K$42,1),0)</f>
        <v>4</v>
      </c>
      <c r="DO95" s="3">
        <f>IF(DO23,MATCH(DO$3,CaseData!$G$42:$K$42,1),0)</f>
        <v>4</v>
      </c>
      <c r="DP95" s="3">
        <f>IF(DP23,MATCH(DP$3,CaseData!$G$42:$K$42,1),0)</f>
        <v>4</v>
      </c>
      <c r="DQ95" s="3">
        <f>IF(DQ23,MATCH(DQ$3,CaseData!$G$42:$K$42,1),0)</f>
        <v>4</v>
      </c>
      <c r="DR95" s="3">
        <f>IF(DR23,MATCH(DR$3,CaseData!$G$42:$K$42,1),0)</f>
        <v>0</v>
      </c>
      <c r="DS95" s="3">
        <f>IF(DS23,MATCH(DS$3,CaseData!$G$42:$K$42,1),0)</f>
        <v>0</v>
      </c>
      <c r="DT95" s="3">
        <f>IF(DT23,MATCH(DT$3,CaseData!$G$42:$K$42,1),0)</f>
        <v>0</v>
      </c>
      <c r="DU95" s="3">
        <f>IF(DU23,MATCH(DU$3,CaseData!$G$42:$K$42,1),0)</f>
        <v>0</v>
      </c>
      <c r="DV95" s="3">
        <f>IF(DV23,MATCH(DV$3,CaseData!$G$42:$K$42,1),0)</f>
        <v>0</v>
      </c>
      <c r="DW95" s="3">
        <f>IF(DW23,MATCH(DW$3,CaseData!$G$42:$K$42,1),0)</f>
        <v>0</v>
      </c>
      <c r="DX95" s="3">
        <f>IF(DX23,MATCH(DX$3,CaseData!$G$42:$K$42,1),0)</f>
        <v>0</v>
      </c>
      <c r="DY95" s="3">
        <f>IF(DY23,MATCH(DY$3,CaseData!$G$42:$K$42,1),0)</f>
        <v>0</v>
      </c>
    </row>
    <row r="96" spans="1:129">
      <c r="C96" s="3" t="s">
        <v>115</v>
      </c>
      <c r="D96" s="10" t="s">
        <v>25</v>
      </c>
      <c r="I96" s="26">
        <f>IF(I95,INDEX(CaseData!$G$44:$J$44,I95),0)</f>
        <v>0</v>
      </c>
      <c r="J96" s="26">
        <f>IF(J95,INDEX(CaseData!$G$44:$J$44,J95),0)</f>
        <v>7.4999999999999997E-2</v>
      </c>
      <c r="K96" s="26">
        <f>IF(K95,INDEX(CaseData!$G$44:$J$44,K95),0)</f>
        <v>7.4999999999999997E-2</v>
      </c>
      <c r="L96" s="26">
        <f>IF(L95,INDEX(CaseData!$G$44:$J$44,L95),0)</f>
        <v>7.4999999999999997E-2</v>
      </c>
      <c r="M96" s="26">
        <f>IF(M95,INDEX(CaseData!$G$44:$J$44,M95),0)</f>
        <v>7.4999999999999997E-2</v>
      </c>
      <c r="N96" s="26">
        <f>IF(N95,INDEX(CaseData!$G$44:$J$44,N95),0)</f>
        <v>7.4999999999999997E-2</v>
      </c>
      <c r="O96" s="26">
        <f>IF(O95,INDEX(CaseData!$G$44:$J$44,O95),0)</f>
        <v>7.4999999999999997E-2</v>
      </c>
      <c r="P96" s="26">
        <f>IF(P95,INDEX(CaseData!$G$44:$J$44,P95),0)</f>
        <v>7.4999999999999997E-2</v>
      </c>
      <c r="Q96" s="26">
        <f>IF(Q95,INDEX(CaseData!$G$44:$J$44,Q95),0)</f>
        <v>7.4999999999999997E-2</v>
      </c>
      <c r="R96" s="26">
        <f>IF(R95,INDEX(CaseData!$G$44:$J$44,R95),0)</f>
        <v>7.4999999999999997E-2</v>
      </c>
      <c r="S96" s="26">
        <f>IF(S95,INDEX(CaseData!$G$44:$J$44,S95),0)</f>
        <v>7.4999999999999997E-2</v>
      </c>
      <c r="T96" s="26">
        <f>IF(T95,INDEX(CaseData!$G$44:$J$44,T95),0)</f>
        <v>7.4999999999999997E-2</v>
      </c>
      <c r="U96" s="26">
        <f>IF(U95,INDEX(CaseData!$G$44:$J$44,U95),0)</f>
        <v>7.4999999999999997E-2</v>
      </c>
      <c r="V96" s="26">
        <f>IF(V95,INDEX(CaseData!$G$44:$J$44,V95),0)</f>
        <v>7.4999999999999997E-2</v>
      </c>
      <c r="W96" s="26">
        <f>IF(W95,INDEX(CaseData!$G$44:$J$44,W95),0)</f>
        <v>7.4999999999999997E-2</v>
      </c>
      <c r="X96" s="26">
        <f>IF(X95,INDEX(CaseData!$G$44:$J$44,X95),0)</f>
        <v>7.4999999999999997E-2</v>
      </c>
      <c r="Y96" s="26">
        <f>IF(Y95,INDEX(CaseData!$G$44:$J$44,Y95),0)</f>
        <v>7.4999999999999997E-2</v>
      </c>
      <c r="Z96" s="26">
        <f>IF(Z95,INDEX(CaseData!$G$44:$J$44,Z95),0)</f>
        <v>7.4999999999999997E-2</v>
      </c>
      <c r="AA96" s="26">
        <f>IF(AA95,INDEX(CaseData!$G$44:$J$44,AA95),0)</f>
        <v>7.4999999999999997E-2</v>
      </c>
      <c r="AB96" s="26">
        <f>IF(AB95,INDEX(CaseData!$G$44:$J$44,AB95),0)</f>
        <v>7.4999999999999997E-2</v>
      </c>
      <c r="AC96" s="26">
        <f>IF(AC95,INDEX(CaseData!$G$44:$J$44,AC95),0)</f>
        <v>7.4999999999999997E-2</v>
      </c>
      <c r="AD96" s="26">
        <f>IF(AD95,INDEX(CaseData!$G$44:$J$44,AD95),0)</f>
        <v>7.4999999999999997E-2</v>
      </c>
      <c r="AE96" s="26">
        <f>IF(AE95,INDEX(CaseData!$G$44:$J$44,AE95),0)</f>
        <v>7.4999999999999997E-2</v>
      </c>
      <c r="AF96" s="26">
        <f>IF(AF95,INDEX(CaseData!$G$44:$J$44,AF95),0)</f>
        <v>7.4999999999999997E-2</v>
      </c>
      <c r="AG96" s="26">
        <f>IF(AG95,INDEX(CaseData!$G$44:$J$44,AG95),0)</f>
        <v>7.4999999999999997E-2</v>
      </c>
      <c r="AH96" s="26">
        <f>IF(AH95,INDEX(CaseData!$G$44:$J$44,AH95),0)</f>
        <v>7.4999999999999997E-2</v>
      </c>
      <c r="AI96" s="26">
        <f>IF(AI95,INDEX(CaseData!$G$44:$J$44,AI95),0)</f>
        <v>7.4999999999999997E-2</v>
      </c>
      <c r="AJ96" s="26">
        <f>IF(AJ95,INDEX(CaseData!$G$44:$J$44,AJ95),0)</f>
        <v>7.4999999999999997E-2</v>
      </c>
      <c r="AK96" s="26">
        <f>IF(AK95,INDEX(CaseData!$G$44:$J$44,AK95),0)</f>
        <v>7.4999999999999997E-2</v>
      </c>
      <c r="AL96" s="26">
        <f>IF(AL95,INDEX(CaseData!$G$44:$J$44,AL95),0)</f>
        <v>0.08</v>
      </c>
      <c r="AM96" s="26">
        <f>IF(AM95,INDEX(CaseData!$G$44:$J$44,AM95),0)</f>
        <v>0.08</v>
      </c>
      <c r="AN96" s="26">
        <f>IF(AN95,INDEX(CaseData!$G$44:$J$44,AN95),0)</f>
        <v>0.08</v>
      </c>
      <c r="AO96" s="26">
        <f>IF(AO95,INDEX(CaseData!$G$44:$J$44,AO95),0)</f>
        <v>0.08</v>
      </c>
      <c r="AP96" s="26">
        <f>IF(AP95,INDEX(CaseData!$G$44:$J$44,AP95),0)</f>
        <v>0.08</v>
      </c>
      <c r="AQ96" s="26">
        <f>IF(AQ95,INDEX(CaseData!$G$44:$J$44,AQ95),0)</f>
        <v>0.08</v>
      </c>
      <c r="AR96" s="26">
        <f>IF(AR95,INDEX(CaseData!$G$44:$J$44,AR95),0)</f>
        <v>0.08</v>
      </c>
      <c r="AS96" s="26">
        <f>IF(AS95,INDEX(CaseData!$G$44:$J$44,AS95),0)</f>
        <v>0.08</v>
      </c>
      <c r="AT96" s="26">
        <f>IF(AT95,INDEX(CaseData!$G$44:$J$44,AT95),0)</f>
        <v>0.08</v>
      </c>
      <c r="AU96" s="26">
        <f>IF(AU95,INDEX(CaseData!$G$44:$J$44,AU95),0)</f>
        <v>0.08</v>
      </c>
      <c r="AV96" s="26">
        <f>IF(AV95,INDEX(CaseData!$G$44:$J$44,AV95),0)</f>
        <v>0.08</v>
      </c>
      <c r="AW96" s="26">
        <f>IF(AW95,INDEX(CaseData!$G$44:$J$44,AW95),0)</f>
        <v>0.08</v>
      </c>
      <c r="AX96" s="26">
        <f>IF(AX95,INDEX(CaseData!$G$44:$J$44,AX95),0)</f>
        <v>0.08</v>
      </c>
      <c r="AY96" s="26">
        <f>IF(AY95,INDEX(CaseData!$G$44:$J$44,AY95),0)</f>
        <v>0.08</v>
      </c>
      <c r="AZ96" s="26">
        <f>IF(AZ95,INDEX(CaseData!$G$44:$J$44,AZ95),0)</f>
        <v>0.08</v>
      </c>
      <c r="BA96" s="26">
        <f>IF(BA95,INDEX(CaseData!$G$44:$J$44,BA95),0)</f>
        <v>0.08</v>
      </c>
      <c r="BB96" s="26">
        <f>IF(BB95,INDEX(CaseData!$G$44:$J$44,BB95),0)</f>
        <v>0.08</v>
      </c>
      <c r="BC96" s="26">
        <f>IF(BC95,INDEX(CaseData!$G$44:$J$44,BC95),0)</f>
        <v>0.08</v>
      </c>
      <c r="BD96" s="26">
        <f>IF(BD95,INDEX(CaseData!$G$44:$J$44,BD95),0)</f>
        <v>0.08</v>
      </c>
      <c r="BE96" s="26">
        <f>IF(BE95,INDEX(CaseData!$G$44:$J$44,BE95),0)</f>
        <v>0.08</v>
      </c>
      <c r="BF96" s="26">
        <f>IF(BF95,INDEX(CaseData!$G$44:$J$44,BF95),0)</f>
        <v>0.08</v>
      </c>
      <c r="BG96" s="26">
        <f>IF(BG95,INDEX(CaseData!$G$44:$J$44,BG95),0)</f>
        <v>0.08</v>
      </c>
      <c r="BH96" s="26">
        <f>IF(BH95,INDEX(CaseData!$G$44:$J$44,BH95),0)</f>
        <v>0.08</v>
      </c>
      <c r="BI96" s="26">
        <f>IF(BI95,INDEX(CaseData!$G$44:$J$44,BI95),0)</f>
        <v>0.08</v>
      </c>
      <c r="BJ96" s="26">
        <f>IF(BJ95,INDEX(CaseData!$G$44:$J$44,BJ95),0)</f>
        <v>0.08</v>
      </c>
      <c r="BK96" s="26">
        <f>IF(BK95,INDEX(CaseData!$G$44:$J$44,BK95),0)</f>
        <v>0.08</v>
      </c>
      <c r="BL96" s="26">
        <f>IF(BL95,INDEX(CaseData!$G$44:$J$44,BL95),0)</f>
        <v>0.08</v>
      </c>
      <c r="BM96" s="26">
        <f>IF(BM95,INDEX(CaseData!$G$44:$J$44,BM95),0)</f>
        <v>0.08</v>
      </c>
      <c r="BN96" s="26">
        <f>IF(BN95,INDEX(CaseData!$G$44:$J$44,BN95),0)</f>
        <v>7.4999999999999997E-2</v>
      </c>
      <c r="BO96" s="26">
        <f>IF(BO95,INDEX(CaseData!$G$44:$J$44,BO95),0)</f>
        <v>7.4999999999999997E-2</v>
      </c>
      <c r="BP96" s="26">
        <f>IF(BP95,INDEX(CaseData!$G$44:$J$44,BP95),0)</f>
        <v>7.4999999999999997E-2</v>
      </c>
      <c r="BQ96" s="26">
        <f>IF(BQ95,INDEX(CaseData!$G$44:$J$44,BQ95),0)</f>
        <v>7.4999999999999997E-2</v>
      </c>
      <c r="BR96" s="26">
        <f>IF(BR95,INDEX(CaseData!$G$44:$J$44,BR95),0)</f>
        <v>7.4999999999999997E-2</v>
      </c>
      <c r="BS96" s="26">
        <f>IF(BS95,INDEX(CaseData!$G$44:$J$44,BS95),0)</f>
        <v>7.4999999999999997E-2</v>
      </c>
      <c r="BT96" s="26">
        <f>IF(BT95,INDEX(CaseData!$G$44:$J$44,BT95),0)</f>
        <v>7.4999999999999997E-2</v>
      </c>
      <c r="BU96" s="26">
        <f>IF(BU95,INDEX(CaseData!$G$44:$J$44,BU95),0)</f>
        <v>7.4999999999999997E-2</v>
      </c>
      <c r="BV96" s="26">
        <f>IF(BV95,INDEX(CaseData!$G$44:$J$44,BV95),0)</f>
        <v>7.4999999999999997E-2</v>
      </c>
      <c r="BW96" s="26">
        <f>IF(BW95,INDEX(CaseData!$G$44:$J$44,BW95),0)</f>
        <v>7.4999999999999997E-2</v>
      </c>
      <c r="BX96" s="26">
        <f>IF(BX95,INDEX(CaseData!$G$44:$J$44,BX95),0)</f>
        <v>7.4999999999999997E-2</v>
      </c>
      <c r="BY96" s="26">
        <f>IF(BY95,INDEX(CaseData!$G$44:$J$44,BY95),0)</f>
        <v>7.4999999999999997E-2</v>
      </c>
      <c r="BZ96" s="26">
        <f>IF(BZ95,INDEX(CaseData!$G$44:$J$44,BZ95),0)</f>
        <v>7.4999999999999997E-2</v>
      </c>
      <c r="CA96" s="26">
        <f>IF(CA95,INDEX(CaseData!$G$44:$J$44,CA95),0)</f>
        <v>7.4999999999999997E-2</v>
      </c>
      <c r="CB96" s="26">
        <f>IF(CB95,INDEX(CaseData!$G$44:$J$44,CB95),0)</f>
        <v>7.4999999999999997E-2</v>
      </c>
      <c r="CC96" s="26">
        <f>IF(CC95,INDEX(CaseData!$G$44:$J$44,CC95),0)</f>
        <v>7.4999999999999997E-2</v>
      </c>
      <c r="CD96" s="26">
        <f>IF(CD95,INDEX(CaseData!$G$44:$J$44,CD95),0)</f>
        <v>7.4999999999999997E-2</v>
      </c>
      <c r="CE96" s="26">
        <f>IF(CE95,INDEX(CaseData!$G$44:$J$44,CE95),0)</f>
        <v>7.4999999999999997E-2</v>
      </c>
      <c r="CF96" s="26">
        <f>IF(CF95,INDEX(CaseData!$G$44:$J$44,CF95),0)</f>
        <v>7.4999999999999997E-2</v>
      </c>
      <c r="CG96" s="26">
        <f>IF(CG95,INDEX(CaseData!$G$44:$J$44,CG95),0)</f>
        <v>7.4999999999999997E-2</v>
      </c>
      <c r="CH96" s="26">
        <f>IF(CH95,INDEX(CaseData!$G$44:$J$44,CH95),0)</f>
        <v>7.4999999999999997E-2</v>
      </c>
      <c r="CI96" s="26">
        <f>IF(CI95,INDEX(CaseData!$G$44:$J$44,CI95),0)</f>
        <v>7.4999999999999997E-2</v>
      </c>
      <c r="CJ96" s="26">
        <f>IF(CJ95,INDEX(CaseData!$G$44:$J$44,CJ95),0)</f>
        <v>7.4999999999999997E-2</v>
      </c>
      <c r="CK96" s="26">
        <f>IF(CK95,INDEX(CaseData!$G$44:$J$44,CK95),0)</f>
        <v>7.4999999999999997E-2</v>
      </c>
      <c r="CL96" s="26">
        <f>IF(CL95,INDEX(CaseData!$G$44:$J$44,CL95),0)</f>
        <v>7.4999999999999997E-2</v>
      </c>
      <c r="CM96" s="26">
        <f>IF(CM95,INDEX(CaseData!$G$44:$J$44,CM95),0)</f>
        <v>7.4999999999999997E-2</v>
      </c>
      <c r="CN96" s="26">
        <f>IF(CN95,INDEX(CaseData!$G$44:$J$44,CN95),0)</f>
        <v>7.4999999999999997E-2</v>
      </c>
      <c r="CO96" s="26">
        <f>IF(CO95,INDEX(CaseData!$G$44:$J$44,CO95),0)</f>
        <v>7.4999999999999997E-2</v>
      </c>
      <c r="CP96" s="26">
        <f>IF(CP95,INDEX(CaseData!$G$44:$J$44,CP95),0)</f>
        <v>0.09</v>
      </c>
      <c r="CQ96" s="26">
        <f>IF(CQ95,INDEX(CaseData!$G$44:$J$44,CQ95),0)</f>
        <v>0.09</v>
      </c>
      <c r="CR96" s="26">
        <f>IF(CR95,INDEX(CaseData!$G$44:$J$44,CR95),0)</f>
        <v>0.09</v>
      </c>
      <c r="CS96" s="26">
        <f>IF(CS95,INDEX(CaseData!$G$44:$J$44,CS95),0)</f>
        <v>0.09</v>
      </c>
      <c r="CT96" s="26">
        <f>IF(CT95,INDEX(CaseData!$G$44:$J$44,CT95),0)</f>
        <v>0.09</v>
      </c>
      <c r="CU96" s="26">
        <f>IF(CU95,INDEX(CaseData!$G$44:$J$44,CU95),0)</f>
        <v>0.09</v>
      </c>
      <c r="CV96" s="26">
        <f>IF(CV95,INDEX(CaseData!$G$44:$J$44,CV95),0)</f>
        <v>0.09</v>
      </c>
      <c r="CW96" s="26">
        <f>IF(CW95,INDEX(CaseData!$G$44:$J$44,CW95),0)</f>
        <v>0.09</v>
      </c>
      <c r="CX96" s="26">
        <f>IF(CX95,INDEX(CaseData!$G$44:$J$44,CX95),0)</f>
        <v>0.09</v>
      </c>
      <c r="CY96" s="26">
        <f>IF(CY95,INDEX(CaseData!$G$44:$J$44,CY95),0)</f>
        <v>0.09</v>
      </c>
      <c r="CZ96" s="26">
        <f>IF(CZ95,INDEX(CaseData!$G$44:$J$44,CZ95),0)</f>
        <v>0.09</v>
      </c>
      <c r="DA96" s="26">
        <f>IF(DA95,INDEX(CaseData!$G$44:$J$44,DA95),0)</f>
        <v>0.09</v>
      </c>
      <c r="DB96" s="26">
        <f>IF(DB95,INDEX(CaseData!$G$44:$J$44,DB95),0)</f>
        <v>0.09</v>
      </c>
      <c r="DC96" s="26">
        <f>IF(DC95,INDEX(CaseData!$G$44:$J$44,DC95),0)</f>
        <v>0.09</v>
      </c>
      <c r="DD96" s="26">
        <f>IF(DD95,INDEX(CaseData!$G$44:$J$44,DD95),0)</f>
        <v>0.09</v>
      </c>
      <c r="DE96" s="26">
        <f>IF(DE95,INDEX(CaseData!$G$44:$J$44,DE95),0)</f>
        <v>0.09</v>
      </c>
      <c r="DF96" s="26">
        <f>IF(DF95,INDEX(CaseData!$G$44:$J$44,DF95),0)</f>
        <v>0.09</v>
      </c>
      <c r="DG96" s="26">
        <f>IF(DG95,INDEX(CaseData!$G$44:$J$44,DG95),0)</f>
        <v>0.09</v>
      </c>
      <c r="DH96" s="26">
        <f>IF(DH95,INDEX(CaseData!$G$44:$J$44,DH95),0)</f>
        <v>0.09</v>
      </c>
      <c r="DI96" s="26">
        <f>IF(DI95,INDEX(CaseData!$G$44:$J$44,DI95),0)</f>
        <v>0.09</v>
      </c>
      <c r="DJ96" s="26">
        <f>IF(DJ95,INDEX(CaseData!$G$44:$J$44,DJ95),0)</f>
        <v>0.09</v>
      </c>
      <c r="DK96" s="26">
        <f>IF(DK95,INDEX(CaseData!$G$44:$J$44,DK95),0)</f>
        <v>0.09</v>
      </c>
      <c r="DL96" s="26">
        <f>IF(DL95,INDEX(CaseData!$G$44:$J$44,DL95),0)</f>
        <v>0.09</v>
      </c>
      <c r="DM96" s="26">
        <f>IF(DM95,INDEX(CaseData!$G$44:$J$44,DM95),0)</f>
        <v>0.09</v>
      </c>
      <c r="DN96" s="26">
        <f>IF(DN95,INDEX(CaseData!$G$44:$J$44,DN95),0)</f>
        <v>0.09</v>
      </c>
      <c r="DO96" s="26">
        <f>IF(DO95,INDEX(CaseData!$G$44:$J$44,DO95),0)</f>
        <v>0.09</v>
      </c>
      <c r="DP96" s="26">
        <f>IF(DP95,INDEX(CaseData!$G$44:$J$44,DP95),0)</f>
        <v>0.09</v>
      </c>
      <c r="DQ96" s="26">
        <f>IF(DQ95,INDEX(CaseData!$G$44:$J$44,DQ95),0)</f>
        <v>0.09</v>
      </c>
      <c r="DR96" s="26">
        <f>IF(DR95,INDEX(CaseData!$G$44:$J$44,DR95),0)</f>
        <v>0</v>
      </c>
      <c r="DS96" s="26">
        <f>IF(DS95,INDEX(CaseData!$G$44:$J$44,DS95),0)</f>
        <v>0</v>
      </c>
      <c r="DT96" s="26">
        <f>IF(DT95,INDEX(CaseData!$G$44:$J$44,DT95),0)</f>
        <v>0</v>
      </c>
      <c r="DU96" s="26">
        <f>IF(DU95,INDEX(CaseData!$G$44:$J$44,DU95),0)</f>
        <v>0</v>
      </c>
      <c r="DV96" s="26">
        <f>IF(DV95,INDEX(CaseData!$G$44:$J$44,DV95),0)</f>
        <v>0</v>
      </c>
      <c r="DW96" s="26">
        <f>IF(DW95,INDEX(CaseData!$G$44:$J$44,DW95),0)</f>
        <v>0</v>
      </c>
      <c r="DX96" s="26">
        <f>IF(DX95,INDEX(CaseData!$G$44:$J$44,DX95),0)</f>
        <v>0</v>
      </c>
      <c r="DY96" s="26">
        <f>IF(DY95,INDEX(CaseData!$G$44:$J$44,DY95),0)</f>
        <v>0</v>
      </c>
    </row>
    <row r="97" spans="1:129" ht="13.8">
      <c r="C97" s="7" t="s">
        <v>106</v>
      </c>
      <c r="D97" s="10" t="s">
        <v>91</v>
      </c>
      <c r="F97" s="40"/>
      <c r="I97" s="26">
        <f t="shared" ref="I97:BT97" si="119">I96/4</f>
        <v>0</v>
      </c>
      <c r="J97" s="26">
        <f t="shared" si="119"/>
        <v>1.8749999999999999E-2</v>
      </c>
      <c r="K97" s="26">
        <f t="shared" si="119"/>
        <v>1.8749999999999999E-2</v>
      </c>
      <c r="L97" s="26">
        <f t="shared" si="119"/>
        <v>1.8749999999999999E-2</v>
      </c>
      <c r="M97" s="26">
        <f t="shared" si="119"/>
        <v>1.8749999999999999E-2</v>
      </c>
      <c r="N97" s="26">
        <f t="shared" si="119"/>
        <v>1.8749999999999999E-2</v>
      </c>
      <c r="O97" s="26">
        <f t="shared" si="119"/>
        <v>1.8749999999999999E-2</v>
      </c>
      <c r="P97" s="26">
        <f t="shared" si="119"/>
        <v>1.8749999999999999E-2</v>
      </c>
      <c r="Q97" s="26">
        <f t="shared" si="119"/>
        <v>1.8749999999999999E-2</v>
      </c>
      <c r="R97" s="26">
        <f t="shared" si="119"/>
        <v>1.8749999999999999E-2</v>
      </c>
      <c r="S97" s="26">
        <f t="shared" si="119"/>
        <v>1.8749999999999999E-2</v>
      </c>
      <c r="T97" s="26">
        <f t="shared" si="119"/>
        <v>1.8749999999999999E-2</v>
      </c>
      <c r="U97" s="26">
        <f t="shared" si="119"/>
        <v>1.8749999999999999E-2</v>
      </c>
      <c r="V97" s="26">
        <f t="shared" si="119"/>
        <v>1.8749999999999999E-2</v>
      </c>
      <c r="W97" s="26">
        <f t="shared" si="119"/>
        <v>1.8749999999999999E-2</v>
      </c>
      <c r="X97" s="26">
        <f t="shared" si="119"/>
        <v>1.8749999999999999E-2</v>
      </c>
      <c r="Y97" s="26">
        <f t="shared" si="119"/>
        <v>1.8749999999999999E-2</v>
      </c>
      <c r="Z97" s="26">
        <f t="shared" si="119"/>
        <v>1.8749999999999999E-2</v>
      </c>
      <c r="AA97" s="26">
        <f t="shared" si="119"/>
        <v>1.8749999999999999E-2</v>
      </c>
      <c r="AB97" s="26">
        <f t="shared" si="119"/>
        <v>1.8749999999999999E-2</v>
      </c>
      <c r="AC97" s="26">
        <f t="shared" si="119"/>
        <v>1.8749999999999999E-2</v>
      </c>
      <c r="AD97" s="26">
        <f t="shared" si="119"/>
        <v>1.8749999999999999E-2</v>
      </c>
      <c r="AE97" s="26">
        <f t="shared" si="119"/>
        <v>1.8749999999999999E-2</v>
      </c>
      <c r="AF97" s="26">
        <f t="shared" si="119"/>
        <v>1.8749999999999999E-2</v>
      </c>
      <c r="AG97" s="26">
        <f t="shared" si="119"/>
        <v>1.8749999999999999E-2</v>
      </c>
      <c r="AH97" s="26">
        <f t="shared" si="119"/>
        <v>1.8749999999999999E-2</v>
      </c>
      <c r="AI97" s="26">
        <f t="shared" si="119"/>
        <v>1.8749999999999999E-2</v>
      </c>
      <c r="AJ97" s="26">
        <f t="shared" si="119"/>
        <v>1.8749999999999999E-2</v>
      </c>
      <c r="AK97" s="26">
        <f t="shared" si="119"/>
        <v>1.8749999999999999E-2</v>
      </c>
      <c r="AL97" s="26">
        <f t="shared" si="119"/>
        <v>0.02</v>
      </c>
      <c r="AM97" s="26">
        <f t="shared" si="119"/>
        <v>0.02</v>
      </c>
      <c r="AN97" s="26">
        <f t="shared" si="119"/>
        <v>0.02</v>
      </c>
      <c r="AO97" s="26">
        <f t="shared" si="119"/>
        <v>0.02</v>
      </c>
      <c r="AP97" s="26">
        <f t="shared" si="119"/>
        <v>0.02</v>
      </c>
      <c r="AQ97" s="26">
        <f t="shared" si="119"/>
        <v>0.02</v>
      </c>
      <c r="AR97" s="26">
        <f t="shared" si="119"/>
        <v>0.02</v>
      </c>
      <c r="AS97" s="26">
        <f t="shared" si="119"/>
        <v>0.02</v>
      </c>
      <c r="AT97" s="26">
        <f t="shared" si="119"/>
        <v>0.02</v>
      </c>
      <c r="AU97" s="26">
        <f t="shared" si="119"/>
        <v>0.02</v>
      </c>
      <c r="AV97" s="26">
        <f t="shared" si="119"/>
        <v>0.02</v>
      </c>
      <c r="AW97" s="26">
        <f t="shared" si="119"/>
        <v>0.02</v>
      </c>
      <c r="AX97" s="26">
        <f t="shared" si="119"/>
        <v>0.02</v>
      </c>
      <c r="AY97" s="26">
        <f t="shared" si="119"/>
        <v>0.02</v>
      </c>
      <c r="AZ97" s="26">
        <f t="shared" si="119"/>
        <v>0.02</v>
      </c>
      <c r="BA97" s="26">
        <f t="shared" si="119"/>
        <v>0.02</v>
      </c>
      <c r="BB97" s="26">
        <f t="shared" si="119"/>
        <v>0.02</v>
      </c>
      <c r="BC97" s="26">
        <f t="shared" si="119"/>
        <v>0.02</v>
      </c>
      <c r="BD97" s="26">
        <f t="shared" si="119"/>
        <v>0.02</v>
      </c>
      <c r="BE97" s="26">
        <f t="shared" si="119"/>
        <v>0.02</v>
      </c>
      <c r="BF97" s="26">
        <f t="shared" si="119"/>
        <v>0.02</v>
      </c>
      <c r="BG97" s="26">
        <f t="shared" si="119"/>
        <v>0.02</v>
      </c>
      <c r="BH97" s="26">
        <f t="shared" si="119"/>
        <v>0.02</v>
      </c>
      <c r="BI97" s="26">
        <f t="shared" si="119"/>
        <v>0.02</v>
      </c>
      <c r="BJ97" s="26">
        <f t="shared" si="119"/>
        <v>0.02</v>
      </c>
      <c r="BK97" s="26">
        <f t="shared" si="119"/>
        <v>0.02</v>
      </c>
      <c r="BL97" s="26">
        <f t="shared" si="119"/>
        <v>0.02</v>
      </c>
      <c r="BM97" s="26">
        <f t="shared" si="119"/>
        <v>0.02</v>
      </c>
      <c r="BN97" s="26">
        <f t="shared" si="119"/>
        <v>1.8749999999999999E-2</v>
      </c>
      <c r="BO97" s="26">
        <f t="shared" si="119"/>
        <v>1.8749999999999999E-2</v>
      </c>
      <c r="BP97" s="26">
        <f t="shared" si="119"/>
        <v>1.8749999999999999E-2</v>
      </c>
      <c r="BQ97" s="26">
        <f t="shared" si="119"/>
        <v>1.8749999999999999E-2</v>
      </c>
      <c r="BR97" s="26">
        <f t="shared" si="119"/>
        <v>1.8749999999999999E-2</v>
      </c>
      <c r="BS97" s="26">
        <f t="shared" si="119"/>
        <v>1.8749999999999999E-2</v>
      </c>
      <c r="BT97" s="26">
        <f t="shared" si="119"/>
        <v>1.8749999999999999E-2</v>
      </c>
      <c r="BU97" s="26">
        <f t="shared" ref="BU97:DY97" si="120">BU96/4</f>
        <v>1.8749999999999999E-2</v>
      </c>
      <c r="BV97" s="26">
        <f t="shared" si="120"/>
        <v>1.8749999999999999E-2</v>
      </c>
      <c r="BW97" s="26">
        <f t="shared" si="120"/>
        <v>1.8749999999999999E-2</v>
      </c>
      <c r="BX97" s="26">
        <f t="shared" si="120"/>
        <v>1.8749999999999999E-2</v>
      </c>
      <c r="BY97" s="26">
        <f t="shared" si="120"/>
        <v>1.8749999999999999E-2</v>
      </c>
      <c r="BZ97" s="26">
        <f t="shared" si="120"/>
        <v>1.8749999999999999E-2</v>
      </c>
      <c r="CA97" s="26">
        <f t="shared" si="120"/>
        <v>1.8749999999999999E-2</v>
      </c>
      <c r="CB97" s="26">
        <f t="shared" si="120"/>
        <v>1.8749999999999999E-2</v>
      </c>
      <c r="CC97" s="26">
        <f t="shared" si="120"/>
        <v>1.8749999999999999E-2</v>
      </c>
      <c r="CD97" s="26">
        <f t="shared" si="120"/>
        <v>1.8749999999999999E-2</v>
      </c>
      <c r="CE97" s="26">
        <f t="shared" si="120"/>
        <v>1.8749999999999999E-2</v>
      </c>
      <c r="CF97" s="26">
        <f t="shared" si="120"/>
        <v>1.8749999999999999E-2</v>
      </c>
      <c r="CG97" s="26">
        <f t="shared" si="120"/>
        <v>1.8749999999999999E-2</v>
      </c>
      <c r="CH97" s="26">
        <f t="shared" si="120"/>
        <v>1.8749999999999999E-2</v>
      </c>
      <c r="CI97" s="26">
        <f t="shared" si="120"/>
        <v>1.8749999999999999E-2</v>
      </c>
      <c r="CJ97" s="26">
        <f t="shared" si="120"/>
        <v>1.8749999999999999E-2</v>
      </c>
      <c r="CK97" s="26">
        <f t="shared" si="120"/>
        <v>1.8749999999999999E-2</v>
      </c>
      <c r="CL97" s="26">
        <f t="shared" si="120"/>
        <v>1.8749999999999999E-2</v>
      </c>
      <c r="CM97" s="26">
        <f t="shared" si="120"/>
        <v>1.8749999999999999E-2</v>
      </c>
      <c r="CN97" s="26">
        <f t="shared" si="120"/>
        <v>1.8749999999999999E-2</v>
      </c>
      <c r="CO97" s="26">
        <f t="shared" si="120"/>
        <v>1.8749999999999999E-2</v>
      </c>
      <c r="CP97" s="26">
        <f t="shared" si="120"/>
        <v>2.2499999999999999E-2</v>
      </c>
      <c r="CQ97" s="26">
        <f t="shared" si="120"/>
        <v>2.2499999999999999E-2</v>
      </c>
      <c r="CR97" s="26">
        <f t="shared" si="120"/>
        <v>2.2499999999999999E-2</v>
      </c>
      <c r="CS97" s="26">
        <f t="shared" si="120"/>
        <v>2.2499999999999999E-2</v>
      </c>
      <c r="CT97" s="26">
        <f t="shared" si="120"/>
        <v>2.2499999999999999E-2</v>
      </c>
      <c r="CU97" s="26">
        <f t="shared" si="120"/>
        <v>2.2499999999999999E-2</v>
      </c>
      <c r="CV97" s="26">
        <f t="shared" si="120"/>
        <v>2.2499999999999999E-2</v>
      </c>
      <c r="CW97" s="26">
        <f t="shared" si="120"/>
        <v>2.2499999999999999E-2</v>
      </c>
      <c r="CX97" s="26">
        <f t="shared" si="120"/>
        <v>2.2499999999999999E-2</v>
      </c>
      <c r="CY97" s="26">
        <f t="shared" si="120"/>
        <v>2.2499999999999999E-2</v>
      </c>
      <c r="CZ97" s="26">
        <f t="shared" si="120"/>
        <v>2.2499999999999999E-2</v>
      </c>
      <c r="DA97" s="26">
        <f t="shared" si="120"/>
        <v>2.2499999999999999E-2</v>
      </c>
      <c r="DB97" s="26">
        <f t="shared" si="120"/>
        <v>2.2499999999999999E-2</v>
      </c>
      <c r="DC97" s="26">
        <f t="shared" si="120"/>
        <v>2.2499999999999999E-2</v>
      </c>
      <c r="DD97" s="26">
        <f t="shared" si="120"/>
        <v>2.2499999999999999E-2</v>
      </c>
      <c r="DE97" s="26">
        <f t="shared" si="120"/>
        <v>2.2499999999999999E-2</v>
      </c>
      <c r="DF97" s="26">
        <f t="shared" si="120"/>
        <v>2.2499999999999999E-2</v>
      </c>
      <c r="DG97" s="26">
        <f t="shared" si="120"/>
        <v>2.2499999999999999E-2</v>
      </c>
      <c r="DH97" s="26">
        <f t="shared" si="120"/>
        <v>2.2499999999999999E-2</v>
      </c>
      <c r="DI97" s="26">
        <f t="shared" si="120"/>
        <v>2.2499999999999999E-2</v>
      </c>
      <c r="DJ97" s="26">
        <f t="shared" si="120"/>
        <v>2.2499999999999999E-2</v>
      </c>
      <c r="DK97" s="26">
        <f t="shared" si="120"/>
        <v>2.2499999999999999E-2</v>
      </c>
      <c r="DL97" s="26">
        <f t="shared" si="120"/>
        <v>2.2499999999999999E-2</v>
      </c>
      <c r="DM97" s="26">
        <f t="shared" si="120"/>
        <v>2.2499999999999999E-2</v>
      </c>
      <c r="DN97" s="26">
        <f t="shared" si="120"/>
        <v>2.2499999999999999E-2</v>
      </c>
      <c r="DO97" s="26">
        <f t="shared" si="120"/>
        <v>2.2499999999999999E-2</v>
      </c>
      <c r="DP97" s="26">
        <f t="shared" si="120"/>
        <v>2.2499999999999999E-2</v>
      </c>
      <c r="DQ97" s="26">
        <f t="shared" si="120"/>
        <v>2.2499999999999999E-2</v>
      </c>
      <c r="DR97" s="26">
        <f t="shared" si="120"/>
        <v>0</v>
      </c>
      <c r="DS97" s="26">
        <f t="shared" si="120"/>
        <v>0</v>
      </c>
      <c r="DT97" s="26">
        <f t="shared" si="120"/>
        <v>0</v>
      </c>
      <c r="DU97" s="26">
        <f t="shared" si="120"/>
        <v>0</v>
      </c>
      <c r="DV97" s="26">
        <f t="shared" si="120"/>
        <v>0</v>
      </c>
      <c r="DW97" s="26">
        <f t="shared" si="120"/>
        <v>0</v>
      </c>
      <c r="DX97" s="26">
        <f t="shared" si="120"/>
        <v>0</v>
      </c>
      <c r="DY97" s="26">
        <f t="shared" si="120"/>
        <v>0</v>
      </c>
    </row>
    <row r="98" spans="1:129" ht="13.8">
      <c r="C98" s="7" t="s">
        <v>116</v>
      </c>
      <c r="D98" s="10"/>
      <c r="F98" s="40"/>
      <c r="I98" s="3">
        <f t="shared" ref="I98:BT98" si="121">I97*I88</f>
        <v>0</v>
      </c>
      <c r="J98" s="3">
        <f t="shared" si="121"/>
        <v>56250</v>
      </c>
      <c r="K98" s="3">
        <f t="shared" si="121"/>
        <v>55747.767857142862</v>
      </c>
      <c r="L98" s="3">
        <f t="shared" si="121"/>
        <v>55245.535714285717</v>
      </c>
      <c r="M98" s="3">
        <f t="shared" si="121"/>
        <v>54743.30357142858</v>
      </c>
      <c r="N98" s="3">
        <f t="shared" si="121"/>
        <v>54241.071428571442</v>
      </c>
      <c r="O98" s="3">
        <f t="shared" si="121"/>
        <v>53738.839285714304</v>
      </c>
      <c r="P98" s="3">
        <f t="shared" si="121"/>
        <v>53236.607142857167</v>
      </c>
      <c r="Q98" s="3">
        <f t="shared" si="121"/>
        <v>52734.375000000022</v>
      </c>
      <c r="R98" s="3">
        <f t="shared" si="121"/>
        <v>52232.142857142884</v>
      </c>
      <c r="S98" s="3">
        <f t="shared" si="121"/>
        <v>51729.910714285747</v>
      </c>
      <c r="T98" s="3">
        <f t="shared" si="121"/>
        <v>51227.678571428609</v>
      </c>
      <c r="U98" s="3">
        <f t="shared" si="121"/>
        <v>50725.446428571471</v>
      </c>
      <c r="V98" s="3">
        <f t="shared" si="121"/>
        <v>50223.214285714326</v>
      </c>
      <c r="W98" s="3">
        <f t="shared" si="121"/>
        <v>49720.982142857189</v>
      </c>
      <c r="X98" s="3">
        <f t="shared" si="121"/>
        <v>49218.750000000051</v>
      </c>
      <c r="Y98" s="3">
        <f t="shared" si="121"/>
        <v>48716.517857142913</v>
      </c>
      <c r="Z98" s="3">
        <f t="shared" si="121"/>
        <v>48214.285714285776</v>
      </c>
      <c r="AA98" s="3">
        <f t="shared" si="121"/>
        <v>47712.053571428631</v>
      </c>
      <c r="AB98" s="3">
        <f t="shared" si="121"/>
        <v>47209.821428571493</v>
      </c>
      <c r="AC98" s="3">
        <f t="shared" si="121"/>
        <v>46707.589285714355</v>
      </c>
      <c r="AD98" s="3">
        <f t="shared" si="121"/>
        <v>46205.357142857218</v>
      </c>
      <c r="AE98" s="3">
        <f t="shared" si="121"/>
        <v>45703.12500000008</v>
      </c>
      <c r="AF98" s="3">
        <f t="shared" si="121"/>
        <v>45200.892857142935</v>
      </c>
      <c r="AG98" s="3">
        <f t="shared" si="121"/>
        <v>44698.660714285797</v>
      </c>
      <c r="AH98" s="3">
        <f t="shared" si="121"/>
        <v>44196.42857142866</v>
      </c>
      <c r="AI98" s="3">
        <f t="shared" si="121"/>
        <v>43694.196428571522</v>
      </c>
      <c r="AJ98" s="3">
        <f t="shared" si="121"/>
        <v>43191.964285714384</v>
      </c>
      <c r="AK98" s="3">
        <f t="shared" si="121"/>
        <v>42689.73214285724</v>
      </c>
      <c r="AL98" s="3">
        <f t="shared" si="121"/>
        <v>45000.000000000109</v>
      </c>
      <c r="AM98" s="3">
        <f t="shared" si="121"/>
        <v>44464.285714285834</v>
      </c>
      <c r="AN98" s="3">
        <f t="shared" si="121"/>
        <v>43928.571428571551</v>
      </c>
      <c r="AO98" s="3">
        <f t="shared" si="121"/>
        <v>43392.857142857269</v>
      </c>
      <c r="AP98" s="3">
        <f t="shared" si="121"/>
        <v>42857.142857142986</v>
      </c>
      <c r="AQ98" s="3">
        <f t="shared" si="121"/>
        <v>42321.428571428703</v>
      </c>
      <c r="AR98" s="3">
        <f t="shared" si="121"/>
        <v>41785.714285714421</v>
      </c>
      <c r="AS98" s="3">
        <f t="shared" si="121"/>
        <v>41250.000000000131</v>
      </c>
      <c r="AT98" s="3">
        <f t="shared" si="121"/>
        <v>40714.285714285841</v>
      </c>
      <c r="AU98" s="3">
        <f t="shared" si="121"/>
        <v>40178.571428571551</v>
      </c>
      <c r="AV98" s="3">
        <f t="shared" si="121"/>
        <v>39642.857142857269</v>
      </c>
      <c r="AW98" s="3">
        <f t="shared" si="121"/>
        <v>39107.142857142979</v>
      </c>
      <c r="AX98" s="3">
        <f t="shared" si="121"/>
        <v>38571.428571428696</v>
      </c>
      <c r="AY98" s="3">
        <f t="shared" si="121"/>
        <v>38035.714285714406</v>
      </c>
      <c r="AZ98" s="3">
        <f t="shared" si="121"/>
        <v>37500.000000000124</v>
      </c>
      <c r="BA98" s="3">
        <f t="shared" si="121"/>
        <v>36964.285714285834</v>
      </c>
      <c r="BB98" s="3">
        <f t="shared" si="121"/>
        <v>36428.571428571551</v>
      </c>
      <c r="BC98" s="3">
        <f t="shared" si="121"/>
        <v>35892.857142857261</v>
      </c>
      <c r="BD98" s="3">
        <f t="shared" si="121"/>
        <v>35357.142857142979</v>
      </c>
      <c r="BE98" s="3">
        <f t="shared" si="121"/>
        <v>34821.428571428689</v>
      </c>
      <c r="BF98" s="3">
        <f t="shared" si="121"/>
        <v>34285.714285714406</v>
      </c>
      <c r="BG98" s="3">
        <f t="shared" si="121"/>
        <v>33750.000000000116</v>
      </c>
      <c r="BH98" s="3">
        <f t="shared" si="121"/>
        <v>33214.285714285834</v>
      </c>
      <c r="BI98" s="3">
        <f t="shared" si="121"/>
        <v>32678.571428571548</v>
      </c>
      <c r="BJ98" s="3">
        <f t="shared" si="121"/>
        <v>32142.857142857261</v>
      </c>
      <c r="BK98" s="3">
        <f t="shared" si="121"/>
        <v>31607.142857142975</v>
      </c>
      <c r="BL98" s="3">
        <f t="shared" si="121"/>
        <v>31071.428571428689</v>
      </c>
      <c r="BM98" s="3">
        <f t="shared" si="121"/>
        <v>30535.714285714403</v>
      </c>
      <c r="BN98" s="3">
        <f t="shared" si="121"/>
        <v>28125.000000000109</v>
      </c>
      <c r="BO98" s="3">
        <f t="shared" si="121"/>
        <v>27622.767857142964</v>
      </c>
      <c r="BP98" s="3">
        <f t="shared" si="121"/>
        <v>27120.535714285823</v>
      </c>
      <c r="BQ98" s="3">
        <f t="shared" si="121"/>
        <v>26618.303571428678</v>
      </c>
      <c r="BR98" s="3">
        <f t="shared" si="121"/>
        <v>26116.071428571533</v>
      </c>
      <c r="BS98" s="3">
        <f t="shared" si="121"/>
        <v>25613.839285714392</v>
      </c>
      <c r="BT98" s="3">
        <f t="shared" si="121"/>
        <v>25111.607142857247</v>
      </c>
      <c r="BU98" s="3">
        <f t="shared" ref="BU98:DY98" si="122">BU97*BU88</f>
        <v>24609.375000000106</v>
      </c>
      <c r="BV98" s="3">
        <f t="shared" si="122"/>
        <v>24107.142857142961</v>
      </c>
      <c r="BW98" s="3">
        <f t="shared" si="122"/>
        <v>23604.910714285816</v>
      </c>
      <c r="BX98" s="3">
        <f t="shared" si="122"/>
        <v>23102.678571428674</v>
      </c>
      <c r="BY98" s="3">
        <f t="shared" si="122"/>
        <v>22600.446428571529</v>
      </c>
      <c r="BZ98" s="3">
        <f t="shared" si="122"/>
        <v>22098.214285714388</v>
      </c>
      <c r="CA98" s="3">
        <f t="shared" si="122"/>
        <v>21595.982142857243</v>
      </c>
      <c r="CB98" s="3">
        <f t="shared" si="122"/>
        <v>21093.750000000098</v>
      </c>
      <c r="CC98" s="3">
        <f t="shared" si="122"/>
        <v>20591.517857142957</v>
      </c>
      <c r="CD98" s="3">
        <f t="shared" si="122"/>
        <v>20089.285714285812</v>
      </c>
      <c r="CE98" s="3">
        <f t="shared" si="122"/>
        <v>19587.053571428671</v>
      </c>
      <c r="CF98" s="3">
        <f t="shared" si="122"/>
        <v>19084.821428571526</v>
      </c>
      <c r="CG98" s="3">
        <f t="shared" si="122"/>
        <v>18582.589285714381</v>
      </c>
      <c r="CH98" s="3">
        <f t="shared" si="122"/>
        <v>18080.35714285724</v>
      </c>
      <c r="CI98" s="3">
        <f t="shared" si="122"/>
        <v>17578.125000000095</v>
      </c>
      <c r="CJ98" s="3">
        <f t="shared" si="122"/>
        <v>17075.892857142953</v>
      </c>
      <c r="CK98" s="3">
        <f t="shared" si="122"/>
        <v>16573.660714285808</v>
      </c>
      <c r="CL98" s="3">
        <f t="shared" si="122"/>
        <v>16071.428571428665</v>
      </c>
      <c r="CM98" s="3">
        <f t="shared" si="122"/>
        <v>15569.196428571522</v>
      </c>
      <c r="CN98" s="3">
        <f t="shared" si="122"/>
        <v>15066.964285714377</v>
      </c>
      <c r="CO98" s="3">
        <f t="shared" si="122"/>
        <v>14564.732142857234</v>
      </c>
      <c r="CP98" s="3">
        <f t="shared" si="122"/>
        <v>16875.000000000109</v>
      </c>
      <c r="CQ98" s="3">
        <f t="shared" si="122"/>
        <v>16272.321428571537</v>
      </c>
      <c r="CR98" s="3">
        <f t="shared" si="122"/>
        <v>15669.642857142964</v>
      </c>
      <c r="CS98" s="3">
        <f t="shared" si="122"/>
        <v>15066.964285714394</v>
      </c>
      <c r="CT98" s="3">
        <f t="shared" si="122"/>
        <v>14464.285714285821</v>
      </c>
      <c r="CU98" s="3">
        <f t="shared" si="122"/>
        <v>13861.607142857249</v>
      </c>
      <c r="CV98" s="3">
        <f t="shared" si="122"/>
        <v>13258.928571428676</v>
      </c>
      <c r="CW98" s="3">
        <f t="shared" si="122"/>
        <v>12656.250000000104</v>
      </c>
      <c r="CX98" s="3">
        <f t="shared" si="122"/>
        <v>12053.571428571533</v>
      </c>
      <c r="CY98" s="3">
        <f t="shared" si="122"/>
        <v>11450.892857142961</v>
      </c>
      <c r="CZ98" s="3">
        <f t="shared" si="122"/>
        <v>10848.21428571439</v>
      </c>
      <c r="DA98" s="3">
        <f t="shared" si="122"/>
        <v>10245.535714285819</v>
      </c>
      <c r="DB98" s="3">
        <f t="shared" si="122"/>
        <v>9642.8571428572486</v>
      </c>
      <c r="DC98" s="3">
        <f t="shared" si="122"/>
        <v>9040.178571428678</v>
      </c>
      <c r="DD98" s="3">
        <f t="shared" si="122"/>
        <v>8437.5000000001073</v>
      </c>
      <c r="DE98" s="3">
        <f t="shared" si="122"/>
        <v>7834.8214285715367</v>
      </c>
      <c r="DF98" s="3">
        <f t="shared" si="122"/>
        <v>7232.1428571429651</v>
      </c>
      <c r="DG98" s="3">
        <f t="shared" si="122"/>
        <v>6629.4642857143945</v>
      </c>
      <c r="DH98" s="3">
        <f t="shared" si="122"/>
        <v>6026.7857142858238</v>
      </c>
      <c r="DI98" s="3">
        <f t="shared" si="122"/>
        <v>5424.1071428572523</v>
      </c>
      <c r="DJ98" s="3">
        <f t="shared" si="122"/>
        <v>4821.4285714286807</v>
      </c>
      <c r="DK98" s="3">
        <f t="shared" si="122"/>
        <v>4218.7500000001091</v>
      </c>
      <c r="DL98" s="3">
        <f t="shared" si="122"/>
        <v>3616.0714285715376</v>
      </c>
      <c r="DM98" s="3">
        <f t="shared" si="122"/>
        <v>3013.392857142966</v>
      </c>
      <c r="DN98" s="3">
        <f t="shared" si="122"/>
        <v>2410.7142857143949</v>
      </c>
      <c r="DO98" s="3">
        <f t="shared" si="122"/>
        <v>1808.0357142858231</v>
      </c>
      <c r="DP98" s="3">
        <f t="shared" si="122"/>
        <v>1205.3571428572518</v>
      </c>
      <c r="DQ98" s="3">
        <f t="shared" si="122"/>
        <v>602.67857142868024</v>
      </c>
      <c r="DR98" s="3">
        <f t="shared" si="122"/>
        <v>0</v>
      </c>
      <c r="DS98" s="3">
        <f t="shared" si="122"/>
        <v>0</v>
      </c>
      <c r="DT98" s="3">
        <f t="shared" si="122"/>
        <v>0</v>
      </c>
      <c r="DU98" s="3">
        <f t="shared" si="122"/>
        <v>0</v>
      </c>
      <c r="DV98" s="3">
        <f t="shared" si="122"/>
        <v>0</v>
      </c>
      <c r="DW98" s="3">
        <f t="shared" si="122"/>
        <v>0</v>
      </c>
      <c r="DX98" s="3">
        <f t="shared" si="122"/>
        <v>0</v>
      </c>
      <c r="DY98" s="3">
        <f t="shared" si="122"/>
        <v>0</v>
      </c>
    </row>
    <row r="99" spans="1:129" ht="13.8">
      <c r="C99" s="7" t="s">
        <v>110</v>
      </c>
      <c r="D99" s="10" t="s">
        <v>0</v>
      </c>
      <c r="E99" s="28">
        <f>G23</f>
        <v>112</v>
      </c>
      <c r="F99" s="28">
        <f>F89/E99</f>
        <v>26785.714285714286</v>
      </c>
      <c r="G99" s="23">
        <f>SUM(I99:DY99)</f>
        <v>2999999.9999999949</v>
      </c>
      <c r="I99" s="3">
        <f t="shared" ref="I99:BT99" si="123">$F99*I$23</f>
        <v>0</v>
      </c>
      <c r="J99" s="3">
        <f t="shared" si="123"/>
        <v>26785.714285714286</v>
      </c>
      <c r="K99" s="3">
        <f t="shared" si="123"/>
        <v>26785.714285714286</v>
      </c>
      <c r="L99" s="3">
        <f t="shared" si="123"/>
        <v>26785.714285714286</v>
      </c>
      <c r="M99" s="3">
        <f t="shared" si="123"/>
        <v>26785.714285714286</v>
      </c>
      <c r="N99" s="3">
        <f t="shared" si="123"/>
        <v>26785.714285714286</v>
      </c>
      <c r="O99" s="3">
        <f t="shared" si="123"/>
        <v>26785.714285714286</v>
      </c>
      <c r="P99" s="3">
        <f t="shared" si="123"/>
        <v>26785.714285714286</v>
      </c>
      <c r="Q99" s="3">
        <f t="shared" si="123"/>
        <v>26785.714285714286</v>
      </c>
      <c r="R99" s="3">
        <f t="shared" si="123"/>
        <v>26785.714285714286</v>
      </c>
      <c r="S99" s="3">
        <f t="shared" si="123"/>
        <v>26785.714285714286</v>
      </c>
      <c r="T99" s="3">
        <f t="shared" si="123"/>
        <v>26785.714285714286</v>
      </c>
      <c r="U99" s="3">
        <f t="shared" si="123"/>
        <v>26785.714285714286</v>
      </c>
      <c r="V99" s="3">
        <f t="shared" si="123"/>
        <v>26785.714285714286</v>
      </c>
      <c r="W99" s="3">
        <f t="shared" si="123"/>
        <v>26785.714285714286</v>
      </c>
      <c r="X99" s="3">
        <f t="shared" si="123"/>
        <v>26785.714285714286</v>
      </c>
      <c r="Y99" s="3">
        <f t="shared" si="123"/>
        <v>26785.714285714286</v>
      </c>
      <c r="Z99" s="3">
        <f t="shared" si="123"/>
        <v>26785.714285714286</v>
      </c>
      <c r="AA99" s="3">
        <f t="shared" si="123"/>
        <v>26785.714285714286</v>
      </c>
      <c r="AB99" s="3">
        <f t="shared" si="123"/>
        <v>26785.714285714286</v>
      </c>
      <c r="AC99" s="3">
        <f t="shared" si="123"/>
        <v>26785.714285714286</v>
      </c>
      <c r="AD99" s="3">
        <f t="shared" si="123"/>
        <v>26785.714285714286</v>
      </c>
      <c r="AE99" s="3">
        <f t="shared" si="123"/>
        <v>26785.714285714286</v>
      </c>
      <c r="AF99" s="3">
        <f t="shared" si="123"/>
        <v>26785.714285714286</v>
      </c>
      <c r="AG99" s="3">
        <f t="shared" si="123"/>
        <v>26785.714285714286</v>
      </c>
      <c r="AH99" s="3">
        <f t="shared" si="123"/>
        <v>26785.714285714286</v>
      </c>
      <c r="AI99" s="3">
        <f t="shared" si="123"/>
        <v>26785.714285714286</v>
      </c>
      <c r="AJ99" s="3">
        <f t="shared" si="123"/>
        <v>26785.714285714286</v>
      </c>
      <c r="AK99" s="3">
        <f t="shared" si="123"/>
        <v>26785.714285714286</v>
      </c>
      <c r="AL99" s="3">
        <f t="shared" si="123"/>
        <v>26785.714285714286</v>
      </c>
      <c r="AM99" s="3">
        <f t="shared" si="123"/>
        <v>26785.714285714286</v>
      </c>
      <c r="AN99" s="3">
        <f t="shared" si="123"/>
        <v>26785.714285714286</v>
      </c>
      <c r="AO99" s="3">
        <f t="shared" si="123"/>
        <v>26785.714285714286</v>
      </c>
      <c r="AP99" s="3">
        <f t="shared" si="123"/>
        <v>26785.714285714286</v>
      </c>
      <c r="AQ99" s="3">
        <f t="shared" si="123"/>
        <v>26785.714285714286</v>
      </c>
      <c r="AR99" s="3">
        <f t="shared" si="123"/>
        <v>26785.714285714286</v>
      </c>
      <c r="AS99" s="3">
        <f t="shared" si="123"/>
        <v>26785.714285714286</v>
      </c>
      <c r="AT99" s="3">
        <f t="shared" si="123"/>
        <v>26785.714285714286</v>
      </c>
      <c r="AU99" s="3">
        <f t="shared" si="123"/>
        <v>26785.714285714286</v>
      </c>
      <c r="AV99" s="3">
        <f t="shared" si="123"/>
        <v>26785.714285714286</v>
      </c>
      <c r="AW99" s="3">
        <f t="shared" si="123"/>
        <v>26785.714285714286</v>
      </c>
      <c r="AX99" s="3">
        <f t="shared" si="123"/>
        <v>26785.714285714286</v>
      </c>
      <c r="AY99" s="3">
        <f t="shared" si="123"/>
        <v>26785.714285714286</v>
      </c>
      <c r="AZ99" s="3">
        <f t="shared" si="123"/>
        <v>26785.714285714286</v>
      </c>
      <c r="BA99" s="3">
        <f t="shared" si="123"/>
        <v>26785.714285714286</v>
      </c>
      <c r="BB99" s="3">
        <f t="shared" si="123"/>
        <v>26785.714285714286</v>
      </c>
      <c r="BC99" s="3">
        <f t="shared" si="123"/>
        <v>26785.714285714286</v>
      </c>
      <c r="BD99" s="3">
        <f t="shared" si="123"/>
        <v>26785.714285714286</v>
      </c>
      <c r="BE99" s="3">
        <f t="shared" si="123"/>
        <v>26785.714285714286</v>
      </c>
      <c r="BF99" s="3">
        <f t="shared" si="123"/>
        <v>26785.714285714286</v>
      </c>
      <c r="BG99" s="3">
        <f t="shared" si="123"/>
        <v>26785.714285714286</v>
      </c>
      <c r="BH99" s="3">
        <f t="shared" si="123"/>
        <v>26785.714285714286</v>
      </c>
      <c r="BI99" s="3">
        <f t="shared" si="123"/>
        <v>26785.714285714286</v>
      </c>
      <c r="BJ99" s="3">
        <f t="shared" si="123"/>
        <v>26785.714285714286</v>
      </c>
      <c r="BK99" s="3">
        <f t="shared" si="123"/>
        <v>26785.714285714286</v>
      </c>
      <c r="BL99" s="3">
        <f t="shared" si="123"/>
        <v>26785.714285714286</v>
      </c>
      <c r="BM99" s="3">
        <f t="shared" si="123"/>
        <v>26785.714285714286</v>
      </c>
      <c r="BN99" s="3">
        <f t="shared" si="123"/>
        <v>26785.714285714286</v>
      </c>
      <c r="BO99" s="3">
        <f t="shared" si="123"/>
        <v>26785.714285714286</v>
      </c>
      <c r="BP99" s="3">
        <f t="shared" si="123"/>
        <v>26785.714285714286</v>
      </c>
      <c r="BQ99" s="3">
        <f t="shared" si="123"/>
        <v>26785.714285714286</v>
      </c>
      <c r="BR99" s="3">
        <f t="shared" si="123"/>
        <v>26785.714285714286</v>
      </c>
      <c r="BS99" s="3">
        <f t="shared" si="123"/>
        <v>26785.714285714286</v>
      </c>
      <c r="BT99" s="3">
        <f t="shared" si="123"/>
        <v>26785.714285714286</v>
      </c>
      <c r="BU99" s="3">
        <f t="shared" ref="BU99:DY99" si="124">$F99*BU$23</f>
        <v>26785.714285714286</v>
      </c>
      <c r="BV99" s="3">
        <f t="shared" si="124"/>
        <v>26785.714285714286</v>
      </c>
      <c r="BW99" s="3">
        <f t="shared" si="124"/>
        <v>26785.714285714286</v>
      </c>
      <c r="BX99" s="3">
        <f t="shared" si="124"/>
        <v>26785.714285714286</v>
      </c>
      <c r="BY99" s="3">
        <f t="shared" si="124"/>
        <v>26785.714285714286</v>
      </c>
      <c r="BZ99" s="3">
        <f t="shared" si="124"/>
        <v>26785.714285714286</v>
      </c>
      <c r="CA99" s="3">
        <f t="shared" si="124"/>
        <v>26785.714285714286</v>
      </c>
      <c r="CB99" s="3">
        <f t="shared" si="124"/>
        <v>26785.714285714286</v>
      </c>
      <c r="CC99" s="3">
        <f t="shared" si="124"/>
        <v>26785.714285714286</v>
      </c>
      <c r="CD99" s="3">
        <f t="shared" si="124"/>
        <v>26785.714285714286</v>
      </c>
      <c r="CE99" s="3">
        <f t="shared" si="124"/>
        <v>26785.714285714286</v>
      </c>
      <c r="CF99" s="3">
        <f t="shared" si="124"/>
        <v>26785.714285714286</v>
      </c>
      <c r="CG99" s="3">
        <f t="shared" si="124"/>
        <v>26785.714285714286</v>
      </c>
      <c r="CH99" s="3">
        <f t="shared" si="124"/>
        <v>26785.714285714286</v>
      </c>
      <c r="CI99" s="3">
        <f t="shared" si="124"/>
        <v>26785.714285714286</v>
      </c>
      <c r="CJ99" s="3">
        <f t="shared" si="124"/>
        <v>26785.714285714286</v>
      </c>
      <c r="CK99" s="3">
        <f t="shared" si="124"/>
        <v>26785.714285714286</v>
      </c>
      <c r="CL99" s="3">
        <f t="shared" si="124"/>
        <v>26785.714285714286</v>
      </c>
      <c r="CM99" s="3">
        <f t="shared" si="124"/>
        <v>26785.714285714286</v>
      </c>
      <c r="CN99" s="3">
        <f t="shared" si="124"/>
        <v>26785.714285714286</v>
      </c>
      <c r="CO99" s="3">
        <f t="shared" si="124"/>
        <v>26785.714285714286</v>
      </c>
      <c r="CP99" s="3">
        <f t="shared" si="124"/>
        <v>26785.714285714286</v>
      </c>
      <c r="CQ99" s="3">
        <f t="shared" si="124"/>
        <v>26785.714285714286</v>
      </c>
      <c r="CR99" s="3">
        <f t="shared" si="124"/>
        <v>26785.714285714286</v>
      </c>
      <c r="CS99" s="3">
        <f t="shared" si="124"/>
        <v>26785.714285714286</v>
      </c>
      <c r="CT99" s="3">
        <f t="shared" si="124"/>
        <v>26785.714285714286</v>
      </c>
      <c r="CU99" s="3">
        <f t="shared" si="124"/>
        <v>26785.714285714286</v>
      </c>
      <c r="CV99" s="3">
        <f t="shared" si="124"/>
        <v>26785.714285714286</v>
      </c>
      <c r="CW99" s="3">
        <f t="shared" si="124"/>
        <v>26785.714285714286</v>
      </c>
      <c r="CX99" s="3">
        <f t="shared" si="124"/>
        <v>26785.714285714286</v>
      </c>
      <c r="CY99" s="3">
        <f t="shared" si="124"/>
        <v>26785.714285714286</v>
      </c>
      <c r="CZ99" s="3">
        <f t="shared" si="124"/>
        <v>26785.714285714286</v>
      </c>
      <c r="DA99" s="3">
        <f t="shared" si="124"/>
        <v>26785.714285714286</v>
      </c>
      <c r="DB99" s="3">
        <f t="shared" si="124"/>
        <v>26785.714285714286</v>
      </c>
      <c r="DC99" s="3">
        <f t="shared" si="124"/>
        <v>26785.714285714286</v>
      </c>
      <c r="DD99" s="3">
        <f t="shared" si="124"/>
        <v>26785.714285714286</v>
      </c>
      <c r="DE99" s="3">
        <f t="shared" si="124"/>
        <v>26785.714285714286</v>
      </c>
      <c r="DF99" s="3">
        <f t="shared" si="124"/>
        <v>26785.714285714286</v>
      </c>
      <c r="DG99" s="3">
        <f t="shared" si="124"/>
        <v>26785.714285714286</v>
      </c>
      <c r="DH99" s="3">
        <f t="shared" si="124"/>
        <v>26785.714285714286</v>
      </c>
      <c r="DI99" s="3">
        <f t="shared" si="124"/>
        <v>26785.714285714286</v>
      </c>
      <c r="DJ99" s="3">
        <f t="shared" si="124"/>
        <v>26785.714285714286</v>
      </c>
      <c r="DK99" s="3">
        <f t="shared" si="124"/>
        <v>26785.714285714286</v>
      </c>
      <c r="DL99" s="3">
        <f t="shared" si="124"/>
        <v>26785.714285714286</v>
      </c>
      <c r="DM99" s="3">
        <f t="shared" si="124"/>
        <v>26785.714285714286</v>
      </c>
      <c r="DN99" s="3">
        <f t="shared" si="124"/>
        <v>26785.714285714286</v>
      </c>
      <c r="DO99" s="3">
        <f t="shared" si="124"/>
        <v>26785.714285714286</v>
      </c>
      <c r="DP99" s="3">
        <f t="shared" si="124"/>
        <v>26785.714285714286</v>
      </c>
      <c r="DQ99" s="3">
        <f t="shared" si="124"/>
        <v>26785.714285714286</v>
      </c>
      <c r="DR99" s="3">
        <f t="shared" si="124"/>
        <v>0</v>
      </c>
      <c r="DS99" s="3">
        <f t="shared" si="124"/>
        <v>0</v>
      </c>
      <c r="DT99" s="3">
        <f t="shared" si="124"/>
        <v>0</v>
      </c>
      <c r="DU99" s="3">
        <f t="shared" si="124"/>
        <v>0</v>
      </c>
      <c r="DV99" s="3">
        <f t="shared" si="124"/>
        <v>0</v>
      </c>
      <c r="DW99" s="3">
        <f t="shared" si="124"/>
        <v>0</v>
      </c>
      <c r="DX99" s="3">
        <f t="shared" si="124"/>
        <v>0</v>
      </c>
      <c r="DY99" s="3">
        <f t="shared" si="124"/>
        <v>0</v>
      </c>
    </row>
    <row r="100" spans="1:129">
      <c r="D100" s="10"/>
    </row>
    <row r="101" spans="1:129" ht="15.6">
      <c r="A101" s="9" t="s">
        <v>117</v>
      </c>
      <c r="D101" s="10"/>
    </row>
    <row r="102" spans="1:129" ht="13.8">
      <c r="C102" s="7" t="s">
        <v>118</v>
      </c>
      <c r="D102" s="10" t="s">
        <v>0</v>
      </c>
      <c r="F102" s="28">
        <f>CaseData!G49</f>
        <v>5000000</v>
      </c>
      <c r="G102" s="23">
        <f>SUM(I102:DY102)</f>
        <v>-5000000</v>
      </c>
      <c r="I102" s="3">
        <f t="shared" ref="I102:BT102" si="125">-$F102*(I$4=0)</f>
        <v>-5000000</v>
      </c>
      <c r="J102" s="3">
        <f t="shared" si="125"/>
        <v>0</v>
      </c>
      <c r="K102" s="3">
        <f t="shared" si="125"/>
        <v>0</v>
      </c>
      <c r="L102" s="3">
        <f t="shared" si="125"/>
        <v>0</v>
      </c>
      <c r="M102" s="3">
        <f t="shared" si="125"/>
        <v>0</v>
      </c>
      <c r="N102" s="3">
        <f t="shared" si="125"/>
        <v>0</v>
      </c>
      <c r="O102" s="3">
        <f t="shared" si="125"/>
        <v>0</v>
      </c>
      <c r="P102" s="3">
        <f t="shared" si="125"/>
        <v>0</v>
      </c>
      <c r="Q102" s="3">
        <f t="shared" si="125"/>
        <v>0</v>
      </c>
      <c r="R102" s="3">
        <f t="shared" si="125"/>
        <v>0</v>
      </c>
      <c r="S102" s="3">
        <f t="shared" si="125"/>
        <v>0</v>
      </c>
      <c r="T102" s="3">
        <f t="shared" si="125"/>
        <v>0</v>
      </c>
      <c r="U102" s="3">
        <f t="shared" si="125"/>
        <v>0</v>
      </c>
      <c r="V102" s="3">
        <f t="shared" si="125"/>
        <v>0</v>
      </c>
      <c r="W102" s="3">
        <f t="shared" si="125"/>
        <v>0</v>
      </c>
      <c r="X102" s="3">
        <f t="shared" si="125"/>
        <v>0</v>
      </c>
      <c r="Y102" s="3">
        <f t="shared" si="125"/>
        <v>0</v>
      </c>
      <c r="Z102" s="3">
        <f t="shared" si="125"/>
        <v>0</v>
      </c>
      <c r="AA102" s="3">
        <f t="shared" si="125"/>
        <v>0</v>
      </c>
      <c r="AB102" s="3">
        <f t="shared" si="125"/>
        <v>0</v>
      </c>
      <c r="AC102" s="3">
        <f t="shared" si="125"/>
        <v>0</v>
      </c>
      <c r="AD102" s="3">
        <f t="shared" si="125"/>
        <v>0</v>
      </c>
      <c r="AE102" s="3">
        <f t="shared" si="125"/>
        <v>0</v>
      </c>
      <c r="AF102" s="3">
        <f t="shared" si="125"/>
        <v>0</v>
      </c>
      <c r="AG102" s="3">
        <f t="shared" si="125"/>
        <v>0</v>
      </c>
      <c r="AH102" s="3">
        <f t="shared" si="125"/>
        <v>0</v>
      </c>
      <c r="AI102" s="3">
        <f t="shared" si="125"/>
        <v>0</v>
      </c>
      <c r="AJ102" s="3">
        <f t="shared" si="125"/>
        <v>0</v>
      </c>
      <c r="AK102" s="3">
        <f t="shared" si="125"/>
        <v>0</v>
      </c>
      <c r="AL102" s="3">
        <f t="shared" si="125"/>
        <v>0</v>
      </c>
      <c r="AM102" s="3">
        <f t="shared" si="125"/>
        <v>0</v>
      </c>
      <c r="AN102" s="3">
        <f t="shared" si="125"/>
        <v>0</v>
      </c>
      <c r="AO102" s="3">
        <f t="shared" si="125"/>
        <v>0</v>
      </c>
      <c r="AP102" s="3">
        <f t="shared" si="125"/>
        <v>0</v>
      </c>
      <c r="AQ102" s="3">
        <f t="shared" si="125"/>
        <v>0</v>
      </c>
      <c r="AR102" s="3">
        <f t="shared" si="125"/>
        <v>0</v>
      </c>
      <c r="AS102" s="3">
        <f t="shared" si="125"/>
        <v>0</v>
      </c>
      <c r="AT102" s="3">
        <f t="shared" si="125"/>
        <v>0</v>
      </c>
      <c r="AU102" s="3">
        <f t="shared" si="125"/>
        <v>0</v>
      </c>
      <c r="AV102" s="3">
        <f t="shared" si="125"/>
        <v>0</v>
      </c>
      <c r="AW102" s="3">
        <f t="shared" si="125"/>
        <v>0</v>
      </c>
      <c r="AX102" s="3">
        <f t="shared" si="125"/>
        <v>0</v>
      </c>
      <c r="AY102" s="3">
        <f t="shared" si="125"/>
        <v>0</v>
      </c>
      <c r="AZ102" s="3">
        <f t="shared" si="125"/>
        <v>0</v>
      </c>
      <c r="BA102" s="3">
        <f t="shared" si="125"/>
        <v>0</v>
      </c>
      <c r="BB102" s="3">
        <f t="shared" si="125"/>
        <v>0</v>
      </c>
      <c r="BC102" s="3">
        <f t="shared" si="125"/>
        <v>0</v>
      </c>
      <c r="BD102" s="3">
        <f t="shared" si="125"/>
        <v>0</v>
      </c>
      <c r="BE102" s="3">
        <f t="shared" si="125"/>
        <v>0</v>
      </c>
      <c r="BF102" s="3">
        <f t="shared" si="125"/>
        <v>0</v>
      </c>
      <c r="BG102" s="3">
        <f t="shared" si="125"/>
        <v>0</v>
      </c>
      <c r="BH102" s="3">
        <f t="shared" si="125"/>
        <v>0</v>
      </c>
      <c r="BI102" s="3">
        <f t="shared" si="125"/>
        <v>0</v>
      </c>
      <c r="BJ102" s="3">
        <f t="shared" si="125"/>
        <v>0</v>
      </c>
      <c r="BK102" s="3">
        <f t="shared" si="125"/>
        <v>0</v>
      </c>
      <c r="BL102" s="3">
        <f t="shared" si="125"/>
        <v>0</v>
      </c>
      <c r="BM102" s="3">
        <f t="shared" si="125"/>
        <v>0</v>
      </c>
      <c r="BN102" s="3">
        <f t="shared" si="125"/>
        <v>0</v>
      </c>
      <c r="BO102" s="3">
        <f t="shared" si="125"/>
        <v>0</v>
      </c>
      <c r="BP102" s="3">
        <f t="shared" si="125"/>
        <v>0</v>
      </c>
      <c r="BQ102" s="3">
        <f t="shared" si="125"/>
        <v>0</v>
      </c>
      <c r="BR102" s="3">
        <f t="shared" si="125"/>
        <v>0</v>
      </c>
      <c r="BS102" s="3">
        <f t="shared" si="125"/>
        <v>0</v>
      </c>
      <c r="BT102" s="3">
        <f t="shared" si="125"/>
        <v>0</v>
      </c>
      <c r="BU102" s="3">
        <f t="shared" ref="BU102:DY102" si="126">-$F102*(BU$4=0)</f>
        <v>0</v>
      </c>
      <c r="BV102" s="3">
        <f t="shared" si="126"/>
        <v>0</v>
      </c>
      <c r="BW102" s="3">
        <f t="shared" si="126"/>
        <v>0</v>
      </c>
      <c r="BX102" s="3">
        <f t="shared" si="126"/>
        <v>0</v>
      </c>
      <c r="BY102" s="3">
        <f t="shared" si="126"/>
        <v>0</v>
      </c>
      <c r="BZ102" s="3">
        <f t="shared" si="126"/>
        <v>0</v>
      </c>
      <c r="CA102" s="3">
        <f t="shared" si="126"/>
        <v>0</v>
      </c>
      <c r="CB102" s="3">
        <f t="shared" si="126"/>
        <v>0</v>
      </c>
      <c r="CC102" s="3">
        <f t="shared" si="126"/>
        <v>0</v>
      </c>
      <c r="CD102" s="3">
        <f t="shared" si="126"/>
        <v>0</v>
      </c>
      <c r="CE102" s="3">
        <f t="shared" si="126"/>
        <v>0</v>
      </c>
      <c r="CF102" s="3">
        <f t="shared" si="126"/>
        <v>0</v>
      </c>
      <c r="CG102" s="3">
        <f t="shared" si="126"/>
        <v>0</v>
      </c>
      <c r="CH102" s="3">
        <f t="shared" si="126"/>
        <v>0</v>
      </c>
      <c r="CI102" s="3">
        <f t="shared" si="126"/>
        <v>0</v>
      </c>
      <c r="CJ102" s="3">
        <f t="shared" si="126"/>
        <v>0</v>
      </c>
      <c r="CK102" s="3">
        <f t="shared" si="126"/>
        <v>0</v>
      </c>
      <c r="CL102" s="3">
        <f t="shared" si="126"/>
        <v>0</v>
      </c>
      <c r="CM102" s="3">
        <f t="shared" si="126"/>
        <v>0</v>
      </c>
      <c r="CN102" s="3">
        <f t="shared" si="126"/>
        <v>0</v>
      </c>
      <c r="CO102" s="3">
        <f t="shared" si="126"/>
        <v>0</v>
      </c>
      <c r="CP102" s="3">
        <f t="shared" si="126"/>
        <v>0</v>
      </c>
      <c r="CQ102" s="3">
        <f t="shared" si="126"/>
        <v>0</v>
      </c>
      <c r="CR102" s="3">
        <f t="shared" si="126"/>
        <v>0</v>
      </c>
      <c r="CS102" s="3">
        <f t="shared" si="126"/>
        <v>0</v>
      </c>
      <c r="CT102" s="3">
        <f t="shared" si="126"/>
        <v>0</v>
      </c>
      <c r="CU102" s="3">
        <f t="shared" si="126"/>
        <v>0</v>
      </c>
      <c r="CV102" s="3">
        <f t="shared" si="126"/>
        <v>0</v>
      </c>
      <c r="CW102" s="3">
        <f t="shared" si="126"/>
        <v>0</v>
      </c>
      <c r="CX102" s="3">
        <f t="shared" si="126"/>
        <v>0</v>
      </c>
      <c r="CY102" s="3">
        <f t="shared" si="126"/>
        <v>0</v>
      </c>
      <c r="CZ102" s="3">
        <f t="shared" si="126"/>
        <v>0</v>
      </c>
      <c r="DA102" s="3">
        <f t="shared" si="126"/>
        <v>0</v>
      </c>
      <c r="DB102" s="3">
        <f t="shared" si="126"/>
        <v>0</v>
      </c>
      <c r="DC102" s="3">
        <f t="shared" si="126"/>
        <v>0</v>
      </c>
      <c r="DD102" s="3">
        <f t="shared" si="126"/>
        <v>0</v>
      </c>
      <c r="DE102" s="3">
        <f t="shared" si="126"/>
        <v>0</v>
      </c>
      <c r="DF102" s="3">
        <f t="shared" si="126"/>
        <v>0</v>
      </c>
      <c r="DG102" s="3">
        <f t="shared" si="126"/>
        <v>0</v>
      </c>
      <c r="DH102" s="3">
        <f t="shared" si="126"/>
        <v>0</v>
      </c>
      <c r="DI102" s="3">
        <f t="shared" si="126"/>
        <v>0</v>
      </c>
      <c r="DJ102" s="3">
        <f t="shared" si="126"/>
        <v>0</v>
      </c>
      <c r="DK102" s="3">
        <f t="shared" si="126"/>
        <v>0</v>
      </c>
      <c r="DL102" s="3">
        <f t="shared" si="126"/>
        <v>0</v>
      </c>
      <c r="DM102" s="3">
        <f t="shared" si="126"/>
        <v>0</v>
      </c>
      <c r="DN102" s="3">
        <f t="shared" si="126"/>
        <v>0</v>
      </c>
      <c r="DO102" s="3">
        <f t="shared" si="126"/>
        <v>0</v>
      </c>
      <c r="DP102" s="3">
        <f t="shared" si="126"/>
        <v>0</v>
      </c>
      <c r="DQ102" s="3">
        <f t="shared" si="126"/>
        <v>0</v>
      </c>
      <c r="DR102" s="3">
        <f t="shared" si="126"/>
        <v>0</v>
      </c>
      <c r="DS102" s="3">
        <f t="shared" si="126"/>
        <v>0</v>
      </c>
      <c r="DT102" s="3">
        <f t="shared" si="126"/>
        <v>0</v>
      </c>
      <c r="DU102" s="3">
        <f t="shared" si="126"/>
        <v>0</v>
      </c>
      <c r="DV102" s="3">
        <f t="shared" si="126"/>
        <v>0</v>
      </c>
      <c r="DW102" s="3">
        <f t="shared" si="126"/>
        <v>0</v>
      </c>
      <c r="DX102" s="3">
        <f t="shared" si="126"/>
        <v>0</v>
      </c>
      <c r="DY102" s="3">
        <f t="shared" si="126"/>
        <v>0</v>
      </c>
    </row>
    <row r="103" spans="1:129" ht="13.8">
      <c r="C103" s="7" t="s">
        <v>119</v>
      </c>
      <c r="D103" s="10" t="s">
        <v>0</v>
      </c>
      <c r="G103" s="33">
        <f>SUM(I103:DY103)</f>
        <v>51563791.60102912</v>
      </c>
      <c r="I103" s="3">
        <f t="shared" ref="I103:BT103" si="127">0-I46</f>
        <v>0</v>
      </c>
      <c r="J103" s="3">
        <f t="shared" si="127"/>
        <v>91221.498072274233</v>
      </c>
      <c r="K103" s="3">
        <f t="shared" si="127"/>
        <v>91723.730215131363</v>
      </c>
      <c r="L103" s="3">
        <f t="shared" si="127"/>
        <v>92225.962357988523</v>
      </c>
      <c r="M103" s="3">
        <f t="shared" si="127"/>
        <v>92728.194500845653</v>
      </c>
      <c r="N103" s="3">
        <f t="shared" si="127"/>
        <v>93230.426643702784</v>
      </c>
      <c r="O103" s="3">
        <f t="shared" si="127"/>
        <v>93732.658786559958</v>
      </c>
      <c r="P103" s="3">
        <f t="shared" si="127"/>
        <v>94234.890929417103</v>
      </c>
      <c r="Q103" s="3">
        <f t="shared" si="127"/>
        <v>94737.123072274233</v>
      </c>
      <c r="R103" s="3">
        <f t="shared" si="127"/>
        <v>95239.355215131349</v>
      </c>
      <c r="S103" s="3">
        <f t="shared" si="127"/>
        <v>95741.587357988523</v>
      </c>
      <c r="T103" s="3">
        <f t="shared" si="127"/>
        <v>96243.819500845624</v>
      </c>
      <c r="U103" s="3">
        <f t="shared" si="127"/>
        <v>96746.051643702755</v>
      </c>
      <c r="V103" s="3">
        <f t="shared" si="127"/>
        <v>97248.283786559885</v>
      </c>
      <c r="W103" s="3">
        <f t="shared" si="127"/>
        <v>97750.515929417044</v>
      </c>
      <c r="X103" s="3">
        <f t="shared" si="127"/>
        <v>98252.748072274175</v>
      </c>
      <c r="Y103" s="3">
        <f t="shared" si="127"/>
        <v>98754.980215131262</v>
      </c>
      <c r="Z103" s="3">
        <f t="shared" si="127"/>
        <v>99257.212357988465</v>
      </c>
      <c r="AA103" s="3">
        <f t="shared" si="127"/>
        <v>99759.444500845566</v>
      </c>
      <c r="AB103" s="3">
        <f t="shared" si="127"/>
        <v>100261.67664370274</v>
      </c>
      <c r="AC103" s="3">
        <f t="shared" si="127"/>
        <v>763630.76357052894</v>
      </c>
      <c r="AD103" s="3">
        <f t="shared" si="127"/>
        <v>116202.47341724468</v>
      </c>
      <c r="AE103" s="3">
        <f t="shared" si="127"/>
        <v>116704.70556010184</v>
      </c>
      <c r="AF103" s="3">
        <f t="shared" si="127"/>
        <v>117206.937702959</v>
      </c>
      <c r="AG103" s="3">
        <f t="shared" si="127"/>
        <v>117709.16984581613</v>
      </c>
      <c r="AH103" s="3">
        <f t="shared" si="127"/>
        <v>118211.40198867329</v>
      </c>
      <c r="AI103" s="3">
        <f t="shared" si="127"/>
        <v>118713.63413153039</v>
      </c>
      <c r="AJ103" s="3">
        <f t="shared" si="127"/>
        <v>119215.86627438755</v>
      </c>
      <c r="AK103" s="3">
        <f t="shared" si="127"/>
        <v>119718.09841724462</v>
      </c>
      <c r="AL103" s="3">
        <f t="shared" si="127"/>
        <v>117407.83056010181</v>
      </c>
      <c r="AM103" s="3">
        <f t="shared" si="127"/>
        <v>117943.5448458161</v>
      </c>
      <c r="AN103" s="3">
        <f t="shared" si="127"/>
        <v>118479.25913153045</v>
      </c>
      <c r="AO103" s="3">
        <f t="shared" si="127"/>
        <v>119014.97341724465</v>
      </c>
      <c r="AP103" s="3">
        <f t="shared" si="127"/>
        <v>119550.68770295894</v>
      </c>
      <c r="AQ103" s="3">
        <f t="shared" si="127"/>
        <v>120086.40198867329</v>
      </c>
      <c r="AR103" s="3">
        <f t="shared" si="127"/>
        <v>120622.11627438749</v>
      </c>
      <c r="AS103" s="3">
        <f t="shared" si="127"/>
        <v>121157.83056010181</v>
      </c>
      <c r="AT103" s="3">
        <f t="shared" si="127"/>
        <v>121693.54484581613</v>
      </c>
      <c r="AU103" s="3">
        <f t="shared" si="127"/>
        <v>122229.25913153045</v>
      </c>
      <c r="AV103" s="3">
        <f t="shared" si="127"/>
        <v>122764.97341724471</v>
      </c>
      <c r="AW103" s="3">
        <f t="shared" si="127"/>
        <v>744365.16623311862</v>
      </c>
      <c r="AX103" s="3">
        <f t="shared" si="127"/>
        <v>133793.95698055849</v>
      </c>
      <c r="AY103" s="3">
        <f t="shared" si="127"/>
        <v>134329.67126627284</v>
      </c>
      <c r="AZ103" s="3">
        <f t="shared" si="127"/>
        <v>134865.38555198713</v>
      </c>
      <c r="BA103" s="3">
        <f t="shared" si="127"/>
        <v>135401.09983770139</v>
      </c>
      <c r="BB103" s="3">
        <f t="shared" si="127"/>
        <v>135936.81412341565</v>
      </c>
      <c r="BC103" s="3">
        <f t="shared" si="127"/>
        <v>136472.52840912997</v>
      </c>
      <c r="BD103" s="3">
        <f t="shared" si="127"/>
        <v>137008.24269484423</v>
      </c>
      <c r="BE103" s="3">
        <f t="shared" si="127"/>
        <v>137543.95698055855</v>
      </c>
      <c r="BF103" s="3">
        <f t="shared" si="127"/>
        <v>138079.67126627281</v>
      </c>
      <c r="BG103" s="3">
        <f t="shared" si="127"/>
        <v>138615.3855519871</v>
      </c>
      <c r="BH103" s="3">
        <f t="shared" si="127"/>
        <v>139151.09983770142</v>
      </c>
      <c r="BI103" s="3">
        <f t="shared" si="127"/>
        <v>139686.81412341565</v>
      </c>
      <c r="BJ103" s="3">
        <f t="shared" si="127"/>
        <v>140222.52840912991</v>
      </c>
      <c r="BK103" s="3">
        <f t="shared" si="127"/>
        <v>140758.2426948442</v>
      </c>
      <c r="BL103" s="3">
        <f t="shared" si="127"/>
        <v>141293.95698055843</v>
      </c>
      <c r="BM103" s="3">
        <f t="shared" si="127"/>
        <v>141829.67126627272</v>
      </c>
      <c r="BN103" s="3">
        <f t="shared" si="127"/>
        <v>144240.38555198701</v>
      </c>
      <c r="BO103" s="3">
        <f t="shared" si="127"/>
        <v>144742.61769484423</v>
      </c>
      <c r="BP103" s="3">
        <f t="shared" si="127"/>
        <v>145244.84983770136</v>
      </c>
      <c r="BQ103" s="3">
        <f t="shared" si="127"/>
        <v>552140.46740656602</v>
      </c>
      <c r="BR103" s="3">
        <f t="shared" si="127"/>
        <v>171143.20160312823</v>
      </c>
      <c r="BS103" s="3">
        <f t="shared" si="127"/>
        <v>171645.43374598536</v>
      </c>
      <c r="BT103" s="3">
        <f t="shared" si="127"/>
        <v>172147.66588884254</v>
      </c>
      <c r="BU103" s="3">
        <f t="shared" ref="BU103:DY103" si="128">0-BU46</f>
        <v>172649.89803169962</v>
      </c>
      <c r="BV103" s="3">
        <f t="shared" si="128"/>
        <v>173152.13017455678</v>
      </c>
      <c r="BW103" s="3">
        <f t="shared" si="128"/>
        <v>173654.36231741391</v>
      </c>
      <c r="BX103" s="3">
        <f t="shared" si="128"/>
        <v>174156.59446027107</v>
      </c>
      <c r="BY103" s="3">
        <f t="shared" si="128"/>
        <v>174658.82660312825</v>
      </c>
      <c r="BZ103" s="3">
        <f t="shared" si="128"/>
        <v>175161.05874598539</v>
      </c>
      <c r="CA103" s="3">
        <f t="shared" si="128"/>
        <v>175663.29088884252</v>
      </c>
      <c r="CB103" s="3">
        <f t="shared" si="128"/>
        <v>176165.5230316997</v>
      </c>
      <c r="CC103" s="3">
        <f t="shared" si="128"/>
        <v>176667.75517455681</v>
      </c>
      <c r="CD103" s="3">
        <f t="shared" si="128"/>
        <v>177169.98731741394</v>
      </c>
      <c r="CE103" s="3">
        <f t="shared" si="128"/>
        <v>177672.21946027112</v>
      </c>
      <c r="CF103" s="3">
        <f t="shared" si="128"/>
        <v>178174.45160312825</v>
      </c>
      <c r="CG103" s="3">
        <f t="shared" si="128"/>
        <v>178676.68374598541</v>
      </c>
      <c r="CH103" s="3">
        <f t="shared" si="128"/>
        <v>179178.91588884254</v>
      </c>
      <c r="CI103" s="3">
        <f t="shared" si="128"/>
        <v>179681.14803169973</v>
      </c>
      <c r="CJ103" s="3">
        <f t="shared" si="128"/>
        <v>180183.38017455681</v>
      </c>
      <c r="CK103" s="3">
        <f t="shared" si="128"/>
        <v>627438.11148546764</v>
      </c>
      <c r="CL103" s="3">
        <f t="shared" si="128"/>
        <v>206081.73193998361</v>
      </c>
      <c r="CM103" s="3">
        <f t="shared" si="128"/>
        <v>206583.9640828408</v>
      </c>
      <c r="CN103" s="3">
        <f t="shared" si="128"/>
        <v>207086.19622569796</v>
      </c>
      <c r="CO103" s="3">
        <f t="shared" si="128"/>
        <v>207588.42836855512</v>
      </c>
      <c r="CP103" s="3">
        <f t="shared" si="128"/>
        <v>205278.16051141222</v>
      </c>
      <c r="CQ103" s="3">
        <f t="shared" si="128"/>
        <v>205880.83908284083</v>
      </c>
      <c r="CR103" s="3">
        <f t="shared" si="128"/>
        <v>206483.51765426944</v>
      </c>
      <c r="CS103" s="3">
        <f t="shared" si="128"/>
        <v>207086.19622569793</v>
      </c>
      <c r="CT103" s="3">
        <f t="shared" si="128"/>
        <v>207688.87479712657</v>
      </c>
      <c r="CU103" s="3">
        <f t="shared" si="128"/>
        <v>208291.55336855521</v>
      </c>
      <c r="CV103" s="3">
        <f t="shared" si="128"/>
        <v>208894.23193998373</v>
      </c>
      <c r="CW103" s="3">
        <f t="shared" si="128"/>
        <v>209496.91051141225</v>
      </c>
      <c r="CX103" s="3">
        <f t="shared" si="128"/>
        <v>210099.58908284086</v>
      </c>
      <c r="CY103" s="3">
        <f t="shared" si="128"/>
        <v>210702.26765426944</v>
      </c>
      <c r="CZ103" s="3">
        <f t="shared" si="128"/>
        <v>211304.94622569799</v>
      </c>
      <c r="DA103" s="3">
        <f t="shared" si="128"/>
        <v>211907.62479712663</v>
      </c>
      <c r="DB103" s="3">
        <f t="shared" si="128"/>
        <v>212510.30336855521</v>
      </c>
      <c r="DC103" s="3">
        <f t="shared" si="128"/>
        <v>213112.98193998379</v>
      </c>
      <c r="DD103" s="3">
        <f t="shared" si="128"/>
        <v>213715.66051141237</v>
      </c>
      <c r="DE103" s="3">
        <f t="shared" si="128"/>
        <v>214318.33908284092</v>
      </c>
      <c r="DF103" s="3">
        <f t="shared" si="128"/>
        <v>465982.14285714278</v>
      </c>
      <c r="DG103" s="3">
        <f t="shared" si="128"/>
        <v>466584.82142857136</v>
      </c>
      <c r="DH103" s="3">
        <f t="shared" si="128"/>
        <v>467187.49999999994</v>
      </c>
      <c r="DI103" s="3">
        <f t="shared" si="128"/>
        <v>467790.17857142846</v>
      </c>
      <c r="DJ103" s="3">
        <f t="shared" si="128"/>
        <v>468392.85714285704</v>
      </c>
      <c r="DK103" s="3">
        <f t="shared" si="128"/>
        <v>468995.53571428562</v>
      </c>
      <c r="DL103" s="3">
        <f t="shared" si="128"/>
        <v>469598.2142857142</v>
      </c>
      <c r="DM103" s="3">
        <f t="shared" si="128"/>
        <v>470200.89285714278</v>
      </c>
      <c r="DN103" s="3">
        <f t="shared" si="128"/>
        <v>470803.57142857136</v>
      </c>
      <c r="DO103" s="3">
        <f t="shared" si="128"/>
        <v>471406.24999999994</v>
      </c>
      <c r="DP103" s="3">
        <f t="shared" si="128"/>
        <v>472008.92857142846</v>
      </c>
      <c r="DQ103" s="3">
        <f t="shared" si="128"/>
        <v>472611.60714285704</v>
      </c>
      <c r="DR103" s="3">
        <f t="shared" si="128"/>
        <v>500000</v>
      </c>
      <c r="DS103" s="3">
        <f t="shared" si="128"/>
        <v>500000</v>
      </c>
      <c r="DT103" s="3">
        <f t="shared" si="128"/>
        <v>500000</v>
      </c>
      <c r="DU103" s="3">
        <f t="shared" si="128"/>
        <v>500000</v>
      </c>
      <c r="DV103" s="3">
        <f t="shared" si="128"/>
        <v>500000</v>
      </c>
      <c r="DW103" s="3">
        <f t="shared" si="128"/>
        <v>500000</v>
      </c>
      <c r="DX103" s="3">
        <f t="shared" si="128"/>
        <v>500000</v>
      </c>
      <c r="DY103" s="3">
        <f t="shared" si="128"/>
        <v>25500000</v>
      </c>
    </row>
    <row r="104" spans="1:129" ht="13.8">
      <c r="C104" s="30" t="s">
        <v>120</v>
      </c>
      <c r="D104" s="10" t="s">
        <v>0</v>
      </c>
      <c r="G104" s="31">
        <f>SUM(I104:DY104)</f>
        <v>46563791.60102912</v>
      </c>
      <c r="I104" s="32">
        <f t="shared" ref="I104:BT104" si="129">SUM(I102:I103)</f>
        <v>-5000000</v>
      </c>
      <c r="J104" s="32">
        <f t="shared" si="129"/>
        <v>91221.498072274233</v>
      </c>
      <c r="K104" s="32">
        <f t="shared" si="129"/>
        <v>91723.730215131363</v>
      </c>
      <c r="L104" s="32">
        <f t="shared" si="129"/>
        <v>92225.962357988523</v>
      </c>
      <c r="M104" s="32">
        <f t="shared" si="129"/>
        <v>92728.194500845653</v>
      </c>
      <c r="N104" s="32">
        <f t="shared" si="129"/>
        <v>93230.426643702784</v>
      </c>
      <c r="O104" s="32">
        <f t="shared" si="129"/>
        <v>93732.658786559958</v>
      </c>
      <c r="P104" s="32">
        <f t="shared" si="129"/>
        <v>94234.890929417103</v>
      </c>
      <c r="Q104" s="32">
        <f t="shared" si="129"/>
        <v>94737.123072274233</v>
      </c>
      <c r="R104" s="32">
        <f t="shared" si="129"/>
        <v>95239.355215131349</v>
      </c>
      <c r="S104" s="32">
        <f t="shared" si="129"/>
        <v>95741.587357988523</v>
      </c>
      <c r="T104" s="32">
        <f t="shared" si="129"/>
        <v>96243.819500845624</v>
      </c>
      <c r="U104" s="32">
        <f t="shared" si="129"/>
        <v>96746.051643702755</v>
      </c>
      <c r="V104" s="32">
        <f t="shared" si="129"/>
        <v>97248.283786559885</v>
      </c>
      <c r="W104" s="32">
        <f t="shared" si="129"/>
        <v>97750.515929417044</v>
      </c>
      <c r="X104" s="32">
        <f t="shared" si="129"/>
        <v>98252.748072274175</v>
      </c>
      <c r="Y104" s="32">
        <f t="shared" si="129"/>
        <v>98754.980215131262</v>
      </c>
      <c r="Z104" s="32">
        <f t="shared" si="129"/>
        <v>99257.212357988465</v>
      </c>
      <c r="AA104" s="32">
        <f t="shared" si="129"/>
        <v>99759.444500845566</v>
      </c>
      <c r="AB104" s="32">
        <f t="shared" si="129"/>
        <v>100261.67664370274</v>
      </c>
      <c r="AC104" s="32">
        <f t="shared" si="129"/>
        <v>763630.76357052894</v>
      </c>
      <c r="AD104" s="32">
        <f t="shared" si="129"/>
        <v>116202.47341724468</v>
      </c>
      <c r="AE104" s="32">
        <f t="shared" si="129"/>
        <v>116704.70556010184</v>
      </c>
      <c r="AF104" s="32">
        <f t="shared" si="129"/>
        <v>117206.937702959</v>
      </c>
      <c r="AG104" s="32">
        <f t="shared" si="129"/>
        <v>117709.16984581613</v>
      </c>
      <c r="AH104" s="32">
        <f t="shared" si="129"/>
        <v>118211.40198867329</v>
      </c>
      <c r="AI104" s="32">
        <f t="shared" si="129"/>
        <v>118713.63413153039</v>
      </c>
      <c r="AJ104" s="32">
        <f t="shared" si="129"/>
        <v>119215.86627438755</v>
      </c>
      <c r="AK104" s="32">
        <f t="shared" si="129"/>
        <v>119718.09841724462</v>
      </c>
      <c r="AL104" s="32">
        <f t="shared" si="129"/>
        <v>117407.83056010181</v>
      </c>
      <c r="AM104" s="32">
        <f t="shared" si="129"/>
        <v>117943.5448458161</v>
      </c>
      <c r="AN104" s="32">
        <f t="shared" si="129"/>
        <v>118479.25913153045</v>
      </c>
      <c r="AO104" s="32">
        <f t="shared" si="129"/>
        <v>119014.97341724465</v>
      </c>
      <c r="AP104" s="32">
        <f t="shared" si="129"/>
        <v>119550.68770295894</v>
      </c>
      <c r="AQ104" s="32">
        <f t="shared" si="129"/>
        <v>120086.40198867329</v>
      </c>
      <c r="AR104" s="32">
        <f t="shared" si="129"/>
        <v>120622.11627438749</v>
      </c>
      <c r="AS104" s="32">
        <f t="shared" si="129"/>
        <v>121157.83056010181</v>
      </c>
      <c r="AT104" s="32">
        <f t="shared" si="129"/>
        <v>121693.54484581613</v>
      </c>
      <c r="AU104" s="32">
        <f t="shared" si="129"/>
        <v>122229.25913153045</v>
      </c>
      <c r="AV104" s="32">
        <f t="shared" si="129"/>
        <v>122764.97341724471</v>
      </c>
      <c r="AW104" s="32">
        <f t="shared" si="129"/>
        <v>744365.16623311862</v>
      </c>
      <c r="AX104" s="32">
        <f t="shared" si="129"/>
        <v>133793.95698055849</v>
      </c>
      <c r="AY104" s="32">
        <f t="shared" si="129"/>
        <v>134329.67126627284</v>
      </c>
      <c r="AZ104" s="32">
        <f t="shared" si="129"/>
        <v>134865.38555198713</v>
      </c>
      <c r="BA104" s="32">
        <f t="shared" si="129"/>
        <v>135401.09983770139</v>
      </c>
      <c r="BB104" s="32">
        <f t="shared" si="129"/>
        <v>135936.81412341565</v>
      </c>
      <c r="BC104" s="32">
        <f t="shared" si="129"/>
        <v>136472.52840912997</v>
      </c>
      <c r="BD104" s="32">
        <f t="shared" si="129"/>
        <v>137008.24269484423</v>
      </c>
      <c r="BE104" s="32">
        <f t="shared" si="129"/>
        <v>137543.95698055855</v>
      </c>
      <c r="BF104" s="32">
        <f t="shared" si="129"/>
        <v>138079.67126627281</v>
      </c>
      <c r="BG104" s="32">
        <f t="shared" si="129"/>
        <v>138615.3855519871</v>
      </c>
      <c r="BH104" s="32">
        <f t="shared" si="129"/>
        <v>139151.09983770142</v>
      </c>
      <c r="BI104" s="32">
        <f t="shared" si="129"/>
        <v>139686.81412341565</v>
      </c>
      <c r="BJ104" s="32">
        <f t="shared" si="129"/>
        <v>140222.52840912991</v>
      </c>
      <c r="BK104" s="32">
        <f t="shared" si="129"/>
        <v>140758.2426948442</v>
      </c>
      <c r="BL104" s="32">
        <f t="shared" si="129"/>
        <v>141293.95698055843</v>
      </c>
      <c r="BM104" s="32">
        <f t="shared" si="129"/>
        <v>141829.67126627272</v>
      </c>
      <c r="BN104" s="32">
        <f t="shared" si="129"/>
        <v>144240.38555198701</v>
      </c>
      <c r="BO104" s="32">
        <f t="shared" si="129"/>
        <v>144742.61769484423</v>
      </c>
      <c r="BP104" s="32">
        <f t="shared" si="129"/>
        <v>145244.84983770136</v>
      </c>
      <c r="BQ104" s="32">
        <f t="shared" si="129"/>
        <v>552140.46740656602</v>
      </c>
      <c r="BR104" s="32">
        <f t="shared" si="129"/>
        <v>171143.20160312823</v>
      </c>
      <c r="BS104" s="32">
        <f t="shared" si="129"/>
        <v>171645.43374598536</v>
      </c>
      <c r="BT104" s="32">
        <f t="shared" si="129"/>
        <v>172147.66588884254</v>
      </c>
      <c r="BU104" s="32">
        <f t="shared" ref="BU104:DY104" si="130">SUM(BU102:BU103)</f>
        <v>172649.89803169962</v>
      </c>
      <c r="BV104" s="32">
        <f t="shared" si="130"/>
        <v>173152.13017455678</v>
      </c>
      <c r="BW104" s="32">
        <f t="shared" si="130"/>
        <v>173654.36231741391</v>
      </c>
      <c r="BX104" s="32">
        <f t="shared" si="130"/>
        <v>174156.59446027107</v>
      </c>
      <c r="BY104" s="32">
        <f t="shared" si="130"/>
        <v>174658.82660312825</v>
      </c>
      <c r="BZ104" s="32">
        <f t="shared" si="130"/>
        <v>175161.05874598539</v>
      </c>
      <c r="CA104" s="32">
        <f t="shared" si="130"/>
        <v>175663.29088884252</v>
      </c>
      <c r="CB104" s="32">
        <f t="shared" si="130"/>
        <v>176165.5230316997</v>
      </c>
      <c r="CC104" s="32">
        <f t="shared" si="130"/>
        <v>176667.75517455681</v>
      </c>
      <c r="CD104" s="32">
        <f t="shared" si="130"/>
        <v>177169.98731741394</v>
      </c>
      <c r="CE104" s="32">
        <f t="shared" si="130"/>
        <v>177672.21946027112</v>
      </c>
      <c r="CF104" s="32">
        <f t="shared" si="130"/>
        <v>178174.45160312825</v>
      </c>
      <c r="CG104" s="32">
        <f t="shared" si="130"/>
        <v>178676.68374598541</v>
      </c>
      <c r="CH104" s="32">
        <f t="shared" si="130"/>
        <v>179178.91588884254</v>
      </c>
      <c r="CI104" s="32">
        <f t="shared" si="130"/>
        <v>179681.14803169973</v>
      </c>
      <c r="CJ104" s="32">
        <f t="shared" si="130"/>
        <v>180183.38017455681</v>
      </c>
      <c r="CK104" s="32">
        <f t="shared" si="130"/>
        <v>627438.11148546764</v>
      </c>
      <c r="CL104" s="32">
        <f t="shared" si="130"/>
        <v>206081.73193998361</v>
      </c>
      <c r="CM104" s="32">
        <f t="shared" si="130"/>
        <v>206583.9640828408</v>
      </c>
      <c r="CN104" s="32">
        <f t="shared" si="130"/>
        <v>207086.19622569796</v>
      </c>
      <c r="CO104" s="32">
        <f t="shared" si="130"/>
        <v>207588.42836855512</v>
      </c>
      <c r="CP104" s="32">
        <f t="shared" si="130"/>
        <v>205278.16051141222</v>
      </c>
      <c r="CQ104" s="32">
        <f t="shared" si="130"/>
        <v>205880.83908284083</v>
      </c>
      <c r="CR104" s="32">
        <f t="shared" si="130"/>
        <v>206483.51765426944</v>
      </c>
      <c r="CS104" s="32">
        <f t="shared" si="130"/>
        <v>207086.19622569793</v>
      </c>
      <c r="CT104" s="32">
        <f t="shared" si="130"/>
        <v>207688.87479712657</v>
      </c>
      <c r="CU104" s="32">
        <f t="shared" si="130"/>
        <v>208291.55336855521</v>
      </c>
      <c r="CV104" s="32">
        <f t="shared" si="130"/>
        <v>208894.23193998373</v>
      </c>
      <c r="CW104" s="32">
        <f t="shared" si="130"/>
        <v>209496.91051141225</v>
      </c>
      <c r="CX104" s="32">
        <f t="shared" si="130"/>
        <v>210099.58908284086</v>
      </c>
      <c r="CY104" s="32">
        <f t="shared" si="130"/>
        <v>210702.26765426944</v>
      </c>
      <c r="CZ104" s="32">
        <f t="shared" si="130"/>
        <v>211304.94622569799</v>
      </c>
      <c r="DA104" s="32">
        <f t="shared" si="130"/>
        <v>211907.62479712663</v>
      </c>
      <c r="DB104" s="32">
        <f t="shared" si="130"/>
        <v>212510.30336855521</v>
      </c>
      <c r="DC104" s="32">
        <f t="shared" si="130"/>
        <v>213112.98193998379</v>
      </c>
      <c r="DD104" s="32">
        <f t="shared" si="130"/>
        <v>213715.66051141237</v>
      </c>
      <c r="DE104" s="32">
        <f t="shared" si="130"/>
        <v>214318.33908284092</v>
      </c>
      <c r="DF104" s="32">
        <f t="shared" si="130"/>
        <v>465982.14285714278</v>
      </c>
      <c r="DG104" s="32">
        <f t="shared" si="130"/>
        <v>466584.82142857136</v>
      </c>
      <c r="DH104" s="32">
        <f t="shared" si="130"/>
        <v>467187.49999999994</v>
      </c>
      <c r="DI104" s="32">
        <f t="shared" si="130"/>
        <v>467790.17857142846</v>
      </c>
      <c r="DJ104" s="32">
        <f t="shared" si="130"/>
        <v>468392.85714285704</v>
      </c>
      <c r="DK104" s="32">
        <f t="shared" si="130"/>
        <v>468995.53571428562</v>
      </c>
      <c r="DL104" s="32">
        <f t="shared" si="130"/>
        <v>469598.2142857142</v>
      </c>
      <c r="DM104" s="32">
        <f t="shared" si="130"/>
        <v>470200.89285714278</v>
      </c>
      <c r="DN104" s="32">
        <f t="shared" si="130"/>
        <v>470803.57142857136</v>
      </c>
      <c r="DO104" s="32">
        <f t="shared" si="130"/>
        <v>471406.24999999994</v>
      </c>
      <c r="DP104" s="32">
        <f t="shared" si="130"/>
        <v>472008.92857142846</v>
      </c>
      <c r="DQ104" s="32">
        <f t="shared" si="130"/>
        <v>472611.60714285704</v>
      </c>
      <c r="DR104" s="32">
        <f t="shared" si="130"/>
        <v>500000</v>
      </c>
      <c r="DS104" s="32">
        <f t="shared" si="130"/>
        <v>500000</v>
      </c>
      <c r="DT104" s="32">
        <f t="shared" si="130"/>
        <v>500000</v>
      </c>
      <c r="DU104" s="32">
        <f t="shared" si="130"/>
        <v>500000</v>
      </c>
      <c r="DV104" s="32">
        <f t="shared" si="130"/>
        <v>500000</v>
      </c>
      <c r="DW104" s="32">
        <f t="shared" si="130"/>
        <v>500000</v>
      </c>
      <c r="DX104" s="32">
        <f t="shared" si="130"/>
        <v>500000</v>
      </c>
      <c r="DY104" s="32">
        <f t="shared" si="130"/>
        <v>25500000</v>
      </c>
    </row>
    <row r="105" spans="1:129" ht="13.8">
      <c r="C105" s="34"/>
      <c r="D105" s="10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  <c r="DL105" s="42"/>
      <c r="DM105" s="42"/>
      <c r="DN105" s="42"/>
      <c r="DO105" s="42"/>
      <c r="DP105" s="42"/>
      <c r="DQ105" s="42"/>
      <c r="DR105" s="42"/>
      <c r="DS105" s="42"/>
      <c r="DT105" s="42"/>
      <c r="DU105" s="42"/>
      <c r="DV105" s="42"/>
      <c r="DW105" s="42"/>
      <c r="DX105" s="42"/>
      <c r="DY105" s="42"/>
    </row>
    <row r="106" spans="1:129" ht="13.8">
      <c r="C106" s="34"/>
      <c r="D106" s="10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  <c r="DL106" s="42"/>
      <c r="DM106" s="42"/>
      <c r="DN106" s="42"/>
      <c r="DO106" s="42"/>
      <c r="DP106" s="42"/>
      <c r="DQ106" s="42"/>
      <c r="DR106" s="42"/>
      <c r="DS106" s="42"/>
      <c r="DT106" s="42"/>
      <c r="DU106" s="42"/>
      <c r="DV106" s="42"/>
      <c r="DW106" s="42"/>
      <c r="DX106" s="42"/>
      <c r="DY106" s="42"/>
    </row>
    <row r="107" spans="1:129">
      <c r="C107" s="15" t="s">
        <v>121</v>
      </c>
      <c r="D107" s="10" t="s">
        <v>0</v>
      </c>
      <c r="F107" s="40">
        <f>CaseData!G50</f>
        <v>0.1</v>
      </c>
      <c r="G107" s="43">
        <f>XNPV($F107,I104:DY104,I$3:DY$3)</f>
        <v>2593363.2837257497</v>
      </c>
    </row>
    <row r="108" spans="1:129">
      <c r="C108" s="15" t="s">
        <v>122</v>
      </c>
      <c r="D108" s="10" t="s">
        <v>25</v>
      </c>
      <c r="G108" s="44">
        <f>XIRR(I104:DY104,I$3:DY$3)</f>
        <v>0.13467679619789127</v>
      </c>
    </row>
    <row r="109" spans="1:129">
      <c r="C109" s="15"/>
      <c r="D109" s="10"/>
      <c r="G109" s="48"/>
    </row>
    <row r="110" spans="1:129">
      <c r="C110" s="15"/>
      <c r="D110" s="10"/>
      <c r="G110" s="48"/>
    </row>
    <row r="111" spans="1:129" ht="15.6">
      <c r="A111" s="9" t="s">
        <v>123</v>
      </c>
      <c r="C111" s="15"/>
      <c r="D111" s="10"/>
      <c r="G111" s="48"/>
    </row>
    <row r="112" spans="1:129" ht="15.6">
      <c r="A112" s="9"/>
      <c r="B112" s="3" t="s">
        <v>124</v>
      </c>
      <c r="C112" s="15"/>
      <c r="D112" s="10"/>
      <c r="G112" s="48"/>
    </row>
    <row r="113" spans="1:129" ht="15.6">
      <c r="A113" s="9"/>
      <c r="B113" s="3" t="s">
        <v>125</v>
      </c>
      <c r="C113" s="15"/>
      <c r="D113" s="10"/>
      <c r="G113" s="48"/>
    </row>
    <row r="114" spans="1:129" ht="15.6">
      <c r="A114" s="9"/>
      <c r="C114" s="52" t="s">
        <v>126</v>
      </c>
      <c r="D114" s="49">
        <f>G107</f>
        <v>2593363.2837257497</v>
      </c>
      <c r="G114" s="48"/>
    </row>
    <row r="115" spans="1:129">
      <c r="C115" s="52" t="s">
        <v>127</v>
      </c>
      <c r="D115" s="50">
        <f>G108</f>
        <v>0.13467679619789127</v>
      </c>
      <c r="G115" s="48"/>
    </row>
    <row r="116" spans="1:129">
      <c r="B116" s="3" t="s">
        <v>128</v>
      </c>
      <c r="C116" s="15"/>
      <c r="D116" s="10"/>
      <c r="G116" s="48"/>
    </row>
    <row r="117" spans="1:129">
      <c r="B117" s="3" t="s">
        <v>132</v>
      </c>
      <c r="D117" s="10"/>
      <c r="G117" s="48"/>
    </row>
    <row r="118" spans="1:129">
      <c r="C118" s="51" t="s">
        <v>129</v>
      </c>
      <c r="D118" s="49">
        <f>G64</f>
        <v>296778.58666063013</v>
      </c>
    </row>
    <row r="119" spans="1:129">
      <c r="C119" s="51" t="s">
        <v>130</v>
      </c>
      <c r="D119" s="49">
        <f>G71</f>
        <v>8454429.8123102393</v>
      </c>
    </row>
    <row r="120" spans="1:129">
      <c r="C120" s="51" t="s">
        <v>131</v>
      </c>
      <c r="D120" s="49">
        <f>G90</f>
        <v>3285000.0000000121</v>
      </c>
    </row>
    <row r="122" spans="1:129">
      <c r="A122" s="8" t="s">
        <v>3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BF39-9831-459D-BA0B-1647D0C8051B}">
  <sheetPr>
    <pageSetUpPr autoPageBreaks="0"/>
  </sheetPr>
  <dimension ref="A1:H1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E5" sqref="E5"/>
    </sheetView>
  </sheetViews>
  <sheetFormatPr defaultColWidth="10.69921875" defaultRowHeight="13.8"/>
  <cols>
    <col min="1" max="1" width="1.59765625" style="61" customWidth="1"/>
    <col min="2" max="3" width="1.59765625" customWidth="1"/>
    <col min="4" max="4" width="1.59765625" style="57" customWidth="1"/>
    <col min="5" max="5" width="45.69921875" customWidth="1"/>
    <col min="6" max="6" width="10.69921875" customWidth="1"/>
    <col min="7" max="8" width="9.69921875" customWidth="1"/>
    <col min="9" max="9" width="1.59765625" customWidth="1"/>
  </cols>
  <sheetData>
    <row r="1" spans="1:8" s="53" customFormat="1">
      <c r="A1" s="53" t="str" cm="1">
        <f t="array" ref="A1">company</f>
        <v>Investment Fund Asset</v>
      </c>
      <c r="D1" s="56"/>
    </row>
    <row r="2" spans="1:8" s="53" customFormat="1">
      <c r="A2" s="53" t="str" cm="1">
        <f t="array" ref="A2">topic</f>
        <v xml:space="preserve">CFM Topic: </v>
      </c>
      <c r="D2" s="56"/>
    </row>
    <row r="3" spans="1:8" s="53" customFormat="1">
      <c r="A3" s="53" t="s">
        <v>134</v>
      </c>
      <c r="D3" s="56"/>
      <c r="F3" s="53" t="s">
        <v>140</v>
      </c>
      <c r="G3" s="53" t="s">
        <v>141</v>
      </c>
      <c r="H3" s="53" t="s">
        <v>142</v>
      </c>
    </row>
    <row r="9" spans="1:8" s="59" customFormat="1">
      <c r="A9" s="62" t="s">
        <v>147</v>
      </c>
      <c r="D9" s="60"/>
    </row>
    <row r="11" spans="1:8">
      <c r="E11" s="63" t="str">
        <f xml:space="preserve"> "[xxx] initial balance from model on " &amp; TEXT( start_date, "dd/mm/yyyy" )</f>
        <v>[xxx] initial balance from model on 31/12/2020</v>
      </c>
      <c r="F11" s="58"/>
      <c r="G11" t="s">
        <v>146</v>
      </c>
    </row>
    <row r="13" spans="1:8">
      <c r="E13" t="s">
        <v>145</v>
      </c>
      <c r="G13" t="s">
        <v>146</v>
      </c>
    </row>
    <row r="14" spans="1:8">
      <c r="E14" t="s">
        <v>144</v>
      </c>
      <c r="G14" t="s">
        <v>146</v>
      </c>
    </row>
    <row r="15" spans="1:8">
      <c r="E15" t="s">
        <v>143</v>
      </c>
      <c r="G15" t="s">
        <v>146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&amp;LFinancial Modeling Institute
CFM October 2026&amp;CPage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Cashflow</vt:lpstr>
      <vt:lpstr>Time</vt:lpstr>
      <vt:lpstr>CaseData</vt:lpstr>
      <vt:lpstr>CaseSolution</vt:lpstr>
      <vt:lpstr>Tmp</vt:lpstr>
      <vt:lpstr>company</vt:lpstr>
      <vt:lpstr>end_date</vt:lpstr>
      <vt:lpstr>Cashflow!Print_Area</vt:lpstr>
      <vt:lpstr>Cashflow!Print_Titles</vt:lpstr>
      <vt:lpstr>Time!Print_Titles</vt:lpstr>
      <vt:lpstr>Tmp!Print_Titles</vt:lpstr>
      <vt:lpstr>quarters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2026-08-30T10:49:01Z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2026-08-29T10:42:36Z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0c856071-e311-4b70-9b3c-d8adc8778309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