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filterPrivacy="1" defaultThemeVersion="124226"/>
  <xr:revisionPtr revIDLastSave="745" documentId="8_{97E399C2-38A0-4E48-9999-2E7BE26EBD67}" xr6:coauthVersionLast="47" xr6:coauthVersionMax="47" xr10:uidLastSave="{8986EE64-C3A9-4871-8860-151A726FF2EF}"/>
  <bookViews>
    <workbookView xWindow="28680" yWindow="-120" windowWidth="29040" windowHeight="16440" activeTab="1" xr2:uid="{00000000-000D-0000-FFFF-FFFF00000000}"/>
  </bookViews>
  <sheets>
    <sheet name="Summary" sheetId="45" r:id="rId1"/>
    <sheet name="Calculations" sheetId="44" r:id="rId2"/>
    <sheet name="CaseData" sheetId="39" r:id="rId3"/>
    <sheet name="CaseSolution - Calculations" sheetId="40" r:id="rId4"/>
    <sheet name="CaseSolution - Summary" sheetId="41" r:id="rId5"/>
    <sheet name="Tmp" sheetId="42" r:id="rId6"/>
  </sheets>
  <definedNames>
    <definedName name="_xlnm._FilterDatabase" localSheetId="2" hidden="1">CaseData!$B$6:$G$307</definedName>
    <definedName name="company">CaseData!$K$17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CaseData!$K$16</definedName>
    <definedName name="_xlnm.Print_Area" localSheetId="1">Calculations!$V$1:$AG$286</definedName>
    <definedName name="_xlnm.Print_Titles" localSheetId="1">Calculations!$A:$I,Calculations!$1:$4</definedName>
    <definedName name="_xlnm.Print_Titles" localSheetId="0">Summary!$1:$4</definedName>
    <definedName name="_xlnm.Print_Titles" localSheetId="5">Tmp!$1:$4</definedName>
    <definedName name="start_date">CaseData!$K$15</definedName>
    <definedName name="topic">"CFM Topic: Costs"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6" i="44" l="1" a="1"/>
  <c r="J27" i="45" a="1"/>
  <c r="J32" i="45" a="1"/>
  <c r="H32" i="45" a="1"/>
  <c r="H27" i="45" a="1"/>
  <c r="E27" i="45" a="1"/>
  <c r="V229" i="44" a="1"/>
  <c r="J17" i="45" a="1"/>
  <c r="J22" i="45" a="1"/>
  <c r="H22" i="45" a="1"/>
  <c r="H17" i="45" a="1"/>
  <c r="E17" i="45" a="1"/>
  <c r="V197" i="44" a="1"/>
  <c r="J7" i="45" a="1"/>
  <c r="J12" i="45" a="1"/>
  <c r="H12" i="45" a="1"/>
  <c r="H7" i="45" a="1"/>
  <c r="E7" i="45" a="1"/>
  <c r="J3" i="45" a="1"/>
  <c r="A2" i="45" a="1"/>
  <c r="A1" i="45"/>
  <c r="V261" i="44" a="1"/>
  <c r="V286" i="44" a="1"/>
  <c r="H286" i="44" a="1"/>
  <c r="H261" i="44" a="1"/>
  <c r="E260" i="44" a="1"/>
  <c r="V254" i="44" a="1"/>
  <c r="H254" i="44" a="1"/>
  <c r="H229" i="44" a="1"/>
  <c r="E228" i="44" a="1"/>
  <c r="V134" i="44" a="1"/>
  <c r="V222" i="44" a="1"/>
  <c r="H222" i="44" a="1"/>
  <c r="H197" i="44" a="1"/>
  <c r="E196" i="44" a="1"/>
  <c r="V191" i="44" a="1"/>
  <c r="J166" i="44" a="1"/>
  <c r="E165" i="44" a="1"/>
  <c r="J10" i="44" a="1"/>
  <c r="E9" i="44" a="1"/>
  <c r="V10" i="44" a="1"/>
  <c r="J41" i="44" a="1"/>
  <c r="E40" i="44" a="1"/>
  <c r="V41" i="44" a="1"/>
  <c r="J72" i="44" a="1"/>
  <c r="J103" i="44" a="1"/>
  <c r="E102" i="44" a="1"/>
  <c r="E71" i="44" a="1"/>
  <c r="J134" i="44" a="1"/>
  <c r="E133" i="44" a="1"/>
  <c r="H134" i="44" a="1"/>
  <c r="V159" i="44" a="1"/>
  <c r="J159" i="44" a="1"/>
  <c r="J3" i="44" a="1"/>
  <c r="A2" i="44" a="1"/>
  <c r="A1" i="44"/>
  <c r="J3" i="42" a="1"/>
  <c r="A1" i="42"/>
  <c r="A2" i="42" a="1"/>
  <c r="C47" i="41"/>
  <c r="C46" i="41"/>
  <c r="C45" i="41"/>
  <c r="C44" i="41"/>
  <c r="C43" i="41"/>
  <c r="C30" i="41"/>
  <c r="C29" i="41"/>
  <c r="C28" i="41"/>
  <c r="C27" i="41"/>
  <c r="C26" i="41"/>
  <c r="C13" i="41"/>
  <c r="C12" i="41"/>
  <c r="C11" i="41"/>
  <c r="C10" i="41"/>
  <c r="C9" i="41"/>
  <c r="B2" i="41"/>
  <c r="G146" i="40"/>
  <c r="AA146" i="40"/>
  <c r="E32" i="40"/>
  <c r="D32" i="40"/>
  <c r="G32" i="40"/>
  <c r="E31" i="40"/>
  <c r="D31" i="40"/>
  <c r="E30" i="40"/>
  <c r="D30" i="40"/>
  <c r="E29" i="40"/>
  <c r="D29" i="40"/>
  <c r="G29" i="40"/>
  <c r="E28" i="40"/>
  <c r="D28" i="40"/>
  <c r="G28" i="40"/>
  <c r="E27" i="40"/>
  <c r="D27" i="40"/>
  <c r="E26" i="40"/>
  <c r="E53" i="40"/>
  <c r="G53" i="40"/>
  <c r="D26" i="40"/>
  <c r="D53" i="40"/>
  <c r="E25" i="40"/>
  <c r="D25" i="40"/>
  <c r="G25" i="40"/>
  <c r="D24" i="40"/>
  <c r="G24" i="40"/>
  <c r="E24" i="40"/>
  <c r="E23" i="40"/>
  <c r="E50" i="40"/>
  <c r="G50" i="40"/>
  <c r="D23" i="40"/>
  <c r="E22" i="40"/>
  <c r="D22" i="40"/>
  <c r="D21" i="40"/>
  <c r="G21" i="40"/>
  <c r="E21" i="40"/>
  <c r="D48" i="40"/>
  <c r="E20" i="40"/>
  <c r="D20" i="40"/>
  <c r="G20" i="40"/>
  <c r="E19" i="40"/>
  <c r="D19" i="40"/>
  <c r="E18" i="40"/>
  <c r="E45" i="40"/>
  <c r="G45" i="40"/>
  <c r="D18" i="40"/>
  <c r="D45" i="40"/>
  <c r="E17" i="40"/>
  <c r="E71" i="40"/>
  <c r="D17" i="40"/>
  <c r="G17" i="40"/>
  <c r="E16" i="40"/>
  <c r="D16" i="40"/>
  <c r="E15" i="40"/>
  <c r="E42" i="40"/>
  <c r="G42" i="40"/>
  <c r="D15" i="40"/>
  <c r="D42" i="40"/>
  <c r="E14" i="40"/>
  <c r="D14" i="40"/>
  <c r="E13" i="40"/>
  <c r="D13" i="40"/>
  <c r="G13" i="40"/>
  <c r="D12" i="40"/>
  <c r="G12" i="40"/>
  <c r="E12" i="40"/>
  <c r="E39" i="40"/>
  <c r="G39" i="40"/>
  <c r="E11" i="40"/>
  <c r="D11" i="40"/>
  <c r="E10" i="40"/>
  <c r="E37" i="40"/>
  <c r="G37" i="40"/>
  <c r="D10" i="40"/>
  <c r="D37" i="40"/>
  <c r="E9" i="40"/>
  <c r="E63" i="40"/>
  <c r="D9" i="40"/>
  <c r="G9" i="40"/>
  <c r="E8" i="40"/>
  <c r="D8" i="40"/>
  <c r="G8" i="40"/>
  <c r="I5" i="40"/>
  <c r="B2" i="40"/>
  <c r="I26" i="40"/>
  <c r="G26" i="40"/>
  <c r="U26" i="40"/>
  <c r="G18" i="40"/>
  <c r="I21" i="40"/>
  <c r="D40" i="40"/>
  <c r="G10" i="40"/>
  <c r="I10" i="40"/>
  <c r="I13" i="40"/>
  <c r="E297" i="40"/>
  <c r="E269" i="40"/>
  <c r="E241" i="40"/>
  <c r="E212" i="40"/>
  <c r="E183" i="40"/>
  <c r="E156" i="40"/>
  <c r="E126" i="40"/>
  <c r="E97" i="40"/>
  <c r="E70" i="40"/>
  <c r="E43" i="40"/>
  <c r="G43" i="40"/>
  <c r="D308" i="40"/>
  <c r="D280" i="40"/>
  <c r="D252" i="40"/>
  <c r="D194" i="40"/>
  <c r="D223" i="40"/>
  <c r="D167" i="40"/>
  <c r="D137" i="40"/>
  <c r="G137" i="40"/>
  <c r="D108" i="40"/>
  <c r="D81" i="40"/>
  <c r="D54" i="40"/>
  <c r="G27" i="40"/>
  <c r="E310" i="40"/>
  <c r="E225" i="40"/>
  <c r="E282" i="40"/>
  <c r="E254" i="40"/>
  <c r="E196" i="40"/>
  <c r="E139" i="40"/>
  <c r="E169" i="40"/>
  <c r="E110" i="40"/>
  <c r="E83" i="40"/>
  <c r="E56" i="40"/>
  <c r="G56" i="40"/>
  <c r="D297" i="40"/>
  <c r="D269" i="40"/>
  <c r="D212" i="40"/>
  <c r="D241" i="40"/>
  <c r="D183" i="40"/>
  <c r="D156" i="40"/>
  <c r="D126" i="40"/>
  <c r="G126" i="40"/>
  <c r="D97" i="40"/>
  <c r="D70" i="40"/>
  <c r="D43" i="40"/>
  <c r="E308" i="40"/>
  <c r="E280" i="40"/>
  <c r="E252" i="40"/>
  <c r="E194" i="40"/>
  <c r="E223" i="40"/>
  <c r="E137" i="40"/>
  <c r="I137" i="40"/>
  <c r="U137" i="40"/>
  <c r="E167" i="40"/>
  <c r="E108" i="40"/>
  <c r="E54" i="40"/>
  <c r="G54" i="40"/>
  <c r="E81" i="40"/>
  <c r="E292" i="40"/>
  <c r="E264" i="40"/>
  <c r="E178" i="40"/>
  <c r="E207" i="40"/>
  <c r="E236" i="40"/>
  <c r="E151" i="40"/>
  <c r="E121" i="40"/>
  <c r="E92" i="40"/>
  <c r="E65" i="40"/>
  <c r="E38" i="40"/>
  <c r="G38" i="40"/>
  <c r="D267" i="40"/>
  <c r="D295" i="40"/>
  <c r="D181" i="40"/>
  <c r="D210" i="40"/>
  <c r="D239" i="40"/>
  <c r="D154" i="40"/>
  <c r="D124" i="40"/>
  <c r="G124" i="40"/>
  <c r="D95" i="40"/>
  <c r="D68" i="40"/>
  <c r="D41" i="40"/>
  <c r="G14" i="40"/>
  <c r="G16" i="40"/>
  <c r="D289" i="40"/>
  <c r="D261" i="40"/>
  <c r="D233" i="40"/>
  <c r="D148" i="40"/>
  <c r="D175" i="40"/>
  <c r="D204" i="40"/>
  <c r="D118" i="40"/>
  <c r="G118" i="40"/>
  <c r="D89" i="40"/>
  <c r="D62" i="40"/>
  <c r="D35" i="40"/>
  <c r="I18" i="40"/>
  <c r="I29" i="40"/>
  <c r="I53" i="40"/>
  <c r="U53" i="40"/>
  <c r="I31" i="40"/>
  <c r="I28" i="40"/>
  <c r="I20" i="40"/>
  <c r="I12" i="40"/>
  <c r="I43" i="40"/>
  <c r="U43" i="40"/>
  <c r="I25" i="40"/>
  <c r="I17" i="40"/>
  <c r="I9" i="40"/>
  <c r="I30" i="40"/>
  <c r="I22" i="40"/>
  <c r="I14" i="40"/>
  <c r="I45" i="40"/>
  <c r="U45" i="40"/>
  <c r="I37" i="40"/>
  <c r="U37" i="40"/>
  <c r="I27" i="40"/>
  <c r="I19" i="40"/>
  <c r="I11" i="40"/>
  <c r="I42" i="40"/>
  <c r="U42" i="40"/>
  <c r="I32" i="40"/>
  <c r="I24" i="40"/>
  <c r="I16" i="40"/>
  <c r="I8" i="40"/>
  <c r="J5" i="40"/>
  <c r="E289" i="40"/>
  <c r="E261" i="40"/>
  <c r="E233" i="40"/>
  <c r="E204" i="40"/>
  <c r="E148" i="40"/>
  <c r="E175" i="40"/>
  <c r="E118" i="40"/>
  <c r="E89" i="40"/>
  <c r="E62" i="40"/>
  <c r="E35" i="40"/>
  <c r="G35" i="40"/>
  <c r="D300" i="40"/>
  <c r="D272" i="40"/>
  <c r="D215" i="40"/>
  <c r="D244" i="40"/>
  <c r="D186" i="40"/>
  <c r="D159" i="40"/>
  <c r="D129" i="40"/>
  <c r="G129" i="40"/>
  <c r="D100" i="40"/>
  <c r="D73" i="40"/>
  <c r="D46" i="40"/>
  <c r="G19" i="40"/>
  <c r="E302" i="40"/>
  <c r="E274" i="40"/>
  <c r="E217" i="40"/>
  <c r="E246" i="40"/>
  <c r="E161" i="40"/>
  <c r="E188" i="40"/>
  <c r="E102" i="40"/>
  <c r="E131" i="40"/>
  <c r="E75" i="40"/>
  <c r="E48" i="40"/>
  <c r="G48" i="40"/>
  <c r="I23" i="40"/>
  <c r="D311" i="40"/>
  <c r="D283" i="40"/>
  <c r="D226" i="40"/>
  <c r="D197" i="40"/>
  <c r="D255" i="40"/>
  <c r="D140" i="40"/>
  <c r="G140" i="40"/>
  <c r="D170" i="40"/>
  <c r="D111" i="40"/>
  <c r="D84" i="40"/>
  <c r="D57" i="40"/>
  <c r="G30" i="40"/>
  <c r="U10" i="40"/>
  <c r="E300" i="40"/>
  <c r="E272" i="40"/>
  <c r="E244" i="40"/>
  <c r="E186" i="40"/>
  <c r="E215" i="40"/>
  <c r="E159" i="40"/>
  <c r="E129" i="40"/>
  <c r="E100" i="40"/>
  <c r="E73" i="40"/>
  <c r="E46" i="40"/>
  <c r="G46" i="40"/>
  <c r="D305" i="40"/>
  <c r="D277" i="40"/>
  <c r="D220" i="40"/>
  <c r="D249" i="40"/>
  <c r="D191" i="40"/>
  <c r="D164" i="40"/>
  <c r="D134" i="40"/>
  <c r="G134" i="40"/>
  <c r="D105" i="40"/>
  <c r="D78" i="40"/>
  <c r="D51" i="40"/>
  <c r="U21" i="40"/>
  <c r="E305" i="40"/>
  <c r="E277" i="40"/>
  <c r="E249" i="40"/>
  <c r="E191" i="40"/>
  <c r="E220" i="40"/>
  <c r="E164" i="40"/>
  <c r="E134" i="40"/>
  <c r="E78" i="40"/>
  <c r="E105" i="40"/>
  <c r="E51" i="40"/>
  <c r="G51" i="40"/>
  <c r="D292" i="40"/>
  <c r="D264" i="40"/>
  <c r="D178" i="40"/>
  <c r="D207" i="40"/>
  <c r="D236" i="40"/>
  <c r="D151" i="40"/>
  <c r="D121" i="40"/>
  <c r="G121" i="40"/>
  <c r="D92" i="40"/>
  <c r="D65" i="40"/>
  <c r="D38" i="40"/>
  <c r="I38" i="40"/>
  <c r="U38" i="40"/>
  <c r="G11" i="40"/>
  <c r="E294" i="40"/>
  <c r="E266" i="40"/>
  <c r="E238" i="40"/>
  <c r="E209" i="40"/>
  <c r="E153" i="40"/>
  <c r="E180" i="40"/>
  <c r="E123" i="40"/>
  <c r="E94" i="40"/>
  <c r="E67" i="40"/>
  <c r="E40" i="40"/>
  <c r="G40" i="40"/>
  <c r="I15" i="40"/>
  <c r="D275" i="40"/>
  <c r="D303" i="40"/>
  <c r="D218" i="40"/>
  <c r="D247" i="40"/>
  <c r="D189" i="40"/>
  <c r="D162" i="40"/>
  <c r="D132" i="40"/>
  <c r="G132" i="40"/>
  <c r="D103" i="40"/>
  <c r="D76" i="40"/>
  <c r="D49" i="40"/>
  <c r="E49" i="40"/>
  <c r="I49" i="40"/>
  <c r="G49" i="40"/>
  <c r="U49" i="40"/>
  <c r="G22" i="40"/>
  <c r="D290" i="40"/>
  <c r="D262" i="40"/>
  <c r="D234" i="40"/>
  <c r="D176" i="40"/>
  <c r="D205" i="40"/>
  <c r="D149" i="40"/>
  <c r="D119" i="40"/>
  <c r="G119" i="40"/>
  <c r="D90" i="40"/>
  <c r="D63" i="40"/>
  <c r="E267" i="40"/>
  <c r="E295" i="40"/>
  <c r="E239" i="40"/>
  <c r="E181" i="40"/>
  <c r="E210" i="40"/>
  <c r="E154" i="40"/>
  <c r="E124" i="40"/>
  <c r="E68" i="40"/>
  <c r="E95" i="40"/>
  <c r="D298" i="40"/>
  <c r="D270" i="40"/>
  <c r="D213" i="40"/>
  <c r="D242" i="40"/>
  <c r="D184" i="40"/>
  <c r="D157" i="40"/>
  <c r="D127" i="40"/>
  <c r="G127" i="40"/>
  <c r="D98" i="40"/>
  <c r="D71" i="40"/>
  <c r="E275" i="40"/>
  <c r="E303" i="40"/>
  <c r="E218" i="40"/>
  <c r="E247" i="40"/>
  <c r="E189" i="40"/>
  <c r="E162" i="40"/>
  <c r="E132" i="40"/>
  <c r="E103" i="40"/>
  <c r="E76" i="40"/>
  <c r="D306" i="40"/>
  <c r="D278" i="40"/>
  <c r="D221" i="40"/>
  <c r="D250" i="40"/>
  <c r="D192" i="40"/>
  <c r="D165" i="40"/>
  <c r="D106" i="40"/>
  <c r="D135" i="40"/>
  <c r="G135" i="40"/>
  <c r="D79" i="40"/>
  <c r="D52" i="40"/>
  <c r="E311" i="40"/>
  <c r="E283" i="40"/>
  <c r="E226" i="40"/>
  <c r="E255" i="40"/>
  <c r="E197" i="40"/>
  <c r="E170" i="40"/>
  <c r="E140" i="40"/>
  <c r="E111" i="40"/>
  <c r="E84" i="40"/>
  <c r="E57" i="40"/>
  <c r="G57" i="40"/>
  <c r="E290" i="40"/>
  <c r="E234" i="40"/>
  <c r="E205" i="40"/>
  <c r="E262" i="40"/>
  <c r="E176" i="40"/>
  <c r="E149" i="40"/>
  <c r="E119" i="40"/>
  <c r="E90" i="40"/>
  <c r="D293" i="40"/>
  <c r="D265" i="40"/>
  <c r="D237" i="40"/>
  <c r="D179" i="40"/>
  <c r="D208" i="40"/>
  <c r="D152" i="40"/>
  <c r="D122" i="40"/>
  <c r="G122" i="40"/>
  <c r="D93" i="40"/>
  <c r="D66" i="40"/>
  <c r="E298" i="40"/>
  <c r="E213" i="40"/>
  <c r="E242" i="40"/>
  <c r="E270" i="40"/>
  <c r="E157" i="40"/>
  <c r="E184" i="40"/>
  <c r="E127" i="40"/>
  <c r="E98" i="40"/>
  <c r="D301" i="40"/>
  <c r="D273" i="40"/>
  <c r="D216" i="40"/>
  <c r="D245" i="40"/>
  <c r="D187" i="40"/>
  <c r="D160" i="40"/>
  <c r="D130" i="40"/>
  <c r="G130" i="40"/>
  <c r="D101" i="40"/>
  <c r="D74" i="40"/>
  <c r="E306" i="40"/>
  <c r="E278" i="40"/>
  <c r="E221" i="40"/>
  <c r="E250" i="40"/>
  <c r="E192" i="40"/>
  <c r="E165" i="40"/>
  <c r="E106" i="40"/>
  <c r="E135" i="40"/>
  <c r="E79" i="40"/>
  <c r="E52" i="40"/>
  <c r="G52" i="40"/>
  <c r="D309" i="40"/>
  <c r="D281" i="40"/>
  <c r="D224" i="40"/>
  <c r="D253" i="40"/>
  <c r="D195" i="40"/>
  <c r="D168" i="40"/>
  <c r="D138" i="40"/>
  <c r="G138" i="40"/>
  <c r="D82" i="40"/>
  <c r="D109" i="40"/>
  <c r="D55" i="40"/>
  <c r="E293" i="40"/>
  <c r="E265" i="40"/>
  <c r="E237" i="40"/>
  <c r="E179" i="40"/>
  <c r="E208" i="40"/>
  <c r="E152" i="40"/>
  <c r="E122" i="40"/>
  <c r="E93" i="40"/>
  <c r="E66" i="40"/>
  <c r="D296" i="40"/>
  <c r="D268" i="40"/>
  <c r="D240" i="40"/>
  <c r="D182" i="40"/>
  <c r="D211" i="40"/>
  <c r="D155" i="40"/>
  <c r="D125" i="40"/>
  <c r="G125" i="40"/>
  <c r="D96" i="40"/>
  <c r="D69" i="40"/>
  <c r="E301" i="40"/>
  <c r="E273" i="40"/>
  <c r="E245" i="40"/>
  <c r="E216" i="40"/>
  <c r="E187" i="40"/>
  <c r="E160" i="40"/>
  <c r="E130" i="40"/>
  <c r="E101" i="40"/>
  <c r="E47" i="40"/>
  <c r="G47" i="40"/>
  <c r="E74" i="40"/>
  <c r="D304" i="40"/>
  <c r="D276" i="40"/>
  <c r="D219" i="40"/>
  <c r="D190" i="40"/>
  <c r="D248" i="40"/>
  <c r="D163" i="40"/>
  <c r="D133" i="40"/>
  <c r="G133" i="40"/>
  <c r="D104" i="40"/>
  <c r="D50" i="40"/>
  <c r="I50" i="40"/>
  <c r="U50" i="40"/>
  <c r="D77" i="40"/>
  <c r="E309" i="40"/>
  <c r="E281" i="40"/>
  <c r="E253" i="40"/>
  <c r="E224" i="40"/>
  <c r="E195" i="40"/>
  <c r="E168" i="40"/>
  <c r="E138" i="40"/>
  <c r="E82" i="40"/>
  <c r="E109" i="40"/>
  <c r="E55" i="40"/>
  <c r="G55" i="40"/>
  <c r="D312" i="40"/>
  <c r="D284" i="40"/>
  <c r="D227" i="40"/>
  <c r="D256" i="40"/>
  <c r="D198" i="40"/>
  <c r="D171" i="40"/>
  <c r="D141" i="40"/>
  <c r="G141" i="40"/>
  <c r="D112" i="40"/>
  <c r="D85" i="40"/>
  <c r="D58" i="40"/>
  <c r="D263" i="40"/>
  <c r="D291" i="40"/>
  <c r="D235" i="40"/>
  <c r="D177" i="40"/>
  <c r="D206" i="40"/>
  <c r="D150" i="40"/>
  <c r="D120" i="40"/>
  <c r="G120" i="40"/>
  <c r="D91" i="40"/>
  <c r="D64" i="40"/>
  <c r="E296" i="40"/>
  <c r="E268" i="40"/>
  <c r="E240" i="40"/>
  <c r="E182" i="40"/>
  <c r="E211" i="40"/>
  <c r="E155" i="40"/>
  <c r="E125" i="40"/>
  <c r="E96" i="40"/>
  <c r="E69" i="40"/>
  <c r="E304" i="40"/>
  <c r="E276" i="40"/>
  <c r="E248" i="40"/>
  <c r="E219" i="40"/>
  <c r="E190" i="40"/>
  <c r="E163" i="40"/>
  <c r="E133" i="40"/>
  <c r="E104" i="40"/>
  <c r="E77" i="40"/>
  <c r="D307" i="40"/>
  <c r="D279" i="40"/>
  <c r="D222" i="40"/>
  <c r="D193" i="40"/>
  <c r="D251" i="40"/>
  <c r="D136" i="40"/>
  <c r="G136" i="40"/>
  <c r="D166" i="40"/>
  <c r="D107" i="40"/>
  <c r="D80" i="40"/>
  <c r="E312" i="40"/>
  <c r="E284" i="40"/>
  <c r="E256" i="40"/>
  <c r="E227" i="40"/>
  <c r="E198" i="40"/>
  <c r="E141" i="40"/>
  <c r="E171" i="40"/>
  <c r="E112" i="40"/>
  <c r="E85" i="40"/>
  <c r="D36" i="40"/>
  <c r="E41" i="40"/>
  <c r="G41" i="40"/>
  <c r="D44" i="40"/>
  <c r="E58" i="40"/>
  <c r="G58" i="40"/>
  <c r="D271" i="40"/>
  <c r="D299" i="40"/>
  <c r="D214" i="40"/>
  <c r="D243" i="40"/>
  <c r="D185" i="40"/>
  <c r="D158" i="40"/>
  <c r="D128" i="40"/>
  <c r="G128" i="40"/>
  <c r="D99" i="40"/>
  <c r="D72" i="40"/>
  <c r="E263" i="40"/>
  <c r="E291" i="40"/>
  <c r="E235" i="40"/>
  <c r="E177" i="40"/>
  <c r="E206" i="40"/>
  <c r="E150" i="40"/>
  <c r="E120" i="40"/>
  <c r="E91" i="40"/>
  <c r="E64" i="40"/>
  <c r="D294" i="40"/>
  <c r="D266" i="40"/>
  <c r="D238" i="40"/>
  <c r="D180" i="40"/>
  <c r="D209" i="40"/>
  <c r="D153" i="40"/>
  <c r="D123" i="40"/>
  <c r="G123" i="40"/>
  <c r="D94" i="40"/>
  <c r="D67" i="40"/>
  <c r="G15" i="40"/>
  <c r="E271" i="40"/>
  <c r="E299" i="40"/>
  <c r="E214" i="40"/>
  <c r="E243" i="40"/>
  <c r="E185" i="40"/>
  <c r="E158" i="40"/>
  <c r="E128" i="40"/>
  <c r="E99" i="40"/>
  <c r="E72" i="40"/>
  <c r="D302" i="40"/>
  <c r="D274" i="40"/>
  <c r="D217" i="40"/>
  <c r="D246" i="40"/>
  <c r="D188" i="40"/>
  <c r="D161" i="40"/>
  <c r="D131" i="40"/>
  <c r="G131" i="40"/>
  <c r="D102" i="40"/>
  <c r="D75" i="40"/>
  <c r="G23" i="40"/>
  <c r="E307" i="40"/>
  <c r="E279" i="40"/>
  <c r="E222" i="40"/>
  <c r="E251" i="40"/>
  <c r="E193" i="40"/>
  <c r="E166" i="40"/>
  <c r="E136" i="40"/>
  <c r="E107" i="40"/>
  <c r="E80" i="40"/>
  <c r="D310" i="40"/>
  <c r="D282" i="40"/>
  <c r="D225" i="40"/>
  <c r="D254" i="40"/>
  <c r="D196" i="40"/>
  <c r="D169" i="40"/>
  <c r="D110" i="40"/>
  <c r="D139" i="40"/>
  <c r="G139" i="40"/>
  <c r="D83" i="40"/>
  <c r="D56" i="40"/>
  <c r="I56" i="40"/>
  <c r="U56" i="40"/>
  <c r="G31" i="40"/>
  <c r="E36" i="40"/>
  <c r="G36" i="40"/>
  <c r="D39" i="40"/>
  <c r="I39" i="40"/>
  <c r="U39" i="40"/>
  <c r="E44" i="40"/>
  <c r="G44" i="40"/>
  <c r="D47" i="40"/>
  <c r="I47" i="40"/>
  <c r="U47" i="40"/>
  <c r="D313" i="40"/>
  <c r="D285" i="40"/>
  <c r="D257" i="40"/>
  <c r="D228" i="40"/>
  <c r="D199" i="40"/>
  <c r="D172" i="40"/>
  <c r="D142" i="40"/>
  <c r="G142" i="40"/>
  <c r="D113" i="40"/>
  <c r="D86" i="40"/>
  <c r="D59" i="40"/>
  <c r="E313" i="40"/>
  <c r="E285" i="40"/>
  <c r="E257" i="40"/>
  <c r="E228" i="40"/>
  <c r="E199" i="40"/>
  <c r="E172" i="40"/>
  <c r="E142" i="40"/>
  <c r="E113" i="40"/>
  <c r="E86" i="40"/>
  <c r="E59" i="40"/>
  <c r="G59" i="40"/>
  <c r="AB146" i="40"/>
  <c r="U146" i="40"/>
  <c r="AC146" i="40"/>
  <c r="V146" i="40"/>
  <c r="AD146" i="40"/>
  <c r="W146" i="40"/>
  <c r="AE146" i="40"/>
  <c r="X146" i="40"/>
  <c r="AF146" i="40"/>
  <c r="Y146" i="40"/>
  <c r="Z146" i="40"/>
  <c r="I52" i="40"/>
  <c r="U52" i="40"/>
  <c r="I126" i="40"/>
  <c r="U126" i="40"/>
  <c r="I134" i="40"/>
  <c r="U134" i="40"/>
  <c r="I59" i="40"/>
  <c r="U59" i="40"/>
  <c r="I41" i="40"/>
  <c r="U41" i="40"/>
  <c r="I44" i="40"/>
  <c r="U44" i="40"/>
  <c r="I58" i="40"/>
  <c r="U58" i="40"/>
  <c r="U64" i="40"/>
  <c r="I54" i="40"/>
  <c r="U54" i="40"/>
  <c r="I46" i="40"/>
  <c r="U46" i="40"/>
  <c r="I64" i="40"/>
  <c r="I36" i="40"/>
  <c r="U36" i="40"/>
  <c r="I55" i="40"/>
  <c r="U55" i="40"/>
  <c r="I57" i="40"/>
  <c r="U57" i="40"/>
  <c r="I51" i="40"/>
  <c r="U51" i="40"/>
  <c r="U31" i="40"/>
  <c r="U85" i="40"/>
  <c r="I136" i="40"/>
  <c r="U136" i="40"/>
  <c r="I142" i="40"/>
  <c r="U142" i="40"/>
  <c r="I69" i="40"/>
  <c r="U15" i="40"/>
  <c r="U69" i="40"/>
  <c r="U14" i="40"/>
  <c r="I35" i="40"/>
  <c r="U35" i="40"/>
  <c r="I121" i="40"/>
  <c r="U121" i="40"/>
  <c r="I138" i="40"/>
  <c r="U138" i="40"/>
  <c r="I123" i="40"/>
  <c r="U123" i="40"/>
  <c r="I72" i="40"/>
  <c r="U18" i="40"/>
  <c r="U72" i="40"/>
  <c r="I76" i="40"/>
  <c r="U22" i="40"/>
  <c r="U76" i="40"/>
  <c r="I129" i="40"/>
  <c r="U129" i="40"/>
  <c r="I122" i="40"/>
  <c r="U122" i="40"/>
  <c r="I131" i="40"/>
  <c r="U131" i="40"/>
  <c r="I65" i="40"/>
  <c r="U11" i="40"/>
  <c r="U65" i="40"/>
  <c r="I84" i="40"/>
  <c r="U30" i="40"/>
  <c r="I66" i="40"/>
  <c r="U12" i="40"/>
  <c r="U66" i="40"/>
  <c r="I124" i="40"/>
  <c r="U124" i="40"/>
  <c r="I130" i="40"/>
  <c r="U130" i="40"/>
  <c r="I77" i="40"/>
  <c r="U23" i="40"/>
  <c r="U77" i="40"/>
  <c r="J136" i="40"/>
  <c r="V136" i="40"/>
  <c r="J141" i="40"/>
  <c r="V141" i="40"/>
  <c r="J138" i="40"/>
  <c r="V138" i="40"/>
  <c r="J140" i="40"/>
  <c r="V140" i="40"/>
  <c r="J142" i="40"/>
  <c r="V142" i="40"/>
  <c r="J128" i="40"/>
  <c r="V128" i="40"/>
  <c r="J120" i="40"/>
  <c r="V120" i="40"/>
  <c r="J133" i="40"/>
  <c r="V133" i="40"/>
  <c r="J125" i="40"/>
  <c r="V125" i="40"/>
  <c r="J130" i="40"/>
  <c r="V130" i="40"/>
  <c r="J122" i="40"/>
  <c r="V122" i="40"/>
  <c r="J135" i="40"/>
  <c r="V135" i="40"/>
  <c r="J127" i="40"/>
  <c r="V127" i="40"/>
  <c r="J119" i="40"/>
  <c r="V119" i="40"/>
  <c r="J132" i="40"/>
  <c r="V132" i="40"/>
  <c r="J124" i="40"/>
  <c r="V124" i="40"/>
  <c r="J129" i="40"/>
  <c r="V129" i="40"/>
  <c r="J121" i="40"/>
  <c r="V121" i="40"/>
  <c r="J139" i="40"/>
  <c r="V139" i="40"/>
  <c r="J134" i="40"/>
  <c r="V134" i="40"/>
  <c r="J126" i="40"/>
  <c r="V126" i="40"/>
  <c r="J118" i="40"/>
  <c r="J137" i="40"/>
  <c r="V137" i="40"/>
  <c r="J131" i="40"/>
  <c r="V131" i="40"/>
  <c r="J123" i="40"/>
  <c r="V123" i="40"/>
  <c r="J54" i="40"/>
  <c r="V54" i="40"/>
  <c r="J59" i="40"/>
  <c r="V59" i="40"/>
  <c r="J51" i="40"/>
  <c r="V51" i="40"/>
  <c r="J56" i="40"/>
  <c r="V56" i="40"/>
  <c r="J53" i="40"/>
  <c r="V53" i="40"/>
  <c r="J58" i="40"/>
  <c r="V58" i="40"/>
  <c r="J55" i="40"/>
  <c r="V55" i="40"/>
  <c r="J41" i="40"/>
  <c r="V41" i="40"/>
  <c r="J31" i="40"/>
  <c r="J46" i="40"/>
  <c r="V46" i="40"/>
  <c r="J38" i="40"/>
  <c r="V38" i="40"/>
  <c r="J49" i="40"/>
  <c r="V49" i="40"/>
  <c r="J43" i="40"/>
  <c r="V43" i="40"/>
  <c r="J35" i="40"/>
  <c r="V35" i="40"/>
  <c r="J25" i="40"/>
  <c r="J17" i="40"/>
  <c r="J9" i="40"/>
  <c r="J14" i="40"/>
  <c r="J50" i="40"/>
  <c r="V50" i="40"/>
  <c r="J40" i="40"/>
  <c r="V40" i="40"/>
  <c r="J30" i="40"/>
  <c r="J22" i="40"/>
  <c r="J52" i="40"/>
  <c r="V52" i="40"/>
  <c r="J45" i="40"/>
  <c r="V45" i="40"/>
  <c r="J37" i="40"/>
  <c r="V37" i="40"/>
  <c r="J27" i="40"/>
  <c r="J19" i="40"/>
  <c r="J11" i="40"/>
  <c r="J42" i="40"/>
  <c r="V42" i="40"/>
  <c r="J32" i="40"/>
  <c r="J24" i="40"/>
  <c r="J16" i="40"/>
  <c r="J8" i="40"/>
  <c r="J48" i="40"/>
  <c r="V48" i="40"/>
  <c r="J44" i="40"/>
  <c r="V44" i="40"/>
  <c r="J57" i="40"/>
  <c r="V57" i="40"/>
  <c r="J39" i="40"/>
  <c r="V39" i="40"/>
  <c r="J29" i="40"/>
  <c r="J21" i="40"/>
  <c r="J13" i="40"/>
  <c r="J47" i="40"/>
  <c r="V47" i="40"/>
  <c r="J36" i="40"/>
  <c r="V36" i="40"/>
  <c r="J28" i="40"/>
  <c r="J10" i="40"/>
  <c r="J23" i="40"/>
  <c r="J12" i="40"/>
  <c r="J15" i="40"/>
  <c r="J18" i="40"/>
  <c r="K5" i="40"/>
  <c r="J20" i="40"/>
  <c r="J26" i="40"/>
  <c r="I73" i="40"/>
  <c r="U19" i="40"/>
  <c r="U73" i="40"/>
  <c r="I40" i="40"/>
  <c r="U40" i="40"/>
  <c r="I74" i="40"/>
  <c r="U20" i="40"/>
  <c r="U74" i="40"/>
  <c r="I132" i="40"/>
  <c r="U132" i="40"/>
  <c r="I125" i="40"/>
  <c r="U125" i="40"/>
  <c r="I140" i="40"/>
  <c r="U140" i="40"/>
  <c r="U13" i="40"/>
  <c r="I79" i="40"/>
  <c r="U25" i="40"/>
  <c r="U79" i="40"/>
  <c r="I62" i="40"/>
  <c r="U8" i="40"/>
  <c r="U62" i="40"/>
  <c r="I81" i="40"/>
  <c r="U27" i="40"/>
  <c r="U81" i="40"/>
  <c r="I82" i="40"/>
  <c r="U28" i="40"/>
  <c r="U82" i="40"/>
  <c r="I48" i="40"/>
  <c r="I119" i="40"/>
  <c r="U119" i="40"/>
  <c r="I133" i="40"/>
  <c r="U133" i="40"/>
  <c r="I141" i="40"/>
  <c r="U141" i="40"/>
  <c r="U80" i="40"/>
  <c r="I86" i="40"/>
  <c r="U32" i="40"/>
  <c r="U86" i="40"/>
  <c r="I70" i="40"/>
  <c r="U16" i="40"/>
  <c r="U70" i="40"/>
  <c r="I63" i="40"/>
  <c r="U9" i="40"/>
  <c r="U63" i="40"/>
  <c r="I118" i="40"/>
  <c r="I127" i="40"/>
  <c r="U127" i="40"/>
  <c r="I120" i="40"/>
  <c r="U120" i="40"/>
  <c r="I139" i="40"/>
  <c r="U139" i="40"/>
  <c r="I80" i="40"/>
  <c r="I78" i="40"/>
  <c r="U24" i="40"/>
  <c r="U78" i="40"/>
  <c r="I71" i="40"/>
  <c r="U17" i="40"/>
  <c r="U71" i="40"/>
  <c r="I135" i="40"/>
  <c r="U135" i="40"/>
  <c r="I128" i="40"/>
  <c r="U128" i="40"/>
  <c r="I83" i="40"/>
  <c r="U29" i="40"/>
  <c r="U83" i="40"/>
  <c r="I85" i="40"/>
  <c r="I67" i="40"/>
  <c r="U68" i="40"/>
  <c r="U84" i="40"/>
  <c r="I68" i="40"/>
  <c r="U67" i="40"/>
  <c r="J77" i="40"/>
  <c r="V23" i="40"/>
  <c r="V77" i="40"/>
  <c r="J84" i="40"/>
  <c r="V30" i="40"/>
  <c r="V84" i="40"/>
  <c r="J143" i="40"/>
  <c r="V118" i="40"/>
  <c r="J64" i="40"/>
  <c r="V10" i="40"/>
  <c r="V64" i="40"/>
  <c r="J65" i="40"/>
  <c r="V11" i="40"/>
  <c r="V65" i="40"/>
  <c r="J82" i="40"/>
  <c r="V28" i="40"/>
  <c r="V82" i="40"/>
  <c r="J73" i="40"/>
  <c r="V19" i="40"/>
  <c r="V73" i="40"/>
  <c r="I143" i="40"/>
  <c r="U118" i="40"/>
  <c r="J74" i="40"/>
  <c r="V20" i="40"/>
  <c r="V74" i="40"/>
  <c r="J81" i="40"/>
  <c r="V27" i="40"/>
  <c r="V81" i="40"/>
  <c r="J68" i="40"/>
  <c r="V14" i="40"/>
  <c r="V68" i="40"/>
  <c r="J80" i="40"/>
  <c r="V26" i="40"/>
  <c r="V80" i="40"/>
  <c r="K141" i="40"/>
  <c r="W141" i="40"/>
  <c r="K140" i="40"/>
  <c r="W140" i="40"/>
  <c r="K137" i="40"/>
  <c r="W137" i="40"/>
  <c r="K142" i="40"/>
  <c r="W142" i="40"/>
  <c r="K133" i="40"/>
  <c r="W133" i="40"/>
  <c r="K125" i="40"/>
  <c r="W125" i="40"/>
  <c r="K130" i="40"/>
  <c r="W130" i="40"/>
  <c r="K122" i="40"/>
  <c r="W122" i="40"/>
  <c r="K135" i="40"/>
  <c r="W135" i="40"/>
  <c r="K127" i="40"/>
  <c r="W127" i="40"/>
  <c r="K119" i="40"/>
  <c r="W119" i="40"/>
  <c r="K138" i="40"/>
  <c r="W138" i="40"/>
  <c r="K136" i="40"/>
  <c r="W136" i="40"/>
  <c r="K132" i="40"/>
  <c r="W132" i="40"/>
  <c r="K124" i="40"/>
  <c r="W124" i="40"/>
  <c r="K129" i="40"/>
  <c r="W129" i="40"/>
  <c r="K121" i="40"/>
  <c r="W121" i="40"/>
  <c r="K139" i="40"/>
  <c r="W139" i="40"/>
  <c r="K134" i="40"/>
  <c r="W134" i="40"/>
  <c r="K126" i="40"/>
  <c r="W126" i="40"/>
  <c r="K118" i="40"/>
  <c r="K131" i="40"/>
  <c r="W131" i="40"/>
  <c r="K123" i="40"/>
  <c r="W123" i="40"/>
  <c r="K128" i="40"/>
  <c r="W128" i="40"/>
  <c r="K120" i="40"/>
  <c r="W120" i="40"/>
  <c r="K59" i="40"/>
  <c r="W59" i="40"/>
  <c r="K51" i="40"/>
  <c r="W51" i="40"/>
  <c r="K56" i="40"/>
  <c r="W56" i="40"/>
  <c r="K53" i="40"/>
  <c r="W53" i="40"/>
  <c r="K58" i="40"/>
  <c r="W58" i="40"/>
  <c r="K50" i="40"/>
  <c r="W50" i="40"/>
  <c r="K55" i="40"/>
  <c r="W55" i="40"/>
  <c r="K57" i="40"/>
  <c r="W57" i="40"/>
  <c r="K46" i="40"/>
  <c r="W46" i="40"/>
  <c r="K38" i="40"/>
  <c r="W38" i="40"/>
  <c r="K49" i="40"/>
  <c r="W49" i="40"/>
  <c r="K43" i="40"/>
  <c r="W43" i="40"/>
  <c r="K35" i="40"/>
  <c r="W35" i="40"/>
  <c r="K40" i="40"/>
  <c r="W40" i="40"/>
  <c r="K30" i="40"/>
  <c r="K22" i="40"/>
  <c r="K14" i="40"/>
  <c r="K52" i="40"/>
  <c r="W52" i="40"/>
  <c r="K45" i="40"/>
  <c r="W45" i="40"/>
  <c r="K37" i="40"/>
  <c r="W37" i="40"/>
  <c r="K27" i="40"/>
  <c r="K19" i="40"/>
  <c r="K11" i="40"/>
  <c r="K42" i="40"/>
  <c r="W42" i="40"/>
  <c r="K32" i="40"/>
  <c r="K24" i="40"/>
  <c r="K16" i="40"/>
  <c r="K8" i="40"/>
  <c r="K54" i="40"/>
  <c r="W54" i="40"/>
  <c r="K39" i="40"/>
  <c r="W39" i="40"/>
  <c r="K29" i="40"/>
  <c r="K21" i="40"/>
  <c r="K13" i="40"/>
  <c r="K48" i="40"/>
  <c r="W48" i="40"/>
  <c r="K47" i="40"/>
  <c r="W47" i="40"/>
  <c r="K44" i="40"/>
  <c r="W44" i="40"/>
  <c r="K36" i="40"/>
  <c r="W36" i="40"/>
  <c r="K26" i="40"/>
  <c r="K18" i="40"/>
  <c r="K10" i="40"/>
  <c r="L5" i="40"/>
  <c r="K41" i="40"/>
  <c r="W41" i="40"/>
  <c r="K17" i="40"/>
  <c r="K23" i="40"/>
  <c r="K25" i="40"/>
  <c r="K31" i="40"/>
  <c r="K20" i="40"/>
  <c r="K12" i="40"/>
  <c r="K9" i="40"/>
  <c r="K15" i="40"/>
  <c r="K28" i="40"/>
  <c r="J62" i="40"/>
  <c r="V8" i="40"/>
  <c r="V62" i="40"/>
  <c r="J63" i="40"/>
  <c r="V9" i="40"/>
  <c r="V63" i="40"/>
  <c r="J85" i="40"/>
  <c r="V31" i="40"/>
  <c r="V85" i="40"/>
  <c r="I75" i="40"/>
  <c r="I103" i="40"/>
  <c r="I99" i="40"/>
  <c r="J72" i="40"/>
  <c r="V18" i="40"/>
  <c r="V72" i="40"/>
  <c r="J67" i="40"/>
  <c r="V13" i="40"/>
  <c r="V67" i="40"/>
  <c r="J70" i="40"/>
  <c r="V16" i="40"/>
  <c r="V70" i="40"/>
  <c r="J71" i="40"/>
  <c r="V17" i="40"/>
  <c r="V71" i="40"/>
  <c r="I96" i="40"/>
  <c r="I108" i="40"/>
  <c r="U48" i="40"/>
  <c r="U75" i="40"/>
  <c r="U101" i="40"/>
  <c r="I102" i="40"/>
  <c r="I101" i="40"/>
  <c r="J69" i="40"/>
  <c r="V15" i="40"/>
  <c r="V69" i="40"/>
  <c r="J75" i="40"/>
  <c r="V21" i="40"/>
  <c r="V75" i="40"/>
  <c r="J78" i="40"/>
  <c r="V24" i="40"/>
  <c r="V78" i="40"/>
  <c r="J79" i="40"/>
  <c r="V25" i="40"/>
  <c r="V79" i="40"/>
  <c r="I107" i="40"/>
  <c r="I97" i="40"/>
  <c r="I106" i="40"/>
  <c r="V12" i="40"/>
  <c r="V66" i="40"/>
  <c r="J66" i="40"/>
  <c r="J83" i="40"/>
  <c r="V29" i="40"/>
  <c r="V83" i="40"/>
  <c r="J86" i="40"/>
  <c r="V32" i="40"/>
  <c r="V86" i="40"/>
  <c r="J76" i="40"/>
  <c r="V22" i="40"/>
  <c r="V76" i="40"/>
  <c r="I105" i="40"/>
  <c r="I112" i="40"/>
  <c r="I110" i="40"/>
  <c r="I89" i="40"/>
  <c r="J101" i="40"/>
  <c r="U94" i="40"/>
  <c r="U97" i="40"/>
  <c r="V113" i="40"/>
  <c r="I90" i="40"/>
  <c r="K81" i="40"/>
  <c r="W27" i="40"/>
  <c r="W81" i="40"/>
  <c r="K143" i="40"/>
  <c r="W118" i="40"/>
  <c r="J100" i="40"/>
  <c r="J91" i="40"/>
  <c r="V143" i="40"/>
  <c r="I109" i="40"/>
  <c r="K77" i="40"/>
  <c r="W23" i="40"/>
  <c r="W77" i="40"/>
  <c r="K82" i="40"/>
  <c r="W28" i="40"/>
  <c r="W82" i="40"/>
  <c r="K71" i="40"/>
  <c r="W17" i="40"/>
  <c r="W71" i="40"/>
  <c r="K70" i="40"/>
  <c r="W16" i="40"/>
  <c r="W70" i="40"/>
  <c r="U99" i="40"/>
  <c r="V109" i="40"/>
  <c r="I100" i="40"/>
  <c r="U113" i="40"/>
  <c r="J113" i="40"/>
  <c r="J102" i="40"/>
  <c r="J98" i="40"/>
  <c r="J89" i="40"/>
  <c r="K69" i="40"/>
  <c r="W15" i="40"/>
  <c r="W69" i="40"/>
  <c r="K78" i="40"/>
  <c r="W24" i="40"/>
  <c r="W78" i="40"/>
  <c r="I98" i="40"/>
  <c r="U103" i="40"/>
  <c r="V95" i="40"/>
  <c r="U89" i="40"/>
  <c r="J109" i="40"/>
  <c r="I94" i="40"/>
  <c r="V111" i="40"/>
  <c r="V102" i="40"/>
  <c r="V89" i="40"/>
  <c r="U91" i="40"/>
  <c r="K63" i="40"/>
  <c r="W9" i="40"/>
  <c r="W63" i="40"/>
  <c r="L138" i="40"/>
  <c r="X138" i="40"/>
  <c r="L140" i="40"/>
  <c r="X140" i="40"/>
  <c r="L142" i="40"/>
  <c r="X142" i="40"/>
  <c r="L130" i="40"/>
  <c r="X130" i="40"/>
  <c r="L122" i="40"/>
  <c r="X122" i="40"/>
  <c r="L135" i="40"/>
  <c r="X135" i="40"/>
  <c r="L127" i="40"/>
  <c r="X127" i="40"/>
  <c r="L119" i="40"/>
  <c r="X119" i="40"/>
  <c r="L136" i="40"/>
  <c r="X136" i="40"/>
  <c r="L132" i="40"/>
  <c r="X132" i="40"/>
  <c r="L124" i="40"/>
  <c r="X124" i="40"/>
  <c r="L129" i="40"/>
  <c r="X129" i="40"/>
  <c r="L121" i="40"/>
  <c r="X121" i="40"/>
  <c r="L141" i="40"/>
  <c r="X141" i="40"/>
  <c r="L139" i="40"/>
  <c r="X139" i="40"/>
  <c r="L134" i="40"/>
  <c r="X134" i="40"/>
  <c r="L126" i="40"/>
  <c r="X126" i="40"/>
  <c r="L118" i="40"/>
  <c r="L131" i="40"/>
  <c r="X131" i="40"/>
  <c r="L123" i="40"/>
  <c r="X123" i="40"/>
  <c r="L137" i="40"/>
  <c r="X137" i="40"/>
  <c r="L128" i="40"/>
  <c r="X128" i="40"/>
  <c r="L120" i="40"/>
  <c r="X120" i="40"/>
  <c r="L133" i="40"/>
  <c r="X133" i="40"/>
  <c r="L125" i="40"/>
  <c r="X125" i="40"/>
  <c r="L56" i="40"/>
  <c r="X56" i="40"/>
  <c r="L48" i="40"/>
  <c r="X48" i="40"/>
  <c r="L53" i="40"/>
  <c r="X53" i="40"/>
  <c r="L58" i="40"/>
  <c r="X58" i="40"/>
  <c r="L50" i="40"/>
  <c r="X50" i="40"/>
  <c r="L55" i="40"/>
  <c r="X55" i="40"/>
  <c r="L52" i="40"/>
  <c r="X52" i="40"/>
  <c r="L57" i="40"/>
  <c r="X57" i="40"/>
  <c r="L49" i="40"/>
  <c r="X49" i="40"/>
  <c r="L43" i="40"/>
  <c r="X43" i="40"/>
  <c r="L35" i="40"/>
  <c r="X35" i="40"/>
  <c r="L40" i="40"/>
  <c r="X40" i="40"/>
  <c r="L30" i="40"/>
  <c r="L45" i="40"/>
  <c r="X45" i="40"/>
  <c r="L37" i="40"/>
  <c r="X37" i="40"/>
  <c r="L27" i="40"/>
  <c r="L19" i="40"/>
  <c r="L11" i="40"/>
  <c r="L42" i="40"/>
  <c r="X42" i="40"/>
  <c r="L32" i="40"/>
  <c r="L24" i="40"/>
  <c r="L16" i="40"/>
  <c r="L8" i="40"/>
  <c r="L54" i="40"/>
  <c r="X54" i="40"/>
  <c r="L39" i="40"/>
  <c r="X39" i="40"/>
  <c r="L29" i="40"/>
  <c r="L21" i="40"/>
  <c r="L13" i="40"/>
  <c r="L47" i="40"/>
  <c r="X47" i="40"/>
  <c r="L44" i="40"/>
  <c r="X44" i="40"/>
  <c r="L36" i="40"/>
  <c r="X36" i="40"/>
  <c r="L26" i="40"/>
  <c r="L18" i="40"/>
  <c r="L10" i="40"/>
  <c r="M5" i="40"/>
  <c r="L59" i="40"/>
  <c r="X59" i="40"/>
  <c r="L51" i="40"/>
  <c r="X51" i="40"/>
  <c r="L41" i="40"/>
  <c r="X41" i="40"/>
  <c r="L31" i="40"/>
  <c r="L23" i="40"/>
  <c r="L15" i="40"/>
  <c r="L46" i="40"/>
  <c r="X46" i="40"/>
  <c r="L38" i="40"/>
  <c r="X38" i="40"/>
  <c r="L12" i="40"/>
  <c r="L25" i="40"/>
  <c r="L20" i="40"/>
  <c r="L14" i="40"/>
  <c r="L17" i="40"/>
  <c r="L9" i="40"/>
  <c r="L28" i="40"/>
  <c r="L22" i="40"/>
  <c r="K67" i="40"/>
  <c r="W13" i="40"/>
  <c r="W67" i="40"/>
  <c r="K86" i="40"/>
  <c r="W32" i="40"/>
  <c r="W86" i="40"/>
  <c r="K68" i="40"/>
  <c r="W14" i="40"/>
  <c r="W68" i="40"/>
  <c r="I111" i="40"/>
  <c r="J95" i="40"/>
  <c r="I95" i="40"/>
  <c r="U95" i="40"/>
  <c r="U108" i="40"/>
  <c r="U93" i="40"/>
  <c r="J111" i="40"/>
  <c r="K79" i="40"/>
  <c r="W25" i="40"/>
  <c r="W79" i="40"/>
  <c r="V91" i="40"/>
  <c r="V97" i="40"/>
  <c r="J97" i="40"/>
  <c r="J93" i="40"/>
  <c r="V106" i="40"/>
  <c r="V94" i="40"/>
  <c r="V112" i="40"/>
  <c r="V93" i="40"/>
  <c r="U104" i="40"/>
  <c r="J106" i="40"/>
  <c r="U106" i="40"/>
  <c r="J94" i="40"/>
  <c r="U110" i="40"/>
  <c r="U92" i="40"/>
  <c r="J112" i="40"/>
  <c r="K66" i="40"/>
  <c r="W12" i="40"/>
  <c r="W66" i="40"/>
  <c r="K64" i="40"/>
  <c r="W10" i="40"/>
  <c r="W64" i="40"/>
  <c r="K75" i="40"/>
  <c r="W21" i="40"/>
  <c r="W75" i="40"/>
  <c r="K76" i="40"/>
  <c r="W22" i="40"/>
  <c r="W76" i="40"/>
  <c r="V108" i="40"/>
  <c r="I113" i="40"/>
  <c r="V104" i="40"/>
  <c r="V98" i="40"/>
  <c r="V100" i="40"/>
  <c r="K62" i="40"/>
  <c r="W8" i="40"/>
  <c r="W62" i="40"/>
  <c r="V110" i="40"/>
  <c r="V96" i="40"/>
  <c r="J110" i="40"/>
  <c r="U105" i="40"/>
  <c r="V103" i="40"/>
  <c r="U107" i="40"/>
  <c r="V99" i="40"/>
  <c r="U90" i="40"/>
  <c r="V90" i="40"/>
  <c r="K74" i="40"/>
  <c r="W20" i="40"/>
  <c r="W74" i="40"/>
  <c r="K72" i="40"/>
  <c r="W18" i="40"/>
  <c r="W72" i="40"/>
  <c r="K83" i="40"/>
  <c r="W29" i="40"/>
  <c r="W83" i="40"/>
  <c r="K65" i="40"/>
  <c r="W11" i="40"/>
  <c r="W65" i="40"/>
  <c r="K84" i="40"/>
  <c r="W30" i="40"/>
  <c r="W84" i="40"/>
  <c r="V107" i="40"/>
  <c r="J108" i="40"/>
  <c r="U143" i="40"/>
  <c r="V92" i="40"/>
  <c r="J104" i="40"/>
  <c r="U96" i="40"/>
  <c r="J96" i="40"/>
  <c r="V105" i="40"/>
  <c r="I104" i="40"/>
  <c r="J103" i="40"/>
  <c r="U109" i="40"/>
  <c r="U112" i="40"/>
  <c r="J105" i="40"/>
  <c r="U102" i="40"/>
  <c r="I92" i="40"/>
  <c r="J99" i="40"/>
  <c r="U98" i="40"/>
  <c r="J90" i="40"/>
  <c r="K85" i="40"/>
  <c r="W31" i="40"/>
  <c r="W85" i="40"/>
  <c r="K80" i="40"/>
  <c r="W26" i="40"/>
  <c r="W80" i="40"/>
  <c r="K73" i="40"/>
  <c r="W19" i="40"/>
  <c r="W73" i="40"/>
  <c r="J107" i="40"/>
  <c r="V101" i="40"/>
  <c r="U111" i="40"/>
  <c r="I93" i="40"/>
  <c r="J92" i="40"/>
  <c r="U100" i="40"/>
  <c r="I91" i="40"/>
  <c r="W106" i="40"/>
  <c r="V153" i="40"/>
  <c r="V180" i="40"/>
  <c r="V266" i="40"/>
  <c r="U166" i="40"/>
  <c r="U193" i="40"/>
  <c r="U279" i="40"/>
  <c r="K112" i="40"/>
  <c r="V159" i="40"/>
  <c r="V186" i="40"/>
  <c r="U168" i="40"/>
  <c r="U195" i="40"/>
  <c r="U224" i="40"/>
  <c r="K110" i="40"/>
  <c r="L85" i="40"/>
  <c r="X31" i="40"/>
  <c r="X85" i="40"/>
  <c r="V170" i="40"/>
  <c r="V197" i="40"/>
  <c r="U170" i="40"/>
  <c r="U197" i="40"/>
  <c r="U157" i="40"/>
  <c r="U184" i="40"/>
  <c r="K99" i="40"/>
  <c r="U164" i="40"/>
  <c r="U191" i="40"/>
  <c r="K102" i="40"/>
  <c r="K113" i="40"/>
  <c r="L74" i="40"/>
  <c r="X20" i="40"/>
  <c r="X74" i="40"/>
  <c r="L70" i="40"/>
  <c r="X16" i="40"/>
  <c r="X70" i="40"/>
  <c r="K90" i="40"/>
  <c r="V168" i="40"/>
  <c r="V195" i="40"/>
  <c r="W97" i="40"/>
  <c r="U151" i="40"/>
  <c r="U178" i="40"/>
  <c r="V162" i="40"/>
  <c r="V189" i="40"/>
  <c r="V160" i="40"/>
  <c r="V187" i="40"/>
  <c r="W100" i="40"/>
  <c r="V164" i="40"/>
  <c r="V191" i="40"/>
  <c r="W111" i="40"/>
  <c r="W101" i="40"/>
  <c r="V157" i="40"/>
  <c r="V184" i="40"/>
  <c r="W91" i="40"/>
  <c r="U165" i="40"/>
  <c r="U192" i="40"/>
  <c r="U152" i="40"/>
  <c r="U179" i="40"/>
  <c r="W94" i="40"/>
  <c r="L79" i="40"/>
  <c r="X25" i="40"/>
  <c r="X79" i="40"/>
  <c r="L78" i="40"/>
  <c r="X24" i="40"/>
  <c r="X78" i="40"/>
  <c r="L84" i="40"/>
  <c r="X30" i="40"/>
  <c r="X84" i="40"/>
  <c r="U150" i="40"/>
  <c r="U177" i="40"/>
  <c r="U158" i="40"/>
  <c r="U185" i="40"/>
  <c r="K97" i="40"/>
  <c r="L62" i="40"/>
  <c r="X8" i="40"/>
  <c r="X62" i="40"/>
  <c r="K104" i="40"/>
  <c r="K100" i="40"/>
  <c r="V166" i="40"/>
  <c r="V193" i="40"/>
  <c r="K111" i="40"/>
  <c r="K101" i="40"/>
  <c r="V155" i="40"/>
  <c r="V182" i="40"/>
  <c r="V163" i="40"/>
  <c r="V190" i="40"/>
  <c r="K91" i="40"/>
  <c r="V156" i="40"/>
  <c r="V183" i="40"/>
  <c r="U167" i="40"/>
  <c r="U194" i="40"/>
  <c r="K94" i="40"/>
  <c r="L66" i="40"/>
  <c r="X12" i="40"/>
  <c r="X66" i="40"/>
  <c r="L67" i="40"/>
  <c r="X13" i="40"/>
  <c r="X67" i="40"/>
  <c r="L86" i="40"/>
  <c r="X32" i="40"/>
  <c r="X86" i="40"/>
  <c r="U148" i="40"/>
  <c r="U175" i="40"/>
  <c r="W98" i="40"/>
  <c r="W143" i="40"/>
  <c r="U251" i="40"/>
  <c r="K103" i="40"/>
  <c r="W90" i="40"/>
  <c r="K96" i="40"/>
  <c r="W107" i="40"/>
  <c r="U161" i="40"/>
  <c r="U188" i="40"/>
  <c r="U155" i="40"/>
  <c r="U182" i="40"/>
  <c r="W92" i="40"/>
  <c r="V149" i="40"/>
  <c r="V176" i="40"/>
  <c r="V169" i="40"/>
  <c r="V196" i="40"/>
  <c r="W93" i="40"/>
  <c r="U163" i="40"/>
  <c r="U190" i="40"/>
  <c r="V150" i="40"/>
  <c r="V177" i="40"/>
  <c r="U154" i="40"/>
  <c r="U181" i="40"/>
  <c r="L76" i="40"/>
  <c r="X22" i="40"/>
  <c r="X76" i="40"/>
  <c r="M140" i="40"/>
  <c r="Y140" i="40"/>
  <c r="M142" i="40"/>
  <c r="Y142" i="40"/>
  <c r="M139" i="40"/>
  <c r="Y139" i="40"/>
  <c r="M141" i="40"/>
  <c r="Y141" i="40"/>
  <c r="M135" i="40"/>
  <c r="Y135" i="40"/>
  <c r="M127" i="40"/>
  <c r="Y127" i="40"/>
  <c r="M119" i="40"/>
  <c r="Y119" i="40"/>
  <c r="M136" i="40"/>
  <c r="Y136" i="40"/>
  <c r="M132" i="40"/>
  <c r="Y132" i="40"/>
  <c r="M124" i="40"/>
  <c r="Y124" i="40"/>
  <c r="M138" i="40"/>
  <c r="Y138" i="40"/>
  <c r="M129" i="40"/>
  <c r="Y129" i="40"/>
  <c r="M121" i="40"/>
  <c r="Y121" i="40"/>
  <c r="M134" i="40"/>
  <c r="Y134" i="40"/>
  <c r="M126" i="40"/>
  <c r="Y126" i="40"/>
  <c r="M118" i="40"/>
  <c r="M131" i="40"/>
  <c r="Y131" i="40"/>
  <c r="M123" i="40"/>
  <c r="Y123" i="40"/>
  <c r="M137" i="40"/>
  <c r="Y137" i="40"/>
  <c r="M128" i="40"/>
  <c r="Y128" i="40"/>
  <c r="M120" i="40"/>
  <c r="Y120" i="40"/>
  <c r="M133" i="40"/>
  <c r="Y133" i="40"/>
  <c r="M125" i="40"/>
  <c r="Y125" i="40"/>
  <c r="M130" i="40"/>
  <c r="Y130" i="40"/>
  <c r="M122" i="40"/>
  <c r="Y122" i="40"/>
  <c r="M53" i="40"/>
  <c r="Y53" i="40"/>
  <c r="M58" i="40"/>
  <c r="Y58" i="40"/>
  <c r="M50" i="40"/>
  <c r="Y50" i="40"/>
  <c r="M55" i="40"/>
  <c r="Y55" i="40"/>
  <c r="M52" i="40"/>
  <c r="Y52" i="40"/>
  <c r="M57" i="40"/>
  <c r="Y57" i="40"/>
  <c r="M54" i="40"/>
  <c r="Y54" i="40"/>
  <c r="M59" i="40"/>
  <c r="Y59" i="40"/>
  <c r="M40" i="40"/>
  <c r="Y40" i="40"/>
  <c r="M30" i="40"/>
  <c r="M56" i="40"/>
  <c r="Y56" i="40"/>
  <c r="M45" i="40"/>
  <c r="Y45" i="40"/>
  <c r="M37" i="40"/>
  <c r="Y37" i="40"/>
  <c r="M42" i="40"/>
  <c r="Y42" i="40"/>
  <c r="M32" i="40"/>
  <c r="M24" i="40"/>
  <c r="M16" i="40"/>
  <c r="M8" i="40"/>
  <c r="M13" i="40"/>
  <c r="M39" i="40"/>
  <c r="Y39" i="40"/>
  <c r="M29" i="40"/>
  <c r="M21" i="40"/>
  <c r="M47" i="40"/>
  <c r="Y47" i="40"/>
  <c r="M44" i="40"/>
  <c r="Y44" i="40"/>
  <c r="M36" i="40"/>
  <c r="Y36" i="40"/>
  <c r="M26" i="40"/>
  <c r="M18" i="40"/>
  <c r="M10" i="40"/>
  <c r="N5" i="40"/>
  <c r="M51" i="40"/>
  <c r="Y51" i="40"/>
  <c r="M48" i="40"/>
  <c r="Y48" i="40"/>
  <c r="M41" i="40"/>
  <c r="Y41" i="40"/>
  <c r="M31" i="40"/>
  <c r="M23" i="40"/>
  <c r="M15" i="40"/>
  <c r="M43" i="40"/>
  <c r="Y43" i="40"/>
  <c r="M46" i="40"/>
  <c r="Y46" i="40"/>
  <c r="M38" i="40"/>
  <c r="Y38" i="40"/>
  <c r="M28" i="40"/>
  <c r="M20" i="40"/>
  <c r="M12" i="40"/>
  <c r="M49" i="40"/>
  <c r="Y49" i="40"/>
  <c r="M25" i="40"/>
  <c r="M14" i="40"/>
  <c r="M35" i="40"/>
  <c r="Y35" i="40"/>
  <c r="M9" i="40"/>
  <c r="M27" i="40"/>
  <c r="M19" i="40"/>
  <c r="M22" i="40"/>
  <c r="M17" i="40"/>
  <c r="M11" i="40"/>
  <c r="L75" i="40"/>
  <c r="X21" i="40"/>
  <c r="X75" i="40"/>
  <c r="V154" i="40"/>
  <c r="V181" i="40"/>
  <c r="K98" i="40"/>
  <c r="L68" i="40"/>
  <c r="X14" i="40"/>
  <c r="X68" i="40"/>
  <c r="K107" i="40"/>
  <c r="K92" i="40"/>
  <c r="U149" i="40"/>
  <c r="U176" i="40"/>
  <c r="W89" i="40"/>
  <c r="V167" i="40"/>
  <c r="V194" i="40"/>
  <c r="K93" i="40"/>
  <c r="V152" i="40"/>
  <c r="V179" i="40"/>
  <c r="L64" i="40"/>
  <c r="X10" i="40"/>
  <c r="X64" i="40"/>
  <c r="L83" i="40"/>
  <c r="X29" i="40"/>
  <c r="X83" i="40"/>
  <c r="L65" i="40"/>
  <c r="X11" i="40"/>
  <c r="X65" i="40"/>
  <c r="V148" i="40"/>
  <c r="V175" i="40"/>
  <c r="U162" i="40"/>
  <c r="U189" i="40"/>
  <c r="W105" i="40"/>
  <c r="U153" i="40"/>
  <c r="U180" i="40"/>
  <c r="W109" i="40"/>
  <c r="W108" i="40"/>
  <c r="V272" i="40"/>
  <c r="V244" i="40"/>
  <c r="V300" i="40"/>
  <c r="V215" i="40"/>
  <c r="K95" i="40"/>
  <c r="W99" i="40"/>
  <c r="W102" i="40"/>
  <c r="U169" i="40"/>
  <c r="U196" i="40"/>
  <c r="V165" i="40"/>
  <c r="V192" i="40"/>
  <c r="K106" i="40"/>
  <c r="W113" i="40"/>
  <c r="L82" i="40"/>
  <c r="X28" i="40"/>
  <c r="X82" i="40"/>
  <c r="U159" i="40"/>
  <c r="U186" i="40"/>
  <c r="W112" i="40"/>
  <c r="U171" i="40"/>
  <c r="U198" i="40"/>
  <c r="V151" i="40"/>
  <c r="V178" i="40"/>
  <c r="W110" i="40"/>
  <c r="V158" i="40"/>
  <c r="V185" i="40"/>
  <c r="K89" i="40"/>
  <c r="W103" i="40"/>
  <c r="V171" i="40"/>
  <c r="V198" i="40"/>
  <c r="W95" i="40"/>
  <c r="L63" i="40"/>
  <c r="X9" i="40"/>
  <c r="X63" i="40"/>
  <c r="X15" i="40"/>
  <c r="X69" i="40"/>
  <c r="L69" i="40"/>
  <c r="L72" i="40"/>
  <c r="X18" i="40"/>
  <c r="X72" i="40"/>
  <c r="L73" i="40"/>
  <c r="X19" i="40"/>
  <c r="X73" i="40"/>
  <c r="L143" i="40"/>
  <c r="X118" i="40"/>
  <c r="V161" i="40"/>
  <c r="V188" i="40"/>
  <c r="K105" i="40"/>
  <c r="U156" i="40"/>
  <c r="U183" i="40"/>
  <c r="K109" i="40"/>
  <c r="K108" i="40"/>
  <c r="L71" i="40"/>
  <c r="X17" i="40"/>
  <c r="X71" i="40"/>
  <c r="L77" i="40"/>
  <c r="X23" i="40"/>
  <c r="X77" i="40"/>
  <c r="L80" i="40"/>
  <c r="X26" i="40"/>
  <c r="X80" i="40"/>
  <c r="L81" i="40"/>
  <c r="X27" i="40"/>
  <c r="X81" i="40"/>
  <c r="V172" i="40"/>
  <c r="V199" i="40"/>
  <c r="W96" i="40"/>
  <c r="U172" i="40"/>
  <c r="U199" i="40"/>
  <c r="W104" i="40"/>
  <c r="U160" i="40"/>
  <c r="U187" i="40"/>
  <c r="U222" i="40"/>
  <c r="U307" i="40"/>
  <c r="V209" i="40"/>
  <c r="V238" i="40"/>
  <c r="L107" i="40"/>
  <c r="W165" i="40"/>
  <c r="W192" i="40"/>
  <c r="W250" i="40"/>
  <c r="U253" i="40"/>
  <c r="U281" i="40"/>
  <c r="W154" i="40"/>
  <c r="W181" i="40"/>
  <c r="W239" i="40"/>
  <c r="X100" i="40"/>
  <c r="W171" i="40"/>
  <c r="W198" i="40"/>
  <c r="M71" i="40"/>
  <c r="Y17" i="40"/>
  <c r="Y71" i="40"/>
  <c r="X143" i="40"/>
  <c r="V264" i="40"/>
  <c r="V236" i="40"/>
  <c r="F46" i="41"/>
  <c r="V207" i="40"/>
  <c r="W167" i="40"/>
  <c r="W194" i="40"/>
  <c r="X91" i="40"/>
  <c r="M73" i="40"/>
  <c r="Y19" i="40"/>
  <c r="Y73" i="40"/>
  <c r="M74" i="40"/>
  <c r="Y20" i="40"/>
  <c r="Y74" i="40"/>
  <c r="M78" i="40"/>
  <c r="Y24" i="40"/>
  <c r="Y78" i="40"/>
  <c r="V262" i="40"/>
  <c r="V234" i="40"/>
  <c r="F44" i="41"/>
  <c r="V205" i="40"/>
  <c r="W157" i="40"/>
  <c r="W184" i="40"/>
  <c r="X113" i="40"/>
  <c r="V269" i="40"/>
  <c r="V241" i="40"/>
  <c r="V212" i="40"/>
  <c r="U265" i="40"/>
  <c r="U237" i="40"/>
  <c r="E47" i="41"/>
  <c r="U208" i="40"/>
  <c r="V273" i="40"/>
  <c r="V245" i="40"/>
  <c r="V301" i="40"/>
  <c r="V216" i="40"/>
  <c r="X101" i="40"/>
  <c r="V283" i="40"/>
  <c r="V255" i="40"/>
  <c r="V226" i="40"/>
  <c r="W267" i="40"/>
  <c r="W210" i="40"/>
  <c r="W161" i="40"/>
  <c r="W188" i="40"/>
  <c r="V265" i="40"/>
  <c r="V237" i="40"/>
  <c r="F47" i="41"/>
  <c r="V208" i="40"/>
  <c r="V285" i="40"/>
  <c r="V257" i="40"/>
  <c r="V228" i="40"/>
  <c r="L98" i="40"/>
  <c r="L96" i="40"/>
  <c r="W172" i="40"/>
  <c r="W199" i="40"/>
  <c r="X110" i="40"/>
  <c r="U262" i="40"/>
  <c r="U234" i="40"/>
  <c r="E44" i="41"/>
  <c r="U205" i="40"/>
  <c r="L108" i="40"/>
  <c r="X90" i="40"/>
  <c r="V278" i="40"/>
  <c r="V250" i="40"/>
  <c r="V221" i="40"/>
  <c r="X107" i="40"/>
  <c r="U269" i="40"/>
  <c r="U241" i="40"/>
  <c r="U297" i="40"/>
  <c r="U212" i="40"/>
  <c r="L90" i="40"/>
  <c r="U284" i="40"/>
  <c r="U256" i="40"/>
  <c r="U227" i="40"/>
  <c r="U282" i="40"/>
  <c r="U254" i="40"/>
  <c r="U225" i="40"/>
  <c r="W168" i="40"/>
  <c r="W195" i="40"/>
  <c r="L91" i="40"/>
  <c r="X95" i="40"/>
  <c r="M81" i="40"/>
  <c r="Y27" i="40"/>
  <c r="Y81" i="40"/>
  <c r="M82" i="40"/>
  <c r="Y28" i="40"/>
  <c r="Y82" i="40"/>
  <c r="M86" i="40"/>
  <c r="Y32" i="40"/>
  <c r="Y86" i="40"/>
  <c r="M143" i="40"/>
  <c r="Y118" i="40"/>
  <c r="X103" i="40"/>
  <c r="W151" i="40"/>
  <c r="W178" i="40"/>
  <c r="U261" i="40"/>
  <c r="U200" i="40"/>
  <c r="U201" i="40"/>
  <c r="U233" i="40"/>
  <c r="E43" i="41"/>
  <c r="U204" i="40"/>
  <c r="L113" i="40"/>
  <c r="U271" i="40"/>
  <c r="U243" i="40"/>
  <c r="U214" i="40"/>
  <c r="X111" i="40"/>
  <c r="U278" i="40"/>
  <c r="U250" i="40"/>
  <c r="U221" i="40"/>
  <c r="L101" i="40"/>
  <c r="X112" i="40"/>
  <c r="U266" i="40"/>
  <c r="U238" i="40"/>
  <c r="U209" i="40"/>
  <c r="L95" i="40"/>
  <c r="U268" i="40"/>
  <c r="U240" i="40"/>
  <c r="U211" i="40"/>
  <c r="V274" i="40"/>
  <c r="V246" i="40"/>
  <c r="V217" i="40"/>
  <c r="N140" i="40"/>
  <c r="Z140" i="40"/>
  <c r="N142" i="40"/>
  <c r="Z142" i="40"/>
  <c r="N136" i="40"/>
  <c r="Z136" i="40"/>
  <c r="N141" i="40"/>
  <c r="Z141" i="40"/>
  <c r="N132" i="40"/>
  <c r="Z132" i="40"/>
  <c r="N124" i="40"/>
  <c r="Z124" i="40"/>
  <c r="N138" i="40"/>
  <c r="Z138" i="40"/>
  <c r="N129" i="40"/>
  <c r="Z129" i="40"/>
  <c r="N121" i="40"/>
  <c r="Z121" i="40"/>
  <c r="N134" i="40"/>
  <c r="Z134" i="40"/>
  <c r="N126" i="40"/>
  <c r="Z126" i="40"/>
  <c r="N118" i="40"/>
  <c r="N139" i="40"/>
  <c r="Z139" i="40"/>
  <c r="N131" i="40"/>
  <c r="Z131" i="40"/>
  <c r="N123" i="40"/>
  <c r="Z123" i="40"/>
  <c r="N137" i="40"/>
  <c r="Z137" i="40"/>
  <c r="N128" i="40"/>
  <c r="Z128" i="40"/>
  <c r="N120" i="40"/>
  <c r="Z120" i="40"/>
  <c r="N133" i="40"/>
  <c r="Z133" i="40"/>
  <c r="N125" i="40"/>
  <c r="Z125" i="40"/>
  <c r="N130" i="40"/>
  <c r="Z130" i="40"/>
  <c r="N122" i="40"/>
  <c r="Z122" i="40"/>
  <c r="N135" i="40"/>
  <c r="Z135" i="40"/>
  <c r="N127" i="40"/>
  <c r="Z127" i="40"/>
  <c r="N119" i="40"/>
  <c r="Z119" i="40"/>
  <c r="N58" i="40"/>
  <c r="Z58" i="40"/>
  <c r="N50" i="40"/>
  <c r="Z50" i="40"/>
  <c r="N55" i="40"/>
  <c r="Z55" i="40"/>
  <c r="N52" i="40"/>
  <c r="Z52" i="40"/>
  <c r="N57" i="40"/>
  <c r="Z57" i="40"/>
  <c r="N49" i="40"/>
  <c r="Z49" i="40"/>
  <c r="N54" i="40"/>
  <c r="Z54" i="40"/>
  <c r="N59" i="40"/>
  <c r="Z59" i="40"/>
  <c r="N56" i="40"/>
  <c r="Z56" i="40"/>
  <c r="N45" i="40"/>
  <c r="Z45" i="40"/>
  <c r="N37" i="40"/>
  <c r="Z37" i="40"/>
  <c r="N42" i="40"/>
  <c r="Z42" i="40"/>
  <c r="N32" i="40"/>
  <c r="N39" i="40"/>
  <c r="Z39" i="40"/>
  <c r="N29" i="40"/>
  <c r="N21" i="40"/>
  <c r="N13" i="40"/>
  <c r="N53" i="40"/>
  <c r="Z53" i="40"/>
  <c r="N47" i="40"/>
  <c r="Z47" i="40"/>
  <c r="N44" i="40"/>
  <c r="Z44" i="40"/>
  <c r="N36" i="40"/>
  <c r="Z36" i="40"/>
  <c r="N26" i="40"/>
  <c r="N18" i="40"/>
  <c r="N10" i="40"/>
  <c r="O5" i="40"/>
  <c r="N51" i="40"/>
  <c r="Z51" i="40"/>
  <c r="N48" i="40"/>
  <c r="Z48" i="40"/>
  <c r="N41" i="40"/>
  <c r="Z41" i="40"/>
  <c r="N31" i="40"/>
  <c r="N23" i="40"/>
  <c r="N15" i="40"/>
  <c r="N46" i="40"/>
  <c r="Z46" i="40"/>
  <c r="N38" i="40"/>
  <c r="Z38" i="40"/>
  <c r="N28" i="40"/>
  <c r="N20" i="40"/>
  <c r="N12" i="40"/>
  <c r="N43" i="40"/>
  <c r="Z43" i="40"/>
  <c r="N35" i="40"/>
  <c r="Z35" i="40"/>
  <c r="N25" i="40"/>
  <c r="N17" i="40"/>
  <c r="N9" i="40"/>
  <c r="N40" i="40"/>
  <c r="Z40" i="40"/>
  <c r="N19" i="40"/>
  <c r="N30" i="40"/>
  <c r="N14" i="40"/>
  <c r="N27" i="40"/>
  <c r="N11" i="40"/>
  <c r="N24" i="40"/>
  <c r="N22" i="40"/>
  <c r="N16" i="40"/>
  <c r="N8" i="40"/>
  <c r="M83" i="40"/>
  <c r="Y29" i="40"/>
  <c r="Y83" i="40"/>
  <c r="U267" i="40"/>
  <c r="U239" i="40"/>
  <c r="U210" i="40"/>
  <c r="U274" i="40"/>
  <c r="U246" i="40"/>
  <c r="U302" i="40"/>
  <c r="U217" i="40"/>
  <c r="L94" i="40"/>
  <c r="V268" i="40"/>
  <c r="V240" i="40"/>
  <c r="V296" i="40"/>
  <c r="V211" i="40"/>
  <c r="X89" i="40"/>
  <c r="X105" i="40"/>
  <c r="V270" i="40"/>
  <c r="V242" i="40"/>
  <c r="V213" i="40"/>
  <c r="V275" i="40"/>
  <c r="V247" i="40"/>
  <c r="V303" i="40"/>
  <c r="V218" i="40"/>
  <c r="M63" i="40"/>
  <c r="Y9" i="40"/>
  <c r="Y63" i="40"/>
  <c r="V276" i="40"/>
  <c r="V248" i="40"/>
  <c r="V219" i="40"/>
  <c r="W150" i="40"/>
  <c r="W177" i="40"/>
  <c r="L112" i="40"/>
  <c r="X104" i="40"/>
  <c r="V284" i="40"/>
  <c r="V256" i="40"/>
  <c r="V227" i="40"/>
  <c r="W158" i="40"/>
  <c r="W185" i="40"/>
  <c r="U285" i="40"/>
  <c r="U257" i="40"/>
  <c r="U228" i="40"/>
  <c r="L104" i="40"/>
  <c r="X99" i="40"/>
  <c r="W162" i="40"/>
  <c r="W189" i="40"/>
  <c r="X109" i="40"/>
  <c r="U275" i="40"/>
  <c r="U247" i="40"/>
  <c r="U218" i="40"/>
  <c r="X92" i="40"/>
  <c r="V280" i="40"/>
  <c r="V252" i="40"/>
  <c r="V308" i="40"/>
  <c r="V223" i="40"/>
  <c r="V239" i="40"/>
  <c r="V267" i="40"/>
  <c r="V210" i="40"/>
  <c r="L102" i="40"/>
  <c r="M68" i="40"/>
  <c r="Y14" i="40"/>
  <c r="Y68" i="40"/>
  <c r="M64" i="40"/>
  <c r="Y10" i="40"/>
  <c r="Y64" i="40"/>
  <c r="V235" i="40"/>
  <c r="V263" i="40"/>
  <c r="V291" i="40"/>
  <c r="F45" i="41"/>
  <c r="V206" i="40"/>
  <c r="W166" i="40"/>
  <c r="W193" i="40"/>
  <c r="X93" i="40"/>
  <c r="L89" i="40"/>
  <c r="L105" i="40"/>
  <c r="W160" i="40"/>
  <c r="W187" i="40"/>
  <c r="U264" i="40"/>
  <c r="U236" i="40"/>
  <c r="E46" i="41"/>
  <c r="U207" i="40"/>
  <c r="U277" i="40"/>
  <c r="U249" i="40"/>
  <c r="U220" i="40"/>
  <c r="L103" i="40"/>
  <c r="U263" i="40"/>
  <c r="U235" i="40"/>
  <c r="E45" i="41"/>
  <c r="U206" i="40"/>
  <c r="L111" i="40"/>
  <c r="W163" i="40"/>
  <c r="W190" i="40"/>
  <c r="L100" i="40"/>
  <c r="U272" i="40"/>
  <c r="U244" i="40"/>
  <c r="U215" i="40"/>
  <c r="W164" i="40"/>
  <c r="W191" i="40"/>
  <c r="X102" i="40"/>
  <c r="W155" i="40"/>
  <c r="W182" i="40"/>
  <c r="X98" i="40"/>
  <c r="L99" i="40"/>
  <c r="L109" i="40"/>
  <c r="V261" i="40"/>
  <c r="V233" i="40"/>
  <c r="V200" i="40"/>
  <c r="V201" i="40"/>
  <c r="F43" i="41"/>
  <c r="V204" i="40"/>
  <c r="L92" i="40"/>
  <c r="W148" i="40"/>
  <c r="W175" i="40"/>
  <c r="M65" i="40"/>
  <c r="Y11" i="40"/>
  <c r="Y65" i="40"/>
  <c r="M79" i="40"/>
  <c r="Y25" i="40"/>
  <c r="Y79" i="40"/>
  <c r="M69" i="40"/>
  <c r="Y15" i="40"/>
  <c r="Y69" i="40"/>
  <c r="M72" i="40"/>
  <c r="Y18" i="40"/>
  <c r="Y72" i="40"/>
  <c r="M67" i="40"/>
  <c r="Y13" i="40"/>
  <c r="Y67" i="40"/>
  <c r="U276" i="40"/>
  <c r="U248" i="40"/>
  <c r="U219" i="40"/>
  <c r="L93" i="40"/>
  <c r="X106" i="40"/>
  <c r="W170" i="40"/>
  <c r="W197" i="40"/>
  <c r="W156" i="40"/>
  <c r="W183" i="40"/>
  <c r="X94" i="40"/>
  <c r="V243" i="40"/>
  <c r="V271" i="40"/>
  <c r="V214" i="40"/>
  <c r="M77" i="40"/>
  <c r="Y23" i="40"/>
  <c r="Y77" i="40"/>
  <c r="M80" i="40"/>
  <c r="Y26" i="40"/>
  <c r="Y80" i="40"/>
  <c r="M62" i="40"/>
  <c r="Y8" i="40"/>
  <c r="Y62" i="40"/>
  <c r="M84" i="40"/>
  <c r="Y30" i="40"/>
  <c r="Y84" i="40"/>
  <c r="W152" i="40"/>
  <c r="W179" i="40"/>
  <c r="W149" i="40"/>
  <c r="W176" i="40"/>
  <c r="V251" i="40"/>
  <c r="V279" i="40"/>
  <c r="V222" i="40"/>
  <c r="V294" i="40"/>
  <c r="L106" i="40"/>
  <c r="V277" i="40"/>
  <c r="V249" i="40"/>
  <c r="V220" i="40"/>
  <c r="V281" i="40"/>
  <c r="V253" i="40"/>
  <c r="V224" i="40"/>
  <c r="X97" i="40"/>
  <c r="U270" i="40"/>
  <c r="U242" i="40"/>
  <c r="U298" i="40"/>
  <c r="U213" i="40"/>
  <c r="U309" i="40"/>
  <c r="U273" i="40"/>
  <c r="U245" i="40"/>
  <c r="U301" i="40"/>
  <c r="U216" i="40"/>
  <c r="W284" i="40"/>
  <c r="W256" i="40"/>
  <c r="W227" i="40"/>
  <c r="M75" i="40"/>
  <c r="Y21" i="40"/>
  <c r="Y75" i="40"/>
  <c r="X108" i="40"/>
  <c r="X96" i="40"/>
  <c r="W169" i="40"/>
  <c r="W196" i="40"/>
  <c r="L110" i="40"/>
  <c r="M76" i="40"/>
  <c r="Y22" i="40"/>
  <c r="Y76" i="40"/>
  <c r="M66" i="40"/>
  <c r="Y12" i="40"/>
  <c r="Y66" i="40"/>
  <c r="M85" i="40"/>
  <c r="Y31" i="40"/>
  <c r="Y85" i="40"/>
  <c r="M70" i="40"/>
  <c r="Y16" i="40"/>
  <c r="Y70" i="40"/>
  <c r="V282" i="40"/>
  <c r="V254" i="40"/>
  <c r="V225" i="40"/>
  <c r="U280" i="40"/>
  <c r="U252" i="40"/>
  <c r="U308" i="40"/>
  <c r="U223" i="40"/>
  <c r="W153" i="40"/>
  <c r="W180" i="40"/>
  <c r="W159" i="40"/>
  <c r="W186" i="40"/>
  <c r="L97" i="40"/>
  <c r="U283" i="40"/>
  <c r="U255" i="40"/>
  <c r="U226" i="40"/>
  <c r="U291" i="40"/>
  <c r="U292" i="40"/>
  <c r="U303" i="40"/>
  <c r="U296" i="40"/>
  <c r="W221" i="40"/>
  <c r="W278" i="40"/>
  <c r="W306" i="40"/>
  <c r="U310" i="40"/>
  <c r="V313" i="40"/>
  <c r="V292" i="40"/>
  <c r="U311" i="40"/>
  <c r="M93" i="40"/>
  <c r="V305" i="40"/>
  <c r="X152" i="40"/>
  <c r="X179" i="40"/>
  <c r="U295" i="40"/>
  <c r="U290" i="40"/>
  <c r="V307" i="40"/>
  <c r="W312" i="40"/>
  <c r="Y106" i="40"/>
  <c r="U313" i="40"/>
  <c r="V293" i="40"/>
  <c r="E30" i="41"/>
  <c r="V290" i="40"/>
  <c r="U300" i="40"/>
  <c r="E28" i="41"/>
  <c r="E29" i="41"/>
  <c r="F30" i="41"/>
  <c r="F27" i="41"/>
  <c r="W264" i="40"/>
  <c r="W236" i="40"/>
  <c r="G46" i="41"/>
  <c r="W207" i="40"/>
  <c r="Y113" i="40"/>
  <c r="X150" i="40"/>
  <c r="X177" i="40"/>
  <c r="Y103" i="40"/>
  <c r="Y111" i="40"/>
  <c r="W279" i="40"/>
  <c r="W251" i="40"/>
  <c r="W222" i="40"/>
  <c r="X171" i="40"/>
  <c r="X198" i="40"/>
  <c r="X160" i="40"/>
  <c r="X187" i="40"/>
  <c r="W265" i="40"/>
  <c r="W237" i="40"/>
  <c r="G47" i="41"/>
  <c r="W208" i="40"/>
  <c r="U304" i="40"/>
  <c r="E12" i="41"/>
  <c r="Y94" i="40"/>
  <c r="V304" i="40"/>
  <c r="F12" i="41"/>
  <c r="W266" i="40"/>
  <c r="W238" i="40"/>
  <c r="W209" i="40"/>
  <c r="M112" i="40"/>
  <c r="X167" i="40"/>
  <c r="X194" i="40"/>
  <c r="V309" i="40"/>
  <c r="F13" i="41"/>
  <c r="M107" i="40"/>
  <c r="W283" i="40"/>
  <c r="W255" i="40"/>
  <c r="W311" i="40"/>
  <c r="W226" i="40"/>
  <c r="Y96" i="40"/>
  <c r="V229" i="40"/>
  <c r="V230" i="40"/>
  <c r="W268" i="40"/>
  <c r="W240" i="40"/>
  <c r="W211" i="40"/>
  <c r="Y95" i="40"/>
  <c r="X163" i="40"/>
  <c r="X190" i="40"/>
  <c r="Y90" i="40"/>
  <c r="X164" i="40"/>
  <c r="X191" i="40"/>
  <c r="N65" i="40"/>
  <c r="Z11" i="40"/>
  <c r="Z65" i="40"/>
  <c r="N79" i="40"/>
  <c r="Z25" i="40"/>
  <c r="Z79" i="40"/>
  <c r="N69" i="40"/>
  <c r="Z15" i="40"/>
  <c r="Z69" i="40"/>
  <c r="N72" i="40"/>
  <c r="Z18" i="40"/>
  <c r="Z72" i="40"/>
  <c r="N83" i="40"/>
  <c r="Z29" i="40"/>
  <c r="Z83" i="40"/>
  <c r="U294" i="40"/>
  <c r="E10" i="41"/>
  <c r="X170" i="40"/>
  <c r="X197" i="40"/>
  <c r="X154" i="40"/>
  <c r="X181" i="40"/>
  <c r="W285" i="40"/>
  <c r="W257" i="40"/>
  <c r="W228" i="40"/>
  <c r="Y100" i="40"/>
  <c r="X265" i="40"/>
  <c r="X237" i="40"/>
  <c r="X208" i="40"/>
  <c r="Y110" i="40"/>
  <c r="N84" i="40"/>
  <c r="Z30" i="40"/>
  <c r="Z84" i="40"/>
  <c r="W280" i="40"/>
  <c r="W252" i="40"/>
  <c r="W223" i="40"/>
  <c r="W271" i="40"/>
  <c r="W243" i="40"/>
  <c r="W214" i="40"/>
  <c r="Y93" i="40"/>
  <c r="Y102" i="40"/>
  <c r="E13" i="41"/>
  <c r="Y104" i="40"/>
  <c r="X165" i="40"/>
  <c r="X192" i="40"/>
  <c r="M96" i="40"/>
  <c r="F48" i="41"/>
  <c r="X161" i="40"/>
  <c r="X188" i="40"/>
  <c r="U305" i="40"/>
  <c r="M95" i="40"/>
  <c r="X151" i="40"/>
  <c r="X178" i="40"/>
  <c r="M90" i="40"/>
  <c r="X148" i="40"/>
  <c r="X175" i="40"/>
  <c r="N81" i="40"/>
  <c r="Z27" i="40"/>
  <c r="Z81" i="40"/>
  <c r="N77" i="40"/>
  <c r="Z23" i="40"/>
  <c r="Z77" i="40"/>
  <c r="N80" i="40"/>
  <c r="Z26" i="40"/>
  <c r="Z80" i="40"/>
  <c r="V302" i="40"/>
  <c r="U286" i="40"/>
  <c r="E26" i="41"/>
  <c r="X149" i="40"/>
  <c r="X176" i="40"/>
  <c r="V311" i="40"/>
  <c r="U293" i="40"/>
  <c r="M100" i="40"/>
  <c r="N86" i="40"/>
  <c r="Z32" i="40"/>
  <c r="Z86" i="40"/>
  <c r="X162" i="40"/>
  <c r="X189" i="40"/>
  <c r="N62" i="40"/>
  <c r="Z8" i="40"/>
  <c r="Z62" i="40"/>
  <c r="N73" i="40"/>
  <c r="Z19" i="40"/>
  <c r="Z73" i="40"/>
  <c r="N74" i="40"/>
  <c r="Z20" i="40"/>
  <c r="Z74" i="40"/>
  <c r="N143" i="40"/>
  <c r="Z118" i="40"/>
  <c r="Y109" i="40"/>
  <c r="W274" i="40"/>
  <c r="W246" i="40"/>
  <c r="W302" i="40"/>
  <c r="W217" i="40"/>
  <c r="V297" i="40"/>
  <c r="Y105" i="40"/>
  <c r="M98" i="40"/>
  <c r="N85" i="40"/>
  <c r="Z31" i="40"/>
  <c r="Z85" i="40"/>
  <c r="X159" i="40"/>
  <c r="X186" i="40"/>
  <c r="U299" i="40"/>
  <c r="E11" i="41"/>
  <c r="W281" i="40"/>
  <c r="W253" i="40"/>
  <c r="W224" i="40"/>
  <c r="W262" i="40"/>
  <c r="W234" i="40"/>
  <c r="G44" i="41"/>
  <c r="W205" i="40"/>
  <c r="M106" i="40"/>
  <c r="V289" i="40"/>
  <c r="V258" i="40"/>
  <c r="F9" i="41"/>
  <c r="M110" i="40"/>
  <c r="M111" i="40"/>
  <c r="Y92" i="40"/>
  <c r="V286" i="40"/>
  <c r="F26" i="41"/>
  <c r="V310" i="40"/>
  <c r="Y97" i="40"/>
  <c r="Y89" i="40"/>
  <c r="V299" i="40"/>
  <c r="F11" i="41"/>
  <c r="M94" i="40"/>
  <c r="M92" i="40"/>
  <c r="V295" i="40"/>
  <c r="X168" i="40"/>
  <c r="X195" i="40"/>
  <c r="N70" i="40"/>
  <c r="Z16" i="40"/>
  <c r="Z70" i="40"/>
  <c r="N82" i="40"/>
  <c r="Z28" i="40"/>
  <c r="Z82" i="40"/>
  <c r="U229" i="40"/>
  <c r="U230" i="40"/>
  <c r="M109" i="40"/>
  <c r="X166" i="40"/>
  <c r="X193" i="40"/>
  <c r="M105" i="40"/>
  <c r="M102" i="40"/>
  <c r="M104" i="40"/>
  <c r="W277" i="40"/>
  <c r="W249" i="40"/>
  <c r="W220" i="40"/>
  <c r="W263" i="40"/>
  <c r="W235" i="40"/>
  <c r="G45" i="41"/>
  <c r="W206" i="40"/>
  <c r="N66" i="40"/>
  <c r="Z12" i="40"/>
  <c r="Z66" i="40"/>
  <c r="M97" i="40"/>
  <c r="W282" i="40"/>
  <c r="W254" i="40"/>
  <c r="W225" i="40"/>
  <c r="X156" i="40"/>
  <c r="X183" i="40"/>
  <c r="F10" i="41"/>
  <c r="M89" i="40"/>
  <c r="X153" i="40"/>
  <c r="X180" i="40"/>
  <c r="Y99" i="40"/>
  <c r="W261" i="40"/>
  <c r="W233" i="40"/>
  <c r="W200" i="40"/>
  <c r="W201" i="40"/>
  <c r="G43" i="41"/>
  <c r="W204" i="40"/>
  <c r="F28" i="41"/>
  <c r="Y91" i="40"/>
  <c r="W275" i="40"/>
  <c r="W247" i="40"/>
  <c r="W218" i="40"/>
  <c r="V312" i="40"/>
  <c r="V298" i="40"/>
  <c r="N76" i="40"/>
  <c r="Z22" i="40"/>
  <c r="Z76" i="40"/>
  <c r="N63" i="40"/>
  <c r="Z9" i="40"/>
  <c r="Z63" i="40"/>
  <c r="O137" i="40"/>
  <c r="AA137" i="40"/>
  <c r="O142" i="40"/>
  <c r="AA142" i="40"/>
  <c r="O139" i="40"/>
  <c r="AA139" i="40"/>
  <c r="O141" i="40"/>
  <c r="AA141" i="40"/>
  <c r="O138" i="40"/>
  <c r="AA138" i="40"/>
  <c r="O136" i="40"/>
  <c r="AA136" i="40"/>
  <c r="O129" i="40"/>
  <c r="AA129" i="40"/>
  <c r="O121" i="40"/>
  <c r="AA121" i="40"/>
  <c r="O134" i="40"/>
  <c r="AA134" i="40"/>
  <c r="O126" i="40"/>
  <c r="AA126" i="40"/>
  <c r="O118" i="40"/>
  <c r="O131" i="40"/>
  <c r="AA131" i="40"/>
  <c r="O123" i="40"/>
  <c r="AA123" i="40"/>
  <c r="O128" i="40"/>
  <c r="AA128" i="40"/>
  <c r="O120" i="40"/>
  <c r="AA120" i="40"/>
  <c r="O133" i="40"/>
  <c r="AA133" i="40"/>
  <c r="O125" i="40"/>
  <c r="AA125" i="40"/>
  <c r="O130" i="40"/>
  <c r="AA130" i="40"/>
  <c r="O122" i="40"/>
  <c r="AA122" i="40"/>
  <c r="O135" i="40"/>
  <c r="AA135" i="40"/>
  <c r="O127" i="40"/>
  <c r="AA127" i="40"/>
  <c r="O119" i="40"/>
  <c r="AA119" i="40"/>
  <c r="O140" i="40"/>
  <c r="AA140" i="40"/>
  <c r="O132" i="40"/>
  <c r="AA132" i="40"/>
  <c r="O124" i="40"/>
  <c r="AA124" i="40"/>
  <c r="O55" i="40"/>
  <c r="AA55" i="40"/>
  <c r="O47" i="40"/>
  <c r="AA47" i="40"/>
  <c r="O52" i="40"/>
  <c r="AA52" i="40"/>
  <c r="O57" i="40"/>
  <c r="AA57" i="40"/>
  <c r="O49" i="40"/>
  <c r="AA49" i="40"/>
  <c r="O54" i="40"/>
  <c r="AA54" i="40"/>
  <c r="O59" i="40"/>
  <c r="AA59" i="40"/>
  <c r="O51" i="40"/>
  <c r="AA51" i="40"/>
  <c r="O56" i="40"/>
  <c r="AA56" i="40"/>
  <c r="O42" i="40"/>
  <c r="AA42" i="40"/>
  <c r="O32" i="40"/>
  <c r="O39" i="40"/>
  <c r="AA39" i="40"/>
  <c r="O58" i="40"/>
  <c r="AA58" i="40"/>
  <c r="O53" i="40"/>
  <c r="AA53" i="40"/>
  <c r="O50" i="40"/>
  <c r="AA50" i="40"/>
  <c r="O44" i="40"/>
  <c r="AA44" i="40"/>
  <c r="O36" i="40"/>
  <c r="AA36" i="40"/>
  <c r="O26" i="40"/>
  <c r="O18" i="40"/>
  <c r="O10" i="40"/>
  <c r="P5" i="40"/>
  <c r="O48" i="40"/>
  <c r="AA48" i="40"/>
  <c r="O41" i="40"/>
  <c r="AA41" i="40"/>
  <c r="O31" i="40"/>
  <c r="O23" i="40"/>
  <c r="O15" i="40"/>
  <c r="O46" i="40"/>
  <c r="AA46" i="40"/>
  <c r="O38" i="40"/>
  <c r="AA38" i="40"/>
  <c r="O28" i="40"/>
  <c r="O20" i="40"/>
  <c r="O12" i="40"/>
  <c r="O43" i="40"/>
  <c r="AA43" i="40"/>
  <c r="O35" i="40"/>
  <c r="AA35" i="40"/>
  <c r="O25" i="40"/>
  <c r="O17" i="40"/>
  <c r="O9" i="40"/>
  <c r="O45" i="40"/>
  <c r="AA45" i="40"/>
  <c r="O40" i="40"/>
  <c r="AA40" i="40"/>
  <c r="O30" i="40"/>
  <c r="O22" i="40"/>
  <c r="O14" i="40"/>
  <c r="O21" i="40"/>
  <c r="O8" i="40"/>
  <c r="O27" i="40"/>
  <c r="O37" i="40"/>
  <c r="AA37" i="40"/>
  <c r="O29" i="40"/>
  <c r="O16" i="40"/>
  <c r="O13" i="40"/>
  <c r="O11" i="40"/>
  <c r="O19" i="40"/>
  <c r="O24" i="40"/>
  <c r="N67" i="40"/>
  <c r="Z13" i="40"/>
  <c r="Z67" i="40"/>
  <c r="U306" i="40"/>
  <c r="E48" i="41"/>
  <c r="Y143" i="40"/>
  <c r="Y108" i="40"/>
  <c r="E27" i="41"/>
  <c r="W295" i="40"/>
  <c r="X172" i="40"/>
  <c r="X199" i="40"/>
  <c r="Y101" i="40"/>
  <c r="N68" i="40"/>
  <c r="Z14" i="40"/>
  <c r="Z68" i="40"/>
  <c r="M113" i="40"/>
  <c r="Y98" i="40"/>
  <c r="M103" i="40"/>
  <c r="W272" i="40"/>
  <c r="W244" i="40"/>
  <c r="W215" i="40"/>
  <c r="Y112" i="40"/>
  <c r="X155" i="40"/>
  <c r="X182" i="40"/>
  <c r="Y107" i="40"/>
  <c r="W269" i="40"/>
  <c r="W241" i="40"/>
  <c r="W212" i="40"/>
  <c r="M99" i="40"/>
  <c r="X157" i="40"/>
  <c r="X184" i="40"/>
  <c r="W276" i="40"/>
  <c r="W248" i="40"/>
  <c r="W219" i="40"/>
  <c r="W273" i="40"/>
  <c r="W245" i="40"/>
  <c r="W216" i="40"/>
  <c r="M91" i="40"/>
  <c r="X158" i="40"/>
  <c r="X185" i="40"/>
  <c r="N78" i="40"/>
  <c r="Z24" i="40"/>
  <c r="Z78" i="40"/>
  <c r="N71" i="40"/>
  <c r="Z17" i="40"/>
  <c r="Z71" i="40"/>
  <c r="N64" i="40"/>
  <c r="N75" i="40"/>
  <c r="N91" i="40"/>
  <c r="Z10" i="40"/>
  <c r="Z64" i="40"/>
  <c r="Z21" i="40"/>
  <c r="Z75" i="40"/>
  <c r="U289" i="40"/>
  <c r="U258" i="40"/>
  <c r="E9" i="41"/>
  <c r="M108" i="40"/>
  <c r="U312" i="40"/>
  <c r="V306" i="40"/>
  <c r="X169" i="40"/>
  <c r="X196" i="40"/>
  <c r="W270" i="40"/>
  <c r="W242" i="40"/>
  <c r="W213" i="40"/>
  <c r="M101" i="40"/>
  <c r="F29" i="41"/>
  <c r="W310" i="40"/>
  <c r="Y165" i="40"/>
  <c r="Y192" i="40"/>
  <c r="Y221" i="40"/>
  <c r="Z91" i="40"/>
  <c r="Y161" i="40"/>
  <c r="Y188" i="40"/>
  <c r="W301" i="40"/>
  <c r="W297" i="40"/>
  <c r="W291" i="40"/>
  <c r="F31" i="41"/>
  <c r="W303" i="40"/>
  <c r="Y278" i="40"/>
  <c r="O67" i="40"/>
  <c r="AA13" i="40"/>
  <c r="AA67" i="40"/>
  <c r="Z102" i="40"/>
  <c r="X270" i="40"/>
  <c r="X242" i="40"/>
  <c r="X298" i="40"/>
  <c r="X213" i="40"/>
  <c r="X282" i="40"/>
  <c r="X254" i="40"/>
  <c r="X225" i="40"/>
  <c r="N102" i="40"/>
  <c r="W300" i="40"/>
  <c r="Y167" i="40"/>
  <c r="Y194" i="40"/>
  <c r="O73" i="40"/>
  <c r="AA19" i="40"/>
  <c r="AA73" i="40"/>
  <c r="O75" i="40"/>
  <c r="AA21" i="40"/>
  <c r="AA75" i="40"/>
  <c r="O79" i="40"/>
  <c r="AA25" i="40"/>
  <c r="AA79" i="40"/>
  <c r="O69" i="40"/>
  <c r="AA15" i="40"/>
  <c r="AA69" i="40"/>
  <c r="O80" i="40"/>
  <c r="AA26" i="40"/>
  <c r="AA80" i="40"/>
  <c r="O143" i="40"/>
  <c r="AA118" i="40"/>
  <c r="G48" i="41"/>
  <c r="X269" i="40"/>
  <c r="X241" i="40"/>
  <c r="X212" i="40"/>
  <c r="Z93" i="40"/>
  <c r="N97" i="40"/>
  <c r="Y156" i="40"/>
  <c r="Y183" i="40"/>
  <c r="G27" i="41"/>
  <c r="X275" i="40"/>
  <c r="X247" i="40"/>
  <c r="X303" i="40"/>
  <c r="X218" i="40"/>
  <c r="E31" i="41"/>
  <c r="Y163" i="40"/>
  <c r="Y190" i="40"/>
  <c r="W308" i="40"/>
  <c r="Z106" i="40"/>
  <c r="G30" i="41"/>
  <c r="X263" i="40"/>
  <c r="X235" i="40"/>
  <c r="X291" i="40"/>
  <c r="H45" i="41"/>
  <c r="X206" i="40"/>
  <c r="O77" i="40"/>
  <c r="AA23" i="40"/>
  <c r="AA77" i="40"/>
  <c r="N93" i="40"/>
  <c r="X281" i="40"/>
  <c r="X253" i="40"/>
  <c r="X224" i="40"/>
  <c r="F14" i="41"/>
  <c r="Z113" i="40"/>
  <c r="Z107" i="40"/>
  <c r="X264" i="40"/>
  <c r="X236" i="40"/>
  <c r="H46" i="41"/>
  <c r="X207" i="40"/>
  <c r="X283" i="40"/>
  <c r="X255" i="40"/>
  <c r="X226" i="40"/>
  <c r="N106" i="40"/>
  <c r="W296" i="40"/>
  <c r="X273" i="40"/>
  <c r="X245" i="40"/>
  <c r="X216" i="40"/>
  <c r="Y172" i="40"/>
  <c r="Y199" i="40"/>
  <c r="O65" i="40"/>
  <c r="AA11" i="40"/>
  <c r="AA65" i="40"/>
  <c r="O85" i="40"/>
  <c r="AA31" i="40"/>
  <c r="AA85" i="40"/>
  <c r="Y274" i="40"/>
  <c r="Y246" i="40"/>
  <c r="Y217" i="40"/>
  <c r="Z111" i="40"/>
  <c r="O84" i="40"/>
  <c r="AA30" i="40"/>
  <c r="AA84" i="40"/>
  <c r="O66" i="40"/>
  <c r="AA12" i="40"/>
  <c r="AA66" i="40"/>
  <c r="Z90" i="40"/>
  <c r="W286" i="40"/>
  <c r="G26" i="41"/>
  <c r="V314" i="40"/>
  <c r="W309" i="40"/>
  <c r="G13" i="41"/>
  <c r="N112" i="40"/>
  <c r="Y168" i="40"/>
  <c r="Y195" i="40"/>
  <c r="N101" i="40"/>
  <c r="Z104" i="40"/>
  <c r="Y152" i="40"/>
  <c r="Y179" i="40"/>
  <c r="N111" i="40"/>
  <c r="N110" i="40"/>
  <c r="N92" i="40"/>
  <c r="X252" i="40"/>
  <c r="X280" i="40"/>
  <c r="X223" i="40"/>
  <c r="O76" i="40"/>
  <c r="AA22" i="40"/>
  <c r="AA76" i="40"/>
  <c r="W289" i="40"/>
  <c r="W258" i="40"/>
  <c r="G9" i="41"/>
  <c r="Z112" i="40"/>
  <c r="N113" i="40"/>
  <c r="N107" i="40"/>
  <c r="Z92" i="40"/>
  <c r="X284" i="40"/>
  <c r="X256" i="40"/>
  <c r="X227" i="40"/>
  <c r="Z98" i="40"/>
  <c r="N95" i="40"/>
  <c r="E14" i="41"/>
  <c r="N98" i="40"/>
  <c r="Y166" i="40"/>
  <c r="Y193" i="40"/>
  <c r="Y157" i="40"/>
  <c r="Y184" i="40"/>
  <c r="Y160" i="40"/>
  <c r="Y187" i="40"/>
  <c r="O83" i="40"/>
  <c r="AA29" i="40"/>
  <c r="AA83" i="40"/>
  <c r="O74" i="40"/>
  <c r="AA20" i="40"/>
  <c r="AA74" i="40"/>
  <c r="N90" i="40"/>
  <c r="Y150" i="40"/>
  <c r="Y177" i="40"/>
  <c r="Y158" i="40"/>
  <c r="Y185" i="40"/>
  <c r="X279" i="40"/>
  <c r="X251" i="40"/>
  <c r="X222" i="40"/>
  <c r="Y151" i="40"/>
  <c r="Y178" i="40"/>
  <c r="Z100" i="40"/>
  <c r="N104" i="40"/>
  <c r="X274" i="40"/>
  <c r="X246" i="40"/>
  <c r="X217" i="40"/>
  <c r="Y169" i="40"/>
  <c r="Y196" i="40"/>
  <c r="Z99" i="40"/>
  <c r="X277" i="40"/>
  <c r="X249" i="40"/>
  <c r="X220" i="40"/>
  <c r="Y155" i="40"/>
  <c r="Y182" i="40"/>
  <c r="W307" i="40"/>
  <c r="W292" i="40"/>
  <c r="Z101" i="40"/>
  <c r="Y159" i="40"/>
  <c r="Y186" i="40"/>
  <c r="Z110" i="40"/>
  <c r="Y153" i="40"/>
  <c r="Y180" i="40"/>
  <c r="Z105" i="40"/>
  <c r="W304" i="40"/>
  <c r="G12" i="41"/>
  <c r="X268" i="40"/>
  <c r="X240" i="40"/>
  <c r="X211" i="40"/>
  <c r="X285" i="40"/>
  <c r="X257" i="40"/>
  <c r="X228" i="40"/>
  <c r="Z94" i="40"/>
  <c r="O82" i="40"/>
  <c r="AA28" i="40"/>
  <c r="AA82" i="40"/>
  <c r="P142" i="40"/>
  <c r="AB142" i="40"/>
  <c r="P139" i="40"/>
  <c r="AB139" i="40"/>
  <c r="P141" i="40"/>
  <c r="AB141" i="40"/>
  <c r="P138" i="40"/>
  <c r="AB138" i="40"/>
  <c r="P140" i="40"/>
  <c r="AB140" i="40"/>
  <c r="P134" i="40"/>
  <c r="AB134" i="40"/>
  <c r="P126" i="40"/>
  <c r="AB126" i="40"/>
  <c r="P118" i="40"/>
  <c r="P131" i="40"/>
  <c r="AB131" i="40"/>
  <c r="P123" i="40"/>
  <c r="AB123" i="40"/>
  <c r="P128" i="40"/>
  <c r="AB128" i="40"/>
  <c r="P120" i="40"/>
  <c r="AB120" i="40"/>
  <c r="P137" i="40"/>
  <c r="AB137" i="40"/>
  <c r="P133" i="40"/>
  <c r="AB133" i="40"/>
  <c r="P125" i="40"/>
  <c r="AB125" i="40"/>
  <c r="P130" i="40"/>
  <c r="AB130" i="40"/>
  <c r="P122" i="40"/>
  <c r="AB122" i="40"/>
  <c r="P135" i="40"/>
  <c r="AB135" i="40"/>
  <c r="P127" i="40"/>
  <c r="AB127" i="40"/>
  <c r="P119" i="40"/>
  <c r="AB119" i="40"/>
  <c r="P132" i="40"/>
  <c r="AB132" i="40"/>
  <c r="P124" i="40"/>
  <c r="AB124" i="40"/>
  <c r="P136" i="40"/>
  <c r="AB136" i="40"/>
  <c r="P129" i="40"/>
  <c r="AB129" i="40"/>
  <c r="P121" i="40"/>
  <c r="AB121" i="40"/>
  <c r="P52" i="40"/>
  <c r="AB52" i="40"/>
  <c r="P57" i="40"/>
  <c r="AB57" i="40"/>
  <c r="P49" i="40"/>
  <c r="AB49" i="40"/>
  <c r="P54" i="40"/>
  <c r="AB54" i="40"/>
  <c r="P59" i="40"/>
  <c r="AB59" i="40"/>
  <c r="P51" i="40"/>
  <c r="AB51" i="40"/>
  <c r="P56" i="40"/>
  <c r="AB56" i="40"/>
  <c r="P53" i="40"/>
  <c r="AB53" i="40"/>
  <c r="P58" i="40"/>
  <c r="AB58" i="40"/>
  <c r="P39" i="40"/>
  <c r="AB39" i="40"/>
  <c r="P50" i="40"/>
  <c r="AB50" i="40"/>
  <c r="P44" i="40"/>
  <c r="AB44" i="40"/>
  <c r="P36" i="40"/>
  <c r="AB36" i="40"/>
  <c r="P48" i="40"/>
  <c r="AB48" i="40"/>
  <c r="P47" i="40"/>
  <c r="AB47" i="40"/>
  <c r="P41" i="40"/>
  <c r="AB41" i="40"/>
  <c r="P31" i="40"/>
  <c r="P23" i="40"/>
  <c r="P15" i="40"/>
  <c r="P46" i="40"/>
  <c r="AB46" i="40"/>
  <c r="P38" i="40"/>
  <c r="AB38" i="40"/>
  <c r="P28" i="40"/>
  <c r="P20" i="40"/>
  <c r="P12" i="40"/>
  <c r="P43" i="40"/>
  <c r="AB43" i="40"/>
  <c r="P35" i="40"/>
  <c r="AB35" i="40"/>
  <c r="P25" i="40"/>
  <c r="P17" i="40"/>
  <c r="P9" i="40"/>
  <c r="P55" i="40"/>
  <c r="AB55" i="40"/>
  <c r="P40" i="40"/>
  <c r="AB40" i="40"/>
  <c r="P30" i="40"/>
  <c r="P22" i="40"/>
  <c r="P14" i="40"/>
  <c r="P45" i="40"/>
  <c r="AB45" i="40"/>
  <c r="P37" i="40"/>
  <c r="AB37" i="40"/>
  <c r="P27" i="40"/>
  <c r="P19" i="40"/>
  <c r="P11" i="40"/>
  <c r="P42" i="40"/>
  <c r="AB42" i="40"/>
  <c r="P29" i="40"/>
  <c r="P18" i="40"/>
  <c r="P16" i="40"/>
  <c r="Q5" i="40"/>
  <c r="P10" i="40"/>
  <c r="P8" i="40"/>
  <c r="P13" i="40"/>
  <c r="P26" i="40"/>
  <c r="P24" i="40"/>
  <c r="P21" i="40"/>
  <c r="P32" i="40"/>
  <c r="Z103" i="40"/>
  <c r="X266" i="40"/>
  <c r="X238" i="40"/>
  <c r="X209" i="40"/>
  <c r="G28" i="41"/>
  <c r="Z109" i="40"/>
  <c r="Y164" i="40"/>
  <c r="Y191" i="40"/>
  <c r="N100" i="40"/>
  <c r="Z108" i="40"/>
  <c r="W299" i="40"/>
  <c r="G11" i="41"/>
  <c r="W313" i="40"/>
  <c r="N99" i="40"/>
  <c r="Y149" i="40"/>
  <c r="Y176" i="40"/>
  <c r="G29" i="41"/>
  <c r="O70" i="40"/>
  <c r="AA16" i="40"/>
  <c r="AA70" i="40"/>
  <c r="W298" i="40"/>
  <c r="U314" i="40"/>
  <c r="N105" i="40"/>
  <c r="Y171" i="40"/>
  <c r="Y198" i="40"/>
  <c r="N94" i="40"/>
  <c r="O81" i="40"/>
  <c r="AA27" i="40"/>
  <c r="AA81" i="40"/>
  <c r="O63" i="40"/>
  <c r="AA9" i="40"/>
  <c r="AA63" i="40"/>
  <c r="O64" i="40"/>
  <c r="AA10" i="40"/>
  <c r="AA64" i="40"/>
  <c r="N103" i="40"/>
  <c r="N109" i="40"/>
  <c r="Z143" i="40"/>
  <c r="Z89" i="40"/>
  <c r="N108" i="40"/>
  <c r="H47" i="41"/>
  <c r="Z96" i="40"/>
  <c r="X248" i="40"/>
  <c r="X276" i="40"/>
  <c r="X219" i="40"/>
  <c r="W294" i="40"/>
  <c r="G10" i="41"/>
  <c r="Y170" i="40"/>
  <c r="Y197" i="40"/>
  <c r="O68" i="40"/>
  <c r="AA14" i="40"/>
  <c r="AA68" i="40"/>
  <c r="Z95" i="40"/>
  <c r="X271" i="40"/>
  <c r="X243" i="40"/>
  <c r="X214" i="40"/>
  <c r="O78" i="40"/>
  <c r="AA24" i="40"/>
  <c r="AA78" i="40"/>
  <c r="O62" i="40"/>
  <c r="AA8" i="40"/>
  <c r="AA62" i="40"/>
  <c r="O71" i="40"/>
  <c r="AA17" i="40"/>
  <c r="AA71" i="40"/>
  <c r="O72" i="40"/>
  <c r="AA18" i="40"/>
  <c r="AA72" i="40"/>
  <c r="O86" i="40"/>
  <c r="AA32" i="40"/>
  <c r="AA86" i="40"/>
  <c r="W229" i="40"/>
  <c r="W230" i="40"/>
  <c r="W305" i="40"/>
  <c r="Z97" i="40"/>
  <c r="Y148" i="40"/>
  <c r="Y175" i="40"/>
  <c r="W290" i="40"/>
  <c r="X244" i="40"/>
  <c r="X272" i="40"/>
  <c r="X215" i="40"/>
  <c r="N89" i="40"/>
  <c r="X262" i="40"/>
  <c r="X234" i="40"/>
  <c r="X290" i="40"/>
  <c r="H44" i="41"/>
  <c r="X205" i="40"/>
  <c r="X261" i="40"/>
  <c r="X233" i="40"/>
  <c r="X200" i="40"/>
  <c r="X201" i="40"/>
  <c r="H43" i="41"/>
  <c r="X204" i="40"/>
  <c r="X278" i="40"/>
  <c r="X250" i="40"/>
  <c r="X221" i="40"/>
  <c r="X293" i="40"/>
  <c r="X267" i="40"/>
  <c r="X239" i="40"/>
  <c r="X210" i="40"/>
  <c r="N96" i="40"/>
  <c r="Y154" i="40"/>
  <c r="Y181" i="40"/>
  <c r="W293" i="40"/>
  <c r="Y162" i="40"/>
  <c r="Y189" i="40"/>
  <c r="X311" i="40"/>
  <c r="Y250" i="40"/>
  <c r="Y306" i="40"/>
  <c r="X295" i="40"/>
  <c r="Z167" i="40"/>
  <c r="Z194" i="40"/>
  <c r="X292" i="40"/>
  <c r="X313" i="40"/>
  <c r="H30" i="41"/>
  <c r="Z148" i="40"/>
  <c r="Z175" i="40"/>
  <c r="Z204" i="40"/>
  <c r="X300" i="40"/>
  <c r="AA99" i="40"/>
  <c r="X306" i="40"/>
  <c r="X307" i="40"/>
  <c r="X297" i="40"/>
  <c r="O90" i="40"/>
  <c r="X312" i="40"/>
  <c r="X302" i="40"/>
  <c r="Y302" i="40"/>
  <c r="X310" i="40"/>
  <c r="Z233" i="40"/>
  <c r="X258" i="40"/>
  <c r="X289" i="40"/>
  <c r="H9" i="41"/>
  <c r="O99" i="40"/>
  <c r="AA108" i="40"/>
  <c r="O97" i="40"/>
  <c r="Z162" i="40"/>
  <c r="Z189" i="40"/>
  <c r="P75" i="40"/>
  <c r="AB21" i="40"/>
  <c r="AB75" i="40"/>
  <c r="P72" i="40"/>
  <c r="AB18" i="40"/>
  <c r="AB72" i="40"/>
  <c r="P68" i="40"/>
  <c r="AB14" i="40"/>
  <c r="AB68" i="40"/>
  <c r="P77" i="40"/>
  <c r="AB23" i="40"/>
  <c r="AB77" i="40"/>
  <c r="Z169" i="40"/>
  <c r="Z196" i="40"/>
  <c r="O101" i="40"/>
  <c r="AA103" i="40"/>
  <c r="Y257" i="40"/>
  <c r="Y285" i="40"/>
  <c r="Y228" i="40"/>
  <c r="AA102" i="40"/>
  <c r="AA94" i="40"/>
  <c r="P78" i="40"/>
  <c r="AB24" i="40"/>
  <c r="AB78" i="40"/>
  <c r="P83" i="40"/>
  <c r="AB29" i="40"/>
  <c r="AB83" i="40"/>
  <c r="P76" i="40"/>
  <c r="AB22" i="40"/>
  <c r="AB76" i="40"/>
  <c r="P85" i="40"/>
  <c r="AB31" i="40"/>
  <c r="AB85" i="40"/>
  <c r="Y272" i="40"/>
  <c r="Y244" i="40"/>
  <c r="Y215" i="40"/>
  <c r="X305" i="40"/>
  <c r="Z159" i="40"/>
  <c r="Z186" i="40"/>
  <c r="AA110" i="40"/>
  <c r="O103" i="40"/>
  <c r="Y265" i="40"/>
  <c r="Y237" i="40"/>
  <c r="I47" i="41"/>
  <c r="Y208" i="40"/>
  <c r="G31" i="41"/>
  <c r="H28" i="41"/>
  <c r="O102" i="40"/>
  <c r="O94" i="40"/>
  <c r="AA97" i="40"/>
  <c r="X286" i="40"/>
  <c r="H26" i="41"/>
  <c r="AA98" i="40"/>
  <c r="O108" i="40"/>
  <c r="O98" i="40"/>
  <c r="Y262" i="40"/>
  <c r="Y234" i="40"/>
  <c r="Y290" i="40"/>
  <c r="I44" i="41"/>
  <c r="Y205" i="40"/>
  <c r="P80" i="40"/>
  <c r="AB26" i="40"/>
  <c r="AB80" i="40"/>
  <c r="P84" i="40"/>
  <c r="AB30" i="40"/>
  <c r="AB84" i="40"/>
  <c r="P66" i="40"/>
  <c r="AB12" i="40"/>
  <c r="AB66" i="40"/>
  <c r="X296" i="40"/>
  <c r="Z160" i="40"/>
  <c r="Z187" i="40"/>
  <c r="Y264" i="40"/>
  <c r="Y236" i="40"/>
  <c r="I46" i="41"/>
  <c r="Y207" i="40"/>
  <c r="O110" i="40"/>
  <c r="Z157" i="40"/>
  <c r="Z184" i="40"/>
  <c r="Z171" i="40"/>
  <c r="Z198" i="40"/>
  <c r="Z163" i="40"/>
  <c r="Z190" i="40"/>
  <c r="AA93" i="40"/>
  <c r="X301" i="40"/>
  <c r="X309" i="40"/>
  <c r="H13" i="41"/>
  <c r="AA107" i="40"/>
  <c r="AA100" i="40"/>
  <c r="Y275" i="40"/>
  <c r="Y247" i="40"/>
  <c r="Y218" i="40"/>
  <c r="Y261" i="40"/>
  <c r="Y233" i="40"/>
  <c r="Y200" i="40"/>
  <c r="Y201" i="40"/>
  <c r="I43" i="41"/>
  <c r="Y204" i="40"/>
  <c r="AA89" i="40"/>
  <c r="Z154" i="40"/>
  <c r="Z181" i="40"/>
  <c r="X304" i="40"/>
  <c r="H12" i="41"/>
  <c r="Y284" i="40"/>
  <c r="Y256" i="40"/>
  <c r="Y312" i="40"/>
  <c r="Y227" i="40"/>
  <c r="Z168" i="40"/>
  <c r="Z195" i="40"/>
  <c r="P67" i="40"/>
  <c r="AB13" i="40"/>
  <c r="AB67" i="40"/>
  <c r="P65" i="40"/>
  <c r="AB11" i="40"/>
  <c r="AB65" i="40"/>
  <c r="P74" i="40"/>
  <c r="AB20" i="40"/>
  <c r="AB74" i="40"/>
  <c r="P143" i="40"/>
  <c r="AB118" i="40"/>
  <c r="AA109" i="40"/>
  <c r="Z158" i="40"/>
  <c r="Z185" i="40"/>
  <c r="Y273" i="40"/>
  <c r="Y245" i="40"/>
  <c r="Y216" i="40"/>
  <c r="G14" i="41"/>
  <c r="Z149" i="40"/>
  <c r="Z176" i="40"/>
  <c r="O93" i="40"/>
  <c r="AA104" i="40"/>
  <c r="Z165" i="40"/>
  <c r="Z192" i="40"/>
  <c r="O107" i="40"/>
  <c r="O100" i="40"/>
  <c r="Z280" i="40"/>
  <c r="Z252" i="40"/>
  <c r="Z308" i="40"/>
  <c r="Z223" i="40"/>
  <c r="Y277" i="40"/>
  <c r="Y249" i="40"/>
  <c r="Y220" i="40"/>
  <c r="O89" i="40"/>
  <c r="Z155" i="40"/>
  <c r="Z182" i="40"/>
  <c r="AA91" i="40"/>
  <c r="P62" i="40"/>
  <c r="AB8" i="40"/>
  <c r="AB62" i="40"/>
  <c r="P73" i="40"/>
  <c r="AB19" i="40"/>
  <c r="AB73" i="40"/>
  <c r="P82" i="40"/>
  <c r="AB28" i="40"/>
  <c r="AB82" i="40"/>
  <c r="O109" i="40"/>
  <c r="Y282" i="40"/>
  <c r="Y254" i="40"/>
  <c r="Y225" i="40"/>
  <c r="Y270" i="40"/>
  <c r="Y242" i="40"/>
  <c r="Y213" i="40"/>
  <c r="Y281" i="40"/>
  <c r="Y253" i="40"/>
  <c r="Y224" i="40"/>
  <c r="AA111" i="40"/>
  <c r="AA112" i="40"/>
  <c r="O104" i="40"/>
  <c r="AA96" i="40"/>
  <c r="Y280" i="40"/>
  <c r="Y252" i="40"/>
  <c r="Y223" i="40"/>
  <c r="X299" i="40"/>
  <c r="H11" i="41"/>
  <c r="Y267" i="40"/>
  <c r="Y239" i="40"/>
  <c r="Y295" i="40"/>
  <c r="Y210" i="40"/>
  <c r="H27" i="41"/>
  <c r="AA113" i="40"/>
  <c r="AA105" i="40"/>
  <c r="O95" i="40"/>
  <c r="O91" i="40"/>
  <c r="P64" i="40"/>
  <c r="AB10" i="40"/>
  <c r="AB64" i="40"/>
  <c r="P81" i="40"/>
  <c r="AB27" i="40"/>
  <c r="AB81" i="40"/>
  <c r="P63" i="40"/>
  <c r="AB9" i="40"/>
  <c r="AB63" i="40"/>
  <c r="Z153" i="40"/>
  <c r="Z180" i="40"/>
  <c r="Y279" i="40"/>
  <c r="Y251" i="40"/>
  <c r="Y222" i="40"/>
  <c r="W314" i="40"/>
  <c r="X308" i="40"/>
  <c r="O111" i="40"/>
  <c r="O112" i="40"/>
  <c r="H29" i="41"/>
  <c r="Z150" i="40"/>
  <c r="Z177" i="40"/>
  <c r="Y269" i="40"/>
  <c r="Y241" i="40"/>
  <c r="Y297" i="40"/>
  <c r="Y212" i="40"/>
  <c r="O96" i="40"/>
  <c r="Z161" i="40"/>
  <c r="Z188" i="40"/>
  <c r="Z156" i="40"/>
  <c r="Z183" i="40"/>
  <c r="AA95" i="40"/>
  <c r="X229" i="40"/>
  <c r="X230" i="40"/>
  <c r="H48" i="41"/>
  <c r="O113" i="40"/>
  <c r="O105" i="40"/>
  <c r="Y283" i="40"/>
  <c r="Y255" i="40"/>
  <c r="Y226" i="40"/>
  <c r="AA90" i="40"/>
  <c r="X294" i="40"/>
  <c r="H10" i="41"/>
  <c r="Q139" i="40"/>
  <c r="AC139" i="40"/>
  <c r="Q141" i="40"/>
  <c r="AC141" i="40"/>
  <c r="Q140" i="40"/>
  <c r="AC140" i="40"/>
  <c r="Q142" i="40"/>
  <c r="AC142" i="40"/>
  <c r="Q131" i="40"/>
  <c r="AC131" i="40"/>
  <c r="Q123" i="40"/>
  <c r="AC123" i="40"/>
  <c r="Q128" i="40"/>
  <c r="AC128" i="40"/>
  <c r="Q120" i="40"/>
  <c r="AC120" i="40"/>
  <c r="Q137" i="40"/>
  <c r="AC137" i="40"/>
  <c r="Q133" i="40"/>
  <c r="AC133" i="40"/>
  <c r="Q125" i="40"/>
  <c r="AC125" i="40"/>
  <c r="Q130" i="40"/>
  <c r="AC130" i="40"/>
  <c r="Q122" i="40"/>
  <c r="AC122" i="40"/>
  <c r="Q135" i="40"/>
  <c r="AC135" i="40"/>
  <c r="Q127" i="40"/>
  <c r="AC127" i="40"/>
  <c r="Q119" i="40"/>
  <c r="AC119" i="40"/>
  <c r="Q132" i="40"/>
  <c r="AC132" i="40"/>
  <c r="Q124" i="40"/>
  <c r="AC124" i="40"/>
  <c r="Q136" i="40"/>
  <c r="AC136" i="40"/>
  <c r="Q129" i="40"/>
  <c r="AC129" i="40"/>
  <c r="Q121" i="40"/>
  <c r="AC121" i="40"/>
  <c r="Q138" i="40"/>
  <c r="AC138" i="40"/>
  <c r="Q134" i="40"/>
  <c r="AC134" i="40"/>
  <c r="Q126" i="40"/>
  <c r="AC126" i="40"/>
  <c r="Q118" i="40"/>
  <c r="Q57" i="40"/>
  <c r="AC57" i="40"/>
  <c r="Q49" i="40"/>
  <c r="AC49" i="40"/>
  <c r="Q54" i="40"/>
  <c r="AC54" i="40"/>
  <c r="Q59" i="40"/>
  <c r="AC59" i="40"/>
  <c r="Q51" i="40"/>
  <c r="AC51" i="40"/>
  <c r="Q56" i="40"/>
  <c r="AC56" i="40"/>
  <c r="Q53" i="40"/>
  <c r="AC53" i="40"/>
  <c r="Q58" i="40"/>
  <c r="AC58" i="40"/>
  <c r="Q50" i="40"/>
  <c r="AC50" i="40"/>
  <c r="Q44" i="40"/>
  <c r="AC44" i="40"/>
  <c r="Q36" i="40"/>
  <c r="AC36" i="40"/>
  <c r="Q48" i="40"/>
  <c r="AC48" i="40"/>
  <c r="Q47" i="40"/>
  <c r="AC47" i="40"/>
  <c r="Q41" i="40"/>
  <c r="AC41" i="40"/>
  <c r="Q31" i="40"/>
  <c r="Q52" i="40"/>
  <c r="AC52" i="40"/>
  <c r="Q46" i="40"/>
  <c r="AC46" i="40"/>
  <c r="Q38" i="40"/>
  <c r="AC38" i="40"/>
  <c r="Q28" i="40"/>
  <c r="Q20" i="40"/>
  <c r="Q12" i="40"/>
  <c r="Q43" i="40"/>
  <c r="AC43" i="40"/>
  <c r="Q35" i="40"/>
  <c r="AC35" i="40"/>
  <c r="Q25" i="40"/>
  <c r="Q17" i="40"/>
  <c r="Q9" i="40"/>
  <c r="Q55" i="40"/>
  <c r="AC55" i="40"/>
  <c r="Q40" i="40"/>
  <c r="AC40" i="40"/>
  <c r="Q30" i="40"/>
  <c r="Q22" i="40"/>
  <c r="Q14" i="40"/>
  <c r="Q45" i="40"/>
  <c r="AC45" i="40"/>
  <c r="Q37" i="40"/>
  <c r="AC37" i="40"/>
  <c r="Q27" i="40"/>
  <c r="Q19" i="40"/>
  <c r="Q11" i="40"/>
  <c r="Q42" i="40"/>
  <c r="AC42" i="40"/>
  <c r="Q32" i="40"/>
  <c r="Q24" i="40"/>
  <c r="Q16" i="40"/>
  <c r="Q8" i="40"/>
  <c r="Q23" i="40"/>
  <c r="Q29" i="40"/>
  <c r="Q18" i="40"/>
  <c r="Q39" i="40"/>
  <c r="AC39" i="40"/>
  <c r="Q13" i="40"/>
  <c r="Q26" i="40"/>
  <c r="Q15" i="40"/>
  <c r="R5" i="40"/>
  <c r="Q21" i="40"/>
  <c r="Q10" i="40"/>
  <c r="P71" i="40"/>
  <c r="AB17" i="40"/>
  <c r="AB71" i="40"/>
  <c r="Z164" i="40"/>
  <c r="Z191" i="40"/>
  <c r="Y271" i="40"/>
  <c r="Y243" i="40"/>
  <c r="Y214" i="40"/>
  <c r="Z151" i="40"/>
  <c r="Z178" i="40"/>
  <c r="Z170" i="40"/>
  <c r="Z197" i="40"/>
  <c r="AA92" i="40"/>
  <c r="Z166" i="40"/>
  <c r="Z193" i="40"/>
  <c r="Y276" i="40"/>
  <c r="Y248" i="40"/>
  <c r="Y219" i="40"/>
  <c r="AA143" i="40"/>
  <c r="AA106" i="40"/>
  <c r="P86" i="40"/>
  <c r="AB32" i="40"/>
  <c r="AB86" i="40"/>
  <c r="P70" i="40"/>
  <c r="AB16" i="40"/>
  <c r="AB70" i="40"/>
  <c r="P79" i="40"/>
  <c r="AB25" i="40"/>
  <c r="AB79" i="40"/>
  <c r="P69" i="40"/>
  <c r="AB15" i="40"/>
  <c r="AB69" i="40"/>
  <c r="Y266" i="40"/>
  <c r="Y238" i="40"/>
  <c r="Y209" i="40"/>
  <c r="Y268" i="40"/>
  <c r="Y240" i="40"/>
  <c r="Y211" i="40"/>
  <c r="Y263" i="40"/>
  <c r="Y235" i="40"/>
  <c r="I45" i="41"/>
  <c r="Y206" i="40"/>
  <c r="AA101" i="40"/>
  <c r="O92" i="40"/>
  <c r="Z172" i="40"/>
  <c r="Z199" i="40"/>
  <c r="Z152" i="40"/>
  <c r="Z179" i="40"/>
  <c r="O106" i="40"/>
  <c r="AA165" i="40"/>
  <c r="AA192" i="40"/>
  <c r="Z261" i="40"/>
  <c r="J43" i="41"/>
  <c r="Y313" i="40"/>
  <c r="H14" i="41"/>
  <c r="AA151" i="40"/>
  <c r="AA178" i="40"/>
  <c r="P98" i="40"/>
  <c r="Y301" i="40"/>
  <c r="Y300" i="40"/>
  <c r="Y291" i="40"/>
  <c r="AB96" i="40"/>
  <c r="Y303" i="40"/>
  <c r="Y293" i="40"/>
  <c r="Y305" i="40"/>
  <c r="Q81" i="40"/>
  <c r="AC27" i="40"/>
  <c r="AC81" i="40"/>
  <c r="P108" i="40"/>
  <c r="P100" i="40"/>
  <c r="Z270" i="40"/>
  <c r="Z242" i="40"/>
  <c r="Z213" i="40"/>
  <c r="P103" i="40"/>
  <c r="P96" i="40"/>
  <c r="Z283" i="40"/>
  <c r="Z255" i="40"/>
  <c r="Z311" i="40"/>
  <c r="Z226" i="40"/>
  <c r="R136" i="40"/>
  <c r="AD136" i="40"/>
  <c r="R141" i="40"/>
  <c r="AD141" i="40"/>
  <c r="R138" i="40"/>
  <c r="AD138" i="40"/>
  <c r="R140" i="40"/>
  <c r="AD140" i="40"/>
  <c r="R142" i="40"/>
  <c r="AD142" i="40"/>
  <c r="R128" i="40"/>
  <c r="AD128" i="40"/>
  <c r="R120" i="40"/>
  <c r="AD120" i="40"/>
  <c r="R137" i="40"/>
  <c r="AD137" i="40"/>
  <c r="R133" i="40"/>
  <c r="AD133" i="40"/>
  <c r="R125" i="40"/>
  <c r="AD125" i="40"/>
  <c r="R139" i="40"/>
  <c r="AD139" i="40"/>
  <c r="R130" i="40"/>
  <c r="AD130" i="40"/>
  <c r="R122" i="40"/>
  <c r="AD122" i="40"/>
  <c r="R135" i="40"/>
  <c r="AD135" i="40"/>
  <c r="R127" i="40"/>
  <c r="AD127" i="40"/>
  <c r="R119" i="40"/>
  <c r="AD119" i="40"/>
  <c r="R132" i="40"/>
  <c r="AD132" i="40"/>
  <c r="R124" i="40"/>
  <c r="AD124" i="40"/>
  <c r="R129" i="40"/>
  <c r="AD129" i="40"/>
  <c r="R121" i="40"/>
  <c r="AD121" i="40"/>
  <c r="R134" i="40"/>
  <c r="AD134" i="40"/>
  <c r="R126" i="40"/>
  <c r="AD126" i="40"/>
  <c r="R118" i="40"/>
  <c r="R131" i="40"/>
  <c r="AD131" i="40"/>
  <c r="R123" i="40"/>
  <c r="AD123" i="40"/>
  <c r="R54" i="40"/>
  <c r="AD54" i="40"/>
  <c r="R59" i="40"/>
  <c r="AD59" i="40"/>
  <c r="R51" i="40"/>
  <c r="AD51" i="40"/>
  <c r="R56" i="40"/>
  <c r="AD56" i="40"/>
  <c r="R53" i="40"/>
  <c r="AD53" i="40"/>
  <c r="R58" i="40"/>
  <c r="AD58" i="40"/>
  <c r="R55" i="40"/>
  <c r="AD55" i="40"/>
  <c r="R48" i="40"/>
  <c r="AD48" i="40"/>
  <c r="R47" i="40"/>
  <c r="AD47" i="40"/>
  <c r="R41" i="40"/>
  <c r="AD41" i="40"/>
  <c r="R31" i="40"/>
  <c r="R52" i="40"/>
  <c r="AD52" i="40"/>
  <c r="R46" i="40"/>
  <c r="AD46" i="40"/>
  <c r="R38" i="40"/>
  <c r="AD38" i="40"/>
  <c r="R43" i="40"/>
  <c r="AD43" i="40"/>
  <c r="R35" i="40"/>
  <c r="AD35" i="40"/>
  <c r="R25" i="40"/>
  <c r="R17" i="40"/>
  <c r="R9" i="40"/>
  <c r="R40" i="40"/>
  <c r="AD40" i="40"/>
  <c r="R30" i="40"/>
  <c r="R22" i="40"/>
  <c r="R14" i="40"/>
  <c r="R45" i="40"/>
  <c r="AD45" i="40"/>
  <c r="R37" i="40"/>
  <c r="AD37" i="40"/>
  <c r="R27" i="40"/>
  <c r="R19" i="40"/>
  <c r="R11" i="40"/>
  <c r="R57" i="40"/>
  <c r="AD57" i="40"/>
  <c r="R42" i="40"/>
  <c r="AD42" i="40"/>
  <c r="R32" i="40"/>
  <c r="R24" i="40"/>
  <c r="R16" i="40"/>
  <c r="R8" i="40"/>
  <c r="R49" i="40"/>
  <c r="AD49" i="40"/>
  <c r="R39" i="40"/>
  <c r="AD39" i="40"/>
  <c r="R29" i="40"/>
  <c r="R21" i="40"/>
  <c r="R13" i="40"/>
  <c r="R50" i="40"/>
  <c r="AD50" i="40"/>
  <c r="R44" i="40"/>
  <c r="AD44" i="40"/>
  <c r="R18" i="40"/>
  <c r="S5" i="40"/>
  <c r="R20" i="40"/>
  <c r="R26" i="40"/>
  <c r="R36" i="40"/>
  <c r="AD36" i="40"/>
  <c r="R15" i="40"/>
  <c r="R10" i="40"/>
  <c r="R28" i="40"/>
  <c r="R23" i="40"/>
  <c r="R12" i="40"/>
  <c r="Q62" i="40"/>
  <c r="AC8" i="40"/>
  <c r="AC62" i="40"/>
  <c r="Q71" i="40"/>
  <c r="AC17" i="40"/>
  <c r="AC71" i="40"/>
  <c r="AB91" i="40"/>
  <c r="AA155" i="40"/>
  <c r="AA182" i="40"/>
  <c r="Y298" i="40"/>
  <c r="AB89" i="40"/>
  <c r="AA168" i="40"/>
  <c r="AA195" i="40"/>
  <c r="P101" i="40"/>
  <c r="Y289" i="40"/>
  <c r="Y258" i="40"/>
  <c r="I9" i="41"/>
  <c r="P93" i="40"/>
  <c r="I27" i="41"/>
  <c r="AA169" i="40"/>
  <c r="AA196" i="40"/>
  <c r="AB110" i="40"/>
  <c r="P99" i="40"/>
  <c r="X314" i="40"/>
  <c r="AA264" i="40"/>
  <c r="AA236" i="40"/>
  <c r="AA292" i="40"/>
  <c r="AA207" i="40"/>
  <c r="Z274" i="40"/>
  <c r="Z246" i="40"/>
  <c r="Z217" i="40"/>
  <c r="AB101" i="40"/>
  <c r="Z264" i="40"/>
  <c r="Z236" i="40"/>
  <c r="J46" i="41"/>
  <c r="Z207" i="40"/>
  <c r="Q69" i="40"/>
  <c r="AC15" i="40"/>
  <c r="AC69" i="40"/>
  <c r="Q70" i="40"/>
  <c r="AC16" i="40"/>
  <c r="AC70" i="40"/>
  <c r="Q79" i="40"/>
  <c r="AC25" i="40"/>
  <c r="AC79" i="40"/>
  <c r="Q143" i="40"/>
  <c r="AC118" i="40"/>
  <c r="P91" i="40"/>
  <c r="P89" i="40"/>
  <c r="AB143" i="40"/>
  <c r="AB92" i="40"/>
  <c r="Y286" i="40"/>
  <c r="I26" i="41"/>
  <c r="AB111" i="40"/>
  <c r="Z272" i="40"/>
  <c r="Z244" i="40"/>
  <c r="Z215" i="40"/>
  <c r="P110" i="40"/>
  <c r="AB102" i="40"/>
  <c r="Q63" i="40"/>
  <c r="AC9" i="40"/>
  <c r="AC63" i="40"/>
  <c r="AA163" i="40"/>
  <c r="AA190" i="40"/>
  <c r="I28" i="41"/>
  <c r="P106" i="40"/>
  <c r="Q80" i="40"/>
  <c r="AC26" i="40"/>
  <c r="AC80" i="40"/>
  <c r="Q78" i="40"/>
  <c r="AC24" i="40"/>
  <c r="AC78" i="40"/>
  <c r="Q68" i="40"/>
  <c r="AC14" i="40"/>
  <c r="AC68" i="40"/>
  <c r="Q85" i="40"/>
  <c r="AC31" i="40"/>
  <c r="AC85" i="40"/>
  <c r="AA171" i="40"/>
  <c r="AA198" i="40"/>
  <c r="Z262" i="40"/>
  <c r="Z234" i="40"/>
  <c r="J44" i="41"/>
  <c r="Z205" i="40"/>
  <c r="P92" i="40"/>
  <c r="P111" i="40"/>
  <c r="AB105" i="40"/>
  <c r="AA162" i="40"/>
  <c r="AA189" i="40"/>
  <c r="P102" i="40"/>
  <c r="Q75" i="40"/>
  <c r="AC21" i="40"/>
  <c r="AC75" i="40"/>
  <c r="Z271" i="40"/>
  <c r="Z243" i="40"/>
  <c r="Z214" i="40"/>
  <c r="AA166" i="40"/>
  <c r="AA193" i="40"/>
  <c r="AB93" i="40"/>
  <c r="AB99" i="40"/>
  <c r="AB106" i="40"/>
  <c r="Z237" i="40"/>
  <c r="Z265" i="40"/>
  <c r="J47" i="41"/>
  <c r="Z208" i="40"/>
  <c r="AB97" i="40"/>
  <c r="Y299" i="40"/>
  <c r="I11" i="41"/>
  <c r="Q67" i="40"/>
  <c r="AC13" i="40"/>
  <c r="AC67" i="40"/>
  <c r="Q86" i="40"/>
  <c r="AC32" i="40"/>
  <c r="AC86" i="40"/>
  <c r="Q76" i="40"/>
  <c r="AC22" i="40"/>
  <c r="AC76" i="40"/>
  <c r="Y307" i="40"/>
  <c r="AA170" i="40"/>
  <c r="AA197" i="40"/>
  <c r="Y310" i="40"/>
  <c r="AA150" i="40"/>
  <c r="AA177" i="40"/>
  <c r="AB94" i="40"/>
  <c r="Z267" i="40"/>
  <c r="Z239" i="40"/>
  <c r="Z210" i="40"/>
  <c r="Y292" i="40"/>
  <c r="AB107" i="40"/>
  <c r="AA157" i="40"/>
  <c r="AA184" i="40"/>
  <c r="P105" i="40"/>
  <c r="AB104" i="40"/>
  <c r="Z275" i="40"/>
  <c r="Z247" i="40"/>
  <c r="Z218" i="40"/>
  <c r="Q77" i="40"/>
  <c r="AC23" i="40"/>
  <c r="AC77" i="40"/>
  <c r="Z257" i="40"/>
  <c r="Z285" i="40"/>
  <c r="Z313" i="40"/>
  <c r="Z228" i="40"/>
  <c r="Y296" i="40"/>
  <c r="P97" i="40"/>
  <c r="Y304" i="40"/>
  <c r="I12" i="41"/>
  <c r="AB98" i="40"/>
  <c r="Q84" i="40"/>
  <c r="AC30" i="40"/>
  <c r="AC84" i="40"/>
  <c r="Q66" i="40"/>
  <c r="AC12" i="40"/>
  <c r="AC66" i="40"/>
  <c r="AA149" i="40"/>
  <c r="AA176" i="40"/>
  <c r="Z263" i="40"/>
  <c r="Z235" i="40"/>
  <c r="J45" i="41"/>
  <c r="Z206" i="40"/>
  <c r="AB90" i="40"/>
  <c r="AB109" i="40"/>
  <c r="Z268" i="40"/>
  <c r="Z240" i="40"/>
  <c r="Z211" i="40"/>
  <c r="P94" i="40"/>
  <c r="AA148" i="40"/>
  <c r="AA175" i="40"/>
  <c r="AA152" i="40"/>
  <c r="AA179" i="40"/>
  <c r="I29" i="41"/>
  <c r="P107" i="40"/>
  <c r="H31" i="41"/>
  <c r="AB112" i="40"/>
  <c r="AA158" i="40"/>
  <c r="AA185" i="40"/>
  <c r="Z282" i="40"/>
  <c r="Z254" i="40"/>
  <c r="Z225" i="40"/>
  <c r="P104" i="40"/>
  <c r="Z200" i="40"/>
  <c r="Z201" i="40"/>
  <c r="Y294" i="40"/>
  <c r="I10" i="41"/>
  <c r="AA278" i="40"/>
  <c r="AA250" i="40"/>
  <c r="AA221" i="40"/>
  <c r="Q72" i="40"/>
  <c r="AC18" i="40"/>
  <c r="AC72" i="40"/>
  <c r="Q65" i="40"/>
  <c r="AC11" i="40"/>
  <c r="AC65" i="40"/>
  <c r="Q74" i="40"/>
  <c r="AC20" i="40"/>
  <c r="AC74" i="40"/>
  <c r="AA154" i="40"/>
  <c r="AA181" i="40"/>
  <c r="Z266" i="40"/>
  <c r="Z238" i="40"/>
  <c r="Z209" i="40"/>
  <c r="P90" i="40"/>
  <c r="AA164" i="40"/>
  <c r="AA191" i="40"/>
  <c r="Y309" i="40"/>
  <c r="I13" i="41"/>
  <c r="P109" i="40"/>
  <c r="Z253" i="40"/>
  <c r="Z281" i="40"/>
  <c r="Z224" i="40"/>
  <c r="Y229" i="40"/>
  <c r="Y230" i="40"/>
  <c r="Z276" i="40"/>
  <c r="Z248" i="40"/>
  <c r="Z219" i="40"/>
  <c r="Z273" i="40"/>
  <c r="Z245" i="40"/>
  <c r="Z216" i="40"/>
  <c r="P112" i="40"/>
  <c r="AA153" i="40"/>
  <c r="AA180" i="40"/>
  <c r="AB95" i="40"/>
  <c r="AA167" i="40"/>
  <c r="AA194" i="40"/>
  <c r="Z289" i="40"/>
  <c r="AB113" i="40"/>
  <c r="Z277" i="40"/>
  <c r="Z249" i="40"/>
  <c r="Z220" i="40"/>
  <c r="AA160" i="40"/>
  <c r="AA187" i="40"/>
  <c r="P113" i="40"/>
  <c r="Z279" i="40"/>
  <c r="Z251" i="40"/>
  <c r="Z222" i="40"/>
  <c r="Q64" i="40"/>
  <c r="AC10" i="40"/>
  <c r="AC64" i="40"/>
  <c r="Q83" i="40"/>
  <c r="AC29" i="40"/>
  <c r="AC83" i="40"/>
  <c r="Q73" i="40"/>
  <c r="AC19" i="40"/>
  <c r="AC73" i="40"/>
  <c r="Q82" i="40"/>
  <c r="AC28" i="40"/>
  <c r="AC82" i="40"/>
  <c r="Y311" i="40"/>
  <c r="Z269" i="40"/>
  <c r="Z241" i="40"/>
  <c r="Z212" i="40"/>
  <c r="AB108" i="40"/>
  <c r="AA172" i="40"/>
  <c r="AA199" i="40"/>
  <c r="Y308" i="40"/>
  <c r="AB100" i="40"/>
  <c r="Z278" i="40"/>
  <c r="Z250" i="40"/>
  <c r="Z221" i="40"/>
  <c r="I48" i="41"/>
  <c r="AA159" i="40"/>
  <c r="AA186" i="40"/>
  <c r="Z284" i="40"/>
  <c r="Z256" i="40"/>
  <c r="Z227" i="40"/>
  <c r="AA156" i="40"/>
  <c r="AA183" i="40"/>
  <c r="I30" i="41"/>
  <c r="AB103" i="40"/>
  <c r="AA161" i="40"/>
  <c r="AA188" i="40"/>
  <c r="P95" i="40"/>
  <c r="Z305" i="40"/>
  <c r="Z286" i="40"/>
  <c r="Z300" i="40"/>
  <c r="Z296" i="40"/>
  <c r="AB167" i="40"/>
  <c r="AB194" i="40"/>
  <c r="AB252" i="40"/>
  <c r="AB154" i="40"/>
  <c r="AB181" i="40"/>
  <c r="AB239" i="40"/>
  <c r="AC110" i="40"/>
  <c r="Z229" i="40"/>
  <c r="Z230" i="40"/>
  <c r="Z292" i="40"/>
  <c r="Z297" i="40"/>
  <c r="Q110" i="40"/>
  <c r="K46" i="41"/>
  <c r="J26" i="41"/>
  <c r="Z310" i="40"/>
  <c r="AA273" i="40"/>
  <c r="AA245" i="40"/>
  <c r="AA216" i="40"/>
  <c r="AA280" i="40"/>
  <c r="AA252" i="40"/>
  <c r="AA223" i="40"/>
  <c r="Z304" i="40"/>
  <c r="J12" i="41"/>
  <c r="Q92" i="40"/>
  <c r="AB168" i="40"/>
  <c r="AB195" i="40"/>
  <c r="AC111" i="40"/>
  <c r="Q113" i="40"/>
  <c r="J30" i="41"/>
  <c r="Q95" i="40"/>
  <c r="Q96" i="40"/>
  <c r="AB169" i="40"/>
  <c r="AB196" i="40"/>
  <c r="AA281" i="40"/>
  <c r="AA253" i="40"/>
  <c r="AA224" i="40"/>
  <c r="R77" i="40"/>
  <c r="AD23" i="40"/>
  <c r="AD77" i="40"/>
  <c r="R72" i="40"/>
  <c r="AD18" i="40"/>
  <c r="AD72" i="40"/>
  <c r="R62" i="40"/>
  <c r="AD8" i="40"/>
  <c r="AD62" i="40"/>
  <c r="R81" i="40"/>
  <c r="AD27" i="40"/>
  <c r="AD81" i="40"/>
  <c r="R71" i="40"/>
  <c r="AD17" i="40"/>
  <c r="AD71" i="40"/>
  <c r="Q108" i="40"/>
  <c r="AB280" i="40"/>
  <c r="AC99" i="40"/>
  <c r="AB149" i="40"/>
  <c r="AB176" i="40"/>
  <c r="Q111" i="40"/>
  <c r="AB163" i="40"/>
  <c r="AB190" i="40"/>
  <c r="AB153" i="40"/>
  <c r="AB180" i="40"/>
  <c r="AC94" i="40"/>
  <c r="Z293" i="40"/>
  <c r="AC105" i="40"/>
  <c r="AC143" i="40"/>
  <c r="AA282" i="40"/>
  <c r="AA254" i="40"/>
  <c r="AA225" i="40"/>
  <c r="AB148" i="40"/>
  <c r="AB175" i="40"/>
  <c r="R82" i="40"/>
  <c r="AD28" i="40"/>
  <c r="AD82" i="40"/>
  <c r="R70" i="40"/>
  <c r="AD16" i="40"/>
  <c r="AD70" i="40"/>
  <c r="R79" i="40"/>
  <c r="AD25" i="40"/>
  <c r="AD79" i="40"/>
  <c r="Z298" i="40"/>
  <c r="AA277" i="40"/>
  <c r="AA249" i="40"/>
  <c r="AA220" i="40"/>
  <c r="Q94" i="40"/>
  <c r="AB165" i="40"/>
  <c r="AB192" i="40"/>
  <c r="AC102" i="40"/>
  <c r="Q105" i="40"/>
  <c r="AC90" i="40"/>
  <c r="AB170" i="40"/>
  <c r="AB197" i="40"/>
  <c r="R64" i="40"/>
  <c r="AD10" i="40"/>
  <c r="AD64" i="40"/>
  <c r="R78" i="40"/>
  <c r="AD24" i="40"/>
  <c r="AD78" i="40"/>
  <c r="AC91" i="40"/>
  <c r="AB162" i="40"/>
  <c r="AB189" i="40"/>
  <c r="Q91" i="40"/>
  <c r="AA261" i="40"/>
  <c r="AA233" i="40"/>
  <c r="AA200" i="40"/>
  <c r="AA201" i="40"/>
  <c r="K43" i="41"/>
  <c r="AA204" i="40"/>
  <c r="AA270" i="40"/>
  <c r="AA242" i="40"/>
  <c r="AA298" i="40"/>
  <c r="AA213" i="40"/>
  <c r="AB158" i="40"/>
  <c r="AB185" i="40"/>
  <c r="Q102" i="40"/>
  <c r="AC107" i="40"/>
  <c r="Q90" i="40"/>
  <c r="I31" i="41"/>
  <c r="AC106" i="40"/>
  <c r="AA268" i="40"/>
  <c r="AA240" i="40"/>
  <c r="AA211" i="40"/>
  <c r="AC98" i="40"/>
  <c r="R69" i="40"/>
  <c r="AD15" i="40"/>
  <c r="AD69" i="40"/>
  <c r="R67" i="40"/>
  <c r="AD13" i="40"/>
  <c r="AD67" i="40"/>
  <c r="R86" i="40"/>
  <c r="AD32" i="40"/>
  <c r="AD86" i="40"/>
  <c r="R68" i="40"/>
  <c r="AD14" i="40"/>
  <c r="AD68" i="40"/>
  <c r="AA285" i="40"/>
  <c r="AA257" i="40"/>
  <c r="AA228" i="40"/>
  <c r="AA263" i="40"/>
  <c r="AA235" i="40"/>
  <c r="K45" i="41"/>
  <c r="AA206" i="40"/>
  <c r="Z306" i="40"/>
  <c r="AC109" i="40"/>
  <c r="AB172" i="40"/>
  <c r="AB199" i="40"/>
  <c r="Z294" i="40"/>
  <c r="J10" i="41"/>
  <c r="AA306" i="40"/>
  <c r="Z291" i="40"/>
  <c r="AC104" i="40"/>
  <c r="AB166" i="40"/>
  <c r="AB193" i="40"/>
  <c r="AA283" i="40"/>
  <c r="AA255" i="40"/>
  <c r="AA226" i="40"/>
  <c r="AB152" i="40"/>
  <c r="AB179" i="40"/>
  <c r="Z290" i="40"/>
  <c r="Q107" i="40"/>
  <c r="Q106" i="40"/>
  <c r="J29" i="41"/>
  <c r="I14" i="41"/>
  <c r="AB150" i="40"/>
  <c r="AB177" i="40"/>
  <c r="Q98" i="40"/>
  <c r="R75" i="40"/>
  <c r="AD21" i="40"/>
  <c r="AD75" i="40"/>
  <c r="R76" i="40"/>
  <c r="AD22" i="40"/>
  <c r="AD76" i="40"/>
  <c r="R143" i="40"/>
  <c r="AD118" i="40"/>
  <c r="AA272" i="40"/>
  <c r="AA244" i="40"/>
  <c r="AA215" i="40"/>
  <c r="AA265" i="40"/>
  <c r="AA237" i="40"/>
  <c r="K47" i="41"/>
  <c r="AA208" i="40"/>
  <c r="AA269" i="40"/>
  <c r="AA241" i="40"/>
  <c r="AA297" i="40"/>
  <c r="AA212" i="40"/>
  <c r="Q109" i="40"/>
  <c r="Z307" i="40"/>
  <c r="J9" i="41"/>
  <c r="Z301" i="40"/>
  <c r="Z309" i="40"/>
  <c r="J13" i="41"/>
  <c r="AC101" i="40"/>
  <c r="AA271" i="40"/>
  <c r="AA243" i="40"/>
  <c r="AA214" i="40"/>
  <c r="J28" i="41"/>
  <c r="Q104" i="40"/>
  <c r="AC103" i="40"/>
  <c r="AB156" i="40"/>
  <c r="AB183" i="40"/>
  <c r="AA279" i="40"/>
  <c r="AA251" i="40"/>
  <c r="AA222" i="40"/>
  <c r="J27" i="41"/>
  <c r="AC112" i="40"/>
  <c r="AB161" i="40"/>
  <c r="AB188" i="40"/>
  <c r="AB151" i="40"/>
  <c r="AB178" i="40"/>
  <c r="AC97" i="40"/>
  <c r="AB160" i="40"/>
  <c r="AB187" i="40"/>
  <c r="AB155" i="40"/>
  <c r="AB182" i="40"/>
  <c r="AC89" i="40"/>
  <c r="R80" i="40"/>
  <c r="AD26" i="40"/>
  <c r="AD80" i="40"/>
  <c r="R83" i="40"/>
  <c r="AD29" i="40"/>
  <c r="AD83" i="40"/>
  <c r="R84" i="40"/>
  <c r="AD30" i="40"/>
  <c r="AD84" i="40"/>
  <c r="J48" i="41"/>
  <c r="AA274" i="40"/>
  <c r="AA246" i="40"/>
  <c r="AA217" i="40"/>
  <c r="AB157" i="40"/>
  <c r="AB184" i="40"/>
  <c r="AB159" i="40"/>
  <c r="AB186" i="40"/>
  <c r="AC100" i="40"/>
  <c r="Z258" i="40"/>
  <c r="AA267" i="40"/>
  <c r="AA239" i="40"/>
  <c r="AA210" i="40"/>
  <c r="Q101" i="40"/>
  <c r="AB171" i="40"/>
  <c r="AB198" i="40"/>
  <c r="AC93" i="40"/>
  <c r="Q103" i="40"/>
  <c r="AA275" i="40"/>
  <c r="AA247" i="40"/>
  <c r="AA218" i="40"/>
  <c r="AA284" i="40"/>
  <c r="AA256" i="40"/>
  <c r="AA227" i="40"/>
  <c r="Q112" i="40"/>
  <c r="Q97" i="40"/>
  <c r="Y314" i="40"/>
  <c r="Q89" i="40"/>
  <c r="R74" i="40"/>
  <c r="AD20" i="40"/>
  <c r="AD74" i="40"/>
  <c r="R65" i="40"/>
  <c r="AD11" i="40"/>
  <c r="AD65" i="40"/>
  <c r="AB267" i="40"/>
  <c r="AA266" i="40"/>
  <c r="AA238" i="40"/>
  <c r="AA209" i="40"/>
  <c r="Q99" i="40"/>
  <c r="Z312" i="40"/>
  <c r="Q100" i="40"/>
  <c r="AC92" i="40"/>
  <c r="AA262" i="40"/>
  <c r="AA234" i="40"/>
  <c r="K44" i="41"/>
  <c r="AA205" i="40"/>
  <c r="Q93" i="40"/>
  <c r="Z303" i="40"/>
  <c r="Z295" i="40"/>
  <c r="Z299" i="40"/>
  <c r="Z302" i="40"/>
  <c r="Z314" i="40"/>
  <c r="AC113" i="40"/>
  <c r="J11" i="41"/>
  <c r="AB164" i="40"/>
  <c r="AB191" i="40"/>
  <c r="AC95" i="40"/>
  <c r="AA276" i="40"/>
  <c r="AA248" i="40"/>
  <c r="AA219" i="40"/>
  <c r="AC96" i="40"/>
  <c r="AD12" i="40"/>
  <c r="AD66" i="40"/>
  <c r="R66" i="40"/>
  <c r="S141" i="40"/>
  <c r="AE141" i="40"/>
  <c r="S138" i="40"/>
  <c r="AE138" i="40"/>
  <c r="S140" i="40"/>
  <c r="AE140" i="40"/>
  <c r="S137" i="40"/>
  <c r="AE137" i="40"/>
  <c r="S142" i="40"/>
  <c r="AE142" i="40"/>
  <c r="S139" i="40"/>
  <c r="AE139" i="40"/>
  <c r="S133" i="40"/>
  <c r="AE133" i="40"/>
  <c r="S125" i="40"/>
  <c r="AE125" i="40"/>
  <c r="S130" i="40"/>
  <c r="AE130" i="40"/>
  <c r="S122" i="40"/>
  <c r="AE122" i="40"/>
  <c r="S135" i="40"/>
  <c r="AE135" i="40"/>
  <c r="S127" i="40"/>
  <c r="AE127" i="40"/>
  <c r="S119" i="40"/>
  <c r="AE119" i="40"/>
  <c r="S132" i="40"/>
  <c r="AE132" i="40"/>
  <c r="S124" i="40"/>
  <c r="AE124" i="40"/>
  <c r="S129" i="40"/>
  <c r="AE129" i="40"/>
  <c r="S121" i="40"/>
  <c r="AE121" i="40"/>
  <c r="S136" i="40"/>
  <c r="AE136" i="40"/>
  <c r="S134" i="40"/>
  <c r="AE134" i="40"/>
  <c r="S126" i="40"/>
  <c r="AE126" i="40"/>
  <c r="S118" i="40"/>
  <c r="S131" i="40"/>
  <c r="AE131" i="40"/>
  <c r="S123" i="40"/>
  <c r="AE123" i="40"/>
  <c r="S128" i="40"/>
  <c r="AE128" i="40"/>
  <c r="S120" i="40"/>
  <c r="AE120" i="40"/>
  <c r="S59" i="40"/>
  <c r="AE59" i="40"/>
  <c r="S51" i="40"/>
  <c r="AE51" i="40"/>
  <c r="S56" i="40"/>
  <c r="AE56" i="40"/>
  <c r="S53" i="40"/>
  <c r="AE53" i="40"/>
  <c r="S58" i="40"/>
  <c r="AE58" i="40"/>
  <c r="S50" i="40"/>
  <c r="AE50" i="40"/>
  <c r="S55" i="40"/>
  <c r="AE55" i="40"/>
  <c r="S57" i="40"/>
  <c r="AE57" i="40"/>
  <c r="S52" i="40"/>
  <c r="AE52" i="40"/>
  <c r="S46" i="40"/>
  <c r="AE46" i="40"/>
  <c r="S38" i="40"/>
  <c r="AE38" i="40"/>
  <c r="S43" i="40"/>
  <c r="AE43" i="40"/>
  <c r="S35" i="40"/>
  <c r="AE35" i="40"/>
  <c r="S40" i="40"/>
  <c r="AE40" i="40"/>
  <c r="S30" i="40"/>
  <c r="S22" i="40"/>
  <c r="S14" i="40"/>
  <c r="S54" i="40"/>
  <c r="AE54" i="40"/>
  <c r="S45" i="40"/>
  <c r="AE45" i="40"/>
  <c r="S37" i="40"/>
  <c r="AE37" i="40"/>
  <c r="S27" i="40"/>
  <c r="S19" i="40"/>
  <c r="S11" i="40"/>
  <c r="S42" i="40"/>
  <c r="AE42" i="40"/>
  <c r="S32" i="40"/>
  <c r="S24" i="40"/>
  <c r="S16" i="40"/>
  <c r="S8" i="40"/>
  <c r="S49" i="40"/>
  <c r="AE49" i="40"/>
  <c r="S39" i="40"/>
  <c r="AE39" i="40"/>
  <c r="S29" i="40"/>
  <c r="S21" i="40"/>
  <c r="S13" i="40"/>
  <c r="S47" i="40"/>
  <c r="AE47" i="40"/>
  <c r="S44" i="40"/>
  <c r="AE44" i="40"/>
  <c r="S36" i="40"/>
  <c r="AE36" i="40"/>
  <c r="S26" i="40"/>
  <c r="S18" i="40"/>
  <c r="S10" i="40"/>
  <c r="T5" i="40"/>
  <c r="S48" i="40"/>
  <c r="AE48" i="40"/>
  <c r="S25" i="40"/>
  <c r="S41" i="40"/>
  <c r="AE41" i="40"/>
  <c r="S9" i="40"/>
  <c r="S20" i="40"/>
  <c r="S31" i="40"/>
  <c r="S15" i="40"/>
  <c r="S28" i="40"/>
  <c r="S17" i="40"/>
  <c r="S23" i="40"/>
  <c r="S12" i="40"/>
  <c r="R73" i="40"/>
  <c r="AD19" i="40"/>
  <c r="AD73" i="40"/>
  <c r="R63" i="40"/>
  <c r="AD9" i="40"/>
  <c r="AD63" i="40"/>
  <c r="R85" i="40"/>
  <c r="AD31" i="40"/>
  <c r="AD85" i="40"/>
  <c r="AC108" i="40"/>
  <c r="AC167" i="40"/>
  <c r="AC194" i="40"/>
  <c r="AA302" i="40"/>
  <c r="AD112" i="40"/>
  <c r="AA305" i="40"/>
  <c r="AA312" i="40"/>
  <c r="AA296" i="40"/>
  <c r="AA308" i="40"/>
  <c r="K30" i="41"/>
  <c r="AA310" i="40"/>
  <c r="AA290" i="40"/>
  <c r="AA303" i="40"/>
  <c r="AB210" i="40"/>
  <c r="K29" i="41"/>
  <c r="AA311" i="40"/>
  <c r="AA313" i="40"/>
  <c r="AB223" i="40"/>
  <c r="R100" i="40"/>
  <c r="AC169" i="40"/>
  <c r="AC196" i="40"/>
  <c r="AC225" i="40"/>
  <c r="AC254" i="40"/>
  <c r="R90" i="40"/>
  <c r="S85" i="40"/>
  <c r="AE31" i="40"/>
  <c r="AE85" i="40"/>
  <c r="S72" i="40"/>
  <c r="AE18" i="40"/>
  <c r="AE72" i="40"/>
  <c r="S73" i="40"/>
  <c r="AE19" i="40"/>
  <c r="AE73" i="40"/>
  <c r="AD93" i="40"/>
  <c r="AA294" i="40"/>
  <c r="K10" i="41"/>
  <c r="AD111" i="40"/>
  <c r="AB273" i="40"/>
  <c r="AB245" i="40"/>
  <c r="AB216" i="40"/>
  <c r="AC160" i="40"/>
  <c r="AC187" i="40"/>
  <c r="R103" i="40"/>
  <c r="AC163" i="40"/>
  <c r="AC190" i="40"/>
  <c r="AD113" i="40"/>
  <c r="AB271" i="40"/>
  <c r="AB243" i="40"/>
  <c r="AB214" i="40"/>
  <c r="AA286" i="40"/>
  <c r="K26" i="41"/>
  <c r="AC153" i="40"/>
  <c r="AC180" i="40"/>
  <c r="AD98" i="40"/>
  <c r="AD104" i="40"/>
  <c r="AD100" i="40"/>
  <c r="S74" i="40"/>
  <c r="AE20" i="40"/>
  <c r="AE74" i="40"/>
  <c r="S80" i="40"/>
  <c r="AE26" i="40"/>
  <c r="AE80" i="40"/>
  <c r="S81" i="40"/>
  <c r="AE27" i="40"/>
  <c r="AE81" i="40"/>
  <c r="K27" i="41"/>
  <c r="R111" i="40"/>
  <c r="AC156" i="40"/>
  <c r="AC183" i="40"/>
  <c r="AB269" i="40"/>
  <c r="AB241" i="40"/>
  <c r="AB212" i="40"/>
  <c r="AD102" i="40"/>
  <c r="R113" i="40"/>
  <c r="AB283" i="40"/>
  <c r="AB255" i="40"/>
  <c r="AB226" i="40"/>
  <c r="AD106" i="40"/>
  <c r="AB238" i="40"/>
  <c r="AB266" i="40"/>
  <c r="AB209" i="40"/>
  <c r="R98" i="40"/>
  <c r="R104" i="40"/>
  <c r="S63" i="40"/>
  <c r="AE9" i="40"/>
  <c r="AE63" i="40"/>
  <c r="S62" i="40"/>
  <c r="AE8" i="40"/>
  <c r="AE62" i="40"/>
  <c r="S143" i="40"/>
  <c r="AE118" i="40"/>
  <c r="AC155" i="40"/>
  <c r="AC182" i="40"/>
  <c r="AC172" i="40"/>
  <c r="AC199" i="40"/>
  <c r="AC151" i="40"/>
  <c r="AC178" i="40"/>
  <c r="AC159" i="40"/>
  <c r="AC186" i="40"/>
  <c r="AD110" i="40"/>
  <c r="AB264" i="40"/>
  <c r="AB236" i="40"/>
  <c r="L46" i="41"/>
  <c r="AB207" i="40"/>
  <c r="AC162" i="40"/>
  <c r="AC189" i="40"/>
  <c r="R102" i="40"/>
  <c r="AD94" i="40"/>
  <c r="AC165" i="40"/>
  <c r="AC192" i="40"/>
  <c r="AB275" i="40"/>
  <c r="AB247" i="40"/>
  <c r="AB218" i="40"/>
  <c r="AC149" i="40"/>
  <c r="AC176" i="40"/>
  <c r="R106" i="40"/>
  <c r="AB276" i="40"/>
  <c r="AB248" i="40"/>
  <c r="AB219" i="40"/>
  <c r="AD108" i="40"/>
  <c r="AC170" i="40"/>
  <c r="AC197" i="40"/>
  <c r="S66" i="40"/>
  <c r="AE12" i="40"/>
  <c r="AE66" i="40"/>
  <c r="S70" i="40"/>
  <c r="AE16" i="40"/>
  <c r="AE70" i="40"/>
  <c r="AB295" i="40"/>
  <c r="AD92" i="40"/>
  <c r="AC152" i="40"/>
  <c r="AC179" i="40"/>
  <c r="AB272" i="40"/>
  <c r="AB244" i="40"/>
  <c r="AB215" i="40"/>
  <c r="R110" i="40"/>
  <c r="AB246" i="40"/>
  <c r="AB274" i="40"/>
  <c r="AB217" i="40"/>
  <c r="AB265" i="40"/>
  <c r="AB237" i="40"/>
  <c r="AB293" i="40"/>
  <c r="L47" i="41"/>
  <c r="AB208" i="40"/>
  <c r="AA291" i="40"/>
  <c r="R94" i="40"/>
  <c r="AC150" i="40"/>
  <c r="AC177" i="40"/>
  <c r="AD97" i="40"/>
  <c r="R108" i="40"/>
  <c r="AA309" i="40"/>
  <c r="K13" i="41"/>
  <c r="AB281" i="40"/>
  <c r="AB253" i="40"/>
  <c r="AB224" i="40"/>
  <c r="AA301" i="40"/>
  <c r="AE23" i="40"/>
  <c r="AE77" i="40"/>
  <c r="S77" i="40"/>
  <c r="S79" i="40"/>
  <c r="AE25" i="40"/>
  <c r="AE79" i="40"/>
  <c r="S78" i="40"/>
  <c r="AE24" i="40"/>
  <c r="AE78" i="40"/>
  <c r="AA304" i="40"/>
  <c r="K12" i="41"/>
  <c r="R92" i="40"/>
  <c r="AB284" i="40"/>
  <c r="AB256" i="40"/>
  <c r="AB227" i="40"/>
  <c r="AB270" i="40"/>
  <c r="AB242" i="40"/>
  <c r="AB213" i="40"/>
  <c r="AD107" i="40"/>
  <c r="AC171" i="40"/>
  <c r="AC198" i="40"/>
  <c r="J14" i="41"/>
  <c r="AA293" i="40"/>
  <c r="AB263" i="40"/>
  <c r="AB235" i="40"/>
  <c r="L45" i="41"/>
  <c r="AB206" i="40"/>
  <c r="K28" i="41"/>
  <c r="AD96" i="40"/>
  <c r="AA229" i="40"/>
  <c r="AA230" i="40"/>
  <c r="AD105" i="40"/>
  <c r="AC161" i="40"/>
  <c r="AC188" i="40"/>
  <c r="R97" i="40"/>
  <c r="AB234" i="40"/>
  <c r="AB262" i="40"/>
  <c r="L44" i="41"/>
  <c r="AB205" i="40"/>
  <c r="AD89" i="40"/>
  <c r="S71" i="40"/>
  <c r="AE17" i="40"/>
  <c r="AE71" i="40"/>
  <c r="S67" i="40"/>
  <c r="AE13" i="40"/>
  <c r="AE67" i="40"/>
  <c r="S86" i="40"/>
  <c r="AE32" i="40"/>
  <c r="AE86" i="40"/>
  <c r="S68" i="40"/>
  <c r="AE14" i="40"/>
  <c r="AE68" i="40"/>
  <c r="AD101" i="40"/>
  <c r="R107" i="40"/>
  <c r="AD143" i="40"/>
  <c r="AB285" i="40"/>
  <c r="AB257" i="40"/>
  <c r="AB228" i="40"/>
  <c r="R96" i="40"/>
  <c r="AC166" i="40"/>
  <c r="AC193" i="40"/>
  <c r="K48" i="41"/>
  <c r="R105" i="40"/>
  <c r="AB278" i="40"/>
  <c r="AB250" i="40"/>
  <c r="AB221" i="40"/>
  <c r="AD109" i="40"/>
  <c r="AC158" i="40"/>
  <c r="AC185" i="40"/>
  <c r="R89" i="40"/>
  <c r="AB282" i="40"/>
  <c r="AB254" i="40"/>
  <c r="AB225" i="40"/>
  <c r="S82" i="40"/>
  <c r="AE28" i="40"/>
  <c r="AE82" i="40"/>
  <c r="T138" i="40"/>
  <c r="AF138" i="40"/>
  <c r="T140" i="40"/>
  <c r="AF140" i="40"/>
  <c r="T142" i="40"/>
  <c r="AF142" i="40"/>
  <c r="T139" i="40"/>
  <c r="AF139" i="40"/>
  <c r="T137" i="40"/>
  <c r="AF137" i="40"/>
  <c r="T130" i="40"/>
  <c r="AF130" i="40"/>
  <c r="T122" i="40"/>
  <c r="AF122" i="40"/>
  <c r="T135" i="40"/>
  <c r="AF135" i="40"/>
  <c r="T127" i="40"/>
  <c r="AF127" i="40"/>
  <c r="T119" i="40"/>
  <c r="AF119" i="40"/>
  <c r="T132" i="40"/>
  <c r="AF132" i="40"/>
  <c r="T124" i="40"/>
  <c r="AF124" i="40"/>
  <c r="T141" i="40"/>
  <c r="AF141" i="40"/>
  <c r="T129" i="40"/>
  <c r="AF129" i="40"/>
  <c r="T121" i="40"/>
  <c r="AF121" i="40"/>
  <c r="T136" i="40"/>
  <c r="AF136" i="40"/>
  <c r="T134" i="40"/>
  <c r="AF134" i="40"/>
  <c r="T126" i="40"/>
  <c r="AF126" i="40"/>
  <c r="T118" i="40"/>
  <c r="T131" i="40"/>
  <c r="AF131" i="40"/>
  <c r="T123" i="40"/>
  <c r="AF123" i="40"/>
  <c r="T128" i="40"/>
  <c r="AF128" i="40"/>
  <c r="T120" i="40"/>
  <c r="AF120" i="40"/>
  <c r="T133" i="40"/>
  <c r="AF133" i="40"/>
  <c r="T125" i="40"/>
  <c r="AF125" i="40"/>
  <c r="T56" i="40"/>
  <c r="AF56" i="40"/>
  <c r="T48" i="40"/>
  <c r="AF48" i="40"/>
  <c r="T53" i="40"/>
  <c r="AF53" i="40"/>
  <c r="T58" i="40"/>
  <c r="AF58" i="40"/>
  <c r="T50" i="40"/>
  <c r="AF50" i="40"/>
  <c r="T55" i="40"/>
  <c r="AF55" i="40"/>
  <c r="T52" i="40"/>
  <c r="AF52" i="40"/>
  <c r="T57" i="40"/>
  <c r="AF57" i="40"/>
  <c r="T43" i="40"/>
  <c r="AF43" i="40"/>
  <c r="T35" i="40"/>
  <c r="AF35" i="40"/>
  <c r="T40" i="40"/>
  <c r="AF40" i="40"/>
  <c r="T30" i="40"/>
  <c r="T54" i="40"/>
  <c r="AF54" i="40"/>
  <c r="T45" i="40"/>
  <c r="AF45" i="40"/>
  <c r="T37" i="40"/>
  <c r="AF37" i="40"/>
  <c r="T27" i="40"/>
  <c r="T19" i="40"/>
  <c r="T11" i="40"/>
  <c r="T51" i="40"/>
  <c r="AF51" i="40"/>
  <c r="T42" i="40"/>
  <c r="AF42" i="40"/>
  <c r="T32" i="40"/>
  <c r="T24" i="40"/>
  <c r="T16" i="40"/>
  <c r="T8" i="40"/>
  <c r="T49" i="40"/>
  <c r="AF49" i="40"/>
  <c r="T39" i="40"/>
  <c r="AF39" i="40"/>
  <c r="T29" i="40"/>
  <c r="T21" i="40"/>
  <c r="T13" i="40"/>
  <c r="T44" i="40"/>
  <c r="AF44" i="40"/>
  <c r="T36" i="40"/>
  <c r="AF36" i="40"/>
  <c r="T26" i="40"/>
  <c r="T18" i="40"/>
  <c r="T10" i="40"/>
  <c r="U5" i="40"/>
  <c r="T46" i="40"/>
  <c r="AF46" i="40"/>
  <c r="T59" i="40"/>
  <c r="AF59" i="40"/>
  <c r="T47" i="40"/>
  <c r="AF47" i="40"/>
  <c r="T41" i="40"/>
  <c r="AF41" i="40"/>
  <c r="T31" i="40"/>
  <c r="T23" i="40"/>
  <c r="T15" i="40"/>
  <c r="T20" i="40"/>
  <c r="T14" i="40"/>
  <c r="T28" i="40"/>
  <c r="T22" i="40"/>
  <c r="T17" i="40"/>
  <c r="T12" i="40"/>
  <c r="T25" i="40"/>
  <c r="T9" i="40"/>
  <c r="T38" i="40"/>
  <c r="AF38" i="40"/>
  <c r="S75" i="40"/>
  <c r="AE21" i="40"/>
  <c r="AE75" i="40"/>
  <c r="S76" i="40"/>
  <c r="AE22" i="40"/>
  <c r="AE76" i="40"/>
  <c r="AC154" i="40"/>
  <c r="AC181" i="40"/>
  <c r="R101" i="40"/>
  <c r="AC148" i="40"/>
  <c r="AC175" i="40"/>
  <c r="AA299" i="40"/>
  <c r="K11" i="41"/>
  <c r="AC168" i="40"/>
  <c r="AC195" i="40"/>
  <c r="AD95" i="40"/>
  <c r="AC157" i="40"/>
  <c r="AC184" i="40"/>
  <c r="AD91" i="40"/>
  <c r="R109" i="40"/>
  <c r="AC164" i="40"/>
  <c r="AC191" i="40"/>
  <c r="AD99" i="40"/>
  <c r="AC280" i="40"/>
  <c r="AC252" i="40"/>
  <c r="AC223" i="40"/>
  <c r="R112" i="40"/>
  <c r="AD90" i="40"/>
  <c r="S69" i="40"/>
  <c r="AE15" i="40"/>
  <c r="AE69" i="40"/>
  <c r="S64" i="40"/>
  <c r="AE10" i="40"/>
  <c r="AE64" i="40"/>
  <c r="S83" i="40"/>
  <c r="AE29" i="40"/>
  <c r="AE83" i="40"/>
  <c r="S65" i="40"/>
  <c r="AE11" i="40"/>
  <c r="AE65" i="40"/>
  <c r="S84" i="40"/>
  <c r="AE30" i="40"/>
  <c r="AE84" i="40"/>
  <c r="R93" i="40"/>
  <c r="AB277" i="40"/>
  <c r="AB249" i="40"/>
  <c r="AB220" i="40"/>
  <c r="AA295" i="40"/>
  <c r="AB268" i="40"/>
  <c r="AB240" i="40"/>
  <c r="AB296" i="40"/>
  <c r="AB211" i="40"/>
  <c r="AA307" i="40"/>
  <c r="AA300" i="40"/>
  <c r="AD103" i="40"/>
  <c r="AB279" i="40"/>
  <c r="AB251" i="40"/>
  <c r="AB222" i="40"/>
  <c r="R95" i="40"/>
  <c r="AA289" i="40"/>
  <c r="AA258" i="40"/>
  <c r="K9" i="41"/>
  <c r="K14" i="41"/>
  <c r="R91" i="40"/>
  <c r="AB261" i="40"/>
  <c r="AB233" i="40"/>
  <c r="AB200" i="40"/>
  <c r="AB201" i="40"/>
  <c r="L43" i="41"/>
  <c r="L48" i="41"/>
  <c r="AB204" i="40"/>
  <c r="AB308" i="40"/>
  <c r="R99" i="40"/>
  <c r="J31" i="41"/>
  <c r="AB306" i="40"/>
  <c r="K31" i="41"/>
  <c r="AC282" i="40"/>
  <c r="AC310" i="40"/>
  <c r="AD169" i="40"/>
  <c r="AD196" i="40"/>
  <c r="AD225" i="40"/>
  <c r="S111" i="40"/>
  <c r="S96" i="40"/>
  <c r="AB313" i="40"/>
  <c r="AE98" i="40"/>
  <c r="L28" i="41"/>
  <c r="AF15" i="40"/>
  <c r="AF69" i="40"/>
  <c r="T69" i="40"/>
  <c r="T65" i="40"/>
  <c r="AF11" i="40"/>
  <c r="AF65" i="40"/>
  <c r="T79" i="40"/>
  <c r="AF25" i="40"/>
  <c r="AF79" i="40"/>
  <c r="T77" i="40"/>
  <c r="AF23" i="40"/>
  <c r="AF77" i="40"/>
  <c r="T72" i="40"/>
  <c r="AF18" i="40"/>
  <c r="AF72" i="40"/>
  <c r="T73" i="40"/>
  <c r="AF19" i="40"/>
  <c r="AF73" i="40"/>
  <c r="AC271" i="40"/>
  <c r="AC243" i="40"/>
  <c r="AC214" i="40"/>
  <c r="AC279" i="40"/>
  <c r="AC251" i="40"/>
  <c r="AC222" i="40"/>
  <c r="S98" i="40"/>
  <c r="AD164" i="40"/>
  <c r="AD191" i="40"/>
  <c r="S104" i="40"/>
  <c r="L30" i="41"/>
  <c r="AC265" i="40"/>
  <c r="AC237" i="40"/>
  <c r="M47" i="41"/>
  <c r="AC208" i="40"/>
  <c r="AB304" i="40"/>
  <c r="L12" i="41"/>
  <c r="AD153" i="40"/>
  <c r="AD180" i="40"/>
  <c r="AC272" i="40"/>
  <c r="AC244" i="40"/>
  <c r="AC215" i="40"/>
  <c r="AE143" i="40"/>
  <c r="AD161" i="40"/>
  <c r="AD188" i="40"/>
  <c r="S107" i="40"/>
  <c r="S99" i="40"/>
  <c r="T63" i="40"/>
  <c r="AF9" i="40"/>
  <c r="AF63" i="40"/>
  <c r="AC278" i="40"/>
  <c r="AC250" i="40"/>
  <c r="AC221" i="40"/>
  <c r="AE107" i="40"/>
  <c r="T66" i="40"/>
  <c r="AF12" i="40"/>
  <c r="AF66" i="40"/>
  <c r="T85" i="40"/>
  <c r="AF31" i="40"/>
  <c r="AF85" i="40"/>
  <c r="T80" i="40"/>
  <c r="AF26" i="40"/>
  <c r="AF80" i="40"/>
  <c r="T62" i="40"/>
  <c r="AF8" i="40"/>
  <c r="AF62" i="40"/>
  <c r="T81" i="40"/>
  <c r="AF27" i="40"/>
  <c r="AF81" i="40"/>
  <c r="AD168" i="40"/>
  <c r="AD195" i="40"/>
  <c r="AE95" i="40"/>
  <c r="AD148" i="40"/>
  <c r="AD175" i="40"/>
  <c r="AB312" i="40"/>
  <c r="AE104" i="40"/>
  <c r="AD156" i="40"/>
  <c r="AD183" i="40"/>
  <c r="AD151" i="40"/>
  <c r="AD178" i="40"/>
  <c r="AE97" i="40"/>
  <c r="AC264" i="40"/>
  <c r="AC236" i="40"/>
  <c r="M46" i="41"/>
  <c r="AC207" i="40"/>
  <c r="AE101" i="40"/>
  <c r="AB301" i="40"/>
  <c r="AE112" i="40"/>
  <c r="T64" i="40"/>
  <c r="AF10" i="40"/>
  <c r="AF64" i="40"/>
  <c r="T143" i="40"/>
  <c r="AF118" i="40"/>
  <c r="AE99" i="40"/>
  <c r="S92" i="40"/>
  <c r="AC267" i="40"/>
  <c r="AC239" i="40"/>
  <c r="AC210" i="40"/>
  <c r="AE110" i="40"/>
  <c r="AC270" i="40"/>
  <c r="AC242" i="40"/>
  <c r="AC213" i="40"/>
  <c r="AE103" i="40"/>
  <c r="T71" i="40"/>
  <c r="AF17" i="40"/>
  <c r="AF71" i="40"/>
  <c r="T70" i="40"/>
  <c r="AF16" i="40"/>
  <c r="AF70" i="40"/>
  <c r="AE109" i="40"/>
  <c r="AD160" i="40"/>
  <c r="AD187" i="40"/>
  <c r="S95" i="40"/>
  <c r="AD155" i="40"/>
  <c r="AD182" i="40"/>
  <c r="AC263" i="40"/>
  <c r="AC235" i="40"/>
  <c r="M45" i="41"/>
  <c r="AC206" i="40"/>
  <c r="S97" i="40"/>
  <c r="AC275" i="40"/>
  <c r="AC247" i="40"/>
  <c r="AC218" i="40"/>
  <c r="AC285" i="40"/>
  <c r="AC257" i="40"/>
  <c r="AC228" i="40"/>
  <c r="AE89" i="40"/>
  <c r="AB294" i="40"/>
  <c r="L10" i="41"/>
  <c r="AB297" i="40"/>
  <c r="S101" i="40"/>
  <c r="AB299" i="40"/>
  <c r="L11" i="41"/>
  <c r="S112" i="40"/>
  <c r="AC261" i="40"/>
  <c r="AC200" i="40"/>
  <c r="AC201" i="40"/>
  <c r="AC233" i="40"/>
  <c r="M43" i="41"/>
  <c r="AC204" i="40"/>
  <c r="S106" i="40"/>
  <c r="AD149" i="40"/>
  <c r="AD176" i="40"/>
  <c r="AD150" i="40"/>
  <c r="AD177" i="40"/>
  <c r="AB289" i="40"/>
  <c r="AB258" i="40"/>
  <c r="L9" i="41"/>
  <c r="AB307" i="40"/>
  <c r="S110" i="40"/>
  <c r="AC308" i="40"/>
  <c r="AD154" i="40"/>
  <c r="AD181" i="40"/>
  <c r="S103" i="40"/>
  <c r="T76" i="40"/>
  <c r="AF22" i="40"/>
  <c r="AF76" i="40"/>
  <c r="T78" i="40"/>
  <c r="AF24" i="40"/>
  <c r="AF78" i="40"/>
  <c r="S109" i="40"/>
  <c r="AE113" i="40"/>
  <c r="AC284" i="40"/>
  <c r="AC256" i="40"/>
  <c r="AC227" i="40"/>
  <c r="AB302" i="40"/>
  <c r="AE93" i="40"/>
  <c r="AC262" i="40"/>
  <c r="AC234" i="40"/>
  <c r="M44" i="41"/>
  <c r="AC205" i="40"/>
  <c r="AC268" i="40"/>
  <c r="AC240" i="40"/>
  <c r="AC211" i="40"/>
  <c r="S89" i="40"/>
  <c r="AD165" i="40"/>
  <c r="AD192" i="40"/>
  <c r="AD159" i="40"/>
  <c r="AD186" i="40"/>
  <c r="AD170" i="40"/>
  <c r="AD197" i="40"/>
  <c r="AC277" i="40"/>
  <c r="AC249" i="40"/>
  <c r="AC220" i="40"/>
  <c r="AC273" i="40"/>
  <c r="AC245" i="40"/>
  <c r="AC216" i="40"/>
  <c r="AE92" i="40"/>
  <c r="AB286" i="40"/>
  <c r="L26" i="41"/>
  <c r="AE91" i="40"/>
  <c r="AC281" i="40"/>
  <c r="AC253" i="40"/>
  <c r="AC224" i="40"/>
  <c r="AE102" i="40"/>
  <c r="T82" i="40"/>
  <c r="AF28" i="40"/>
  <c r="AF82" i="40"/>
  <c r="T67" i="40"/>
  <c r="AF13" i="40"/>
  <c r="AF67" i="40"/>
  <c r="T86" i="40"/>
  <c r="AF32" i="40"/>
  <c r="AF86" i="40"/>
  <c r="S113" i="40"/>
  <c r="L27" i="41"/>
  <c r="AD166" i="40"/>
  <c r="AD193" i="40"/>
  <c r="AE105" i="40"/>
  <c r="AB309" i="40"/>
  <c r="L13" i="41"/>
  <c r="S93" i="40"/>
  <c r="AE90" i="40"/>
  <c r="AC269" i="40"/>
  <c r="AC241" i="40"/>
  <c r="AC212" i="40"/>
  <c r="AD163" i="40"/>
  <c r="AD190" i="40"/>
  <c r="AD172" i="40"/>
  <c r="AD199" i="40"/>
  <c r="AA314" i="40"/>
  <c r="AD162" i="40"/>
  <c r="AD189" i="40"/>
  <c r="AB305" i="40"/>
  <c r="S91" i="40"/>
  <c r="AD171" i="40"/>
  <c r="AD198" i="40"/>
  <c r="S102" i="40"/>
  <c r="T68" i="40"/>
  <c r="AF14" i="40"/>
  <c r="AF68" i="40"/>
  <c r="T75" i="40"/>
  <c r="AF21" i="40"/>
  <c r="AF75" i="40"/>
  <c r="T84" i="40"/>
  <c r="AF30" i="40"/>
  <c r="AF84" i="40"/>
  <c r="AB310" i="40"/>
  <c r="AE94" i="40"/>
  <c r="AB290" i="40"/>
  <c r="S105" i="40"/>
  <c r="AC283" i="40"/>
  <c r="AC255" i="40"/>
  <c r="AC226" i="40"/>
  <c r="AB303" i="40"/>
  <c r="AB292" i="40"/>
  <c r="S90" i="40"/>
  <c r="AB311" i="40"/>
  <c r="AE108" i="40"/>
  <c r="AD157" i="40"/>
  <c r="AD184" i="40"/>
  <c r="AC276" i="40"/>
  <c r="AC248" i="40"/>
  <c r="AC219" i="40"/>
  <c r="AE100" i="40"/>
  <c r="AC274" i="40"/>
  <c r="AC246" i="40"/>
  <c r="AC217" i="40"/>
  <c r="AB229" i="40"/>
  <c r="AB230" i="40"/>
  <c r="AE111" i="40"/>
  <c r="AE96" i="40"/>
  <c r="AD158" i="40"/>
  <c r="AD185" i="40"/>
  <c r="T74" i="40"/>
  <c r="AF20" i="40"/>
  <c r="AF74" i="40"/>
  <c r="E5" i="41"/>
  <c r="V5" i="40"/>
  <c r="T83" i="40"/>
  <c r="AF29" i="40"/>
  <c r="AF83" i="40"/>
  <c r="S94" i="40"/>
  <c r="AB291" i="40"/>
  <c r="AB298" i="40"/>
  <c r="AE106" i="40"/>
  <c r="AB300" i="40"/>
  <c r="AD167" i="40"/>
  <c r="AD194" i="40"/>
  <c r="L29" i="41"/>
  <c r="S108" i="40"/>
  <c r="AC266" i="40"/>
  <c r="AC238" i="40"/>
  <c r="AC209" i="40"/>
  <c r="AD152" i="40"/>
  <c r="AD179" i="40"/>
  <c r="S100" i="40"/>
  <c r="AC298" i="40"/>
  <c r="AC302" i="40"/>
  <c r="AE157" i="40"/>
  <c r="AE184" i="40"/>
  <c r="AE270" i="40"/>
  <c r="M27" i="41"/>
  <c r="AD254" i="40"/>
  <c r="AD282" i="40"/>
  <c r="AD310" i="40"/>
  <c r="AC307" i="40"/>
  <c r="AC296" i="40"/>
  <c r="AC293" i="40"/>
  <c r="AE167" i="40"/>
  <c r="AE194" i="40"/>
  <c r="AF101" i="40"/>
  <c r="T95" i="40"/>
  <c r="AE164" i="40"/>
  <c r="AE191" i="40"/>
  <c r="AE249" i="40"/>
  <c r="AD243" i="40"/>
  <c r="AD271" i="40"/>
  <c r="AD214" i="40"/>
  <c r="AE159" i="40"/>
  <c r="AE186" i="40"/>
  <c r="T111" i="40"/>
  <c r="AC297" i="40"/>
  <c r="AF113" i="40"/>
  <c r="AC309" i="40"/>
  <c r="M13" i="41"/>
  <c r="AD263" i="40"/>
  <c r="AD235" i="40"/>
  <c r="N45" i="41"/>
  <c r="AD206" i="40"/>
  <c r="AC289" i="40"/>
  <c r="AC258" i="40"/>
  <c r="M9" i="41"/>
  <c r="AD273" i="40"/>
  <c r="AD245" i="40"/>
  <c r="AD216" i="40"/>
  <c r="AF97" i="40"/>
  <c r="AE169" i="40"/>
  <c r="AE196" i="40"/>
  <c r="AF107" i="40"/>
  <c r="AC306" i="40"/>
  <c r="AF104" i="40"/>
  <c r="AC294" i="40"/>
  <c r="M10" i="41"/>
  <c r="AD247" i="40"/>
  <c r="AD275" i="40"/>
  <c r="AD218" i="40"/>
  <c r="T113" i="40"/>
  <c r="AD239" i="40"/>
  <c r="AD267" i="40"/>
  <c r="AD210" i="40"/>
  <c r="AD262" i="40"/>
  <c r="AD234" i="40"/>
  <c r="N44" i="41"/>
  <c r="AD205" i="40"/>
  <c r="AE168" i="40"/>
  <c r="AE195" i="40"/>
  <c r="T97" i="40"/>
  <c r="AF143" i="40"/>
  <c r="AD261" i="40"/>
  <c r="AD233" i="40"/>
  <c r="AD200" i="40"/>
  <c r="AD201" i="40"/>
  <c r="N43" i="41"/>
  <c r="AD204" i="40"/>
  <c r="T107" i="40"/>
  <c r="T104" i="40"/>
  <c r="AD284" i="40"/>
  <c r="AD256" i="40"/>
  <c r="AD227" i="40"/>
  <c r="AE155" i="40"/>
  <c r="AE182" i="40"/>
  <c r="AF102" i="40"/>
  <c r="AF110" i="40"/>
  <c r="AE170" i="40"/>
  <c r="AE197" i="40"/>
  <c r="AC304" i="40"/>
  <c r="M12" i="41"/>
  <c r="T102" i="40"/>
  <c r="AE149" i="40"/>
  <c r="AE176" i="40"/>
  <c r="AF94" i="40"/>
  <c r="AE150" i="40"/>
  <c r="AE177" i="40"/>
  <c r="AC305" i="40"/>
  <c r="AC312" i="40"/>
  <c r="AC286" i="40"/>
  <c r="M26" i="41"/>
  <c r="AE148" i="40"/>
  <c r="AE175" i="40"/>
  <c r="AF98" i="40"/>
  <c r="AC295" i="40"/>
  <c r="AC292" i="40"/>
  <c r="AE154" i="40"/>
  <c r="AE181" i="40"/>
  <c r="AF112" i="40"/>
  <c r="AF90" i="40"/>
  <c r="AF106" i="40"/>
  <c r="T110" i="40"/>
  <c r="AC311" i="40"/>
  <c r="AF95" i="40"/>
  <c r="T94" i="40"/>
  <c r="L31" i="41"/>
  <c r="T98" i="40"/>
  <c r="AF91" i="40"/>
  <c r="M29" i="41"/>
  <c r="AD281" i="40"/>
  <c r="AD253" i="40"/>
  <c r="AD224" i="40"/>
  <c r="T112" i="40"/>
  <c r="T90" i="40"/>
  <c r="AC300" i="40"/>
  <c r="M30" i="41"/>
  <c r="T106" i="40"/>
  <c r="F5" i="41"/>
  <c r="W5" i="40"/>
  <c r="AD270" i="40"/>
  <c r="AD242" i="40"/>
  <c r="AD213" i="40"/>
  <c r="AF109" i="40"/>
  <c r="AD255" i="40"/>
  <c r="AD283" i="40"/>
  <c r="AD226" i="40"/>
  <c r="AE172" i="40"/>
  <c r="AE199" i="40"/>
  <c r="AF105" i="40"/>
  <c r="AC313" i="40"/>
  <c r="AC291" i="40"/>
  <c r="AE162" i="40"/>
  <c r="AE189" i="40"/>
  <c r="T91" i="40"/>
  <c r="AE156" i="40"/>
  <c r="AE183" i="40"/>
  <c r="AF108" i="40"/>
  <c r="AF93" i="40"/>
  <c r="AC299" i="40"/>
  <c r="M11" i="41"/>
  <c r="AF100" i="40"/>
  <c r="AF92" i="40"/>
  <c r="AD280" i="40"/>
  <c r="AD252" i="40"/>
  <c r="AD308" i="40"/>
  <c r="AD223" i="40"/>
  <c r="AE280" i="40"/>
  <c r="AE252" i="40"/>
  <c r="AE223" i="40"/>
  <c r="AD285" i="40"/>
  <c r="AD257" i="40"/>
  <c r="AD228" i="40"/>
  <c r="T109" i="40"/>
  <c r="AE151" i="40"/>
  <c r="AE178" i="40"/>
  <c r="AD272" i="40"/>
  <c r="AD244" i="40"/>
  <c r="AD215" i="40"/>
  <c r="AC290" i="40"/>
  <c r="T105" i="40"/>
  <c r="L14" i="41"/>
  <c r="M28" i="41"/>
  <c r="AE158" i="40"/>
  <c r="AE185" i="40"/>
  <c r="AE171" i="40"/>
  <c r="AE198" i="40"/>
  <c r="AD264" i="40"/>
  <c r="AD236" i="40"/>
  <c r="N46" i="41"/>
  <c r="AD207" i="40"/>
  <c r="T108" i="40"/>
  <c r="T93" i="40"/>
  <c r="AD266" i="40"/>
  <c r="AD238" i="40"/>
  <c r="AD209" i="40"/>
  <c r="T100" i="40"/>
  <c r="T92" i="40"/>
  <c r="AE277" i="40"/>
  <c r="AE161" i="40"/>
  <c r="AE188" i="40"/>
  <c r="AD278" i="40"/>
  <c r="AD250" i="40"/>
  <c r="AD221" i="40"/>
  <c r="AF103" i="40"/>
  <c r="AC229" i="40"/>
  <c r="AC230" i="40"/>
  <c r="AD268" i="40"/>
  <c r="AD240" i="40"/>
  <c r="AD296" i="40"/>
  <c r="AD211" i="40"/>
  <c r="AD269" i="40"/>
  <c r="AD241" i="40"/>
  <c r="AD212" i="40"/>
  <c r="AF89" i="40"/>
  <c r="AF96" i="40"/>
  <c r="AF99" i="40"/>
  <c r="AF111" i="40"/>
  <c r="AF160" i="40"/>
  <c r="AF187" i="40"/>
  <c r="AE166" i="40"/>
  <c r="AE193" i="40"/>
  <c r="AD274" i="40"/>
  <c r="AD246" i="40"/>
  <c r="AD302" i="40"/>
  <c r="AD217" i="40"/>
  <c r="AD277" i="40"/>
  <c r="AD249" i="40"/>
  <c r="AD220" i="40"/>
  <c r="T96" i="40"/>
  <c r="AD276" i="40"/>
  <c r="AD248" i="40"/>
  <c r="AD219" i="40"/>
  <c r="AD265" i="40"/>
  <c r="AD237" i="40"/>
  <c r="N47" i="41"/>
  <c r="AD208" i="40"/>
  <c r="AE165" i="40"/>
  <c r="AE192" i="40"/>
  <c r="T101" i="40"/>
  <c r="AE153" i="40"/>
  <c r="AE180" i="40"/>
  <c r="AD279" i="40"/>
  <c r="AD251" i="40"/>
  <c r="AD222" i="40"/>
  <c r="AC301" i="40"/>
  <c r="AE152" i="40"/>
  <c r="AE179" i="40"/>
  <c r="T103" i="40"/>
  <c r="AB314" i="40"/>
  <c r="M48" i="41"/>
  <c r="AC303" i="40"/>
  <c r="AE160" i="40"/>
  <c r="AE187" i="40"/>
  <c r="AE163" i="40"/>
  <c r="AE190" i="40"/>
  <c r="T89" i="40"/>
  <c r="T99" i="40"/>
  <c r="AE220" i="40"/>
  <c r="AE213" i="40"/>
  <c r="N30" i="41"/>
  <c r="AE242" i="40"/>
  <c r="AD290" i="40"/>
  <c r="AD291" i="40"/>
  <c r="AF152" i="40"/>
  <c r="AF179" i="40"/>
  <c r="AF265" i="40"/>
  <c r="AF157" i="40"/>
  <c r="AF184" i="40"/>
  <c r="AF270" i="40"/>
  <c r="AD312" i="40"/>
  <c r="AD295" i="40"/>
  <c r="AF273" i="40"/>
  <c r="AF245" i="40"/>
  <c r="AF216" i="40"/>
  <c r="AE282" i="40"/>
  <c r="AE254" i="40"/>
  <c r="AE225" i="40"/>
  <c r="AF170" i="40"/>
  <c r="AF197" i="40"/>
  <c r="AE274" i="40"/>
  <c r="AE246" i="40"/>
  <c r="AE217" i="40"/>
  <c r="AE271" i="40"/>
  <c r="AE243" i="40"/>
  <c r="AE214" i="40"/>
  <c r="AE264" i="40"/>
  <c r="AE236" i="40"/>
  <c r="AE292" i="40"/>
  <c r="O46" i="41"/>
  <c r="AE207" i="40"/>
  <c r="AF167" i="40"/>
  <c r="AF194" i="40"/>
  <c r="AE261" i="40"/>
  <c r="AE233" i="40"/>
  <c r="AE200" i="40"/>
  <c r="AE201" i="40"/>
  <c r="O43" i="41"/>
  <c r="AE204" i="40"/>
  <c r="AD286" i="40"/>
  <c r="N26" i="41"/>
  <c r="AD303" i="40"/>
  <c r="AF156" i="40"/>
  <c r="AF183" i="40"/>
  <c r="AE272" i="40"/>
  <c r="AE244" i="40"/>
  <c r="AE215" i="40"/>
  <c r="AE284" i="40"/>
  <c r="AE256" i="40"/>
  <c r="AE227" i="40"/>
  <c r="AE269" i="40"/>
  <c r="AE241" i="40"/>
  <c r="AE212" i="40"/>
  <c r="AF165" i="40"/>
  <c r="AF192" i="40"/>
  <c r="M31" i="41"/>
  <c r="N27" i="41"/>
  <c r="AD294" i="40"/>
  <c r="N10" i="41"/>
  <c r="AE262" i="40"/>
  <c r="AE234" i="40"/>
  <c r="O44" i="41"/>
  <c r="AE205" i="40"/>
  <c r="AE266" i="40"/>
  <c r="AE238" i="40"/>
  <c r="AE209" i="40"/>
  <c r="AD304" i="40"/>
  <c r="N12" i="41"/>
  <c r="AF155" i="40"/>
  <c r="AF182" i="40"/>
  <c r="AE305" i="40"/>
  <c r="AD311" i="40"/>
  <c r="AF150" i="40"/>
  <c r="AF177" i="40"/>
  <c r="AF149" i="40"/>
  <c r="AF176" i="40"/>
  <c r="AD301" i="40"/>
  <c r="N28" i="41"/>
  <c r="AF213" i="40"/>
  <c r="AE265" i="40"/>
  <c r="AE237" i="40"/>
  <c r="O47" i="41"/>
  <c r="AE208" i="40"/>
  <c r="AE278" i="40"/>
  <c r="AE250" i="40"/>
  <c r="AE221" i="40"/>
  <c r="AE279" i="40"/>
  <c r="AE251" i="40"/>
  <c r="AE222" i="40"/>
  <c r="AD313" i="40"/>
  <c r="AF151" i="40"/>
  <c r="AF178" i="40"/>
  <c r="AE275" i="40"/>
  <c r="AE247" i="40"/>
  <c r="AE218" i="40"/>
  <c r="AF168" i="40"/>
  <c r="AF195" i="40"/>
  <c r="AF171" i="40"/>
  <c r="AF198" i="40"/>
  <c r="AE283" i="40"/>
  <c r="AE255" i="40"/>
  <c r="AE311" i="40"/>
  <c r="AE226" i="40"/>
  <c r="AD299" i="40"/>
  <c r="N11" i="41"/>
  <c r="AE285" i="40"/>
  <c r="AE257" i="40"/>
  <c r="AE228" i="40"/>
  <c r="AD309" i="40"/>
  <c r="N13" i="41"/>
  <c r="AF158" i="40"/>
  <c r="AF185" i="40"/>
  <c r="AF148" i="40"/>
  <c r="AF175" i="40"/>
  <c r="AF162" i="40"/>
  <c r="AF189" i="40"/>
  <c r="AF159" i="40"/>
  <c r="AF186" i="40"/>
  <c r="AE267" i="40"/>
  <c r="AE239" i="40"/>
  <c r="AE210" i="40"/>
  <c r="AF169" i="40"/>
  <c r="AF196" i="40"/>
  <c r="AD229" i="40"/>
  <c r="AD230" i="40"/>
  <c r="AF163" i="40"/>
  <c r="AF190" i="40"/>
  <c r="M14" i="41"/>
  <c r="AF208" i="40"/>
  <c r="AE276" i="40"/>
  <c r="AE248" i="40"/>
  <c r="AE219" i="40"/>
  <c r="AD292" i="40"/>
  <c r="AD298" i="40"/>
  <c r="AE263" i="40"/>
  <c r="AE235" i="40"/>
  <c r="O45" i="41"/>
  <c r="AE206" i="40"/>
  <c r="AF161" i="40"/>
  <c r="AF188" i="40"/>
  <c r="N48" i="41"/>
  <c r="AE281" i="40"/>
  <c r="AE253" i="40"/>
  <c r="AE224" i="40"/>
  <c r="AF172" i="40"/>
  <c r="AF199" i="40"/>
  <c r="AE298" i="40"/>
  <c r="G5" i="41"/>
  <c r="X5" i="40"/>
  <c r="AD289" i="40"/>
  <c r="AD258" i="40"/>
  <c r="N9" i="41"/>
  <c r="AE273" i="40"/>
  <c r="AE245" i="40"/>
  <c r="AE216" i="40"/>
  <c r="AD307" i="40"/>
  <c r="AD293" i="40"/>
  <c r="AD305" i="40"/>
  <c r="AD297" i="40"/>
  <c r="AD306" i="40"/>
  <c r="N29" i="41"/>
  <c r="AD300" i="40"/>
  <c r="AE308" i="40"/>
  <c r="AF164" i="40"/>
  <c r="AF191" i="40"/>
  <c r="AF154" i="40"/>
  <c r="AF181" i="40"/>
  <c r="AF153" i="40"/>
  <c r="AF180" i="40"/>
  <c r="AE268" i="40"/>
  <c r="AE240" i="40"/>
  <c r="AE211" i="40"/>
  <c r="AF166" i="40"/>
  <c r="AF193" i="40"/>
  <c r="AC314" i="40"/>
  <c r="AE295" i="40"/>
  <c r="AE307" i="40"/>
  <c r="AE300" i="40"/>
  <c r="AE310" i="40"/>
  <c r="AF242" i="40"/>
  <c r="AF298" i="40"/>
  <c r="AE290" i="40"/>
  <c r="AE297" i="40"/>
  <c r="AE296" i="40"/>
  <c r="AE303" i="40"/>
  <c r="AE306" i="40"/>
  <c r="AF301" i="40"/>
  <c r="AE229" i="40"/>
  <c r="AE230" i="40"/>
  <c r="AE293" i="40"/>
  <c r="AE301" i="40"/>
  <c r="AE291" i="40"/>
  <c r="AF237" i="40"/>
  <c r="AF282" i="40"/>
  <c r="AF254" i="40"/>
  <c r="AF225" i="40"/>
  <c r="AF267" i="40"/>
  <c r="AF239" i="40"/>
  <c r="AF210" i="40"/>
  <c r="H5" i="41"/>
  <c r="Y5" i="40"/>
  <c r="AF274" i="40"/>
  <c r="AF246" i="40"/>
  <c r="AF217" i="40"/>
  <c r="AE304" i="40"/>
  <c r="O12" i="41"/>
  <c r="AF271" i="40"/>
  <c r="AF243" i="40"/>
  <c r="AF214" i="40"/>
  <c r="AF264" i="40"/>
  <c r="AF236" i="40"/>
  <c r="P46" i="41"/>
  <c r="Q46" i="41"/>
  <c r="AF207" i="40"/>
  <c r="AE312" i="40"/>
  <c r="AF283" i="40"/>
  <c r="AF255" i="40"/>
  <c r="AF226" i="40"/>
  <c r="AF263" i="40"/>
  <c r="AF235" i="40"/>
  <c r="P45" i="41"/>
  <c r="Q45" i="41"/>
  <c r="AF206" i="40"/>
  <c r="O48" i="41"/>
  <c r="O29" i="41"/>
  <c r="AF277" i="40"/>
  <c r="AF249" i="40"/>
  <c r="AF220" i="40"/>
  <c r="AF262" i="40"/>
  <c r="AF234" i="40"/>
  <c r="AF290" i="40"/>
  <c r="P44" i="41"/>
  <c r="Q44" i="41"/>
  <c r="AF205" i="40"/>
  <c r="AF285" i="40"/>
  <c r="AF257" i="40"/>
  <c r="AF228" i="40"/>
  <c r="P47" i="41"/>
  <c r="Q47" i="41"/>
  <c r="AF256" i="40"/>
  <c r="AF284" i="40"/>
  <c r="AF227" i="40"/>
  <c r="O30" i="41"/>
  <c r="AF278" i="40"/>
  <c r="AF250" i="40"/>
  <c r="AF221" i="40"/>
  <c r="AE294" i="40"/>
  <c r="O10" i="41"/>
  <c r="AF279" i="40"/>
  <c r="AF251" i="40"/>
  <c r="AF222" i="40"/>
  <c r="O28" i="41"/>
  <c r="AF293" i="40"/>
  <c r="AE313" i="40"/>
  <c r="AF281" i="40"/>
  <c r="AF253" i="40"/>
  <c r="AF224" i="40"/>
  <c r="AE289" i="40"/>
  <c r="AE258" i="40"/>
  <c r="O9" i="41"/>
  <c r="AE299" i="40"/>
  <c r="O11" i="41"/>
  <c r="N14" i="41"/>
  <c r="AE309" i="40"/>
  <c r="O13" i="41"/>
  <c r="AF272" i="40"/>
  <c r="AF244" i="40"/>
  <c r="AF215" i="40"/>
  <c r="AF268" i="40"/>
  <c r="AF240" i="40"/>
  <c r="AF211" i="40"/>
  <c r="AF269" i="40"/>
  <c r="AF241" i="40"/>
  <c r="AF212" i="40"/>
  <c r="AE286" i="40"/>
  <c r="O26" i="41"/>
  <c r="AF275" i="40"/>
  <c r="AF280" i="40"/>
  <c r="P30" i="41"/>
  <c r="Q30" i="41"/>
  <c r="AF247" i="40"/>
  <c r="AF218" i="40"/>
  <c r="O27" i="41"/>
  <c r="AF252" i="40"/>
  <c r="AF223" i="40"/>
  <c r="AF266" i="40"/>
  <c r="AF238" i="40"/>
  <c r="AF209" i="40"/>
  <c r="AD314" i="40"/>
  <c r="AF248" i="40"/>
  <c r="AF276" i="40"/>
  <c r="AF219" i="40"/>
  <c r="AF261" i="40"/>
  <c r="AF233" i="40"/>
  <c r="AF200" i="40"/>
  <c r="AF201" i="40"/>
  <c r="E201" i="40"/>
  <c r="P43" i="41"/>
  <c r="AF204" i="40"/>
  <c r="N31" i="41"/>
  <c r="AE302" i="40"/>
  <c r="AF300" i="40"/>
  <c r="P29" i="41"/>
  <c r="Q29" i="41"/>
  <c r="O14" i="41"/>
  <c r="AF295" i="40"/>
  <c r="AF312" i="40"/>
  <c r="AF291" i="40"/>
  <c r="AF292" i="40"/>
  <c r="AF302" i="40"/>
  <c r="AF310" i="40"/>
  <c r="AF305" i="40"/>
  <c r="AF294" i="40"/>
  <c r="P10" i="41"/>
  <c r="Q10" i="41"/>
  <c r="I5" i="41"/>
  <c r="Z5" i="40"/>
  <c r="AF289" i="40"/>
  <c r="AF258" i="40"/>
  <c r="P9" i="41"/>
  <c r="Q9" i="41"/>
  <c r="O31" i="41"/>
  <c r="AF306" i="40"/>
  <c r="AF313" i="40"/>
  <c r="AF311" i="40"/>
  <c r="AF299" i="40"/>
  <c r="P11" i="41"/>
  <c r="Q11" i="41"/>
  <c r="P12" i="41"/>
  <c r="Q12" i="41"/>
  <c r="P13" i="41"/>
  <c r="Q13" i="41"/>
  <c r="R11" i="41"/>
  <c r="AF308" i="40"/>
  <c r="AF297" i="40"/>
  <c r="AE314" i="40"/>
  <c r="AF307" i="40"/>
  <c r="AF304" i="40"/>
  <c r="AF286" i="40"/>
  <c r="P26" i="41"/>
  <c r="Q26" i="41"/>
  <c r="AF229" i="40"/>
  <c r="AF230" i="40"/>
  <c r="E230" i="40"/>
  <c r="AF309" i="40"/>
  <c r="P27" i="41"/>
  <c r="Q27" i="41"/>
  <c r="P48" i="41"/>
  <c r="Q43" i="41"/>
  <c r="R43" i="41"/>
  <c r="AF303" i="40"/>
  <c r="AF296" i="40"/>
  <c r="P28" i="41"/>
  <c r="Q28" i="41"/>
  <c r="R26" i="41"/>
  <c r="R12" i="41"/>
  <c r="R13" i="41"/>
  <c r="R10" i="41"/>
  <c r="R46" i="41"/>
  <c r="R45" i="41"/>
  <c r="R9" i="41"/>
  <c r="R47" i="41"/>
  <c r="R44" i="41"/>
  <c r="R30" i="41"/>
  <c r="E34" i="41"/>
  <c r="R27" i="41"/>
  <c r="R28" i="41"/>
  <c r="R29" i="41"/>
  <c r="P14" i="41"/>
  <c r="Q48" i="41"/>
  <c r="AF314" i="40"/>
  <c r="J5" i="41"/>
  <c r="AA5" i="40"/>
  <c r="P31" i="41"/>
  <c r="N55" i="41"/>
  <c r="F55" i="41"/>
  <c r="L54" i="41"/>
  <c r="C54" i="41"/>
  <c r="J53" i="41"/>
  <c r="P52" i="41"/>
  <c r="H52" i="41"/>
  <c r="N51" i="41"/>
  <c r="F51" i="41"/>
  <c r="M55" i="41"/>
  <c r="E55" i="41"/>
  <c r="K54" i="41"/>
  <c r="I53" i="41"/>
  <c r="O52" i="41"/>
  <c r="G52" i="41"/>
  <c r="M51" i="41"/>
  <c r="E51" i="41"/>
  <c r="L55" i="41"/>
  <c r="C55" i="41"/>
  <c r="J54" i="41"/>
  <c r="P53" i="41"/>
  <c r="H53" i="41"/>
  <c r="N52" i="41"/>
  <c r="F52" i="41"/>
  <c r="L51" i="41"/>
  <c r="C51" i="41"/>
  <c r="K55" i="41"/>
  <c r="I54" i="41"/>
  <c r="O53" i="41"/>
  <c r="G53" i="41"/>
  <c r="M52" i="41"/>
  <c r="E52" i="41"/>
  <c r="K51" i="41"/>
  <c r="J55" i="41"/>
  <c r="P54" i="41"/>
  <c r="H54" i="41"/>
  <c r="N53" i="41"/>
  <c r="F53" i="41"/>
  <c r="L52" i="41"/>
  <c r="C52" i="41"/>
  <c r="J51" i="41"/>
  <c r="P55" i="41"/>
  <c r="H55" i="41"/>
  <c r="N54" i="41"/>
  <c r="F54" i="41"/>
  <c r="L53" i="41"/>
  <c r="C53" i="41"/>
  <c r="J52" i="41"/>
  <c r="P51" i="41"/>
  <c r="H51" i="41"/>
  <c r="O55" i="41"/>
  <c r="G55" i="41"/>
  <c r="M54" i="41"/>
  <c r="E54" i="41"/>
  <c r="K53" i="41"/>
  <c r="I52" i="41"/>
  <c r="O51" i="41"/>
  <c r="G51" i="41"/>
  <c r="I51" i="41"/>
  <c r="I55" i="41"/>
  <c r="O54" i="41"/>
  <c r="G54" i="41"/>
  <c r="M53" i="41"/>
  <c r="E53" i="41"/>
  <c r="K52" i="41"/>
  <c r="K5" i="41"/>
  <c r="AB5" i="40"/>
  <c r="Q14" i="41"/>
  <c r="Q31" i="41"/>
  <c r="Q53" i="41"/>
  <c r="M56" i="41"/>
  <c r="N56" i="41"/>
  <c r="H56" i="41"/>
  <c r="Q52" i="41"/>
  <c r="I38" i="41"/>
  <c r="O37" i="41"/>
  <c r="G37" i="41"/>
  <c r="M36" i="41"/>
  <c r="E36" i="41"/>
  <c r="K35" i="41"/>
  <c r="I34" i="41"/>
  <c r="P38" i="41"/>
  <c r="H38" i="41"/>
  <c r="N37" i="41"/>
  <c r="F37" i="41"/>
  <c r="L36" i="41"/>
  <c r="C36" i="41"/>
  <c r="J35" i="41"/>
  <c r="P34" i="41"/>
  <c r="H34" i="41"/>
  <c r="O38" i="41"/>
  <c r="G38" i="41"/>
  <c r="M37" i="41"/>
  <c r="E37" i="41"/>
  <c r="K36" i="41"/>
  <c r="I35" i="41"/>
  <c r="O34" i="41"/>
  <c r="G34" i="41"/>
  <c r="N38" i="41"/>
  <c r="F38" i="41"/>
  <c r="L37" i="41"/>
  <c r="C37" i="41"/>
  <c r="J36" i="41"/>
  <c r="P35" i="41"/>
  <c r="H35" i="41"/>
  <c r="N34" i="41"/>
  <c r="F34" i="41"/>
  <c r="M38" i="41"/>
  <c r="E38" i="41"/>
  <c r="K37" i="41"/>
  <c r="I36" i="41"/>
  <c r="O35" i="41"/>
  <c r="G35" i="41"/>
  <c r="M34" i="41"/>
  <c r="K38" i="41"/>
  <c r="I37" i="41"/>
  <c r="O36" i="41"/>
  <c r="G36" i="41"/>
  <c r="M35" i="41"/>
  <c r="E35" i="41"/>
  <c r="K34" i="41"/>
  <c r="J38" i="41"/>
  <c r="P37" i="41"/>
  <c r="H37" i="41"/>
  <c r="N36" i="41"/>
  <c r="F36" i="41"/>
  <c r="L35" i="41"/>
  <c r="C35" i="41"/>
  <c r="J34" i="41"/>
  <c r="N35" i="41"/>
  <c r="F35" i="41"/>
  <c r="L34" i="41"/>
  <c r="L38" i="41"/>
  <c r="C34" i="41"/>
  <c r="C38" i="41"/>
  <c r="J37" i="41"/>
  <c r="P36" i="41"/>
  <c r="H36" i="41"/>
  <c r="Q54" i="41"/>
  <c r="L21" i="41"/>
  <c r="C21" i="41"/>
  <c r="J20" i="41"/>
  <c r="P19" i="41"/>
  <c r="H19" i="41"/>
  <c r="N18" i="41"/>
  <c r="F18" i="41"/>
  <c r="L17" i="41"/>
  <c r="C17" i="41"/>
  <c r="K21" i="41"/>
  <c r="I20" i="41"/>
  <c r="O19" i="41"/>
  <c r="G19" i="41"/>
  <c r="M18" i="41"/>
  <c r="E18" i="41"/>
  <c r="K17" i="41"/>
  <c r="J21" i="41"/>
  <c r="P20" i="41"/>
  <c r="H20" i="41"/>
  <c r="N19" i="41"/>
  <c r="F19" i="41"/>
  <c r="L18" i="41"/>
  <c r="C18" i="41"/>
  <c r="J17" i="41"/>
  <c r="I21" i="41"/>
  <c r="O20" i="41"/>
  <c r="G20" i="41"/>
  <c r="M19" i="41"/>
  <c r="E19" i="41"/>
  <c r="K18" i="41"/>
  <c r="I17" i="41"/>
  <c r="P21" i="41"/>
  <c r="H21" i="41"/>
  <c r="N20" i="41"/>
  <c r="F20" i="41"/>
  <c r="L19" i="41"/>
  <c r="C19" i="41"/>
  <c r="J18" i="41"/>
  <c r="P17" i="41"/>
  <c r="H17" i="41"/>
  <c r="N21" i="41"/>
  <c r="F21" i="41"/>
  <c r="L20" i="41"/>
  <c r="C20" i="41"/>
  <c r="J19" i="41"/>
  <c r="P18" i="41"/>
  <c r="H18" i="41"/>
  <c r="N17" i="41"/>
  <c r="F17" i="41"/>
  <c r="M21" i="41"/>
  <c r="E21" i="41"/>
  <c r="K20" i="41"/>
  <c r="I19" i="41"/>
  <c r="O18" i="41"/>
  <c r="G18" i="41"/>
  <c r="M17" i="41"/>
  <c r="E17" i="41"/>
  <c r="K19" i="41"/>
  <c r="I18" i="41"/>
  <c r="O17" i="41"/>
  <c r="O21" i="41"/>
  <c r="G17" i="41"/>
  <c r="G21" i="41"/>
  <c r="M20" i="41"/>
  <c r="E20" i="41"/>
  <c r="L5" i="41"/>
  <c r="AC5" i="40"/>
  <c r="I56" i="41"/>
  <c r="Q55" i="41"/>
  <c r="G56" i="41"/>
  <c r="O56" i="41"/>
  <c r="P56" i="41"/>
  <c r="J56" i="41"/>
  <c r="K56" i="41"/>
  <c r="L56" i="41"/>
  <c r="E56" i="41"/>
  <c r="Q51" i="41"/>
  <c r="Q56" i="41"/>
  <c r="F56" i="41"/>
  <c r="O39" i="41"/>
  <c r="P39" i="41"/>
  <c r="I39" i="41"/>
  <c r="Q35" i="41"/>
  <c r="O22" i="41"/>
  <c r="M5" i="41"/>
  <c r="AD5" i="40"/>
  <c r="Q21" i="41"/>
  <c r="Q36" i="41"/>
  <c r="Q37" i="41"/>
  <c r="Q20" i="41"/>
  <c r="E22" i="41"/>
  <c r="Q17" i="41"/>
  <c r="F22" i="41"/>
  <c r="L39" i="41"/>
  <c r="Q38" i="41"/>
  <c r="M22" i="41"/>
  <c r="N22" i="41"/>
  <c r="H22" i="41"/>
  <c r="J22" i="41"/>
  <c r="K22" i="41"/>
  <c r="L22" i="41"/>
  <c r="Q19" i="41"/>
  <c r="P22" i="41"/>
  <c r="I22" i="41"/>
  <c r="Q18" i="41"/>
  <c r="Q34" i="41"/>
  <c r="E39" i="41"/>
  <c r="F39" i="41"/>
  <c r="G22" i="41"/>
  <c r="J39" i="41"/>
  <c r="K39" i="41"/>
  <c r="M39" i="41"/>
  <c r="N39" i="41"/>
  <c r="G39" i="41"/>
  <c r="H39" i="41"/>
  <c r="Q39" i="41"/>
  <c r="N5" i="41"/>
  <c r="AE5" i="40"/>
  <c r="Q22" i="41"/>
  <c r="O5" i="41"/>
  <c r="AF5" i="40"/>
  <c r="P5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I166" authorId="0" shapeId="0" xr:uid="{E7654A23-5E32-48DD-9BE1-CD6C83B0C9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higher = SUMPRODUCT( (col_rank &lt; r) * col_dem )
For each cell (row i, month-column j) it computes the total demand (kg) of all products MORE profitable than this one in the same month:
• r = INDEX(rank,i,j): this product's profitability rank in month j (1 = most profitable)
• col_rank = INDEX(rank,,j): the whole column of ranks for month j
• col_dem = INDEX(demand,,j): the whole column of demand (kg) for month j
(col_rank &lt; r) -&gt; TRUE/FALSE array, TRUE for every product ranked better (lower number) than this one.
(col_rank &lt; r) * col_dem -&gt; keeps the demand of higher-ranked products, zeroes the rest.
SUMPRODUCT(...) -&gt; sums them = total kg claimed ahead of this product.
Used next as: MIN( own demand, MAX( capacity - higher, 0 ) ) — capacity left after more-profitable products take theirs, capped at this product's own demand.
Example: capacity 150,000; product ranked 3rd; products above demand 90,000 and 40,000 -&gt; higher = 130,000 -&gt; remaining = 20,000 -&gt; allocated = MIN(own demand, 20,000).
Note: strict '&lt;' means genuine rank ties would each exclude the other.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<sst xmlns="http://schemas.openxmlformats.org/spreadsheetml/2006/main" count="366" uniqueCount="80">
  <si>
    <t>Sales Price</t>
  </si>
  <si>
    <t>Total</t>
  </si>
  <si>
    <t>Revenue</t>
  </si>
  <si>
    <t>Check</t>
  </si>
  <si>
    <t>Price</t>
  </si>
  <si>
    <t>Volume</t>
  </si>
  <si>
    <t>Demand</t>
  </si>
  <si>
    <t>Max Capacity</t>
  </si>
  <si>
    <t>Summary</t>
  </si>
  <si>
    <t>Big Fish Co.</t>
  </si>
  <si>
    <t>Inputs and Assumptions</t>
  </si>
  <si>
    <t>Previous Year's Sales Report</t>
  </si>
  <si>
    <t>Projected Change of Prices and Volumes by Client (y/y)</t>
  </si>
  <si>
    <t>Projected Direct Cost Increase by Product (y/y)</t>
  </si>
  <si>
    <t>Maximum Factory Capacity</t>
  </si>
  <si>
    <t>Month</t>
  </si>
  <si>
    <t>Client</t>
  </si>
  <si>
    <t>Product</t>
  </si>
  <si>
    <t>Volume (Kg)</t>
  </si>
  <si>
    <t>Direct Costs</t>
  </si>
  <si>
    <t>Cost Increase</t>
  </si>
  <si>
    <t>kg/Month</t>
  </si>
  <si>
    <t>kg</t>
  </si>
  <si>
    <t>$/kg</t>
  </si>
  <si>
    <t>%</t>
  </si>
  <si>
    <t>Client 1</t>
  </si>
  <si>
    <t>Client 2</t>
  </si>
  <si>
    <t>Client 3</t>
  </si>
  <si>
    <t>Client 4</t>
  </si>
  <si>
    <t>Client 5</t>
  </si>
  <si>
    <t>Operating Model</t>
  </si>
  <si>
    <t>Growth</t>
  </si>
  <si>
    <t>Direct Cost per unit</t>
  </si>
  <si>
    <t>GP per unit</t>
  </si>
  <si>
    <t>Profitability Rank (using GP per Unit)</t>
  </si>
  <si>
    <t>Remaining Capacity after More Profitable Combinations</t>
  </si>
  <si>
    <t>Volume Filled</t>
  </si>
  <si>
    <t>Partially filled combination highlighted</t>
  </si>
  <si>
    <t>Unfilled Volume</t>
  </si>
  <si>
    <t>COGS</t>
  </si>
  <si>
    <t>Gross Profit</t>
  </si>
  <si>
    <t>Rank</t>
  </si>
  <si>
    <t>Sales by Client</t>
  </si>
  <si>
    <t>Ranked</t>
  </si>
  <si>
    <t>COGS by Product</t>
  </si>
  <si>
    <t>Production by Product</t>
  </si>
  <si>
    <t>&lt;&lt;-- Note rank adjustment made to ensure unique ranks for each section</t>
  </si>
  <si>
    <t>End of schedule</t>
  </si>
  <si>
    <t>TMP SCHEDULE</t>
  </si>
  <si>
    <t>Model period start</t>
  </si>
  <si>
    <t>Number of periods</t>
  </si>
  <si>
    <t>Company name</t>
  </si>
  <si>
    <t>CALCULATIONS SCHEDULE</t>
  </si>
  <si>
    <t>VOLUME (unconstrained by factory capacity )</t>
  </si>
  <si>
    <t>Total volume (unconstrained)</t>
  </si>
  <si>
    <t>PRICE (unranked by profitability)</t>
  </si>
  <si>
    <t>DIRECT COSTS</t>
  </si>
  <si>
    <t>Unit</t>
  </si>
  <si>
    <t>USD / kg</t>
  </si>
  <si>
    <t>GROSS PROFIT (per kg)</t>
  </si>
  <si>
    <t>RANKING BY GROSS PROFIT</t>
  </si>
  <si>
    <t>VOLUME (constrained by factory capacity )</t>
  </si>
  <si>
    <t>REVENUE</t>
  </si>
  <si>
    <t>Total revenue</t>
  </si>
  <si>
    <t>USD</t>
  </si>
  <si>
    <t>Volume constrained by capacity</t>
  </si>
  <si>
    <t>COST OF GOODS SOLD</t>
  </si>
  <si>
    <t>Total Cost of Goods Sold</t>
  </si>
  <si>
    <t>GROSS PROFIT</t>
  </si>
  <si>
    <t>Total Gross Profit</t>
  </si>
  <si>
    <t>Total Revenue</t>
  </si>
  <si>
    <t>EXCUTIVE SUMMARY</t>
  </si>
  <si>
    <t>REVENUE BY CLIENT</t>
  </si>
  <si>
    <t>rank</t>
  </si>
  <si>
    <t>Constant</t>
  </si>
  <si>
    <t>COSTS OF GOODS SOLD</t>
  </si>
  <si>
    <t>Total Costs of Goods Sold</t>
  </si>
  <si>
    <t>MANUFACTORING PLAN</t>
  </si>
  <si>
    <t>Total Production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</si>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</sst>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0.0%"/>
    <numFmt numFmtId="178" formatCode="#,##0.000"/>
    <numFmt numFmtId="179" formatCode="mmm\-yy&quot;A&quot;"/>
    <numFmt numFmtId="180" formatCode="mmm\-yy&quot;F&quot;"/>
    <numFmt numFmtId="181" formatCode="#,##0_);\(#,##0\);&quot;-  &quot;;&quot; &quot;@"/>
    <numFmt numFmtId="182" formatCode="0.00%\ ;\-0.00%\ _);&quot;-  &quot;;&quot; &quot;@&quot; &quot;"/>
    <numFmt numFmtId="183" formatCode="#,##0.0000_);\(#,##0.0000\);&quot;-  &quot;;&quot; &quot;@&quot; &quot;"/>
    <numFmt numFmtId="184" formatCode="dd\ mmm\ yyyy_);\(###0\);&quot;-  &quot;;&quot; &quot;@&quot; &quot;"/>
    <numFmt numFmtId="185" formatCode="dd\ mmm\ yy_);\(###0\);&quot;-  &quot;;&quot; &quot;@&quot; &quot;"/>
    <numFmt numFmtId="186" formatCode="###0_);\(###0\);&quot;-  &quot;;&quot; &quot;@&quot; &quot;"/>
    <numFmt numFmtId="187" formatCode="#,##0.00_);\(#,##0.00\);&quot;-  &quot;;&quot; &quot;@&quot; &quot;"/>
    <numFmt numFmtId="188" formatCode="#,##0.0_);\(#,##0.0\);&quot;-  &quot;;&quot; &quot;@&quot; &quot;"/>
    <numFmt numFmtId="189" formatCode="#,##0.0_);\(#,##0.0\);&quot;-  &quot;;&quot; &quot;@"/>
  </numFmts>
  <fonts count="52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b/>
      <sz val="18"/>
      <color rgb="FF0000FF"/>
      <name val="Times New Roman"/>
      <family val="1"/>
    </font>
    <font>
      <b/>
      <sz val="14"/>
      <color indexed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i/>
      <sz val="8"/>
      <color theme="1"/>
      <name val="Times New Roman"/>
      <family val="1"/>
    </font>
    <font>
      <sz val="10"/>
      <color rgb="FF0000FF"/>
      <name val="Times New Roman"/>
      <family val="1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52">
    <xf numFmtId="181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182" fontId="24" fillId="0" borderId="0" applyFont="0" applyFill="0" applyBorder="0" applyProtection="0">
      <alignment vertical="top"/>
    </xf>
    <xf numFmtId="183" fontId="46" fillId="0" borderId="0" applyFont="0" applyFill="0" applyBorder="0" applyProtection="0">
      <alignment vertical="top"/>
    </xf>
    <xf numFmtId="184" fontId="46" fillId="0" borderId="0" applyFont="0" applyFill="0" applyBorder="0" applyProtection="0">
      <alignment vertical="top"/>
    </xf>
    <xf numFmtId="185" fontId="46" fillId="0" borderId="0" applyFont="0" applyFill="0" applyBorder="0" applyProtection="0">
      <alignment vertical="top"/>
    </xf>
    <xf numFmtId="186" fontId="46" fillId="0" borderId="0" applyFont="0" applyFill="0" applyBorder="0" applyProtection="0">
      <alignment vertical="top"/>
    </xf>
  </cellStyleXfs>
  <cellXfs count="121">
    <xf numFmtId="181" fontId="0" fillId="0" borderId="0" xfId="0">
      <alignment vertical="top"/>
    </xf>
    <xf numFmtId="181" fontId="25" fillId="0" borderId="0" xfId="0" applyFont="1">
      <alignment vertical="top"/>
    </xf>
    <xf numFmtId="181" fontId="28" fillId="0" borderId="0" xfId="0" applyFont="1">
      <alignment vertical="top"/>
    </xf>
    <xf numFmtId="181" fontId="27" fillId="0" borderId="0" xfId="0" applyFont="1">
      <alignment vertical="top"/>
    </xf>
    <xf numFmtId="181" fontId="31" fillId="0" borderId="0" xfId="0" applyFont="1">
      <alignment vertical="top"/>
    </xf>
    <xf numFmtId="3" fontId="31" fillId="0" borderId="0" xfId="0" applyNumberFormat="1" applyFont="1">
      <alignment vertical="top"/>
    </xf>
    <xf numFmtId="0" fontId="32" fillId="0" borderId="0" xfId="1" applyFont="1" applyAlignment="1">
      <alignment horizontal="centerContinuous"/>
    </xf>
    <xf numFmtId="181" fontId="31" fillId="0" borderId="0" xfId="0" applyFont="1" applyAlignment="1">
      <alignment horizontal="centerContinuous"/>
    </xf>
    <xf numFmtId="3" fontId="31" fillId="0" borderId="0" xfId="0" applyNumberFormat="1" applyFont="1" applyAlignment="1">
      <alignment horizontal="centerContinuous"/>
    </xf>
    <xf numFmtId="0" fontId="33" fillId="0" borderId="0" xfId="1" applyFont="1" applyAlignment="1">
      <alignment horizontal="centerContinuous"/>
    </xf>
    <xf numFmtId="0" fontId="34" fillId="10" borderId="12" xfId="1" applyFont="1" applyFill="1" applyBorder="1" applyAlignment="1">
      <alignment horizontal="centerContinuous" vertical="center"/>
    </xf>
    <xf numFmtId="0" fontId="35" fillId="10" borderId="2" xfId="1" quotePrefix="1" applyFont="1" applyFill="1" applyBorder="1" applyAlignment="1">
      <alignment horizontal="centerContinuous" vertical="center"/>
    </xf>
    <xf numFmtId="0" fontId="35" fillId="10" borderId="2" xfId="1" applyFont="1" applyFill="1" applyBorder="1" applyAlignment="1">
      <alignment horizontal="centerContinuous" vertical="center"/>
    </xf>
    <xf numFmtId="0" fontId="35" fillId="10" borderId="13" xfId="1" applyFont="1" applyFill="1" applyBorder="1" applyAlignment="1">
      <alignment horizontal="centerContinuous" vertical="center"/>
    </xf>
    <xf numFmtId="0" fontId="34" fillId="10" borderId="12" xfId="1" applyFont="1" applyFill="1" applyBorder="1" applyAlignment="1">
      <alignment horizontal="centerContinuous" vertical="center" wrapText="1"/>
    </xf>
    <xf numFmtId="0" fontId="34" fillId="10" borderId="2" xfId="1" applyFont="1" applyFill="1" applyBorder="1" applyAlignment="1">
      <alignment horizontal="centerContinuous" vertical="center"/>
    </xf>
    <xf numFmtId="0" fontId="34" fillId="10" borderId="13" xfId="1" applyFont="1" applyFill="1" applyBorder="1" applyAlignment="1">
      <alignment horizontal="centerContinuous" vertical="center"/>
    </xf>
    <xf numFmtId="0" fontId="34" fillId="10" borderId="13" xfId="1" applyFont="1" applyFill="1" applyBorder="1" applyAlignment="1">
      <alignment horizontal="centerContinuous" vertical="center" wrapText="1"/>
    </xf>
    <xf numFmtId="0" fontId="34" fillId="10" borderId="3" xfId="1" applyFont="1" applyFill="1" applyBorder="1" applyAlignment="1">
      <alignment horizontal="centerContinuous" vertical="center" wrapText="1"/>
    </xf>
    <xf numFmtId="0" fontId="36" fillId="0" borderId="15" xfId="1" applyFont="1" applyBorder="1" applyAlignment="1">
      <alignment horizontal="center" vertical="center"/>
    </xf>
    <xf numFmtId="0" fontId="36" fillId="0" borderId="16" xfId="1" applyFont="1" applyBorder="1" applyAlignment="1">
      <alignment horizontal="center" vertical="center"/>
    </xf>
    <xf numFmtId="0" fontId="36" fillId="0" borderId="17" xfId="1" applyFont="1" applyBorder="1" applyAlignment="1">
      <alignment horizontal="center" vertical="center"/>
    </xf>
    <xf numFmtId="0" fontId="36" fillId="0" borderId="19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4" xfId="1" applyFont="1" applyBorder="1" applyAlignment="1">
      <alignment horizontal="center" vertical="center"/>
    </xf>
    <xf numFmtId="181" fontId="37" fillId="0" borderId="18" xfId="0" applyFont="1" applyBorder="1" applyAlignment="1">
      <alignment horizontal="centerContinuous"/>
    </xf>
    <xf numFmtId="181" fontId="31" fillId="0" borderId="20" xfId="0" applyFont="1" applyBorder="1" applyAlignment="1">
      <alignment horizontal="centerContinuous"/>
    </xf>
    <xf numFmtId="181" fontId="31" fillId="0" borderId="18" xfId="0" applyFont="1" applyBorder="1" applyAlignment="1">
      <alignment horizontal="center"/>
    </xf>
    <xf numFmtId="181" fontId="31" fillId="0" borderId="1" xfId="0" applyFont="1" applyBorder="1" applyAlignment="1">
      <alignment horizontal="center"/>
    </xf>
    <xf numFmtId="181" fontId="37" fillId="0" borderId="1" xfId="0" applyFont="1" applyBorder="1" applyAlignment="1">
      <alignment horizontal="center"/>
    </xf>
    <xf numFmtId="181" fontId="37" fillId="0" borderId="20" xfId="0" applyFont="1" applyBorder="1" applyAlignment="1">
      <alignment horizontal="center"/>
    </xf>
    <xf numFmtId="4" fontId="31" fillId="0" borderId="0" xfId="0" applyNumberFormat="1" applyFont="1">
      <alignment vertical="top"/>
    </xf>
    <xf numFmtId="181" fontId="31" fillId="0" borderId="18" xfId="0" applyFont="1" applyBorder="1">
      <alignment vertical="top"/>
    </xf>
    <xf numFmtId="3" fontId="38" fillId="0" borderId="12" xfId="0" applyNumberFormat="1" applyFont="1" applyBorder="1" applyAlignment="1">
      <alignment horizontal="centerContinuous"/>
    </xf>
    <xf numFmtId="177" fontId="31" fillId="0" borderId="13" xfId="0" applyNumberFormat="1" applyFont="1" applyBorder="1" applyAlignment="1">
      <alignment horizontal="centerContinuous"/>
    </xf>
    <xf numFmtId="177" fontId="31" fillId="0" borderId="0" xfId="0" applyNumberFormat="1" applyFont="1">
      <alignment vertical="top"/>
    </xf>
    <xf numFmtId="17" fontId="31" fillId="0" borderId="15" xfId="0" applyNumberFormat="1" applyFont="1" applyBorder="1" applyAlignment="1">
      <alignment horizontal="center"/>
    </xf>
    <xf numFmtId="181" fontId="31" fillId="0" borderId="16" xfId="0" applyFont="1" applyBorder="1" applyAlignment="1">
      <alignment horizontal="center"/>
    </xf>
    <xf numFmtId="3" fontId="31" fillId="0" borderId="16" xfId="0" applyNumberFormat="1" applyFont="1" applyBorder="1">
      <alignment vertical="top"/>
    </xf>
    <xf numFmtId="4" fontId="31" fillId="0" borderId="16" xfId="0" applyNumberFormat="1" applyFont="1" applyBorder="1" applyAlignment="1">
      <alignment horizontal="center"/>
    </xf>
    <xf numFmtId="4" fontId="31" fillId="0" borderId="17" xfId="0" applyNumberFormat="1" applyFont="1" applyBorder="1" applyAlignment="1">
      <alignment horizontal="center"/>
    </xf>
    <xf numFmtId="181" fontId="31" fillId="0" borderId="15" xfId="0" applyFont="1" applyBorder="1">
      <alignment vertical="top"/>
    </xf>
    <xf numFmtId="177" fontId="38" fillId="0" borderId="16" xfId="0" applyNumberFormat="1" applyFont="1" applyBorder="1" applyAlignment="1">
      <alignment horizontal="center"/>
    </xf>
    <xf numFmtId="177" fontId="38" fillId="0" borderId="17" xfId="0" applyNumberFormat="1" applyFont="1" applyBorder="1" applyAlignment="1">
      <alignment horizontal="center"/>
    </xf>
    <xf numFmtId="181" fontId="31" fillId="0" borderId="15" xfId="0" applyFont="1" applyBorder="1" applyAlignment="1">
      <alignment horizontal="center"/>
    </xf>
    <xf numFmtId="17" fontId="31" fillId="0" borderId="19" xfId="0" applyNumberFormat="1" applyFont="1" applyBorder="1" applyAlignment="1">
      <alignment horizontal="center"/>
    </xf>
    <xf numFmtId="181" fontId="31" fillId="0" borderId="0" xfId="0" applyFont="1" applyAlignment="1">
      <alignment horizontal="center"/>
    </xf>
    <xf numFmtId="4" fontId="31" fillId="0" borderId="0" xfId="0" applyNumberFormat="1" applyFont="1" applyAlignment="1">
      <alignment horizontal="center"/>
    </xf>
    <xf numFmtId="4" fontId="31" fillId="0" borderId="14" xfId="0" applyNumberFormat="1" applyFont="1" applyBorder="1" applyAlignment="1">
      <alignment horizontal="center"/>
    </xf>
    <xf numFmtId="181" fontId="31" fillId="0" borderId="19" xfId="0" applyFont="1" applyBorder="1">
      <alignment vertical="top"/>
    </xf>
    <xf numFmtId="177" fontId="38" fillId="0" borderId="0" xfId="0" applyNumberFormat="1" applyFont="1" applyAlignment="1">
      <alignment horizontal="center"/>
    </xf>
    <xf numFmtId="177" fontId="38" fillId="0" borderId="14" xfId="0" applyNumberFormat="1" applyFont="1" applyBorder="1" applyAlignment="1">
      <alignment horizontal="center"/>
    </xf>
    <xf numFmtId="181" fontId="31" fillId="0" borderId="19" xfId="0" applyFont="1" applyBorder="1" applyAlignment="1">
      <alignment horizontal="center"/>
    </xf>
    <xf numFmtId="177" fontId="38" fillId="0" borderId="1" xfId="0" applyNumberFormat="1" applyFont="1" applyBorder="1" applyAlignment="1">
      <alignment horizontal="center"/>
    </xf>
    <xf numFmtId="177" fontId="38" fillId="0" borderId="20" xfId="0" applyNumberFormat="1" applyFont="1" applyBorder="1" applyAlignment="1">
      <alignment horizontal="center"/>
    </xf>
    <xf numFmtId="17" fontId="31" fillId="0" borderId="18" xfId="0" applyNumberFormat="1" applyFont="1" applyBorder="1" applyAlignment="1">
      <alignment horizontal="center"/>
    </xf>
    <xf numFmtId="3" fontId="31" fillId="0" borderId="1" xfId="0" applyNumberFormat="1" applyFont="1" applyBorder="1">
      <alignment vertical="top"/>
    </xf>
    <xf numFmtId="4" fontId="31" fillId="0" borderId="1" xfId="0" applyNumberFormat="1" applyFont="1" applyBorder="1" applyAlignment="1">
      <alignment horizontal="center"/>
    </xf>
    <xf numFmtId="4" fontId="31" fillId="0" borderId="20" xfId="0" applyNumberFormat="1" applyFont="1" applyBorder="1" applyAlignment="1">
      <alignment horizontal="center"/>
    </xf>
    <xf numFmtId="181" fontId="39" fillId="0" borderId="0" xfId="0" applyFont="1">
      <alignment vertical="top"/>
    </xf>
    <xf numFmtId="181" fontId="40" fillId="0" borderId="0" xfId="0" applyFont="1" applyAlignment="1">
      <alignment horizontal="center"/>
    </xf>
    <xf numFmtId="17" fontId="40" fillId="0" borderId="0" xfId="0" applyNumberFormat="1" applyFont="1" applyAlignment="1">
      <alignment horizontal="center"/>
    </xf>
    <xf numFmtId="181" fontId="28" fillId="11" borderId="0" xfId="0" applyFont="1" applyFill="1">
      <alignment vertical="top"/>
    </xf>
    <xf numFmtId="181" fontId="0" fillId="11" borderId="0" xfId="0" applyFill="1">
      <alignment vertical="top"/>
    </xf>
    <xf numFmtId="10" fontId="41" fillId="0" borderId="0" xfId="0" applyNumberFormat="1" applyFont="1">
      <alignment vertical="top"/>
    </xf>
    <xf numFmtId="4" fontId="0" fillId="0" borderId="0" xfId="0" applyNumberFormat="1">
      <alignment vertical="top"/>
    </xf>
    <xf numFmtId="181" fontId="0" fillId="0" borderId="0" xfId="0" applyAlignment="1">
      <alignment horizontal="center"/>
    </xf>
    <xf numFmtId="4" fontId="30" fillId="0" borderId="0" xfId="0" applyNumberFormat="1" applyFont="1">
      <alignment vertical="top"/>
    </xf>
    <xf numFmtId="181" fontId="28" fillId="12" borderId="0" xfId="0" applyFont="1" applyFill="1">
      <alignment vertical="top"/>
    </xf>
    <xf numFmtId="181" fontId="0" fillId="12" borderId="0" xfId="0" applyFill="1">
      <alignment vertical="top"/>
    </xf>
    <xf numFmtId="3" fontId="41" fillId="0" borderId="0" xfId="0" applyNumberFormat="1" applyFont="1">
      <alignment vertical="top"/>
    </xf>
    <xf numFmtId="3" fontId="0" fillId="0" borderId="0" xfId="0" applyNumberFormat="1">
      <alignment vertical="top"/>
    </xf>
    <xf numFmtId="181" fontId="0" fillId="0" borderId="0" xfId="0" applyAlignment="1">
      <alignment horizontal="right"/>
    </xf>
    <xf numFmtId="3" fontId="0" fillId="0" borderId="16" xfId="0" applyNumberFormat="1" applyBorder="1">
      <alignment vertical="top"/>
    </xf>
    <xf numFmtId="178" fontId="42" fillId="0" borderId="0" xfId="0" applyNumberFormat="1" applyFont="1">
      <alignment vertical="top"/>
    </xf>
    <xf numFmtId="181" fontId="26" fillId="13" borderId="0" xfId="0" applyFont="1" applyFill="1">
      <alignment vertical="top"/>
    </xf>
    <xf numFmtId="181" fontId="29" fillId="13" borderId="0" xfId="0" applyFont="1" applyFill="1">
      <alignment vertical="top"/>
    </xf>
    <xf numFmtId="3" fontId="28" fillId="0" borderId="16" xfId="0" applyNumberFormat="1" applyFont="1" applyBorder="1">
      <alignment vertical="top"/>
    </xf>
    <xf numFmtId="181" fontId="43" fillId="0" borderId="0" xfId="0" applyFont="1" applyAlignment="1">
      <alignment horizontal="center"/>
    </xf>
    <xf numFmtId="181" fontId="43" fillId="0" borderId="0" xfId="0" applyFont="1">
      <alignment vertical="top"/>
    </xf>
    <xf numFmtId="10" fontId="43" fillId="0" borderId="0" xfId="0" applyNumberFormat="1" applyFont="1">
      <alignment vertical="top"/>
    </xf>
    <xf numFmtId="4" fontId="43" fillId="0" borderId="0" xfId="0" applyNumberFormat="1" applyFont="1">
      <alignment vertical="top"/>
    </xf>
    <xf numFmtId="3" fontId="43" fillId="0" borderId="0" xfId="0" applyNumberFormat="1" applyFont="1">
      <alignment vertical="top"/>
    </xf>
    <xf numFmtId="181" fontId="44" fillId="0" borderId="0" xfId="0" applyFont="1">
      <alignment vertical="top"/>
    </xf>
    <xf numFmtId="179" fontId="40" fillId="0" borderId="0" xfId="0" applyNumberFormat="1" applyFont="1" applyAlignment="1">
      <alignment horizontal="center"/>
    </xf>
    <xf numFmtId="180" fontId="40" fillId="0" borderId="0" xfId="0" applyNumberFormat="1" applyFont="1" applyAlignment="1">
      <alignment horizontal="center"/>
    </xf>
    <xf numFmtId="181" fontId="45" fillId="14" borderId="0" xfId="0" applyFont="1" applyFill="1">
      <alignment vertical="top"/>
    </xf>
    <xf numFmtId="181" fontId="0" fillId="15" borderId="0" xfId="0" applyFill="1">
      <alignment vertical="top"/>
    </xf>
    <xf numFmtId="181" fontId="47" fillId="15" borderId="0" xfId="0" applyFont="1" applyFill="1">
      <alignment vertical="top"/>
    </xf>
    <xf numFmtId="181" fontId="47" fillId="0" borderId="0" xfId="0" applyFont="1">
      <alignment vertical="top"/>
    </xf>
    <xf numFmtId="181" fontId="31" fillId="0" borderId="0" xfId="0" applyFont="1" applyBorder="1">
      <alignment vertical="top"/>
    </xf>
    <xf numFmtId="181" fontId="31" fillId="0" borderId="14" xfId="0" applyFont="1" applyBorder="1">
      <alignment vertical="top"/>
    </xf>
    <xf numFmtId="181" fontId="31" fillId="0" borderId="1" xfId="0" applyFont="1" applyBorder="1">
      <alignment vertical="top"/>
    </xf>
    <xf numFmtId="181" fontId="31" fillId="0" borderId="20" xfId="0" applyFont="1" applyBorder="1">
      <alignment vertical="top"/>
    </xf>
    <xf numFmtId="181" fontId="31" fillId="15" borderId="15" xfId="0" applyFont="1" applyFill="1" applyBorder="1">
      <alignment vertical="top"/>
    </xf>
    <xf numFmtId="181" fontId="31" fillId="15" borderId="16" xfId="0" applyFont="1" applyFill="1" applyBorder="1">
      <alignment vertical="top"/>
    </xf>
    <xf numFmtId="181" fontId="31" fillId="15" borderId="17" xfId="0" applyFont="1" applyFill="1" applyBorder="1">
      <alignment vertical="top"/>
    </xf>
    <xf numFmtId="181" fontId="31" fillId="16" borderId="21" xfId="0" applyFont="1" applyFill="1" applyBorder="1">
      <alignment vertical="top"/>
    </xf>
    <xf numFmtId="181" fontId="31" fillId="16" borderId="22" xfId="0" applyFont="1" applyFill="1" applyBorder="1">
      <alignment vertical="top"/>
    </xf>
    <xf numFmtId="184" fontId="31" fillId="16" borderId="22" xfId="49" applyFont="1" applyFill="1" applyBorder="1">
      <alignment vertical="top"/>
    </xf>
    <xf numFmtId="3" fontId="31" fillId="0" borderId="0" xfId="0" applyNumberFormat="1" applyFont="1" applyAlignment="1"/>
    <xf numFmtId="184" fontId="0" fillId="0" borderId="0" xfId="49" applyFont="1">
      <alignment vertical="top"/>
    </xf>
    <xf numFmtId="184" fontId="45" fillId="14" borderId="0" xfId="49" applyFont="1" applyFill="1">
      <alignment vertical="top"/>
    </xf>
    <xf numFmtId="181" fontId="47" fillId="0" borderId="0" xfId="0" applyFont="1" applyAlignment="1">
      <alignment horizontal="center" vertical="top"/>
    </xf>
    <xf numFmtId="185" fontId="45" fillId="14" borderId="0" xfId="50" applyFont="1" applyFill="1">
      <alignment vertical="top"/>
    </xf>
    <xf numFmtId="181" fontId="0" fillId="0" borderId="0" xfId="0" applyFont="1">
      <alignment vertical="top"/>
    </xf>
    <xf numFmtId="181" fontId="48" fillId="0" borderId="0" xfId="0" applyFont="1">
      <alignment vertical="top"/>
    </xf>
    <xf numFmtId="181" fontId="47" fillId="0" borderId="0" xfId="0" applyFont="1" applyFill="1">
      <alignment vertical="top"/>
    </xf>
    <xf numFmtId="181" fontId="0" fillId="0" borderId="0" xfId="0" applyFill="1">
      <alignment vertical="top"/>
    </xf>
    <xf numFmtId="181" fontId="0" fillId="0" borderId="23" xfId="0" applyBorder="1">
      <alignment vertical="top"/>
    </xf>
    <xf numFmtId="187" fontId="48" fillId="0" borderId="0" xfId="48" applyNumberFormat="1" applyFont="1">
      <alignment vertical="top"/>
    </xf>
    <xf numFmtId="187" fontId="0" fillId="0" borderId="0" xfId="48" applyNumberFormat="1" applyFont="1">
      <alignment vertical="top"/>
    </xf>
    <xf numFmtId="188" fontId="48" fillId="0" borderId="0" xfId="48" applyNumberFormat="1" applyFont="1">
      <alignment vertical="top"/>
    </xf>
    <xf numFmtId="188" fontId="0" fillId="0" borderId="0" xfId="48" applyNumberFormat="1" applyFont="1">
      <alignment vertical="top"/>
    </xf>
    <xf numFmtId="188" fontId="48" fillId="0" borderId="0" xfId="48" applyNumberFormat="1" applyFont="1" applyFill="1">
      <alignment vertical="top"/>
    </xf>
    <xf numFmtId="188" fontId="0" fillId="0" borderId="0" xfId="48" applyNumberFormat="1" applyFont="1" applyFill="1">
      <alignment vertical="top"/>
    </xf>
    <xf numFmtId="189" fontId="0" fillId="0" borderId="0" xfId="0" applyNumberFormat="1">
      <alignment vertical="top"/>
    </xf>
    <xf numFmtId="181" fontId="0" fillId="17" borderId="0" xfId="0" applyFill="1">
      <alignment vertical="top"/>
    </xf>
    <xf numFmtId="181" fontId="49" fillId="17" borderId="0" xfId="0" applyFont="1" applyFill="1">
      <alignment vertical="top"/>
    </xf>
    <xf numFmtId="187" fontId="49" fillId="17" borderId="0" xfId="48" applyNumberFormat="1" applyFont="1" applyFill="1">
      <alignment vertical="top"/>
    </xf>
    <xf numFmtId="188" fontId="49" fillId="17" borderId="0" xfId="48" applyNumberFormat="1" applyFont="1" applyFill="1">
      <alignment vertical="top"/>
    </xf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6569113D-CB66-471B-A6F1-61BE53D4DEEC}"/>
    <cellStyle name="DateShort" xfId="50" xr:uid="{878C3F8D-DB54-4E13-A089-BB006FC3EFEE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B747DA91-77C2-4590-A5BD-31F23C3468BD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6E85B954-38AE-4721-9703-1DBA5D4A6193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C1500E-40D4-4695-A318-374BF27B41B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e2abc93-50c7-40fa-bb80-e9debfcde33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B5BC-A47E-488D-BB0F-40A837E88573}">
  <sheetPr>
    <tabColor theme="3"/>
    <pageSetUpPr fitToPage="1"/>
  </sheetPr>
  <dimension ref="A1:U68"/>
  <sheetViews>
    <sheetView showGridLines="0" zoomScale="80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K42" sqref="K42"/>
    </sheetView>
  </sheetViews>
  <sheetFormatPr defaultRowHeight="13.8"/>
  <cols>
    <col min="1" max="1" width="1.69921875" style="89" customWidth="1"/>
    <col min="2" max="4" width="1.59765625" customWidth="1"/>
    <col min="5" max="5" width="32.19921875" customWidth="1"/>
    <col min="8" max="8" width="11.3984375" bestFit="1" customWidth="1"/>
    <col min="9" max="9" width="1.59765625" customWidth="1"/>
    <col min="10" max="10" width="12.19921875" bestFit="1" customWidth="1"/>
    <col min="11" max="11" width="12.296875" bestFit="1" customWidth="1"/>
    <col min="12" max="12" width="12.19921875" bestFit="1" customWidth="1"/>
    <col min="13" max="13" width="12.09765625" bestFit="1" customWidth="1"/>
    <col min="14" max="14" width="12.59765625" bestFit="1" customWidth="1"/>
    <col min="15" max="15" width="12.296875" bestFit="1" customWidth="1"/>
    <col min="16" max="16" width="11.59765625" bestFit="1" customWidth="1"/>
    <col min="17" max="17" width="12.59765625" bestFit="1" customWidth="1"/>
    <col min="18" max="18" width="13" bestFit="1" customWidth="1"/>
    <col min="19" max="19" width="12" bestFit="1" customWidth="1"/>
    <col min="20" max="20" width="12.59765625" bestFit="1" customWidth="1"/>
    <col min="21" max="21" width="12.5" bestFit="1" customWidth="1"/>
  </cols>
  <sheetData>
    <row r="1" spans="1:21" s="86" customFormat="1">
      <c r="A1" s="86" t="str">
        <f>company</f>
        <v>Big Fish Co.</v>
      </c>
    </row>
    <row r="2" spans="1:21" s="86" customFormat="1">
      <c r="A2" s="86" t="str" cm="1">
        <f t="array" ref="A2">topic</f>
        <v>CFM Topic: Costs</v>
      </c>
    </row>
    <row r="3" spans="1:21" s="86" customFormat="1">
      <c r="A3" s="86" t="s">
        <v>71</v>
      </c>
      <c r="F3" s="86" t="s">
        <v>74</v>
      </c>
      <c r="G3" s="86" t="s">
        <v>57</v>
      </c>
      <c r="H3" s="86" t="s">
        <v>1</v>
      </c>
      <c r="J3" s="102" cm="1">
        <f t="array" ref="J3:U3">_xlfn.TAKE( EOMONTH( start_date, _xlfn.SEQUENCE( 1, periods, 1, 1 ) - 1 ),, -12 )</f>
        <v>43861</v>
      </c>
      <c r="K3" s="102">
        <v>43890</v>
      </c>
      <c r="L3" s="102">
        <v>43921</v>
      </c>
      <c r="M3" s="102">
        <v>43951</v>
      </c>
      <c r="N3" s="102">
        <v>43982</v>
      </c>
      <c r="O3" s="102">
        <v>44012</v>
      </c>
      <c r="P3" s="102">
        <v>44043</v>
      </c>
      <c r="Q3" s="102">
        <v>44074</v>
      </c>
      <c r="R3" s="102">
        <v>44104</v>
      </c>
      <c r="S3" s="102">
        <v>44135</v>
      </c>
      <c r="T3" s="102">
        <v>44165</v>
      </c>
      <c r="U3" s="102">
        <v>44196</v>
      </c>
    </row>
    <row r="5" spans="1:21" s="87" customFormat="1">
      <c r="A5" s="88" t="s">
        <v>72</v>
      </c>
    </row>
    <row r="7" spans="1:21">
      <c r="E7" t="str" cm="1">
        <f t="array" ref="E7:E11" xml:space="preserve"> _xlfn.LET(
    _xlpm.revenue,_xlfn.ANCHORARRAY(      Calculations!V197),
    _xlpm.revenue_rows, _xlfn.DROP( INDEX(_xlfn.ANCHORARRAY( Calculations!E196),, 1 ), 1 ),
    _xlpm.grouped,      _xlfn.GROUPBY( _xlpm.revenue_rows, _xlpm.revenue, _xleta.SUM, 0, 0 ),
    _xlpm.labels,       INDEX( _xlpm.grouped,, 1 ),
    _xlpm.rev_matrix,   _xlfn.DROP( _xlpm.grouped,, 1 ),
    _xlpm.sort_order,   MMULT( _xlpm.rev_matrix, _xlfn.SEQUENCE( COLUMNS(_xlpm.rev_matrix), 1, 1, 0 ) ),
    _xlfn.SORTBY( _xlpm.labels, _xlpm.sort_order, -1 ) )</f>
        <v>Client 4</v>
      </c>
      <c r="G7" t="s">
        <v>64</v>
      </c>
      <c r="H7" cm="1">
        <f t="array" ref="H7:H11">_xlfn.BYROW(_xlfn.ANCHORARRAY( J7), _xleta.SUM )</f>
        <v>28589246.534951996</v>
      </c>
      <c r="J7" cm="1">
        <f t="array" ref="J7:U11" xml:space="preserve"> _xlfn.LET(
    _xlpm.revenue,_xlfn.ANCHORARRAY(      Calculations!V197),
    _xlpm.revenue_rows, _xlfn.DROP( INDEX(_xlfn.ANCHORARRAY( Calculations!E196),, 1 ), 1 ),
    _xlpm.grouped,      _xlfn.GROUPBY( _xlpm.revenue_rows, _xlpm.revenue, _xleta.SUM, 0, 0 ),
    _xlpm.rev_matrix,   _xlfn.DROP( _xlpm.grouped,, 1 ),
    _xlpm.sort_order,   MMULT( _xlpm.rev_matrix, _xlfn.SEQUENCE( COLUMNS(_xlpm.rev_matrix), 1, 1, 0 ) ),
    _xlfn.SORTBY( _xlpm.rev_matrix, _xlpm.sort_order, -1 ) )</f>
        <v>2609106.4061999996</v>
      </c>
      <c r="K7">
        <v>2016183.0981600001</v>
      </c>
      <c r="L7">
        <v>2617854.1502400003</v>
      </c>
      <c r="M7">
        <v>3339089.89848</v>
      </c>
      <c r="N7">
        <v>1965965.9720399999</v>
      </c>
      <c r="O7">
        <v>1920737.0397600001</v>
      </c>
      <c r="P7">
        <v>1715634.6333120004</v>
      </c>
      <c r="Q7">
        <v>2755115.8009199998</v>
      </c>
      <c r="R7">
        <v>2434191.6463199998</v>
      </c>
      <c r="S7">
        <v>3058445.4238799997</v>
      </c>
      <c r="T7">
        <v>2377408.0932</v>
      </c>
      <c r="U7">
        <v>1779514.3724400001</v>
      </c>
    </row>
    <row r="8" spans="1:21">
      <c r="E8" t="str">
        <v>Client 3</v>
      </c>
      <c r="G8" t="s">
        <v>64</v>
      </c>
      <c r="H8">
        <v>12009799.796904001</v>
      </c>
      <c r="J8">
        <v>1008119.9620800002</v>
      </c>
      <c r="K8">
        <v>1166334.5745840003</v>
      </c>
      <c r="L8">
        <v>1113695.8119840003</v>
      </c>
      <c r="M8">
        <v>971973.942576</v>
      </c>
      <c r="N8">
        <v>1094743.2841920003</v>
      </c>
      <c r="O8">
        <v>947009.91098400019</v>
      </c>
      <c r="P8">
        <v>884676.63345600013</v>
      </c>
      <c r="Q8">
        <v>716452.50921600009</v>
      </c>
      <c r="R8">
        <v>1137308.052288</v>
      </c>
      <c r="S8">
        <v>1174665.9774240002</v>
      </c>
      <c r="T8">
        <v>907736.94278400019</v>
      </c>
      <c r="U8">
        <v>887082.19533600006</v>
      </c>
    </row>
    <row r="9" spans="1:21">
      <c r="E9" t="str">
        <v>Client 1</v>
      </c>
      <c r="G9" t="s">
        <v>64</v>
      </c>
      <c r="H9">
        <v>4738211.3815199994</v>
      </c>
      <c r="J9">
        <v>465255.08880000003</v>
      </c>
      <c r="K9">
        <v>239206.5036</v>
      </c>
      <c r="L9">
        <v>237128.478</v>
      </c>
      <c r="M9">
        <v>278555.83920000005</v>
      </c>
      <c r="N9">
        <v>353406.45228000003</v>
      </c>
      <c r="O9">
        <v>455370.71556000004</v>
      </c>
      <c r="P9">
        <v>445532.61768000008</v>
      </c>
      <c r="Q9">
        <v>534480.40800000005</v>
      </c>
      <c r="R9">
        <v>496536.79560000007</v>
      </c>
      <c r="S9">
        <v>221558.56560000003</v>
      </c>
      <c r="T9">
        <v>480971.24880000012</v>
      </c>
      <c r="U9">
        <v>530208.66840000008</v>
      </c>
    </row>
    <row r="10" spans="1:21">
      <c r="E10" t="str">
        <v>Client 2</v>
      </c>
      <c r="G10" t="s">
        <v>64</v>
      </c>
      <c r="H10">
        <v>3057575.4467040007</v>
      </c>
      <c r="J10">
        <v>196205.12634799973</v>
      </c>
      <c r="K10">
        <v>205465.91407999984</v>
      </c>
      <c r="L10">
        <v>88478.31490400013</v>
      </c>
      <c r="M10">
        <v>0</v>
      </c>
      <c r="N10">
        <v>356951.62496000028</v>
      </c>
      <c r="O10">
        <v>408808.03759999998</v>
      </c>
      <c r="P10">
        <v>478364.29971200007</v>
      </c>
      <c r="Q10">
        <v>379898.955884</v>
      </c>
      <c r="R10">
        <v>166506.80043200013</v>
      </c>
      <c r="S10">
        <v>26271.283164000211</v>
      </c>
      <c r="T10">
        <v>261399.3729200002</v>
      </c>
      <c r="U10">
        <v>489225.71670000005</v>
      </c>
    </row>
    <row r="11" spans="1:21">
      <c r="E11" t="str">
        <v>Client 5</v>
      </c>
      <c r="G11" t="s">
        <v>64</v>
      </c>
      <c r="H11">
        <v>2692257.8502400005</v>
      </c>
      <c r="J11">
        <v>201000.68128000002</v>
      </c>
      <c r="K11">
        <v>336551.94496000005</v>
      </c>
      <c r="L11">
        <v>336551.94496000005</v>
      </c>
      <c r="M11">
        <v>292156.73760000005</v>
      </c>
      <c r="N11">
        <v>228994.10688000004</v>
      </c>
      <c r="O11">
        <v>247682.67552000002</v>
      </c>
      <c r="P11">
        <v>238377.81856000004</v>
      </c>
      <c r="Q11">
        <v>140203.69216000004</v>
      </c>
      <c r="R11">
        <v>254700.74560000005</v>
      </c>
      <c r="S11">
        <v>116862.69504000001</v>
      </c>
      <c r="T11">
        <v>142569.33376000001</v>
      </c>
      <c r="U11">
        <v>156605.47392000002</v>
      </c>
    </row>
    <row r="12" spans="1:21">
      <c r="E12" s="109" t="s">
        <v>63</v>
      </c>
      <c r="F12" s="109"/>
      <c r="G12" s="109" t="s">
        <v>64</v>
      </c>
      <c r="H12" s="109" cm="1">
        <f t="array" ref="H12">_xlfn.BYROW(_xlfn.ANCHORARRAY( J12), _xleta.SUM )</f>
        <v>51087091.010320008</v>
      </c>
      <c r="I12" s="109"/>
      <c r="J12" s="109" cm="1">
        <f t="array" ref="J12:U12">_xlfn.BYCOL(_xlfn.ANCHORARRAY( J7), _xleta.SUM )</f>
        <v>4479687.2647080002</v>
      </c>
      <c r="K12" s="109">
        <v>3963742.0353840003</v>
      </c>
      <c r="L12" s="109">
        <v>4393708.7000880009</v>
      </c>
      <c r="M12" s="109">
        <v>4881776.4178560004</v>
      </c>
      <c r="N12" s="109">
        <v>4000061.4403519998</v>
      </c>
      <c r="O12" s="109">
        <v>3979608.3794240002</v>
      </c>
      <c r="P12" s="109">
        <v>3762586.0027200007</v>
      </c>
      <c r="Q12" s="109">
        <v>4526151.3661799999</v>
      </c>
      <c r="R12" s="109">
        <v>4489244.04024</v>
      </c>
      <c r="S12" s="109">
        <v>4597803.9451080002</v>
      </c>
      <c r="T12" s="109">
        <v>4170084.9914640002</v>
      </c>
      <c r="U12" s="109">
        <v>3842636.4267960005</v>
      </c>
    </row>
    <row r="15" spans="1:21" s="87" customFormat="1">
      <c r="A15" s="88" t="s">
        <v>75</v>
      </c>
    </row>
    <row r="17" spans="1:21">
      <c r="E17" t="str" cm="1">
        <f t="array" ref="E17:E21" xml:space="preserve"> _xlfn.LET(
    _xlpm.COGS,_xlfn.ANCHORARRAY(         Calculations!V229),
    _xlpm.cogs_rows,    _xlfn.DROP( INDEX(_xlfn.ANCHORARRAY( Calculations!E228),, 2 ), 1 ),
    _xlpm.grouped,      _xlfn.GROUPBY( _xlpm.cogs_rows, _xlpm.COGS, _xleta.SUM, 0, 0 ),
    _xlpm.labels,       "Product " &amp; INDEX( _xlpm.grouped,, 1 ),
    _xlpm.rev_matrix,   _xlfn.DROP( _xlpm.grouped,, 1 ),
    _xlpm.sort_order,   MMULT( _xlpm.rev_matrix, _xlfn.SEQUENCE( COLUMNS(_xlpm.rev_matrix), 1, 1, 0 ) ),
    _xlfn.SORTBY( _xlpm.labels, _xlpm.sort_order, -1 ) )</f>
        <v>Product 1</v>
      </c>
      <c r="G17" t="s">
        <v>64</v>
      </c>
      <c r="H17" cm="1">
        <f t="array" ref="H17:H21">_xlfn.BYROW(_xlfn.ANCHORARRAY( J17), _xleta.SUM )</f>
        <v>18606705.080000002</v>
      </c>
      <c r="J17" cm="1">
        <f t="array" ref="J17:U21" xml:space="preserve"> _xlfn.LET(
    _xlpm.COGS,_xlfn.ANCHORARRAY(         Calculations!V229),
    _xlpm.cogs_rows,    _xlfn.DROP( INDEX(_xlfn.ANCHORARRAY( Calculations!E228),, 2 ), 1 ),
    _xlpm.grouped,      _xlfn.GROUPBY( _xlpm.cogs_rows, _xlpm.COGS, _xleta.SUM, 0, 0 ),
    _xlpm.rev_matrix,   _xlfn.DROP( _xlpm.grouped,, 1 ),
    _xlpm.sort_order,   MMULT( _xlpm.rev_matrix, _xlfn.SEQUENCE( COLUMNS(_xlpm.rev_matrix), 1, 1, 0 ) ),
    _xlfn.SORTBY( _xlpm.rev_matrix, _xlpm.sort_order, -1 ) )</f>
        <v>1723557.07</v>
      </c>
      <c r="K17">
        <v>1287513.8800000001</v>
      </c>
      <c r="L17">
        <v>1632961.24</v>
      </c>
      <c r="M17">
        <v>2056926.27</v>
      </c>
      <c r="N17">
        <v>1320722.3999999999</v>
      </c>
      <c r="O17">
        <v>1337494.6499999999</v>
      </c>
      <c r="P17">
        <v>1189469.78</v>
      </c>
      <c r="Q17">
        <v>1805591.83</v>
      </c>
      <c r="R17">
        <v>1776040.5699999998</v>
      </c>
      <c r="S17">
        <v>1785241.5</v>
      </c>
      <c r="T17">
        <v>1463691.52</v>
      </c>
      <c r="U17">
        <v>1227494.3700000001</v>
      </c>
    </row>
    <row r="18" spans="1:21">
      <c r="E18" t="str">
        <v>Product 2</v>
      </c>
      <c r="G18" t="s">
        <v>64</v>
      </c>
      <c r="H18">
        <v>4054788.6149499994</v>
      </c>
      <c r="J18">
        <v>397972.22322599997</v>
      </c>
      <c r="K18">
        <v>382305.26017200004</v>
      </c>
      <c r="L18">
        <v>419266.11725999997</v>
      </c>
      <c r="M18">
        <v>391174.48902000004</v>
      </c>
      <c r="N18">
        <v>370246.0028800001</v>
      </c>
      <c r="O18">
        <v>239220.26169999997</v>
      </c>
      <c r="P18">
        <v>258980.17562600001</v>
      </c>
      <c r="Q18">
        <v>269083.47282600001</v>
      </c>
      <c r="R18">
        <v>287437.21175999998</v>
      </c>
      <c r="S18">
        <v>367380.26796600001</v>
      </c>
      <c r="T18">
        <v>340079.85219599999</v>
      </c>
      <c r="U18">
        <v>331643.280318</v>
      </c>
    </row>
    <row r="19" spans="1:21">
      <c r="E19" t="str">
        <v>Product 5</v>
      </c>
      <c r="G19" t="s">
        <v>64</v>
      </c>
      <c r="H19">
        <v>2356945.8141600001</v>
      </c>
      <c r="J19">
        <v>129141.30852000002</v>
      </c>
      <c r="K19">
        <v>236479.71312000003</v>
      </c>
      <c r="L19">
        <v>179464.98528000002</v>
      </c>
      <c r="M19">
        <v>140639.06303999998</v>
      </c>
      <c r="N19">
        <v>180953.37540000002</v>
      </c>
      <c r="O19">
        <v>273769.91963999998</v>
      </c>
      <c r="P19">
        <v>243733.93884000002</v>
      </c>
      <c r="Q19">
        <v>140887.52244</v>
      </c>
      <c r="R19">
        <v>218029.03920000003</v>
      </c>
      <c r="S19">
        <v>219705.15420000002</v>
      </c>
      <c r="T19">
        <v>214676.80920000002</v>
      </c>
      <c r="U19">
        <v>179464.98528000002</v>
      </c>
    </row>
    <row r="20" spans="1:21">
      <c r="E20" t="str">
        <v>Product 3</v>
      </c>
      <c r="G20" t="s">
        <v>64</v>
      </c>
      <c r="H20">
        <v>1310248.7838720004</v>
      </c>
      <c r="J20">
        <v>88328.613887999905</v>
      </c>
      <c r="K20">
        <v>99038.011391999942</v>
      </c>
      <c r="L20">
        <v>49943.126016000046</v>
      </c>
      <c r="M20">
        <v>14461.452288000002</v>
      </c>
      <c r="N20">
        <v>147254.35392000002</v>
      </c>
      <c r="O20">
        <v>156634.32499200001</v>
      </c>
      <c r="P20">
        <v>198788.12467200018</v>
      </c>
      <c r="Q20">
        <v>150936.07219199999</v>
      </c>
      <c r="R20">
        <v>79411.470336000042</v>
      </c>
      <c r="S20">
        <v>20620.210176000081</v>
      </c>
      <c r="T20">
        <v>110265.31123200007</v>
      </c>
      <c r="U20">
        <v>194567.71276800003</v>
      </c>
    </row>
    <row r="21" spans="1:21">
      <c r="E21" t="str">
        <v>Product 4</v>
      </c>
      <c r="G21" t="s">
        <v>64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E22" s="109" t="s">
        <v>76</v>
      </c>
      <c r="F22" s="109"/>
      <c r="G22" s="109" t="s">
        <v>64</v>
      </c>
      <c r="H22" s="109" cm="1">
        <f t="array" ref="H22">_xlfn.BYROW(_xlfn.ANCHORARRAY( J22), _xleta.SUM )</f>
        <v>26328688.292981993</v>
      </c>
      <c r="I22" s="109"/>
      <c r="J22" s="109" cm="1">
        <f t="array" ref="J22:U22">_xlfn.BYCOL(_xlfn.ANCHORARRAY( J17), _xleta.SUM )</f>
        <v>2338999.2156339996</v>
      </c>
      <c r="K22" s="109">
        <v>2005336.8646839999</v>
      </c>
      <c r="L22" s="109">
        <v>2281635.4685559999</v>
      </c>
      <c r="M22" s="109">
        <v>2603201.2743480001</v>
      </c>
      <c r="N22" s="109">
        <v>2019176.1321999999</v>
      </c>
      <c r="O22" s="109">
        <v>2007119.1563319997</v>
      </c>
      <c r="P22" s="109">
        <v>1890972.019138</v>
      </c>
      <c r="Q22" s="109">
        <v>2366498.8974580001</v>
      </c>
      <c r="R22" s="109">
        <v>2360918.2912959997</v>
      </c>
      <c r="S22" s="109">
        <v>2392947.132342</v>
      </c>
      <c r="T22" s="109">
        <v>2128713.4926280002</v>
      </c>
      <c r="U22" s="109">
        <v>1933170.3483660002</v>
      </c>
    </row>
    <row r="25" spans="1:21" s="87" customFormat="1">
      <c r="A25" s="88" t="s">
        <v>77</v>
      </c>
    </row>
    <row r="27" spans="1:21">
      <c r="E27" t="str" cm="1">
        <f t="array" ref="E27:E31" xml:space="preserve"> _xlfn.LET(
    _xlpm.volume,_xlfn.ANCHORARRAY(       Calculations!V166),
    _xlpm.volume_rows,  _xlfn.DROP( INDEX(_xlfn.ANCHORARRAY( Calculations!E228),, 2 ), 1 ),
    _xlpm.grouped,      _xlfn.GROUPBY( _xlpm.volume_rows, _xlpm.volume, _xleta.SUM, 0, 0 ),
    _xlpm.labels,       "Product " &amp; INDEX( _xlpm.grouped,, 1 ),
    _xlpm.rev_matrix,   _xlfn.DROP( _xlpm.grouped,, 1 ),
    _xlpm.sort_order,   MMULT( _xlpm.rev_matrix, _xlfn.SEQUENCE( COLUMNS(_xlpm.rev_matrix), 1, 1, 0 ) ),
    _xlfn.SORTBY( _xlpm.labels, _xlpm.sort_order, -1 ) )</f>
        <v>Product 1</v>
      </c>
      <c r="G27" t="s">
        <v>79</v>
      </c>
      <c r="H27" cm="1">
        <f t="array" ref="H27:H31">_xlfn.BYROW(_xlfn.ANCHORARRAY( J27), _xleta.SUM )</f>
        <v>695577.76000000013</v>
      </c>
      <c r="J27" cm="1">
        <f t="array" ref="J27:U31" xml:space="preserve"> _xlfn.LET(
    _xlpm.volume,_xlfn.ANCHORARRAY(       Calculations!V166),
    _xlpm.volume_rows,  _xlfn.DROP( INDEX(_xlfn.ANCHORARRAY( Calculations!E228),, 2 ), 1 ),
    _xlpm.grouped,      _xlfn.GROUPBY( _xlpm.volume_rows, _xlpm.volume, _xleta.SUM, 0, 0 ),
    _xlpm.rev_matrix,   _xlfn.DROP( _xlpm.grouped,, 1 ),
    _xlpm.sort_order,   MMULT( _xlpm.rev_matrix, _xlfn.SEQUENCE( COLUMNS(_xlpm.rev_matrix), 1, 1, 0 ) ),
    _xlfn.SORTBY( _xlpm.rev_matrix, _xlpm.sort_order, -1 ) )</f>
        <v>64432.04</v>
      </c>
      <c r="K27">
        <v>48131.360000000001</v>
      </c>
      <c r="L27">
        <v>61045.279999999999</v>
      </c>
      <c r="M27">
        <v>76894.44</v>
      </c>
      <c r="N27">
        <v>49372.800000000003</v>
      </c>
      <c r="O27">
        <v>49999.8</v>
      </c>
      <c r="P27">
        <v>44466.16</v>
      </c>
      <c r="Q27">
        <v>67498.759999999995</v>
      </c>
      <c r="R27">
        <v>66394.040000000008</v>
      </c>
      <c r="S27">
        <v>66738</v>
      </c>
      <c r="T27">
        <v>54717.440000000002</v>
      </c>
      <c r="U27">
        <v>45887.64</v>
      </c>
    </row>
    <row r="28" spans="1:21">
      <c r="E28" t="str">
        <v>Product 2</v>
      </c>
      <c r="G28" t="s">
        <v>79</v>
      </c>
      <c r="H28">
        <v>508890.5</v>
      </c>
      <c r="J28">
        <v>49946.94</v>
      </c>
      <c r="K28">
        <v>47980.68</v>
      </c>
      <c r="L28">
        <v>52619.4</v>
      </c>
      <c r="M28">
        <v>49093.8</v>
      </c>
      <c r="N28">
        <v>46467.200000000012</v>
      </c>
      <c r="O28">
        <v>30022.999999999993</v>
      </c>
      <c r="P28">
        <v>32502.940000000002</v>
      </c>
      <c r="Q28">
        <v>33770.94</v>
      </c>
      <c r="R28">
        <v>36074.400000000001</v>
      </c>
      <c r="S28">
        <v>46107.54</v>
      </c>
      <c r="T28">
        <v>42681.24</v>
      </c>
      <c r="U28">
        <v>41622.42</v>
      </c>
    </row>
    <row r="29" spans="1:21">
      <c r="E29" t="str">
        <v>Product 5</v>
      </c>
      <c r="G29" t="s">
        <v>79</v>
      </c>
      <c r="H29">
        <v>358579.92000000004</v>
      </c>
      <c r="J29">
        <v>19647.240000000002</v>
      </c>
      <c r="K29">
        <v>35977.440000000002</v>
      </c>
      <c r="L29">
        <v>27303.360000000001</v>
      </c>
      <c r="M29">
        <v>21396.479999999996</v>
      </c>
      <c r="N29">
        <v>27529.800000000003</v>
      </c>
      <c r="O29">
        <v>41650.68</v>
      </c>
      <c r="P29">
        <v>37081.08</v>
      </c>
      <c r="Q29">
        <v>21434.28</v>
      </c>
      <c r="R29">
        <v>33170.400000000001</v>
      </c>
      <c r="S29">
        <v>33425.4</v>
      </c>
      <c r="T29">
        <v>32660.400000000001</v>
      </c>
      <c r="U29">
        <v>27303.360000000001</v>
      </c>
    </row>
    <row r="30" spans="1:21">
      <c r="E30" t="str">
        <v>Product 3</v>
      </c>
      <c r="G30" t="s">
        <v>79</v>
      </c>
      <c r="H30">
        <v>236951.82000000007</v>
      </c>
      <c r="J30">
        <v>15973.779999999981</v>
      </c>
      <c r="K30">
        <v>17910.51999999999</v>
      </c>
      <c r="L30">
        <v>9031.9600000000082</v>
      </c>
      <c r="M30">
        <v>2615.2800000000002</v>
      </c>
      <c r="N30">
        <v>26630.200000000004</v>
      </c>
      <c r="O30">
        <v>28326.52</v>
      </c>
      <c r="P30">
        <v>35949.820000000036</v>
      </c>
      <c r="Q30">
        <v>27296.019999999997</v>
      </c>
      <c r="R30">
        <v>14361.160000000007</v>
      </c>
      <c r="S30">
        <v>3729.060000000014</v>
      </c>
      <c r="T30">
        <v>19940.920000000013</v>
      </c>
      <c r="U30">
        <v>35186.58</v>
      </c>
    </row>
    <row r="31" spans="1:21">
      <c r="E31" t="str">
        <v>Product 4</v>
      </c>
      <c r="G31" t="s">
        <v>79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E32" s="109" t="s">
        <v>78</v>
      </c>
      <c r="F32" s="109"/>
      <c r="G32" s="109" t="s">
        <v>79</v>
      </c>
      <c r="H32" s="109" cm="1">
        <f t="array" ref="H32">_xlfn.BYROW(_xlfn.ANCHORARRAY( J32), _xleta.SUM )</f>
        <v>1800000</v>
      </c>
      <c r="I32" s="109"/>
      <c r="J32" s="109" cm="1">
        <f t="array" ref="J32:U32">_xlfn.BYCOL(_xlfn.ANCHORARRAY( J27), _xleta.SUM )</f>
        <v>149999.99999999997</v>
      </c>
      <c r="K32" s="109">
        <v>150000</v>
      </c>
      <c r="L32" s="109">
        <v>150000</v>
      </c>
      <c r="M32" s="109">
        <v>150000</v>
      </c>
      <c r="N32" s="109">
        <v>150000.00000000003</v>
      </c>
      <c r="O32" s="109">
        <v>149999.99999999997</v>
      </c>
      <c r="P32" s="109">
        <v>150000.00000000006</v>
      </c>
      <c r="Q32" s="109">
        <v>150000</v>
      </c>
      <c r="R32" s="109">
        <v>150000</v>
      </c>
      <c r="S32" s="109">
        <v>150000.00000000003</v>
      </c>
      <c r="T32" s="109">
        <v>150000</v>
      </c>
      <c r="U32" s="109">
        <v>150000</v>
      </c>
    </row>
    <row r="68" spans="1:1" s="87" customFormat="1">
      <c r="A68" s="88" t="s">
        <v>47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59" fitToHeight="0" orientation="landscape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BAEB-1137-46CB-934B-A8297FFEF18E}">
  <dimension ref="A1:AI286"/>
  <sheetViews>
    <sheetView showGridLines="0" tabSelected="1" zoomScale="85" zoomScaleNormal="85" workbookViewId="0">
      <pane xSplit="9" ySplit="3" topLeftCell="V162" activePane="bottomRight" state="frozen"/>
      <selection pane="topRight" activeCell="J1" sqref="J1"/>
      <selection pane="bottomLeft" activeCell="A4" sqref="A4"/>
      <selection pane="bottomRight" activeCell="V166" sqref="V166"/>
    </sheetView>
  </sheetViews>
  <sheetFormatPr defaultRowHeight="13.8"/>
  <cols>
    <col min="1" max="1" width="1.69921875" style="89" customWidth="1"/>
    <col min="2" max="4" width="1.59765625" customWidth="1"/>
    <col min="5" max="5" width="17.69921875" customWidth="1"/>
    <col min="8" max="8" width="12.69921875" customWidth="1"/>
    <col min="9" max="9" width="1.59765625" customWidth="1"/>
    <col min="10" max="10" width="11.796875" bestFit="1" customWidth="1"/>
    <col min="11" max="11" width="11.8984375" bestFit="1" customWidth="1"/>
    <col min="12" max="12" width="12" bestFit="1" customWidth="1"/>
    <col min="13" max="13" width="11.796875" bestFit="1" customWidth="1"/>
    <col min="14" max="14" width="12.296875" bestFit="1" customWidth="1"/>
    <col min="15" max="33" width="11.69921875" customWidth="1"/>
  </cols>
  <sheetData>
    <row r="1" spans="1:33" s="86" customFormat="1">
      <c r="A1" s="86" t="str">
        <f>company</f>
        <v>Big Fish Co.</v>
      </c>
    </row>
    <row r="2" spans="1:33" s="86" customFormat="1">
      <c r="A2" s="86" t="str" cm="1">
        <f t="array" ref="A2">topic</f>
        <v>CFM Topic: Costs</v>
      </c>
    </row>
    <row r="3" spans="1:33" s="86" customFormat="1">
      <c r="A3" s="86" t="s">
        <v>52</v>
      </c>
      <c r="G3" s="86" t="s">
        <v>57</v>
      </c>
      <c r="H3" s="86" t="s">
        <v>1</v>
      </c>
      <c r="J3" s="104" cm="1">
        <f t="array" ref="J3:AG3">EOMONTH( start_date, _xlfn.SEQUENCE( 1, periods, 1, 1 ) - 1 )</f>
        <v>43496</v>
      </c>
      <c r="K3" s="104">
        <v>43524</v>
      </c>
      <c r="L3" s="104">
        <v>43555</v>
      </c>
      <c r="M3" s="104">
        <v>43585</v>
      </c>
      <c r="N3" s="104">
        <v>43616</v>
      </c>
      <c r="O3" s="104">
        <v>43646</v>
      </c>
      <c r="P3" s="104">
        <v>43677</v>
      </c>
      <c r="Q3" s="104">
        <v>43708</v>
      </c>
      <c r="R3" s="104">
        <v>43738</v>
      </c>
      <c r="S3" s="104">
        <v>43769</v>
      </c>
      <c r="T3" s="104">
        <v>43799</v>
      </c>
      <c r="U3" s="104">
        <v>43830</v>
      </c>
      <c r="V3" s="104">
        <v>43861</v>
      </c>
      <c r="W3" s="104">
        <v>43890</v>
      </c>
      <c r="X3" s="104">
        <v>43921</v>
      </c>
      <c r="Y3" s="104">
        <v>43951</v>
      </c>
      <c r="Z3" s="104">
        <v>43982</v>
      </c>
      <c r="AA3" s="104">
        <v>44012</v>
      </c>
      <c r="AB3" s="104">
        <v>44043</v>
      </c>
      <c r="AC3" s="104">
        <v>44074</v>
      </c>
      <c r="AD3" s="104">
        <v>44104</v>
      </c>
      <c r="AE3" s="104">
        <v>44135</v>
      </c>
      <c r="AF3" s="104">
        <v>44165</v>
      </c>
      <c r="AG3" s="104">
        <v>44196</v>
      </c>
    </row>
    <row r="6" spans="1:33" s="87" customFormat="1">
      <c r="A6" s="88" t="s">
        <v>55</v>
      </c>
    </row>
    <row r="8" spans="1:33">
      <c r="E8" s="103" t="s">
        <v>16</v>
      </c>
      <c r="F8" s="103" t="s">
        <v>17</v>
      </c>
    </row>
    <row r="9" spans="1:33">
      <c r="E9" t="str" cm="1">
        <f t="array" ref="E9:F34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9" t="str">
        <v/>
      </c>
    </row>
    <row r="10" spans="1:33">
      <c r="E10" t="str">
        <v>Client 1</v>
      </c>
      <c r="F10">
        <v>1</v>
      </c>
      <c r="G10" t="s">
        <v>58</v>
      </c>
      <c r="J10" s="112" cm="1">
        <f t="array" ref="J10:U34" xml:space="preserve"> _xlfn.LET(
       _xlpm.historicals, CaseData!$B$8:$G$307,
       _xlpm.month,       INDEX(_xlpm.historicals,,1),
       _xlpm.client,      INDEX(_xlpm.historicals,,2),
       _xlpm.product,     INDEX(_xlpm.historicals,,3),
       _xlpm.volume,      INDEX(_xlpm.historicals,,4),
       _xlpm.price,       INDEX(_xlpm.historicals,,5),
       _xlfn.DROP( _xlfn.DROP( _xlfn.DROP( _xlfn.PIVOTBY( _xlfn.HSTACK( _xlpm.client, _xlpm.product ), _xlpm.month, _xlpm.price, _xleta.SUM,,0 ),,2 ),, -1 ), 1) )</f>
        <v>40</v>
      </c>
      <c r="K10" s="112">
        <v>40</v>
      </c>
      <c r="L10" s="112">
        <v>40</v>
      </c>
      <c r="M10" s="112">
        <v>40</v>
      </c>
      <c r="N10" s="112">
        <v>40</v>
      </c>
      <c r="O10" s="112">
        <v>40</v>
      </c>
      <c r="P10" s="112">
        <v>40</v>
      </c>
      <c r="Q10" s="112">
        <v>40</v>
      </c>
      <c r="R10" s="112">
        <v>40</v>
      </c>
      <c r="S10" s="112">
        <v>40</v>
      </c>
      <c r="T10" s="112">
        <v>40</v>
      </c>
      <c r="U10" s="112">
        <v>40</v>
      </c>
      <c r="V10" s="120" cm="1">
        <f t="array" ref="V10:AG34" xml:space="preserve"> _xlfn.LET(
       _xlpm.historicals, CaseData!$B$8:$G$307,
       _xlpm.month,       INDEX(_xlpm.historicals,,1),
       _xlpm.client,      "Client " &amp; INDEX(_xlpm.historicals,,2),
       _xlpm.product,     INDEX(_xlpm.historicals,,3),
       _xlpm.volume,      INDEX(_xlpm.historicals,,4),
       _xlpm.price,       INDEX(_xlpm.historicals,,5),
       _xlpm.last_actual, _xlfn.DROP( _xlfn.DROP( _xlfn.DROP( _xlfn.PIVOTBY( _xlfn.HSTACK( _xlpm.client, _xlpm.product ), _xlpm.month, _xlpm.price, _xleta.SUM,,0 ),,2 ),, -1 ), 1),
       _xlpm.current_client, _xlfn.DROP( INDEX(_xlfn.ANCHORARRAY( E9),, 1 ), 1 ),
       _xlpm.growth_table, CaseData!$I$8:$K$12,
       _xlpm.growth_rows, INDEX( _xlpm.growth_table,, 1 ),
       _xlpm.growth_rate, INDEX( _xlpm.growth_table, MATCH( _xlpm.current_client, _xlpm.growth_rows, 0 ), 3 ),
       _xlpm.last_actual * ( 1 + _xlpm.growth_rate ) )</f>
        <v>42.800000000000004</v>
      </c>
      <c r="W10" s="113">
        <v>42.800000000000004</v>
      </c>
      <c r="X10" s="113">
        <v>42.800000000000004</v>
      </c>
      <c r="Y10" s="113">
        <v>42.800000000000004</v>
      </c>
      <c r="Z10" s="113">
        <v>42.800000000000004</v>
      </c>
      <c r="AA10" s="113">
        <v>42.800000000000004</v>
      </c>
      <c r="AB10" s="113">
        <v>42.800000000000004</v>
      </c>
      <c r="AC10" s="113">
        <v>42.800000000000004</v>
      </c>
      <c r="AD10" s="113">
        <v>42.800000000000004</v>
      </c>
      <c r="AE10" s="113">
        <v>42.800000000000004</v>
      </c>
      <c r="AF10" s="113">
        <v>42.800000000000004</v>
      </c>
      <c r="AG10" s="113">
        <v>42.800000000000004</v>
      </c>
    </row>
    <row r="11" spans="1:33">
      <c r="E11" t="str">
        <v>Client 1</v>
      </c>
      <c r="F11">
        <v>2</v>
      </c>
      <c r="G11" t="s">
        <v>58</v>
      </c>
      <c r="J11" s="112">
        <v>17</v>
      </c>
      <c r="K11" s="112">
        <v>17</v>
      </c>
      <c r="L11" s="112">
        <v>17</v>
      </c>
      <c r="M11" s="112">
        <v>17</v>
      </c>
      <c r="N11" s="112">
        <v>17</v>
      </c>
      <c r="O11" s="112">
        <v>17</v>
      </c>
      <c r="P11" s="112">
        <v>17</v>
      </c>
      <c r="Q11" s="112">
        <v>17</v>
      </c>
      <c r="R11" s="112">
        <v>17</v>
      </c>
      <c r="S11" s="112">
        <v>17</v>
      </c>
      <c r="T11" s="112">
        <v>17</v>
      </c>
      <c r="U11" s="112">
        <v>17</v>
      </c>
      <c r="V11" s="113">
        <v>18.190000000000001</v>
      </c>
      <c r="W11" s="113">
        <v>18.190000000000001</v>
      </c>
      <c r="X11" s="113">
        <v>18.190000000000001</v>
      </c>
      <c r="Y11" s="113">
        <v>18.190000000000001</v>
      </c>
      <c r="Z11" s="113">
        <v>18.190000000000001</v>
      </c>
      <c r="AA11" s="113">
        <v>18.190000000000001</v>
      </c>
      <c r="AB11" s="113">
        <v>18.190000000000001</v>
      </c>
      <c r="AC11" s="113">
        <v>18.190000000000001</v>
      </c>
      <c r="AD11" s="113">
        <v>18.190000000000001</v>
      </c>
      <c r="AE11" s="113">
        <v>18.190000000000001</v>
      </c>
      <c r="AF11" s="113">
        <v>18.190000000000001</v>
      </c>
      <c r="AG11" s="113">
        <v>18.190000000000001</v>
      </c>
    </row>
    <row r="12" spans="1:33">
      <c r="E12" t="str">
        <v>Client 1</v>
      </c>
      <c r="F12">
        <v>3</v>
      </c>
      <c r="G12" t="s">
        <v>58</v>
      </c>
      <c r="J12" s="112">
        <v>12.8</v>
      </c>
      <c r="K12" s="112">
        <v>12.8</v>
      </c>
      <c r="L12" s="112">
        <v>12.8</v>
      </c>
      <c r="M12" s="112">
        <v>12.8</v>
      </c>
      <c r="N12" s="112">
        <v>12.8</v>
      </c>
      <c r="O12" s="112">
        <v>12.8</v>
      </c>
      <c r="P12" s="112">
        <v>12.8</v>
      </c>
      <c r="Q12" s="112">
        <v>12.8</v>
      </c>
      <c r="R12" s="112">
        <v>12.8</v>
      </c>
      <c r="S12" s="112">
        <v>12.8</v>
      </c>
      <c r="T12" s="112">
        <v>12.8</v>
      </c>
      <c r="U12" s="112">
        <v>12.8</v>
      </c>
      <c r="V12" s="113">
        <v>13.696000000000002</v>
      </c>
      <c r="W12" s="113">
        <v>13.696000000000002</v>
      </c>
      <c r="X12" s="113">
        <v>13.696000000000002</v>
      </c>
      <c r="Y12" s="113">
        <v>13.696000000000002</v>
      </c>
      <c r="Z12" s="113">
        <v>13.696000000000002</v>
      </c>
      <c r="AA12" s="113">
        <v>13.696000000000002</v>
      </c>
      <c r="AB12" s="113">
        <v>13.696000000000002</v>
      </c>
      <c r="AC12" s="113">
        <v>13.696000000000002</v>
      </c>
      <c r="AD12" s="113">
        <v>13.696000000000002</v>
      </c>
      <c r="AE12" s="113">
        <v>13.696000000000002</v>
      </c>
      <c r="AF12" s="113">
        <v>13.696000000000002</v>
      </c>
      <c r="AG12" s="113">
        <v>13.696000000000002</v>
      </c>
    </row>
    <row r="13" spans="1:33">
      <c r="E13" t="str">
        <v>Client 1</v>
      </c>
      <c r="F13">
        <v>4</v>
      </c>
      <c r="G13" t="s">
        <v>58</v>
      </c>
      <c r="J13" s="112">
        <v>10.8</v>
      </c>
      <c r="K13" s="112">
        <v>10.8</v>
      </c>
      <c r="L13" s="112">
        <v>10.8</v>
      </c>
      <c r="M13" s="112">
        <v>10.8</v>
      </c>
      <c r="N13" s="112">
        <v>10.8</v>
      </c>
      <c r="O13" s="112">
        <v>10.8</v>
      </c>
      <c r="P13" s="112">
        <v>10.8</v>
      </c>
      <c r="Q13" s="112">
        <v>10.8</v>
      </c>
      <c r="R13" s="112">
        <v>10.8</v>
      </c>
      <c r="S13" s="112">
        <v>10.8</v>
      </c>
      <c r="T13" s="112">
        <v>10.8</v>
      </c>
      <c r="U13" s="112">
        <v>10.8</v>
      </c>
      <c r="V13" s="113">
        <v>11.556000000000001</v>
      </c>
      <c r="W13" s="113">
        <v>11.556000000000001</v>
      </c>
      <c r="X13" s="113">
        <v>11.556000000000001</v>
      </c>
      <c r="Y13" s="113">
        <v>11.556000000000001</v>
      </c>
      <c r="Z13" s="113">
        <v>11.556000000000001</v>
      </c>
      <c r="AA13" s="113">
        <v>11.556000000000001</v>
      </c>
      <c r="AB13" s="113">
        <v>11.556000000000001</v>
      </c>
      <c r="AC13" s="113">
        <v>11.556000000000001</v>
      </c>
      <c r="AD13" s="113">
        <v>11.556000000000001</v>
      </c>
      <c r="AE13" s="113">
        <v>11.556000000000001</v>
      </c>
      <c r="AF13" s="113">
        <v>11.556000000000001</v>
      </c>
      <c r="AG13" s="113">
        <v>11.556000000000001</v>
      </c>
    </row>
    <row r="14" spans="1:33">
      <c r="E14" t="str">
        <v>Client 1</v>
      </c>
      <c r="F14">
        <v>5</v>
      </c>
      <c r="G14" t="s">
        <v>58</v>
      </c>
      <c r="J14" s="112">
        <v>14.9</v>
      </c>
      <c r="K14" s="112">
        <v>14.9</v>
      </c>
      <c r="L14" s="112">
        <v>14.9</v>
      </c>
      <c r="M14" s="112">
        <v>14.9</v>
      </c>
      <c r="N14" s="112">
        <v>14.9</v>
      </c>
      <c r="O14" s="112">
        <v>14.9</v>
      </c>
      <c r="P14" s="112">
        <v>14.9</v>
      </c>
      <c r="Q14" s="112">
        <v>14.9</v>
      </c>
      <c r="R14" s="112">
        <v>14.9</v>
      </c>
      <c r="S14" s="112">
        <v>14.9</v>
      </c>
      <c r="T14" s="112">
        <v>14.9</v>
      </c>
      <c r="U14" s="112">
        <v>14.9</v>
      </c>
      <c r="V14" s="113">
        <v>15.943000000000001</v>
      </c>
      <c r="W14" s="113">
        <v>15.943000000000001</v>
      </c>
      <c r="X14" s="113">
        <v>15.943000000000001</v>
      </c>
      <c r="Y14" s="113">
        <v>15.943000000000001</v>
      </c>
      <c r="Z14" s="113">
        <v>15.943000000000001</v>
      </c>
      <c r="AA14" s="113">
        <v>15.943000000000001</v>
      </c>
      <c r="AB14" s="113">
        <v>15.943000000000001</v>
      </c>
      <c r="AC14" s="113">
        <v>15.943000000000001</v>
      </c>
      <c r="AD14" s="113">
        <v>15.943000000000001</v>
      </c>
      <c r="AE14" s="113">
        <v>15.943000000000001</v>
      </c>
      <c r="AF14" s="113">
        <v>15.943000000000001</v>
      </c>
      <c r="AG14" s="113">
        <v>15.943000000000001</v>
      </c>
    </row>
    <row r="15" spans="1:33">
      <c r="E15" t="str">
        <v>Client 2</v>
      </c>
      <c r="F15">
        <v>1</v>
      </c>
      <c r="G15" t="s">
        <v>58</v>
      </c>
      <c r="J15" s="112">
        <v>34</v>
      </c>
      <c r="K15" s="112">
        <v>34</v>
      </c>
      <c r="L15" s="112">
        <v>34</v>
      </c>
      <c r="M15" s="112">
        <v>34</v>
      </c>
      <c r="N15" s="112">
        <v>34</v>
      </c>
      <c r="O15" s="112">
        <v>34</v>
      </c>
      <c r="P15" s="112">
        <v>34</v>
      </c>
      <c r="Q15" s="112">
        <v>34</v>
      </c>
      <c r="R15" s="112">
        <v>34</v>
      </c>
      <c r="S15" s="112">
        <v>34</v>
      </c>
      <c r="T15" s="112">
        <v>34</v>
      </c>
      <c r="U15" s="112">
        <v>34</v>
      </c>
      <c r="V15" s="113">
        <v>36.04</v>
      </c>
      <c r="W15" s="113">
        <v>36.04</v>
      </c>
      <c r="X15" s="113">
        <v>36.04</v>
      </c>
      <c r="Y15" s="113">
        <v>36.04</v>
      </c>
      <c r="Z15" s="113">
        <v>36.04</v>
      </c>
      <c r="AA15" s="113">
        <v>36.04</v>
      </c>
      <c r="AB15" s="113">
        <v>36.04</v>
      </c>
      <c r="AC15" s="113">
        <v>36.04</v>
      </c>
      <c r="AD15" s="113">
        <v>36.04</v>
      </c>
      <c r="AE15" s="113">
        <v>36.04</v>
      </c>
      <c r="AF15" s="113">
        <v>36.04</v>
      </c>
      <c r="AG15" s="113">
        <v>36.04</v>
      </c>
    </row>
    <row r="16" spans="1:33">
      <c r="E16" t="str">
        <v>Client 2</v>
      </c>
      <c r="F16">
        <v>2</v>
      </c>
      <c r="G16" t="s">
        <v>58</v>
      </c>
      <c r="J16" s="112">
        <v>16.32</v>
      </c>
      <c r="K16" s="112">
        <v>16.32</v>
      </c>
      <c r="L16" s="112">
        <v>16.32</v>
      </c>
      <c r="M16" s="112">
        <v>16.32</v>
      </c>
      <c r="N16" s="112">
        <v>16.32</v>
      </c>
      <c r="O16" s="112">
        <v>16.32</v>
      </c>
      <c r="P16" s="112">
        <v>16.32</v>
      </c>
      <c r="Q16" s="112">
        <v>16.32</v>
      </c>
      <c r="R16" s="112">
        <v>16.32</v>
      </c>
      <c r="S16" s="112">
        <v>16.32</v>
      </c>
      <c r="T16" s="112">
        <v>16.32</v>
      </c>
      <c r="U16" s="112">
        <v>16.32</v>
      </c>
      <c r="V16" s="113">
        <v>17.299200000000003</v>
      </c>
      <c r="W16" s="113">
        <v>17.299200000000003</v>
      </c>
      <c r="X16" s="113">
        <v>17.299200000000003</v>
      </c>
      <c r="Y16" s="113">
        <v>17.299200000000003</v>
      </c>
      <c r="Z16" s="113">
        <v>17.299200000000003</v>
      </c>
      <c r="AA16" s="113">
        <v>17.299200000000003</v>
      </c>
      <c r="AB16" s="113">
        <v>17.299200000000003</v>
      </c>
      <c r="AC16" s="113">
        <v>17.299200000000003</v>
      </c>
      <c r="AD16" s="113">
        <v>17.299200000000003</v>
      </c>
      <c r="AE16" s="113">
        <v>17.299200000000003</v>
      </c>
      <c r="AF16" s="113">
        <v>17.299200000000003</v>
      </c>
      <c r="AG16" s="113">
        <v>17.299200000000003</v>
      </c>
    </row>
    <row r="17" spans="1:33">
      <c r="E17" t="str">
        <v>Client 2</v>
      </c>
      <c r="F17">
        <v>3</v>
      </c>
      <c r="G17" t="s">
        <v>58</v>
      </c>
      <c r="J17" s="112">
        <v>14.21</v>
      </c>
      <c r="K17" s="112">
        <v>14.21</v>
      </c>
      <c r="L17" s="112">
        <v>14.21</v>
      </c>
      <c r="M17" s="112">
        <v>14.21</v>
      </c>
      <c r="N17" s="112">
        <v>14.21</v>
      </c>
      <c r="O17" s="112">
        <v>14.21</v>
      </c>
      <c r="P17" s="112">
        <v>14.21</v>
      </c>
      <c r="Q17" s="112">
        <v>14.21</v>
      </c>
      <c r="R17" s="112">
        <v>14.21</v>
      </c>
      <c r="S17" s="112">
        <v>14.21</v>
      </c>
      <c r="T17" s="112">
        <v>14.21</v>
      </c>
      <c r="U17" s="112">
        <v>14.21</v>
      </c>
      <c r="V17" s="113">
        <v>15.062600000000002</v>
      </c>
      <c r="W17" s="113">
        <v>15.062600000000002</v>
      </c>
      <c r="X17" s="113">
        <v>15.062600000000002</v>
      </c>
      <c r="Y17" s="113">
        <v>15.062600000000002</v>
      </c>
      <c r="Z17" s="113">
        <v>15.062600000000002</v>
      </c>
      <c r="AA17" s="113">
        <v>15.062600000000002</v>
      </c>
      <c r="AB17" s="113">
        <v>15.062600000000002</v>
      </c>
      <c r="AC17" s="113">
        <v>15.062600000000002</v>
      </c>
      <c r="AD17" s="113">
        <v>15.062600000000002</v>
      </c>
      <c r="AE17" s="113">
        <v>15.062600000000002</v>
      </c>
      <c r="AF17" s="113">
        <v>15.062600000000002</v>
      </c>
      <c r="AG17" s="113">
        <v>15.062600000000002</v>
      </c>
    </row>
    <row r="18" spans="1:33">
      <c r="E18" t="str">
        <v>Client 2</v>
      </c>
      <c r="F18">
        <v>4</v>
      </c>
      <c r="G18" t="s">
        <v>58</v>
      </c>
      <c r="J18" s="112">
        <v>9.83</v>
      </c>
      <c r="K18" s="112">
        <v>9.83</v>
      </c>
      <c r="L18" s="112">
        <v>9.83</v>
      </c>
      <c r="M18" s="112">
        <v>9.83</v>
      </c>
      <c r="N18" s="112">
        <v>9.83</v>
      </c>
      <c r="O18" s="112">
        <v>9.83</v>
      </c>
      <c r="P18" s="112">
        <v>9.83</v>
      </c>
      <c r="Q18" s="112">
        <v>9.83</v>
      </c>
      <c r="R18" s="112">
        <v>9.83</v>
      </c>
      <c r="S18" s="112">
        <v>9.83</v>
      </c>
      <c r="T18" s="112">
        <v>9.83</v>
      </c>
      <c r="U18" s="112">
        <v>9.83</v>
      </c>
      <c r="V18" s="113">
        <v>10.4198</v>
      </c>
      <c r="W18" s="113">
        <v>10.4198</v>
      </c>
      <c r="X18" s="113">
        <v>10.4198</v>
      </c>
      <c r="Y18" s="113">
        <v>10.4198</v>
      </c>
      <c r="Z18" s="113">
        <v>10.4198</v>
      </c>
      <c r="AA18" s="113">
        <v>10.4198</v>
      </c>
      <c r="AB18" s="113">
        <v>10.4198</v>
      </c>
      <c r="AC18" s="113">
        <v>10.4198</v>
      </c>
      <c r="AD18" s="113">
        <v>10.4198</v>
      </c>
      <c r="AE18" s="113">
        <v>10.4198</v>
      </c>
      <c r="AF18" s="113">
        <v>10.4198</v>
      </c>
      <c r="AG18" s="113">
        <v>10.4198</v>
      </c>
    </row>
    <row r="19" spans="1:33">
      <c r="E19" t="str">
        <v>Client 2</v>
      </c>
      <c r="F19">
        <v>5</v>
      </c>
      <c r="G19" t="s">
        <v>58</v>
      </c>
      <c r="J19" s="112">
        <v>14.16</v>
      </c>
      <c r="K19" s="112">
        <v>14.16</v>
      </c>
      <c r="L19" s="112">
        <v>14.16</v>
      </c>
      <c r="M19" s="112">
        <v>14.16</v>
      </c>
      <c r="N19" s="112">
        <v>14.16</v>
      </c>
      <c r="O19" s="112">
        <v>14.16</v>
      </c>
      <c r="P19" s="112">
        <v>14.16</v>
      </c>
      <c r="Q19" s="112">
        <v>14.16</v>
      </c>
      <c r="R19" s="112">
        <v>14.16</v>
      </c>
      <c r="S19" s="112">
        <v>14.16</v>
      </c>
      <c r="T19" s="112">
        <v>14.16</v>
      </c>
      <c r="U19" s="112">
        <v>14.16</v>
      </c>
      <c r="V19" s="113">
        <v>15.009600000000001</v>
      </c>
      <c r="W19" s="113">
        <v>15.009600000000001</v>
      </c>
      <c r="X19" s="113">
        <v>15.009600000000001</v>
      </c>
      <c r="Y19" s="113">
        <v>15.009600000000001</v>
      </c>
      <c r="Z19" s="113">
        <v>15.009600000000001</v>
      </c>
      <c r="AA19" s="113">
        <v>15.009600000000001</v>
      </c>
      <c r="AB19" s="113">
        <v>15.009600000000001</v>
      </c>
      <c r="AC19" s="113">
        <v>15.009600000000001</v>
      </c>
      <c r="AD19" s="113">
        <v>15.009600000000001</v>
      </c>
      <c r="AE19" s="113">
        <v>15.009600000000001</v>
      </c>
      <c r="AF19" s="113">
        <v>15.009600000000001</v>
      </c>
      <c r="AG19" s="113">
        <v>15.009600000000001</v>
      </c>
    </row>
    <row r="20" spans="1:33">
      <c r="E20" t="str">
        <v>Client 3</v>
      </c>
      <c r="F20">
        <v>1</v>
      </c>
      <c r="G20" t="s">
        <v>58</v>
      </c>
      <c r="J20" s="112">
        <v>39.6</v>
      </c>
      <c r="K20" s="112">
        <v>39.6</v>
      </c>
      <c r="L20" s="112">
        <v>39.6</v>
      </c>
      <c r="M20" s="112">
        <v>39.6</v>
      </c>
      <c r="N20" s="112">
        <v>39.6</v>
      </c>
      <c r="O20" s="112">
        <v>39.6</v>
      </c>
      <c r="P20" s="112">
        <v>39.6</v>
      </c>
      <c r="Q20" s="112">
        <v>39.6</v>
      </c>
      <c r="R20" s="112">
        <v>39.6</v>
      </c>
      <c r="S20" s="112">
        <v>39.6</v>
      </c>
      <c r="T20" s="112">
        <v>39.6</v>
      </c>
      <c r="U20" s="112">
        <v>39.6</v>
      </c>
      <c r="V20" s="113">
        <v>41.976000000000006</v>
      </c>
      <c r="W20" s="113">
        <v>41.976000000000006</v>
      </c>
      <c r="X20" s="113">
        <v>41.976000000000006</v>
      </c>
      <c r="Y20" s="113">
        <v>41.976000000000006</v>
      </c>
      <c r="Z20" s="113">
        <v>41.976000000000006</v>
      </c>
      <c r="AA20" s="113">
        <v>41.976000000000006</v>
      </c>
      <c r="AB20" s="113">
        <v>41.976000000000006</v>
      </c>
      <c r="AC20" s="113">
        <v>41.976000000000006</v>
      </c>
      <c r="AD20" s="113">
        <v>41.976000000000006</v>
      </c>
      <c r="AE20" s="113">
        <v>41.976000000000006</v>
      </c>
      <c r="AF20" s="113">
        <v>41.976000000000006</v>
      </c>
      <c r="AG20" s="113">
        <v>41.976000000000006</v>
      </c>
    </row>
    <row r="21" spans="1:33">
      <c r="E21" t="str">
        <v>Client 3</v>
      </c>
      <c r="F21">
        <v>2</v>
      </c>
      <c r="G21" t="s">
        <v>58</v>
      </c>
      <c r="J21" s="112">
        <v>17.850000000000001</v>
      </c>
      <c r="K21" s="112">
        <v>17.850000000000001</v>
      </c>
      <c r="L21" s="112">
        <v>17.850000000000001</v>
      </c>
      <c r="M21" s="112">
        <v>17.850000000000001</v>
      </c>
      <c r="N21" s="112">
        <v>17.850000000000001</v>
      </c>
      <c r="O21" s="112">
        <v>17.850000000000001</v>
      </c>
      <c r="P21" s="112">
        <v>17.850000000000001</v>
      </c>
      <c r="Q21" s="112">
        <v>17.850000000000001</v>
      </c>
      <c r="R21" s="112">
        <v>17.850000000000001</v>
      </c>
      <c r="S21" s="112">
        <v>17.850000000000001</v>
      </c>
      <c r="T21" s="112">
        <v>17.850000000000001</v>
      </c>
      <c r="U21" s="112">
        <v>17.850000000000001</v>
      </c>
      <c r="V21" s="113">
        <v>18.921000000000003</v>
      </c>
      <c r="W21" s="113">
        <v>18.921000000000003</v>
      </c>
      <c r="X21" s="113">
        <v>18.921000000000003</v>
      </c>
      <c r="Y21" s="113">
        <v>18.921000000000003</v>
      </c>
      <c r="Z21" s="113">
        <v>18.921000000000003</v>
      </c>
      <c r="AA21" s="113">
        <v>18.921000000000003</v>
      </c>
      <c r="AB21" s="113">
        <v>18.921000000000003</v>
      </c>
      <c r="AC21" s="113">
        <v>18.921000000000003</v>
      </c>
      <c r="AD21" s="113">
        <v>18.921000000000003</v>
      </c>
      <c r="AE21" s="113">
        <v>18.921000000000003</v>
      </c>
      <c r="AF21" s="113">
        <v>18.921000000000003</v>
      </c>
      <c r="AG21" s="113">
        <v>18.921000000000003</v>
      </c>
    </row>
    <row r="22" spans="1:33">
      <c r="E22" t="str">
        <v>Client 3</v>
      </c>
      <c r="F22">
        <v>3</v>
      </c>
      <c r="G22" t="s">
        <v>58</v>
      </c>
      <c r="J22" s="112">
        <v>14.72</v>
      </c>
      <c r="K22" s="112">
        <v>14.72</v>
      </c>
      <c r="L22" s="112">
        <v>14.72</v>
      </c>
      <c r="M22" s="112">
        <v>14.72</v>
      </c>
      <c r="N22" s="112">
        <v>14.72</v>
      </c>
      <c r="O22" s="112">
        <v>14.72</v>
      </c>
      <c r="P22" s="112">
        <v>14.72</v>
      </c>
      <c r="Q22" s="112">
        <v>14.72</v>
      </c>
      <c r="R22" s="112">
        <v>14.72</v>
      </c>
      <c r="S22" s="112">
        <v>14.72</v>
      </c>
      <c r="T22" s="112">
        <v>14.72</v>
      </c>
      <c r="U22" s="112">
        <v>14.72</v>
      </c>
      <c r="V22" s="113">
        <v>15.603200000000001</v>
      </c>
      <c r="W22" s="113">
        <v>15.603200000000001</v>
      </c>
      <c r="X22" s="113">
        <v>15.603200000000001</v>
      </c>
      <c r="Y22" s="113">
        <v>15.603200000000001</v>
      </c>
      <c r="Z22" s="113">
        <v>15.603200000000001</v>
      </c>
      <c r="AA22" s="113">
        <v>15.603200000000001</v>
      </c>
      <c r="AB22" s="113">
        <v>15.603200000000001</v>
      </c>
      <c r="AC22" s="113">
        <v>15.603200000000001</v>
      </c>
      <c r="AD22" s="113">
        <v>15.603200000000001</v>
      </c>
      <c r="AE22" s="113">
        <v>15.603200000000001</v>
      </c>
      <c r="AF22" s="113">
        <v>15.603200000000001</v>
      </c>
      <c r="AG22" s="113">
        <v>15.603200000000001</v>
      </c>
    </row>
    <row r="23" spans="1:33">
      <c r="E23" t="str">
        <v>Client 3</v>
      </c>
      <c r="F23">
        <v>4</v>
      </c>
      <c r="G23" t="s">
        <v>58</v>
      </c>
      <c r="J23" s="112">
        <v>10.8</v>
      </c>
      <c r="K23" s="112">
        <v>10.8</v>
      </c>
      <c r="L23" s="112">
        <v>10.8</v>
      </c>
      <c r="M23" s="112">
        <v>10.8</v>
      </c>
      <c r="N23" s="112">
        <v>10.8</v>
      </c>
      <c r="O23" s="112">
        <v>10.8</v>
      </c>
      <c r="P23" s="112">
        <v>10.8</v>
      </c>
      <c r="Q23" s="112">
        <v>10.8</v>
      </c>
      <c r="R23" s="112">
        <v>10.8</v>
      </c>
      <c r="S23" s="112">
        <v>10.8</v>
      </c>
      <c r="T23" s="112">
        <v>10.8</v>
      </c>
      <c r="U23" s="112">
        <v>10.8</v>
      </c>
      <c r="V23" s="113">
        <v>11.448000000000002</v>
      </c>
      <c r="W23" s="113">
        <v>11.448000000000002</v>
      </c>
      <c r="X23" s="113">
        <v>11.448000000000002</v>
      </c>
      <c r="Y23" s="113">
        <v>11.448000000000002</v>
      </c>
      <c r="Z23" s="113">
        <v>11.448000000000002</v>
      </c>
      <c r="AA23" s="113">
        <v>11.448000000000002</v>
      </c>
      <c r="AB23" s="113">
        <v>11.448000000000002</v>
      </c>
      <c r="AC23" s="113">
        <v>11.448000000000002</v>
      </c>
      <c r="AD23" s="113">
        <v>11.448000000000002</v>
      </c>
      <c r="AE23" s="113">
        <v>11.448000000000002</v>
      </c>
      <c r="AF23" s="113">
        <v>11.448000000000002</v>
      </c>
      <c r="AG23" s="113">
        <v>11.448000000000002</v>
      </c>
    </row>
    <row r="24" spans="1:33" s="108" customFormat="1">
      <c r="A24" s="107"/>
      <c r="E24" s="108" t="str">
        <v>Client 3</v>
      </c>
      <c r="F24" s="108">
        <v>5</v>
      </c>
      <c r="G24" t="s">
        <v>58</v>
      </c>
      <c r="J24" s="114">
        <v>15.65</v>
      </c>
      <c r="K24" s="114">
        <v>15.65</v>
      </c>
      <c r="L24" s="114">
        <v>15.65</v>
      </c>
      <c r="M24" s="114">
        <v>15.65</v>
      </c>
      <c r="N24" s="114">
        <v>15.65</v>
      </c>
      <c r="O24" s="114">
        <v>15.65</v>
      </c>
      <c r="P24" s="114">
        <v>15.65</v>
      </c>
      <c r="Q24" s="114">
        <v>15.65</v>
      </c>
      <c r="R24" s="114">
        <v>15.65</v>
      </c>
      <c r="S24" s="114">
        <v>15.65</v>
      </c>
      <c r="T24" s="114">
        <v>15.65</v>
      </c>
      <c r="U24" s="114">
        <v>15.65</v>
      </c>
      <c r="V24" s="115">
        <v>16.589000000000002</v>
      </c>
      <c r="W24" s="115">
        <v>16.589000000000002</v>
      </c>
      <c r="X24" s="115">
        <v>16.589000000000002</v>
      </c>
      <c r="Y24" s="115">
        <v>16.589000000000002</v>
      </c>
      <c r="Z24" s="115">
        <v>16.589000000000002</v>
      </c>
      <c r="AA24" s="115">
        <v>16.589000000000002</v>
      </c>
      <c r="AB24" s="115">
        <v>16.589000000000002</v>
      </c>
      <c r="AC24" s="115">
        <v>16.589000000000002</v>
      </c>
      <c r="AD24" s="115">
        <v>16.589000000000002</v>
      </c>
      <c r="AE24" s="115">
        <v>16.589000000000002</v>
      </c>
      <c r="AF24" s="115">
        <v>16.589000000000002</v>
      </c>
      <c r="AG24" s="115">
        <v>16.589000000000002</v>
      </c>
    </row>
    <row r="25" spans="1:33">
      <c r="E25" t="str">
        <v>Client 4</v>
      </c>
      <c r="F25">
        <v>1</v>
      </c>
      <c r="G25" t="s">
        <v>58</v>
      </c>
      <c r="J25" s="112">
        <v>44.4</v>
      </c>
      <c r="K25" s="112">
        <v>44.4</v>
      </c>
      <c r="L25" s="112">
        <v>44.4</v>
      </c>
      <c r="M25" s="112">
        <v>44.4</v>
      </c>
      <c r="N25" s="112">
        <v>44.4</v>
      </c>
      <c r="O25" s="112">
        <v>44.4</v>
      </c>
      <c r="P25" s="112">
        <v>44.4</v>
      </c>
      <c r="Q25" s="112">
        <v>44.4</v>
      </c>
      <c r="R25" s="112">
        <v>44.4</v>
      </c>
      <c r="S25" s="112">
        <v>44.4</v>
      </c>
      <c r="T25" s="112">
        <v>44.4</v>
      </c>
      <c r="U25" s="112">
        <v>44.4</v>
      </c>
      <c r="V25" s="113">
        <v>47.951999999999998</v>
      </c>
      <c r="W25" s="113">
        <v>47.951999999999998</v>
      </c>
      <c r="X25" s="113">
        <v>47.951999999999998</v>
      </c>
      <c r="Y25" s="113">
        <v>47.951999999999998</v>
      </c>
      <c r="Z25" s="113">
        <v>47.951999999999998</v>
      </c>
      <c r="AA25" s="113">
        <v>47.951999999999998</v>
      </c>
      <c r="AB25" s="113">
        <v>47.951999999999998</v>
      </c>
      <c r="AC25" s="113">
        <v>47.951999999999998</v>
      </c>
      <c r="AD25" s="113">
        <v>47.951999999999998</v>
      </c>
      <c r="AE25" s="113">
        <v>47.951999999999998</v>
      </c>
      <c r="AF25" s="113">
        <v>47.951999999999998</v>
      </c>
      <c r="AG25" s="113">
        <v>47.951999999999998</v>
      </c>
    </row>
    <row r="26" spans="1:33">
      <c r="E26" t="str">
        <v>Client 4</v>
      </c>
      <c r="F26">
        <v>2</v>
      </c>
      <c r="G26" t="s">
        <v>58</v>
      </c>
      <c r="J26" s="112">
        <v>17.170000000000002</v>
      </c>
      <c r="K26" s="112">
        <v>17.170000000000002</v>
      </c>
      <c r="L26" s="112">
        <v>17.170000000000002</v>
      </c>
      <c r="M26" s="112">
        <v>17.170000000000002</v>
      </c>
      <c r="N26" s="112">
        <v>17.170000000000002</v>
      </c>
      <c r="O26" s="112">
        <v>17.170000000000002</v>
      </c>
      <c r="P26" s="112">
        <v>17.170000000000002</v>
      </c>
      <c r="Q26" s="112">
        <v>17.170000000000002</v>
      </c>
      <c r="R26" s="112">
        <v>17.170000000000002</v>
      </c>
      <c r="S26" s="112">
        <v>17.170000000000002</v>
      </c>
      <c r="T26" s="112">
        <v>17.170000000000002</v>
      </c>
      <c r="U26" s="112">
        <v>17.170000000000002</v>
      </c>
      <c r="V26" s="113">
        <v>18.543600000000001</v>
      </c>
      <c r="W26" s="113">
        <v>18.543600000000001</v>
      </c>
      <c r="X26" s="113">
        <v>18.543600000000001</v>
      </c>
      <c r="Y26" s="113">
        <v>18.543600000000001</v>
      </c>
      <c r="Z26" s="113">
        <v>18.543600000000001</v>
      </c>
      <c r="AA26" s="113">
        <v>18.543600000000001</v>
      </c>
      <c r="AB26" s="113">
        <v>18.543600000000001</v>
      </c>
      <c r="AC26" s="113">
        <v>18.543600000000001</v>
      </c>
      <c r="AD26" s="113">
        <v>18.543600000000001</v>
      </c>
      <c r="AE26" s="113">
        <v>18.543600000000001</v>
      </c>
      <c r="AF26" s="113">
        <v>18.543600000000001</v>
      </c>
      <c r="AG26" s="113">
        <v>18.543600000000001</v>
      </c>
    </row>
    <row r="27" spans="1:33">
      <c r="E27" t="str">
        <v>Client 4</v>
      </c>
      <c r="F27">
        <v>3</v>
      </c>
      <c r="G27" t="s">
        <v>58</v>
      </c>
      <c r="J27" s="112">
        <v>13.57</v>
      </c>
      <c r="K27" s="112">
        <v>13.57</v>
      </c>
      <c r="L27" s="112">
        <v>13.57</v>
      </c>
      <c r="M27" s="112">
        <v>13.57</v>
      </c>
      <c r="N27" s="112">
        <v>13.57</v>
      </c>
      <c r="O27" s="112">
        <v>13.57</v>
      </c>
      <c r="P27" s="112">
        <v>13.57</v>
      </c>
      <c r="Q27" s="112">
        <v>13.57</v>
      </c>
      <c r="R27" s="112">
        <v>13.57</v>
      </c>
      <c r="S27" s="112">
        <v>13.57</v>
      </c>
      <c r="T27" s="112">
        <v>13.57</v>
      </c>
      <c r="U27" s="112">
        <v>13.57</v>
      </c>
      <c r="V27" s="113">
        <v>14.655600000000002</v>
      </c>
      <c r="W27" s="113">
        <v>14.655600000000002</v>
      </c>
      <c r="X27" s="113">
        <v>14.655600000000002</v>
      </c>
      <c r="Y27" s="113">
        <v>14.655600000000002</v>
      </c>
      <c r="Z27" s="113">
        <v>14.655600000000002</v>
      </c>
      <c r="AA27" s="113">
        <v>14.655600000000002</v>
      </c>
      <c r="AB27" s="113">
        <v>14.655600000000002</v>
      </c>
      <c r="AC27" s="113">
        <v>14.655600000000002</v>
      </c>
      <c r="AD27" s="113">
        <v>14.655600000000002</v>
      </c>
      <c r="AE27" s="113">
        <v>14.655600000000002</v>
      </c>
      <c r="AF27" s="113">
        <v>14.655600000000002</v>
      </c>
      <c r="AG27" s="113">
        <v>14.655600000000002</v>
      </c>
    </row>
    <row r="28" spans="1:33">
      <c r="E28" t="str">
        <v>Client 4</v>
      </c>
      <c r="F28">
        <v>4</v>
      </c>
      <c r="G28" t="s">
        <v>58</v>
      </c>
      <c r="J28" s="112">
        <v>12.42</v>
      </c>
      <c r="K28" s="112">
        <v>12.42</v>
      </c>
      <c r="L28" s="112">
        <v>12.42</v>
      </c>
      <c r="M28" s="112">
        <v>12.42</v>
      </c>
      <c r="N28" s="112">
        <v>12.42</v>
      </c>
      <c r="O28" s="112">
        <v>12.42</v>
      </c>
      <c r="P28" s="112">
        <v>12.42</v>
      </c>
      <c r="Q28" s="112">
        <v>12.42</v>
      </c>
      <c r="R28" s="112">
        <v>12.42</v>
      </c>
      <c r="S28" s="112">
        <v>12.42</v>
      </c>
      <c r="T28" s="112">
        <v>12.42</v>
      </c>
      <c r="U28" s="112">
        <v>12.42</v>
      </c>
      <c r="V28" s="113">
        <v>13.413600000000001</v>
      </c>
      <c r="W28" s="113">
        <v>13.413600000000001</v>
      </c>
      <c r="X28" s="113">
        <v>13.413600000000001</v>
      </c>
      <c r="Y28" s="113">
        <v>13.413600000000001</v>
      </c>
      <c r="Z28" s="113">
        <v>13.413600000000001</v>
      </c>
      <c r="AA28" s="113">
        <v>13.413600000000001</v>
      </c>
      <c r="AB28" s="113">
        <v>13.413600000000001</v>
      </c>
      <c r="AC28" s="113">
        <v>13.413600000000001</v>
      </c>
      <c r="AD28" s="113">
        <v>13.413600000000001</v>
      </c>
      <c r="AE28" s="113">
        <v>13.413600000000001</v>
      </c>
      <c r="AF28" s="113">
        <v>13.413600000000001</v>
      </c>
      <c r="AG28" s="113">
        <v>13.413600000000001</v>
      </c>
    </row>
    <row r="29" spans="1:33">
      <c r="E29" t="str">
        <v>Client 4</v>
      </c>
      <c r="F29">
        <v>5</v>
      </c>
      <c r="G29" t="s">
        <v>58</v>
      </c>
      <c r="J29" s="112">
        <v>14.16</v>
      </c>
      <c r="K29" s="112">
        <v>14.16</v>
      </c>
      <c r="L29" s="112">
        <v>14.16</v>
      </c>
      <c r="M29" s="112">
        <v>14.16</v>
      </c>
      <c r="N29" s="112">
        <v>14.16</v>
      </c>
      <c r="O29" s="112">
        <v>14.16</v>
      </c>
      <c r="P29" s="112">
        <v>14.16</v>
      </c>
      <c r="Q29" s="112">
        <v>14.16</v>
      </c>
      <c r="R29" s="112">
        <v>14.16</v>
      </c>
      <c r="S29" s="112">
        <v>14.16</v>
      </c>
      <c r="T29" s="112">
        <v>14.16</v>
      </c>
      <c r="U29" s="112">
        <v>14.16</v>
      </c>
      <c r="V29" s="113">
        <v>15.292800000000002</v>
      </c>
      <c r="W29" s="113">
        <v>15.292800000000002</v>
      </c>
      <c r="X29" s="113">
        <v>15.292800000000002</v>
      </c>
      <c r="Y29" s="113">
        <v>15.292800000000002</v>
      </c>
      <c r="Z29" s="113">
        <v>15.292800000000002</v>
      </c>
      <c r="AA29" s="113">
        <v>15.292800000000002</v>
      </c>
      <c r="AB29" s="113">
        <v>15.292800000000002</v>
      </c>
      <c r="AC29" s="113">
        <v>15.292800000000002</v>
      </c>
      <c r="AD29" s="113">
        <v>15.292800000000002</v>
      </c>
      <c r="AE29" s="113">
        <v>15.292800000000002</v>
      </c>
      <c r="AF29" s="113">
        <v>15.292800000000002</v>
      </c>
      <c r="AG29" s="113">
        <v>15.292800000000002</v>
      </c>
    </row>
    <row r="30" spans="1:33">
      <c r="E30" t="str">
        <v>Client 5</v>
      </c>
      <c r="F30">
        <v>1</v>
      </c>
      <c r="G30" t="s">
        <v>58</v>
      </c>
      <c r="J30" s="112">
        <v>37.6</v>
      </c>
      <c r="K30" s="112">
        <v>37.6</v>
      </c>
      <c r="L30" s="112">
        <v>37.6</v>
      </c>
      <c r="M30" s="112">
        <v>37.6</v>
      </c>
      <c r="N30" s="112">
        <v>37.6</v>
      </c>
      <c r="O30" s="112">
        <v>37.6</v>
      </c>
      <c r="P30" s="112">
        <v>37.6</v>
      </c>
      <c r="Q30" s="112">
        <v>37.6</v>
      </c>
      <c r="R30" s="112">
        <v>37.6</v>
      </c>
      <c r="S30" s="112">
        <v>37.6</v>
      </c>
      <c r="T30" s="112">
        <v>37.6</v>
      </c>
      <c r="U30" s="112">
        <v>37.6</v>
      </c>
      <c r="V30" s="113">
        <v>40.232000000000006</v>
      </c>
      <c r="W30" s="113">
        <v>40.232000000000006</v>
      </c>
      <c r="X30" s="113">
        <v>40.232000000000006</v>
      </c>
      <c r="Y30" s="113">
        <v>40.232000000000006</v>
      </c>
      <c r="Z30" s="113">
        <v>40.232000000000006</v>
      </c>
      <c r="AA30" s="113">
        <v>40.232000000000006</v>
      </c>
      <c r="AB30" s="113">
        <v>40.232000000000006</v>
      </c>
      <c r="AC30" s="113">
        <v>40.232000000000006</v>
      </c>
      <c r="AD30" s="113">
        <v>40.232000000000006</v>
      </c>
      <c r="AE30" s="113">
        <v>40.232000000000006</v>
      </c>
      <c r="AF30" s="113">
        <v>40.232000000000006</v>
      </c>
      <c r="AG30" s="113">
        <v>40.232000000000006</v>
      </c>
    </row>
    <row r="31" spans="1:33">
      <c r="E31" t="str">
        <v>Client 5</v>
      </c>
      <c r="F31">
        <v>2</v>
      </c>
      <c r="G31" t="s">
        <v>58</v>
      </c>
      <c r="J31" s="112">
        <v>15.13</v>
      </c>
      <c r="K31" s="112">
        <v>15.13</v>
      </c>
      <c r="L31" s="112">
        <v>15.13</v>
      </c>
      <c r="M31" s="112">
        <v>15.13</v>
      </c>
      <c r="N31" s="112">
        <v>15.13</v>
      </c>
      <c r="O31" s="112">
        <v>15.13</v>
      </c>
      <c r="P31" s="112">
        <v>15.13</v>
      </c>
      <c r="Q31" s="112">
        <v>15.13</v>
      </c>
      <c r="R31" s="112">
        <v>15.13</v>
      </c>
      <c r="S31" s="112">
        <v>15.13</v>
      </c>
      <c r="T31" s="112">
        <v>15.13</v>
      </c>
      <c r="U31" s="112">
        <v>15.13</v>
      </c>
      <c r="V31" s="113">
        <v>16.189100000000003</v>
      </c>
      <c r="W31" s="113">
        <v>16.189100000000003</v>
      </c>
      <c r="X31" s="113">
        <v>16.189100000000003</v>
      </c>
      <c r="Y31" s="113">
        <v>16.189100000000003</v>
      </c>
      <c r="Z31" s="113">
        <v>16.189100000000003</v>
      </c>
      <c r="AA31" s="113">
        <v>16.189100000000003</v>
      </c>
      <c r="AB31" s="113">
        <v>16.189100000000003</v>
      </c>
      <c r="AC31" s="113">
        <v>16.189100000000003</v>
      </c>
      <c r="AD31" s="113">
        <v>16.189100000000003</v>
      </c>
      <c r="AE31" s="113">
        <v>16.189100000000003</v>
      </c>
      <c r="AF31" s="113">
        <v>16.189100000000003</v>
      </c>
      <c r="AG31" s="113">
        <v>16.189100000000003</v>
      </c>
    </row>
    <row r="32" spans="1:33">
      <c r="E32" t="str">
        <v>Client 5</v>
      </c>
      <c r="F32">
        <v>3</v>
      </c>
      <c r="G32" t="s">
        <v>58</v>
      </c>
      <c r="J32" s="112">
        <v>13.06</v>
      </c>
      <c r="K32" s="112">
        <v>13.06</v>
      </c>
      <c r="L32" s="112">
        <v>13.06</v>
      </c>
      <c r="M32" s="112">
        <v>13.06</v>
      </c>
      <c r="N32" s="112">
        <v>13.06</v>
      </c>
      <c r="O32" s="112">
        <v>13.06</v>
      </c>
      <c r="P32" s="112">
        <v>13.06</v>
      </c>
      <c r="Q32" s="112">
        <v>13.06</v>
      </c>
      <c r="R32" s="112">
        <v>13.06</v>
      </c>
      <c r="S32" s="112">
        <v>13.06</v>
      </c>
      <c r="T32" s="112">
        <v>13.06</v>
      </c>
      <c r="U32" s="112">
        <v>13.06</v>
      </c>
      <c r="V32" s="113">
        <v>13.974200000000002</v>
      </c>
      <c r="W32" s="113">
        <v>13.974200000000002</v>
      </c>
      <c r="X32" s="113">
        <v>13.974200000000002</v>
      </c>
      <c r="Y32" s="113">
        <v>13.974200000000002</v>
      </c>
      <c r="Z32" s="113">
        <v>13.974200000000002</v>
      </c>
      <c r="AA32" s="113">
        <v>13.974200000000002</v>
      </c>
      <c r="AB32" s="113">
        <v>13.974200000000002</v>
      </c>
      <c r="AC32" s="113">
        <v>13.974200000000002</v>
      </c>
      <c r="AD32" s="113">
        <v>13.974200000000002</v>
      </c>
      <c r="AE32" s="113">
        <v>13.974200000000002</v>
      </c>
      <c r="AF32" s="113">
        <v>13.974200000000002</v>
      </c>
      <c r="AG32" s="113">
        <v>13.974200000000002</v>
      </c>
    </row>
    <row r="33" spans="1:33">
      <c r="E33" t="str">
        <v>Client 5</v>
      </c>
      <c r="F33">
        <v>4</v>
      </c>
      <c r="G33" t="s">
        <v>58</v>
      </c>
      <c r="J33" s="112">
        <v>9.61</v>
      </c>
      <c r="K33" s="112">
        <v>9.61</v>
      </c>
      <c r="L33" s="112">
        <v>9.61</v>
      </c>
      <c r="M33" s="112">
        <v>9.61</v>
      </c>
      <c r="N33" s="112">
        <v>9.61</v>
      </c>
      <c r="O33" s="112">
        <v>9.61</v>
      </c>
      <c r="P33" s="112">
        <v>9.61</v>
      </c>
      <c r="Q33" s="112">
        <v>9.61</v>
      </c>
      <c r="R33" s="112">
        <v>9.61</v>
      </c>
      <c r="S33" s="112">
        <v>9.61</v>
      </c>
      <c r="T33" s="112">
        <v>9.61</v>
      </c>
      <c r="U33" s="112">
        <v>9.61</v>
      </c>
      <c r="V33" s="113">
        <v>10.2827</v>
      </c>
      <c r="W33" s="113">
        <v>10.2827</v>
      </c>
      <c r="X33" s="113">
        <v>10.2827</v>
      </c>
      <c r="Y33" s="113">
        <v>10.2827</v>
      </c>
      <c r="Z33" s="113">
        <v>10.2827</v>
      </c>
      <c r="AA33" s="113">
        <v>10.2827</v>
      </c>
      <c r="AB33" s="113">
        <v>10.2827</v>
      </c>
      <c r="AC33" s="113">
        <v>10.2827</v>
      </c>
      <c r="AD33" s="113">
        <v>10.2827</v>
      </c>
      <c r="AE33" s="113">
        <v>10.2827</v>
      </c>
      <c r="AF33" s="113">
        <v>10.2827</v>
      </c>
      <c r="AG33" s="113">
        <v>10.2827</v>
      </c>
    </row>
    <row r="34" spans="1:33">
      <c r="E34" t="str">
        <v>Client 5</v>
      </c>
      <c r="F34">
        <v>5</v>
      </c>
      <c r="G34" t="s">
        <v>58</v>
      </c>
      <c r="J34" s="112">
        <v>12.67</v>
      </c>
      <c r="K34" s="112">
        <v>12.67</v>
      </c>
      <c r="L34" s="112">
        <v>12.67</v>
      </c>
      <c r="M34" s="112">
        <v>12.67</v>
      </c>
      <c r="N34" s="112">
        <v>12.67</v>
      </c>
      <c r="O34" s="112">
        <v>12.67</v>
      </c>
      <c r="P34" s="112">
        <v>12.67</v>
      </c>
      <c r="Q34" s="112">
        <v>12.67</v>
      </c>
      <c r="R34" s="112">
        <v>12.67</v>
      </c>
      <c r="S34" s="112">
        <v>12.67</v>
      </c>
      <c r="T34" s="112">
        <v>12.67</v>
      </c>
      <c r="U34" s="112">
        <v>12.67</v>
      </c>
      <c r="V34" s="113">
        <v>13.556900000000001</v>
      </c>
      <c r="W34" s="113">
        <v>13.556900000000001</v>
      </c>
      <c r="X34" s="113">
        <v>13.556900000000001</v>
      </c>
      <c r="Y34" s="113">
        <v>13.556900000000001</v>
      </c>
      <c r="Z34" s="113">
        <v>13.556900000000001</v>
      </c>
      <c r="AA34" s="113">
        <v>13.556900000000001</v>
      </c>
      <c r="AB34" s="113">
        <v>13.556900000000001</v>
      </c>
      <c r="AC34" s="113">
        <v>13.556900000000001</v>
      </c>
      <c r="AD34" s="113">
        <v>13.556900000000001</v>
      </c>
      <c r="AE34" s="113">
        <v>13.556900000000001</v>
      </c>
      <c r="AF34" s="113">
        <v>13.556900000000001</v>
      </c>
      <c r="AG34" s="113">
        <v>13.556900000000001</v>
      </c>
    </row>
    <row r="37" spans="1:33" s="87" customFormat="1">
      <c r="A37" s="88" t="s">
        <v>56</v>
      </c>
    </row>
    <row r="39" spans="1:33">
      <c r="E39" s="103" t="s">
        <v>16</v>
      </c>
      <c r="F39" s="103" t="s">
        <v>17</v>
      </c>
    </row>
    <row r="40" spans="1:33">
      <c r="E40" t="str" cm="1">
        <f t="array" ref="E40:F65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40" t="str">
        <v/>
      </c>
    </row>
    <row r="41" spans="1:33">
      <c r="E41" t="str">
        <v>Client 1</v>
      </c>
      <c r="F41">
        <v>1</v>
      </c>
      <c r="G41" t="s">
        <v>58</v>
      </c>
      <c r="J41" s="110" cm="1">
        <f t="array" ref="J41:U65" xml:space="preserve"> _xlfn.LET(
       _xlpm.historicals, CaseData!$B$8:$G$307,
       _xlpm.month,       INDEX(_xlpm.historicals,,1),
       _xlpm.client,      INDEX(_xlpm.historicals,,2),
       _xlpm.product,     INDEX(_xlpm.historicals,,3),
       _xlpm.volume,      INDEX(_xlpm.historicals,,4),
       _xlpm.costs,       INDEX(_xlpm.historicals,,6),
       _xlfn.DROP( _xlfn.DROP( _xlfn.DROP( _xlfn.PIVOTBY( _xlfn.HSTACK( _xlpm.client, _xlpm.product ), _xlpm.month, _xlpm.costs, _xleta.SUM,,0 ),,2 ),, -1 ), 1) )</f>
        <v>25</v>
      </c>
      <c r="K41" s="110">
        <v>25</v>
      </c>
      <c r="L41" s="110">
        <v>25</v>
      </c>
      <c r="M41" s="110">
        <v>25</v>
      </c>
      <c r="N41" s="110">
        <v>25</v>
      </c>
      <c r="O41" s="110">
        <v>25</v>
      </c>
      <c r="P41" s="110">
        <v>25</v>
      </c>
      <c r="Q41" s="110">
        <v>25</v>
      </c>
      <c r="R41" s="110">
        <v>25</v>
      </c>
      <c r="S41" s="110">
        <v>25</v>
      </c>
      <c r="T41" s="110">
        <v>25</v>
      </c>
      <c r="U41" s="110">
        <v>25</v>
      </c>
      <c r="V41" s="119" cm="1">
        <f t="array" ref="V41:AG65" xml:space="preserve"> _xlfn.LET(
       _xlpm.historicals, CaseData!$B$8:$G$307,
       _xlpm.month,       INDEX(_xlpm.historicals,,1),
       _xlpm.client,      "Client " &amp; INDEX(_xlpm.historicals,,2),
       _xlpm.product,     INDEX(_xlpm.historicals,,3),
       _xlpm.volume,      INDEX(_xlpm.historicals,,4),
       _xlpm.costs,       INDEX(_xlpm.historicals,,6),
       _xlpm.last_actual, _xlfn.DROP( _xlfn.DROP( _xlfn.DROP( _xlfn.PIVOTBY( _xlfn.HSTACK( _xlpm.client, _xlpm.product ), _xlpm.month, _xlpm.costs, _xleta.SUM,,0 ),,2 ),, -1 ), 1),
       _xlpm.current_product, _xlfn.DROP( INDEX(_xlfn.ANCHORARRAY( E40),, 2 ), 1 ),
       _xlpm.growth_table, CaseData!$M$8:$N$12,
       _xlpm.growth_rows, INDEX( _xlpm.growth_table,, 1 ),
       _xlpm.growth_rate, INDEX( _xlpm.growth_table, MATCH( _xlpm.current_product, _xlpm.growth_rows, 0 ), 2 ),
       _xlpm.last_actual * ( 1 + _xlpm.growth_rate ) )</f>
        <v>26.75</v>
      </c>
      <c r="W41" s="111">
        <v>26.75</v>
      </c>
      <c r="X41" s="111">
        <v>26.75</v>
      </c>
      <c r="Y41" s="111">
        <v>26.75</v>
      </c>
      <c r="Z41" s="111">
        <v>26.75</v>
      </c>
      <c r="AA41" s="111">
        <v>26.75</v>
      </c>
      <c r="AB41" s="111">
        <v>26.75</v>
      </c>
      <c r="AC41" s="111">
        <v>26.75</v>
      </c>
      <c r="AD41" s="111">
        <v>26.75</v>
      </c>
      <c r="AE41" s="111">
        <v>26.75</v>
      </c>
      <c r="AF41" s="111">
        <v>26.75</v>
      </c>
      <c r="AG41" s="111">
        <v>26.75</v>
      </c>
    </row>
    <row r="42" spans="1:33">
      <c r="E42" t="str">
        <v>Client 1</v>
      </c>
      <c r="F42">
        <v>2</v>
      </c>
      <c r="G42" t="s">
        <v>58</v>
      </c>
      <c r="J42" s="110">
        <v>7.31</v>
      </c>
      <c r="K42" s="110">
        <v>7.31</v>
      </c>
      <c r="L42" s="110">
        <v>7.31</v>
      </c>
      <c r="M42" s="110">
        <v>7.31</v>
      </c>
      <c r="N42" s="110">
        <v>7.31</v>
      </c>
      <c r="O42" s="110">
        <v>7.31</v>
      </c>
      <c r="P42" s="110">
        <v>7.31</v>
      </c>
      <c r="Q42" s="110">
        <v>7.31</v>
      </c>
      <c r="R42" s="110">
        <v>7.31</v>
      </c>
      <c r="S42" s="110">
        <v>7.31</v>
      </c>
      <c r="T42" s="110">
        <v>7.31</v>
      </c>
      <c r="U42" s="110">
        <v>7.31</v>
      </c>
      <c r="V42" s="111">
        <v>7.9679000000000002</v>
      </c>
      <c r="W42" s="111">
        <v>7.9679000000000002</v>
      </c>
      <c r="X42" s="111">
        <v>7.9679000000000002</v>
      </c>
      <c r="Y42" s="111">
        <v>7.9679000000000002</v>
      </c>
      <c r="Z42" s="111">
        <v>7.9679000000000002</v>
      </c>
      <c r="AA42" s="111">
        <v>7.9679000000000002</v>
      </c>
      <c r="AB42" s="111">
        <v>7.9679000000000002</v>
      </c>
      <c r="AC42" s="111">
        <v>7.9679000000000002</v>
      </c>
      <c r="AD42" s="111">
        <v>7.9679000000000002</v>
      </c>
      <c r="AE42" s="111">
        <v>7.9679000000000002</v>
      </c>
      <c r="AF42" s="111">
        <v>7.9679000000000002</v>
      </c>
      <c r="AG42" s="111">
        <v>7.9679000000000002</v>
      </c>
    </row>
    <row r="43" spans="1:33">
      <c r="E43" t="str">
        <v>Client 1</v>
      </c>
      <c r="F43">
        <v>3</v>
      </c>
      <c r="G43" t="s">
        <v>58</v>
      </c>
      <c r="J43" s="110">
        <v>5.12</v>
      </c>
      <c r="K43" s="110">
        <v>5.12</v>
      </c>
      <c r="L43" s="110">
        <v>5.12</v>
      </c>
      <c r="M43" s="110">
        <v>5.12</v>
      </c>
      <c r="N43" s="110">
        <v>5.12</v>
      </c>
      <c r="O43" s="110">
        <v>5.12</v>
      </c>
      <c r="P43" s="110">
        <v>5.12</v>
      </c>
      <c r="Q43" s="110">
        <v>5.12</v>
      </c>
      <c r="R43" s="110">
        <v>5.12</v>
      </c>
      <c r="S43" s="110">
        <v>5.12</v>
      </c>
      <c r="T43" s="110">
        <v>5.12</v>
      </c>
      <c r="U43" s="110">
        <v>5.12</v>
      </c>
      <c r="V43" s="111">
        <v>5.5296000000000003</v>
      </c>
      <c r="W43" s="111">
        <v>5.5296000000000003</v>
      </c>
      <c r="X43" s="111">
        <v>5.5296000000000003</v>
      </c>
      <c r="Y43" s="111">
        <v>5.5296000000000003</v>
      </c>
      <c r="Z43" s="111">
        <v>5.5296000000000003</v>
      </c>
      <c r="AA43" s="111">
        <v>5.5296000000000003</v>
      </c>
      <c r="AB43" s="111">
        <v>5.5296000000000003</v>
      </c>
      <c r="AC43" s="111">
        <v>5.5296000000000003</v>
      </c>
      <c r="AD43" s="111">
        <v>5.5296000000000003</v>
      </c>
      <c r="AE43" s="111">
        <v>5.5296000000000003</v>
      </c>
      <c r="AF43" s="111">
        <v>5.5296000000000003</v>
      </c>
      <c r="AG43" s="111">
        <v>5.5296000000000003</v>
      </c>
    </row>
    <row r="44" spans="1:33">
      <c r="E44" t="str">
        <v>Client 1</v>
      </c>
      <c r="F44">
        <v>4</v>
      </c>
      <c r="G44" t="s">
        <v>58</v>
      </c>
      <c r="J44" s="110">
        <v>6.48</v>
      </c>
      <c r="K44" s="110">
        <v>6.48</v>
      </c>
      <c r="L44" s="110">
        <v>6.48</v>
      </c>
      <c r="M44" s="110">
        <v>6.48</v>
      </c>
      <c r="N44" s="110">
        <v>6.48</v>
      </c>
      <c r="O44" s="110">
        <v>6.48</v>
      </c>
      <c r="P44" s="110">
        <v>6.48</v>
      </c>
      <c r="Q44" s="110">
        <v>6.48</v>
      </c>
      <c r="R44" s="110">
        <v>6.48</v>
      </c>
      <c r="S44" s="110">
        <v>6.48</v>
      </c>
      <c r="T44" s="110">
        <v>6.48</v>
      </c>
      <c r="U44" s="110">
        <v>6.48</v>
      </c>
      <c r="V44" s="111">
        <v>6.9336000000000011</v>
      </c>
      <c r="W44" s="111">
        <v>6.9336000000000011</v>
      </c>
      <c r="X44" s="111">
        <v>6.9336000000000011</v>
      </c>
      <c r="Y44" s="111">
        <v>6.9336000000000011</v>
      </c>
      <c r="Z44" s="111">
        <v>6.9336000000000011</v>
      </c>
      <c r="AA44" s="111">
        <v>6.9336000000000011</v>
      </c>
      <c r="AB44" s="111">
        <v>6.9336000000000011</v>
      </c>
      <c r="AC44" s="111">
        <v>6.9336000000000011</v>
      </c>
      <c r="AD44" s="111">
        <v>6.9336000000000011</v>
      </c>
      <c r="AE44" s="111">
        <v>6.9336000000000011</v>
      </c>
      <c r="AF44" s="111">
        <v>6.9336000000000011</v>
      </c>
      <c r="AG44" s="111">
        <v>6.9336000000000011</v>
      </c>
    </row>
    <row r="45" spans="1:33">
      <c r="E45" t="str">
        <v>Client 1</v>
      </c>
      <c r="F45">
        <v>5</v>
      </c>
      <c r="G45" t="s">
        <v>58</v>
      </c>
      <c r="J45" s="110">
        <v>6.26</v>
      </c>
      <c r="K45" s="110">
        <v>6.26</v>
      </c>
      <c r="L45" s="110">
        <v>6.26</v>
      </c>
      <c r="M45" s="110">
        <v>6.26</v>
      </c>
      <c r="N45" s="110">
        <v>6.26</v>
      </c>
      <c r="O45" s="110">
        <v>6.26</v>
      </c>
      <c r="P45" s="110">
        <v>6.26</v>
      </c>
      <c r="Q45" s="110">
        <v>6.26</v>
      </c>
      <c r="R45" s="110">
        <v>6.26</v>
      </c>
      <c r="S45" s="110">
        <v>6.26</v>
      </c>
      <c r="T45" s="110">
        <v>6.26</v>
      </c>
      <c r="U45" s="110">
        <v>6.26</v>
      </c>
      <c r="V45" s="111">
        <v>6.5730000000000004</v>
      </c>
      <c r="W45" s="111">
        <v>6.5730000000000004</v>
      </c>
      <c r="X45" s="111">
        <v>6.5730000000000004</v>
      </c>
      <c r="Y45" s="111">
        <v>6.5730000000000004</v>
      </c>
      <c r="Z45" s="111">
        <v>6.5730000000000004</v>
      </c>
      <c r="AA45" s="111">
        <v>6.5730000000000004</v>
      </c>
      <c r="AB45" s="111">
        <v>6.5730000000000004</v>
      </c>
      <c r="AC45" s="111">
        <v>6.5730000000000004</v>
      </c>
      <c r="AD45" s="111">
        <v>6.5730000000000004</v>
      </c>
      <c r="AE45" s="111">
        <v>6.5730000000000004</v>
      </c>
      <c r="AF45" s="111">
        <v>6.5730000000000004</v>
      </c>
      <c r="AG45" s="111">
        <v>6.5730000000000004</v>
      </c>
    </row>
    <row r="46" spans="1:33">
      <c r="E46" t="str">
        <v>Client 2</v>
      </c>
      <c r="F46">
        <v>1</v>
      </c>
      <c r="G46" t="s">
        <v>58</v>
      </c>
      <c r="J46" s="110">
        <v>25</v>
      </c>
      <c r="K46" s="110">
        <v>25</v>
      </c>
      <c r="L46" s="110">
        <v>25</v>
      </c>
      <c r="M46" s="110">
        <v>25</v>
      </c>
      <c r="N46" s="110">
        <v>25</v>
      </c>
      <c r="O46" s="110">
        <v>25</v>
      </c>
      <c r="P46" s="110">
        <v>25</v>
      </c>
      <c r="Q46" s="110">
        <v>25</v>
      </c>
      <c r="R46" s="110">
        <v>25</v>
      </c>
      <c r="S46" s="110">
        <v>25</v>
      </c>
      <c r="T46" s="110">
        <v>25</v>
      </c>
      <c r="U46" s="110">
        <v>25</v>
      </c>
      <c r="V46" s="111">
        <v>26.75</v>
      </c>
      <c r="W46" s="111">
        <v>26.75</v>
      </c>
      <c r="X46" s="111">
        <v>26.75</v>
      </c>
      <c r="Y46" s="111">
        <v>26.75</v>
      </c>
      <c r="Z46" s="111">
        <v>26.75</v>
      </c>
      <c r="AA46" s="111">
        <v>26.75</v>
      </c>
      <c r="AB46" s="111">
        <v>26.75</v>
      </c>
      <c r="AC46" s="111">
        <v>26.75</v>
      </c>
      <c r="AD46" s="111">
        <v>26.75</v>
      </c>
      <c r="AE46" s="111">
        <v>26.75</v>
      </c>
      <c r="AF46" s="111">
        <v>26.75</v>
      </c>
      <c r="AG46" s="111">
        <v>26.75</v>
      </c>
    </row>
    <row r="47" spans="1:33">
      <c r="E47" t="str">
        <v>Client 2</v>
      </c>
      <c r="F47">
        <v>2</v>
      </c>
      <c r="G47" t="s">
        <v>58</v>
      </c>
      <c r="J47" s="110">
        <v>7.31</v>
      </c>
      <c r="K47" s="110">
        <v>7.31</v>
      </c>
      <c r="L47" s="110">
        <v>7.31</v>
      </c>
      <c r="M47" s="110">
        <v>7.31</v>
      </c>
      <c r="N47" s="110">
        <v>7.31</v>
      </c>
      <c r="O47" s="110">
        <v>7.31</v>
      </c>
      <c r="P47" s="110">
        <v>7.31</v>
      </c>
      <c r="Q47" s="110">
        <v>7.31</v>
      </c>
      <c r="R47" s="110">
        <v>7.31</v>
      </c>
      <c r="S47" s="110">
        <v>7.31</v>
      </c>
      <c r="T47" s="110">
        <v>7.31</v>
      </c>
      <c r="U47" s="110">
        <v>7.31</v>
      </c>
      <c r="V47" s="111">
        <v>7.9679000000000002</v>
      </c>
      <c r="W47" s="111">
        <v>7.9679000000000002</v>
      </c>
      <c r="X47" s="111">
        <v>7.9679000000000002</v>
      </c>
      <c r="Y47" s="111">
        <v>7.9679000000000002</v>
      </c>
      <c r="Z47" s="111">
        <v>7.9679000000000002</v>
      </c>
      <c r="AA47" s="111">
        <v>7.9679000000000002</v>
      </c>
      <c r="AB47" s="111">
        <v>7.9679000000000002</v>
      </c>
      <c r="AC47" s="111">
        <v>7.9679000000000002</v>
      </c>
      <c r="AD47" s="111">
        <v>7.9679000000000002</v>
      </c>
      <c r="AE47" s="111">
        <v>7.9679000000000002</v>
      </c>
      <c r="AF47" s="111">
        <v>7.9679000000000002</v>
      </c>
      <c r="AG47" s="111">
        <v>7.9679000000000002</v>
      </c>
    </row>
    <row r="48" spans="1:33">
      <c r="E48" t="str">
        <v>Client 2</v>
      </c>
      <c r="F48">
        <v>3</v>
      </c>
      <c r="G48" t="s">
        <v>58</v>
      </c>
      <c r="J48" s="110">
        <v>5.12</v>
      </c>
      <c r="K48" s="110">
        <v>5.12</v>
      </c>
      <c r="L48" s="110">
        <v>5.12</v>
      </c>
      <c r="M48" s="110">
        <v>5.12</v>
      </c>
      <c r="N48" s="110">
        <v>5.12</v>
      </c>
      <c r="O48" s="110">
        <v>5.12</v>
      </c>
      <c r="P48" s="110">
        <v>5.12</v>
      </c>
      <c r="Q48" s="110">
        <v>5.12</v>
      </c>
      <c r="R48" s="110">
        <v>5.12</v>
      </c>
      <c r="S48" s="110">
        <v>5.12</v>
      </c>
      <c r="T48" s="110">
        <v>5.12</v>
      </c>
      <c r="U48" s="110">
        <v>5.12</v>
      </c>
      <c r="V48" s="111">
        <v>5.5296000000000003</v>
      </c>
      <c r="W48" s="111">
        <v>5.5296000000000003</v>
      </c>
      <c r="X48" s="111">
        <v>5.5296000000000003</v>
      </c>
      <c r="Y48" s="111">
        <v>5.5296000000000003</v>
      </c>
      <c r="Z48" s="111">
        <v>5.5296000000000003</v>
      </c>
      <c r="AA48" s="111">
        <v>5.5296000000000003</v>
      </c>
      <c r="AB48" s="111">
        <v>5.5296000000000003</v>
      </c>
      <c r="AC48" s="111">
        <v>5.5296000000000003</v>
      </c>
      <c r="AD48" s="111">
        <v>5.5296000000000003</v>
      </c>
      <c r="AE48" s="111">
        <v>5.5296000000000003</v>
      </c>
      <c r="AF48" s="111">
        <v>5.5296000000000003</v>
      </c>
      <c r="AG48" s="111">
        <v>5.5296000000000003</v>
      </c>
    </row>
    <row r="49" spans="5:33">
      <c r="E49" t="str">
        <v>Client 2</v>
      </c>
      <c r="F49">
        <v>4</v>
      </c>
      <c r="G49" t="s">
        <v>58</v>
      </c>
      <c r="J49" s="110">
        <v>6.48</v>
      </c>
      <c r="K49" s="110">
        <v>6.48</v>
      </c>
      <c r="L49" s="110">
        <v>6.48</v>
      </c>
      <c r="M49" s="110">
        <v>6.48</v>
      </c>
      <c r="N49" s="110">
        <v>6.48</v>
      </c>
      <c r="O49" s="110">
        <v>6.48</v>
      </c>
      <c r="P49" s="110">
        <v>6.48</v>
      </c>
      <c r="Q49" s="110">
        <v>6.48</v>
      </c>
      <c r="R49" s="110">
        <v>6.48</v>
      </c>
      <c r="S49" s="110">
        <v>6.48</v>
      </c>
      <c r="T49" s="110">
        <v>6.48</v>
      </c>
      <c r="U49" s="110">
        <v>6.48</v>
      </c>
      <c r="V49" s="111">
        <v>6.9336000000000011</v>
      </c>
      <c r="W49" s="111">
        <v>6.9336000000000011</v>
      </c>
      <c r="X49" s="111">
        <v>6.9336000000000011</v>
      </c>
      <c r="Y49" s="111">
        <v>6.9336000000000011</v>
      </c>
      <c r="Z49" s="111">
        <v>6.9336000000000011</v>
      </c>
      <c r="AA49" s="111">
        <v>6.9336000000000011</v>
      </c>
      <c r="AB49" s="111">
        <v>6.9336000000000011</v>
      </c>
      <c r="AC49" s="111">
        <v>6.9336000000000011</v>
      </c>
      <c r="AD49" s="111">
        <v>6.9336000000000011</v>
      </c>
      <c r="AE49" s="111">
        <v>6.9336000000000011</v>
      </c>
      <c r="AF49" s="111">
        <v>6.9336000000000011</v>
      </c>
      <c r="AG49" s="111">
        <v>6.9336000000000011</v>
      </c>
    </row>
    <row r="50" spans="5:33">
      <c r="E50" t="str">
        <v>Client 2</v>
      </c>
      <c r="F50">
        <v>5</v>
      </c>
      <c r="G50" t="s">
        <v>58</v>
      </c>
      <c r="J50" s="110">
        <v>6.26</v>
      </c>
      <c r="K50" s="110">
        <v>6.26</v>
      </c>
      <c r="L50" s="110">
        <v>6.26</v>
      </c>
      <c r="M50" s="110">
        <v>6.26</v>
      </c>
      <c r="N50" s="110">
        <v>6.26</v>
      </c>
      <c r="O50" s="110">
        <v>6.26</v>
      </c>
      <c r="P50" s="110">
        <v>6.26</v>
      </c>
      <c r="Q50" s="110">
        <v>6.26</v>
      </c>
      <c r="R50" s="110">
        <v>6.26</v>
      </c>
      <c r="S50" s="110">
        <v>6.26</v>
      </c>
      <c r="T50" s="110">
        <v>6.26</v>
      </c>
      <c r="U50" s="110">
        <v>6.26</v>
      </c>
      <c r="V50" s="111">
        <v>6.5730000000000004</v>
      </c>
      <c r="W50" s="111">
        <v>6.5730000000000004</v>
      </c>
      <c r="X50" s="111">
        <v>6.5730000000000004</v>
      </c>
      <c r="Y50" s="111">
        <v>6.5730000000000004</v>
      </c>
      <c r="Z50" s="111">
        <v>6.5730000000000004</v>
      </c>
      <c r="AA50" s="111">
        <v>6.5730000000000004</v>
      </c>
      <c r="AB50" s="111">
        <v>6.5730000000000004</v>
      </c>
      <c r="AC50" s="111">
        <v>6.5730000000000004</v>
      </c>
      <c r="AD50" s="111">
        <v>6.5730000000000004</v>
      </c>
      <c r="AE50" s="111">
        <v>6.5730000000000004</v>
      </c>
      <c r="AF50" s="111">
        <v>6.5730000000000004</v>
      </c>
      <c r="AG50" s="111">
        <v>6.5730000000000004</v>
      </c>
    </row>
    <row r="51" spans="5:33">
      <c r="E51" t="str">
        <v>Client 3</v>
      </c>
      <c r="F51">
        <v>1</v>
      </c>
      <c r="G51" t="s">
        <v>58</v>
      </c>
      <c r="J51" s="110">
        <v>25</v>
      </c>
      <c r="K51" s="110">
        <v>25</v>
      </c>
      <c r="L51" s="110">
        <v>25</v>
      </c>
      <c r="M51" s="110">
        <v>25</v>
      </c>
      <c r="N51" s="110">
        <v>25</v>
      </c>
      <c r="O51" s="110">
        <v>25</v>
      </c>
      <c r="P51" s="110">
        <v>25</v>
      </c>
      <c r="Q51" s="110">
        <v>25</v>
      </c>
      <c r="R51" s="110">
        <v>25</v>
      </c>
      <c r="S51" s="110">
        <v>25</v>
      </c>
      <c r="T51" s="110">
        <v>25</v>
      </c>
      <c r="U51" s="110">
        <v>25</v>
      </c>
      <c r="V51" s="111">
        <v>26.75</v>
      </c>
      <c r="W51" s="111">
        <v>26.75</v>
      </c>
      <c r="X51" s="111">
        <v>26.75</v>
      </c>
      <c r="Y51" s="111">
        <v>26.75</v>
      </c>
      <c r="Z51" s="111">
        <v>26.75</v>
      </c>
      <c r="AA51" s="111">
        <v>26.75</v>
      </c>
      <c r="AB51" s="111">
        <v>26.75</v>
      </c>
      <c r="AC51" s="111">
        <v>26.75</v>
      </c>
      <c r="AD51" s="111">
        <v>26.75</v>
      </c>
      <c r="AE51" s="111">
        <v>26.75</v>
      </c>
      <c r="AF51" s="111">
        <v>26.75</v>
      </c>
      <c r="AG51" s="111">
        <v>26.75</v>
      </c>
    </row>
    <row r="52" spans="5:33">
      <c r="E52" t="str">
        <v>Client 3</v>
      </c>
      <c r="F52">
        <v>2</v>
      </c>
      <c r="G52" t="s">
        <v>58</v>
      </c>
      <c r="J52" s="110">
        <v>7.31</v>
      </c>
      <c r="K52" s="110">
        <v>7.31</v>
      </c>
      <c r="L52" s="110">
        <v>7.31</v>
      </c>
      <c r="M52" s="110">
        <v>7.31</v>
      </c>
      <c r="N52" s="110">
        <v>7.31</v>
      </c>
      <c r="O52" s="110">
        <v>7.31</v>
      </c>
      <c r="P52" s="110">
        <v>7.31</v>
      </c>
      <c r="Q52" s="110">
        <v>7.31</v>
      </c>
      <c r="R52" s="110">
        <v>7.31</v>
      </c>
      <c r="S52" s="110">
        <v>7.31</v>
      </c>
      <c r="T52" s="110">
        <v>7.31</v>
      </c>
      <c r="U52" s="110">
        <v>7.31</v>
      </c>
      <c r="V52" s="111">
        <v>7.9679000000000002</v>
      </c>
      <c r="W52" s="111">
        <v>7.9679000000000002</v>
      </c>
      <c r="X52" s="111">
        <v>7.9679000000000002</v>
      </c>
      <c r="Y52" s="111">
        <v>7.9679000000000002</v>
      </c>
      <c r="Z52" s="111">
        <v>7.9679000000000002</v>
      </c>
      <c r="AA52" s="111">
        <v>7.9679000000000002</v>
      </c>
      <c r="AB52" s="111">
        <v>7.9679000000000002</v>
      </c>
      <c r="AC52" s="111">
        <v>7.9679000000000002</v>
      </c>
      <c r="AD52" s="111">
        <v>7.9679000000000002</v>
      </c>
      <c r="AE52" s="111">
        <v>7.9679000000000002</v>
      </c>
      <c r="AF52" s="111">
        <v>7.9679000000000002</v>
      </c>
      <c r="AG52" s="111">
        <v>7.9679000000000002</v>
      </c>
    </row>
    <row r="53" spans="5:33">
      <c r="E53" t="str">
        <v>Client 3</v>
      </c>
      <c r="F53">
        <v>3</v>
      </c>
      <c r="G53" t="s">
        <v>58</v>
      </c>
      <c r="J53" s="110">
        <v>5.12</v>
      </c>
      <c r="K53" s="110">
        <v>5.12</v>
      </c>
      <c r="L53" s="110">
        <v>5.12</v>
      </c>
      <c r="M53" s="110">
        <v>5.12</v>
      </c>
      <c r="N53" s="110">
        <v>5.12</v>
      </c>
      <c r="O53" s="110">
        <v>5.12</v>
      </c>
      <c r="P53" s="110">
        <v>5.12</v>
      </c>
      <c r="Q53" s="110">
        <v>5.12</v>
      </c>
      <c r="R53" s="110">
        <v>5.12</v>
      </c>
      <c r="S53" s="110">
        <v>5.12</v>
      </c>
      <c r="T53" s="110">
        <v>5.12</v>
      </c>
      <c r="U53" s="110">
        <v>5.12</v>
      </c>
      <c r="V53" s="111">
        <v>5.5296000000000003</v>
      </c>
      <c r="W53" s="111">
        <v>5.5296000000000003</v>
      </c>
      <c r="X53" s="111">
        <v>5.5296000000000003</v>
      </c>
      <c r="Y53" s="111">
        <v>5.5296000000000003</v>
      </c>
      <c r="Z53" s="111">
        <v>5.5296000000000003</v>
      </c>
      <c r="AA53" s="111">
        <v>5.5296000000000003</v>
      </c>
      <c r="AB53" s="111">
        <v>5.5296000000000003</v>
      </c>
      <c r="AC53" s="111">
        <v>5.5296000000000003</v>
      </c>
      <c r="AD53" s="111">
        <v>5.5296000000000003</v>
      </c>
      <c r="AE53" s="111">
        <v>5.5296000000000003</v>
      </c>
      <c r="AF53" s="111">
        <v>5.5296000000000003</v>
      </c>
      <c r="AG53" s="111">
        <v>5.5296000000000003</v>
      </c>
    </row>
    <row r="54" spans="5:33">
      <c r="E54" t="str">
        <v>Client 3</v>
      </c>
      <c r="F54">
        <v>4</v>
      </c>
      <c r="G54" t="s">
        <v>58</v>
      </c>
      <c r="J54" s="110">
        <v>6.48</v>
      </c>
      <c r="K54" s="110">
        <v>6.48</v>
      </c>
      <c r="L54" s="110">
        <v>6.48</v>
      </c>
      <c r="M54" s="110">
        <v>6.48</v>
      </c>
      <c r="N54" s="110">
        <v>6.48</v>
      </c>
      <c r="O54" s="110">
        <v>6.48</v>
      </c>
      <c r="P54" s="110">
        <v>6.48</v>
      </c>
      <c r="Q54" s="110">
        <v>6.48</v>
      </c>
      <c r="R54" s="110">
        <v>6.48</v>
      </c>
      <c r="S54" s="110">
        <v>6.48</v>
      </c>
      <c r="T54" s="110">
        <v>6.48</v>
      </c>
      <c r="U54" s="110">
        <v>6.48</v>
      </c>
      <c r="V54" s="111">
        <v>6.9336000000000011</v>
      </c>
      <c r="W54" s="111">
        <v>6.9336000000000011</v>
      </c>
      <c r="X54" s="111">
        <v>6.9336000000000011</v>
      </c>
      <c r="Y54" s="111">
        <v>6.9336000000000011</v>
      </c>
      <c r="Z54" s="111">
        <v>6.9336000000000011</v>
      </c>
      <c r="AA54" s="111">
        <v>6.9336000000000011</v>
      </c>
      <c r="AB54" s="111">
        <v>6.9336000000000011</v>
      </c>
      <c r="AC54" s="111">
        <v>6.9336000000000011</v>
      </c>
      <c r="AD54" s="111">
        <v>6.9336000000000011</v>
      </c>
      <c r="AE54" s="111">
        <v>6.9336000000000011</v>
      </c>
      <c r="AF54" s="111">
        <v>6.9336000000000011</v>
      </c>
      <c r="AG54" s="111">
        <v>6.9336000000000011</v>
      </c>
    </row>
    <row r="55" spans="5:33">
      <c r="E55" t="str">
        <v>Client 3</v>
      </c>
      <c r="F55">
        <v>5</v>
      </c>
      <c r="G55" t="s">
        <v>58</v>
      </c>
      <c r="J55" s="110">
        <v>6.26</v>
      </c>
      <c r="K55" s="110">
        <v>6.26</v>
      </c>
      <c r="L55" s="110">
        <v>6.26</v>
      </c>
      <c r="M55" s="110">
        <v>6.26</v>
      </c>
      <c r="N55" s="110">
        <v>6.26</v>
      </c>
      <c r="O55" s="110">
        <v>6.26</v>
      </c>
      <c r="P55" s="110">
        <v>6.26</v>
      </c>
      <c r="Q55" s="110">
        <v>6.26</v>
      </c>
      <c r="R55" s="110">
        <v>6.26</v>
      </c>
      <c r="S55" s="110">
        <v>6.26</v>
      </c>
      <c r="T55" s="110">
        <v>6.26</v>
      </c>
      <c r="U55" s="110">
        <v>6.26</v>
      </c>
      <c r="V55" s="111">
        <v>6.5730000000000004</v>
      </c>
      <c r="W55" s="111">
        <v>6.5730000000000004</v>
      </c>
      <c r="X55" s="111">
        <v>6.5730000000000004</v>
      </c>
      <c r="Y55" s="111">
        <v>6.5730000000000004</v>
      </c>
      <c r="Z55" s="111">
        <v>6.5730000000000004</v>
      </c>
      <c r="AA55" s="111">
        <v>6.5730000000000004</v>
      </c>
      <c r="AB55" s="111">
        <v>6.5730000000000004</v>
      </c>
      <c r="AC55" s="111">
        <v>6.5730000000000004</v>
      </c>
      <c r="AD55" s="111">
        <v>6.5730000000000004</v>
      </c>
      <c r="AE55" s="111">
        <v>6.5730000000000004</v>
      </c>
      <c r="AF55" s="111">
        <v>6.5730000000000004</v>
      </c>
      <c r="AG55" s="111">
        <v>6.5730000000000004</v>
      </c>
    </row>
    <row r="56" spans="5:33">
      <c r="E56" t="str">
        <v>Client 4</v>
      </c>
      <c r="F56">
        <v>1</v>
      </c>
      <c r="G56" t="s">
        <v>58</v>
      </c>
      <c r="J56" s="110">
        <v>25</v>
      </c>
      <c r="K56" s="110">
        <v>25</v>
      </c>
      <c r="L56" s="110">
        <v>25</v>
      </c>
      <c r="M56" s="110">
        <v>25</v>
      </c>
      <c r="N56" s="110">
        <v>25</v>
      </c>
      <c r="O56" s="110">
        <v>25</v>
      </c>
      <c r="P56" s="110">
        <v>25</v>
      </c>
      <c r="Q56" s="110">
        <v>25</v>
      </c>
      <c r="R56" s="110">
        <v>25</v>
      </c>
      <c r="S56" s="110">
        <v>25</v>
      </c>
      <c r="T56" s="110">
        <v>25</v>
      </c>
      <c r="U56" s="110">
        <v>25</v>
      </c>
      <c r="V56" s="111">
        <v>26.75</v>
      </c>
      <c r="W56" s="111">
        <v>26.75</v>
      </c>
      <c r="X56" s="111">
        <v>26.75</v>
      </c>
      <c r="Y56" s="111">
        <v>26.75</v>
      </c>
      <c r="Z56" s="111">
        <v>26.75</v>
      </c>
      <c r="AA56" s="111">
        <v>26.75</v>
      </c>
      <c r="AB56" s="111">
        <v>26.75</v>
      </c>
      <c r="AC56" s="111">
        <v>26.75</v>
      </c>
      <c r="AD56" s="111">
        <v>26.75</v>
      </c>
      <c r="AE56" s="111">
        <v>26.75</v>
      </c>
      <c r="AF56" s="111">
        <v>26.75</v>
      </c>
      <c r="AG56" s="111">
        <v>26.75</v>
      </c>
    </row>
    <row r="57" spans="5:33">
      <c r="E57" t="str">
        <v>Client 4</v>
      </c>
      <c r="F57">
        <v>2</v>
      </c>
      <c r="G57" t="s">
        <v>58</v>
      </c>
      <c r="J57" s="110">
        <v>7.31</v>
      </c>
      <c r="K57" s="110">
        <v>7.31</v>
      </c>
      <c r="L57" s="110">
        <v>7.31</v>
      </c>
      <c r="M57" s="110">
        <v>7.31</v>
      </c>
      <c r="N57" s="110">
        <v>7.31</v>
      </c>
      <c r="O57" s="110">
        <v>7.31</v>
      </c>
      <c r="P57" s="110">
        <v>7.31</v>
      </c>
      <c r="Q57" s="110">
        <v>7.31</v>
      </c>
      <c r="R57" s="110">
        <v>7.31</v>
      </c>
      <c r="S57" s="110">
        <v>7.31</v>
      </c>
      <c r="T57" s="110">
        <v>7.31</v>
      </c>
      <c r="U57" s="110">
        <v>7.31</v>
      </c>
      <c r="V57" s="111">
        <v>7.9679000000000002</v>
      </c>
      <c r="W57" s="111">
        <v>7.9679000000000002</v>
      </c>
      <c r="X57" s="111">
        <v>7.9679000000000002</v>
      </c>
      <c r="Y57" s="111">
        <v>7.9679000000000002</v>
      </c>
      <c r="Z57" s="111">
        <v>7.9679000000000002</v>
      </c>
      <c r="AA57" s="111">
        <v>7.9679000000000002</v>
      </c>
      <c r="AB57" s="111">
        <v>7.9679000000000002</v>
      </c>
      <c r="AC57" s="111">
        <v>7.9679000000000002</v>
      </c>
      <c r="AD57" s="111">
        <v>7.9679000000000002</v>
      </c>
      <c r="AE57" s="111">
        <v>7.9679000000000002</v>
      </c>
      <c r="AF57" s="111">
        <v>7.9679000000000002</v>
      </c>
      <c r="AG57" s="111">
        <v>7.9679000000000002</v>
      </c>
    </row>
    <row r="58" spans="5:33">
      <c r="E58" t="str">
        <v>Client 4</v>
      </c>
      <c r="F58">
        <v>3</v>
      </c>
      <c r="G58" t="s">
        <v>58</v>
      </c>
      <c r="J58" s="110">
        <v>5.12</v>
      </c>
      <c r="K58" s="110">
        <v>5.12</v>
      </c>
      <c r="L58" s="110">
        <v>5.12</v>
      </c>
      <c r="M58" s="110">
        <v>5.12</v>
      </c>
      <c r="N58" s="110">
        <v>5.12</v>
      </c>
      <c r="O58" s="110">
        <v>5.12</v>
      </c>
      <c r="P58" s="110">
        <v>5.12</v>
      </c>
      <c r="Q58" s="110">
        <v>5.12</v>
      </c>
      <c r="R58" s="110">
        <v>5.12</v>
      </c>
      <c r="S58" s="110">
        <v>5.12</v>
      </c>
      <c r="T58" s="110">
        <v>5.12</v>
      </c>
      <c r="U58" s="110">
        <v>5.12</v>
      </c>
      <c r="V58" s="111">
        <v>5.5296000000000003</v>
      </c>
      <c r="W58" s="111">
        <v>5.5296000000000003</v>
      </c>
      <c r="X58" s="111">
        <v>5.5296000000000003</v>
      </c>
      <c r="Y58" s="111">
        <v>5.5296000000000003</v>
      </c>
      <c r="Z58" s="111">
        <v>5.5296000000000003</v>
      </c>
      <c r="AA58" s="111">
        <v>5.5296000000000003</v>
      </c>
      <c r="AB58" s="111">
        <v>5.5296000000000003</v>
      </c>
      <c r="AC58" s="111">
        <v>5.5296000000000003</v>
      </c>
      <c r="AD58" s="111">
        <v>5.5296000000000003</v>
      </c>
      <c r="AE58" s="111">
        <v>5.5296000000000003</v>
      </c>
      <c r="AF58" s="111">
        <v>5.5296000000000003</v>
      </c>
      <c r="AG58" s="111">
        <v>5.5296000000000003</v>
      </c>
    </row>
    <row r="59" spans="5:33">
      <c r="E59" t="str">
        <v>Client 4</v>
      </c>
      <c r="F59">
        <v>4</v>
      </c>
      <c r="G59" t="s">
        <v>58</v>
      </c>
      <c r="J59" s="110">
        <v>6.48</v>
      </c>
      <c r="K59" s="110">
        <v>6.48</v>
      </c>
      <c r="L59" s="110">
        <v>6.48</v>
      </c>
      <c r="M59" s="110">
        <v>6.48</v>
      </c>
      <c r="N59" s="110">
        <v>6.48</v>
      </c>
      <c r="O59" s="110">
        <v>6.48</v>
      </c>
      <c r="P59" s="110">
        <v>6.48</v>
      </c>
      <c r="Q59" s="110">
        <v>6.48</v>
      </c>
      <c r="R59" s="110">
        <v>6.48</v>
      </c>
      <c r="S59" s="110">
        <v>6.48</v>
      </c>
      <c r="T59" s="110">
        <v>6.48</v>
      </c>
      <c r="U59" s="110">
        <v>6.48</v>
      </c>
      <c r="V59" s="111">
        <v>6.9336000000000011</v>
      </c>
      <c r="W59" s="111">
        <v>6.9336000000000011</v>
      </c>
      <c r="X59" s="111">
        <v>6.9336000000000011</v>
      </c>
      <c r="Y59" s="111">
        <v>6.9336000000000011</v>
      </c>
      <c r="Z59" s="111">
        <v>6.9336000000000011</v>
      </c>
      <c r="AA59" s="111">
        <v>6.9336000000000011</v>
      </c>
      <c r="AB59" s="111">
        <v>6.9336000000000011</v>
      </c>
      <c r="AC59" s="111">
        <v>6.9336000000000011</v>
      </c>
      <c r="AD59" s="111">
        <v>6.9336000000000011</v>
      </c>
      <c r="AE59" s="111">
        <v>6.9336000000000011</v>
      </c>
      <c r="AF59" s="111">
        <v>6.9336000000000011</v>
      </c>
      <c r="AG59" s="111">
        <v>6.9336000000000011</v>
      </c>
    </row>
    <row r="60" spans="5:33">
      <c r="E60" t="str">
        <v>Client 4</v>
      </c>
      <c r="F60">
        <v>5</v>
      </c>
      <c r="G60" t="s">
        <v>58</v>
      </c>
      <c r="J60" s="110">
        <v>6.26</v>
      </c>
      <c r="K60" s="110">
        <v>6.26</v>
      </c>
      <c r="L60" s="110">
        <v>6.26</v>
      </c>
      <c r="M60" s="110">
        <v>6.26</v>
      </c>
      <c r="N60" s="110">
        <v>6.26</v>
      </c>
      <c r="O60" s="110">
        <v>6.26</v>
      </c>
      <c r="P60" s="110">
        <v>6.26</v>
      </c>
      <c r="Q60" s="110">
        <v>6.26</v>
      </c>
      <c r="R60" s="110">
        <v>6.26</v>
      </c>
      <c r="S60" s="110">
        <v>6.26</v>
      </c>
      <c r="T60" s="110">
        <v>6.26</v>
      </c>
      <c r="U60" s="110">
        <v>6.26</v>
      </c>
      <c r="V60" s="111">
        <v>6.5730000000000004</v>
      </c>
      <c r="W60" s="111">
        <v>6.5730000000000004</v>
      </c>
      <c r="X60" s="111">
        <v>6.5730000000000004</v>
      </c>
      <c r="Y60" s="111">
        <v>6.5730000000000004</v>
      </c>
      <c r="Z60" s="111">
        <v>6.5730000000000004</v>
      </c>
      <c r="AA60" s="111">
        <v>6.5730000000000004</v>
      </c>
      <c r="AB60" s="111">
        <v>6.5730000000000004</v>
      </c>
      <c r="AC60" s="111">
        <v>6.5730000000000004</v>
      </c>
      <c r="AD60" s="111">
        <v>6.5730000000000004</v>
      </c>
      <c r="AE60" s="111">
        <v>6.5730000000000004</v>
      </c>
      <c r="AF60" s="111">
        <v>6.5730000000000004</v>
      </c>
      <c r="AG60" s="111">
        <v>6.5730000000000004</v>
      </c>
    </row>
    <row r="61" spans="5:33">
      <c r="E61" t="str">
        <v>Client 5</v>
      </c>
      <c r="F61">
        <v>1</v>
      </c>
      <c r="G61" t="s">
        <v>58</v>
      </c>
      <c r="J61" s="110">
        <v>25</v>
      </c>
      <c r="K61" s="110">
        <v>25</v>
      </c>
      <c r="L61" s="110">
        <v>25</v>
      </c>
      <c r="M61" s="110">
        <v>25</v>
      </c>
      <c r="N61" s="110">
        <v>25</v>
      </c>
      <c r="O61" s="110">
        <v>25</v>
      </c>
      <c r="P61" s="110">
        <v>25</v>
      </c>
      <c r="Q61" s="110">
        <v>25</v>
      </c>
      <c r="R61" s="110">
        <v>25</v>
      </c>
      <c r="S61" s="110">
        <v>25</v>
      </c>
      <c r="T61" s="110">
        <v>25</v>
      </c>
      <c r="U61" s="110">
        <v>25</v>
      </c>
      <c r="V61" s="111">
        <v>26.75</v>
      </c>
      <c r="W61" s="111">
        <v>26.75</v>
      </c>
      <c r="X61" s="111">
        <v>26.75</v>
      </c>
      <c r="Y61" s="111">
        <v>26.75</v>
      </c>
      <c r="Z61" s="111">
        <v>26.75</v>
      </c>
      <c r="AA61" s="111">
        <v>26.75</v>
      </c>
      <c r="AB61" s="111">
        <v>26.75</v>
      </c>
      <c r="AC61" s="111">
        <v>26.75</v>
      </c>
      <c r="AD61" s="111">
        <v>26.75</v>
      </c>
      <c r="AE61" s="111">
        <v>26.75</v>
      </c>
      <c r="AF61" s="111">
        <v>26.75</v>
      </c>
      <c r="AG61" s="111">
        <v>26.75</v>
      </c>
    </row>
    <row r="62" spans="5:33">
      <c r="E62" t="str">
        <v>Client 5</v>
      </c>
      <c r="F62">
        <v>2</v>
      </c>
      <c r="G62" t="s">
        <v>58</v>
      </c>
      <c r="J62" s="110">
        <v>7.31</v>
      </c>
      <c r="K62" s="110">
        <v>7.31</v>
      </c>
      <c r="L62" s="110">
        <v>7.31</v>
      </c>
      <c r="M62" s="110">
        <v>7.31</v>
      </c>
      <c r="N62" s="110">
        <v>7.31</v>
      </c>
      <c r="O62" s="110">
        <v>7.31</v>
      </c>
      <c r="P62" s="110">
        <v>7.31</v>
      </c>
      <c r="Q62" s="110">
        <v>7.31</v>
      </c>
      <c r="R62" s="110">
        <v>7.31</v>
      </c>
      <c r="S62" s="110">
        <v>7.31</v>
      </c>
      <c r="T62" s="110">
        <v>7.31</v>
      </c>
      <c r="U62" s="110">
        <v>7.31</v>
      </c>
      <c r="V62" s="111">
        <v>7.9679000000000002</v>
      </c>
      <c r="W62" s="111">
        <v>7.9679000000000002</v>
      </c>
      <c r="X62" s="111">
        <v>7.9679000000000002</v>
      </c>
      <c r="Y62" s="111">
        <v>7.9679000000000002</v>
      </c>
      <c r="Z62" s="111">
        <v>7.9679000000000002</v>
      </c>
      <c r="AA62" s="111">
        <v>7.9679000000000002</v>
      </c>
      <c r="AB62" s="111">
        <v>7.9679000000000002</v>
      </c>
      <c r="AC62" s="111">
        <v>7.9679000000000002</v>
      </c>
      <c r="AD62" s="111">
        <v>7.9679000000000002</v>
      </c>
      <c r="AE62" s="111">
        <v>7.9679000000000002</v>
      </c>
      <c r="AF62" s="111">
        <v>7.9679000000000002</v>
      </c>
      <c r="AG62" s="111">
        <v>7.9679000000000002</v>
      </c>
    </row>
    <row r="63" spans="5:33">
      <c r="E63" t="str">
        <v>Client 5</v>
      </c>
      <c r="F63">
        <v>3</v>
      </c>
      <c r="G63" t="s">
        <v>58</v>
      </c>
      <c r="J63" s="110">
        <v>5.12</v>
      </c>
      <c r="K63" s="110">
        <v>5.12</v>
      </c>
      <c r="L63" s="110">
        <v>5.12</v>
      </c>
      <c r="M63" s="110">
        <v>5.12</v>
      </c>
      <c r="N63" s="110">
        <v>5.12</v>
      </c>
      <c r="O63" s="110">
        <v>5.12</v>
      </c>
      <c r="P63" s="110">
        <v>5.12</v>
      </c>
      <c r="Q63" s="110">
        <v>5.12</v>
      </c>
      <c r="R63" s="110">
        <v>5.12</v>
      </c>
      <c r="S63" s="110">
        <v>5.12</v>
      </c>
      <c r="T63" s="110">
        <v>5.12</v>
      </c>
      <c r="U63" s="110">
        <v>5.12</v>
      </c>
      <c r="V63" s="111">
        <v>5.5296000000000003</v>
      </c>
      <c r="W63" s="111">
        <v>5.5296000000000003</v>
      </c>
      <c r="X63" s="111">
        <v>5.5296000000000003</v>
      </c>
      <c r="Y63" s="111">
        <v>5.5296000000000003</v>
      </c>
      <c r="Z63" s="111">
        <v>5.5296000000000003</v>
      </c>
      <c r="AA63" s="111">
        <v>5.5296000000000003</v>
      </c>
      <c r="AB63" s="111">
        <v>5.5296000000000003</v>
      </c>
      <c r="AC63" s="111">
        <v>5.5296000000000003</v>
      </c>
      <c r="AD63" s="111">
        <v>5.5296000000000003</v>
      </c>
      <c r="AE63" s="111">
        <v>5.5296000000000003</v>
      </c>
      <c r="AF63" s="111">
        <v>5.5296000000000003</v>
      </c>
      <c r="AG63" s="111">
        <v>5.5296000000000003</v>
      </c>
    </row>
    <row r="64" spans="5:33">
      <c r="E64" t="str">
        <v>Client 5</v>
      </c>
      <c r="F64">
        <v>4</v>
      </c>
      <c r="G64" t="s">
        <v>58</v>
      </c>
      <c r="J64" s="110">
        <v>6.48</v>
      </c>
      <c r="K64" s="110">
        <v>6.48</v>
      </c>
      <c r="L64" s="110">
        <v>6.48</v>
      </c>
      <c r="M64" s="110">
        <v>6.48</v>
      </c>
      <c r="N64" s="110">
        <v>6.48</v>
      </c>
      <c r="O64" s="110">
        <v>6.48</v>
      </c>
      <c r="P64" s="110">
        <v>6.48</v>
      </c>
      <c r="Q64" s="110">
        <v>6.48</v>
      </c>
      <c r="R64" s="110">
        <v>6.48</v>
      </c>
      <c r="S64" s="110">
        <v>6.48</v>
      </c>
      <c r="T64" s="110">
        <v>6.48</v>
      </c>
      <c r="U64" s="110">
        <v>6.48</v>
      </c>
      <c r="V64" s="111">
        <v>6.9336000000000011</v>
      </c>
      <c r="W64" s="111">
        <v>6.9336000000000011</v>
      </c>
      <c r="X64" s="111">
        <v>6.9336000000000011</v>
      </c>
      <c r="Y64" s="111">
        <v>6.9336000000000011</v>
      </c>
      <c r="Z64" s="111">
        <v>6.9336000000000011</v>
      </c>
      <c r="AA64" s="111">
        <v>6.9336000000000011</v>
      </c>
      <c r="AB64" s="111">
        <v>6.9336000000000011</v>
      </c>
      <c r="AC64" s="111">
        <v>6.9336000000000011</v>
      </c>
      <c r="AD64" s="111">
        <v>6.9336000000000011</v>
      </c>
      <c r="AE64" s="111">
        <v>6.9336000000000011</v>
      </c>
      <c r="AF64" s="111">
        <v>6.9336000000000011</v>
      </c>
      <c r="AG64" s="111">
        <v>6.9336000000000011</v>
      </c>
    </row>
    <row r="65" spans="1:33">
      <c r="E65" t="str">
        <v>Client 5</v>
      </c>
      <c r="F65">
        <v>5</v>
      </c>
      <c r="G65" t="s">
        <v>58</v>
      </c>
      <c r="J65" s="110">
        <v>6.26</v>
      </c>
      <c r="K65" s="110">
        <v>6.26</v>
      </c>
      <c r="L65" s="110">
        <v>6.26</v>
      </c>
      <c r="M65" s="110">
        <v>6.26</v>
      </c>
      <c r="N65" s="110">
        <v>6.26</v>
      </c>
      <c r="O65" s="110">
        <v>6.26</v>
      </c>
      <c r="P65" s="110">
        <v>6.26</v>
      </c>
      <c r="Q65" s="110">
        <v>6.26</v>
      </c>
      <c r="R65" s="110">
        <v>6.26</v>
      </c>
      <c r="S65" s="110">
        <v>6.26</v>
      </c>
      <c r="T65" s="110">
        <v>6.26</v>
      </c>
      <c r="U65" s="110">
        <v>6.26</v>
      </c>
      <c r="V65" s="111">
        <v>6.5730000000000004</v>
      </c>
      <c r="W65" s="111">
        <v>6.5730000000000004</v>
      </c>
      <c r="X65" s="111">
        <v>6.5730000000000004</v>
      </c>
      <c r="Y65" s="111">
        <v>6.5730000000000004</v>
      </c>
      <c r="Z65" s="111">
        <v>6.5730000000000004</v>
      </c>
      <c r="AA65" s="111">
        <v>6.5730000000000004</v>
      </c>
      <c r="AB65" s="111">
        <v>6.5730000000000004</v>
      </c>
      <c r="AC65" s="111">
        <v>6.5730000000000004</v>
      </c>
      <c r="AD65" s="111">
        <v>6.5730000000000004</v>
      </c>
      <c r="AE65" s="111">
        <v>6.5730000000000004</v>
      </c>
      <c r="AF65" s="111">
        <v>6.5730000000000004</v>
      </c>
      <c r="AG65" s="111">
        <v>6.5730000000000004</v>
      </c>
    </row>
    <row r="68" spans="1:33" s="87" customFormat="1">
      <c r="A68" s="88" t="s">
        <v>59</v>
      </c>
    </row>
    <row r="70" spans="1:33">
      <c r="E70" s="103" t="s">
        <v>16</v>
      </c>
      <c r="F70" s="103" t="s">
        <v>17</v>
      </c>
    </row>
    <row r="71" spans="1:33">
      <c r="E71" t="str" cm="1">
        <f t="array" ref="E71:F96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71" t="str">
        <v/>
      </c>
    </row>
    <row r="72" spans="1:33">
      <c r="E72" t="str">
        <v>Client 1</v>
      </c>
      <c r="F72">
        <v>1</v>
      </c>
      <c r="G72" t="s">
        <v>58</v>
      </c>
      <c r="J72" s="116" cm="1">
        <f t="array" ref="J72:AG96" xml:space="preserve"> _xlfn.LET(
      _xlpm.price, _xlfn.HSTACK(_xlfn.ANCHORARRAY( J10),_xlfn.ANCHORARRAY( V10) ),
      _xlpm.costs, _xlfn.HSTACK(_xlfn.ANCHORARRAY( J41),_xlfn.ANCHORARRAY( V41) ),
      _xlpm.price - _xlpm.costs )</f>
        <v>15</v>
      </c>
      <c r="K72" s="116">
        <v>15</v>
      </c>
      <c r="L72" s="116">
        <v>15</v>
      </c>
      <c r="M72" s="116">
        <v>15</v>
      </c>
      <c r="N72" s="116">
        <v>15</v>
      </c>
      <c r="O72" s="116">
        <v>15</v>
      </c>
      <c r="P72" s="116">
        <v>15</v>
      </c>
      <c r="Q72" s="116">
        <v>15</v>
      </c>
      <c r="R72" s="116">
        <v>15</v>
      </c>
      <c r="S72" s="116">
        <v>15</v>
      </c>
      <c r="T72" s="116">
        <v>15</v>
      </c>
      <c r="U72" s="116">
        <v>15</v>
      </c>
      <c r="V72" s="116">
        <v>16.050000000000004</v>
      </c>
      <c r="W72" s="116">
        <v>16.050000000000004</v>
      </c>
      <c r="X72" s="116">
        <v>16.050000000000004</v>
      </c>
      <c r="Y72" s="116">
        <v>16.050000000000004</v>
      </c>
      <c r="Z72" s="116">
        <v>16.050000000000004</v>
      </c>
      <c r="AA72" s="116">
        <v>16.050000000000004</v>
      </c>
      <c r="AB72" s="116">
        <v>16.050000000000004</v>
      </c>
      <c r="AC72" s="116">
        <v>16.050000000000004</v>
      </c>
      <c r="AD72" s="116">
        <v>16.050000000000004</v>
      </c>
      <c r="AE72" s="116">
        <v>16.050000000000004</v>
      </c>
      <c r="AF72" s="116">
        <v>16.050000000000004</v>
      </c>
      <c r="AG72" s="116">
        <v>16.050000000000004</v>
      </c>
    </row>
    <row r="73" spans="1:33">
      <c r="E73" t="str">
        <v>Client 1</v>
      </c>
      <c r="F73">
        <v>2</v>
      </c>
      <c r="G73" t="s">
        <v>58</v>
      </c>
      <c r="J73" s="116">
        <v>9.6900000000000013</v>
      </c>
      <c r="K73" s="116">
        <v>9.6900000000000013</v>
      </c>
      <c r="L73" s="116">
        <v>9.6900000000000013</v>
      </c>
      <c r="M73" s="116">
        <v>9.6900000000000013</v>
      </c>
      <c r="N73" s="116">
        <v>9.6900000000000013</v>
      </c>
      <c r="O73" s="116">
        <v>9.6900000000000013</v>
      </c>
      <c r="P73" s="116">
        <v>9.6900000000000013</v>
      </c>
      <c r="Q73" s="116">
        <v>9.6900000000000013</v>
      </c>
      <c r="R73" s="116">
        <v>9.6900000000000013</v>
      </c>
      <c r="S73" s="116">
        <v>9.6900000000000013</v>
      </c>
      <c r="T73" s="116">
        <v>9.6900000000000013</v>
      </c>
      <c r="U73" s="116">
        <v>9.6900000000000013</v>
      </c>
      <c r="V73" s="116">
        <v>10.222100000000001</v>
      </c>
      <c r="W73" s="116">
        <v>10.222100000000001</v>
      </c>
      <c r="X73" s="116">
        <v>10.222100000000001</v>
      </c>
      <c r="Y73" s="116">
        <v>10.222100000000001</v>
      </c>
      <c r="Z73" s="116">
        <v>10.222100000000001</v>
      </c>
      <c r="AA73" s="116">
        <v>10.222100000000001</v>
      </c>
      <c r="AB73" s="116">
        <v>10.222100000000001</v>
      </c>
      <c r="AC73" s="116">
        <v>10.222100000000001</v>
      </c>
      <c r="AD73" s="116">
        <v>10.222100000000001</v>
      </c>
      <c r="AE73" s="116">
        <v>10.222100000000001</v>
      </c>
      <c r="AF73" s="116">
        <v>10.222100000000001</v>
      </c>
      <c r="AG73" s="116">
        <v>10.222100000000001</v>
      </c>
    </row>
    <row r="74" spans="1:33">
      <c r="E74" t="str">
        <v>Client 1</v>
      </c>
      <c r="F74">
        <v>3</v>
      </c>
      <c r="G74" t="s">
        <v>58</v>
      </c>
      <c r="J74" s="116">
        <v>7.6800000000000006</v>
      </c>
      <c r="K74" s="116">
        <v>7.6800000000000006</v>
      </c>
      <c r="L74" s="116">
        <v>7.6800000000000006</v>
      </c>
      <c r="M74" s="116">
        <v>7.6800000000000006</v>
      </c>
      <c r="N74" s="116">
        <v>7.6800000000000006</v>
      </c>
      <c r="O74" s="116">
        <v>7.6800000000000006</v>
      </c>
      <c r="P74" s="116">
        <v>7.6800000000000006</v>
      </c>
      <c r="Q74" s="116">
        <v>7.6800000000000006</v>
      </c>
      <c r="R74" s="116">
        <v>7.6800000000000006</v>
      </c>
      <c r="S74" s="116">
        <v>7.6800000000000006</v>
      </c>
      <c r="T74" s="116">
        <v>7.6800000000000006</v>
      </c>
      <c r="U74" s="116">
        <v>7.6800000000000006</v>
      </c>
      <c r="V74" s="116">
        <v>8.1664000000000012</v>
      </c>
      <c r="W74" s="116">
        <v>8.1664000000000012</v>
      </c>
      <c r="X74" s="116">
        <v>8.1664000000000012</v>
      </c>
      <c r="Y74" s="116">
        <v>8.1664000000000012</v>
      </c>
      <c r="Z74" s="116">
        <v>8.1664000000000012</v>
      </c>
      <c r="AA74" s="116">
        <v>8.1664000000000012</v>
      </c>
      <c r="AB74" s="116">
        <v>8.1664000000000012</v>
      </c>
      <c r="AC74" s="116">
        <v>8.1664000000000012</v>
      </c>
      <c r="AD74" s="116">
        <v>8.1664000000000012</v>
      </c>
      <c r="AE74" s="116">
        <v>8.1664000000000012</v>
      </c>
      <c r="AF74" s="116">
        <v>8.1664000000000012</v>
      </c>
      <c r="AG74" s="116">
        <v>8.1664000000000012</v>
      </c>
    </row>
    <row r="75" spans="1:33">
      <c r="E75" t="str">
        <v>Client 1</v>
      </c>
      <c r="F75">
        <v>4</v>
      </c>
      <c r="G75" t="s">
        <v>58</v>
      </c>
      <c r="J75" s="116">
        <v>4.32</v>
      </c>
      <c r="K75" s="116">
        <v>4.32</v>
      </c>
      <c r="L75" s="116">
        <v>4.32</v>
      </c>
      <c r="M75" s="116">
        <v>4.32</v>
      </c>
      <c r="N75" s="116">
        <v>4.32</v>
      </c>
      <c r="O75" s="116">
        <v>4.32</v>
      </c>
      <c r="P75" s="116">
        <v>4.32</v>
      </c>
      <c r="Q75" s="116">
        <v>4.32</v>
      </c>
      <c r="R75" s="116">
        <v>4.32</v>
      </c>
      <c r="S75" s="116">
        <v>4.32</v>
      </c>
      <c r="T75" s="116">
        <v>4.32</v>
      </c>
      <c r="U75" s="116">
        <v>4.32</v>
      </c>
      <c r="V75" s="116">
        <v>4.6223999999999998</v>
      </c>
      <c r="W75" s="116">
        <v>4.6223999999999998</v>
      </c>
      <c r="X75" s="116">
        <v>4.6223999999999998</v>
      </c>
      <c r="Y75" s="116">
        <v>4.6223999999999998</v>
      </c>
      <c r="Z75" s="116">
        <v>4.6223999999999998</v>
      </c>
      <c r="AA75" s="116">
        <v>4.6223999999999998</v>
      </c>
      <c r="AB75" s="116">
        <v>4.6223999999999998</v>
      </c>
      <c r="AC75" s="116">
        <v>4.6223999999999998</v>
      </c>
      <c r="AD75" s="116">
        <v>4.6223999999999998</v>
      </c>
      <c r="AE75" s="116">
        <v>4.6223999999999998</v>
      </c>
      <c r="AF75" s="116">
        <v>4.6223999999999998</v>
      </c>
      <c r="AG75" s="116">
        <v>4.6223999999999998</v>
      </c>
    </row>
    <row r="76" spans="1:33">
      <c r="E76" t="str">
        <v>Client 1</v>
      </c>
      <c r="F76">
        <v>5</v>
      </c>
      <c r="G76" t="s">
        <v>58</v>
      </c>
      <c r="J76" s="116">
        <v>8.64</v>
      </c>
      <c r="K76" s="116">
        <v>8.64</v>
      </c>
      <c r="L76" s="116">
        <v>8.64</v>
      </c>
      <c r="M76" s="116">
        <v>8.64</v>
      </c>
      <c r="N76" s="116">
        <v>8.64</v>
      </c>
      <c r="O76" s="116">
        <v>8.64</v>
      </c>
      <c r="P76" s="116">
        <v>8.64</v>
      </c>
      <c r="Q76" s="116">
        <v>8.64</v>
      </c>
      <c r="R76" s="116">
        <v>8.64</v>
      </c>
      <c r="S76" s="116">
        <v>8.64</v>
      </c>
      <c r="T76" s="116">
        <v>8.64</v>
      </c>
      <c r="U76" s="116">
        <v>8.64</v>
      </c>
      <c r="V76" s="116">
        <v>9.370000000000001</v>
      </c>
      <c r="W76" s="116">
        <v>9.370000000000001</v>
      </c>
      <c r="X76" s="116">
        <v>9.370000000000001</v>
      </c>
      <c r="Y76" s="116">
        <v>9.370000000000001</v>
      </c>
      <c r="Z76" s="116">
        <v>9.370000000000001</v>
      </c>
      <c r="AA76" s="116">
        <v>9.370000000000001</v>
      </c>
      <c r="AB76" s="116">
        <v>9.370000000000001</v>
      </c>
      <c r="AC76" s="116">
        <v>9.370000000000001</v>
      </c>
      <c r="AD76" s="116">
        <v>9.370000000000001</v>
      </c>
      <c r="AE76" s="116">
        <v>9.370000000000001</v>
      </c>
      <c r="AF76" s="116">
        <v>9.370000000000001</v>
      </c>
      <c r="AG76" s="116">
        <v>9.370000000000001</v>
      </c>
    </row>
    <row r="77" spans="1:33">
      <c r="E77" t="str">
        <v>Client 2</v>
      </c>
      <c r="F77">
        <v>1</v>
      </c>
      <c r="G77" t="s">
        <v>58</v>
      </c>
      <c r="J77" s="116">
        <v>9</v>
      </c>
      <c r="K77" s="116">
        <v>9</v>
      </c>
      <c r="L77" s="116">
        <v>9</v>
      </c>
      <c r="M77" s="116">
        <v>9</v>
      </c>
      <c r="N77" s="116">
        <v>9</v>
      </c>
      <c r="O77" s="116">
        <v>9</v>
      </c>
      <c r="P77" s="116">
        <v>9</v>
      </c>
      <c r="Q77" s="116">
        <v>9</v>
      </c>
      <c r="R77" s="116">
        <v>9</v>
      </c>
      <c r="S77" s="116">
        <v>9</v>
      </c>
      <c r="T77" s="116">
        <v>9</v>
      </c>
      <c r="U77" s="116">
        <v>9</v>
      </c>
      <c r="V77" s="116">
        <v>9.2899999999999991</v>
      </c>
      <c r="W77" s="116">
        <v>9.2899999999999991</v>
      </c>
      <c r="X77" s="116">
        <v>9.2899999999999991</v>
      </c>
      <c r="Y77" s="116">
        <v>9.2899999999999991</v>
      </c>
      <c r="Z77" s="116">
        <v>9.2899999999999991</v>
      </c>
      <c r="AA77" s="116">
        <v>9.2899999999999991</v>
      </c>
      <c r="AB77" s="116">
        <v>9.2899999999999991</v>
      </c>
      <c r="AC77" s="116">
        <v>9.2899999999999991</v>
      </c>
      <c r="AD77" s="116">
        <v>9.2899999999999991</v>
      </c>
      <c r="AE77" s="116">
        <v>9.2899999999999991</v>
      </c>
      <c r="AF77" s="116">
        <v>9.2899999999999991</v>
      </c>
      <c r="AG77" s="116">
        <v>9.2899999999999991</v>
      </c>
    </row>
    <row r="78" spans="1:33">
      <c r="E78" t="str">
        <v>Client 2</v>
      </c>
      <c r="F78">
        <v>2</v>
      </c>
      <c r="G78" t="s">
        <v>58</v>
      </c>
      <c r="J78" s="116">
        <v>9.0100000000000016</v>
      </c>
      <c r="K78" s="116">
        <v>9.0100000000000016</v>
      </c>
      <c r="L78" s="116">
        <v>9.0100000000000016</v>
      </c>
      <c r="M78" s="116">
        <v>9.0100000000000016</v>
      </c>
      <c r="N78" s="116">
        <v>9.0100000000000016</v>
      </c>
      <c r="O78" s="116">
        <v>9.0100000000000016</v>
      </c>
      <c r="P78" s="116">
        <v>9.0100000000000016</v>
      </c>
      <c r="Q78" s="116">
        <v>9.0100000000000016</v>
      </c>
      <c r="R78" s="116">
        <v>9.0100000000000016</v>
      </c>
      <c r="S78" s="116">
        <v>9.0100000000000016</v>
      </c>
      <c r="T78" s="116">
        <v>9.0100000000000016</v>
      </c>
      <c r="U78" s="116">
        <v>9.0100000000000016</v>
      </c>
      <c r="V78" s="116">
        <v>9.3313000000000024</v>
      </c>
      <c r="W78" s="116">
        <v>9.3313000000000024</v>
      </c>
      <c r="X78" s="116">
        <v>9.3313000000000024</v>
      </c>
      <c r="Y78" s="116">
        <v>9.3313000000000024</v>
      </c>
      <c r="Z78" s="116">
        <v>9.3313000000000024</v>
      </c>
      <c r="AA78" s="116">
        <v>9.3313000000000024</v>
      </c>
      <c r="AB78" s="116">
        <v>9.3313000000000024</v>
      </c>
      <c r="AC78" s="116">
        <v>9.3313000000000024</v>
      </c>
      <c r="AD78" s="116">
        <v>9.3313000000000024</v>
      </c>
      <c r="AE78" s="116">
        <v>9.3313000000000024</v>
      </c>
      <c r="AF78" s="116">
        <v>9.3313000000000024</v>
      </c>
      <c r="AG78" s="116">
        <v>9.3313000000000024</v>
      </c>
    </row>
    <row r="79" spans="1:33">
      <c r="E79" t="str">
        <v>Client 2</v>
      </c>
      <c r="F79">
        <v>3</v>
      </c>
      <c r="G79" t="s">
        <v>58</v>
      </c>
      <c r="J79" s="116">
        <v>9.09</v>
      </c>
      <c r="K79" s="116">
        <v>9.09</v>
      </c>
      <c r="L79" s="116">
        <v>9.09</v>
      </c>
      <c r="M79" s="116">
        <v>9.09</v>
      </c>
      <c r="N79" s="116">
        <v>9.09</v>
      </c>
      <c r="O79" s="116">
        <v>9.09</v>
      </c>
      <c r="P79" s="116">
        <v>9.09</v>
      </c>
      <c r="Q79" s="116">
        <v>9.09</v>
      </c>
      <c r="R79" s="116">
        <v>9.09</v>
      </c>
      <c r="S79" s="116">
        <v>9.09</v>
      </c>
      <c r="T79" s="116">
        <v>9.09</v>
      </c>
      <c r="U79" s="116">
        <v>9.09</v>
      </c>
      <c r="V79" s="116">
        <v>9.5330000000000013</v>
      </c>
      <c r="W79" s="116">
        <v>9.5330000000000013</v>
      </c>
      <c r="X79" s="116">
        <v>9.5330000000000013</v>
      </c>
      <c r="Y79" s="116">
        <v>9.5330000000000013</v>
      </c>
      <c r="Z79" s="116">
        <v>9.5330000000000013</v>
      </c>
      <c r="AA79" s="116">
        <v>9.5330000000000013</v>
      </c>
      <c r="AB79" s="116">
        <v>9.5330000000000013</v>
      </c>
      <c r="AC79" s="116">
        <v>9.5330000000000013</v>
      </c>
      <c r="AD79" s="116">
        <v>9.5330000000000013</v>
      </c>
      <c r="AE79" s="116">
        <v>9.5330000000000013</v>
      </c>
      <c r="AF79" s="116">
        <v>9.5330000000000013</v>
      </c>
      <c r="AG79" s="116">
        <v>9.5330000000000013</v>
      </c>
    </row>
    <row r="80" spans="1:33">
      <c r="E80" t="str">
        <v>Client 2</v>
      </c>
      <c r="F80">
        <v>4</v>
      </c>
      <c r="G80" t="s">
        <v>58</v>
      </c>
      <c r="J80" s="116">
        <v>3.3499999999999996</v>
      </c>
      <c r="K80" s="116">
        <v>3.3499999999999996</v>
      </c>
      <c r="L80" s="116">
        <v>3.3499999999999996</v>
      </c>
      <c r="M80" s="116">
        <v>3.3499999999999996</v>
      </c>
      <c r="N80" s="116">
        <v>3.3499999999999996</v>
      </c>
      <c r="O80" s="116">
        <v>3.3499999999999996</v>
      </c>
      <c r="P80" s="116">
        <v>3.3499999999999996</v>
      </c>
      <c r="Q80" s="116">
        <v>3.3499999999999996</v>
      </c>
      <c r="R80" s="116">
        <v>3.3499999999999996</v>
      </c>
      <c r="S80" s="116">
        <v>3.3499999999999996</v>
      </c>
      <c r="T80" s="116">
        <v>3.3499999999999996</v>
      </c>
      <c r="U80" s="116">
        <v>3.3499999999999996</v>
      </c>
      <c r="V80" s="116">
        <v>3.4861999999999993</v>
      </c>
      <c r="W80" s="116">
        <v>3.4861999999999993</v>
      </c>
      <c r="X80" s="116">
        <v>3.4861999999999993</v>
      </c>
      <c r="Y80" s="116">
        <v>3.4861999999999993</v>
      </c>
      <c r="Z80" s="116">
        <v>3.4861999999999993</v>
      </c>
      <c r="AA80" s="116">
        <v>3.4861999999999993</v>
      </c>
      <c r="AB80" s="116">
        <v>3.4861999999999993</v>
      </c>
      <c r="AC80" s="116">
        <v>3.4861999999999993</v>
      </c>
      <c r="AD80" s="116">
        <v>3.4861999999999993</v>
      </c>
      <c r="AE80" s="116">
        <v>3.4861999999999993</v>
      </c>
      <c r="AF80" s="116">
        <v>3.4861999999999993</v>
      </c>
      <c r="AG80" s="116">
        <v>3.4861999999999993</v>
      </c>
    </row>
    <row r="81" spans="5:33">
      <c r="E81" t="str">
        <v>Client 2</v>
      </c>
      <c r="F81">
        <v>5</v>
      </c>
      <c r="G81" t="s">
        <v>58</v>
      </c>
      <c r="J81" s="116">
        <v>7.9</v>
      </c>
      <c r="K81" s="116">
        <v>7.9</v>
      </c>
      <c r="L81" s="116">
        <v>7.9</v>
      </c>
      <c r="M81" s="116">
        <v>7.9</v>
      </c>
      <c r="N81" s="116">
        <v>7.9</v>
      </c>
      <c r="O81" s="116">
        <v>7.9</v>
      </c>
      <c r="P81" s="116">
        <v>7.9</v>
      </c>
      <c r="Q81" s="116">
        <v>7.9</v>
      </c>
      <c r="R81" s="116">
        <v>7.9</v>
      </c>
      <c r="S81" s="116">
        <v>7.9</v>
      </c>
      <c r="T81" s="116">
        <v>7.9</v>
      </c>
      <c r="U81" s="116">
        <v>7.9</v>
      </c>
      <c r="V81" s="116">
        <v>8.4366000000000003</v>
      </c>
      <c r="W81" s="116">
        <v>8.4366000000000003</v>
      </c>
      <c r="X81" s="116">
        <v>8.4366000000000003</v>
      </c>
      <c r="Y81" s="116">
        <v>8.4366000000000003</v>
      </c>
      <c r="Z81" s="116">
        <v>8.4366000000000003</v>
      </c>
      <c r="AA81" s="116">
        <v>8.4366000000000003</v>
      </c>
      <c r="AB81" s="116">
        <v>8.4366000000000003</v>
      </c>
      <c r="AC81" s="116">
        <v>8.4366000000000003</v>
      </c>
      <c r="AD81" s="116">
        <v>8.4366000000000003</v>
      </c>
      <c r="AE81" s="116">
        <v>8.4366000000000003</v>
      </c>
      <c r="AF81" s="116">
        <v>8.4366000000000003</v>
      </c>
      <c r="AG81" s="116">
        <v>8.4366000000000003</v>
      </c>
    </row>
    <row r="82" spans="5:33">
      <c r="E82" t="str">
        <v>Client 3</v>
      </c>
      <c r="F82">
        <v>1</v>
      </c>
      <c r="G82" t="s">
        <v>58</v>
      </c>
      <c r="J82" s="116">
        <v>14.600000000000001</v>
      </c>
      <c r="K82" s="116">
        <v>14.600000000000001</v>
      </c>
      <c r="L82" s="116">
        <v>14.600000000000001</v>
      </c>
      <c r="M82" s="116">
        <v>14.600000000000001</v>
      </c>
      <c r="N82" s="116">
        <v>14.600000000000001</v>
      </c>
      <c r="O82" s="116">
        <v>14.600000000000001</v>
      </c>
      <c r="P82" s="116">
        <v>14.600000000000001</v>
      </c>
      <c r="Q82" s="116">
        <v>14.600000000000001</v>
      </c>
      <c r="R82" s="116">
        <v>14.600000000000001</v>
      </c>
      <c r="S82" s="116">
        <v>14.600000000000001</v>
      </c>
      <c r="T82" s="116">
        <v>14.600000000000001</v>
      </c>
      <c r="U82" s="116">
        <v>14.600000000000001</v>
      </c>
      <c r="V82" s="116">
        <v>15.226000000000006</v>
      </c>
      <c r="W82" s="116">
        <v>15.226000000000006</v>
      </c>
      <c r="X82" s="116">
        <v>15.226000000000006</v>
      </c>
      <c r="Y82" s="116">
        <v>15.226000000000006</v>
      </c>
      <c r="Z82" s="116">
        <v>15.226000000000006</v>
      </c>
      <c r="AA82" s="116">
        <v>15.226000000000006</v>
      </c>
      <c r="AB82" s="116">
        <v>15.226000000000006</v>
      </c>
      <c r="AC82" s="116">
        <v>15.226000000000006</v>
      </c>
      <c r="AD82" s="116">
        <v>15.226000000000006</v>
      </c>
      <c r="AE82" s="116">
        <v>15.226000000000006</v>
      </c>
      <c r="AF82" s="116">
        <v>15.226000000000006</v>
      </c>
      <c r="AG82" s="116">
        <v>15.226000000000006</v>
      </c>
    </row>
    <row r="83" spans="5:33">
      <c r="E83" t="str">
        <v>Client 3</v>
      </c>
      <c r="F83">
        <v>2</v>
      </c>
      <c r="G83" t="s">
        <v>58</v>
      </c>
      <c r="J83" s="116">
        <v>10.540000000000003</v>
      </c>
      <c r="K83" s="116">
        <v>10.540000000000003</v>
      </c>
      <c r="L83" s="116">
        <v>10.540000000000003</v>
      </c>
      <c r="M83" s="116">
        <v>10.540000000000003</v>
      </c>
      <c r="N83" s="116">
        <v>10.540000000000003</v>
      </c>
      <c r="O83" s="116">
        <v>10.540000000000003</v>
      </c>
      <c r="P83" s="116">
        <v>10.540000000000003</v>
      </c>
      <c r="Q83" s="116">
        <v>10.540000000000003</v>
      </c>
      <c r="R83" s="116">
        <v>10.540000000000003</v>
      </c>
      <c r="S83" s="116">
        <v>10.540000000000003</v>
      </c>
      <c r="T83" s="116">
        <v>10.540000000000003</v>
      </c>
      <c r="U83" s="116">
        <v>10.540000000000003</v>
      </c>
      <c r="V83" s="116">
        <v>10.953100000000003</v>
      </c>
      <c r="W83" s="116">
        <v>10.953100000000003</v>
      </c>
      <c r="X83" s="116">
        <v>10.953100000000003</v>
      </c>
      <c r="Y83" s="116">
        <v>10.953100000000003</v>
      </c>
      <c r="Z83" s="116">
        <v>10.953100000000003</v>
      </c>
      <c r="AA83" s="116">
        <v>10.953100000000003</v>
      </c>
      <c r="AB83" s="116">
        <v>10.953100000000003</v>
      </c>
      <c r="AC83" s="116">
        <v>10.953100000000003</v>
      </c>
      <c r="AD83" s="116">
        <v>10.953100000000003</v>
      </c>
      <c r="AE83" s="116">
        <v>10.953100000000003</v>
      </c>
      <c r="AF83" s="116">
        <v>10.953100000000003</v>
      </c>
      <c r="AG83" s="116">
        <v>10.953100000000003</v>
      </c>
    </row>
    <row r="84" spans="5:33">
      <c r="E84" t="str">
        <v>Client 3</v>
      </c>
      <c r="F84">
        <v>3</v>
      </c>
      <c r="G84" t="s">
        <v>58</v>
      </c>
      <c r="J84" s="116">
        <v>9.6000000000000014</v>
      </c>
      <c r="K84" s="116">
        <v>9.6000000000000014</v>
      </c>
      <c r="L84" s="116">
        <v>9.6000000000000014</v>
      </c>
      <c r="M84" s="116">
        <v>9.6000000000000014</v>
      </c>
      <c r="N84" s="116">
        <v>9.6000000000000014</v>
      </c>
      <c r="O84" s="116">
        <v>9.6000000000000014</v>
      </c>
      <c r="P84" s="116">
        <v>9.6000000000000014</v>
      </c>
      <c r="Q84" s="116">
        <v>9.6000000000000014</v>
      </c>
      <c r="R84" s="116">
        <v>9.6000000000000014</v>
      </c>
      <c r="S84" s="116">
        <v>9.6000000000000014</v>
      </c>
      <c r="T84" s="116">
        <v>9.6000000000000014</v>
      </c>
      <c r="U84" s="116">
        <v>9.6000000000000014</v>
      </c>
      <c r="V84" s="116">
        <v>10.073600000000001</v>
      </c>
      <c r="W84" s="116">
        <v>10.073600000000001</v>
      </c>
      <c r="X84" s="116">
        <v>10.073600000000001</v>
      </c>
      <c r="Y84" s="116">
        <v>10.073600000000001</v>
      </c>
      <c r="Z84" s="116">
        <v>10.073600000000001</v>
      </c>
      <c r="AA84" s="116">
        <v>10.073600000000001</v>
      </c>
      <c r="AB84" s="116">
        <v>10.073600000000001</v>
      </c>
      <c r="AC84" s="116">
        <v>10.073600000000001</v>
      </c>
      <c r="AD84" s="116">
        <v>10.073600000000001</v>
      </c>
      <c r="AE84" s="116">
        <v>10.073600000000001</v>
      </c>
      <c r="AF84" s="116">
        <v>10.073600000000001</v>
      </c>
      <c r="AG84" s="116">
        <v>10.073600000000001</v>
      </c>
    </row>
    <row r="85" spans="5:33">
      <c r="E85" t="str">
        <v>Client 3</v>
      </c>
      <c r="F85">
        <v>4</v>
      </c>
      <c r="G85" t="s">
        <v>58</v>
      </c>
      <c r="J85" s="116">
        <v>4.32</v>
      </c>
      <c r="K85" s="116">
        <v>4.32</v>
      </c>
      <c r="L85" s="116">
        <v>4.32</v>
      </c>
      <c r="M85" s="116">
        <v>4.32</v>
      </c>
      <c r="N85" s="116">
        <v>4.32</v>
      </c>
      <c r="O85" s="116">
        <v>4.32</v>
      </c>
      <c r="P85" s="116">
        <v>4.32</v>
      </c>
      <c r="Q85" s="116">
        <v>4.32</v>
      </c>
      <c r="R85" s="116">
        <v>4.32</v>
      </c>
      <c r="S85" s="116">
        <v>4.32</v>
      </c>
      <c r="T85" s="116">
        <v>4.32</v>
      </c>
      <c r="U85" s="116">
        <v>4.32</v>
      </c>
      <c r="V85" s="116">
        <v>4.5144000000000011</v>
      </c>
      <c r="W85" s="116">
        <v>4.5144000000000011</v>
      </c>
      <c r="X85" s="116">
        <v>4.5144000000000011</v>
      </c>
      <c r="Y85" s="116">
        <v>4.5144000000000011</v>
      </c>
      <c r="Z85" s="116">
        <v>4.5144000000000011</v>
      </c>
      <c r="AA85" s="116">
        <v>4.5144000000000011</v>
      </c>
      <c r="AB85" s="116">
        <v>4.5144000000000011</v>
      </c>
      <c r="AC85" s="116">
        <v>4.5144000000000011</v>
      </c>
      <c r="AD85" s="116">
        <v>4.5144000000000011</v>
      </c>
      <c r="AE85" s="116">
        <v>4.5144000000000011</v>
      </c>
      <c r="AF85" s="116">
        <v>4.5144000000000011</v>
      </c>
      <c r="AG85" s="116">
        <v>4.5144000000000011</v>
      </c>
    </row>
    <row r="86" spans="5:33">
      <c r="E86" t="str">
        <v>Client 3</v>
      </c>
      <c r="F86">
        <v>5</v>
      </c>
      <c r="G86" t="s">
        <v>58</v>
      </c>
      <c r="J86" s="116">
        <v>9.39</v>
      </c>
      <c r="K86" s="116">
        <v>9.39</v>
      </c>
      <c r="L86" s="116">
        <v>9.39</v>
      </c>
      <c r="M86" s="116">
        <v>9.39</v>
      </c>
      <c r="N86" s="116">
        <v>9.39</v>
      </c>
      <c r="O86" s="116">
        <v>9.39</v>
      </c>
      <c r="P86" s="116">
        <v>9.39</v>
      </c>
      <c r="Q86" s="116">
        <v>9.39</v>
      </c>
      <c r="R86" s="116">
        <v>9.39</v>
      </c>
      <c r="S86" s="116">
        <v>9.39</v>
      </c>
      <c r="T86" s="116">
        <v>9.39</v>
      </c>
      <c r="U86" s="116">
        <v>9.39</v>
      </c>
      <c r="V86" s="116">
        <v>10.016000000000002</v>
      </c>
      <c r="W86" s="116">
        <v>10.016000000000002</v>
      </c>
      <c r="X86" s="116">
        <v>10.016000000000002</v>
      </c>
      <c r="Y86" s="116">
        <v>10.016000000000002</v>
      </c>
      <c r="Z86" s="116">
        <v>10.016000000000002</v>
      </c>
      <c r="AA86" s="116">
        <v>10.016000000000002</v>
      </c>
      <c r="AB86" s="116">
        <v>10.016000000000002</v>
      </c>
      <c r="AC86" s="116">
        <v>10.016000000000002</v>
      </c>
      <c r="AD86" s="116">
        <v>10.016000000000002</v>
      </c>
      <c r="AE86" s="116">
        <v>10.016000000000002</v>
      </c>
      <c r="AF86" s="116">
        <v>10.016000000000002</v>
      </c>
      <c r="AG86" s="116">
        <v>10.016000000000002</v>
      </c>
    </row>
    <row r="87" spans="5:33">
      <c r="E87" t="str">
        <v>Client 4</v>
      </c>
      <c r="F87">
        <v>1</v>
      </c>
      <c r="G87" t="s">
        <v>58</v>
      </c>
      <c r="J87" s="116">
        <v>19.399999999999999</v>
      </c>
      <c r="K87" s="116">
        <v>19.399999999999999</v>
      </c>
      <c r="L87" s="116">
        <v>19.399999999999999</v>
      </c>
      <c r="M87" s="116">
        <v>19.399999999999999</v>
      </c>
      <c r="N87" s="116">
        <v>19.399999999999999</v>
      </c>
      <c r="O87" s="116">
        <v>19.399999999999999</v>
      </c>
      <c r="P87" s="116">
        <v>19.399999999999999</v>
      </c>
      <c r="Q87" s="116">
        <v>19.399999999999999</v>
      </c>
      <c r="R87" s="116">
        <v>19.399999999999999</v>
      </c>
      <c r="S87" s="116">
        <v>19.399999999999999</v>
      </c>
      <c r="T87" s="116">
        <v>19.399999999999999</v>
      </c>
      <c r="U87" s="116">
        <v>19.399999999999999</v>
      </c>
      <c r="V87" s="116">
        <v>21.201999999999998</v>
      </c>
      <c r="W87" s="116">
        <v>21.201999999999998</v>
      </c>
      <c r="X87" s="116">
        <v>21.201999999999998</v>
      </c>
      <c r="Y87" s="116">
        <v>21.201999999999998</v>
      </c>
      <c r="Z87" s="116">
        <v>21.201999999999998</v>
      </c>
      <c r="AA87" s="116">
        <v>21.201999999999998</v>
      </c>
      <c r="AB87" s="116">
        <v>21.201999999999998</v>
      </c>
      <c r="AC87" s="116">
        <v>21.201999999999998</v>
      </c>
      <c r="AD87" s="116">
        <v>21.201999999999998</v>
      </c>
      <c r="AE87" s="116">
        <v>21.201999999999998</v>
      </c>
      <c r="AF87" s="116">
        <v>21.201999999999998</v>
      </c>
      <c r="AG87" s="116">
        <v>21.201999999999998</v>
      </c>
    </row>
    <row r="88" spans="5:33">
      <c r="E88" t="str">
        <v>Client 4</v>
      </c>
      <c r="F88">
        <v>2</v>
      </c>
      <c r="G88" t="s">
        <v>58</v>
      </c>
      <c r="J88" s="116">
        <v>9.860000000000003</v>
      </c>
      <c r="K88" s="116">
        <v>9.860000000000003</v>
      </c>
      <c r="L88" s="116">
        <v>9.860000000000003</v>
      </c>
      <c r="M88" s="116">
        <v>9.860000000000003</v>
      </c>
      <c r="N88" s="116">
        <v>9.860000000000003</v>
      </c>
      <c r="O88" s="116">
        <v>9.860000000000003</v>
      </c>
      <c r="P88" s="116">
        <v>9.860000000000003</v>
      </c>
      <c r="Q88" s="116">
        <v>9.860000000000003</v>
      </c>
      <c r="R88" s="116">
        <v>9.860000000000003</v>
      </c>
      <c r="S88" s="116">
        <v>9.860000000000003</v>
      </c>
      <c r="T88" s="116">
        <v>9.860000000000003</v>
      </c>
      <c r="U88" s="116">
        <v>9.860000000000003</v>
      </c>
      <c r="V88" s="116">
        <v>10.575700000000001</v>
      </c>
      <c r="W88" s="116">
        <v>10.575700000000001</v>
      </c>
      <c r="X88" s="116">
        <v>10.575700000000001</v>
      </c>
      <c r="Y88" s="116">
        <v>10.575700000000001</v>
      </c>
      <c r="Z88" s="116">
        <v>10.575700000000001</v>
      </c>
      <c r="AA88" s="116">
        <v>10.575700000000001</v>
      </c>
      <c r="AB88" s="116">
        <v>10.575700000000001</v>
      </c>
      <c r="AC88" s="116">
        <v>10.575700000000001</v>
      </c>
      <c r="AD88" s="116">
        <v>10.575700000000001</v>
      </c>
      <c r="AE88" s="116">
        <v>10.575700000000001</v>
      </c>
      <c r="AF88" s="116">
        <v>10.575700000000001</v>
      </c>
      <c r="AG88" s="116">
        <v>10.575700000000001</v>
      </c>
    </row>
    <row r="89" spans="5:33">
      <c r="E89" t="str">
        <v>Client 4</v>
      </c>
      <c r="F89">
        <v>3</v>
      </c>
      <c r="G89" t="s">
        <v>58</v>
      </c>
      <c r="J89" s="116">
        <v>8.4499999999999993</v>
      </c>
      <c r="K89" s="116">
        <v>8.4499999999999993</v>
      </c>
      <c r="L89" s="116">
        <v>8.4499999999999993</v>
      </c>
      <c r="M89" s="116">
        <v>8.4499999999999993</v>
      </c>
      <c r="N89" s="116">
        <v>8.4499999999999993</v>
      </c>
      <c r="O89" s="116">
        <v>8.4499999999999993</v>
      </c>
      <c r="P89" s="116">
        <v>8.4499999999999993</v>
      </c>
      <c r="Q89" s="116">
        <v>8.4499999999999993</v>
      </c>
      <c r="R89" s="116">
        <v>8.4499999999999993</v>
      </c>
      <c r="S89" s="116">
        <v>8.4499999999999993</v>
      </c>
      <c r="T89" s="116">
        <v>8.4499999999999993</v>
      </c>
      <c r="U89" s="116">
        <v>8.4499999999999993</v>
      </c>
      <c r="V89" s="116">
        <v>9.1260000000000012</v>
      </c>
      <c r="W89" s="116">
        <v>9.1260000000000012</v>
      </c>
      <c r="X89" s="116">
        <v>9.1260000000000012</v>
      </c>
      <c r="Y89" s="116">
        <v>9.1260000000000012</v>
      </c>
      <c r="Z89" s="116">
        <v>9.1260000000000012</v>
      </c>
      <c r="AA89" s="116">
        <v>9.1260000000000012</v>
      </c>
      <c r="AB89" s="116">
        <v>9.1260000000000012</v>
      </c>
      <c r="AC89" s="116">
        <v>9.1260000000000012</v>
      </c>
      <c r="AD89" s="116">
        <v>9.1260000000000012</v>
      </c>
      <c r="AE89" s="116">
        <v>9.1260000000000012</v>
      </c>
      <c r="AF89" s="116">
        <v>9.1260000000000012</v>
      </c>
      <c r="AG89" s="116">
        <v>9.1260000000000012</v>
      </c>
    </row>
    <row r="90" spans="5:33">
      <c r="E90" t="str">
        <v>Client 4</v>
      </c>
      <c r="F90">
        <v>4</v>
      </c>
      <c r="G90" t="s">
        <v>58</v>
      </c>
      <c r="J90" s="116">
        <v>5.9399999999999995</v>
      </c>
      <c r="K90" s="116">
        <v>5.9399999999999995</v>
      </c>
      <c r="L90" s="116">
        <v>5.9399999999999995</v>
      </c>
      <c r="M90" s="116">
        <v>5.9399999999999995</v>
      </c>
      <c r="N90" s="116">
        <v>5.9399999999999995</v>
      </c>
      <c r="O90" s="116">
        <v>5.9399999999999995</v>
      </c>
      <c r="P90" s="116">
        <v>5.9399999999999995</v>
      </c>
      <c r="Q90" s="116">
        <v>5.9399999999999995</v>
      </c>
      <c r="R90" s="116">
        <v>5.9399999999999995</v>
      </c>
      <c r="S90" s="116">
        <v>5.9399999999999995</v>
      </c>
      <c r="T90" s="116">
        <v>5.9399999999999995</v>
      </c>
      <c r="U90" s="116">
        <v>5.9399999999999995</v>
      </c>
      <c r="V90" s="116">
        <v>6.4799999999999995</v>
      </c>
      <c r="W90" s="116">
        <v>6.4799999999999995</v>
      </c>
      <c r="X90" s="116">
        <v>6.4799999999999995</v>
      </c>
      <c r="Y90" s="116">
        <v>6.4799999999999995</v>
      </c>
      <c r="Z90" s="116">
        <v>6.4799999999999995</v>
      </c>
      <c r="AA90" s="116">
        <v>6.4799999999999995</v>
      </c>
      <c r="AB90" s="116">
        <v>6.4799999999999995</v>
      </c>
      <c r="AC90" s="116">
        <v>6.4799999999999995</v>
      </c>
      <c r="AD90" s="116">
        <v>6.4799999999999995</v>
      </c>
      <c r="AE90" s="116">
        <v>6.4799999999999995</v>
      </c>
      <c r="AF90" s="116">
        <v>6.4799999999999995</v>
      </c>
      <c r="AG90" s="116">
        <v>6.4799999999999995</v>
      </c>
    </row>
    <row r="91" spans="5:33">
      <c r="E91" t="str">
        <v>Client 4</v>
      </c>
      <c r="F91">
        <v>5</v>
      </c>
      <c r="G91" t="s">
        <v>58</v>
      </c>
      <c r="J91" s="116">
        <v>7.9</v>
      </c>
      <c r="K91" s="116">
        <v>7.9</v>
      </c>
      <c r="L91" s="116">
        <v>7.9</v>
      </c>
      <c r="M91" s="116">
        <v>7.9</v>
      </c>
      <c r="N91" s="116">
        <v>7.9</v>
      </c>
      <c r="O91" s="116">
        <v>7.9</v>
      </c>
      <c r="P91" s="116">
        <v>7.9</v>
      </c>
      <c r="Q91" s="116">
        <v>7.9</v>
      </c>
      <c r="R91" s="116">
        <v>7.9</v>
      </c>
      <c r="S91" s="116">
        <v>7.9</v>
      </c>
      <c r="T91" s="116">
        <v>7.9</v>
      </c>
      <c r="U91" s="116">
        <v>7.9</v>
      </c>
      <c r="V91" s="116">
        <v>8.7198000000000011</v>
      </c>
      <c r="W91" s="116">
        <v>8.7198000000000011</v>
      </c>
      <c r="X91" s="116">
        <v>8.7198000000000011</v>
      </c>
      <c r="Y91" s="116">
        <v>8.7198000000000011</v>
      </c>
      <c r="Z91" s="116">
        <v>8.7198000000000011</v>
      </c>
      <c r="AA91" s="116">
        <v>8.7198000000000011</v>
      </c>
      <c r="AB91" s="116">
        <v>8.7198000000000011</v>
      </c>
      <c r="AC91" s="116">
        <v>8.7198000000000011</v>
      </c>
      <c r="AD91" s="116">
        <v>8.7198000000000011</v>
      </c>
      <c r="AE91" s="116">
        <v>8.7198000000000011</v>
      </c>
      <c r="AF91" s="116">
        <v>8.7198000000000011</v>
      </c>
      <c r="AG91" s="116">
        <v>8.7198000000000011</v>
      </c>
    </row>
    <row r="92" spans="5:33">
      <c r="E92" t="str">
        <v>Client 5</v>
      </c>
      <c r="F92">
        <v>1</v>
      </c>
      <c r="G92" t="s">
        <v>58</v>
      </c>
      <c r="J92" s="116">
        <v>12.600000000000001</v>
      </c>
      <c r="K92" s="116">
        <v>12.600000000000001</v>
      </c>
      <c r="L92" s="116">
        <v>12.600000000000001</v>
      </c>
      <c r="M92" s="116">
        <v>12.600000000000001</v>
      </c>
      <c r="N92" s="116">
        <v>12.600000000000001</v>
      </c>
      <c r="O92" s="116">
        <v>12.600000000000001</v>
      </c>
      <c r="P92" s="116">
        <v>12.600000000000001</v>
      </c>
      <c r="Q92" s="116">
        <v>12.600000000000001</v>
      </c>
      <c r="R92" s="116">
        <v>12.600000000000001</v>
      </c>
      <c r="S92" s="116">
        <v>12.600000000000001</v>
      </c>
      <c r="T92" s="116">
        <v>12.600000000000001</v>
      </c>
      <c r="U92" s="116">
        <v>12.600000000000001</v>
      </c>
      <c r="V92" s="116">
        <v>13.482000000000006</v>
      </c>
      <c r="W92" s="116">
        <v>13.482000000000006</v>
      </c>
      <c r="X92" s="116">
        <v>13.482000000000006</v>
      </c>
      <c r="Y92" s="116">
        <v>13.482000000000006</v>
      </c>
      <c r="Z92" s="116">
        <v>13.482000000000006</v>
      </c>
      <c r="AA92" s="116">
        <v>13.482000000000006</v>
      </c>
      <c r="AB92" s="116">
        <v>13.482000000000006</v>
      </c>
      <c r="AC92" s="116">
        <v>13.482000000000006</v>
      </c>
      <c r="AD92" s="116">
        <v>13.482000000000006</v>
      </c>
      <c r="AE92" s="116">
        <v>13.482000000000006</v>
      </c>
      <c r="AF92" s="116">
        <v>13.482000000000006</v>
      </c>
      <c r="AG92" s="116">
        <v>13.482000000000006</v>
      </c>
    </row>
    <row r="93" spans="5:33">
      <c r="E93" t="str">
        <v>Client 5</v>
      </c>
      <c r="F93">
        <v>2</v>
      </c>
      <c r="G93" t="s">
        <v>58</v>
      </c>
      <c r="J93" s="116">
        <v>7.8200000000000012</v>
      </c>
      <c r="K93" s="116">
        <v>7.8200000000000012</v>
      </c>
      <c r="L93" s="116">
        <v>7.8200000000000012</v>
      </c>
      <c r="M93" s="116">
        <v>7.8200000000000012</v>
      </c>
      <c r="N93" s="116">
        <v>7.8200000000000012</v>
      </c>
      <c r="O93" s="116">
        <v>7.8200000000000012</v>
      </c>
      <c r="P93" s="116">
        <v>7.8200000000000012</v>
      </c>
      <c r="Q93" s="116">
        <v>7.8200000000000012</v>
      </c>
      <c r="R93" s="116">
        <v>7.8200000000000012</v>
      </c>
      <c r="S93" s="116">
        <v>7.8200000000000012</v>
      </c>
      <c r="T93" s="116">
        <v>7.8200000000000012</v>
      </c>
      <c r="U93" s="116">
        <v>7.8200000000000012</v>
      </c>
      <c r="V93" s="116">
        <v>8.2212000000000032</v>
      </c>
      <c r="W93" s="116">
        <v>8.2212000000000032</v>
      </c>
      <c r="X93" s="116">
        <v>8.2212000000000032</v>
      </c>
      <c r="Y93" s="116">
        <v>8.2212000000000032</v>
      </c>
      <c r="Z93" s="116">
        <v>8.2212000000000032</v>
      </c>
      <c r="AA93" s="116">
        <v>8.2212000000000032</v>
      </c>
      <c r="AB93" s="116">
        <v>8.2212000000000032</v>
      </c>
      <c r="AC93" s="116">
        <v>8.2212000000000032</v>
      </c>
      <c r="AD93" s="116">
        <v>8.2212000000000032</v>
      </c>
      <c r="AE93" s="116">
        <v>8.2212000000000032</v>
      </c>
      <c r="AF93" s="116">
        <v>8.2212000000000032</v>
      </c>
      <c r="AG93" s="116">
        <v>8.2212000000000032</v>
      </c>
    </row>
    <row r="94" spans="5:33">
      <c r="E94" t="str">
        <v>Client 5</v>
      </c>
      <c r="F94">
        <v>3</v>
      </c>
      <c r="G94" t="s">
        <v>58</v>
      </c>
      <c r="J94" s="116">
        <v>7.94</v>
      </c>
      <c r="K94" s="116">
        <v>7.94</v>
      </c>
      <c r="L94" s="116">
        <v>7.94</v>
      </c>
      <c r="M94" s="116">
        <v>7.94</v>
      </c>
      <c r="N94" s="116">
        <v>7.94</v>
      </c>
      <c r="O94" s="116">
        <v>7.94</v>
      </c>
      <c r="P94" s="116">
        <v>7.94</v>
      </c>
      <c r="Q94" s="116">
        <v>7.94</v>
      </c>
      <c r="R94" s="116">
        <v>7.94</v>
      </c>
      <c r="S94" s="116">
        <v>7.94</v>
      </c>
      <c r="T94" s="116">
        <v>7.94</v>
      </c>
      <c r="U94" s="116">
        <v>7.94</v>
      </c>
      <c r="V94" s="116">
        <v>8.4446000000000012</v>
      </c>
      <c r="W94" s="116">
        <v>8.4446000000000012</v>
      </c>
      <c r="X94" s="116">
        <v>8.4446000000000012</v>
      </c>
      <c r="Y94" s="116">
        <v>8.4446000000000012</v>
      </c>
      <c r="Z94" s="116">
        <v>8.4446000000000012</v>
      </c>
      <c r="AA94" s="116">
        <v>8.4446000000000012</v>
      </c>
      <c r="AB94" s="116">
        <v>8.4446000000000012</v>
      </c>
      <c r="AC94" s="116">
        <v>8.4446000000000012</v>
      </c>
      <c r="AD94" s="116">
        <v>8.4446000000000012</v>
      </c>
      <c r="AE94" s="116">
        <v>8.4446000000000012</v>
      </c>
      <c r="AF94" s="116">
        <v>8.4446000000000012</v>
      </c>
      <c r="AG94" s="116">
        <v>8.4446000000000012</v>
      </c>
    </row>
    <row r="95" spans="5:33">
      <c r="E95" t="str">
        <v>Client 5</v>
      </c>
      <c r="F95">
        <v>4</v>
      </c>
      <c r="G95" t="s">
        <v>58</v>
      </c>
      <c r="J95" s="116">
        <v>3.129999999999999</v>
      </c>
      <c r="K95" s="116">
        <v>3.129999999999999</v>
      </c>
      <c r="L95" s="116">
        <v>3.129999999999999</v>
      </c>
      <c r="M95" s="116">
        <v>3.129999999999999</v>
      </c>
      <c r="N95" s="116">
        <v>3.129999999999999</v>
      </c>
      <c r="O95" s="116">
        <v>3.129999999999999</v>
      </c>
      <c r="P95" s="116">
        <v>3.129999999999999</v>
      </c>
      <c r="Q95" s="116">
        <v>3.129999999999999</v>
      </c>
      <c r="R95" s="116">
        <v>3.129999999999999</v>
      </c>
      <c r="S95" s="116">
        <v>3.129999999999999</v>
      </c>
      <c r="T95" s="116">
        <v>3.129999999999999</v>
      </c>
      <c r="U95" s="116">
        <v>3.129999999999999</v>
      </c>
      <c r="V95" s="116">
        <v>3.3490999999999991</v>
      </c>
      <c r="W95" s="116">
        <v>3.3490999999999991</v>
      </c>
      <c r="X95" s="116">
        <v>3.3490999999999991</v>
      </c>
      <c r="Y95" s="116">
        <v>3.3490999999999991</v>
      </c>
      <c r="Z95" s="116">
        <v>3.3490999999999991</v>
      </c>
      <c r="AA95" s="116">
        <v>3.3490999999999991</v>
      </c>
      <c r="AB95" s="116">
        <v>3.3490999999999991</v>
      </c>
      <c r="AC95" s="116">
        <v>3.3490999999999991</v>
      </c>
      <c r="AD95" s="116">
        <v>3.3490999999999991</v>
      </c>
      <c r="AE95" s="116">
        <v>3.3490999999999991</v>
      </c>
      <c r="AF95" s="116">
        <v>3.3490999999999991</v>
      </c>
      <c r="AG95" s="116">
        <v>3.3490999999999991</v>
      </c>
    </row>
    <row r="96" spans="5:33">
      <c r="E96" t="str">
        <v>Client 5</v>
      </c>
      <c r="F96">
        <v>5</v>
      </c>
      <c r="G96" t="s">
        <v>58</v>
      </c>
      <c r="J96" s="116">
        <v>6.41</v>
      </c>
      <c r="K96" s="116">
        <v>6.41</v>
      </c>
      <c r="L96" s="116">
        <v>6.41</v>
      </c>
      <c r="M96" s="116">
        <v>6.41</v>
      </c>
      <c r="N96" s="116">
        <v>6.41</v>
      </c>
      <c r="O96" s="116">
        <v>6.41</v>
      </c>
      <c r="P96" s="116">
        <v>6.41</v>
      </c>
      <c r="Q96" s="116">
        <v>6.41</v>
      </c>
      <c r="R96" s="116">
        <v>6.41</v>
      </c>
      <c r="S96" s="116">
        <v>6.41</v>
      </c>
      <c r="T96" s="116">
        <v>6.41</v>
      </c>
      <c r="U96" s="116">
        <v>6.41</v>
      </c>
      <c r="V96" s="116">
        <v>6.9839000000000002</v>
      </c>
      <c r="W96" s="116">
        <v>6.9839000000000002</v>
      </c>
      <c r="X96" s="116">
        <v>6.9839000000000002</v>
      </c>
      <c r="Y96" s="116">
        <v>6.9839000000000002</v>
      </c>
      <c r="Z96" s="116">
        <v>6.9839000000000002</v>
      </c>
      <c r="AA96" s="116">
        <v>6.9839000000000002</v>
      </c>
      <c r="AB96" s="116">
        <v>6.9839000000000002</v>
      </c>
      <c r="AC96" s="116">
        <v>6.9839000000000002</v>
      </c>
      <c r="AD96" s="116">
        <v>6.9839000000000002</v>
      </c>
      <c r="AE96" s="116">
        <v>6.9839000000000002</v>
      </c>
      <c r="AF96" s="116">
        <v>6.9839000000000002</v>
      </c>
      <c r="AG96" s="116">
        <v>6.9839000000000002</v>
      </c>
    </row>
    <row r="99" spans="1:33" s="87" customFormat="1">
      <c r="A99" s="88" t="s">
        <v>60</v>
      </c>
    </row>
    <row r="101" spans="1:33">
      <c r="E101" s="103" t="s">
        <v>16</v>
      </c>
      <c r="F101" s="103" t="s">
        <v>17</v>
      </c>
    </row>
    <row r="102" spans="1:33">
      <c r="E102" t="str" cm="1">
        <f t="array" ref="E102:F127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102" t="str">
        <v/>
      </c>
    </row>
    <row r="103" spans="1:33">
      <c r="E103" t="str">
        <v>Client 1</v>
      </c>
      <c r="F103">
        <v>1</v>
      </c>
      <c r="G103" t="s">
        <v>73</v>
      </c>
      <c r="J103" s="118" cm="1">
        <f t="array" ref="J103:AG127" xml:space="preserve"> _xlfn.LET(
      _xlpm.gross_profit,_xlfn.ANCHORARRAY( J72),
      _xlfn.MAKEARRAY( ROWS( _xlpm.gross_profit ), COLUMNS( _xlpm.gross_profit ),
                 _xlfn.LAMBDA(_xlpm.i,_xlpm.j, _xlfn.RANK.EQ( INDEX( _xlpm.gross_profit, _xlpm.i, _xlpm.j ), INDEX( _xlpm.gross_profit, , _xlpm.j ) ) ) ) )</f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</row>
    <row r="104" spans="1:33">
      <c r="E104" t="str">
        <v>Client 1</v>
      </c>
      <c r="F104">
        <v>2</v>
      </c>
      <c r="G104" t="s">
        <v>73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7</v>
      </c>
    </row>
    <row r="105" spans="1:33">
      <c r="E105" t="str">
        <v>Client 1</v>
      </c>
      <c r="F105">
        <v>3</v>
      </c>
      <c r="G105" t="s">
        <v>73</v>
      </c>
      <c r="J105">
        <v>19</v>
      </c>
      <c r="K105">
        <v>19</v>
      </c>
      <c r="L105">
        <v>19</v>
      </c>
      <c r="M105">
        <v>19</v>
      </c>
      <c r="N105">
        <v>19</v>
      </c>
      <c r="O105">
        <v>19</v>
      </c>
      <c r="P105">
        <v>19</v>
      </c>
      <c r="Q105">
        <v>19</v>
      </c>
      <c r="R105">
        <v>19</v>
      </c>
      <c r="S105">
        <v>19</v>
      </c>
      <c r="T105">
        <v>19</v>
      </c>
      <c r="U105">
        <v>19</v>
      </c>
      <c r="V105">
        <v>19</v>
      </c>
      <c r="W105">
        <v>19</v>
      </c>
      <c r="X105">
        <v>19</v>
      </c>
      <c r="Y105">
        <v>19</v>
      </c>
      <c r="Z105">
        <v>19</v>
      </c>
      <c r="AA105">
        <v>19</v>
      </c>
      <c r="AB105">
        <v>19</v>
      </c>
      <c r="AC105">
        <v>19</v>
      </c>
      <c r="AD105">
        <v>19</v>
      </c>
      <c r="AE105">
        <v>19</v>
      </c>
      <c r="AF105">
        <v>19</v>
      </c>
      <c r="AG105">
        <v>19</v>
      </c>
    </row>
    <row r="106" spans="1:33">
      <c r="E106" t="str">
        <v>Client 1</v>
      </c>
      <c r="F106">
        <v>4</v>
      </c>
      <c r="G106" t="s">
        <v>73</v>
      </c>
      <c r="J106">
        <v>22</v>
      </c>
      <c r="K106">
        <v>22</v>
      </c>
      <c r="L106">
        <v>22</v>
      </c>
      <c r="M106">
        <v>22</v>
      </c>
      <c r="N106">
        <v>22</v>
      </c>
      <c r="O106">
        <v>22</v>
      </c>
      <c r="P106">
        <v>22</v>
      </c>
      <c r="Q106">
        <v>22</v>
      </c>
      <c r="R106">
        <v>22</v>
      </c>
      <c r="S106">
        <v>22</v>
      </c>
      <c r="T106">
        <v>22</v>
      </c>
      <c r="U106">
        <v>22</v>
      </c>
      <c r="V106">
        <v>22</v>
      </c>
      <c r="W106">
        <v>22</v>
      </c>
      <c r="X106">
        <v>22</v>
      </c>
      <c r="Y106">
        <v>22</v>
      </c>
      <c r="Z106">
        <v>22</v>
      </c>
      <c r="AA106">
        <v>22</v>
      </c>
      <c r="AB106">
        <v>22</v>
      </c>
      <c r="AC106">
        <v>22</v>
      </c>
      <c r="AD106">
        <v>22</v>
      </c>
      <c r="AE106">
        <v>22</v>
      </c>
      <c r="AF106">
        <v>22</v>
      </c>
      <c r="AG106">
        <v>22</v>
      </c>
    </row>
    <row r="107" spans="1:33">
      <c r="E107" t="str">
        <v>Client 1</v>
      </c>
      <c r="F107">
        <v>5</v>
      </c>
      <c r="G107" t="s">
        <v>73</v>
      </c>
      <c r="J107">
        <v>13</v>
      </c>
      <c r="K107">
        <v>13</v>
      </c>
      <c r="L107">
        <v>13</v>
      </c>
      <c r="M107">
        <v>13</v>
      </c>
      <c r="N107">
        <v>13</v>
      </c>
      <c r="O107">
        <v>13</v>
      </c>
      <c r="P107">
        <v>13</v>
      </c>
      <c r="Q107">
        <v>13</v>
      </c>
      <c r="R107">
        <v>13</v>
      </c>
      <c r="S107">
        <v>13</v>
      </c>
      <c r="T107">
        <v>13</v>
      </c>
      <c r="U107">
        <v>13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11</v>
      </c>
      <c r="AB107">
        <v>11</v>
      </c>
      <c r="AC107">
        <v>11</v>
      </c>
      <c r="AD107">
        <v>11</v>
      </c>
      <c r="AE107">
        <v>11</v>
      </c>
      <c r="AF107">
        <v>11</v>
      </c>
      <c r="AG107">
        <v>11</v>
      </c>
    </row>
    <row r="108" spans="1:33">
      <c r="E108" t="str">
        <v>Client 2</v>
      </c>
      <c r="F108">
        <v>1</v>
      </c>
      <c r="G108" t="s">
        <v>73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13</v>
      </c>
      <c r="W108">
        <v>13</v>
      </c>
      <c r="X108">
        <v>13</v>
      </c>
      <c r="Y108">
        <v>13</v>
      </c>
      <c r="Z108">
        <v>13</v>
      </c>
      <c r="AA108">
        <v>13</v>
      </c>
      <c r="AB108">
        <v>13</v>
      </c>
      <c r="AC108">
        <v>13</v>
      </c>
      <c r="AD108">
        <v>13</v>
      </c>
      <c r="AE108">
        <v>13</v>
      </c>
      <c r="AF108">
        <v>13</v>
      </c>
      <c r="AG108">
        <v>13</v>
      </c>
    </row>
    <row r="109" spans="1:33">
      <c r="E109" t="str">
        <v>Client 2</v>
      </c>
      <c r="F109">
        <v>2</v>
      </c>
      <c r="G109" t="s">
        <v>73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12</v>
      </c>
      <c r="W109">
        <v>12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</row>
    <row r="110" spans="1:33">
      <c r="E110" t="str">
        <v>Client 2</v>
      </c>
      <c r="F110">
        <v>3</v>
      </c>
      <c r="G110" t="s">
        <v>73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10</v>
      </c>
      <c r="R110">
        <v>10</v>
      </c>
      <c r="S110">
        <v>10</v>
      </c>
      <c r="T110">
        <v>10</v>
      </c>
      <c r="U110">
        <v>10</v>
      </c>
      <c r="V110">
        <v>10</v>
      </c>
      <c r="W110">
        <v>10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10</v>
      </c>
      <c r="AD110">
        <v>10</v>
      </c>
      <c r="AE110">
        <v>10</v>
      </c>
      <c r="AF110">
        <v>10</v>
      </c>
      <c r="AG110">
        <v>10</v>
      </c>
    </row>
    <row r="111" spans="1:33">
      <c r="E111" t="str">
        <v>Client 2</v>
      </c>
      <c r="F111">
        <v>4</v>
      </c>
      <c r="G111" t="s">
        <v>73</v>
      </c>
      <c r="J111">
        <v>24</v>
      </c>
      <c r="K111">
        <v>24</v>
      </c>
      <c r="L111">
        <v>24</v>
      </c>
      <c r="M111">
        <v>24</v>
      </c>
      <c r="N111">
        <v>24</v>
      </c>
      <c r="O111">
        <v>24</v>
      </c>
      <c r="P111">
        <v>24</v>
      </c>
      <c r="Q111">
        <v>24</v>
      </c>
      <c r="R111">
        <v>24</v>
      </c>
      <c r="S111">
        <v>24</v>
      </c>
      <c r="T111">
        <v>24</v>
      </c>
      <c r="U111">
        <v>24</v>
      </c>
      <c r="V111">
        <v>24</v>
      </c>
      <c r="W111">
        <v>24</v>
      </c>
      <c r="X111">
        <v>24</v>
      </c>
      <c r="Y111">
        <v>24</v>
      </c>
      <c r="Z111">
        <v>24</v>
      </c>
      <c r="AA111">
        <v>24</v>
      </c>
      <c r="AB111">
        <v>24</v>
      </c>
      <c r="AC111">
        <v>24</v>
      </c>
      <c r="AD111">
        <v>24</v>
      </c>
      <c r="AE111">
        <v>24</v>
      </c>
      <c r="AF111">
        <v>24</v>
      </c>
      <c r="AG111">
        <v>24</v>
      </c>
    </row>
    <row r="112" spans="1:33">
      <c r="E112" t="str">
        <v>Client 2</v>
      </c>
      <c r="F112">
        <v>5</v>
      </c>
      <c r="G112" t="s">
        <v>73</v>
      </c>
      <c r="J112">
        <v>16</v>
      </c>
      <c r="K112">
        <v>16</v>
      </c>
      <c r="L112">
        <v>16</v>
      </c>
      <c r="M112">
        <v>16</v>
      </c>
      <c r="N112">
        <v>16</v>
      </c>
      <c r="O112">
        <v>16</v>
      </c>
      <c r="P112">
        <v>16</v>
      </c>
      <c r="Q112">
        <v>16</v>
      </c>
      <c r="R112">
        <v>16</v>
      </c>
      <c r="S112">
        <v>16</v>
      </c>
      <c r="T112">
        <v>16</v>
      </c>
      <c r="U112">
        <v>16</v>
      </c>
      <c r="V112">
        <v>17</v>
      </c>
      <c r="W112">
        <v>17</v>
      </c>
      <c r="X112">
        <v>17</v>
      </c>
      <c r="Y112">
        <v>17</v>
      </c>
      <c r="Z112">
        <v>17</v>
      </c>
      <c r="AA112">
        <v>17</v>
      </c>
      <c r="AB112">
        <v>17</v>
      </c>
      <c r="AC112">
        <v>17</v>
      </c>
      <c r="AD112">
        <v>17</v>
      </c>
      <c r="AE112">
        <v>17</v>
      </c>
      <c r="AF112">
        <v>17</v>
      </c>
      <c r="AG112">
        <v>17</v>
      </c>
    </row>
    <row r="113" spans="5:33">
      <c r="E113" t="str">
        <v>Client 3</v>
      </c>
      <c r="F113">
        <v>1</v>
      </c>
      <c r="G113" t="s">
        <v>73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</row>
    <row r="114" spans="5:33">
      <c r="E114" t="str">
        <v>Client 3</v>
      </c>
      <c r="F114">
        <v>2</v>
      </c>
      <c r="G114" t="s">
        <v>73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</row>
    <row r="115" spans="5:33">
      <c r="E115" t="str">
        <v>Client 3</v>
      </c>
      <c r="F115">
        <v>3</v>
      </c>
      <c r="G115" t="s">
        <v>73</v>
      </c>
      <c r="J115">
        <v>8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  <c r="U115">
        <v>8</v>
      </c>
      <c r="V115">
        <v>8</v>
      </c>
      <c r="W115">
        <v>8</v>
      </c>
      <c r="X115">
        <v>8</v>
      </c>
      <c r="Y115">
        <v>8</v>
      </c>
      <c r="Z115">
        <v>8</v>
      </c>
      <c r="AA115">
        <v>8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8</v>
      </c>
    </row>
    <row r="116" spans="5:33">
      <c r="E116" t="str">
        <v>Client 3</v>
      </c>
      <c r="F116">
        <v>4</v>
      </c>
      <c r="G116" t="s">
        <v>73</v>
      </c>
      <c r="J116">
        <v>22</v>
      </c>
      <c r="K116">
        <v>22</v>
      </c>
      <c r="L116">
        <v>22</v>
      </c>
      <c r="M116">
        <v>22</v>
      </c>
      <c r="N116">
        <v>22</v>
      </c>
      <c r="O116">
        <v>22</v>
      </c>
      <c r="P116">
        <v>22</v>
      </c>
      <c r="Q116">
        <v>22</v>
      </c>
      <c r="R116">
        <v>22</v>
      </c>
      <c r="S116">
        <v>22</v>
      </c>
      <c r="T116">
        <v>22</v>
      </c>
      <c r="U116">
        <v>22</v>
      </c>
      <c r="V116">
        <v>23</v>
      </c>
      <c r="W116">
        <v>23</v>
      </c>
      <c r="X116">
        <v>23</v>
      </c>
      <c r="Y116">
        <v>23</v>
      </c>
      <c r="Z116">
        <v>23</v>
      </c>
      <c r="AA116">
        <v>23</v>
      </c>
      <c r="AB116">
        <v>23</v>
      </c>
      <c r="AC116">
        <v>23</v>
      </c>
      <c r="AD116">
        <v>23</v>
      </c>
      <c r="AE116">
        <v>23</v>
      </c>
      <c r="AF116">
        <v>23</v>
      </c>
      <c r="AG116">
        <v>23</v>
      </c>
    </row>
    <row r="117" spans="5:33">
      <c r="E117" t="str">
        <v>Client 3</v>
      </c>
      <c r="F117">
        <v>5</v>
      </c>
      <c r="G117" t="s">
        <v>73</v>
      </c>
      <c r="J117">
        <v>9</v>
      </c>
      <c r="K117">
        <v>9</v>
      </c>
      <c r="L117">
        <v>9</v>
      </c>
      <c r="M117">
        <v>9</v>
      </c>
      <c r="N117">
        <v>9</v>
      </c>
      <c r="O117">
        <v>9</v>
      </c>
      <c r="P117">
        <v>9</v>
      </c>
      <c r="Q117">
        <v>9</v>
      </c>
      <c r="R117">
        <v>9</v>
      </c>
      <c r="S117">
        <v>9</v>
      </c>
      <c r="T117">
        <v>9</v>
      </c>
      <c r="U117">
        <v>9</v>
      </c>
      <c r="V117">
        <v>9</v>
      </c>
      <c r="W117">
        <v>9</v>
      </c>
      <c r="X117">
        <v>9</v>
      </c>
      <c r="Y117">
        <v>9</v>
      </c>
      <c r="Z117">
        <v>9</v>
      </c>
      <c r="AA117">
        <v>9</v>
      </c>
      <c r="AB117">
        <v>9</v>
      </c>
      <c r="AC117">
        <v>9</v>
      </c>
      <c r="AD117">
        <v>9</v>
      </c>
      <c r="AE117">
        <v>9</v>
      </c>
      <c r="AF117">
        <v>9</v>
      </c>
      <c r="AG117">
        <v>9</v>
      </c>
    </row>
    <row r="118" spans="5:33">
      <c r="E118" t="str">
        <v>Client 4</v>
      </c>
      <c r="F118">
        <v>1</v>
      </c>
      <c r="G118" t="s">
        <v>73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5:33">
      <c r="E119" t="str">
        <v>Client 4</v>
      </c>
      <c r="F119">
        <v>2</v>
      </c>
      <c r="G119" t="s">
        <v>73</v>
      </c>
      <c r="J119">
        <v>6</v>
      </c>
      <c r="K119">
        <v>6</v>
      </c>
      <c r="L119">
        <v>6</v>
      </c>
      <c r="M119">
        <v>6</v>
      </c>
      <c r="N119">
        <v>6</v>
      </c>
      <c r="O119">
        <v>6</v>
      </c>
      <c r="P119">
        <v>6</v>
      </c>
      <c r="Q119">
        <v>6</v>
      </c>
      <c r="R119">
        <v>6</v>
      </c>
      <c r="S119">
        <v>6</v>
      </c>
      <c r="T119">
        <v>6</v>
      </c>
      <c r="U119">
        <v>6</v>
      </c>
      <c r="V119">
        <v>6</v>
      </c>
      <c r="W119">
        <v>6</v>
      </c>
      <c r="X119">
        <v>6</v>
      </c>
      <c r="Y119">
        <v>6</v>
      </c>
      <c r="Z119">
        <v>6</v>
      </c>
      <c r="AA119">
        <v>6</v>
      </c>
      <c r="AB119">
        <v>6</v>
      </c>
      <c r="AC119">
        <v>6</v>
      </c>
      <c r="AD119">
        <v>6</v>
      </c>
      <c r="AE119">
        <v>6</v>
      </c>
      <c r="AF119">
        <v>6</v>
      </c>
      <c r="AG119">
        <v>6</v>
      </c>
    </row>
    <row r="120" spans="5:33">
      <c r="E120" t="str">
        <v>Client 4</v>
      </c>
      <c r="F120">
        <v>3</v>
      </c>
      <c r="G120" t="s">
        <v>73</v>
      </c>
      <c r="J120">
        <v>14</v>
      </c>
      <c r="K120">
        <v>14</v>
      </c>
      <c r="L120">
        <v>14</v>
      </c>
      <c r="M120">
        <v>14</v>
      </c>
      <c r="N120">
        <v>14</v>
      </c>
      <c r="O120">
        <v>14</v>
      </c>
      <c r="P120">
        <v>14</v>
      </c>
      <c r="Q120">
        <v>14</v>
      </c>
      <c r="R120">
        <v>14</v>
      </c>
      <c r="S120">
        <v>14</v>
      </c>
      <c r="T120">
        <v>14</v>
      </c>
      <c r="U120">
        <v>14</v>
      </c>
      <c r="V120">
        <v>14</v>
      </c>
      <c r="W120">
        <v>14</v>
      </c>
      <c r="X120">
        <v>14</v>
      </c>
      <c r="Y120">
        <v>14</v>
      </c>
      <c r="Z120">
        <v>14</v>
      </c>
      <c r="AA120">
        <v>14</v>
      </c>
      <c r="AB120">
        <v>14</v>
      </c>
      <c r="AC120">
        <v>14</v>
      </c>
      <c r="AD120">
        <v>14</v>
      </c>
      <c r="AE120">
        <v>14</v>
      </c>
      <c r="AF120">
        <v>14</v>
      </c>
      <c r="AG120">
        <v>14</v>
      </c>
    </row>
    <row r="121" spans="5:33">
      <c r="E121" t="str">
        <v>Client 4</v>
      </c>
      <c r="F121">
        <v>4</v>
      </c>
      <c r="G121" t="s">
        <v>73</v>
      </c>
      <c r="J121">
        <v>21</v>
      </c>
      <c r="K121">
        <v>21</v>
      </c>
      <c r="L121">
        <v>21</v>
      </c>
      <c r="M121">
        <v>21</v>
      </c>
      <c r="N121">
        <v>21</v>
      </c>
      <c r="O121">
        <v>21</v>
      </c>
      <c r="P121">
        <v>21</v>
      </c>
      <c r="Q121">
        <v>21</v>
      </c>
      <c r="R121">
        <v>21</v>
      </c>
      <c r="S121">
        <v>21</v>
      </c>
      <c r="T121">
        <v>21</v>
      </c>
      <c r="U121">
        <v>21</v>
      </c>
      <c r="V121">
        <v>21</v>
      </c>
      <c r="W121">
        <v>21</v>
      </c>
      <c r="X121">
        <v>21</v>
      </c>
      <c r="Y121">
        <v>21</v>
      </c>
      <c r="Z121">
        <v>21</v>
      </c>
      <c r="AA121">
        <v>21</v>
      </c>
      <c r="AB121">
        <v>21</v>
      </c>
      <c r="AC121">
        <v>21</v>
      </c>
      <c r="AD121">
        <v>21</v>
      </c>
      <c r="AE121">
        <v>21</v>
      </c>
      <c r="AF121">
        <v>21</v>
      </c>
      <c r="AG121">
        <v>21</v>
      </c>
    </row>
    <row r="122" spans="5:33">
      <c r="E122" t="str">
        <v>Client 4</v>
      </c>
      <c r="F122">
        <v>5</v>
      </c>
      <c r="G122" t="s">
        <v>73</v>
      </c>
      <c r="J122">
        <v>16</v>
      </c>
      <c r="K122">
        <v>16</v>
      </c>
      <c r="L122">
        <v>16</v>
      </c>
      <c r="M122">
        <v>16</v>
      </c>
      <c r="N122">
        <v>16</v>
      </c>
      <c r="O122">
        <v>16</v>
      </c>
      <c r="P122">
        <v>16</v>
      </c>
      <c r="Q122">
        <v>16</v>
      </c>
      <c r="R122">
        <v>16</v>
      </c>
      <c r="S122">
        <v>16</v>
      </c>
      <c r="T122">
        <v>16</v>
      </c>
      <c r="U122">
        <v>16</v>
      </c>
      <c r="V122">
        <v>15</v>
      </c>
      <c r="W122">
        <v>15</v>
      </c>
      <c r="X122">
        <v>15</v>
      </c>
      <c r="Y122">
        <v>15</v>
      </c>
      <c r="Z122">
        <v>15</v>
      </c>
      <c r="AA122">
        <v>15</v>
      </c>
      <c r="AB122">
        <v>15</v>
      </c>
      <c r="AC122">
        <v>15</v>
      </c>
      <c r="AD122">
        <v>15</v>
      </c>
      <c r="AE122">
        <v>15</v>
      </c>
      <c r="AF122">
        <v>15</v>
      </c>
      <c r="AG122">
        <v>15</v>
      </c>
    </row>
    <row r="123" spans="5:33">
      <c r="E123" t="str">
        <v>Client 5</v>
      </c>
      <c r="F123">
        <v>1</v>
      </c>
      <c r="G123" t="s">
        <v>73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</row>
    <row r="124" spans="5:33">
      <c r="E124" t="str">
        <v>Client 5</v>
      </c>
      <c r="F124">
        <v>2</v>
      </c>
      <c r="G124" t="s">
        <v>73</v>
      </c>
      <c r="J124">
        <v>18</v>
      </c>
      <c r="K124">
        <v>18</v>
      </c>
      <c r="L124">
        <v>18</v>
      </c>
      <c r="M124">
        <v>18</v>
      </c>
      <c r="N124">
        <v>18</v>
      </c>
      <c r="O124">
        <v>18</v>
      </c>
      <c r="P124">
        <v>18</v>
      </c>
      <c r="Q124">
        <v>18</v>
      </c>
      <c r="R124">
        <v>18</v>
      </c>
      <c r="S124">
        <v>18</v>
      </c>
      <c r="T124">
        <v>18</v>
      </c>
      <c r="U124">
        <v>18</v>
      </c>
      <c r="V124">
        <v>18</v>
      </c>
      <c r="W124">
        <v>18</v>
      </c>
      <c r="X124">
        <v>18</v>
      </c>
      <c r="Y124">
        <v>18</v>
      </c>
      <c r="Z124">
        <v>18</v>
      </c>
      <c r="AA124">
        <v>18</v>
      </c>
      <c r="AB124">
        <v>18</v>
      </c>
      <c r="AC124">
        <v>18</v>
      </c>
      <c r="AD124">
        <v>18</v>
      </c>
      <c r="AE124">
        <v>18</v>
      </c>
      <c r="AF124">
        <v>18</v>
      </c>
      <c r="AG124">
        <v>18</v>
      </c>
    </row>
    <row r="125" spans="5:33">
      <c r="E125" t="str">
        <v>Client 5</v>
      </c>
      <c r="F125">
        <v>3</v>
      </c>
      <c r="G125" t="s">
        <v>73</v>
      </c>
      <c r="J125">
        <v>15</v>
      </c>
      <c r="K125">
        <v>15</v>
      </c>
      <c r="L125">
        <v>15</v>
      </c>
      <c r="M125">
        <v>15</v>
      </c>
      <c r="N125">
        <v>15</v>
      </c>
      <c r="O125">
        <v>15</v>
      </c>
      <c r="P125">
        <v>15</v>
      </c>
      <c r="Q125">
        <v>15</v>
      </c>
      <c r="R125">
        <v>15</v>
      </c>
      <c r="S125">
        <v>15</v>
      </c>
      <c r="T125">
        <v>15</v>
      </c>
      <c r="U125">
        <v>15</v>
      </c>
      <c r="V125">
        <v>16</v>
      </c>
      <c r="W125">
        <v>16</v>
      </c>
      <c r="X125">
        <v>16</v>
      </c>
      <c r="Y125">
        <v>16</v>
      </c>
      <c r="Z125">
        <v>16</v>
      </c>
      <c r="AA125">
        <v>16</v>
      </c>
      <c r="AB125">
        <v>16</v>
      </c>
      <c r="AC125">
        <v>16</v>
      </c>
      <c r="AD125">
        <v>16</v>
      </c>
      <c r="AE125">
        <v>16</v>
      </c>
      <c r="AF125">
        <v>16</v>
      </c>
      <c r="AG125">
        <v>16</v>
      </c>
    </row>
    <row r="126" spans="5:33">
      <c r="E126" t="str">
        <v>Client 5</v>
      </c>
      <c r="F126">
        <v>4</v>
      </c>
      <c r="G126" t="s">
        <v>73</v>
      </c>
      <c r="J126">
        <v>25</v>
      </c>
      <c r="K126">
        <v>25</v>
      </c>
      <c r="L126">
        <v>25</v>
      </c>
      <c r="M126">
        <v>25</v>
      </c>
      <c r="N126">
        <v>25</v>
      </c>
      <c r="O126">
        <v>25</v>
      </c>
      <c r="P126">
        <v>25</v>
      </c>
      <c r="Q126">
        <v>25</v>
      </c>
      <c r="R126">
        <v>25</v>
      </c>
      <c r="S126">
        <v>25</v>
      </c>
      <c r="T126">
        <v>25</v>
      </c>
      <c r="U126">
        <v>25</v>
      </c>
      <c r="V126">
        <v>25</v>
      </c>
      <c r="W126">
        <v>25</v>
      </c>
      <c r="X126">
        <v>25</v>
      </c>
      <c r="Y126">
        <v>25</v>
      </c>
      <c r="Z126">
        <v>25</v>
      </c>
      <c r="AA126">
        <v>25</v>
      </c>
      <c r="AB126">
        <v>25</v>
      </c>
      <c r="AC126">
        <v>25</v>
      </c>
      <c r="AD126">
        <v>25</v>
      </c>
      <c r="AE126">
        <v>25</v>
      </c>
      <c r="AF126">
        <v>25</v>
      </c>
      <c r="AG126">
        <v>25</v>
      </c>
    </row>
    <row r="127" spans="5:33">
      <c r="E127" t="str">
        <v>Client 5</v>
      </c>
      <c r="F127">
        <v>5</v>
      </c>
      <c r="G127" t="s">
        <v>73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  <c r="V127">
        <v>20</v>
      </c>
      <c r="W127">
        <v>20</v>
      </c>
      <c r="X127">
        <v>20</v>
      </c>
      <c r="Y127">
        <v>20</v>
      </c>
      <c r="Z127">
        <v>20</v>
      </c>
      <c r="AA127">
        <v>20</v>
      </c>
      <c r="AB127">
        <v>20</v>
      </c>
      <c r="AC127">
        <v>20</v>
      </c>
      <c r="AD127">
        <v>20</v>
      </c>
      <c r="AE127">
        <v>20</v>
      </c>
      <c r="AF127">
        <v>20</v>
      </c>
      <c r="AG127">
        <v>20</v>
      </c>
    </row>
    <row r="130" spans="1:33" s="87" customFormat="1">
      <c r="A130" s="88" t="s">
        <v>53</v>
      </c>
    </row>
    <row r="132" spans="1:33">
      <c r="E132" s="103" t="s">
        <v>16</v>
      </c>
      <c r="F132" s="103" t="s">
        <v>17</v>
      </c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</row>
    <row r="133" spans="1:33">
      <c r="E133" t="str" cm="1">
        <f t="array" ref="E133:F158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133" t="str">
        <v/>
      </c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</row>
    <row r="134" spans="1:33">
      <c r="E134" t="str">
        <v>Client 1</v>
      </c>
      <c r="F134">
        <v>1</v>
      </c>
      <c r="G134" t="s">
        <v>22</v>
      </c>
      <c r="H134" cm="1">
        <f t="array" ref="H134:H158">_xlfn.BYROW( _xlfn.HSTACK(_xlfn.ANCHORARRAY( J134),_xlfn.ANCHORARRAY( V134) ), _xleta.SUM )</f>
        <v>184300.75999999998</v>
      </c>
      <c r="J134" s="106" cm="1">
        <f t="array" ref="J134:U158" xml:space="preserve"> _xlfn.LET(
       _xlpm.historicals, CaseData!$B$8:$G$307,
       _xlpm.month,       INDEX(_xlpm.historicals,,1),
       _xlpm.client,      INDEX(_xlpm.historicals,,2),
       _xlpm.product,     INDEX(_xlpm.historicals,,3),
       _xlpm.volume,      INDEX(_xlpm.historicals,,4),
       _xlpm.price,       INDEX(_xlpm.historicals,,5),
       _xlfn.DROP( _xlfn.DROP( _xlfn.DROP( _xlfn.PIVOTBY( _xlfn.HSTACK( _xlpm.client, _xlpm.product ), _xlpm.month, _xlpm.volume, _xleta.SUM,,0 ),,2 ),, -1 ), 1) )</f>
        <v>10438</v>
      </c>
      <c r="K134" s="106">
        <v>4960</v>
      </c>
      <c r="L134" s="106">
        <v>4960</v>
      </c>
      <c r="M134" s="106">
        <v>5920</v>
      </c>
      <c r="N134" s="106">
        <v>4400</v>
      </c>
      <c r="O134" s="106">
        <v>5120</v>
      </c>
      <c r="P134" s="106">
        <v>5680</v>
      </c>
      <c r="Q134" s="106">
        <v>11920</v>
      </c>
      <c r="R134" s="106">
        <v>10880</v>
      </c>
      <c r="S134" s="106">
        <v>4560</v>
      </c>
      <c r="T134" s="106">
        <v>10560</v>
      </c>
      <c r="U134" s="106">
        <v>11840</v>
      </c>
      <c r="V134" s="118" cm="1">
        <f t="array" ref="V134:AG158" xml:space="preserve"> _xlfn.LET(
       _xlpm.historicals, CaseData!$B$8:$G$307,
       _xlpm.month,       INDEX(_xlpm.historicals,,1),
       _xlpm.client,      "Client " &amp; INDEX(_xlpm.historicals,,2),
       _xlpm.product,     INDEX(_xlpm.historicals,,3),
       _xlpm.volume,      INDEX(_xlpm.historicals,,4),
       _xlpm.price,       INDEX(_xlpm.historicals,,5),
       _xlpm.last_actual, _xlfn.DROP( _xlfn.DROP( _xlfn.DROP( _xlfn.PIVOTBY( _xlfn.HSTACK( _xlpm.client, _xlpm.product ), _xlpm.month, _xlpm.volume, _xleta.SUM,,0 ),,2 ),, -1 ), 1),
       _xlpm.current_client, _xlfn.DROP( INDEX(_xlfn.ANCHORARRAY( E133),, 1 ), 1 ),
       _xlpm.growth_table, CaseData!$I$8:$K$12,
       _xlpm.growth_rows, INDEX( _xlpm.growth_table,, 1 ),
       _xlpm.growth_rate, INDEX( _xlpm.growth_table, MATCH( _xlpm.current_client, _xlpm.growth_rows, 0 ), 2 ),
       _xlpm.last_actual * ( 1 + _xlpm.growth_rate ) )</f>
        <v>10646.76</v>
      </c>
      <c r="W134" s="105">
        <v>5059.2</v>
      </c>
      <c r="X134" s="105">
        <v>5059.2</v>
      </c>
      <c r="Y134" s="105">
        <v>6038.4000000000005</v>
      </c>
      <c r="Z134" s="105">
        <v>4488</v>
      </c>
      <c r="AA134" s="105">
        <v>5222.3999999999996</v>
      </c>
      <c r="AB134" s="105">
        <v>5793.6</v>
      </c>
      <c r="AC134" s="105">
        <v>12158.4</v>
      </c>
      <c r="AD134" s="105">
        <v>11097.6</v>
      </c>
      <c r="AE134" s="105">
        <v>4651.2</v>
      </c>
      <c r="AF134" s="105">
        <v>10771.2</v>
      </c>
      <c r="AG134" s="105">
        <v>12076.800000000001</v>
      </c>
    </row>
    <row r="135" spans="1:33">
      <c r="E135" t="str">
        <v>Client 1</v>
      </c>
      <c r="F135">
        <v>2</v>
      </c>
      <c r="G135" t="s">
        <v>22</v>
      </c>
      <c r="H135">
        <v>23553.200000000004</v>
      </c>
      <c r="J135" s="106">
        <v>516</v>
      </c>
      <c r="K135" s="106">
        <v>1222</v>
      </c>
      <c r="L135" s="106">
        <v>1110</v>
      </c>
      <c r="M135" s="106">
        <v>1084</v>
      </c>
      <c r="N135" s="106">
        <v>1264</v>
      </c>
      <c r="O135" s="106">
        <v>606</v>
      </c>
      <c r="P135" s="106">
        <v>930</v>
      </c>
      <c r="Q135" s="106">
        <v>760</v>
      </c>
      <c r="R135" s="106">
        <v>1162</v>
      </c>
      <c r="S135" s="106">
        <v>1212</v>
      </c>
      <c r="T135" s="106">
        <v>1076</v>
      </c>
      <c r="U135" s="106">
        <v>718</v>
      </c>
      <c r="V135" s="105">
        <v>526.32000000000005</v>
      </c>
      <c r="W135" s="105">
        <v>1246.44</v>
      </c>
      <c r="X135" s="105">
        <v>1132.2</v>
      </c>
      <c r="Y135" s="105">
        <v>1105.68</v>
      </c>
      <c r="Z135" s="105">
        <v>1289.28</v>
      </c>
      <c r="AA135" s="105">
        <v>618.12</v>
      </c>
      <c r="AB135" s="105">
        <v>948.6</v>
      </c>
      <c r="AC135" s="105">
        <v>775.2</v>
      </c>
      <c r="AD135" s="105">
        <v>1185.24</v>
      </c>
      <c r="AE135" s="105">
        <v>1236.24</v>
      </c>
      <c r="AF135" s="105">
        <v>1097.52</v>
      </c>
      <c r="AG135" s="105">
        <v>732.36</v>
      </c>
    </row>
    <row r="136" spans="1:33">
      <c r="E136" t="str">
        <v>Client 1</v>
      </c>
      <c r="F136">
        <v>3</v>
      </c>
      <c r="G136" t="s">
        <v>22</v>
      </c>
      <c r="H136">
        <v>527862.36</v>
      </c>
      <c r="J136" s="106">
        <v>24860</v>
      </c>
      <c r="K136" s="106">
        <v>28698</v>
      </c>
      <c r="L136" s="106">
        <v>17784</v>
      </c>
      <c r="M136" s="106">
        <v>11722</v>
      </c>
      <c r="N136" s="106">
        <v>30112</v>
      </c>
      <c r="O136" s="106">
        <v>23444</v>
      </c>
      <c r="P136" s="106">
        <v>10712</v>
      </c>
      <c r="Q136" s="106">
        <v>19200</v>
      </c>
      <c r="R136" s="106">
        <v>24858</v>
      </c>
      <c r="S136" s="106">
        <v>26274</v>
      </c>
      <c r="T136" s="106">
        <v>27688</v>
      </c>
      <c r="U136" s="106">
        <v>15966</v>
      </c>
      <c r="V136" s="105">
        <v>25357.200000000001</v>
      </c>
      <c r="W136" s="105">
        <v>29271.96</v>
      </c>
      <c r="X136" s="105">
        <v>18139.68</v>
      </c>
      <c r="Y136" s="105">
        <v>11956.44</v>
      </c>
      <c r="Z136" s="105">
        <v>30714.240000000002</v>
      </c>
      <c r="AA136" s="105">
        <v>23912.880000000001</v>
      </c>
      <c r="AB136" s="105">
        <v>10926.24</v>
      </c>
      <c r="AC136" s="105">
        <v>19584</v>
      </c>
      <c r="AD136" s="105">
        <v>25355.16</v>
      </c>
      <c r="AE136" s="105">
        <v>26799.48</v>
      </c>
      <c r="AF136" s="105">
        <v>28241.760000000002</v>
      </c>
      <c r="AG136" s="105">
        <v>16285.32</v>
      </c>
    </row>
    <row r="137" spans="1:33">
      <c r="E137" t="str">
        <v>Client 1</v>
      </c>
      <c r="F137">
        <v>4</v>
      </c>
      <c r="G137" t="s">
        <v>22</v>
      </c>
      <c r="H137">
        <v>624030.52000000014</v>
      </c>
      <c r="J137" s="106">
        <v>17812</v>
      </c>
      <c r="K137" s="106">
        <v>28146</v>
      </c>
      <c r="L137" s="106">
        <v>37804</v>
      </c>
      <c r="M137" s="106">
        <v>15728</v>
      </c>
      <c r="N137" s="106">
        <v>25386</v>
      </c>
      <c r="O137" s="106">
        <v>21248</v>
      </c>
      <c r="P137" s="106">
        <v>32560</v>
      </c>
      <c r="Q137" s="106">
        <v>25662</v>
      </c>
      <c r="R137" s="106">
        <v>23178</v>
      </c>
      <c r="S137" s="106">
        <v>31734</v>
      </c>
      <c r="T137" s="106">
        <v>14900</v>
      </c>
      <c r="U137" s="106">
        <v>34768</v>
      </c>
      <c r="V137" s="105">
        <v>18168.240000000002</v>
      </c>
      <c r="W137" s="105">
        <v>28708.920000000002</v>
      </c>
      <c r="X137" s="105">
        <v>38560.080000000002</v>
      </c>
      <c r="Y137" s="105">
        <v>16042.56</v>
      </c>
      <c r="Z137" s="105">
        <v>25893.72</v>
      </c>
      <c r="AA137" s="105">
        <v>21672.959999999999</v>
      </c>
      <c r="AB137" s="105">
        <v>33211.199999999997</v>
      </c>
      <c r="AC137" s="105">
        <v>26175.24</v>
      </c>
      <c r="AD137" s="105">
        <v>23641.56</v>
      </c>
      <c r="AE137" s="105">
        <v>32368.68</v>
      </c>
      <c r="AF137" s="105">
        <v>15198</v>
      </c>
      <c r="AG137" s="105">
        <v>35463.360000000001</v>
      </c>
    </row>
    <row r="138" spans="1:33">
      <c r="E138" t="str">
        <v>Client 1</v>
      </c>
      <c r="F138">
        <v>5</v>
      </c>
      <c r="G138" t="s">
        <v>22</v>
      </c>
      <c r="H138">
        <v>298398.44000000006</v>
      </c>
      <c r="J138" s="106">
        <v>8018</v>
      </c>
      <c r="K138" s="106">
        <v>19306</v>
      </c>
      <c r="L138" s="106">
        <v>14088</v>
      </c>
      <c r="M138" s="106">
        <v>19436</v>
      </c>
      <c r="N138" s="106">
        <v>8478</v>
      </c>
      <c r="O138" s="106">
        <v>13566</v>
      </c>
      <c r="P138" s="106">
        <v>11088</v>
      </c>
      <c r="Q138" s="106">
        <v>9000</v>
      </c>
      <c r="R138" s="106">
        <v>10826</v>
      </c>
      <c r="S138" s="106">
        <v>6914</v>
      </c>
      <c r="T138" s="106">
        <v>12914</v>
      </c>
      <c r="U138" s="106">
        <v>14088</v>
      </c>
      <c r="V138" s="105">
        <v>8178.3600000000006</v>
      </c>
      <c r="W138" s="105">
        <v>19692.12</v>
      </c>
      <c r="X138" s="105">
        <v>14369.76</v>
      </c>
      <c r="Y138" s="105">
        <v>19824.72</v>
      </c>
      <c r="Z138" s="105">
        <v>8647.56</v>
      </c>
      <c r="AA138" s="105">
        <v>13837.32</v>
      </c>
      <c r="AB138" s="105">
        <v>11309.76</v>
      </c>
      <c r="AC138" s="105">
        <v>9180</v>
      </c>
      <c r="AD138" s="105">
        <v>11042.52</v>
      </c>
      <c r="AE138" s="105">
        <v>7052.28</v>
      </c>
      <c r="AF138" s="105">
        <v>13172.28</v>
      </c>
      <c r="AG138" s="105">
        <v>14369.76</v>
      </c>
    </row>
    <row r="139" spans="1:33">
      <c r="E139" t="str">
        <v>Client 2</v>
      </c>
      <c r="F139">
        <v>1</v>
      </c>
      <c r="G139" t="s">
        <v>22</v>
      </c>
      <c r="H139">
        <v>70620.72</v>
      </c>
      <c r="J139" s="106">
        <v>1814</v>
      </c>
      <c r="K139" s="106">
        <v>2570</v>
      </c>
      <c r="L139" s="106">
        <v>3470</v>
      </c>
      <c r="M139" s="106">
        <v>3098</v>
      </c>
      <c r="N139" s="106">
        <v>4336</v>
      </c>
      <c r="O139" s="106">
        <v>3066</v>
      </c>
      <c r="P139" s="106">
        <v>1642</v>
      </c>
      <c r="Q139" s="106">
        <v>4368</v>
      </c>
      <c r="R139" s="106">
        <v>1580</v>
      </c>
      <c r="S139" s="106">
        <v>2540</v>
      </c>
      <c r="T139" s="106">
        <v>4306</v>
      </c>
      <c r="U139" s="106">
        <v>1828</v>
      </c>
      <c r="V139" s="105">
        <v>1886.5600000000002</v>
      </c>
      <c r="W139" s="105">
        <v>2672.8</v>
      </c>
      <c r="X139" s="105">
        <v>3608.8</v>
      </c>
      <c r="Y139" s="105">
        <v>3221.92</v>
      </c>
      <c r="Z139" s="105">
        <v>4509.4400000000005</v>
      </c>
      <c r="AA139" s="105">
        <v>3188.6400000000003</v>
      </c>
      <c r="AB139" s="105">
        <v>1707.68</v>
      </c>
      <c r="AC139" s="105">
        <v>4542.72</v>
      </c>
      <c r="AD139" s="105">
        <v>1643.2</v>
      </c>
      <c r="AE139" s="105">
        <v>2641.6</v>
      </c>
      <c r="AF139" s="105">
        <v>4478.24</v>
      </c>
      <c r="AG139" s="105">
        <v>1901.1200000000001</v>
      </c>
    </row>
    <row r="140" spans="1:33">
      <c r="E140" t="str">
        <v>Client 2</v>
      </c>
      <c r="F140">
        <v>2</v>
      </c>
      <c r="G140" t="s">
        <v>22</v>
      </c>
      <c r="H140">
        <v>40950.960000000006</v>
      </c>
      <c r="J140" s="106">
        <v>1994</v>
      </c>
      <c r="K140" s="106">
        <v>1480</v>
      </c>
      <c r="L140" s="106">
        <v>1080</v>
      </c>
      <c r="M140" s="106">
        <v>1376</v>
      </c>
      <c r="N140" s="106">
        <v>1080</v>
      </c>
      <c r="O140" s="106">
        <v>2544</v>
      </c>
      <c r="P140" s="106">
        <v>1550</v>
      </c>
      <c r="Q140" s="106">
        <v>2352</v>
      </c>
      <c r="R140" s="106">
        <v>1672</v>
      </c>
      <c r="S140" s="106">
        <v>2194</v>
      </c>
      <c r="T140" s="106">
        <v>1220</v>
      </c>
      <c r="U140" s="106">
        <v>1532</v>
      </c>
      <c r="V140" s="105">
        <v>2073.7600000000002</v>
      </c>
      <c r="W140" s="105">
        <v>1539.2</v>
      </c>
      <c r="X140" s="105">
        <v>1123.2</v>
      </c>
      <c r="Y140" s="105">
        <v>1431.04</v>
      </c>
      <c r="Z140" s="105">
        <v>1123.2</v>
      </c>
      <c r="AA140" s="105">
        <v>2645.76</v>
      </c>
      <c r="AB140" s="105">
        <v>1612</v>
      </c>
      <c r="AC140" s="105">
        <v>2446.08</v>
      </c>
      <c r="AD140" s="105">
        <v>1738.88</v>
      </c>
      <c r="AE140" s="105">
        <v>2281.7600000000002</v>
      </c>
      <c r="AF140" s="105">
        <v>1268.8</v>
      </c>
      <c r="AG140" s="105">
        <v>1593.28</v>
      </c>
    </row>
    <row r="141" spans="1:33">
      <c r="E141" t="str">
        <v>Client 2</v>
      </c>
      <c r="F141">
        <v>3</v>
      </c>
      <c r="G141" t="s">
        <v>22</v>
      </c>
      <c r="H141">
        <v>767896.8</v>
      </c>
      <c r="J141" s="106">
        <v>32108</v>
      </c>
      <c r="K141" s="106">
        <v>37392</v>
      </c>
      <c r="L141" s="106">
        <v>20342</v>
      </c>
      <c r="M141" s="106">
        <v>42778</v>
      </c>
      <c r="N141" s="106">
        <v>22136</v>
      </c>
      <c r="O141" s="106">
        <v>24230</v>
      </c>
      <c r="P141" s="106">
        <v>24828</v>
      </c>
      <c r="Q141" s="106">
        <v>36496</v>
      </c>
      <c r="R141" s="106">
        <v>21838</v>
      </c>
      <c r="S141" s="106">
        <v>33204</v>
      </c>
      <c r="T141" s="106">
        <v>41282</v>
      </c>
      <c r="U141" s="106">
        <v>39786</v>
      </c>
      <c r="V141" s="105">
        <v>33392.32</v>
      </c>
      <c r="W141" s="105">
        <v>38887.68</v>
      </c>
      <c r="X141" s="105">
        <v>21155.68</v>
      </c>
      <c r="Y141" s="105">
        <v>44489.120000000003</v>
      </c>
      <c r="Z141" s="105">
        <v>23021.440000000002</v>
      </c>
      <c r="AA141" s="105">
        <v>25199.200000000001</v>
      </c>
      <c r="AB141" s="105">
        <v>25821.120000000003</v>
      </c>
      <c r="AC141" s="105">
        <v>37955.840000000004</v>
      </c>
      <c r="AD141" s="105">
        <v>22711.52</v>
      </c>
      <c r="AE141" s="105">
        <v>34532.160000000003</v>
      </c>
      <c r="AF141" s="105">
        <v>42933.279999999999</v>
      </c>
      <c r="AG141" s="105">
        <v>41377.440000000002</v>
      </c>
    </row>
    <row r="142" spans="1:33">
      <c r="E142" t="str">
        <v>Client 2</v>
      </c>
      <c r="F142">
        <v>4</v>
      </c>
      <c r="G142" t="s">
        <v>22</v>
      </c>
      <c r="H142">
        <v>366408.48</v>
      </c>
      <c r="J142" s="106">
        <v>11892</v>
      </c>
      <c r="K142" s="106">
        <v>11464</v>
      </c>
      <c r="L142" s="106">
        <v>10050</v>
      </c>
      <c r="M142" s="106">
        <v>23556</v>
      </c>
      <c r="N142" s="106">
        <v>9266</v>
      </c>
      <c r="O142" s="106">
        <v>16804</v>
      </c>
      <c r="P142" s="106">
        <v>10050</v>
      </c>
      <c r="Q142" s="106">
        <v>19002</v>
      </c>
      <c r="R142" s="106">
        <v>10678</v>
      </c>
      <c r="S142" s="106">
        <v>17118</v>
      </c>
      <c r="T142" s="106">
        <v>18374</v>
      </c>
      <c r="U142" s="106">
        <v>21358</v>
      </c>
      <c r="V142" s="105">
        <v>12367.68</v>
      </c>
      <c r="W142" s="105">
        <v>11922.560000000001</v>
      </c>
      <c r="X142" s="105">
        <v>10452</v>
      </c>
      <c r="Y142" s="105">
        <v>24498.240000000002</v>
      </c>
      <c r="Z142" s="105">
        <v>9636.6400000000012</v>
      </c>
      <c r="AA142" s="105">
        <v>17476.16</v>
      </c>
      <c r="AB142" s="105">
        <v>10452</v>
      </c>
      <c r="AC142" s="105">
        <v>19762.080000000002</v>
      </c>
      <c r="AD142" s="105">
        <v>11105.12</v>
      </c>
      <c r="AE142" s="105">
        <v>17802.72</v>
      </c>
      <c r="AF142" s="105">
        <v>19108.96</v>
      </c>
      <c r="AG142" s="105">
        <v>22212.32</v>
      </c>
    </row>
    <row r="143" spans="1:33">
      <c r="E143" t="str">
        <v>Client 2</v>
      </c>
      <c r="F143">
        <v>5</v>
      </c>
      <c r="G143" t="s">
        <v>22</v>
      </c>
      <c r="H143">
        <v>350178.24</v>
      </c>
      <c r="J143" s="106">
        <v>16336</v>
      </c>
      <c r="K143" s="106">
        <v>7382</v>
      </c>
      <c r="L143" s="106">
        <v>14616</v>
      </c>
      <c r="M143" s="106">
        <v>14322</v>
      </c>
      <c r="N143" s="106">
        <v>15354</v>
      </c>
      <c r="O143" s="106">
        <v>17126</v>
      </c>
      <c r="P143" s="106">
        <v>16388</v>
      </c>
      <c r="Q143" s="106">
        <v>15798</v>
      </c>
      <c r="R143" s="106">
        <v>8564</v>
      </c>
      <c r="S143" s="106">
        <v>12698</v>
      </c>
      <c r="T143" s="106">
        <v>11812</v>
      </c>
      <c r="U143" s="106">
        <v>21260</v>
      </c>
      <c r="V143" s="105">
        <v>16989.440000000002</v>
      </c>
      <c r="W143" s="105">
        <v>7677.2800000000007</v>
      </c>
      <c r="X143" s="105">
        <v>15200.640000000001</v>
      </c>
      <c r="Y143" s="105">
        <v>14894.880000000001</v>
      </c>
      <c r="Z143" s="105">
        <v>15968.16</v>
      </c>
      <c r="AA143" s="105">
        <v>17811.04</v>
      </c>
      <c r="AB143" s="105">
        <v>17043.52</v>
      </c>
      <c r="AC143" s="105">
        <v>16429.920000000002</v>
      </c>
      <c r="AD143" s="105">
        <v>8906.56</v>
      </c>
      <c r="AE143" s="105">
        <v>13205.92</v>
      </c>
      <c r="AF143" s="105">
        <v>12284.48</v>
      </c>
      <c r="AG143" s="105">
        <v>22110.400000000001</v>
      </c>
    </row>
    <row r="144" spans="1:33">
      <c r="E144" t="str">
        <v>Client 3</v>
      </c>
      <c r="F144">
        <v>1</v>
      </c>
      <c r="G144" t="s">
        <v>22</v>
      </c>
      <c r="H144">
        <v>90798.999999999985</v>
      </c>
      <c r="J144" s="106">
        <v>3362</v>
      </c>
      <c r="K144" s="106">
        <v>3144</v>
      </c>
      <c r="L144" s="106">
        <v>3040</v>
      </c>
      <c r="M144" s="106">
        <v>5112</v>
      </c>
      <c r="N144" s="106">
        <v>4248</v>
      </c>
      <c r="O144" s="106">
        <v>2452</v>
      </c>
      <c r="P144" s="106">
        <v>4490</v>
      </c>
      <c r="Q144" s="106">
        <v>3074</v>
      </c>
      <c r="R144" s="106">
        <v>5182</v>
      </c>
      <c r="S144" s="106">
        <v>4904</v>
      </c>
      <c r="T144" s="106">
        <v>1728</v>
      </c>
      <c r="U144" s="106">
        <v>4214</v>
      </c>
      <c r="V144" s="105">
        <v>3429.2400000000002</v>
      </c>
      <c r="W144" s="105">
        <v>3206.88</v>
      </c>
      <c r="X144" s="105">
        <v>3100.8</v>
      </c>
      <c r="Y144" s="105">
        <v>5214.24</v>
      </c>
      <c r="Z144" s="105">
        <v>4332.96</v>
      </c>
      <c r="AA144" s="105">
        <v>2501.04</v>
      </c>
      <c r="AB144" s="105">
        <v>4579.8</v>
      </c>
      <c r="AC144" s="105">
        <v>3135.48</v>
      </c>
      <c r="AD144" s="105">
        <v>5285.64</v>
      </c>
      <c r="AE144" s="105">
        <v>5002.08</v>
      </c>
      <c r="AF144" s="105">
        <v>1762.56</v>
      </c>
      <c r="AG144" s="105">
        <v>4298.28</v>
      </c>
    </row>
    <row r="145" spans="5:33">
      <c r="E145" t="str">
        <v>Client 3</v>
      </c>
      <c r="F145">
        <v>2</v>
      </c>
      <c r="G145" t="s">
        <v>22</v>
      </c>
      <c r="H145">
        <v>431645.71999999991</v>
      </c>
      <c r="J145" s="106">
        <v>25506</v>
      </c>
      <c r="K145" s="106">
        <v>19082</v>
      </c>
      <c r="L145" s="106">
        <v>24940</v>
      </c>
      <c r="M145" s="106">
        <v>18516</v>
      </c>
      <c r="N145" s="106">
        <v>28152</v>
      </c>
      <c r="O145" s="106">
        <v>17194</v>
      </c>
      <c r="P145" s="106">
        <v>10202</v>
      </c>
      <c r="Q145" s="106">
        <v>10202</v>
      </c>
      <c r="R145" s="106">
        <v>16248</v>
      </c>
      <c r="S145" s="106">
        <v>19650</v>
      </c>
      <c r="T145" s="106">
        <v>13036</v>
      </c>
      <c r="U145" s="106">
        <v>10958</v>
      </c>
      <c r="V145" s="105">
        <v>26016.12</v>
      </c>
      <c r="W145" s="105">
        <v>19463.64</v>
      </c>
      <c r="X145" s="105">
        <v>25438.799999999999</v>
      </c>
      <c r="Y145" s="105">
        <v>18886.32</v>
      </c>
      <c r="Z145" s="105">
        <v>28715.040000000001</v>
      </c>
      <c r="AA145" s="105">
        <v>17537.88</v>
      </c>
      <c r="AB145" s="105">
        <v>10406.040000000001</v>
      </c>
      <c r="AC145" s="105">
        <v>10406.040000000001</v>
      </c>
      <c r="AD145" s="105">
        <v>16572.96</v>
      </c>
      <c r="AE145" s="105">
        <v>20043</v>
      </c>
      <c r="AF145" s="105">
        <v>13296.72</v>
      </c>
      <c r="AG145" s="105">
        <v>11177.16</v>
      </c>
    </row>
    <row r="146" spans="5:33">
      <c r="E146" t="str">
        <v>Client 3</v>
      </c>
      <c r="F146">
        <v>3</v>
      </c>
      <c r="G146" t="s">
        <v>22</v>
      </c>
      <c r="H146">
        <v>72772.52</v>
      </c>
      <c r="J146" s="106">
        <v>2890</v>
      </c>
      <c r="K146" s="106">
        <v>4186</v>
      </c>
      <c r="L146" s="106">
        <v>3096</v>
      </c>
      <c r="M146" s="106">
        <v>2564</v>
      </c>
      <c r="N146" s="106">
        <v>3538</v>
      </c>
      <c r="O146" s="106">
        <v>3066</v>
      </c>
      <c r="P146" s="106">
        <v>4274</v>
      </c>
      <c r="Q146" s="106">
        <v>2034</v>
      </c>
      <c r="R146" s="106">
        <v>3242</v>
      </c>
      <c r="S146" s="106">
        <v>1946</v>
      </c>
      <c r="T146" s="106">
        <v>2536</v>
      </c>
      <c r="U146" s="106">
        <v>2654</v>
      </c>
      <c r="V146" s="105">
        <v>2947.8</v>
      </c>
      <c r="W146" s="105">
        <v>4269.72</v>
      </c>
      <c r="X146" s="105">
        <v>3157.92</v>
      </c>
      <c r="Y146" s="105">
        <v>2615.2800000000002</v>
      </c>
      <c r="Z146" s="105">
        <v>3608.76</v>
      </c>
      <c r="AA146" s="105">
        <v>3127.32</v>
      </c>
      <c r="AB146" s="105">
        <v>4359.4800000000005</v>
      </c>
      <c r="AC146" s="105">
        <v>2074.6799999999998</v>
      </c>
      <c r="AD146" s="105">
        <v>3306.84</v>
      </c>
      <c r="AE146" s="105">
        <v>1984.92</v>
      </c>
      <c r="AF146" s="105">
        <v>2586.7200000000003</v>
      </c>
      <c r="AG146" s="105">
        <v>2707.08</v>
      </c>
    </row>
    <row r="147" spans="5:33">
      <c r="E147" t="str">
        <v>Client 3</v>
      </c>
      <c r="F147">
        <v>4</v>
      </c>
      <c r="G147" t="s">
        <v>22</v>
      </c>
      <c r="H147">
        <v>550344.96000000008</v>
      </c>
      <c r="J147" s="106">
        <v>20270</v>
      </c>
      <c r="K147" s="106">
        <v>30296</v>
      </c>
      <c r="L147" s="106">
        <v>24848</v>
      </c>
      <c r="M147" s="106">
        <v>21360</v>
      </c>
      <c r="N147" s="106">
        <v>21360</v>
      </c>
      <c r="O147" s="106">
        <v>12206</v>
      </c>
      <c r="P147" s="106">
        <v>28988</v>
      </c>
      <c r="Q147" s="106">
        <v>14604</v>
      </c>
      <c r="R147" s="106">
        <v>29206</v>
      </c>
      <c r="S147" s="106">
        <v>32040</v>
      </c>
      <c r="T147" s="106">
        <v>16564</v>
      </c>
      <c r="U147" s="106">
        <v>20706</v>
      </c>
      <c r="V147" s="105">
        <v>20675.400000000001</v>
      </c>
      <c r="W147" s="105">
        <v>30901.920000000002</v>
      </c>
      <c r="X147" s="105">
        <v>25344.959999999999</v>
      </c>
      <c r="Y147" s="105">
        <v>21787.200000000001</v>
      </c>
      <c r="Z147" s="105">
        <v>21787.200000000001</v>
      </c>
      <c r="AA147" s="105">
        <v>12450.12</v>
      </c>
      <c r="AB147" s="105">
        <v>29567.760000000002</v>
      </c>
      <c r="AC147" s="105">
        <v>14896.08</v>
      </c>
      <c r="AD147" s="105">
        <v>29790.12</v>
      </c>
      <c r="AE147" s="105">
        <v>32680.799999999999</v>
      </c>
      <c r="AF147" s="105">
        <v>16895.28</v>
      </c>
      <c r="AG147" s="105">
        <v>21120.12</v>
      </c>
    </row>
    <row r="148" spans="5:33">
      <c r="E148" t="str">
        <v>Client 3</v>
      </c>
      <c r="F148">
        <v>5</v>
      </c>
      <c r="G148" t="s">
        <v>22</v>
      </c>
      <c r="H148">
        <v>643277.07999999996</v>
      </c>
      <c r="J148" s="106">
        <v>19262</v>
      </c>
      <c r="K148" s="106">
        <v>35272</v>
      </c>
      <c r="L148" s="106">
        <v>26768</v>
      </c>
      <c r="M148" s="106">
        <v>21014</v>
      </c>
      <c r="N148" s="106">
        <v>18512</v>
      </c>
      <c r="O148" s="106">
        <v>27268</v>
      </c>
      <c r="P148" s="106">
        <v>25266</v>
      </c>
      <c r="Q148" s="106">
        <v>21014</v>
      </c>
      <c r="R148" s="106">
        <v>32520</v>
      </c>
      <c r="S148" s="106">
        <v>32770</v>
      </c>
      <c r="T148" s="106">
        <v>32020</v>
      </c>
      <c r="U148" s="106">
        <v>26768</v>
      </c>
      <c r="V148" s="105">
        <v>19647.240000000002</v>
      </c>
      <c r="W148" s="105">
        <v>35977.440000000002</v>
      </c>
      <c r="X148" s="105">
        <v>27303.360000000001</v>
      </c>
      <c r="Y148" s="105">
        <v>21434.28</v>
      </c>
      <c r="Z148" s="105">
        <v>18882.240000000002</v>
      </c>
      <c r="AA148" s="105">
        <v>27813.360000000001</v>
      </c>
      <c r="AB148" s="105">
        <v>25771.32</v>
      </c>
      <c r="AC148" s="105">
        <v>21434.28</v>
      </c>
      <c r="AD148" s="105">
        <v>33170.400000000001</v>
      </c>
      <c r="AE148" s="105">
        <v>33425.4</v>
      </c>
      <c r="AF148" s="105">
        <v>32660.400000000001</v>
      </c>
      <c r="AG148" s="105">
        <v>27303.360000000001</v>
      </c>
    </row>
    <row r="149" spans="5:33">
      <c r="E149" t="str">
        <v>Client 4</v>
      </c>
      <c r="F149">
        <v>1</v>
      </c>
      <c r="G149" t="s">
        <v>22</v>
      </c>
      <c r="H149">
        <v>952840</v>
      </c>
      <c r="J149" s="106">
        <v>43200</v>
      </c>
      <c r="K149" s="106">
        <v>30000</v>
      </c>
      <c r="L149" s="106">
        <v>42400</v>
      </c>
      <c r="M149" s="106">
        <v>55600</v>
      </c>
      <c r="N149" s="106">
        <v>33200</v>
      </c>
      <c r="O149" s="106">
        <v>34400</v>
      </c>
      <c r="P149" s="106">
        <v>25200</v>
      </c>
      <c r="Q149" s="106">
        <v>46400</v>
      </c>
      <c r="R149" s="106">
        <v>41600</v>
      </c>
      <c r="S149" s="106">
        <v>51600</v>
      </c>
      <c r="T149" s="106">
        <v>36800</v>
      </c>
      <c r="U149" s="106">
        <v>24400</v>
      </c>
      <c r="V149" s="105">
        <v>45360</v>
      </c>
      <c r="W149" s="105">
        <v>31500</v>
      </c>
      <c r="X149" s="105">
        <v>44520</v>
      </c>
      <c r="Y149" s="105">
        <v>58380</v>
      </c>
      <c r="Z149" s="105">
        <v>34860</v>
      </c>
      <c r="AA149" s="105">
        <v>36120</v>
      </c>
      <c r="AB149" s="105">
        <v>26460</v>
      </c>
      <c r="AC149" s="105">
        <v>48720</v>
      </c>
      <c r="AD149" s="105">
        <v>43680</v>
      </c>
      <c r="AE149" s="105">
        <v>54180</v>
      </c>
      <c r="AF149" s="105">
        <v>38640</v>
      </c>
      <c r="AG149" s="105">
        <v>25620</v>
      </c>
    </row>
    <row r="150" spans="5:33">
      <c r="E150" t="str">
        <v>Client 4</v>
      </c>
      <c r="F150">
        <v>2</v>
      </c>
      <c r="G150" t="s">
        <v>22</v>
      </c>
      <c r="H150">
        <v>537190.19999999995</v>
      </c>
      <c r="J150" s="106">
        <v>22290</v>
      </c>
      <c r="K150" s="106">
        <v>25972</v>
      </c>
      <c r="L150" s="106">
        <v>24808</v>
      </c>
      <c r="M150" s="106">
        <v>27716</v>
      </c>
      <c r="N150" s="106">
        <v>15118</v>
      </c>
      <c r="O150" s="106">
        <v>9692</v>
      </c>
      <c r="P150" s="106">
        <v>18606</v>
      </c>
      <c r="Q150" s="106">
        <v>21514</v>
      </c>
      <c r="R150" s="106">
        <v>17444</v>
      </c>
      <c r="S150" s="106">
        <v>23646</v>
      </c>
      <c r="T150" s="106">
        <v>26940</v>
      </c>
      <c r="U150" s="106">
        <v>28298</v>
      </c>
      <c r="V150" s="105">
        <v>23404.5</v>
      </c>
      <c r="W150" s="105">
        <v>27270.600000000002</v>
      </c>
      <c r="X150" s="105">
        <v>26048.400000000001</v>
      </c>
      <c r="Y150" s="105">
        <v>29101.800000000003</v>
      </c>
      <c r="Z150" s="105">
        <v>15873.900000000001</v>
      </c>
      <c r="AA150" s="105">
        <v>10176.6</v>
      </c>
      <c r="AB150" s="105">
        <v>19536.3</v>
      </c>
      <c r="AC150" s="105">
        <v>22589.7</v>
      </c>
      <c r="AD150" s="105">
        <v>18316.2</v>
      </c>
      <c r="AE150" s="105">
        <v>24828.3</v>
      </c>
      <c r="AF150" s="105">
        <v>28287</v>
      </c>
      <c r="AG150" s="105">
        <v>29712.9</v>
      </c>
    </row>
    <row r="151" spans="5:33">
      <c r="E151" t="str">
        <v>Client 4</v>
      </c>
      <c r="F151">
        <v>3</v>
      </c>
      <c r="G151" t="s">
        <v>22</v>
      </c>
      <c r="H151">
        <v>527510.1</v>
      </c>
      <c r="J151" s="106">
        <v>24338</v>
      </c>
      <c r="K151" s="106">
        <v>16478</v>
      </c>
      <c r="L151" s="106">
        <v>23070</v>
      </c>
      <c r="M151" s="106">
        <v>36506</v>
      </c>
      <c r="N151" s="106">
        <v>27126</v>
      </c>
      <c r="O151" s="106">
        <v>16226</v>
      </c>
      <c r="P151" s="106">
        <v>13944</v>
      </c>
      <c r="Q151" s="106">
        <v>16986</v>
      </c>
      <c r="R151" s="106">
        <v>26620</v>
      </c>
      <c r="S151" s="106">
        <v>20028</v>
      </c>
      <c r="T151" s="106">
        <v>16986</v>
      </c>
      <c r="U151" s="106">
        <v>19014</v>
      </c>
      <c r="V151" s="105">
        <v>25554.9</v>
      </c>
      <c r="W151" s="105">
        <v>17301.900000000001</v>
      </c>
      <c r="X151" s="105">
        <v>24223.5</v>
      </c>
      <c r="Y151" s="105">
        <v>38331.300000000003</v>
      </c>
      <c r="Z151" s="105">
        <v>28482.300000000003</v>
      </c>
      <c r="AA151" s="105">
        <v>17037.3</v>
      </c>
      <c r="AB151" s="105">
        <v>14641.2</v>
      </c>
      <c r="AC151" s="105">
        <v>17835.3</v>
      </c>
      <c r="AD151" s="105">
        <v>27951</v>
      </c>
      <c r="AE151" s="105">
        <v>21029.4</v>
      </c>
      <c r="AF151" s="105">
        <v>17835.3</v>
      </c>
      <c r="AG151" s="105">
        <v>19964.7</v>
      </c>
    </row>
    <row r="152" spans="5:33">
      <c r="E152" t="str">
        <v>Client 4</v>
      </c>
      <c r="F152">
        <v>4</v>
      </c>
      <c r="G152" t="s">
        <v>22</v>
      </c>
      <c r="H152">
        <v>25842.300000000007</v>
      </c>
      <c r="J152" s="106">
        <v>552</v>
      </c>
      <c r="K152" s="106">
        <v>1260</v>
      </c>
      <c r="L152" s="106">
        <v>1240</v>
      </c>
      <c r="M152" s="106">
        <v>912</v>
      </c>
      <c r="N152" s="106">
        <v>1228</v>
      </c>
      <c r="O152" s="106">
        <v>728</v>
      </c>
      <c r="P152" s="106">
        <v>1424</v>
      </c>
      <c r="Q152" s="106">
        <v>1024</v>
      </c>
      <c r="R152" s="106">
        <v>798</v>
      </c>
      <c r="S152" s="106">
        <v>880</v>
      </c>
      <c r="T152" s="106">
        <v>1372</v>
      </c>
      <c r="U152" s="106">
        <v>1188</v>
      </c>
      <c r="V152" s="105">
        <v>579.6</v>
      </c>
      <c r="W152" s="105">
        <v>1323</v>
      </c>
      <c r="X152" s="105">
        <v>1302</v>
      </c>
      <c r="Y152" s="105">
        <v>957.6</v>
      </c>
      <c r="Z152" s="105">
        <v>1289.4000000000001</v>
      </c>
      <c r="AA152" s="105">
        <v>764.4</v>
      </c>
      <c r="AB152" s="105">
        <v>1495.2</v>
      </c>
      <c r="AC152" s="105">
        <v>1075.2</v>
      </c>
      <c r="AD152" s="105">
        <v>837.90000000000009</v>
      </c>
      <c r="AE152" s="105">
        <v>924</v>
      </c>
      <c r="AF152" s="105">
        <v>1440.6000000000001</v>
      </c>
      <c r="AG152" s="105">
        <v>1247.4000000000001</v>
      </c>
    </row>
    <row r="153" spans="5:33">
      <c r="E153" t="str">
        <v>Client 4</v>
      </c>
      <c r="F153">
        <v>5</v>
      </c>
      <c r="G153" t="s">
        <v>22</v>
      </c>
      <c r="H153">
        <v>355314.19999999995</v>
      </c>
      <c r="J153" s="106">
        <v>11418</v>
      </c>
      <c r="K153" s="106">
        <v>9216</v>
      </c>
      <c r="L153" s="106">
        <v>9766</v>
      </c>
      <c r="M153" s="106">
        <v>10042</v>
      </c>
      <c r="N153" s="106">
        <v>20358</v>
      </c>
      <c r="O153" s="106">
        <v>14582</v>
      </c>
      <c r="P153" s="106">
        <v>10180</v>
      </c>
      <c r="Q153" s="106">
        <v>20634</v>
      </c>
      <c r="R153" s="106">
        <v>14306</v>
      </c>
      <c r="S153" s="106">
        <v>20496</v>
      </c>
      <c r="T153" s="106">
        <v>18020</v>
      </c>
      <c r="U153" s="106">
        <v>14306</v>
      </c>
      <c r="V153" s="105">
        <v>11988.9</v>
      </c>
      <c r="W153" s="105">
        <v>9676.8000000000011</v>
      </c>
      <c r="X153" s="105">
        <v>10254.300000000001</v>
      </c>
      <c r="Y153" s="105">
        <v>10544.1</v>
      </c>
      <c r="Z153" s="105">
        <v>21375.9</v>
      </c>
      <c r="AA153" s="105">
        <v>15311.1</v>
      </c>
      <c r="AB153" s="105">
        <v>10689</v>
      </c>
      <c r="AC153" s="105">
        <v>21665.7</v>
      </c>
      <c r="AD153" s="105">
        <v>15021.300000000001</v>
      </c>
      <c r="AE153" s="105">
        <v>21520.799999999999</v>
      </c>
      <c r="AF153" s="105">
        <v>18921</v>
      </c>
      <c r="AG153" s="105">
        <v>15021.300000000001</v>
      </c>
    </row>
    <row r="154" spans="5:33">
      <c r="E154" t="str">
        <v>Client 5</v>
      </c>
      <c r="F154">
        <v>1</v>
      </c>
      <c r="G154" t="s">
        <v>22</v>
      </c>
      <c r="H154">
        <v>135202.32</v>
      </c>
      <c r="J154" s="106">
        <v>5098</v>
      </c>
      <c r="K154" s="106">
        <v>8536</v>
      </c>
      <c r="L154" s="106">
        <v>8536</v>
      </c>
      <c r="M154" s="106">
        <v>7410</v>
      </c>
      <c r="N154" s="106">
        <v>5808</v>
      </c>
      <c r="O154" s="106">
        <v>6282</v>
      </c>
      <c r="P154" s="106">
        <v>6046</v>
      </c>
      <c r="Q154" s="106">
        <v>3556</v>
      </c>
      <c r="R154" s="106">
        <v>6460</v>
      </c>
      <c r="S154" s="106">
        <v>2964</v>
      </c>
      <c r="T154" s="106">
        <v>3616</v>
      </c>
      <c r="U154" s="106">
        <v>3972</v>
      </c>
      <c r="V154" s="105">
        <v>4996.04</v>
      </c>
      <c r="W154" s="105">
        <v>8365.2800000000007</v>
      </c>
      <c r="X154" s="105">
        <v>8365.2800000000007</v>
      </c>
      <c r="Y154" s="105">
        <v>7261.8</v>
      </c>
      <c r="Z154" s="105">
        <v>5691.84</v>
      </c>
      <c r="AA154" s="105">
        <v>6156.36</v>
      </c>
      <c r="AB154" s="105">
        <v>5925.08</v>
      </c>
      <c r="AC154" s="105">
        <v>3484.88</v>
      </c>
      <c r="AD154" s="105">
        <v>6330.8</v>
      </c>
      <c r="AE154" s="105">
        <v>2904.72</v>
      </c>
      <c r="AF154" s="105">
        <v>3543.68</v>
      </c>
      <c r="AG154" s="105">
        <v>3892.56</v>
      </c>
    </row>
    <row r="155" spans="5:33">
      <c r="E155" t="str">
        <v>Client 5</v>
      </c>
      <c r="F155">
        <v>2</v>
      </c>
      <c r="G155" t="s">
        <v>22</v>
      </c>
      <c r="H155">
        <v>618639.12</v>
      </c>
      <c r="J155" s="106">
        <v>36672</v>
      </c>
      <c r="K155" s="106">
        <v>25182</v>
      </c>
      <c r="L155" s="106">
        <v>14668</v>
      </c>
      <c r="M155" s="106">
        <v>27626</v>
      </c>
      <c r="N155" s="106">
        <v>28360</v>
      </c>
      <c r="O155" s="106">
        <v>19802</v>
      </c>
      <c r="P155" s="106">
        <v>22982</v>
      </c>
      <c r="Q155" s="106">
        <v>26648</v>
      </c>
      <c r="R155" s="106">
        <v>28848</v>
      </c>
      <c r="S155" s="106">
        <v>33004</v>
      </c>
      <c r="T155" s="106">
        <v>29094</v>
      </c>
      <c r="U155" s="106">
        <v>19558</v>
      </c>
      <c r="V155" s="105">
        <v>35938.559999999998</v>
      </c>
      <c r="W155" s="105">
        <v>24678.36</v>
      </c>
      <c r="X155" s="105">
        <v>14374.64</v>
      </c>
      <c r="Y155" s="105">
        <v>27073.48</v>
      </c>
      <c r="Z155" s="105">
        <v>27792.799999999999</v>
      </c>
      <c r="AA155" s="105">
        <v>19405.96</v>
      </c>
      <c r="AB155" s="105">
        <v>22522.36</v>
      </c>
      <c r="AC155" s="105">
        <v>26115.040000000001</v>
      </c>
      <c r="AD155" s="105">
        <v>28271.040000000001</v>
      </c>
      <c r="AE155" s="105">
        <v>32343.919999999998</v>
      </c>
      <c r="AF155" s="105">
        <v>28512.12</v>
      </c>
      <c r="AG155" s="105">
        <v>19166.84</v>
      </c>
    </row>
    <row r="156" spans="5:33">
      <c r="E156" t="str">
        <v>Client 5</v>
      </c>
      <c r="F156">
        <v>3</v>
      </c>
      <c r="G156" t="s">
        <v>22</v>
      </c>
      <c r="H156">
        <v>431719.1999999999</v>
      </c>
      <c r="J156" s="106">
        <v>26512</v>
      </c>
      <c r="K156" s="106">
        <v>12514</v>
      </c>
      <c r="L156" s="106">
        <v>26936</v>
      </c>
      <c r="M156" s="106">
        <v>22482</v>
      </c>
      <c r="N156" s="106">
        <v>11242</v>
      </c>
      <c r="O156" s="106">
        <v>13998</v>
      </c>
      <c r="P156" s="106">
        <v>21422</v>
      </c>
      <c r="Q156" s="106">
        <v>19726</v>
      </c>
      <c r="R156" s="106">
        <v>11666</v>
      </c>
      <c r="S156" s="106">
        <v>16756</v>
      </c>
      <c r="T156" s="106">
        <v>23332</v>
      </c>
      <c r="U156" s="106">
        <v>11454</v>
      </c>
      <c r="V156" s="105">
        <v>25981.759999999998</v>
      </c>
      <c r="W156" s="105">
        <v>12263.72</v>
      </c>
      <c r="X156" s="105">
        <v>26397.279999999999</v>
      </c>
      <c r="Y156" s="105">
        <v>22032.36</v>
      </c>
      <c r="Z156" s="105">
        <v>11017.16</v>
      </c>
      <c r="AA156" s="105">
        <v>13718.039999999999</v>
      </c>
      <c r="AB156" s="105">
        <v>20993.56</v>
      </c>
      <c r="AC156" s="105">
        <v>19331.48</v>
      </c>
      <c r="AD156" s="105">
        <v>11432.68</v>
      </c>
      <c r="AE156" s="105">
        <v>16420.88</v>
      </c>
      <c r="AF156" s="105">
        <v>22865.360000000001</v>
      </c>
      <c r="AG156" s="105">
        <v>11224.92</v>
      </c>
    </row>
    <row r="157" spans="5:33">
      <c r="E157" t="str">
        <v>Client 5</v>
      </c>
      <c r="F157">
        <v>4</v>
      </c>
      <c r="G157" t="s">
        <v>22</v>
      </c>
      <c r="H157">
        <v>223985.52000000002</v>
      </c>
      <c r="J157" s="106">
        <v>7330</v>
      </c>
      <c r="K157" s="106">
        <v>11188</v>
      </c>
      <c r="L157" s="106">
        <v>8004</v>
      </c>
      <c r="M157" s="106">
        <v>8968</v>
      </c>
      <c r="N157" s="106">
        <v>9836</v>
      </c>
      <c r="O157" s="106">
        <v>13984</v>
      </c>
      <c r="P157" s="106">
        <v>6462</v>
      </c>
      <c r="Q157" s="106">
        <v>10802</v>
      </c>
      <c r="R157" s="106">
        <v>8486</v>
      </c>
      <c r="S157" s="106">
        <v>12248</v>
      </c>
      <c r="T157" s="106">
        <v>8198</v>
      </c>
      <c r="U157" s="106">
        <v>7618</v>
      </c>
      <c r="V157" s="105">
        <v>7183.4</v>
      </c>
      <c r="W157" s="105">
        <v>10964.24</v>
      </c>
      <c r="X157" s="105">
        <v>7843.92</v>
      </c>
      <c r="Y157" s="105">
        <v>8788.64</v>
      </c>
      <c r="Z157" s="105">
        <v>9639.2800000000007</v>
      </c>
      <c r="AA157" s="105">
        <v>13704.32</v>
      </c>
      <c r="AB157" s="105">
        <v>6332.76</v>
      </c>
      <c r="AC157" s="105">
        <v>10585.96</v>
      </c>
      <c r="AD157" s="105">
        <v>8316.2800000000007</v>
      </c>
      <c r="AE157" s="105">
        <v>12003.039999999999</v>
      </c>
      <c r="AF157" s="105">
        <v>8034.04</v>
      </c>
      <c r="AG157" s="105">
        <v>7465.6399999999994</v>
      </c>
    </row>
    <row r="158" spans="5:33">
      <c r="E158" t="str">
        <v>Client 5</v>
      </c>
      <c r="F158">
        <v>5</v>
      </c>
      <c r="G158" t="s">
        <v>22</v>
      </c>
      <c r="H158">
        <v>312990.48</v>
      </c>
      <c r="J158" s="106">
        <v>16734</v>
      </c>
      <c r="K158" s="106">
        <v>18670</v>
      </c>
      <c r="L158" s="106">
        <v>10096</v>
      </c>
      <c r="M158" s="106">
        <v>16458</v>
      </c>
      <c r="N158" s="106">
        <v>13138</v>
      </c>
      <c r="O158" s="106">
        <v>15628</v>
      </c>
      <c r="P158" s="106">
        <v>9404</v>
      </c>
      <c r="Q158" s="106">
        <v>8022</v>
      </c>
      <c r="R158" s="106">
        <v>6916</v>
      </c>
      <c r="S158" s="106">
        <v>8436</v>
      </c>
      <c r="T158" s="106">
        <v>18532</v>
      </c>
      <c r="U158" s="106">
        <v>16042</v>
      </c>
      <c r="V158" s="105">
        <v>16399.32</v>
      </c>
      <c r="W158" s="105">
        <v>18296.599999999999</v>
      </c>
      <c r="X158" s="105">
        <v>9894.08</v>
      </c>
      <c r="Y158" s="105">
        <v>16128.84</v>
      </c>
      <c r="Z158" s="105">
        <v>12875.24</v>
      </c>
      <c r="AA158" s="105">
        <v>15315.44</v>
      </c>
      <c r="AB158" s="105">
        <v>9215.92</v>
      </c>
      <c r="AC158" s="105">
        <v>7861.5599999999995</v>
      </c>
      <c r="AD158" s="105">
        <v>6777.68</v>
      </c>
      <c r="AE158" s="105">
        <v>8267.2800000000007</v>
      </c>
      <c r="AF158" s="105">
        <v>18161.36</v>
      </c>
      <c r="AG158" s="105">
        <v>15721.16</v>
      </c>
    </row>
    <row r="159" spans="5:33">
      <c r="E159" s="109" t="s">
        <v>54</v>
      </c>
      <c r="F159" s="109"/>
      <c r="G159" s="109" t="s">
        <v>22</v>
      </c>
      <c r="H159" s="109"/>
      <c r="I159" s="109"/>
      <c r="J159" s="109" cm="1">
        <f t="array" ref="J159:U159">_xlfn.BYCOL(_xlfn.ANCHORARRAY( J134), _xleta.SUM )</f>
        <v>391222</v>
      </c>
      <c r="K159" s="109">
        <v>393616</v>
      </c>
      <c r="L159" s="109">
        <v>377520</v>
      </c>
      <c r="M159" s="109">
        <v>421306</v>
      </c>
      <c r="N159" s="109">
        <v>363036</v>
      </c>
      <c r="O159" s="109">
        <v>335262</v>
      </c>
      <c r="P159" s="109">
        <v>324318</v>
      </c>
      <c r="Q159" s="109">
        <v>370798</v>
      </c>
      <c r="R159" s="109">
        <v>364778</v>
      </c>
      <c r="S159" s="109">
        <v>419816</v>
      </c>
      <c r="T159" s="109">
        <v>392906</v>
      </c>
      <c r="U159" s="109">
        <v>374294</v>
      </c>
      <c r="V159" s="109" cm="1">
        <f t="array" ref="V159:AG159">_xlfn.BYCOL(_xlfn.ANCHORARRAY( V134), _xleta.SUM )</f>
        <v>399689.42</v>
      </c>
      <c r="W159" s="109">
        <v>402138.25999999995</v>
      </c>
      <c r="X159" s="109">
        <v>386370.4800000001</v>
      </c>
      <c r="Y159" s="109">
        <v>432040.23999999993</v>
      </c>
      <c r="Z159" s="109">
        <v>371515.70000000007</v>
      </c>
      <c r="AA159" s="109">
        <v>342723.72</v>
      </c>
      <c r="AB159" s="109">
        <v>331321.50000000006</v>
      </c>
      <c r="AC159" s="109">
        <v>380220.86</v>
      </c>
      <c r="AD159" s="109">
        <v>373488.19999999995</v>
      </c>
      <c r="AE159" s="109">
        <v>430130.57999999996</v>
      </c>
      <c r="AF159" s="109">
        <v>401996.65999999992</v>
      </c>
      <c r="AG159" s="109">
        <v>383765.58</v>
      </c>
    </row>
    <row r="162" spans="1:35" s="87" customFormat="1">
      <c r="A162" s="88" t="s">
        <v>61</v>
      </c>
    </row>
    <row r="164" spans="1:35">
      <c r="E164" s="103" t="s">
        <v>16</v>
      </c>
      <c r="F164" s="103" t="s">
        <v>17</v>
      </c>
    </row>
    <row r="165" spans="1:35">
      <c r="E165" t="str" cm="1">
        <f t="array" ref="E165:F190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165" t="str">
        <v/>
      </c>
    </row>
    <row r="166" spans="1:35">
      <c r="E166" t="str">
        <v>Client 1</v>
      </c>
      <c r="F166">
        <v>1</v>
      </c>
      <c r="G166" t="s">
        <v>22</v>
      </c>
      <c r="J166" s="106" cm="1">
        <f t="array" ref="J166:U190" xml:space="preserve"> _xlfn.LET(
       _xlpm.historicals, CaseData!$B$8:$G$307,
       _xlpm.month,       INDEX(_xlpm.historicals,,1),
       _xlpm.client,      INDEX(_xlpm.historicals,,2),
       _xlpm.product,     INDEX(_xlpm.historicals,,3),
       _xlpm.volume,      INDEX(_xlpm.historicals,,4),
       _xlpm.price,       INDEX(_xlpm.historicals,,5),
       _xlfn.DROP( _xlfn.DROP( _xlfn.DROP( _xlfn.PIVOTBY( _xlfn.HSTACK( _xlpm.client, _xlpm.product ), _xlpm.month, _xlpm.volume, _xleta.SUM,,0 ),,2 ),, -1 ), 1) )</f>
        <v>10438</v>
      </c>
      <c r="K166" s="106">
        <v>4960</v>
      </c>
      <c r="L166" s="106">
        <v>4960</v>
      </c>
      <c r="M166" s="106">
        <v>5920</v>
      </c>
      <c r="N166" s="106">
        <v>4400</v>
      </c>
      <c r="O166" s="106">
        <v>5120</v>
      </c>
      <c r="P166" s="106">
        <v>5680</v>
      </c>
      <c r="Q166" s="106">
        <v>11920</v>
      </c>
      <c r="R166" s="106">
        <v>10880</v>
      </c>
      <c r="S166" s="106">
        <v>4560</v>
      </c>
      <c r="T166" s="106">
        <v>10560</v>
      </c>
      <c r="U166" s="106">
        <v>11840</v>
      </c>
      <c r="V166" s="117" cm="1">
        <f t="array" ref="V166:AG190" xml:space="preserve"> _xlfn.LET(
    _xlpm.rank,     _xlfn.TAKE(_xlfn.ANCHORARRAY( J103),, -12 ),
    _xlpm.demand,_xlfn.ANCHORARRAY(   V134),
    _xlpm.capacity, CaseData!$P$7,
    _xlfn.MAKEARRAY( ROWS(_xlpm.demand), COLUMNS(_xlpm.demand),
       _xlfn.LAMBDA(_xlpm.i,_xlpm.j,
          _xlfn.LET( _xlpm.r,              INDEX(_xlpm.rank, _xlpm.i, _xlpm.j),
               _xlpm.rank_column,    INDEX(_xlpm.rank,  , _xlpm.j),
               _xlpm.demand_column,  INDEX(_xlpm.demand, , _xlpm.j),
               _xlpm.higher,         SUMPRODUCT( (_xlpm.rank_column &lt; _xlpm.r) * _xlpm.demand_column ),
               MIN( INDEX(_xlpm.demand, _xlpm.i, _xlpm.j), MAX( _xlpm.capacity - _xlpm.higher, 0 ) ) ) ) ) )</f>
        <v>10646.76</v>
      </c>
      <c r="W166">
        <v>5059.2</v>
      </c>
      <c r="X166">
        <v>5059.2</v>
      </c>
      <c r="Y166">
        <v>6038.4000000000005</v>
      </c>
      <c r="Z166">
        <v>4488</v>
      </c>
      <c r="AA166">
        <v>5222.3999999999996</v>
      </c>
      <c r="AB166">
        <v>5793.6</v>
      </c>
      <c r="AC166">
        <v>12158.4</v>
      </c>
      <c r="AD166">
        <v>11097.6</v>
      </c>
      <c r="AE166">
        <v>4651.2</v>
      </c>
      <c r="AF166">
        <v>10771.2</v>
      </c>
      <c r="AG166">
        <v>12076.800000000001</v>
      </c>
    </row>
    <row r="167" spans="1:35">
      <c r="E167" t="str">
        <v>Client 1</v>
      </c>
      <c r="F167">
        <v>2</v>
      </c>
      <c r="G167" t="s">
        <v>22</v>
      </c>
      <c r="J167" s="106">
        <v>516</v>
      </c>
      <c r="K167" s="106">
        <v>1222</v>
      </c>
      <c r="L167" s="106">
        <v>1110</v>
      </c>
      <c r="M167" s="106">
        <v>1084</v>
      </c>
      <c r="N167" s="106">
        <v>1264</v>
      </c>
      <c r="O167" s="106">
        <v>606</v>
      </c>
      <c r="P167" s="106">
        <v>930</v>
      </c>
      <c r="Q167" s="106">
        <v>760</v>
      </c>
      <c r="R167" s="106">
        <v>1162</v>
      </c>
      <c r="S167" s="106">
        <v>1212</v>
      </c>
      <c r="T167" s="106">
        <v>1076</v>
      </c>
      <c r="U167" s="106">
        <v>718</v>
      </c>
      <c r="V167">
        <v>526.32000000000005</v>
      </c>
      <c r="W167">
        <v>1246.44</v>
      </c>
      <c r="X167">
        <v>1132.2</v>
      </c>
      <c r="Y167">
        <v>1105.68</v>
      </c>
      <c r="Z167">
        <v>1289.28</v>
      </c>
      <c r="AA167">
        <v>618.12</v>
      </c>
      <c r="AB167">
        <v>948.6</v>
      </c>
      <c r="AC167">
        <v>775.2</v>
      </c>
      <c r="AD167">
        <v>1185.24</v>
      </c>
      <c r="AE167">
        <v>1236.24</v>
      </c>
      <c r="AF167">
        <v>1097.52</v>
      </c>
      <c r="AG167">
        <v>732.36</v>
      </c>
    </row>
    <row r="168" spans="1:35">
      <c r="E168" t="str">
        <v>Client 1</v>
      </c>
      <c r="F168">
        <v>3</v>
      </c>
      <c r="G168" t="s">
        <v>22</v>
      </c>
      <c r="J168" s="106">
        <v>24860</v>
      </c>
      <c r="K168" s="106">
        <v>28698</v>
      </c>
      <c r="L168" s="106">
        <v>17784</v>
      </c>
      <c r="M168" s="106">
        <v>11722</v>
      </c>
      <c r="N168" s="106">
        <v>30112</v>
      </c>
      <c r="O168" s="106">
        <v>23444</v>
      </c>
      <c r="P168" s="106">
        <v>10712</v>
      </c>
      <c r="Q168" s="106">
        <v>19200</v>
      </c>
      <c r="R168" s="106">
        <v>24858</v>
      </c>
      <c r="S168" s="106">
        <v>26274</v>
      </c>
      <c r="T168" s="106">
        <v>27688</v>
      </c>
      <c r="U168" s="106">
        <v>15966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5">
      <c r="E169" t="str">
        <v>Client 1</v>
      </c>
      <c r="F169">
        <v>4</v>
      </c>
      <c r="G169" t="s">
        <v>22</v>
      </c>
      <c r="J169" s="106">
        <v>17812</v>
      </c>
      <c r="K169" s="106">
        <v>28146</v>
      </c>
      <c r="L169" s="106">
        <v>37804</v>
      </c>
      <c r="M169" s="106">
        <v>15728</v>
      </c>
      <c r="N169" s="106">
        <v>25386</v>
      </c>
      <c r="O169" s="106">
        <v>21248</v>
      </c>
      <c r="P169" s="106">
        <v>32560</v>
      </c>
      <c r="Q169" s="106">
        <v>25662</v>
      </c>
      <c r="R169" s="106">
        <v>23178</v>
      </c>
      <c r="S169" s="106">
        <v>31734</v>
      </c>
      <c r="T169" s="106">
        <v>14900</v>
      </c>
      <c r="U169" s="106">
        <v>34768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5">
      <c r="E170" t="str">
        <v>Client 1</v>
      </c>
      <c r="F170">
        <v>5</v>
      </c>
      <c r="G170" t="s">
        <v>22</v>
      </c>
      <c r="J170" s="106">
        <v>8018</v>
      </c>
      <c r="K170" s="106">
        <v>19306</v>
      </c>
      <c r="L170" s="106">
        <v>14088</v>
      </c>
      <c r="M170" s="106">
        <v>19436</v>
      </c>
      <c r="N170" s="106">
        <v>8478</v>
      </c>
      <c r="O170" s="106">
        <v>13566</v>
      </c>
      <c r="P170" s="106">
        <v>11088</v>
      </c>
      <c r="Q170" s="106">
        <v>9000</v>
      </c>
      <c r="R170" s="106">
        <v>10826</v>
      </c>
      <c r="S170" s="106">
        <v>6914</v>
      </c>
      <c r="T170" s="106">
        <v>12914</v>
      </c>
      <c r="U170" s="106">
        <v>14088</v>
      </c>
      <c r="V170">
        <v>0</v>
      </c>
      <c r="W170">
        <v>0</v>
      </c>
      <c r="X170">
        <v>0</v>
      </c>
      <c r="Y170">
        <v>0</v>
      </c>
      <c r="Z170">
        <v>8647.56</v>
      </c>
      <c r="AA170">
        <v>13837.32</v>
      </c>
      <c r="AB170">
        <v>11309.76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5">
      <c r="E171" t="str">
        <v>Client 2</v>
      </c>
      <c r="F171">
        <v>1</v>
      </c>
      <c r="G171" t="s">
        <v>22</v>
      </c>
      <c r="J171" s="106">
        <v>1814</v>
      </c>
      <c r="K171" s="106">
        <v>2570</v>
      </c>
      <c r="L171" s="106">
        <v>3470</v>
      </c>
      <c r="M171" s="106">
        <v>3098</v>
      </c>
      <c r="N171" s="106">
        <v>4336</v>
      </c>
      <c r="O171" s="106">
        <v>3066</v>
      </c>
      <c r="P171" s="106">
        <v>1642</v>
      </c>
      <c r="Q171" s="106">
        <v>4368</v>
      </c>
      <c r="R171" s="106">
        <v>1580</v>
      </c>
      <c r="S171" s="106">
        <v>2540</v>
      </c>
      <c r="T171" s="106">
        <v>4306</v>
      </c>
      <c r="U171" s="106">
        <v>1828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1707.68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5">
      <c r="E172" t="str">
        <v>Client 2</v>
      </c>
      <c r="F172">
        <v>2</v>
      </c>
      <c r="G172" t="s">
        <v>22</v>
      </c>
      <c r="J172" s="106">
        <v>1994</v>
      </c>
      <c r="K172" s="106">
        <v>1480</v>
      </c>
      <c r="L172" s="106">
        <v>1080</v>
      </c>
      <c r="M172" s="106">
        <v>1376</v>
      </c>
      <c r="N172" s="106">
        <v>1080</v>
      </c>
      <c r="O172" s="106">
        <v>2544</v>
      </c>
      <c r="P172" s="106">
        <v>1550</v>
      </c>
      <c r="Q172" s="106">
        <v>2352</v>
      </c>
      <c r="R172" s="106">
        <v>1672</v>
      </c>
      <c r="S172" s="106">
        <v>2194</v>
      </c>
      <c r="T172" s="106">
        <v>1220</v>
      </c>
      <c r="U172" s="106">
        <v>1532</v>
      </c>
      <c r="V172">
        <v>0</v>
      </c>
      <c r="W172">
        <v>0</v>
      </c>
      <c r="X172">
        <v>0</v>
      </c>
      <c r="Y172">
        <v>0</v>
      </c>
      <c r="Z172">
        <v>588.98000000001048</v>
      </c>
      <c r="AA172">
        <v>1690.3999999999942</v>
      </c>
      <c r="AB172">
        <v>1612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5">
      <c r="E173" t="str">
        <v>Client 2</v>
      </c>
      <c r="F173">
        <v>3</v>
      </c>
      <c r="G173" t="s">
        <v>22</v>
      </c>
      <c r="J173" s="106">
        <v>32108</v>
      </c>
      <c r="K173" s="106">
        <v>37392</v>
      </c>
      <c r="L173" s="106">
        <v>20342</v>
      </c>
      <c r="M173" s="106">
        <v>42778</v>
      </c>
      <c r="N173" s="106">
        <v>22136</v>
      </c>
      <c r="O173" s="106">
        <v>24230</v>
      </c>
      <c r="P173" s="106">
        <v>24828</v>
      </c>
      <c r="Q173" s="106">
        <v>36496</v>
      </c>
      <c r="R173" s="106">
        <v>21838</v>
      </c>
      <c r="S173" s="106">
        <v>33204</v>
      </c>
      <c r="T173" s="106">
        <v>41282</v>
      </c>
      <c r="U173" s="106">
        <v>39786</v>
      </c>
      <c r="V173">
        <v>13025.979999999981</v>
      </c>
      <c r="W173">
        <v>13640.799999999988</v>
      </c>
      <c r="X173">
        <v>5874.0400000000081</v>
      </c>
      <c r="Y173">
        <v>0</v>
      </c>
      <c r="Z173">
        <v>23021.440000000002</v>
      </c>
      <c r="AA173">
        <v>25199.200000000001</v>
      </c>
      <c r="AB173">
        <v>25821.120000000003</v>
      </c>
      <c r="AC173">
        <v>25221.339999999997</v>
      </c>
      <c r="AD173">
        <v>11054.320000000007</v>
      </c>
      <c r="AE173">
        <v>1744.140000000014</v>
      </c>
      <c r="AF173">
        <v>17354.200000000012</v>
      </c>
      <c r="AG173">
        <v>32479.5</v>
      </c>
    </row>
    <row r="174" spans="1:35">
      <c r="E174" t="str">
        <v>Client 2</v>
      </c>
      <c r="F174">
        <v>4</v>
      </c>
      <c r="G174" t="s">
        <v>22</v>
      </c>
      <c r="J174" s="106">
        <v>11892</v>
      </c>
      <c r="K174" s="106">
        <v>11464</v>
      </c>
      <c r="L174" s="106">
        <v>10050</v>
      </c>
      <c r="M174" s="106">
        <v>23556</v>
      </c>
      <c r="N174" s="106">
        <v>9266</v>
      </c>
      <c r="O174" s="106">
        <v>16804</v>
      </c>
      <c r="P174" s="106">
        <v>10050</v>
      </c>
      <c r="Q174" s="106">
        <v>19002</v>
      </c>
      <c r="R174" s="106">
        <v>10678</v>
      </c>
      <c r="S174" s="106">
        <v>17118</v>
      </c>
      <c r="T174" s="106">
        <v>18374</v>
      </c>
      <c r="U174" s="106">
        <v>21358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5">
      <c r="E175" t="str">
        <v>Client 2</v>
      </c>
      <c r="F175">
        <v>5</v>
      </c>
      <c r="G175" t="s">
        <v>22</v>
      </c>
      <c r="J175" s="106">
        <v>16336</v>
      </c>
      <c r="K175" s="106">
        <v>7382</v>
      </c>
      <c r="L175" s="106">
        <v>14616</v>
      </c>
      <c r="M175" s="106">
        <v>14322</v>
      </c>
      <c r="N175" s="106">
        <v>15354</v>
      </c>
      <c r="O175" s="106">
        <v>17126</v>
      </c>
      <c r="P175" s="106">
        <v>16388</v>
      </c>
      <c r="Q175" s="106">
        <v>15798</v>
      </c>
      <c r="R175" s="106">
        <v>8564</v>
      </c>
      <c r="S175" s="106">
        <v>12698</v>
      </c>
      <c r="T175" s="106">
        <v>11812</v>
      </c>
      <c r="U175" s="106">
        <v>21260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5">
      <c r="E176" t="str">
        <v>Client 3</v>
      </c>
      <c r="F176">
        <v>1</v>
      </c>
      <c r="G176" t="s">
        <v>22</v>
      </c>
      <c r="J176" s="106">
        <v>3362</v>
      </c>
      <c r="K176" s="106">
        <v>3144</v>
      </c>
      <c r="L176" s="106">
        <v>3040</v>
      </c>
      <c r="M176" s="106">
        <v>5112</v>
      </c>
      <c r="N176" s="106">
        <v>4248</v>
      </c>
      <c r="O176" s="106">
        <v>2452</v>
      </c>
      <c r="P176" s="106">
        <v>4490</v>
      </c>
      <c r="Q176" s="106">
        <v>3074</v>
      </c>
      <c r="R176" s="106">
        <v>5182</v>
      </c>
      <c r="S176" s="106">
        <v>4904</v>
      </c>
      <c r="T176" s="106">
        <v>1728</v>
      </c>
      <c r="U176" s="106">
        <v>4214</v>
      </c>
      <c r="V176">
        <v>3429.2400000000002</v>
      </c>
      <c r="W176">
        <v>3206.88</v>
      </c>
      <c r="X176">
        <v>3100.8</v>
      </c>
      <c r="Y176">
        <v>5214.24</v>
      </c>
      <c r="Z176">
        <v>4332.96</v>
      </c>
      <c r="AA176">
        <v>2501.04</v>
      </c>
      <c r="AB176">
        <v>4579.8</v>
      </c>
      <c r="AC176">
        <v>3135.48</v>
      </c>
      <c r="AD176">
        <v>5285.64</v>
      </c>
      <c r="AE176">
        <v>5002.08</v>
      </c>
      <c r="AF176">
        <v>1762.56</v>
      </c>
      <c r="AG176">
        <v>4298.28</v>
      </c>
    </row>
    <row r="177" spans="5:33">
      <c r="E177" t="str">
        <v>Client 3</v>
      </c>
      <c r="F177">
        <v>2</v>
      </c>
      <c r="G177" t="s">
        <v>22</v>
      </c>
      <c r="J177" s="106">
        <v>25506</v>
      </c>
      <c r="K177" s="106">
        <v>19082</v>
      </c>
      <c r="L177" s="106">
        <v>24940</v>
      </c>
      <c r="M177" s="106">
        <v>18516</v>
      </c>
      <c r="N177" s="106">
        <v>28152</v>
      </c>
      <c r="O177" s="106">
        <v>17194</v>
      </c>
      <c r="P177" s="106">
        <v>10202</v>
      </c>
      <c r="Q177" s="106">
        <v>10202</v>
      </c>
      <c r="R177" s="106">
        <v>16248</v>
      </c>
      <c r="S177" s="106">
        <v>19650</v>
      </c>
      <c r="T177" s="106">
        <v>13036</v>
      </c>
      <c r="U177" s="106">
        <v>10958</v>
      </c>
      <c r="V177">
        <v>26016.12</v>
      </c>
      <c r="W177">
        <v>19463.64</v>
      </c>
      <c r="X177">
        <v>25438.799999999999</v>
      </c>
      <c r="Y177">
        <v>18886.32</v>
      </c>
      <c r="Z177">
        <v>28715.040000000001</v>
      </c>
      <c r="AA177">
        <v>17537.88</v>
      </c>
      <c r="AB177">
        <v>10406.040000000001</v>
      </c>
      <c r="AC177">
        <v>10406.040000000001</v>
      </c>
      <c r="AD177">
        <v>16572.96</v>
      </c>
      <c r="AE177">
        <v>20043</v>
      </c>
      <c r="AF177">
        <v>13296.72</v>
      </c>
      <c r="AG177">
        <v>11177.16</v>
      </c>
    </row>
    <row r="178" spans="5:33">
      <c r="E178" t="str">
        <v>Client 3</v>
      </c>
      <c r="F178">
        <v>3</v>
      </c>
      <c r="G178" t="s">
        <v>22</v>
      </c>
      <c r="J178" s="106">
        <v>2890</v>
      </c>
      <c r="K178" s="106">
        <v>4186</v>
      </c>
      <c r="L178" s="106">
        <v>3096</v>
      </c>
      <c r="M178" s="106">
        <v>2564</v>
      </c>
      <c r="N178" s="106">
        <v>3538</v>
      </c>
      <c r="O178" s="106">
        <v>3066</v>
      </c>
      <c r="P178" s="106">
        <v>4274</v>
      </c>
      <c r="Q178" s="106">
        <v>2034</v>
      </c>
      <c r="R178" s="106">
        <v>3242</v>
      </c>
      <c r="S178" s="106">
        <v>1946</v>
      </c>
      <c r="T178" s="106">
        <v>2536</v>
      </c>
      <c r="U178" s="106">
        <v>2654</v>
      </c>
      <c r="V178">
        <v>2947.8</v>
      </c>
      <c r="W178">
        <v>4269.72</v>
      </c>
      <c r="X178">
        <v>3157.92</v>
      </c>
      <c r="Y178">
        <v>2615.2800000000002</v>
      </c>
      <c r="Z178">
        <v>3608.76</v>
      </c>
      <c r="AA178">
        <v>3127.32</v>
      </c>
      <c r="AB178">
        <v>4359.4800000000005</v>
      </c>
      <c r="AC178">
        <v>2074.6799999999998</v>
      </c>
      <c r="AD178">
        <v>3306.84</v>
      </c>
      <c r="AE178">
        <v>1984.92</v>
      </c>
      <c r="AF178">
        <v>2586.7200000000003</v>
      </c>
      <c r="AG178">
        <v>2707.08</v>
      </c>
    </row>
    <row r="179" spans="5:33">
      <c r="E179" t="str">
        <v>Client 3</v>
      </c>
      <c r="F179">
        <v>4</v>
      </c>
      <c r="G179" t="s">
        <v>22</v>
      </c>
      <c r="J179" s="106">
        <v>20270</v>
      </c>
      <c r="K179" s="106">
        <v>30296</v>
      </c>
      <c r="L179" s="106">
        <v>24848</v>
      </c>
      <c r="M179" s="106">
        <v>21360</v>
      </c>
      <c r="N179" s="106">
        <v>21360</v>
      </c>
      <c r="O179" s="106">
        <v>12206</v>
      </c>
      <c r="P179" s="106">
        <v>28988</v>
      </c>
      <c r="Q179" s="106">
        <v>14604</v>
      </c>
      <c r="R179" s="106">
        <v>29206</v>
      </c>
      <c r="S179" s="106">
        <v>32040</v>
      </c>
      <c r="T179" s="106">
        <v>16564</v>
      </c>
      <c r="U179" s="106">
        <v>20706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5:33">
      <c r="E180" t="str">
        <v>Client 3</v>
      </c>
      <c r="F180">
        <v>5</v>
      </c>
      <c r="G180" t="s">
        <v>22</v>
      </c>
      <c r="J180" s="106">
        <v>19262</v>
      </c>
      <c r="K180" s="106">
        <v>35272</v>
      </c>
      <c r="L180" s="106">
        <v>26768</v>
      </c>
      <c r="M180" s="106">
        <v>21014</v>
      </c>
      <c r="N180" s="106">
        <v>18512</v>
      </c>
      <c r="O180" s="106">
        <v>27268</v>
      </c>
      <c r="P180" s="106">
        <v>25266</v>
      </c>
      <c r="Q180" s="106">
        <v>21014</v>
      </c>
      <c r="R180" s="106">
        <v>32520</v>
      </c>
      <c r="S180" s="106">
        <v>32770</v>
      </c>
      <c r="T180" s="106">
        <v>32020</v>
      </c>
      <c r="U180" s="106">
        <v>26768</v>
      </c>
      <c r="V180">
        <v>19647.240000000002</v>
      </c>
      <c r="W180">
        <v>35977.440000000002</v>
      </c>
      <c r="X180">
        <v>27303.360000000001</v>
      </c>
      <c r="Y180">
        <v>21396.479999999996</v>
      </c>
      <c r="Z180">
        <v>18882.240000000002</v>
      </c>
      <c r="AA180">
        <v>27813.360000000001</v>
      </c>
      <c r="AB180">
        <v>25771.32</v>
      </c>
      <c r="AC180">
        <v>21434.28</v>
      </c>
      <c r="AD180">
        <v>33170.400000000001</v>
      </c>
      <c r="AE180">
        <v>33425.4</v>
      </c>
      <c r="AF180">
        <v>32660.400000000001</v>
      </c>
      <c r="AG180">
        <v>27303.360000000001</v>
      </c>
    </row>
    <row r="181" spans="5:33">
      <c r="E181" t="str">
        <v>Client 4</v>
      </c>
      <c r="F181">
        <v>1</v>
      </c>
      <c r="G181" t="s">
        <v>22</v>
      </c>
      <c r="J181" s="106">
        <v>43200</v>
      </c>
      <c r="K181" s="106">
        <v>30000</v>
      </c>
      <c r="L181" s="106">
        <v>42400</v>
      </c>
      <c r="M181" s="106">
        <v>55600</v>
      </c>
      <c r="N181" s="106">
        <v>33200</v>
      </c>
      <c r="O181" s="106">
        <v>34400</v>
      </c>
      <c r="P181" s="106">
        <v>25200</v>
      </c>
      <c r="Q181" s="106">
        <v>46400</v>
      </c>
      <c r="R181" s="106">
        <v>41600</v>
      </c>
      <c r="S181" s="106">
        <v>51600</v>
      </c>
      <c r="T181" s="106">
        <v>36800</v>
      </c>
      <c r="U181" s="106">
        <v>24400</v>
      </c>
      <c r="V181">
        <v>45360</v>
      </c>
      <c r="W181">
        <v>31500</v>
      </c>
      <c r="X181">
        <v>44520</v>
      </c>
      <c r="Y181">
        <v>58380</v>
      </c>
      <c r="Z181">
        <v>34860</v>
      </c>
      <c r="AA181">
        <v>36120</v>
      </c>
      <c r="AB181">
        <v>26460</v>
      </c>
      <c r="AC181">
        <v>48720</v>
      </c>
      <c r="AD181">
        <v>43680</v>
      </c>
      <c r="AE181">
        <v>54180</v>
      </c>
      <c r="AF181">
        <v>38640</v>
      </c>
      <c r="AG181">
        <v>25620</v>
      </c>
    </row>
    <row r="182" spans="5:33">
      <c r="E182" t="str">
        <v>Client 4</v>
      </c>
      <c r="F182">
        <v>2</v>
      </c>
      <c r="G182" t="s">
        <v>22</v>
      </c>
      <c r="J182" s="106">
        <v>22290</v>
      </c>
      <c r="K182" s="106">
        <v>25972</v>
      </c>
      <c r="L182" s="106">
        <v>24808</v>
      </c>
      <c r="M182" s="106">
        <v>27716</v>
      </c>
      <c r="N182" s="106">
        <v>15118</v>
      </c>
      <c r="O182" s="106">
        <v>9692</v>
      </c>
      <c r="P182" s="106">
        <v>18606</v>
      </c>
      <c r="Q182" s="106">
        <v>21514</v>
      </c>
      <c r="R182" s="106">
        <v>17444</v>
      </c>
      <c r="S182" s="106">
        <v>23646</v>
      </c>
      <c r="T182" s="106">
        <v>26940</v>
      </c>
      <c r="U182" s="106">
        <v>28298</v>
      </c>
      <c r="V182">
        <v>23404.5</v>
      </c>
      <c r="W182">
        <v>27270.600000000002</v>
      </c>
      <c r="X182">
        <v>26048.400000000001</v>
      </c>
      <c r="Y182">
        <v>29101.800000000003</v>
      </c>
      <c r="Z182">
        <v>15873.900000000001</v>
      </c>
      <c r="AA182">
        <v>10176.6</v>
      </c>
      <c r="AB182">
        <v>19536.3</v>
      </c>
      <c r="AC182">
        <v>22589.7</v>
      </c>
      <c r="AD182">
        <v>18316.2</v>
      </c>
      <c r="AE182">
        <v>24828.3</v>
      </c>
      <c r="AF182">
        <v>28287</v>
      </c>
      <c r="AG182">
        <v>29712.9</v>
      </c>
    </row>
    <row r="183" spans="5:33">
      <c r="E183" t="str">
        <v>Client 4</v>
      </c>
      <c r="F183">
        <v>3</v>
      </c>
      <c r="G183" t="s">
        <v>22</v>
      </c>
      <c r="J183" s="106">
        <v>24338</v>
      </c>
      <c r="K183" s="106">
        <v>16478</v>
      </c>
      <c r="L183" s="106">
        <v>23070</v>
      </c>
      <c r="M183" s="106">
        <v>36506</v>
      </c>
      <c r="N183" s="106">
        <v>27126</v>
      </c>
      <c r="O183" s="106">
        <v>16226</v>
      </c>
      <c r="P183" s="106">
        <v>13944</v>
      </c>
      <c r="Q183" s="106">
        <v>16986</v>
      </c>
      <c r="R183" s="106">
        <v>26620</v>
      </c>
      <c r="S183" s="106">
        <v>20028</v>
      </c>
      <c r="T183" s="106">
        <v>16986</v>
      </c>
      <c r="U183" s="106">
        <v>19014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5769.2200000000303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5:33">
      <c r="E184" t="str">
        <v>Client 4</v>
      </c>
      <c r="F184">
        <v>4</v>
      </c>
      <c r="G184" t="s">
        <v>22</v>
      </c>
      <c r="J184" s="106">
        <v>552</v>
      </c>
      <c r="K184" s="106">
        <v>1260</v>
      </c>
      <c r="L184" s="106">
        <v>1240</v>
      </c>
      <c r="M184" s="106">
        <v>912</v>
      </c>
      <c r="N184" s="106">
        <v>1228</v>
      </c>
      <c r="O184" s="106">
        <v>728</v>
      </c>
      <c r="P184" s="106">
        <v>1424</v>
      </c>
      <c r="Q184" s="106">
        <v>1024</v>
      </c>
      <c r="R184" s="106">
        <v>798</v>
      </c>
      <c r="S184" s="106">
        <v>880</v>
      </c>
      <c r="T184" s="106">
        <v>1372</v>
      </c>
      <c r="U184" s="106">
        <v>1188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5:33">
      <c r="E185" t="str">
        <v>Client 4</v>
      </c>
      <c r="F185">
        <v>5</v>
      </c>
      <c r="G185" t="s">
        <v>22</v>
      </c>
      <c r="J185" s="106">
        <v>11418</v>
      </c>
      <c r="K185" s="106">
        <v>9216</v>
      </c>
      <c r="L185" s="106">
        <v>9766</v>
      </c>
      <c r="M185" s="106">
        <v>10042</v>
      </c>
      <c r="N185" s="106">
        <v>20358</v>
      </c>
      <c r="O185" s="106">
        <v>14582</v>
      </c>
      <c r="P185" s="106">
        <v>10180</v>
      </c>
      <c r="Q185" s="106">
        <v>20634</v>
      </c>
      <c r="R185" s="106">
        <v>14306</v>
      </c>
      <c r="S185" s="106">
        <v>20496</v>
      </c>
      <c r="T185" s="106">
        <v>18020</v>
      </c>
      <c r="U185" s="106">
        <v>14306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5:33">
      <c r="E186" t="str">
        <v>Client 5</v>
      </c>
      <c r="F186">
        <v>1</v>
      </c>
      <c r="G186" t="s">
        <v>22</v>
      </c>
      <c r="J186" s="106">
        <v>5098</v>
      </c>
      <c r="K186" s="106">
        <v>8536</v>
      </c>
      <c r="L186" s="106">
        <v>8536</v>
      </c>
      <c r="M186" s="106">
        <v>7410</v>
      </c>
      <c r="N186" s="106">
        <v>5808</v>
      </c>
      <c r="O186" s="106">
        <v>6282</v>
      </c>
      <c r="P186" s="106">
        <v>6046</v>
      </c>
      <c r="Q186" s="106">
        <v>3556</v>
      </c>
      <c r="R186" s="106">
        <v>6460</v>
      </c>
      <c r="S186" s="106">
        <v>2964</v>
      </c>
      <c r="T186" s="106">
        <v>3616</v>
      </c>
      <c r="U186" s="106">
        <v>3972</v>
      </c>
      <c r="V186">
        <v>4996.04</v>
      </c>
      <c r="W186">
        <v>8365.2800000000007</v>
      </c>
      <c r="X186">
        <v>8365.2800000000007</v>
      </c>
      <c r="Y186">
        <v>7261.8</v>
      </c>
      <c r="Z186">
        <v>5691.84</v>
      </c>
      <c r="AA186">
        <v>6156.36</v>
      </c>
      <c r="AB186">
        <v>5925.08</v>
      </c>
      <c r="AC186">
        <v>3484.88</v>
      </c>
      <c r="AD186">
        <v>6330.8</v>
      </c>
      <c r="AE186">
        <v>2904.72</v>
      </c>
      <c r="AF186">
        <v>3543.68</v>
      </c>
      <c r="AG186">
        <v>3892.56</v>
      </c>
    </row>
    <row r="187" spans="5:33">
      <c r="E187" t="str">
        <v>Client 5</v>
      </c>
      <c r="F187">
        <v>2</v>
      </c>
      <c r="G187" t="s">
        <v>22</v>
      </c>
      <c r="J187" s="106">
        <v>36672</v>
      </c>
      <c r="K187" s="106">
        <v>25182</v>
      </c>
      <c r="L187" s="106">
        <v>14668</v>
      </c>
      <c r="M187" s="106">
        <v>27626</v>
      </c>
      <c r="N187" s="106">
        <v>28360</v>
      </c>
      <c r="O187" s="106">
        <v>19802</v>
      </c>
      <c r="P187" s="106">
        <v>22982</v>
      </c>
      <c r="Q187" s="106">
        <v>26648</v>
      </c>
      <c r="R187" s="106">
        <v>28848</v>
      </c>
      <c r="S187" s="106">
        <v>33004</v>
      </c>
      <c r="T187" s="106">
        <v>29094</v>
      </c>
      <c r="U187" s="106">
        <v>19558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5:33">
      <c r="E188" t="str">
        <v>Client 5</v>
      </c>
      <c r="F188">
        <v>3</v>
      </c>
      <c r="G188" t="s">
        <v>22</v>
      </c>
      <c r="J188" s="106">
        <v>26512</v>
      </c>
      <c r="K188" s="106">
        <v>12514</v>
      </c>
      <c r="L188" s="106">
        <v>26936</v>
      </c>
      <c r="M188" s="106">
        <v>22482</v>
      </c>
      <c r="N188" s="106">
        <v>11242</v>
      </c>
      <c r="O188" s="106">
        <v>13998</v>
      </c>
      <c r="P188" s="106">
        <v>21422</v>
      </c>
      <c r="Q188" s="106">
        <v>19726</v>
      </c>
      <c r="R188" s="106">
        <v>11666</v>
      </c>
      <c r="S188" s="106">
        <v>16756</v>
      </c>
      <c r="T188" s="106">
        <v>23332</v>
      </c>
      <c r="U188" s="106">
        <v>11454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5:33">
      <c r="E189" t="str">
        <v>Client 5</v>
      </c>
      <c r="F189">
        <v>4</v>
      </c>
      <c r="G189" t="s">
        <v>22</v>
      </c>
      <c r="J189" s="106">
        <v>7330</v>
      </c>
      <c r="K189" s="106">
        <v>11188</v>
      </c>
      <c r="L189" s="106">
        <v>8004</v>
      </c>
      <c r="M189" s="106">
        <v>8968</v>
      </c>
      <c r="N189" s="106">
        <v>9836</v>
      </c>
      <c r="O189" s="106">
        <v>13984</v>
      </c>
      <c r="P189" s="106">
        <v>6462</v>
      </c>
      <c r="Q189" s="106">
        <v>10802</v>
      </c>
      <c r="R189" s="106">
        <v>8486</v>
      </c>
      <c r="S189" s="106">
        <v>12248</v>
      </c>
      <c r="T189" s="106">
        <v>8198</v>
      </c>
      <c r="U189" s="106">
        <v>7618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5:33">
      <c r="E190" t="str">
        <v>Client 5</v>
      </c>
      <c r="F190">
        <v>5</v>
      </c>
      <c r="G190" t="s">
        <v>22</v>
      </c>
      <c r="J190" s="106">
        <v>16734</v>
      </c>
      <c r="K190" s="106">
        <v>18670</v>
      </c>
      <c r="L190" s="106">
        <v>10096</v>
      </c>
      <c r="M190" s="106">
        <v>16458</v>
      </c>
      <c r="N190" s="106">
        <v>13138</v>
      </c>
      <c r="O190" s="106">
        <v>15628</v>
      </c>
      <c r="P190" s="106">
        <v>9404</v>
      </c>
      <c r="Q190" s="106">
        <v>8022</v>
      </c>
      <c r="R190" s="106">
        <v>6916</v>
      </c>
      <c r="S190" s="106">
        <v>8436</v>
      </c>
      <c r="T190" s="106">
        <v>18532</v>
      </c>
      <c r="U190" s="106">
        <v>16042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5:33">
      <c r="E191" s="109" t="s">
        <v>65</v>
      </c>
      <c r="F191" s="109"/>
      <c r="G191" s="109" t="s">
        <v>22</v>
      </c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 cm="1">
        <f t="array" ref="V191:AG191">_xlfn.BYCOL(_xlfn.ANCHORARRAY( V166), _xleta.SUM )</f>
        <v>150000</v>
      </c>
      <c r="W191" s="109">
        <v>150000</v>
      </c>
      <c r="X191" s="109">
        <v>150000</v>
      </c>
      <c r="Y191" s="109">
        <v>150000</v>
      </c>
      <c r="Z191" s="109">
        <v>150000</v>
      </c>
      <c r="AA191" s="109">
        <v>150000</v>
      </c>
      <c r="AB191" s="109">
        <v>150000</v>
      </c>
      <c r="AC191" s="109">
        <v>150000</v>
      </c>
      <c r="AD191" s="109">
        <v>150000</v>
      </c>
      <c r="AE191" s="109">
        <v>150000</v>
      </c>
      <c r="AF191" s="109">
        <v>150000</v>
      </c>
      <c r="AG191" s="109">
        <v>150000</v>
      </c>
    </row>
    <row r="193" spans="1:33" s="87" customFormat="1">
      <c r="A193" s="88" t="s">
        <v>62</v>
      </c>
    </row>
    <row r="195" spans="1:33">
      <c r="E195" s="103" t="s">
        <v>16</v>
      </c>
      <c r="F195" s="103" t="s">
        <v>17</v>
      </c>
    </row>
    <row r="196" spans="1:33">
      <c r="E196" t="str" cm="1">
        <f t="array" ref="E196:F221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196" t="str">
        <v/>
      </c>
    </row>
    <row r="197" spans="1:33">
      <c r="E197" t="str">
        <v>Client 1</v>
      </c>
      <c r="F197">
        <v>1</v>
      </c>
      <c r="G197" t="s">
        <v>64</v>
      </c>
      <c r="H197" cm="1">
        <f t="array" ref="H197:H221">_xlfn.BYROW(_xlfn.ANCHORARRAY( V197), _xleta.SUM )</f>
        <v>3983086.1280000005</v>
      </c>
      <c r="V197" s="117" cm="1">
        <f t="array" ref="V197:AG221" xml:space="preserve"> _xlfn.LET(
      _xlpm.volume_constrained,_xlfn.ANCHORARRAY( V166),
      _xlpm.price,_xlfn.ANCHORARRAY( V10),
      _xlpm.volume_constrained * _xlpm.price )</f>
        <v>455681.32800000004</v>
      </c>
      <c r="W197">
        <v>216533.76000000001</v>
      </c>
      <c r="X197">
        <v>216533.76000000001</v>
      </c>
      <c r="Y197">
        <v>258443.52000000005</v>
      </c>
      <c r="Z197">
        <v>192086.40000000002</v>
      </c>
      <c r="AA197">
        <v>223518.72</v>
      </c>
      <c r="AB197">
        <v>247966.08000000005</v>
      </c>
      <c r="AC197">
        <v>520379.52</v>
      </c>
      <c r="AD197">
        <v>474977.28000000009</v>
      </c>
      <c r="AE197">
        <v>199071.36000000002</v>
      </c>
      <c r="AF197">
        <v>461007.3600000001</v>
      </c>
      <c r="AG197">
        <v>516887.0400000001</v>
      </c>
    </row>
    <row r="198" spans="1:33">
      <c r="E198" t="str">
        <v>Client 1</v>
      </c>
      <c r="F198">
        <v>2</v>
      </c>
      <c r="G198" t="s">
        <v>64</v>
      </c>
      <c r="H198">
        <v>216337.30800000002</v>
      </c>
      <c r="V198">
        <v>9573.7608000000018</v>
      </c>
      <c r="W198">
        <v>22672.743600000002</v>
      </c>
      <c r="X198">
        <v>20594.718000000001</v>
      </c>
      <c r="Y198">
        <v>20112.319200000002</v>
      </c>
      <c r="Z198">
        <v>23452.003200000003</v>
      </c>
      <c r="AA198">
        <v>11243.602800000001</v>
      </c>
      <c r="AB198">
        <v>17255.034000000003</v>
      </c>
      <c r="AC198">
        <v>14100.888000000003</v>
      </c>
      <c r="AD198">
        <v>21559.515600000002</v>
      </c>
      <c r="AE198">
        <v>22487.205600000001</v>
      </c>
      <c r="AF198">
        <v>19963.888800000001</v>
      </c>
      <c r="AG198">
        <v>13321.628400000001</v>
      </c>
    </row>
    <row r="199" spans="1:33">
      <c r="E199" t="str">
        <v>Client 1</v>
      </c>
      <c r="F199">
        <v>3</v>
      </c>
      <c r="G199" t="s">
        <v>64</v>
      </c>
      <c r="H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E200" t="str">
        <v>Client 1</v>
      </c>
      <c r="F200">
        <v>4</v>
      </c>
      <c r="G200" t="s">
        <v>64</v>
      </c>
      <c r="H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E201" t="str">
        <v>Client 1</v>
      </c>
      <c r="F201">
        <v>5</v>
      </c>
      <c r="G201" t="s">
        <v>64</v>
      </c>
      <c r="H201">
        <v>538787.94552000007</v>
      </c>
      <c r="V201">
        <v>0</v>
      </c>
      <c r="W201">
        <v>0</v>
      </c>
      <c r="X201">
        <v>0</v>
      </c>
      <c r="Y201">
        <v>0</v>
      </c>
      <c r="Z201">
        <v>137868.04908</v>
      </c>
      <c r="AA201">
        <v>220608.39276000002</v>
      </c>
      <c r="AB201">
        <v>180311.50368000002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E202" t="str">
        <v>Client 2</v>
      </c>
      <c r="F202">
        <v>1</v>
      </c>
      <c r="G202" t="s">
        <v>64</v>
      </c>
      <c r="H202">
        <v>61544.787199999999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61544.787199999999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E203" t="str">
        <v>Client 2</v>
      </c>
      <c r="F203">
        <v>2</v>
      </c>
      <c r="G203" t="s">
        <v>64</v>
      </c>
      <c r="H203">
        <v>67317.760896000094</v>
      </c>
      <c r="V203">
        <v>0</v>
      </c>
      <c r="W203">
        <v>0</v>
      </c>
      <c r="X203">
        <v>0</v>
      </c>
      <c r="Y203">
        <v>0</v>
      </c>
      <c r="Z203">
        <v>10188.882816000183</v>
      </c>
      <c r="AA203">
        <v>29242.567679999902</v>
      </c>
      <c r="AB203">
        <v>27886.310400000006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E204" t="str">
        <v>Client 2</v>
      </c>
      <c r="F204">
        <v>3</v>
      </c>
      <c r="G204" t="s">
        <v>64</v>
      </c>
      <c r="H204">
        <v>2928712.8986080005</v>
      </c>
      <c r="V204">
        <v>196205.12634799973</v>
      </c>
      <c r="W204">
        <v>205465.91407999984</v>
      </c>
      <c r="X204">
        <v>88478.31490400013</v>
      </c>
      <c r="Y204">
        <v>0</v>
      </c>
      <c r="Z204">
        <v>346762.74214400008</v>
      </c>
      <c r="AA204">
        <v>379565.46992000006</v>
      </c>
      <c r="AB204">
        <v>388933.20211200009</v>
      </c>
      <c r="AC204">
        <v>379898.955884</v>
      </c>
      <c r="AD204">
        <v>166506.80043200013</v>
      </c>
      <c r="AE204">
        <v>26271.283164000211</v>
      </c>
      <c r="AF204">
        <v>261399.3729200002</v>
      </c>
      <c r="AG204">
        <v>489225.71670000005</v>
      </c>
    </row>
    <row r="205" spans="1:33">
      <c r="E205" t="str">
        <v>Client 2</v>
      </c>
      <c r="F205">
        <v>4</v>
      </c>
      <c r="G205" t="s">
        <v>64</v>
      </c>
      <c r="H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E206" t="str">
        <v>Client 2</v>
      </c>
      <c r="F206">
        <v>5</v>
      </c>
      <c r="G206" t="s">
        <v>64</v>
      </c>
      <c r="H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E207" t="str">
        <v>Client 3</v>
      </c>
      <c r="F207">
        <v>1</v>
      </c>
      <c r="G207" t="s">
        <v>64</v>
      </c>
      <c r="H207">
        <v>1924557.6240000001</v>
      </c>
      <c r="V207">
        <v>143945.77824000004</v>
      </c>
      <c r="W207">
        <v>134611.99488000001</v>
      </c>
      <c r="X207">
        <v>130159.18080000003</v>
      </c>
      <c r="Y207">
        <v>218872.93824000002</v>
      </c>
      <c r="Z207">
        <v>181880.32896000004</v>
      </c>
      <c r="AA207">
        <v>104983.65504000001</v>
      </c>
      <c r="AB207">
        <v>192241.68480000005</v>
      </c>
      <c r="AC207">
        <v>131614.90848000001</v>
      </c>
      <c r="AD207">
        <v>221870.02464000005</v>
      </c>
      <c r="AE207">
        <v>209967.31008000002</v>
      </c>
      <c r="AF207">
        <v>73985.218560000008</v>
      </c>
      <c r="AG207">
        <v>180424.60128</v>
      </c>
    </row>
    <row r="208" spans="1:33">
      <c r="E208" t="str">
        <v>Client 3</v>
      </c>
      <c r="F208">
        <v>2</v>
      </c>
      <c r="G208" t="s">
        <v>64</v>
      </c>
      <c r="H208">
        <v>4124015.8621200002</v>
      </c>
      <c r="V208">
        <v>492251.00652000005</v>
      </c>
      <c r="W208">
        <v>368271.53244000004</v>
      </c>
      <c r="X208">
        <v>481327.53480000008</v>
      </c>
      <c r="Y208">
        <v>357348.06072000007</v>
      </c>
      <c r="Z208">
        <v>543317.27184000006</v>
      </c>
      <c r="AA208">
        <v>331834.22748000006</v>
      </c>
      <c r="AB208">
        <v>196892.68284000005</v>
      </c>
      <c r="AC208">
        <v>196892.68284000005</v>
      </c>
      <c r="AD208">
        <v>313576.97616000002</v>
      </c>
      <c r="AE208">
        <v>379233.60300000006</v>
      </c>
      <c r="AF208">
        <v>251587.23912000001</v>
      </c>
      <c r="AG208">
        <v>211483.04436000003</v>
      </c>
    </row>
    <row r="209" spans="5:33">
      <c r="E209" t="str">
        <v>Client 3</v>
      </c>
      <c r="F209">
        <v>3</v>
      </c>
      <c r="G209" t="s">
        <v>64</v>
      </c>
      <c r="H209">
        <v>573363.30086399999</v>
      </c>
      <c r="V209">
        <v>45995.112960000006</v>
      </c>
      <c r="W209">
        <v>66621.295104000004</v>
      </c>
      <c r="X209">
        <v>49273.657344000007</v>
      </c>
      <c r="Y209">
        <v>40806.736896000009</v>
      </c>
      <c r="Z209">
        <v>56308.204032000009</v>
      </c>
      <c r="AA209">
        <v>48796.199424000006</v>
      </c>
      <c r="AB209">
        <v>68021.838336000015</v>
      </c>
      <c r="AC209">
        <v>32371.646976</v>
      </c>
      <c r="AD209">
        <v>51597.285888000006</v>
      </c>
      <c r="AE209">
        <v>30971.103744000004</v>
      </c>
      <c r="AF209">
        <v>40361.109504000007</v>
      </c>
      <c r="AG209">
        <v>42239.110656000004</v>
      </c>
    </row>
    <row r="210" spans="5:33">
      <c r="E210" t="str">
        <v>Client 3</v>
      </c>
      <c r="F210">
        <v>4</v>
      </c>
      <c r="G210" t="s">
        <v>64</v>
      </c>
      <c r="H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5:33">
      <c r="E211" t="str">
        <v>Client 3</v>
      </c>
      <c r="F211">
        <v>5</v>
      </c>
      <c r="G211" t="s">
        <v>64</v>
      </c>
      <c r="H211">
        <v>5387863.009920001</v>
      </c>
      <c r="V211">
        <v>325928.06436000008</v>
      </c>
      <c r="W211">
        <v>596829.75216000015</v>
      </c>
      <c r="X211">
        <v>452935.43904000008</v>
      </c>
      <c r="Y211">
        <v>354946.20671999996</v>
      </c>
      <c r="Z211">
        <v>313237.47936000006</v>
      </c>
      <c r="AA211">
        <v>461395.8290400001</v>
      </c>
      <c r="AB211">
        <v>427520.42748000007</v>
      </c>
      <c r="AC211">
        <v>355573.27092000004</v>
      </c>
      <c r="AD211">
        <v>550263.76560000004</v>
      </c>
      <c r="AE211">
        <v>554493.96060000011</v>
      </c>
      <c r="AF211">
        <v>541803.37560000014</v>
      </c>
      <c r="AG211">
        <v>452935.43904000008</v>
      </c>
    </row>
    <row r="212" spans="5:33">
      <c r="E212" t="str">
        <v>Client 4</v>
      </c>
      <c r="F212">
        <v>1</v>
      </c>
      <c r="G212" t="s">
        <v>64</v>
      </c>
      <c r="H212">
        <v>23402494.079999998</v>
      </c>
      <c r="V212">
        <v>2175102.7199999997</v>
      </c>
      <c r="W212">
        <v>1510488</v>
      </c>
      <c r="X212">
        <v>2134823.04</v>
      </c>
      <c r="Y212">
        <v>2799437.76</v>
      </c>
      <c r="Z212">
        <v>1671606.72</v>
      </c>
      <c r="AA212">
        <v>1732026.24</v>
      </c>
      <c r="AB212">
        <v>1268809.92</v>
      </c>
      <c r="AC212">
        <v>2336221.44</v>
      </c>
      <c r="AD212">
        <v>2094543.3599999999</v>
      </c>
      <c r="AE212">
        <v>2598039.36</v>
      </c>
      <c r="AF212">
        <v>1852865.28</v>
      </c>
      <c r="AG212">
        <v>1228530.24</v>
      </c>
    </row>
    <row r="213" spans="5:33">
      <c r="E213" t="str">
        <v>Client 4</v>
      </c>
      <c r="F213">
        <v>2</v>
      </c>
      <c r="G213" t="s">
        <v>64</v>
      </c>
      <c r="H213">
        <v>5102201.0743199997</v>
      </c>
      <c r="V213">
        <v>434003.68620000005</v>
      </c>
      <c r="W213">
        <v>505695.09816000005</v>
      </c>
      <c r="X213">
        <v>483031.11024000007</v>
      </c>
      <c r="Y213">
        <v>539652.13848000008</v>
      </c>
      <c r="Z213">
        <v>294359.25204000005</v>
      </c>
      <c r="AA213">
        <v>188710.79976000002</v>
      </c>
      <c r="AB213">
        <v>362273.33267999999</v>
      </c>
      <c r="AC213">
        <v>418894.36092000006</v>
      </c>
      <c r="AD213">
        <v>339648.28632000001</v>
      </c>
      <c r="AE213">
        <v>460406.06388000003</v>
      </c>
      <c r="AF213">
        <v>524542.81320000009</v>
      </c>
      <c r="AG213">
        <v>550984.13244000007</v>
      </c>
    </row>
    <row r="214" spans="5:33">
      <c r="E214" t="str">
        <v>Client 4</v>
      </c>
      <c r="F214">
        <v>3</v>
      </c>
      <c r="G214" t="s">
        <v>64</v>
      </c>
      <c r="H214">
        <v>84551.380632000451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84551.380632000451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5:33">
      <c r="E215" t="str">
        <v>Client 4</v>
      </c>
      <c r="F215">
        <v>4</v>
      </c>
      <c r="G215" t="s">
        <v>64</v>
      </c>
      <c r="H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5:33">
      <c r="E216" t="str">
        <v>Client 4</v>
      </c>
      <c r="F216">
        <v>5</v>
      </c>
      <c r="G216" t="s">
        <v>64</v>
      </c>
      <c r="H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5:33">
      <c r="E217" t="str">
        <v>Client 5</v>
      </c>
      <c r="F217">
        <v>1</v>
      </c>
      <c r="G217" t="s">
        <v>64</v>
      </c>
      <c r="H217">
        <v>2692257.8502400005</v>
      </c>
      <c r="V217">
        <v>201000.68128000002</v>
      </c>
      <c r="W217">
        <v>336551.94496000005</v>
      </c>
      <c r="X217">
        <v>336551.94496000005</v>
      </c>
      <c r="Y217">
        <v>292156.73760000005</v>
      </c>
      <c r="Z217">
        <v>228994.10688000004</v>
      </c>
      <c r="AA217">
        <v>247682.67552000002</v>
      </c>
      <c r="AB217">
        <v>238377.81856000004</v>
      </c>
      <c r="AC217">
        <v>140203.69216000004</v>
      </c>
      <c r="AD217">
        <v>254700.74560000005</v>
      </c>
      <c r="AE217">
        <v>116862.69504000001</v>
      </c>
      <c r="AF217">
        <v>142569.33376000001</v>
      </c>
      <c r="AG217">
        <v>156605.47392000002</v>
      </c>
    </row>
    <row r="218" spans="5:33">
      <c r="E218" t="str">
        <v>Client 5</v>
      </c>
      <c r="F218">
        <v>2</v>
      </c>
      <c r="G218" t="s">
        <v>64</v>
      </c>
      <c r="H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5:33">
      <c r="E219" t="str">
        <v>Client 5</v>
      </c>
      <c r="F219">
        <v>3</v>
      </c>
      <c r="G219" t="s">
        <v>64</v>
      </c>
      <c r="H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5:33">
      <c r="E220" t="str">
        <v>Client 5</v>
      </c>
      <c r="F220">
        <v>4</v>
      </c>
      <c r="G220" t="s">
        <v>64</v>
      </c>
      <c r="H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5:33">
      <c r="E221" t="str">
        <v>Client 5</v>
      </c>
      <c r="F221">
        <v>5</v>
      </c>
      <c r="G221" t="s">
        <v>64</v>
      </c>
      <c r="H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5:33">
      <c r="E222" s="109" t="s">
        <v>70</v>
      </c>
      <c r="F222" s="109"/>
      <c r="G222" s="109" t="s">
        <v>64</v>
      </c>
      <c r="H222" s="109" cm="1">
        <f t="array" ref="H222">_xlfn.BYROW(_xlfn.ANCHORARRAY( V222), _xleta.SUM )</f>
        <v>51087091.01032</v>
      </c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 cm="1">
        <f t="array" ref="V222:AG222">_xlfn.BYCOL(_xlfn.ANCHORARRAY( V197), _xleta.SUM )</f>
        <v>4479687.2647080002</v>
      </c>
      <c r="W222" s="109">
        <v>3963742.0353839998</v>
      </c>
      <c r="X222" s="109">
        <v>4393708.7000880009</v>
      </c>
      <c r="Y222" s="109">
        <v>4881776.4178559994</v>
      </c>
      <c r="Z222" s="109">
        <v>4000061.4403520003</v>
      </c>
      <c r="AA222" s="109">
        <v>3979608.3794240002</v>
      </c>
      <c r="AB222" s="109">
        <v>3762586.0027200012</v>
      </c>
      <c r="AC222" s="109">
        <v>4526151.3661799999</v>
      </c>
      <c r="AD222" s="109">
        <v>4489244.04024</v>
      </c>
      <c r="AE222" s="109">
        <v>4597803.9451080002</v>
      </c>
      <c r="AF222" s="109">
        <v>4170084.9914640007</v>
      </c>
      <c r="AG222" s="109">
        <v>3842636.4267959995</v>
      </c>
    </row>
    <row r="225" spans="1:33" s="87" customFormat="1">
      <c r="A225" s="88" t="s">
        <v>66</v>
      </c>
    </row>
    <row r="227" spans="1:33">
      <c r="E227" s="103" t="s">
        <v>16</v>
      </c>
      <c r="F227" s="103" t="s">
        <v>17</v>
      </c>
    </row>
    <row r="228" spans="1:33">
      <c r="E228" t="str" cm="1">
        <f t="array" ref="E228:F253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228" t="str">
        <v/>
      </c>
    </row>
    <row r="229" spans="1:33">
      <c r="E229" t="str">
        <v>Client 1</v>
      </c>
      <c r="F229">
        <v>1</v>
      </c>
      <c r="G229" t="s">
        <v>64</v>
      </c>
      <c r="H229" cm="1">
        <f t="array" ref="H229:H253">_xlfn.BYROW(_xlfn.ANCHORARRAY( V229), _xleta.SUM )</f>
        <v>2489428.83</v>
      </c>
      <c r="V229" s="117" cm="1">
        <f t="array" ref="V229:AG253" xml:space="preserve"> _xlfn.LET(
      _xlpm.volume,_xlfn.ANCHORARRAY( V166),
      _xlpm.costs,_xlfn.ANCHORARRAY( V41),
      _xlpm.volume * _xlpm.costs )</f>
        <v>284800.83</v>
      </c>
      <c r="W229">
        <v>135333.6</v>
      </c>
      <c r="X229">
        <v>135333.6</v>
      </c>
      <c r="Y229">
        <v>161527.20000000001</v>
      </c>
      <c r="Z229">
        <v>120054</v>
      </c>
      <c r="AA229">
        <v>139699.19999999998</v>
      </c>
      <c r="AB229">
        <v>154978.80000000002</v>
      </c>
      <c r="AC229">
        <v>325237.2</v>
      </c>
      <c r="AD229">
        <v>296860.79999999999</v>
      </c>
      <c r="AE229">
        <v>124419.59999999999</v>
      </c>
      <c r="AF229">
        <v>288129.60000000003</v>
      </c>
      <c r="AG229">
        <v>323054.40000000002</v>
      </c>
    </row>
    <row r="230" spans="1:33">
      <c r="E230" t="str">
        <v>Client 1</v>
      </c>
      <c r="F230">
        <v>2</v>
      </c>
      <c r="G230" t="s">
        <v>64</v>
      </c>
      <c r="H230">
        <v>94763.828280000002</v>
      </c>
      <c r="V230">
        <v>4193.6651280000005</v>
      </c>
      <c r="W230">
        <v>9931.5092760000007</v>
      </c>
      <c r="X230">
        <v>9021.2563800000007</v>
      </c>
      <c r="Y230">
        <v>8809.9476720000002</v>
      </c>
      <c r="Z230">
        <v>10272.854112000001</v>
      </c>
      <c r="AA230">
        <v>4925.118348</v>
      </c>
      <c r="AB230">
        <v>7558.3499400000001</v>
      </c>
      <c r="AC230">
        <v>6176.7160800000001</v>
      </c>
      <c r="AD230">
        <v>9443.8737959999999</v>
      </c>
      <c r="AE230">
        <v>9850.2366959999999</v>
      </c>
      <c r="AF230">
        <v>8744.9296080000004</v>
      </c>
      <c r="AG230">
        <v>5835.3712439999999</v>
      </c>
    </row>
    <row r="231" spans="1:33">
      <c r="E231" t="str">
        <v>Client 1</v>
      </c>
      <c r="F231">
        <v>3</v>
      </c>
      <c r="G231" t="s">
        <v>64</v>
      </c>
      <c r="H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E232" t="str">
        <v>Client 1</v>
      </c>
      <c r="F232">
        <v>4</v>
      </c>
      <c r="G232" t="s">
        <v>64</v>
      </c>
      <c r="H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E233" t="str">
        <v>Client 1</v>
      </c>
      <c r="F233">
        <v>5</v>
      </c>
      <c r="G233" t="s">
        <v>64</v>
      </c>
      <c r="H233">
        <v>222132.16872000002</v>
      </c>
      <c r="V233">
        <v>0</v>
      </c>
      <c r="W233">
        <v>0</v>
      </c>
      <c r="X233">
        <v>0</v>
      </c>
      <c r="Y233">
        <v>0</v>
      </c>
      <c r="Z233">
        <v>56840.41188</v>
      </c>
      <c r="AA233">
        <v>90952.704360000003</v>
      </c>
      <c r="AB233">
        <v>74339.052480000013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E234" t="str">
        <v>Client 2</v>
      </c>
      <c r="F234">
        <v>1</v>
      </c>
      <c r="G234" t="s">
        <v>64</v>
      </c>
      <c r="H234">
        <v>45680.44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45680.44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E235" t="str">
        <v>Client 2</v>
      </c>
      <c r="F235">
        <v>2</v>
      </c>
      <c r="G235" t="s">
        <v>64</v>
      </c>
      <c r="H235">
        <v>31006.126702000038</v>
      </c>
      <c r="V235">
        <v>0</v>
      </c>
      <c r="W235">
        <v>0</v>
      </c>
      <c r="X235">
        <v>0</v>
      </c>
      <c r="Y235">
        <v>0</v>
      </c>
      <c r="Z235">
        <v>4692.9337420000838</v>
      </c>
      <c r="AA235">
        <v>13468.938159999954</v>
      </c>
      <c r="AB235">
        <v>12844.254800000001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E236" t="str">
        <v>Client 2</v>
      </c>
      <c r="F236">
        <v>3</v>
      </c>
      <c r="G236" t="s">
        <v>64</v>
      </c>
      <c r="H236">
        <v>1075153.7479680004</v>
      </c>
      <c r="V236">
        <v>72028.459007999903</v>
      </c>
      <c r="W236">
        <v>75428.16767999994</v>
      </c>
      <c r="X236">
        <v>32481.091584000045</v>
      </c>
      <c r="Y236">
        <v>0</v>
      </c>
      <c r="Z236">
        <v>127299.35462400001</v>
      </c>
      <c r="AA236">
        <v>139341.49632000001</v>
      </c>
      <c r="AB236">
        <v>142780.46515200002</v>
      </c>
      <c r="AC236">
        <v>139463.92166399999</v>
      </c>
      <c r="AD236">
        <v>61125.967872000045</v>
      </c>
      <c r="AE236">
        <v>9644.3965440000775</v>
      </c>
      <c r="AF236">
        <v>95961.784320000064</v>
      </c>
      <c r="AG236">
        <v>179598.64320000002</v>
      </c>
    </row>
    <row r="237" spans="1:33">
      <c r="E237" t="str">
        <v>Client 2</v>
      </c>
      <c r="F237">
        <v>4</v>
      </c>
      <c r="G237" t="s">
        <v>64</v>
      </c>
      <c r="H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E238" t="str">
        <v>Client 2</v>
      </c>
      <c r="F238">
        <v>5</v>
      </c>
      <c r="G238" t="s">
        <v>64</v>
      </c>
      <c r="H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E239" t="str">
        <v>Client 3</v>
      </c>
      <c r="F239">
        <v>1</v>
      </c>
      <c r="G239" t="s">
        <v>64</v>
      </c>
      <c r="H239">
        <v>1226460.75</v>
      </c>
      <c r="V239">
        <v>91732.170000000013</v>
      </c>
      <c r="W239">
        <v>85784.040000000008</v>
      </c>
      <c r="X239">
        <v>82946.400000000009</v>
      </c>
      <c r="Y239">
        <v>139480.91999999998</v>
      </c>
      <c r="Z239">
        <v>115906.68000000001</v>
      </c>
      <c r="AA239">
        <v>66902.819999999992</v>
      </c>
      <c r="AB239">
        <v>122509.65000000001</v>
      </c>
      <c r="AC239">
        <v>83874.09</v>
      </c>
      <c r="AD239">
        <v>141390.87</v>
      </c>
      <c r="AE239">
        <v>133805.63999999998</v>
      </c>
      <c r="AF239">
        <v>47148.479999999996</v>
      </c>
      <c r="AG239">
        <v>114978.98999999999</v>
      </c>
    </row>
    <row r="240" spans="1:33">
      <c r="E240" t="str">
        <v>Client 3</v>
      </c>
      <c r="F240">
        <v>2</v>
      </c>
      <c r="G240" t="s">
        <v>64</v>
      </c>
      <c r="H240">
        <v>1736681.2529879999</v>
      </c>
      <c r="V240">
        <v>207293.84254799999</v>
      </c>
      <c r="W240">
        <v>155084.33715599999</v>
      </c>
      <c r="X240">
        <v>202693.81451999999</v>
      </c>
      <c r="Y240">
        <v>150484.30912799999</v>
      </c>
      <c r="Z240">
        <v>228798.56721600002</v>
      </c>
      <c r="AA240">
        <v>139740.07405200001</v>
      </c>
      <c r="AB240">
        <v>82914.286116000003</v>
      </c>
      <c r="AC240">
        <v>82914.286116000003</v>
      </c>
      <c r="AD240">
        <v>132051.68798399999</v>
      </c>
      <c r="AE240">
        <v>159700.61970000001</v>
      </c>
      <c r="AF240">
        <v>105946.93528799999</v>
      </c>
      <c r="AG240">
        <v>89058.493164</v>
      </c>
    </row>
    <row r="241" spans="5:33">
      <c r="E241" t="str">
        <v>Client 3</v>
      </c>
      <c r="F241">
        <v>3</v>
      </c>
      <c r="G241" t="s">
        <v>64</v>
      </c>
      <c r="H241">
        <v>203193.556992</v>
      </c>
      <c r="V241">
        <v>16300.154880000002</v>
      </c>
      <c r="W241">
        <v>23609.843712000002</v>
      </c>
      <c r="X241">
        <v>17462.034432</v>
      </c>
      <c r="Y241">
        <v>14461.452288000002</v>
      </c>
      <c r="Z241">
        <v>19954.999296000002</v>
      </c>
      <c r="AA241">
        <v>17292.828672000003</v>
      </c>
      <c r="AB241">
        <v>24106.180608000002</v>
      </c>
      <c r="AC241">
        <v>11472.150528</v>
      </c>
      <c r="AD241">
        <v>18285.502464000001</v>
      </c>
      <c r="AE241">
        <v>10975.813632000001</v>
      </c>
      <c r="AF241">
        <v>14303.526912000003</v>
      </c>
      <c r="AG241">
        <v>14969.069568000001</v>
      </c>
    </row>
    <row r="242" spans="5:33">
      <c r="E242" t="str">
        <v>Client 3</v>
      </c>
      <c r="F242">
        <v>4</v>
      </c>
      <c r="G242" t="s">
        <v>64</v>
      </c>
      <c r="H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5:33">
      <c r="E243" t="str">
        <v>Client 3</v>
      </c>
      <c r="F243">
        <v>5</v>
      </c>
      <c r="G243" t="s">
        <v>64</v>
      </c>
      <c r="H243">
        <v>2134813.6454400001</v>
      </c>
      <c r="V243">
        <v>129141.30852000002</v>
      </c>
      <c r="W243">
        <v>236479.71312000003</v>
      </c>
      <c r="X243">
        <v>179464.98528000002</v>
      </c>
      <c r="Y243">
        <v>140639.06303999998</v>
      </c>
      <c r="Z243">
        <v>124112.96352000002</v>
      </c>
      <c r="AA243">
        <v>182817.21528</v>
      </c>
      <c r="AB243">
        <v>169394.88636</v>
      </c>
      <c r="AC243">
        <v>140887.52244</v>
      </c>
      <c r="AD243">
        <v>218029.03920000003</v>
      </c>
      <c r="AE243">
        <v>219705.15420000002</v>
      </c>
      <c r="AF243">
        <v>214676.80920000002</v>
      </c>
      <c r="AG243">
        <v>179464.98528000002</v>
      </c>
    </row>
    <row r="244" spans="5:33">
      <c r="E244" t="str">
        <v>Client 4</v>
      </c>
      <c r="F244">
        <v>1</v>
      </c>
      <c r="G244" t="s">
        <v>64</v>
      </c>
      <c r="H244">
        <v>13055070</v>
      </c>
      <c r="V244">
        <v>1213380</v>
      </c>
      <c r="W244">
        <v>842625</v>
      </c>
      <c r="X244">
        <v>1190910</v>
      </c>
      <c r="Y244">
        <v>1561665</v>
      </c>
      <c r="Z244">
        <v>932505</v>
      </c>
      <c r="AA244">
        <v>966210</v>
      </c>
      <c r="AB244">
        <v>707805</v>
      </c>
      <c r="AC244">
        <v>1303260</v>
      </c>
      <c r="AD244">
        <v>1168440</v>
      </c>
      <c r="AE244">
        <v>1449315</v>
      </c>
      <c r="AF244">
        <v>1033620</v>
      </c>
      <c r="AG244">
        <v>685335</v>
      </c>
    </row>
    <row r="245" spans="5:33">
      <c r="E245" t="str">
        <v>Client 4</v>
      </c>
      <c r="F245">
        <v>2</v>
      </c>
      <c r="G245" t="s">
        <v>64</v>
      </c>
      <c r="H245">
        <v>2192337.40698</v>
      </c>
      <c r="V245">
        <v>186484.71554999999</v>
      </c>
      <c r="W245">
        <v>217289.41374000002</v>
      </c>
      <c r="X245">
        <v>207551.04636000001</v>
      </c>
      <c r="Y245">
        <v>231880.23222000003</v>
      </c>
      <c r="Z245">
        <v>126481.64781000001</v>
      </c>
      <c r="AA245">
        <v>81086.131140000012</v>
      </c>
      <c r="AB245">
        <v>155663.28477</v>
      </c>
      <c r="AC245">
        <v>179992.47063</v>
      </c>
      <c r="AD245">
        <v>145941.64998000002</v>
      </c>
      <c r="AE245">
        <v>197829.41157</v>
      </c>
      <c r="AF245">
        <v>225387.98730000001</v>
      </c>
      <c r="AG245">
        <v>236749.41591000001</v>
      </c>
    </row>
    <row r="246" spans="5:33">
      <c r="E246" t="str">
        <v>Client 4</v>
      </c>
      <c r="F246">
        <v>3</v>
      </c>
      <c r="G246" t="s">
        <v>64</v>
      </c>
      <c r="H246">
        <v>31901.47891200017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31901.47891200017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5:33">
      <c r="E247" t="str">
        <v>Client 4</v>
      </c>
      <c r="F247">
        <v>4</v>
      </c>
      <c r="G247" t="s">
        <v>64</v>
      </c>
      <c r="H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5:33">
      <c r="E248" t="str">
        <v>Client 4</v>
      </c>
      <c r="F248">
        <v>5</v>
      </c>
      <c r="G248" t="s">
        <v>64</v>
      </c>
      <c r="H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5:33">
      <c r="E249" t="str">
        <v>Client 5</v>
      </c>
      <c r="F249">
        <v>1</v>
      </c>
      <c r="G249" t="s">
        <v>64</v>
      </c>
      <c r="H249">
        <v>1790065.0599999998</v>
      </c>
      <c r="V249">
        <v>133644.07</v>
      </c>
      <c r="W249">
        <v>223771.24000000002</v>
      </c>
      <c r="X249">
        <v>223771.24000000002</v>
      </c>
      <c r="Y249">
        <v>194253.15</v>
      </c>
      <c r="Z249">
        <v>152256.72</v>
      </c>
      <c r="AA249">
        <v>164682.63</v>
      </c>
      <c r="AB249">
        <v>158495.88999999998</v>
      </c>
      <c r="AC249">
        <v>93220.540000000008</v>
      </c>
      <c r="AD249">
        <v>169348.9</v>
      </c>
      <c r="AE249">
        <v>77701.259999999995</v>
      </c>
      <c r="AF249">
        <v>94793.44</v>
      </c>
      <c r="AG249">
        <v>104125.98</v>
      </c>
    </row>
    <row r="250" spans="5:33">
      <c r="E250" t="str">
        <v>Client 5</v>
      </c>
      <c r="F250">
        <v>2</v>
      </c>
      <c r="G250" t="s">
        <v>64</v>
      </c>
      <c r="H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5:33">
      <c r="E251" t="str">
        <v>Client 5</v>
      </c>
      <c r="F251">
        <v>3</v>
      </c>
      <c r="G251" t="s">
        <v>64</v>
      </c>
      <c r="H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5:33">
      <c r="E252" t="str">
        <v>Client 5</v>
      </c>
      <c r="F252">
        <v>4</v>
      </c>
      <c r="G252" t="s">
        <v>64</v>
      </c>
      <c r="H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5:33">
      <c r="E253" t="str">
        <v>Client 5</v>
      </c>
      <c r="F253">
        <v>5</v>
      </c>
      <c r="G253" t="s">
        <v>64</v>
      </c>
      <c r="H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5:33">
      <c r="E254" s="109" t="s">
        <v>67</v>
      </c>
      <c r="F254" s="109"/>
      <c r="G254" s="109" t="s">
        <v>64</v>
      </c>
      <c r="H254" s="109" cm="1">
        <f t="array" ref="H254">_xlfn.BYROW(_xlfn.ANCHORARRAY( V254), _xleta.SUM )</f>
        <v>26328688.292982005</v>
      </c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 cm="1">
        <f t="array" ref="V254:AG254">_xlfn.BYCOL(_xlfn.ANCHORARRAY( V229), _xleta.SUM )</f>
        <v>2338999.2156339996</v>
      </c>
      <c r="W254" s="109">
        <v>2005336.8646839999</v>
      </c>
      <c r="X254" s="109">
        <v>2281635.4685560004</v>
      </c>
      <c r="Y254" s="109">
        <v>2603201.2743480001</v>
      </c>
      <c r="Z254" s="109">
        <v>2019176.1322000001</v>
      </c>
      <c r="AA254" s="109">
        <v>2007119.1563320002</v>
      </c>
      <c r="AB254" s="109">
        <v>1890972.019138</v>
      </c>
      <c r="AC254" s="109">
        <v>2366498.8974580001</v>
      </c>
      <c r="AD254" s="109">
        <v>2360918.2912960001</v>
      </c>
      <c r="AE254" s="109">
        <v>2392947.132342</v>
      </c>
      <c r="AF254" s="109">
        <v>2128713.4926280002</v>
      </c>
      <c r="AG254" s="109">
        <v>1933170.348366</v>
      </c>
    </row>
    <row r="257" spans="1:33" s="87" customFormat="1">
      <c r="A257" s="88" t="s">
        <v>68</v>
      </c>
    </row>
    <row r="259" spans="1:33">
      <c r="E259" s="103" t="s">
        <v>16</v>
      </c>
      <c r="F259" s="103" t="s">
        <v>17</v>
      </c>
    </row>
    <row r="260" spans="1:33">
      <c r="E260" t="str" cm="1">
        <f t="array" ref="E260:F285">_xlfn.LET(
   _xlpm.historicals, CaseData!$B$8:$G$307,
   _xlpm.month,   INDEX( _xlpm.historicals,, 1 ),
   _xlpm.client,  "Client " &amp; INDEX( _xlpm.historicals,, 2),
   _xlpm.product, INDEX( _xlpm.historicals,, 3),
   _xlpm.volume, INDEX( _xlpm.historicals,, 4 ),
   _xlpm.price,   INDEX( _xlpm.historicals,, 5),
   _xlfn.TAKE( _xlfn.PIVOTBY( _xlfn.HSTACK( _xlpm.client, _xlpm.product ), _xlpm.month, _xlpm.volume, _xleta.SUM, ,0 ),, 2 ) )</f>
        <v/>
      </c>
      <c r="F260" t="str">
        <v/>
      </c>
    </row>
    <row r="261" spans="1:33">
      <c r="E261" t="str">
        <v>Client 1</v>
      </c>
      <c r="F261">
        <v>1</v>
      </c>
      <c r="G261" t="s">
        <v>64</v>
      </c>
      <c r="H261" cm="1">
        <f t="array" ref="H261:H285">_xlfn.BYROW(_xlfn.ANCHORARRAY( V261), _xleta.SUM )</f>
        <v>1493657.2980000004</v>
      </c>
      <c r="V261" s="117" cm="1">
        <f t="array" ref="V261:AG285" xml:space="preserve"> _xlfn.LET(
      _xlpm.revenue,_xlfn.ANCHORARRAY( V197),
      _xlpm.cogs,_xlfn.ANCHORARRAY( V229),
      _xlpm.revenue - _xlpm.cogs )</f>
        <v>170880.49800000002</v>
      </c>
      <c r="W261">
        <v>81200.160000000003</v>
      </c>
      <c r="X261">
        <v>81200.160000000003</v>
      </c>
      <c r="Y261">
        <v>96916.320000000036</v>
      </c>
      <c r="Z261">
        <v>72032.400000000023</v>
      </c>
      <c r="AA261">
        <v>83819.520000000019</v>
      </c>
      <c r="AB261">
        <v>92987.280000000028</v>
      </c>
      <c r="AC261">
        <v>195142.32</v>
      </c>
      <c r="AD261">
        <v>178116.4800000001</v>
      </c>
      <c r="AE261">
        <v>74651.760000000024</v>
      </c>
      <c r="AF261">
        <v>172877.76000000007</v>
      </c>
      <c r="AG261">
        <v>193832.64000000007</v>
      </c>
    </row>
    <row r="262" spans="1:33">
      <c r="E262" t="str">
        <v>Client 1</v>
      </c>
      <c r="F262">
        <v>2</v>
      </c>
      <c r="G262" t="s">
        <v>64</v>
      </c>
      <c r="H262">
        <v>121573.47972000002</v>
      </c>
      <c r="V262">
        <v>5380.0956720000013</v>
      </c>
      <c r="W262">
        <v>12741.234324000001</v>
      </c>
      <c r="X262">
        <v>11573.46162</v>
      </c>
      <c r="Y262">
        <v>11302.371528000001</v>
      </c>
      <c r="Z262">
        <v>13179.149088000002</v>
      </c>
      <c r="AA262">
        <v>6318.4844520000006</v>
      </c>
      <c r="AB262">
        <v>9696.6840600000032</v>
      </c>
      <c r="AC262">
        <v>7924.1719200000025</v>
      </c>
      <c r="AD262">
        <v>12115.641804000003</v>
      </c>
      <c r="AE262">
        <v>12636.968904000001</v>
      </c>
      <c r="AF262">
        <v>11218.959192</v>
      </c>
      <c r="AG262">
        <v>7486.2571560000015</v>
      </c>
    </row>
    <row r="263" spans="1:33">
      <c r="E263" t="str">
        <v>Client 1</v>
      </c>
      <c r="F263">
        <v>3</v>
      </c>
      <c r="G263" t="s">
        <v>64</v>
      </c>
      <c r="H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E264" t="str">
        <v>Client 1</v>
      </c>
      <c r="F264">
        <v>4</v>
      </c>
      <c r="G264" t="s">
        <v>64</v>
      </c>
      <c r="H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E265" t="str">
        <v>Client 1</v>
      </c>
      <c r="F265">
        <v>5</v>
      </c>
      <c r="G265" t="s">
        <v>64</v>
      </c>
      <c r="H265">
        <v>316655.77679999999</v>
      </c>
      <c r="V265">
        <v>0</v>
      </c>
      <c r="W265">
        <v>0</v>
      </c>
      <c r="X265">
        <v>0</v>
      </c>
      <c r="Y265">
        <v>0</v>
      </c>
      <c r="Z265">
        <v>81027.637199999997</v>
      </c>
      <c r="AA265">
        <v>129655.68840000001</v>
      </c>
      <c r="AB265">
        <v>105972.45120000001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E266" t="str">
        <v>Client 2</v>
      </c>
      <c r="F266">
        <v>1</v>
      </c>
      <c r="G266" t="s">
        <v>64</v>
      </c>
      <c r="H266">
        <v>15864.347199999997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15864.347199999997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E267" t="str">
        <v>Client 2</v>
      </c>
      <c r="F267">
        <v>2</v>
      </c>
      <c r="G267" t="s">
        <v>64</v>
      </c>
      <c r="H267">
        <v>36311.634194000049</v>
      </c>
      <c r="V267">
        <v>0</v>
      </c>
      <c r="W267">
        <v>0</v>
      </c>
      <c r="X267">
        <v>0</v>
      </c>
      <c r="Y267">
        <v>0</v>
      </c>
      <c r="Z267">
        <v>5495.9490740000992</v>
      </c>
      <c r="AA267">
        <v>15773.629519999948</v>
      </c>
      <c r="AB267">
        <v>15042.055600000005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E268" t="str">
        <v>Client 2</v>
      </c>
      <c r="F268">
        <v>3</v>
      </c>
      <c r="G268" t="s">
        <v>64</v>
      </c>
      <c r="H268">
        <v>1853559.1506400006</v>
      </c>
      <c r="V268">
        <v>124176.66733999983</v>
      </c>
      <c r="W268">
        <v>130037.7463999999</v>
      </c>
      <c r="X268">
        <v>55997.223320000085</v>
      </c>
      <c r="Y268">
        <v>0</v>
      </c>
      <c r="Z268">
        <v>219463.38752000005</v>
      </c>
      <c r="AA268">
        <v>240223.97360000006</v>
      </c>
      <c r="AB268">
        <v>246152.73696000007</v>
      </c>
      <c r="AC268">
        <v>240435.03422</v>
      </c>
      <c r="AD268">
        <v>105380.8325600001</v>
      </c>
      <c r="AE268">
        <v>16626.886620000136</v>
      </c>
      <c r="AF268">
        <v>165437.58860000013</v>
      </c>
      <c r="AG268">
        <v>309627.07350000006</v>
      </c>
    </row>
    <row r="269" spans="1:33">
      <c r="E269" t="str">
        <v>Client 2</v>
      </c>
      <c r="F269">
        <v>4</v>
      </c>
      <c r="G269" t="s">
        <v>64</v>
      </c>
      <c r="H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E270" t="str">
        <v>Client 2</v>
      </c>
      <c r="F270">
        <v>5</v>
      </c>
      <c r="G270" t="s">
        <v>64</v>
      </c>
      <c r="H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E271" t="str">
        <v>Client 3</v>
      </c>
      <c r="F271">
        <v>1</v>
      </c>
      <c r="G271" t="s">
        <v>64</v>
      </c>
      <c r="H271">
        <v>698096.8740000003</v>
      </c>
      <c r="V271">
        <v>52213.60824000003</v>
      </c>
      <c r="W271">
        <v>48827.954880000005</v>
      </c>
      <c r="X271">
        <v>47212.780800000022</v>
      </c>
      <c r="Y271">
        <v>79392.018240000034</v>
      </c>
      <c r="Z271">
        <v>65973.648960000035</v>
      </c>
      <c r="AA271">
        <v>38080.83504000002</v>
      </c>
      <c r="AB271">
        <v>69732.034800000038</v>
      </c>
      <c r="AC271">
        <v>47740.818480000016</v>
      </c>
      <c r="AD271">
        <v>80479.154640000052</v>
      </c>
      <c r="AE271">
        <v>76161.67008000004</v>
      </c>
      <c r="AF271">
        <v>26836.738560000013</v>
      </c>
      <c r="AG271">
        <v>65445.611280000012</v>
      </c>
    </row>
    <row r="272" spans="1:33">
      <c r="E272" t="str">
        <v>Client 3</v>
      </c>
      <c r="F272">
        <v>2</v>
      </c>
      <c r="G272" t="s">
        <v>64</v>
      </c>
      <c r="H272">
        <v>2387334.6091320007</v>
      </c>
      <c r="V272">
        <v>284957.16397200007</v>
      </c>
      <c r="W272">
        <v>213187.19528400004</v>
      </c>
      <c r="X272">
        <v>278633.72028000013</v>
      </c>
      <c r="Y272">
        <v>206863.75159200007</v>
      </c>
      <c r="Z272">
        <v>314518.70462400001</v>
      </c>
      <c r="AA272">
        <v>192094.15342800005</v>
      </c>
      <c r="AB272">
        <v>113978.39672400005</v>
      </c>
      <c r="AC272">
        <v>113978.39672400005</v>
      </c>
      <c r="AD272">
        <v>181525.28817600003</v>
      </c>
      <c r="AE272">
        <v>219532.98330000005</v>
      </c>
      <c r="AF272">
        <v>145640.30383200001</v>
      </c>
      <c r="AG272">
        <v>122424.55119600003</v>
      </c>
    </row>
    <row r="273" spans="5:33">
      <c r="E273" t="str">
        <v>Client 3</v>
      </c>
      <c r="F273">
        <v>3</v>
      </c>
      <c r="G273" t="s">
        <v>64</v>
      </c>
      <c r="H273">
        <v>370169.74387200014</v>
      </c>
      <c r="V273">
        <v>29694.958080000004</v>
      </c>
      <c r="W273">
        <v>43011.451392000003</v>
      </c>
      <c r="X273">
        <v>31811.622912000006</v>
      </c>
      <c r="Y273">
        <v>26345.284608000009</v>
      </c>
      <c r="Z273">
        <v>36353.204736000007</v>
      </c>
      <c r="AA273">
        <v>31503.370752000003</v>
      </c>
      <c r="AB273">
        <v>43915.657728000013</v>
      </c>
      <c r="AC273">
        <v>20899.496447999998</v>
      </c>
      <c r="AD273">
        <v>33311.783424000008</v>
      </c>
      <c r="AE273">
        <v>19995.290112000002</v>
      </c>
      <c r="AF273">
        <v>26057.582592000006</v>
      </c>
      <c r="AG273">
        <v>27270.041088000005</v>
      </c>
    </row>
    <row r="274" spans="5:33">
      <c r="E274" t="str">
        <v>Client 3</v>
      </c>
      <c r="F274">
        <v>4</v>
      </c>
      <c r="G274" t="s">
        <v>64</v>
      </c>
      <c r="H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5:33">
      <c r="E275" t="str">
        <v>Client 3</v>
      </c>
      <c r="F275">
        <v>5</v>
      </c>
      <c r="G275" t="s">
        <v>64</v>
      </c>
      <c r="H275">
        <v>3253049.3644800009</v>
      </c>
      <c r="V275">
        <v>196786.75584000006</v>
      </c>
      <c r="W275">
        <v>360350.03904000012</v>
      </c>
      <c r="X275">
        <v>273470.45376000006</v>
      </c>
      <c r="Y275">
        <v>214307.14367999998</v>
      </c>
      <c r="Z275">
        <v>189124.51584000004</v>
      </c>
      <c r="AA275">
        <v>278578.61376000009</v>
      </c>
      <c r="AB275">
        <v>258125.54112000007</v>
      </c>
      <c r="AC275">
        <v>214685.74848000004</v>
      </c>
      <c r="AD275">
        <v>332234.72640000004</v>
      </c>
      <c r="AE275">
        <v>334788.80640000012</v>
      </c>
      <c r="AF275">
        <v>327126.56640000013</v>
      </c>
      <c r="AG275">
        <v>273470.45376000006</v>
      </c>
    </row>
    <row r="276" spans="5:33">
      <c r="E276" t="str">
        <v>Client 4</v>
      </c>
      <c r="F276">
        <v>1</v>
      </c>
      <c r="G276" t="s">
        <v>64</v>
      </c>
      <c r="H276">
        <v>10347424.079999998</v>
      </c>
      <c r="V276">
        <v>961722.71999999974</v>
      </c>
      <c r="W276">
        <v>667863</v>
      </c>
      <c r="X276">
        <v>943913.04</v>
      </c>
      <c r="Y276">
        <v>1237772.7599999998</v>
      </c>
      <c r="Z276">
        <v>739101.72</v>
      </c>
      <c r="AA276">
        <v>765816.24</v>
      </c>
      <c r="AB276">
        <v>561004.91999999993</v>
      </c>
      <c r="AC276">
        <v>1032961.44</v>
      </c>
      <c r="AD276">
        <v>926103.35999999987</v>
      </c>
      <c r="AE276">
        <v>1148724.3599999999</v>
      </c>
      <c r="AF276">
        <v>819245.28</v>
      </c>
      <c r="AG276">
        <v>543195.24</v>
      </c>
    </row>
    <row r="277" spans="5:33">
      <c r="E277" t="str">
        <v>Client 4</v>
      </c>
      <c r="F277">
        <v>2</v>
      </c>
      <c r="G277" t="s">
        <v>64</v>
      </c>
      <c r="H277">
        <v>2909863.6673400011</v>
      </c>
      <c r="V277">
        <v>247518.97065000006</v>
      </c>
      <c r="W277">
        <v>288405.68442000006</v>
      </c>
      <c r="X277">
        <v>275480.06388000003</v>
      </c>
      <c r="Y277">
        <v>307771.90626000008</v>
      </c>
      <c r="Z277">
        <v>167877.60423000006</v>
      </c>
      <c r="AA277">
        <v>107624.66862000001</v>
      </c>
      <c r="AB277">
        <v>206610.04790999999</v>
      </c>
      <c r="AC277">
        <v>238901.89029000007</v>
      </c>
      <c r="AD277">
        <v>193706.63634</v>
      </c>
      <c r="AE277">
        <v>262576.65231000003</v>
      </c>
      <c r="AF277">
        <v>299154.82590000005</v>
      </c>
      <c r="AG277">
        <v>314234.71653000009</v>
      </c>
    </row>
    <row r="278" spans="5:33">
      <c r="E278" t="str">
        <v>Client 4</v>
      </c>
      <c r="F278">
        <v>3</v>
      </c>
      <c r="G278" t="s">
        <v>64</v>
      </c>
      <c r="H278">
        <v>52649.901720000285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52649.901720000285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5:33">
      <c r="E279" t="str">
        <v>Client 4</v>
      </c>
      <c r="F279">
        <v>4</v>
      </c>
      <c r="G279" t="s">
        <v>64</v>
      </c>
      <c r="H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5:33">
      <c r="E280" t="str">
        <v>Client 4</v>
      </c>
      <c r="F280">
        <v>5</v>
      </c>
      <c r="G280" t="s">
        <v>64</v>
      </c>
      <c r="H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5:33">
      <c r="E281" t="str">
        <v>Client 5</v>
      </c>
      <c r="F281">
        <v>1</v>
      </c>
      <c r="G281" t="s">
        <v>64</v>
      </c>
      <c r="H281">
        <v>902192.79024000047</v>
      </c>
      <c r="V281">
        <v>67356.611280000012</v>
      </c>
      <c r="W281">
        <v>112780.70496000003</v>
      </c>
      <c r="X281">
        <v>112780.70496000003</v>
      </c>
      <c r="Y281">
        <v>97903.587600000057</v>
      </c>
      <c r="Z281">
        <v>76737.386880000035</v>
      </c>
      <c r="AA281">
        <v>83000.045520000014</v>
      </c>
      <c r="AB281">
        <v>79881.928560000058</v>
      </c>
      <c r="AC281">
        <v>46983.152160000027</v>
      </c>
      <c r="AD281">
        <v>85351.845600000059</v>
      </c>
      <c r="AE281">
        <v>39161.435040000011</v>
      </c>
      <c r="AF281">
        <v>47775.893760000006</v>
      </c>
      <c r="AG281">
        <v>52479.493920000023</v>
      </c>
    </row>
    <row r="282" spans="5:33">
      <c r="E282" t="str">
        <v>Client 5</v>
      </c>
      <c r="F282">
        <v>2</v>
      </c>
      <c r="G282" t="s">
        <v>64</v>
      </c>
      <c r="H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5:33">
      <c r="E283" t="str">
        <v>Client 5</v>
      </c>
      <c r="F283">
        <v>3</v>
      </c>
      <c r="G283" t="s">
        <v>64</v>
      </c>
      <c r="H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5:33">
      <c r="E284" t="str">
        <v>Client 5</v>
      </c>
      <c r="F284">
        <v>4</v>
      </c>
      <c r="G284" t="s">
        <v>64</v>
      </c>
      <c r="H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5:33">
      <c r="E285" t="str">
        <v>Client 5</v>
      </c>
      <c r="F285">
        <v>5</v>
      </c>
      <c r="G285" t="s">
        <v>64</v>
      </c>
      <c r="H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5:33">
      <c r="E286" s="109" t="s">
        <v>69</v>
      </c>
      <c r="F286" s="109"/>
      <c r="G286" s="109" t="s">
        <v>64</v>
      </c>
      <c r="H286" s="109" cm="1">
        <f t="array" ref="H286">_xlfn.BYROW(_xlfn.ANCHORARRAY( V286), _xleta.SUM )</f>
        <v>24758402.717338003</v>
      </c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 cm="1">
        <f t="array" ref="V286:AG286">_xlfn.BYCOL(_xlfn.ANCHORARRAY( V261), _xleta.SUM )</f>
        <v>2140688.0490739997</v>
      </c>
      <c r="W286" s="109">
        <v>1958405.1707000001</v>
      </c>
      <c r="X286" s="109">
        <v>2112073.2315320005</v>
      </c>
      <c r="Y286" s="109">
        <v>2278575.1435080003</v>
      </c>
      <c r="Z286" s="109">
        <v>1980885.3081520004</v>
      </c>
      <c r="AA286" s="109">
        <v>1972489.2230920002</v>
      </c>
      <c r="AB286" s="109">
        <v>1871613.9835820005</v>
      </c>
      <c r="AC286" s="109">
        <v>2159652.4687220003</v>
      </c>
      <c r="AD286" s="109">
        <v>2128325.7489440003</v>
      </c>
      <c r="AE286" s="109">
        <v>2204856.8127660002</v>
      </c>
      <c r="AF286" s="109">
        <v>2041371.4988360004</v>
      </c>
      <c r="AG286" s="109">
        <v>1909466.0784300005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0" fitToHeight="0" orientation="landscape" r:id="rId1"/>
  <headerFooter>
    <oddFooter>&amp;LFinancial Modeling Institute
CFM October 2026&amp;CPage &amp;P of &amp;N&amp;R&amp;D</oddFooter>
  </headerFooter>
  <rowBreaks count="4" manualBreakCount="4">
    <brk id="67" min="21" max="32" man="1"/>
    <brk id="129" min="21" max="32" man="1"/>
    <brk id="161" min="21" max="32" man="1"/>
    <brk id="224" min="21" max="32" man="1"/>
  </rowBreaks>
  <colBreaks count="1" manualBreakCount="1">
    <brk id="21" max="28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F841-ECC4-40C0-98D1-FDAFC1A50D20}">
  <sheetPr>
    <tabColor rgb="FFFFFF00"/>
  </sheetPr>
  <dimension ref="B1:Q307"/>
  <sheetViews>
    <sheetView showGridLines="0" zoomScaleNormal="100" workbookViewId="0">
      <selection activeCell="P7" sqref="P7"/>
    </sheetView>
  </sheetViews>
  <sheetFormatPr defaultColWidth="8.59765625" defaultRowHeight="13.2"/>
  <cols>
    <col min="1" max="1" width="2.296875" style="4" customWidth="1"/>
    <col min="2" max="4" width="8.59765625" style="4"/>
    <col min="5" max="5" width="10.5" style="4" customWidth="1"/>
    <col min="6" max="6" width="9.09765625" style="4" customWidth="1"/>
    <col min="7" max="7" width="10.3984375" style="4" customWidth="1"/>
    <col min="8" max="8" width="4.5" style="4" customWidth="1"/>
    <col min="9" max="9" width="8.59765625" style="4"/>
    <col min="10" max="10" width="7.09765625" style="4" customWidth="1"/>
    <col min="11" max="11" width="9.8984375" style="4" bestFit="1" customWidth="1"/>
    <col min="12" max="12" width="4.5" style="4" customWidth="1"/>
    <col min="13" max="13" width="8.59765625" style="4"/>
    <col min="14" max="14" width="11.3984375" style="4" customWidth="1"/>
    <col min="15" max="15" width="4.5" style="4" customWidth="1"/>
    <col min="16" max="16" width="8" style="4" customWidth="1"/>
    <col min="17" max="17" width="7.09765625" style="4" customWidth="1"/>
    <col min="18" max="16384" width="8.59765625" style="4"/>
  </cols>
  <sheetData>
    <row r="1" spans="2:17">
      <c r="H1" s="5"/>
      <c r="M1" s="5"/>
    </row>
    <row r="2" spans="2:17" ht="22.8">
      <c r="B2" s="6" t="s">
        <v>9</v>
      </c>
      <c r="C2" s="7"/>
      <c r="D2" s="7"/>
      <c r="E2" s="7"/>
      <c r="F2" s="7"/>
      <c r="G2" s="7"/>
      <c r="H2" s="100"/>
      <c r="I2" s="7"/>
      <c r="J2" s="7"/>
      <c r="K2" s="7"/>
      <c r="L2" s="7"/>
      <c r="M2" s="8"/>
      <c r="N2" s="7"/>
      <c r="O2" s="7"/>
      <c r="P2" s="7"/>
      <c r="Q2" s="7"/>
    </row>
    <row r="3" spans="2:17" ht="17.399999999999999">
      <c r="B3" s="9" t="s">
        <v>10</v>
      </c>
      <c r="C3" s="7"/>
      <c r="D3" s="7"/>
      <c r="E3" s="7"/>
      <c r="F3" s="7"/>
      <c r="G3" s="7"/>
      <c r="H3" s="8"/>
      <c r="I3" s="7"/>
      <c r="J3" s="7"/>
      <c r="K3" s="7"/>
      <c r="L3" s="7"/>
      <c r="M3" s="8"/>
      <c r="N3" s="7"/>
      <c r="O3" s="7"/>
      <c r="P3" s="7"/>
      <c r="Q3" s="7"/>
    </row>
    <row r="4" spans="2:17" ht="17.399999999999999">
      <c r="B4" s="9"/>
      <c r="H4" s="5"/>
      <c r="M4" s="5"/>
    </row>
    <row r="5" spans="2:17" ht="31.05" customHeight="1">
      <c r="B5" s="10" t="s">
        <v>11</v>
      </c>
      <c r="C5" s="11"/>
      <c r="D5" s="12"/>
      <c r="E5" s="12"/>
      <c r="F5" s="12"/>
      <c r="G5" s="13"/>
      <c r="I5" s="14" t="s">
        <v>12</v>
      </c>
      <c r="J5" s="15"/>
      <c r="K5" s="16"/>
      <c r="M5" s="14" t="s">
        <v>13</v>
      </c>
      <c r="N5" s="17"/>
      <c r="P5" s="14" t="s">
        <v>14</v>
      </c>
      <c r="Q5" s="18"/>
    </row>
    <row r="6" spans="2:17">
      <c r="B6" s="19" t="s">
        <v>15</v>
      </c>
      <c r="C6" s="20" t="s">
        <v>16</v>
      </c>
      <c r="D6" s="20" t="s">
        <v>17</v>
      </c>
      <c r="E6" s="20" t="s">
        <v>18</v>
      </c>
      <c r="F6" s="20" t="s">
        <v>0</v>
      </c>
      <c r="G6" s="21" t="s">
        <v>19</v>
      </c>
      <c r="I6" s="22" t="s">
        <v>16</v>
      </c>
      <c r="J6" s="23" t="s">
        <v>5</v>
      </c>
      <c r="K6" s="24" t="s">
        <v>4</v>
      </c>
      <c r="M6" s="22" t="s">
        <v>17</v>
      </c>
      <c r="N6" s="24" t="s">
        <v>20</v>
      </c>
      <c r="P6" s="25" t="s">
        <v>21</v>
      </c>
      <c r="Q6" s="26"/>
    </row>
    <row r="7" spans="2:17">
      <c r="B7" s="27"/>
      <c r="C7" s="28"/>
      <c r="D7" s="28"/>
      <c r="E7" s="29" t="s">
        <v>22</v>
      </c>
      <c r="F7" s="29" t="s">
        <v>23</v>
      </c>
      <c r="G7" s="30" t="s">
        <v>23</v>
      </c>
      <c r="H7" s="31"/>
      <c r="I7" s="32"/>
      <c r="J7" s="29" t="s">
        <v>24</v>
      </c>
      <c r="K7" s="30" t="s">
        <v>24</v>
      </c>
      <c r="M7" s="27"/>
      <c r="N7" s="30" t="s">
        <v>24</v>
      </c>
      <c r="P7" s="33">
        <v>150000</v>
      </c>
      <c r="Q7" s="34"/>
    </row>
    <row r="8" spans="2:17">
      <c r="B8" s="36">
        <v>43496</v>
      </c>
      <c r="C8" s="37">
        <v>1</v>
      </c>
      <c r="D8" s="37">
        <v>1</v>
      </c>
      <c r="E8" s="38">
        <v>10438</v>
      </c>
      <c r="F8" s="39">
        <v>40</v>
      </c>
      <c r="G8" s="40">
        <v>25</v>
      </c>
      <c r="H8" s="31"/>
      <c r="I8" s="41" t="s">
        <v>25</v>
      </c>
      <c r="J8" s="42">
        <v>0.02</v>
      </c>
      <c r="K8" s="43">
        <v>7.0000000000000007E-2</v>
      </c>
      <c r="M8" s="44">
        <v>1</v>
      </c>
      <c r="N8" s="43">
        <v>7.0000000000000007E-2</v>
      </c>
      <c r="O8" s="35"/>
      <c r="P8" s="5"/>
      <c r="Q8" s="5"/>
    </row>
    <row r="9" spans="2:17">
      <c r="B9" s="45">
        <v>43496</v>
      </c>
      <c r="C9" s="46">
        <v>1</v>
      </c>
      <c r="D9" s="46">
        <v>2</v>
      </c>
      <c r="E9" s="5">
        <v>516</v>
      </c>
      <c r="F9" s="47">
        <v>17</v>
      </c>
      <c r="G9" s="48">
        <v>7.31</v>
      </c>
      <c r="H9" s="31"/>
      <c r="I9" s="49" t="s">
        <v>26</v>
      </c>
      <c r="J9" s="50">
        <v>0.04</v>
      </c>
      <c r="K9" s="51">
        <v>0.06</v>
      </c>
      <c r="M9" s="52">
        <v>2</v>
      </c>
      <c r="N9" s="51">
        <v>0.09</v>
      </c>
      <c r="O9" s="5"/>
      <c r="P9" s="5"/>
      <c r="Q9" s="5"/>
    </row>
    <row r="10" spans="2:17">
      <c r="B10" s="45">
        <v>43496</v>
      </c>
      <c r="C10" s="46">
        <v>1</v>
      </c>
      <c r="D10" s="46">
        <v>3</v>
      </c>
      <c r="E10" s="5">
        <v>24860</v>
      </c>
      <c r="F10" s="47">
        <v>12.8</v>
      </c>
      <c r="G10" s="48">
        <v>5.12</v>
      </c>
      <c r="H10" s="31"/>
      <c r="I10" s="49" t="s">
        <v>27</v>
      </c>
      <c r="J10" s="50">
        <v>0.02</v>
      </c>
      <c r="K10" s="51">
        <v>0.06</v>
      </c>
      <c r="M10" s="52">
        <v>3</v>
      </c>
      <c r="N10" s="51">
        <v>0.08</v>
      </c>
      <c r="O10" s="5"/>
      <c r="P10" s="5"/>
      <c r="Q10" s="5"/>
    </row>
    <row r="11" spans="2:17">
      <c r="B11" s="45">
        <v>43496</v>
      </c>
      <c r="C11" s="46">
        <v>1</v>
      </c>
      <c r="D11" s="46">
        <v>4</v>
      </c>
      <c r="E11" s="5">
        <v>17812</v>
      </c>
      <c r="F11" s="47">
        <v>10.8</v>
      </c>
      <c r="G11" s="48">
        <v>6.48</v>
      </c>
      <c r="H11" s="31"/>
      <c r="I11" s="49" t="s">
        <v>28</v>
      </c>
      <c r="J11" s="50">
        <v>0.05</v>
      </c>
      <c r="K11" s="51">
        <v>0.08</v>
      </c>
      <c r="M11" s="52">
        <v>4</v>
      </c>
      <c r="N11" s="51">
        <v>7.0000000000000007E-2</v>
      </c>
      <c r="O11" s="5"/>
      <c r="P11" s="5"/>
      <c r="Q11" s="5"/>
    </row>
    <row r="12" spans="2:17">
      <c r="B12" s="45">
        <v>43496</v>
      </c>
      <c r="C12" s="46">
        <v>1</v>
      </c>
      <c r="D12" s="46">
        <v>5</v>
      </c>
      <c r="E12" s="5">
        <v>8018</v>
      </c>
      <c r="F12" s="47">
        <v>14.9</v>
      </c>
      <c r="G12" s="48">
        <v>6.26</v>
      </c>
      <c r="H12" s="31"/>
      <c r="I12" s="32" t="s">
        <v>29</v>
      </c>
      <c r="J12" s="53">
        <v>-0.02</v>
      </c>
      <c r="K12" s="54">
        <v>7.0000000000000007E-2</v>
      </c>
      <c r="M12" s="27">
        <v>5</v>
      </c>
      <c r="N12" s="54">
        <v>0.05</v>
      </c>
      <c r="O12" s="5"/>
      <c r="P12" s="5"/>
      <c r="Q12" s="5"/>
    </row>
    <row r="13" spans="2:17">
      <c r="B13" s="45">
        <v>43496</v>
      </c>
      <c r="C13" s="46">
        <v>2</v>
      </c>
      <c r="D13" s="46">
        <v>1</v>
      </c>
      <c r="E13" s="5">
        <v>1814</v>
      </c>
      <c r="F13" s="47">
        <v>34</v>
      </c>
      <c r="G13" s="48">
        <v>25</v>
      </c>
      <c r="H13" s="31"/>
      <c r="O13" s="5"/>
      <c r="P13" s="5"/>
      <c r="Q13" s="5"/>
    </row>
    <row r="14" spans="2:17">
      <c r="B14" s="45">
        <v>43496</v>
      </c>
      <c r="C14" s="46">
        <v>2</v>
      </c>
      <c r="D14" s="46">
        <v>2</v>
      </c>
      <c r="E14" s="5">
        <v>1994</v>
      </c>
      <c r="F14" s="47">
        <v>16.32</v>
      </c>
      <c r="G14" s="48">
        <v>7.31</v>
      </c>
      <c r="H14" s="31"/>
      <c r="I14" s="94"/>
      <c r="J14" s="95"/>
      <c r="K14" s="96"/>
      <c r="O14" s="5"/>
      <c r="P14" s="5"/>
      <c r="Q14" s="5"/>
    </row>
    <row r="15" spans="2:17">
      <c r="B15" s="45">
        <v>43496</v>
      </c>
      <c r="C15" s="46">
        <v>2</v>
      </c>
      <c r="D15" s="46">
        <v>3</v>
      </c>
      <c r="E15" s="5">
        <v>32108</v>
      </c>
      <c r="F15" s="47">
        <v>14.21</v>
      </c>
      <c r="G15" s="48">
        <v>5.12</v>
      </c>
      <c r="H15" s="31"/>
      <c r="I15" s="49" t="s">
        <v>49</v>
      </c>
      <c r="J15" s="90"/>
      <c r="K15" s="99">
        <v>43466</v>
      </c>
      <c r="N15" s="5"/>
      <c r="O15" s="5"/>
      <c r="P15" s="5"/>
      <c r="Q15" s="5"/>
    </row>
    <row r="16" spans="2:17">
      <c r="B16" s="45">
        <v>43496</v>
      </c>
      <c r="C16" s="46">
        <v>2</v>
      </c>
      <c r="D16" s="46">
        <v>4</v>
      </c>
      <c r="E16" s="5">
        <v>11892</v>
      </c>
      <c r="F16" s="47">
        <v>9.83</v>
      </c>
      <c r="G16" s="48">
        <v>6.48</v>
      </c>
      <c r="H16" s="31"/>
      <c r="I16" s="49" t="s">
        <v>50</v>
      </c>
      <c r="J16" s="90"/>
      <c r="K16" s="98">
        <v>24</v>
      </c>
      <c r="N16" s="5"/>
      <c r="O16" s="5"/>
      <c r="P16" s="5"/>
      <c r="Q16" s="5"/>
    </row>
    <row r="17" spans="2:17">
      <c r="B17" s="45">
        <v>43496</v>
      </c>
      <c r="C17" s="46">
        <v>2</v>
      </c>
      <c r="D17" s="46">
        <v>5</v>
      </c>
      <c r="E17" s="5">
        <v>16336</v>
      </c>
      <c r="F17" s="47">
        <v>14.16</v>
      </c>
      <c r="G17" s="48">
        <v>6.26</v>
      </c>
      <c r="H17" s="31"/>
      <c r="I17" s="49" t="s">
        <v>51</v>
      </c>
      <c r="J17" s="90"/>
      <c r="K17" s="97" t="s">
        <v>9</v>
      </c>
      <c r="N17" s="5"/>
      <c r="O17" s="5"/>
      <c r="P17" s="5"/>
      <c r="Q17" s="5"/>
    </row>
    <row r="18" spans="2:17">
      <c r="B18" s="45">
        <v>43496</v>
      </c>
      <c r="C18" s="46">
        <v>3</v>
      </c>
      <c r="D18" s="46">
        <v>1</v>
      </c>
      <c r="E18" s="5">
        <v>3362</v>
      </c>
      <c r="F18" s="47">
        <v>39.6</v>
      </c>
      <c r="G18" s="48">
        <v>25</v>
      </c>
      <c r="H18" s="31"/>
      <c r="I18" s="49"/>
      <c r="J18" s="90"/>
      <c r="K18" s="91"/>
      <c r="N18" s="5"/>
      <c r="O18" s="5"/>
      <c r="P18" s="5"/>
      <c r="Q18" s="5"/>
    </row>
    <row r="19" spans="2:17">
      <c r="B19" s="45">
        <v>43496</v>
      </c>
      <c r="C19" s="46">
        <v>3</v>
      </c>
      <c r="D19" s="46">
        <v>2</v>
      </c>
      <c r="E19" s="5">
        <v>25506</v>
      </c>
      <c r="F19" s="47">
        <v>17.850000000000001</v>
      </c>
      <c r="G19" s="48">
        <v>7.31</v>
      </c>
      <c r="H19" s="31"/>
      <c r="I19" s="49"/>
      <c r="J19" s="90"/>
      <c r="K19" s="91"/>
      <c r="N19" s="5"/>
      <c r="O19" s="5"/>
      <c r="P19" s="5"/>
      <c r="Q19" s="5"/>
    </row>
    <row r="20" spans="2:17">
      <c r="B20" s="45">
        <v>43496</v>
      </c>
      <c r="C20" s="46">
        <v>3</v>
      </c>
      <c r="D20" s="46">
        <v>3</v>
      </c>
      <c r="E20" s="5">
        <v>2890</v>
      </c>
      <c r="F20" s="47">
        <v>14.72</v>
      </c>
      <c r="G20" s="48">
        <v>5.12</v>
      </c>
      <c r="H20" s="31"/>
      <c r="I20" s="49"/>
      <c r="J20" s="90"/>
      <c r="K20" s="91"/>
      <c r="N20" s="5"/>
      <c r="O20" s="5"/>
      <c r="P20" s="5"/>
      <c r="Q20" s="5"/>
    </row>
    <row r="21" spans="2:17">
      <c r="B21" s="45">
        <v>43496</v>
      </c>
      <c r="C21" s="46">
        <v>3</v>
      </c>
      <c r="D21" s="46">
        <v>4</v>
      </c>
      <c r="E21" s="5">
        <v>20270</v>
      </c>
      <c r="F21" s="47">
        <v>10.8</v>
      </c>
      <c r="G21" s="48">
        <v>6.48</v>
      </c>
      <c r="H21" s="31"/>
      <c r="I21" s="32"/>
      <c r="J21" s="92"/>
      <c r="K21" s="93"/>
      <c r="N21" s="5"/>
      <c r="O21" s="5"/>
      <c r="P21" s="5"/>
      <c r="Q21" s="5"/>
    </row>
    <row r="22" spans="2:17">
      <c r="B22" s="45">
        <v>43496</v>
      </c>
      <c r="C22" s="46">
        <v>3</v>
      </c>
      <c r="D22" s="46">
        <v>5</v>
      </c>
      <c r="E22" s="5">
        <v>19262</v>
      </c>
      <c r="F22" s="47">
        <v>15.65</v>
      </c>
      <c r="G22" s="48">
        <v>6.26</v>
      </c>
      <c r="H22" s="31"/>
      <c r="O22" s="5"/>
      <c r="P22" s="5"/>
      <c r="Q22" s="5"/>
    </row>
    <row r="23" spans="2:17">
      <c r="B23" s="45">
        <v>43496</v>
      </c>
      <c r="C23" s="46">
        <v>4</v>
      </c>
      <c r="D23" s="46">
        <v>1</v>
      </c>
      <c r="E23" s="5">
        <v>43200</v>
      </c>
      <c r="F23" s="47">
        <v>44.4</v>
      </c>
      <c r="G23" s="48">
        <v>25</v>
      </c>
      <c r="H23" s="31"/>
      <c r="O23" s="5"/>
      <c r="P23" s="5"/>
      <c r="Q23" s="5"/>
    </row>
    <row r="24" spans="2:17">
      <c r="B24" s="45">
        <v>43496</v>
      </c>
      <c r="C24" s="46">
        <v>4</v>
      </c>
      <c r="D24" s="46">
        <v>2</v>
      </c>
      <c r="E24" s="5">
        <v>22290</v>
      </c>
      <c r="F24" s="47">
        <v>17.170000000000002</v>
      </c>
      <c r="G24" s="48">
        <v>7.31</v>
      </c>
      <c r="H24" s="31"/>
      <c r="O24" s="5"/>
      <c r="P24" s="5"/>
      <c r="Q24" s="5"/>
    </row>
    <row r="25" spans="2:17">
      <c r="B25" s="45">
        <v>43496</v>
      </c>
      <c r="C25" s="46">
        <v>4</v>
      </c>
      <c r="D25" s="46">
        <v>3</v>
      </c>
      <c r="E25" s="5">
        <v>24338</v>
      </c>
      <c r="F25" s="47">
        <v>13.57</v>
      </c>
      <c r="G25" s="48">
        <v>5.12</v>
      </c>
      <c r="H25" s="31"/>
      <c r="O25" s="5"/>
      <c r="P25" s="5"/>
      <c r="Q25" s="5"/>
    </row>
    <row r="26" spans="2:17">
      <c r="B26" s="45">
        <v>43496</v>
      </c>
      <c r="C26" s="46">
        <v>4</v>
      </c>
      <c r="D26" s="46">
        <v>4</v>
      </c>
      <c r="E26" s="5">
        <v>552</v>
      </c>
      <c r="F26" s="47">
        <v>12.42</v>
      </c>
      <c r="G26" s="48">
        <v>6.48</v>
      </c>
      <c r="H26" s="31"/>
      <c r="O26" s="5"/>
      <c r="P26" s="5"/>
      <c r="Q26" s="5"/>
    </row>
    <row r="27" spans="2:17">
      <c r="B27" s="45">
        <v>43496</v>
      </c>
      <c r="C27" s="46">
        <v>4</v>
      </c>
      <c r="D27" s="46">
        <v>5</v>
      </c>
      <c r="E27" s="5">
        <v>11418</v>
      </c>
      <c r="F27" s="47">
        <v>14.16</v>
      </c>
      <c r="G27" s="48">
        <v>6.26</v>
      </c>
      <c r="H27" s="31"/>
      <c r="P27" s="5"/>
      <c r="Q27" s="5"/>
    </row>
    <row r="28" spans="2:17">
      <c r="B28" s="45">
        <v>43496</v>
      </c>
      <c r="C28" s="46">
        <v>5</v>
      </c>
      <c r="D28" s="46">
        <v>1</v>
      </c>
      <c r="E28" s="5">
        <v>5098</v>
      </c>
      <c r="F28" s="47">
        <v>37.6</v>
      </c>
      <c r="G28" s="48">
        <v>25</v>
      </c>
      <c r="H28" s="31"/>
      <c r="P28" s="5"/>
      <c r="Q28" s="5"/>
    </row>
    <row r="29" spans="2:17">
      <c r="B29" s="45">
        <v>43496</v>
      </c>
      <c r="C29" s="46">
        <v>5</v>
      </c>
      <c r="D29" s="46">
        <v>2</v>
      </c>
      <c r="E29" s="5">
        <v>36672</v>
      </c>
      <c r="F29" s="47">
        <v>15.13</v>
      </c>
      <c r="G29" s="48">
        <v>7.31</v>
      </c>
      <c r="H29" s="31"/>
      <c r="P29" s="5"/>
      <c r="Q29" s="5"/>
    </row>
    <row r="30" spans="2:17">
      <c r="B30" s="45">
        <v>43496</v>
      </c>
      <c r="C30" s="46">
        <v>5</v>
      </c>
      <c r="D30" s="46">
        <v>3</v>
      </c>
      <c r="E30" s="5">
        <v>26512</v>
      </c>
      <c r="F30" s="47">
        <v>13.06</v>
      </c>
      <c r="G30" s="48">
        <v>5.12</v>
      </c>
      <c r="H30" s="31"/>
      <c r="P30" s="5"/>
      <c r="Q30" s="5"/>
    </row>
    <row r="31" spans="2:17">
      <c r="B31" s="45">
        <v>43496</v>
      </c>
      <c r="C31" s="46">
        <v>5</v>
      </c>
      <c r="D31" s="46">
        <v>4</v>
      </c>
      <c r="E31" s="5">
        <v>7330</v>
      </c>
      <c r="F31" s="47">
        <v>9.61</v>
      </c>
      <c r="G31" s="48">
        <v>6.48</v>
      </c>
      <c r="H31" s="31"/>
      <c r="P31" s="5"/>
      <c r="Q31" s="5"/>
    </row>
    <row r="32" spans="2:17">
      <c r="B32" s="45">
        <v>43496</v>
      </c>
      <c r="C32" s="46">
        <v>5</v>
      </c>
      <c r="D32" s="46">
        <v>5</v>
      </c>
      <c r="E32" s="5">
        <v>16734</v>
      </c>
      <c r="F32" s="47">
        <v>12.67</v>
      </c>
      <c r="G32" s="48">
        <v>6.26</v>
      </c>
      <c r="H32" s="31"/>
      <c r="P32" s="5"/>
      <c r="Q32" s="5"/>
    </row>
    <row r="33" spans="2:8">
      <c r="B33" s="45">
        <v>43524</v>
      </c>
      <c r="C33" s="46">
        <v>1</v>
      </c>
      <c r="D33" s="46">
        <v>1</v>
      </c>
      <c r="E33" s="5">
        <v>4960</v>
      </c>
      <c r="F33" s="47">
        <v>40</v>
      </c>
      <c r="G33" s="48">
        <v>25</v>
      </c>
      <c r="H33" s="31"/>
    </row>
    <row r="34" spans="2:8">
      <c r="B34" s="45">
        <v>43524</v>
      </c>
      <c r="C34" s="46">
        <v>1</v>
      </c>
      <c r="D34" s="46">
        <v>2</v>
      </c>
      <c r="E34" s="5">
        <v>1222</v>
      </c>
      <c r="F34" s="47">
        <v>17</v>
      </c>
      <c r="G34" s="48">
        <v>7.31</v>
      </c>
      <c r="H34" s="31"/>
    </row>
    <row r="35" spans="2:8">
      <c r="B35" s="45">
        <v>43524</v>
      </c>
      <c r="C35" s="46">
        <v>1</v>
      </c>
      <c r="D35" s="46">
        <v>3</v>
      </c>
      <c r="E35" s="5">
        <v>28698</v>
      </c>
      <c r="F35" s="47">
        <v>12.8</v>
      </c>
      <c r="G35" s="48">
        <v>5.12</v>
      </c>
      <c r="H35" s="31"/>
    </row>
    <row r="36" spans="2:8">
      <c r="B36" s="45">
        <v>43524</v>
      </c>
      <c r="C36" s="46">
        <v>1</v>
      </c>
      <c r="D36" s="46">
        <v>4</v>
      </c>
      <c r="E36" s="5">
        <v>28146</v>
      </c>
      <c r="F36" s="47">
        <v>10.8</v>
      </c>
      <c r="G36" s="48">
        <v>6.48</v>
      </c>
      <c r="H36" s="31"/>
    </row>
    <row r="37" spans="2:8">
      <c r="B37" s="45">
        <v>43524</v>
      </c>
      <c r="C37" s="46">
        <v>1</v>
      </c>
      <c r="D37" s="46">
        <v>5</v>
      </c>
      <c r="E37" s="5">
        <v>19306</v>
      </c>
      <c r="F37" s="47">
        <v>14.9</v>
      </c>
      <c r="G37" s="48">
        <v>6.26</v>
      </c>
      <c r="H37" s="31"/>
    </row>
    <row r="38" spans="2:8">
      <c r="B38" s="45">
        <v>43524</v>
      </c>
      <c r="C38" s="46">
        <v>2</v>
      </c>
      <c r="D38" s="46">
        <v>1</v>
      </c>
      <c r="E38" s="5">
        <v>2570</v>
      </c>
      <c r="F38" s="47">
        <v>34</v>
      </c>
      <c r="G38" s="48">
        <v>25</v>
      </c>
      <c r="H38" s="31"/>
    </row>
    <row r="39" spans="2:8">
      <c r="B39" s="45">
        <v>43524</v>
      </c>
      <c r="C39" s="46">
        <v>2</v>
      </c>
      <c r="D39" s="46">
        <v>2</v>
      </c>
      <c r="E39" s="5">
        <v>1480</v>
      </c>
      <c r="F39" s="47">
        <v>16.32</v>
      </c>
      <c r="G39" s="48">
        <v>7.31</v>
      </c>
      <c r="H39" s="31"/>
    </row>
    <row r="40" spans="2:8">
      <c r="B40" s="45">
        <v>43524</v>
      </c>
      <c r="C40" s="46">
        <v>2</v>
      </c>
      <c r="D40" s="46">
        <v>3</v>
      </c>
      <c r="E40" s="5">
        <v>37392</v>
      </c>
      <c r="F40" s="47">
        <v>14.21</v>
      </c>
      <c r="G40" s="48">
        <v>5.12</v>
      </c>
      <c r="H40" s="31"/>
    </row>
    <row r="41" spans="2:8">
      <c r="B41" s="45">
        <v>43524</v>
      </c>
      <c r="C41" s="46">
        <v>2</v>
      </c>
      <c r="D41" s="46">
        <v>4</v>
      </c>
      <c r="E41" s="5">
        <v>11464</v>
      </c>
      <c r="F41" s="47">
        <v>9.83</v>
      </c>
      <c r="G41" s="48">
        <v>6.48</v>
      </c>
      <c r="H41" s="31"/>
    </row>
    <row r="42" spans="2:8">
      <c r="B42" s="45">
        <v>43524</v>
      </c>
      <c r="C42" s="46">
        <v>2</v>
      </c>
      <c r="D42" s="46">
        <v>5</v>
      </c>
      <c r="E42" s="5">
        <v>7382</v>
      </c>
      <c r="F42" s="47">
        <v>14.16</v>
      </c>
      <c r="G42" s="48">
        <v>6.26</v>
      </c>
      <c r="H42" s="31"/>
    </row>
    <row r="43" spans="2:8">
      <c r="B43" s="45">
        <v>43524</v>
      </c>
      <c r="C43" s="46">
        <v>3</v>
      </c>
      <c r="D43" s="46">
        <v>1</v>
      </c>
      <c r="E43" s="5">
        <v>3144</v>
      </c>
      <c r="F43" s="47">
        <v>39.6</v>
      </c>
      <c r="G43" s="48">
        <v>25</v>
      </c>
      <c r="H43" s="31"/>
    </row>
    <row r="44" spans="2:8">
      <c r="B44" s="45">
        <v>43524</v>
      </c>
      <c r="C44" s="46">
        <v>3</v>
      </c>
      <c r="D44" s="46">
        <v>2</v>
      </c>
      <c r="E44" s="5">
        <v>19082</v>
      </c>
      <c r="F44" s="47">
        <v>17.850000000000001</v>
      </c>
      <c r="G44" s="48">
        <v>7.31</v>
      </c>
      <c r="H44" s="31"/>
    </row>
    <row r="45" spans="2:8">
      <c r="B45" s="45">
        <v>43524</v>
      </c>
      <c r="C45" s="46">
        <v>3</v>
      </c>
      <c r="D45" s="46">
        <v>3</v>
      </c>
      <c r="E45" s="5">
        <v>4186</v>
      </c>
      <c r="F45" s="47">
        <v>14.72</v>
      </c>
      <c r="G45" s="48">
        <v>5.12</v>
      </c>
      <c r="H45" s="31"/>
    </row>
    <row r="46" spans="2:8">
      <c r="B46" s="45">
        <v>43524</v>
      </c>
      <c r="C46" s="46">
        <v>3</v>
      </c>
      <c r="D46" s="46">
        <v>4</v>
      </c>
      <c r="E46" s="5">
        <v>30296</v>
      </c>
      <c r="F46" s="47">
        <v>10.8</v>
      </c>
      <c r="G46" s="48">
        <v>6.48</v>
      </c>
      <c r="H46" s="31"/>
    </row>
    <row r="47" spans="2:8">
      <c r="B47" s="45">
        <v>43524</v>
      </c>
      <c r="C47" s="46">
        <v>3</v>
      </c>
      <c r="D47" s="46">
        <v>5</v>
      </c>
      <c r="E47" s="5">
        <v>35272</v>
      </c>
      <c r="F47" s="47">
        <v>15.65</v>
      </c>
      <c r="G47" s="48">
        <v>6.26</v>
      </c>
      <c r="H47" s="31"/>
    </row>
    <row r="48" spans="2:8">
      <c r="B48" s="45">
        <v>43524</v>
      </c>
      <c r="C48" s="46">
        <v>4</v>
      </c>
      <c r="D48" s="46">
        <v>1</v>
      </c>
      <c r="E48" s="5">
        <v>30000</v>
      </c>
      <c r="F48" s="47">
        <v>44.4</v>
      </c>
      <c r="G48" s="48">
        <v>25</v>
      </c>
      <c r="H48" s="31"/>
    </row>
    <row r="49" spans="2:8">
      <c r="B49" s="45">
        <v>43524</v>
      </c>
      <c r="C49" s="46">
        <v>4</v>
      </c>
      <c r="D49" s="46">
        <v>2</v>
      </c>
      <c r="E49" s="5">
        <v>25972</v>
      </c>
      <c r="F49" s="47">
        <v>17.170000000000002</v>
      </c>
      <c r="G49" s="48">
        <v>7.31</v>
      </c>
      <c r="H49" s="31"/>
    </row>
    <row r="50" spans="2:8">
      <c r="B50" s="45">
        <v>43524</v>
      </c>
      <c r="C50" s="46">
        <v>4</v>
      </c>
      <c r="D50" s="46">
        <v>3</v>
      </c>
      <c r="E50" s="5">
        <v>16478</v>
      </c>
      <c r="F50" s="47">
        <v>13.57</v>
      </c>
      <c r="G50" s="48">
        <v>5.12</v>
      </c>
      <c r="H50" s="31"/>
    </row>
    <row r="51" spans="2:8">
      <c r="B51" s="45">
        <v>43524</v>
      </c>
      <c r="C51" s="46">
        <v>4</v>
      </c>
      <c r="D51" s="46">
        <v>4</v>
      </c>
      <c r="E51" s="5">
        <v>1260</v>
      </c>
      <c r="F51" s="47">
        <v>12.42</v>
      </c>
      <c r="G51" s="48">
        <v>6.48</v>
      </c>
      <c r="H51" s="31"/>
    </row>
    <row r="52" spans="2:8">
      <c r="B52" s="45">
        <v>43524</v>
      </c>
      <c r="C52" s="46">
        <v>4</v>
      </c>
      <c r="D52" s="46">
        <v>5</v>
      </c>
      <c r="E52" s="5">
        <v>9216</v>
      </c>
      <c r="F52" s="47">
        <v>14.16</v>
      </c>
      <c r="G52" s="48">
        <v>6.26</v>
      </c>
      <c r="H52" s="31"/>
    </row>
    <row r="53" spans="2:8">
      <c r="B53" s="45">
        <v>43524</v>
      </c>
      <c r="C53" s="46">
        <v>5</v>
      </c>
      <c r="D53" s="46">
        <v>1</v>
      </c>
      <c r="E53" s="5">
        <v>8536</v>
      </c>
      <c r="F53" s="47">
        <v>37.6</v>
      </c>
      <c r="G53" s="48">
        <v>25</v>
      </c>
      <c r="H53" s="31"/>
    </row>
    <row r="54" spans="2:8">
      <c r="B54" s="45">
        <v>43524</v>
      </c>
      <c r="C54" s="46">
        <v>5</v>
      </c>
      <c r="D54" s="46">
        <v>2</v>
      </c>
      <c r="E54" s="5">
        <v>25182</v>
      </c>
      <c r="F54" s="47">
        <v>15.13</v>
      </c>
      <c r="G54" s="48">
        <v>7.31</v>
      </c>
      <c r="H54" s="31"/>
    </row>
    <row r="55" spans="2:8">
      <c r="B55" s="45">
        <v>43524</v>
      </c>
      <c r="C55" s="46">
        <v>5</v>
      </c>
      <c r="D55" s="46">
        <v>3</v>
      </c>
      <c r="E55" s="5">
        <v>12514</v>
      </c>
      <c r="F55" s="47">
        <v>13.06</v>
      </c>
      <c r="G55" s="48">
        <v>5.12</v>
      </c>
      <c r="H55" s="31"/>
    </row>
    <row r="56" spans="2:8">
      <c r="B56" s="45">
        <v>43524</v>
      </c>
      <c r="C56" s="46">
        <v>5</v>
      </c>
      <c r="D56" s="46">
        <v>4</v>
      </c>
      <c r="E56" s="5">
        <v>11188</v>
      </c>
      <c r="F56" s="47">
        <v>9.61</v>
      </c>
      <c r="G56" s="48">
        <v>6.48</v>
      </c>
      <c r="H56" s="31"/>
    </row>
    <row r="57" spans="2:8">
      <c r="B57" s="45">
        <v>43524</v>
      </c>
      <c r="C57" s="46">
        <v>5</v>
      </c>
      <c r="D57" s="46">
        <v>5</v>
      </c>
      <c r="E57" s="5">
        <v>18670</v>
      </c>
      <c r="F57" s="47">
        <v>12.67</v>
      </c>
      <c r="G57" s="48">
        <v>6.26</v>
      </c>
      <c r="H57" s="31"/>
    </row>
    <row r="58" spans="2:8">
      <c r="B58" s="45">
        <v>43555</v>
      </c>
      <c r="C58" s="46">
        <v>1</v>
      </c>
      <c r="D58" s="46">
        <v>1</v>
      </c>
      <c r="E58" s="5">
        <v>4960</v>
      </c>
      <c r="F58" s="47">
        <v>40</v>
      </c>
      <c r="G58" s="48">
        <v>25</v>
      </c>
      <c r="H58" s="31"/>
    </row>
    <row r="59" spans="2:8">
      <c r="B59" s="45">
        <v>43555</v>
      </c>
      <c r="C59" s="46">
        <v>1</v>
      </c>
      <c r="D59" s="46">
        <v>2</v>
      </c>
      <c r="E59" s="5">
        <v>1110</v>
      </c>
      <c r="F59" s="47">
        <v>17</v>
      </c>
      <c r="G59" s="48">
        <v>7.31</v>
      </c>
      <c r="H59" s="31"/>
    </row>
    <row r="60" spans="2:8">
      <c r="B60" s="45">
        <v>43555</v>
      </c>
      <c r="C60" s="46">
        <v>1</v>
      </c>
      <c r="D60" s="46">
        <v>3</v>
      </c>
      <c r="E60" s="5">
        <v>17784</v>
      </c>
      <c r="F60" s="47">
        <v>12.8</v>
      </c>
      <c r="G60" s="48">
        <v>5.12</v>
      </c>
      <c r="H60" s="31"/>
    </row>
    <row r="61" spans="2:8">
      <c r="B61" s="45">
        <v>43555</v>
      </c>
      <c r="C61" s="46">
        <v>1</v>
      </c>
      <c r="D61" s="46">
        <v>4</v>
      </c>
      <c r="E61" s="5">
        <v>37804</v>
      </c>
      <c r="F61" s="47">
        <v>10.8</v>
      </c>
      <c r="G61" s="48">
        <v>6.48</v>
      </c>
      <c r="H61" s="31"/>
    </row>
    <row r="62" spans="2:8">
      <c r="B62" s="45">
        <v>43555</v>
      </c>
      <c r="C62" s="46">
        <v>1</v>
      </c>
      <c r="D62" s="46">
        <v>5</v>
      </c>
      <c r="E62" s="5">
        <v>14088</v>
      </c>
      <c r="F62" s="47">
        <v>14.9</v>
      </c>
      <c r="G62" s="48">
        <v>6.26</v>
      </c>
      <c r="H62" s="31"/>
    </row>
    <row r="63" spans="2:8">
      <c r="B63" s="45">
        <v>43555</v>
      </c>
      <c r="C63" s="46">
        <v>2</v>
      </c>
      <c r="D63" s="46">
        <v>1</v>
      </c>
      <c r="E63" s="5">
        <v>3470</v>
      </c>
      <c r="F63" s="47">
        <v>34</v>
      </c>
      <c r="G63" s="48">
        <v>25</v>
      </c>
      <c r="H63" s="31"/>
    </row>
    <row r="64" spans="2:8">
      <c r="B64" s="45">
        <v>43555</v>
      </c>
      <c r="C64" s="46">
        <v>2</v>
      </c>
      <c r="D64" s="46">
        <v>2</v>
      </c>
      <c r="E64" s="5">
        <v>1080</v>
      </c>
      <c r="F64" s="47">
        <v>16.32</v>
      </c>
      <c r="G64" s="48">
        <v>7.31</v>
      </c>
      <c r="H64" s="31"/>
    </row>
    <row r="65" spans="2:8">
      <c r="B65" s="45">
        <v>43555</v>
      </c>
      <c r="C65" s="46">
        <v>2</v>
      </c>
      <c r="D65" s="46">
        <v>3</v>
      </c>
      <c r="E65" s="5">
        <v>20342</v>
      </c>
      <c r="F65" s="47">
        <v>14.21</v>
      </c>
      <c r="G65" s="48">
        <v>5.12</v>
      </c>
      <c r="H65" s="31"/>
    </row>
    <row r="66" spans="2:8">
      <c r="B66" s="45">
        <v>43555</v>
      </c>
      <c r="C66" s="46">
        <v>2</v>
      </c>
      <c r="D66" s="46">
        <v>4</v>
      </c>
      <c r="E66" s="5">
        <v>10050</v>
      </c>
      <c r="F66" s="47">
        <v>9.83</v>
      </c>
      <c r="G66" s="48">
        <v>6.48</v>
      </c>
      <c r="H66" s="31"/>
    </row>
    <row r="67" spans="2:8">
      <c r="B67" s="45">
        <v>43555</v>
      </c>
      <c r="C67" s="46">
        <v>2</v>
      </c>
      <c r="D67" s="46">
        <v>5</v>
      </c>
      <c r="E67" s="5">
        <v>14616</v>
      </c>
      <c r="F67" s="47">
        <v>14.16</v>
      </c>
      <c r="G67" s="48">
        <v>6.26</v>
      </c>
      <c r="H67" s="31"/>
    </row>
    <row r="68" spans="2:8">
      <c r="B68" s="45">
        <v>43555</v>
      </c>
      <c r="C68" s="46">
        <v>3</v>
      </c>
      <c r="D68" s="46">
        <v>1</v>
      </c>
      <c r="E68" s="5">
        <v>3040</v>
      </c>
      <c r="F68" s="47">
        <v>39.6</v>
      </c>
      <c r="G68" s="48">
        <v>25</v>
      </c>
      <c r="H68" s="31"/>
    </row>
    <row r="69" spans="2:8">
      <c r="B69" s="45">
        <v>43555</v>
      </c>
      <c r="C69" s="46">
        <v>3</v>
      </c>
      <c r="D69" s="46">
        <v>2</v>
      </c>
      <c r="E69" s="5">
        <v>24940</v>
      </c>
      <c r="F69" s="47">
        <v>17.850000000000001</v>
      </c>
      <c r="G69" s="48">
        <v>7.31</v>
      </c>
      <c r="H69" s="31"/>
    </row>
    <row r="70" spans="2:8">
      <c r="B70" s="45">
        <v>43555</v>
      </c>
      <c r="C70" s="46">
        <v>3</v>
      </c>
      <c r="D70" s="46">
        <v>3</v>
      </c>
      <c r="E70" s="5">
        <v>3096</v>
      </c>
      <c r="F70" s="47">
        <v>14.72</v>
      </c>
      <c r="G70" s="48">
        <v>5.12</v>
      </c>
      <c r="H70" s="31"/>
    </row>
    <row r="71" spans="2:8">
      <c r="B71" s="45">
        <v>43555</v>
      </c>
      <c r="C71" s="46">
        <v>3</v>
      </c>
      <c r="D71" s="46">
        <v>4</v>
      </c>
      <c r="E71" s="5">
        <v>24848</v>
      </c>
      <c r="F71" s="47">
        <v>10.8</v>
      </c>
      <c r="G71" s="48">
        <v>6.48</v>
      </c>
      <c r="H71" s="31"/>
    </row>
    <row r="72" spans="2:8">
      <c r="B72" s="45">
        <v>43555</v>
      </c>
      <c r="C72" s="46">
        <v>3</v>
      </c>
      <c r="D72" s="46">
        <v>5</v>
      </c>
      <c r="E72" s="5">
        <v>26768</v>
      </c>
      <c r="F72" s="47">
        <v>15.65</v>
      </c>
      <c r="G72" s="48">
        <v>6.26</v>
      </c>
      <c r="H72" s="31"/>
    </row>
    <row r="73" spans="2:8">
      <c r="B73" s="45">
        <v>43555</v>
      </c>
      <c r="C73" s="46">
        <v>4</v>
      </c>
      <c r="D73" s="46">
        <v>1</v>
      </c>
      <c r="E73" s="5">
        <v>42400</v>
      </c>
      <c r="F73" s="47">
        <v>44.4</v>
      </c>
      <c r="G73" s="48">
        <v>25</v>
      </c>
      <c r="H73" s="31"/>
    </row>
    <row r="74" spans="2:8">
      <c r="B74" s="45">
        <v>43555</v>
      </c>
      <c r="C74" s="46">
        <v>4</v>
      </c>
      <c r="D74" s="46">
        <v>2</v>
      </c>
      <c r="E74" s="5">
        <v>24808</v>
      </c>
      <c r="F74" s="47">
        <v>17.170000000000002</v>
      </c>
      <c r="G74" s="48">
        <v>7.31</v>
      </c>
      <c r="H74" s="31"/>
    </row>
    <row r="75" spans="2:8">
      <c r="B75" s="45">
        <v>43555</v>
      </c>
      <c r="C75" s="46">
        <v>4</v>
      </c>
      <c r="D75" s="46">
        <v>3</v>
      </c>
      <c r="E75" s="5">
        <v>23070</v>
      </c>
      <c r="F75" s="47">
        <v>13.57</v>
      </c>
      <c r="G75" s="48">
        <v>5.12</v>
      </c>
      <c r="H75" s="31"/>
    </row>
    <row r="76" spans="2:8">
      <c r="B76" s="45">
        <v>43555</v>
      </c>
      <c r="C76" s="46">
        <v>4</v>
      </c>
      <c r="D76" s="46">
        <v>4</v>
      </c>
      <c r="E76" s="5">
        <v>1240</v>
      </c>
      <c r="F76" s="47">
        <v>12.42</v>
      </c>
      <c r="G76" s="48">
        <v>6.48</v>
      </c>
      <c r="H76" s="31"/>
    </row>
    <row r="77" spans="2:8">
      <c r="B77" s="45">
        <v>43555</v>
      </c>
      <c r="C77" s="46">
        <v>4</v>
      </c>
      <c r="D77" s="46">
        <v>5</v>
      </c>
      <c r="E77" s="5">
        <v>9766</v>
      </c>
      <c r="F77" s="47">
        <v>14.16</v>
      </c>
      <c r="G77" s="48">
        <v>6.26</v>
      </c>
      <c r="H77" s="31"/>
    </row>
    <row r="78" spans="2:8">
      <c r="B78" s="45">
        <v>43555</v>
      </c>
      <c r="C78" s="46">
        <v>5</v>
      </c>
      <c r="D78" s="46">
        <v>1</v>
      </c>
      <c r="E78" s="5">
        <v>8536</v>
      </c>
      <c r="F78" s="47">
        <v>37.6</v>
      </c>
      <c r="G78" s="48">
        <v>25</v>
      </c>
      <c r="H78" s="31"/>
    </row>
    <row r="79" spans="2:8">
      <c r="B79" s="45">
        <v>43555</v>
      </c>
      <c r="C79" s="46">
        <v>5</v>
      </c>
      <c r="D79" s="46">
        <v>2</v>
      </c>
      <c r="E79" s="5">
        <v>14668</v>
      </c>
      <c r="F79" s="47">
        <v>15.13</v>
      </c>
      <c r="G79" s="48">
        <v>7.31</v>
      </c>
      <c r="H79" s="31"/>
    </row>
    <row r="80" spans="2:8">
      <c r="B80" s="45">
        <v>43555</v>
      </c>
      <c r="C80" s="46">
        <v>5</v>
      </c>
      <c r="D80" s="46">
        <v>3</v>
      </c>
      <c r="E80" s="5">
        <v>26936</v>
      </c>
      <c r="F80" s="47">
        <v>13.06</v>
      </c>
      <c r="G80" s="48">
        <v>5.12</v>
      </c>
      <c r="H80" s="31"/>
    </row>
    <row r="81" spans="2:8">
      <c r="B81" s="45">
        <v>43555</v>
      </c>
      <c r="C81" s="46">
        <v>5</v>
      </c>
      <c r="D81" s="46">
        <v>4</v>
      </c>
      <c r="E81" s="5">
        <v>8004</v>
      </c>
      <c r="F81" s="47">
        <v>9.61</v>
      </c>
      <c r="G81" s="48">
        <v>6.48</v>
      </c>
      <c r="H81" s="31"/>
    </row>
    <row r="82" spans="2:8">
      <c r="B82" s="45">
        <v>43555</v>
      </c>
      <c r="C82" s="46">
        <v>5</v>
      </c>
      <c r="D82" s="46">
        <v>5</v>
      </c>
      <c r="E82" s="5">
        <v>10096</v>
      </c>
      <c r="F82" s="47">
        <v>12.67</v>
      </c>
      <c r="G82" s="48">
        <v>6.26</v>
      </c>
      <c r="H82" s="31"/>
    </row>
    <row r="83" spans="2:8">
      <c r="B83" s="45">
        <v>43585</v>
      </c>
      <c r="C83" s="46">
        <v>1</v>
      </c>
      <c r="D83" s="46">
        <v>1</v>
      </c>
      <c r="E83" s="5">
        <v>5920</v>
      </c>
      <c r="F83" s="47">
        <v>40</v>
      </c>
      <c r="G83" s="48">
        <v>25</v>
      </c>
      <c r="H83" s="31"/>
    </row>
    <row r="84" spans="2:8">
      <c r="B84" s="45">
        <v>43585</v>
      </c>
      <c r="C84" s="46">
        <v>1</v>
      </c>
      <c r="D84" s="46">
        <v>2</v>
      </c>
      <c r="E84" s="5">
        <v>1084</v>
      </c>
      <c r="F84" s="47">
        <v>17</v>
      </c>
      <c r="G84" s="48">
        <v>7.31</v>
      </c>
      <c r="H84" s="31"/>
    </row>
    <row r="85" spans="2:8">
      <c r="B85" s="45">
        <v>43585</v>
      </c>
      <c r="C85" s="46">
        <v>1</v>
      </c>
      <c r="D85" s="46">
        <v>3</v>
      </c>
      <c r="E85" s="5">
        <v>11722</v>
      </c>
      <c r="F85" s="47">
        <v>12.8</v>
      </c>
      <c r="G85" s="48">
        <v>5.12</v>
      </c>
      <c r="H85" s="31"/>
    </row>
    <row r="86" spans="2:8">
      <c r="B86" s="45">
        <v>43585</v>
      </c>
      <c r="C86" s="46">
        <v>1</v>
      </c>
      <c r="D86" s="46">
        <v>4</v>
      </c>
      <c r="E86" s="5">
        <v>15728</v>
      </c>
      <c r="F86" s="47">
        <v>10.8</v>
      </c>
      <c r="G86" s="48">
        <v>6.48</v>
      </c>
      <c r="H86" s="31"/>
    </row>
    <row r="87" spans="2:8">
      <c r="B87" s="45">
        <v>43585</v>
      </c>
      <c r="C87" s="46">
        <v>1</v>
      </c>
      <c r="D87" s="46">
        <v>5</v>
      </c>
      <c r="E87" s="5">
        <v>19436</v>
      </c>
      <c r="F87" s="47">
        <v>14.9</v>
      </c>
      <c r="G87" s="48">
        <v>6.26</v>
      </c>
      <c r="H87" s="31"/>
    </row>
    <row r="88" spans="2:8">
      <c r="B88" s="45">
        <v>43585</v>
      </c>
      <c r="C88" s="46">
        <v>2</v>
      </c>
      <c r="D88" s="46">
        <v>1</v>
      </c>
      <c r="E88" s="5">
        <v>3098</v>
      </c>
      <c r="F88" s="47">
        <v>34</v>
      </c>
      <c r="G88" s="48">
        <v>25</v>
      </c>
      <c r="H88" s="31"/>
    </row>
    <row r="89" spans="2:8">
      <c r="B89" s="45">
        <v>43585</v>
      </c>
      <c r="C89" s="46">
        <v>2</v>
      </c>
      <c r="D89" s="46">
        <v>2</v>
      </c>
      <c r="E89" s="5">
        <v>1376</v>
      </c>
      <c r="F89" s="47">
        <v>16.32</v>
      </c>
      <c r="G89" s="48">
        <v>7.31</v>
      </c>
      <c r="H89" s="31"/>
    </row>
    <row r="90" spans="2:8">
      <c r="B90" s="45">
        <v>43585</v>
      </c>
      <c r="C90" s="46">
        <v>2</v>
      </c>
      <c r="D90" s="46">
        <v>3</v>
      </c>
      <c r="E90" s="5">
        <v>42778</v>
      </c>
      <c r="F90" s="47">
        <v>14.21</v>
      </c>
      <c r="G90" s="48">
        <v>5.12</v>
      </c>
      <c r="H90" s="31"/>
    </row>
    <row r="91" spans="2:8">
      <c r="B91" s="45">
        <v>43585</v>
      </c>
      <c r="C91" s="46">
        <v>2</v>
      </c>
      <c r="D91" s="46">
        <v>4</v>
      </c>
      <c r="E91" s="5">
        <v>23556</v>
      </c>
      <c r="F91" s="47">
        <v>9.83</v>
      </c>
      <c r="G91" s="48">
        <v>6.48</v>
      </c>
      <c r="H91" s="31"/>
    </row>
    <row r="92" spans="2:8">
      <c r="B92" s="45">
        <v>43585</v>
      </c>
      <c r="C92" s="46">
        <v>2</v>
      </c>
      <c r="D92" s="46">
        <v>5</v>
      </c>
      <c r="E92" s="5">
        <v>14322</v>
      </c>
      <c r="F92" s="47">
        <v>14.16</v>
      </c>
      <c r="G92" s="48">
        <v>6.26</v>
      </c>
      <c r="H92" s="31"/>
    </row>
    <row r="93" spans="2:8">
      <c r="B93" s="45">
        <v>43585</v>
      </c>
      <c r="C93" s="46">
        <v>3</v>
      </c>
      <c r="D93" s="46">
        <v>1</v>
      </c>
      <c r="E93" s="5">
        <v>5112</v>
      </c>
      <c r="F93" s="47">
        <v>39.6</v>
      </c>
      <c r="G93" s="48">
        <v>25</v>
      </c>
      <c r="H93" s="31"/>
    </row>
    <row r="94" spans="2:8">
      <c r="B94" s="45">
        <v>43585</v>
      </c>
      <c r="C94" s="46">
        <v>3</v>
      </c>
      <c r="D94" s="46">
        <v>2</v>
      </c>
      <c r="E94" s="5">
        <v>18516</v>
      </c>
      <c r="F94" s="47">
        <v>17.850000000000001</v>
      </c>
      <c r="G94" s="48">
        <v>7.31</v>
      </c>
      <c r="H94" s="31"/>
    </row>
    <row r="95" spans="2:8">
      <c r="B95" s="45">
        <v>43585</v>
      </c>
      <c r="C95" s="46">
        <v>3</v>
      </c>
      <c r="D95" s="46">
        <v>3</v>
      </c>
      <c r="E95" s="5">
        <v>2564</v>
      </c>
      <c r="F95" s="47">
        <v>14.72</v>
      </c>
      <c r="G95" s="48">
        <v>5.12</v>
      </c>
      <c r="H95" s="31"/>
    </row>
    <row r="96" spans="2:8">
      <c r="B96" s="45">
        <v>43585</v>
      </c>
      <c r="C96" s="46">
        <v>3</v>
      </c>
      <c r="D96" s="46">
        <v>4</v>
      </c>
      <c r="E96" s="5">
        <v>21360</v>
      </c>
      <c r="F96" s="47">
        <v>10.8</v>
      </c>
      <c r="G96" s="48">
        <v>6.48</v>
      </c>
      <c r="H96" s="31"/>
    </row>
    <row r="97" spans="2:8">
      <c r="B97" s="45">
        <v>43585</v>
      </c>
      <c r="C97" s="46">
        <v>3</v>
      </c>
      <c r="D97" s="46">
        <v>5</v>
      </c>
      <c r="E97" s="5">
        <v>21014</v>
      </c>
      <c r="F97" s="47">
        <v>15.65</v>
      </c>
      <c r="G97" s="48">
        <v>6.26</v>
      </c>
      <c r="H97" s="31"/>
    </row>
    <row r="98" spans="2:8">
      <c r="B98" s="45">
        <v>43585</v>
      </c>
      <c r="C98" s="46">
        <v>4</v>
      </c>
      <c r="D98" s="46">
        <v>1</v>
      </c>
      <c r="E98" s="5">
        <v>55600</v>
      </c>
      <c r="F98" s="47">
        <v>44.4</v>
      </c>
      <c r="G98" s="48">
        <v>25</v>
      </c>
      <c r="H98" s="31"/>
    </row>
    <row r="99" spans="2:8">
      <c r="B99" s="45">
        <v>43585</v>
      </c>
      <c r="C99" s="46">
        <v>4</v>
      </c>
      <c r="D99" s="46">
        <v>2</v>
      </c>
      <c r="E99" s="5">
        <v>27716</v>
      </c>
      <c r="F99" s="47">
        <v>17.170000000000002</v>
      </c>
      <c r="G99" s="48">
        <v>7.31</v>
      </c>
      <c r="H99" s="31"/>
    </row>
    <row r="100" spans="2:8">
      <c r="B100" s="45">
        <v>43585</v>
      </c>
      <c r="C100" s="46">
        <v>4</v>
      </c>
      <c r="D100" s="46">
        <v>3</v>
      </c>
      <c r="E100" s="5">
        <v>36506</v>
      </c>
      <c r="F100" s="47">
        <v>13.57</v>
      </c>
      <c r="G100" s="48">
        <v>5.12</v>
      </c>
      <c r="H100" s="31"/>
    </row>
    <row r="101" spans="2:8">
      <c r="B101" s="45">
        <v>43585</v>
      </c>
      <c r="C101" s="46">
        <v>4</v>
      </c>
      <c r="D101" s="46">
        <v>4</v>
      </c>
      <c r="E101" s="5">
        <v>912</v>
      </c>
      <c r="F101" s="47">
        <v>12.42</v>
      </c>
      <c r="G101" s="48">
        <v>6.48</v>
      </c>
      <c r="H101" s="31"/>
    </row>
    <row r="102" spans="2:8">
      <c r="B102" s="45">
        <v>43585</v>
      </c>
      <c r="C102" s="46">
        <v>4</v>
      </c>
      <c r="D102" s="46">
        <v>5</v>
      </c>
      <c r="E102" s="5">
        <v>10042</v>
      </c>
      <c r="F102" s="47">
        <v>14.16</v>
      </c>
      <c r="G102" s="48">
        <v>6.26</v>
      </c>
      <c r="H102" s="31"/>
    </row>
    <row r="103" spans="2:8">
      <c r="B103" s="45">
        <v>43585</v>
      </c>
      <c r="C103" s="46">
        <v>5</v>
      </c>
      <c r="D103" s="46">
        <v>1</v>
      </c>
      <c r="E103" s="5">
        <v>7410</v>
      </c>
      <c r="F103" s="47">
        <v>37.6</v>
      </c>
      <c r="G103" s="48">
        <v>25</v>
      </c>
      <c r="H103" s="31"/>
    </row>
    <row r="104" spans="2:8">
      <c r="B104" s="45">
        <v>43585</v>
      </c>
      <c r="C104" s="46">
        <v>5</v>
      </c>
      <c r="D104" s="46">
        <v>2</v>
      </c>
      <c r="E104" s="5">
        <v>27626</v>
      </c>
      <c r="F104" s="47">
        <v>15.13</v>
      </c>
      <c r="G104" s="48">
        <v>7.31</v>
      </c>
      <c r="H104" s="31"/>
    </row>
    <row r="105" spans="2:8">
      <c r="B105" s="45">
        <v>43585</v>
      </c>
      <c r="C105" s="46">
        <v>5</v>
      </c>
      <c r="D105" s="46">
        <v>3</v>
      </c>
      <c r="E105" s="5">
        <v>22482</v>
      </c>
      <c r="F105" s="47">
        <v>13.06</v>
      </c>
      <c r="G105" s="48">
        <v>5.12</v>
      </c>
      <c r="H105" s="31"/>
    </row>
    <row r="106" spans="2:8">
      <c r="B106" s="45">
        <v>43585</v>
      </c>
      <c r="C106" s="46">
        <v>5</v>
      </c>
      <c r="D106" s="46">
        <v>4</v>
      </c>
      <c r="E106" s="5">
        <v>8968</v>
      </c>
      <c r="F106" s="47">
        <v>9.61</v>
      </c>
      <c r="G106" s="48">
        <v>6.48</v>
      </c>
      <c r="H106" s="31"/>
    </row>
    <row r="107" spans="2:8">
      <c r="B107" s="45">
        <v>43585</v>
      </c>
      <c r="C107" s="46">
        <v>5</v>
      </c>
      <c r="D107" s="46">
        <v>5</v>
      </c>
      <c r="E107" s="5">
        <v>16458</v>
      </c>
      <c r="F107" s="47">
        <v>12.67</v>
      </c>
      <c r="G107" s="48">
        <v>6.26</v>
      </c>
      <c r="H107" s="31"/>
    </row>
    <row r="108" spans="2:8">
      <c r="B108" s="45">
        <v>43616</v>
      </c>
      <c r="C108" s="46">
        <v>1</v>
      </c>
      <c r="D108" s="46">
        <v>1</v>
      </c>
      <c r="E108" s="5">
        <v>4400</v>
      </c>
      <c r="F108" s="47">
        <v>40</v>
      </c>
      <c r="G108" s="48">
        <v>25</v>
      </c>
      <c r="H108" s="31"/>
    </row>
    <row r="109" spans="2:8">
      <c r="B109" s="45">
        <v>43616</v>
      </c>
      <c r="C109" s="46">
        <v>1</v>
      </c>
      <c r="D109" s="46">
        <v>2</v>
      </c>
      <c r="E109" s="5">
        <v>1264</v>
      </c>
      <c r="F109" s="47">
        <v>17</v>
      </c>
      <c r="G109" s="48">
        <v>7.31</v>
      </c>
      <c r="H109" s="31"/>
    </row>
    <row r="110" spans="2:8">
      <c r="B110" s="45">
        <v>43616</v>
      </c>
      <c r="C110" s="46">
        <v>1</v>
      </c>
      <c r="D110" s="46">
        <v>3</v>
      </c>
      <c r="E110" s="5">
        <v>30112</v>
      </c>
      <c r="F110" s="47">
        <v>12.8</v>
      </c>
      <c r="G110" s="48">
        <v>5.12</v>
      </c>
      <c r="H110" s="31"/>
    </row>
    <row r="111" spans="2:8">
      <c r="B111" s="45">
        <v>43616</v>
      </c>
      <c r="C111" s="46">
        <v>1</v>
      </c>
      <c r="D111" s="46">
        <v>4</v>
      </c>
      <c r="E111" s="5">
        <v>25386</v>
      </c>
      <c r="F111" s="47">
        <v>10.8</v>
      </c>
      <c r="G111" s="48">
        <v>6.48</v>
      </c>
      <c r="H111" s="31"/>
    </row>
    <row r="112" spans="2:8">
      <c r="B112" s="45">
        <v>43616</v>
      </c>
      <c r="C112" s="46">
        <v>1</v>
      </c>
      <c r="D112" s="46">
        <v>5</v>
      </c>
      <c r="E112" s="5">
        <v>8478</v>
      </c>
      <c r="F112" s="47">
        <v>14.9</v>
      </c>
      <c r="G112" s="48">
        <v>6.26</v>
      </c>
      <c r="H112" s="31"/>
    </row>
    <row r="113" spans="2:8">
      <c r="B113" s="45">
        <v>43616</v>
      </c>
      <c r="C113" s="46">
        <v>2</v>
      </c>
      <c r="D113" s="46">
        <v>1</v>
      </c>
      <c r="E113" s="5">
        <v>4336</v>
      </c>
      <c r="F113" s="47">
        <v>34</v>
      </c>
      <c r="G113" s="48">
        <v>25</v>
      </c>
      <c r="H113" s="31"/>
    </row>
    <row r="114" spans="2:8">
      <c r="B114" s="45">
        <v>43616</v>
      </c>
      <c r="C114" s="46">
        <v>2</v>
      </c>
      <c r="D114" s="46">
        <v>2</v>
      </c>
      <c r="E114" s="5">
        <v>1080</v>
      </c>
      <c r="F114" s="47">
        <v>16.32</v>
      </c>
      <c r="G114" s="48">
        <v>7.31</v>
      </c>
      <c r="H114" s="31"/>
    </row>
    <row r="115" spans="2:8">
      <c r="B115" s="45">
        <v>43616</v>
      </c>
      <c r="C115" s="46">
        <v>2</v>
      </c>
      <c r="D115" s="46">
        <v>3</v>
      </c>
      <c r="E115" s="5">
        <v>22136</v>
      </c>
      <c r="F115" s="47">
        <v>14.21</v>
      </c>
      <c r="G115" s="48">
        <v>5.12</v>
      </c>
      <c r="H115" s="31"/>
    </row>
    <row r="116" spans="2:8">
      <c r="B116" s="45">
        <v>43616</v>
      </c>
      <c r="C116" s="46">
        <v>2</v>
      </c>
      <c r="D116" s="46">
        <v>4</v>
      </c>
      <c r="E116" s="5">
        <v>9266</v>
      </c>
      <c r="F116" s="47">
        <v>9.83</v>
      </c>
      <c r="G116" s="48">
        <v>6.48</v>
      </c>
      <c r="H116" s="31"/>
    </row>
    <row r="117" spans="2:8">
      <c r="B117" s="45">
        <v>43616</v>
      </c>
      <c r="C117" s="46">
        <v>2</v>
      </c>
      <c r="D117" s="46">
        <v>5</v>
      </c>
      <c r="E117" s="5">
        <v>15354</v>
      </c>
      <c r="F117" s="47">
        <v>14.16</v>
      </c>
      <c r="G117" s="48">
        <v>6.26</v>
      </c>
      <c r="H117" s="31"/>
    </row>
    <row r="118" spans="2:8">
      <c r="B118" s="45">
        <v>43616</v>
      </c>
      <c r="C118" s="46">
        <v>3</v>
      </c>
      <c r="D118" s="46">
        <v>1</v>
      </c>
      <c r="E118" s="5">
        <v>4248</v>
      </c>
      <c r="F118" s="47">
        <v>39.6</v>
      </c>
      <c r="G118" s="48">
        <v>25</v>
      </c>
      <c r="H118" s="31"/>
    </row>
    <row r="119" spans="2:8">
      <c r="B119" s="45">
        <v>43616</v>
      </c>
      <c r="C119" s="46">
        <v>3</v>
      </c>
      <c r="D119" s="46">
        <v>2</v>
      </c>
      <c r="E119" s="5">
        <v>28152</v>
      </c>
      <c r="F119" s="47">
        <v>17.850000000000001</v>
      </c>
      <c r="G119" s="48">
        <v>7.31</v>
      </c>
      <c r="H119" s="31"/>
    </row>
    <row r="120" spans="2:8">
      <c r="B120" s="45">
        <v>43616</v>
      </c>
      <c r="C120" s="46">
        <v>3</v>
      </c>
      <c r="D120" s="46">
        <v>3</v>
      </c>
      <c r="E120" s="5">
        <v>3538</v>
      </c>
      <c r="F120" s="47">
        <v>14.72</v>
      </c>
      <c r="G120" s="48">
        <v>5.12</v>
      </c>
      <c r="H120" s="31"/>
    </row>
    <row r="121" spans="2:8">
      <c r="B121" s="45">
        <v>43616</v>
      </c>
      <c r="C121" s="46">
        <v>3</v>
      </c>
      <c r="D121" s="46">
        <v>4</v>
      </c>
      <c r="E121" s="5">
        <v>21360</v>
      </c>
      <c r="F121" s="47">
        <v>10.8</v>
      </c>
      <c r="G121" s="48">
        <v>6.48</v>
      </c>
      <c r="H121" s="31"/>
    </row>
    <row r="122" spans="2:8">
      <c r="B122" s="45">
        <v>43616</v>
      </c>
      <c r="C122" s="46">
        <v>3</v>
      </c>
      <c r="D122" s="46">
        <v>5</v>
      </c>
      <c r="E122" s="5">
        <v>18512</v>
      </c>
      <c r="F122" s="47">
        <v>15.65</v>
      </c>
      <c r="G122" s="48">
        <v>6.26</v>
      </c>
      <c r="H122" s="31"/>
    </row>
    <row r="123" spans="2:8">
      <c r="B123" s="45">
        <v>43616</v>
      </c>
      <c r="C123" s="46">
        <v>4</v>
      </c>
      <c r="D123" s="46">
        <v>1</v>
      </c>
      <c r="E123" s="5">
        <v>33200</v>
      </c>
      <c r="F123" s="47">
        <v>44.4</v>
      </c>
      <c r="G123" s="48">
        <v>25</v>
      </c>
      <c r="H123" s="31"/>
    </row>
    <row r="124" spans="2:8">
      <c r="B124" s="45">
        <v>43616</v>
      </c>
      <c r="C124" s="46">
        <v>4</v>
      </c>
      <c r="D124" s="46">
        <v>2</v>
      </c>
      <c r="E124" s="5">
        <v>15118</v>
      </c>
      <c r="F124" s="47">
        <v>17.170000000000002</v>
      </c>
      <c r="G124" s="48">
        <v>7.31</v>
      </c>
      <c r="H124" s="31"/>
    </row>
    <row r="125" spans="2:8">
      <c r="B125" s="45">
        <v>43616</v>
      </c>
      <c r="C125" s="46">
        <v>4</v>
      </c>
      <c r="D125" s="46">
        <v>3</v>
      </c>
      <c r="E125" s="5">
        <v>27126</v>
      </c>
      <c r="F125" s="47">
        <v>13.57</v>
      </c>
      <c r="G125" s="48">
        <v>5.12</v>
      </c>
      <c r="H125" s="31"/>
    </row>
    <row r="126" spans="2:8">
      <c r="B126" s="45">
        <v>43616</v>
      </c>
      <c r="C126" s="46">
        <v>4</v>
      </c>
      <c r="D126" s="46">
        <v>4</v>
      </c>
      <c r="E126" s="5">
        <v>1228</v>
      </c>
      <c r="F126" s="47">
        <v>12.42</v>
      </c>
      <c r="G126" s="48">
        <v>6.48</v>
      </c>
      <c r="H126" s="31"/>
    </row>
    <row r="127" spans="2:8">
      <c r="B127" s="45">
        <v>43616</v>
      </c>
      <c r="C127" s="46">
        <v>4</v>
      </c>
      <c r="D127" s="46">
        <v>5</v>
      </c>
      <c r="E127" s="5">
        <v>20358</v>
      </c>
      <c r="F127" s="47">
        <v>14.16</v>
      </c>
      <c r="G127" s="48">
        <v>6.26</v>
      </c>
      <c r="H127" s="31"/>
    </row>
    <row r="128" spans="2:8">
      <c r="B128" s="45">
        <v>43616</v>
      </c>
      <c r="C128" s="46">
        <v>5</v>
      </c>
      <c r="D128" s="46">
        <v>1</v>
      </c>
      <c r="E128" s="5">
        <v>5808</v>
      </c>
      <c r="F128" s="47">
        <v>37.6</v>
      </c>
      <c r="G128" s="48">
        <v>25</v>
      </c>
      <c r="H128" s="31"/>
    </row>
    <row r="129" spans="2:8">
      <c r="B129" s="45">
        <v>43616</v>
      </c>
      <c r="C129" s="46">
        <v>5</v>
      </c>
      <c r="D129" s="46">
        <v>2</v>
      </c>
      <c r="E129" s="5">
        <v>28360</v>
      </c>
      <c r="F129" s="47">
        <v>15.13</v>
      </c>
      <c r="G129" s="48">
        <v>7.31</v>
      </c>
      <c r="H129" s="31"/>
    </row>
    <row r="130" spans="2:8">
      <c r="B130" s="45">
        <v>43616</v>
      </c>
      <c r="C130" s="46">
        <v>5</v>
      </c>
      <c r="D130" s="46">
        <v>3</v>
      </c>
      <c r="E130" s="5">
        <v>11242</v>
      </c>
      <c r="F130" s="47">
        <v>13.06</v>
      </c>
      <c r="G130" s="48">
        <v>5.12</v>
      </c>
      <c r="H130" s="31"/>
    </row>
    <row r="131" spans="2:8">
      <c r="B131" s="45">
        <v>43616</v>
      </c>
      <c r="C131" s="46">
        <v>5</v>
      </c>
      <c r="D131" s="46">
        <v>4</v>
      </c>
      <c r="E131" s="5">
        <v>9836</v>
      </c>
      <c r="F131" s="47">
        <v>9.61</v>
      </c>
      <c r="G131" s="48">
        <v>6.48</v>
      </c>
      <c r="H131" s="31"/>
    </row>
    <row r="132" spans="2:8">
      <c r="B132" s="45">
        <v>43616</v>
      </c>
      <c r="C132" s="46">
        <v>5</v>
      </c>
      <c r="D132" s="46">
        <v>5</v>
      </c>
      <c r="E132" s="5">
        <v>13138</v>
      </c>
      <c r="F132" s="47">
        <v>12.67</v>
      </c>
      <c r="G132" s="48">
        <v>6.26</v>
      </c>
      <c r="H132" s="31"/>
    </row>
    <row r="133" spans="2:8">
      <c r="B133" s="45">
        <v>43646</v>
      </c>
      <c r="C133" s="46">
        <v>1</v>
      </c>
      <c r="D133" s="46">
        <v>1</v>
      </c>
      <c r="E133" s="5">
        <v>5120</v>
      </c>
      <c r="F133" s="47">
        <v>40</v>
      </c>
      <c r="G133" s="48">
        <v>25</v>
      </c>
      <c r="H133" s="31"/>
    </row>
    <row r="134" spans="2:8">
      <c r="B134" s="45">
        <v>43646</v>
      </c>
      <c r="C134" s="46">
        <v>1</v>
      </c>
      <c r="D134" s="46">
        <v>2</v>
      </c>
      <c r="E134" s="5">
        <v>606</v>
      </c>
      <c r="F134" s="47">
        <v>17</v>
      </c>
      <c r="G134" s="48">
        <v>7.31</v>
      </c>
      <c r="H134" s="31"/>
    </row>
    <row r="135" spans="2:8">
      <c r="B135" s="45">
        <v>43646</v>
      </c>
      <c r="C135" s="46">
        <v>1</v>
      </c>
      <c r="D135" s="46">
        <v>3</v>
      </c>
      <c r="E135" s="5">
        <v>23444</v>
      </c>
      <c r="F135" s="47">
        <v>12.8</v>
      </c>
      <c r="G135" s="48">
        <v>5.12</v>
      </c>
      <c r="H135" s="31"/>
    </row>
    <row r="136" spans="2:8">
      <c r="B136" s="45">
        <v>43646</v>
      </c>
      <c r="C136" s="46">
        <v>1</v>
      </c>
      <c r="D136" s="46">
        <v>4</v>
      </c>
      <c r="E136" s="5">
        <v>21248</v>
      </c>
      <c r="F136" s="47">
        <v>10.8</v>
      </c>
      <c r="G136" s="48">
        <v>6.48</v>
      </c>
      <c r="H136" s="31"/>
    </row>
    <row r="137" spans="2:8">
      <c r="B137" s="45">
        <v>43646</v>
      </c>
      <c r="C137" s="46">
        <v>1</v>
      </c>
      <c r="D137" s="46">
        <v>5</v>
      </c>
      <c r="E137" s="5">
        <v>13566</v>
      </c>
      <c r="F137" s="47">
        <v>14.9</v>
      </c>
      <c r="G137" s="48">
        <v>6.26</v>
      </c>
      <c r="H137" s="31"/>
    </row>
    <row r="138" spans="2:8">
      <c r="B138" s="45">
        <v>43646</v>
      </c>
      <c r="C138" s="46">
        <v>2</v>
      </c>
      <c r="D138" s="46">
        <v>1</v>
      </c>
      <c r="E138" s="5">
        <v>3066</v>
      </c>
      <c r="F138" s="47">
        <v>34</v>
      </c>
      <c r="G138" s="48">
        <v>25</v>
      </c>
      <c r="H138" s="31"/>
    </row>
    <row r="139" spans="2:8">
      <c r="B139" s="45">
        <v>43646</v>
      </c>
      <c r="C139" s="46">
        <v>2</v>
      </c>
      <c r="D139" s="46">
        <v>2</v>
      </c>
      <c r="E139" s="5">
        <v>2544</v>
      </c>
      <c r="F139" s="47">
        <v>16.32</v>
      </c>
      <c r="G139" s="48">
        <v>7.31</v>
      </c>
      <c r="H139" s="31"/>
    </row>
    <row r="140" spans="2:8">
      <c r="B140" s="45">
        <v>43646</v>
      </c>
      <c r="C140" s="46">
        <v>2</v>
      </c>
      <c r="D140" s="46">
        <v>3</v>
      </c>
      <c r="E140" s="5">
        <v>24230</v>
      </c>
      <c r="F140" s="47">
        <v>14.21</v>
      </c>
      <c r="G140" s="48">
        <v>5.12</v>
      </c>
      <c r="H140" s="31"/>
    </row>
    <row r="141" spans="2:8">
      <c r="B141" s="45">
        <v>43646</v>
      </c>
      <c r="C141" s="46">
        <v>2</v>
      </c>
      <c r="D141" s="46">
        <v>4</v>
      </c>
      <c r="E141" s="5">
        <v>16804</v>
      </c>
      <c r="F141" s="47">
        <v>9.83</v>
      </c>
      <c r="G141" s="48">
        <v>6.48</v>
      </c>
      <c r="H141" s="31"/>
    </row>
    <row r="142" spans="2:8">
      <c r="B142" s="45">
        <v>43646</v>
      </c>
      <c r="C142" s="46">
        <v>2</v>
      </c>
      <c r="D142" s="46">
        <v>5</v>
      </c>
      <c r="E142" s="5">
        <v>17126</v>
      </c>
      <c r="F142" s="47">
        <v>14.16</v>
      </c>
      <c r="G142" s="48">
        <v>6.26</v>
      </c>
      <c r="H142" s="31"/>
    </row>
    <row r="143" spans="2:8">
      <c r="B143" s="45">
        <v>43646</v>
      </c>
      <c r="C143" s="46">
        <v>3</v>
      </c>
      <c r="D143" s="46">
        <v>1</v>
      </c>
      <c r="E143" s="5">
        <v>2452</v>
      </c>
      <c r="F143" s="47">
        <v>39.6</v>
      </c>
      <c r="G143" s="48">
        <v>25</v>
      </c>
      <c r="H143" s="31"/>
    </row>
    <row r="144" spans="2:8">
      <c r="B144" s="45">
        <v>43646</v>
      </c>
      <c r="C144" s="46">
        <v>3</v>
      </c>
      <c r="D144" s="46">
        <v>2</v>
      </c>
      <c r="E144" s="5">
        <v>17194</v>
      </c>
      <c r="F144" s="47">
        <v>17.850000000000001</v>
      </c>
      <c r="G144" s="48">
        <v>7.31</v>
      </c>
      <c r="H144" s="31"/>
    </row>
    <row r="145" spans="2:8">
      <c r="B145" s="45">
        <v>43646</v>
      </c>
      <c r="C145" s="46">
        <v>3</v>
      </c>
      <c r="D145" s="46">
        <v>3</v>
      </c>
      <c r="E145" s="5">
        <v>3066</v>
      </c>
      <c r="F145" s="47">
        <v>14.72</v>
      </c>
      <c r="G145" s="48">
        <v>5.12</v>
      </c>
      <c r="H145" s="31"/>
    </row>
    <row r="146" spans="2:8">
      <c r="B146" s="45">
        <v>43646</v>
      </c>
      <c r="C146" s="46">
        <v>3</v>
      </c>
      <c r="D146" s="46">
        <v>4</v>
      </c>
      <c r="E146" s="5">
        <v>12206</v>
      </c>
      <c r="F146" s="47">
        <v>10.8</v>
      </c>
      <c r="G146" s="48">
        <v>6.48</v>
      </c>
      <c r="H146" s="31"/>
    </row>
    <row r="147" spans="2:8">
      <c r="B147" s="45">
        <v>43646</v>
      </c>
      <c r="C147" s="46">
        <v>3</v>
      </c>
      <c r="D147" s="46">
        <v>5</v>
      </c>
      <c r="E147" s="5">
        <v>27268</v>
      </c>
      <c r="F147" s="47">
        <v>15.65</v>
      </c>
      <c r="G147" s="48">
        <v>6.26</v>
      </c>
      <c r="H147" s="31"/>
    </row>
    <row r="148" spans="2:8">
      <c r="B148" s="45">
        <v>43646</v>
      </c>
      <c r="C148" s="46">
        <v>4</v>
      </c>
      <c r="D148" s="46">
        <v>1</v>
      </c>
      <c r="E148" s="5">
        <v>34400</v>
      </c>
      <c r="F148" s="47">
        <v>44.4</v>
      </c>
      <c r="G148" s="48">
        <v>25</v>
      </c>
      <c r="H148" s="31"/>
    </row>
    <row r="149" spans="2:8">
      <c r="B149" s="45">
        <v>43646</v>
      </c>
      <c r="C149" s="46">
        <v>4</v>
      </c>
      <c r="D149" s="46">
        <v>2</v>
      </c>
      <c r="E149" s="5">
        <v>9692</v>
      </c>
      <c r="F149" s="47">
        <v>17.170000000000002</v>
      </c>
      <c r="G149" s="48">
        <v>7.31</v>
      </c>
      <c r="H149" s="31"/>
    </row>
    <row r="150" spans="2:8">
      <c r="B150" s="45">
        <v>43646</v>
      </c>
      <c r="C150" s="46">
        <v>4</v>
      </c>
      <c r="D150" s="46">
        <v>3</v>
      </c>
      <c r="E150" s="5">
        <v>16226</v>
      </c>
      <c r="F150" s="47">
        <v>13.57</v>
      </c>
      <c r="G150" s="48">
        <v>5.12</v>
      </c>
      <c r="H150" s="31"/>
    </row>
    <row r="151" spans="2:8">
      <c r="B151" s="45">
        <v>43646</v>
      </c>
      <c r="C151" s="46">
        <v>4</v>
      </c>
      <c r="D151" s="46">
        <v>4</v>
      </c>
      <c r="E151" s="5">
        <v>728</v>
      </c>
      <c r="F151" s="47">
        <v>12.42</v>
      </c>
      <c r="G151" s="48">
        <v>6.48</v>
      </c>
      <c r="H151" s="31"/>
    </row>
    <row r="152" spans="2:8">
      <c r="B152" s="45">
        <v>43646</v>
      </c>
      <c r="C152" s="46">
        <v>4</v>
      </c>
      <c r="D152" s="46">
        <v>5</v>
      </c>
      <c r="E152" s="5">
        <v>14582</v>
      </c>
      <c r="F152" s="47">
        <v>14.16</v>
      </c>
      <c r="G152" s="48">
        <v>6.26</v>
      </c>
      <c r="H152" s="31"/>
    </row>
    <row r="153" spans="2:8">
      <c r="B153" s="45">
        <v>43646</v>
      </c>
      <c r="C153" s="46">
        <v>5</v>
      </c>
      <c r="D153" s="46">
        <v>1</v>
      </c>
      <c r="E153" s="5">
        <v>6282</v>
      </c>
      <c r="F153" s="47">
        <v>37.6</v>
      </c>
      <c r="G153" s="48">
        <v>25</v>
      </c>
      <c r="H153" s="31"/>
    </row>
    <row r="154" spans="2:8">
      <c r="B154" s="45">
        <v>43646</v>
      </c>
      <c r="C154" s="46">
        <v>5</v>
      </c>
      <c r="D154" s="46">
        <v>2</v>
      </c>
      <c r="E154" s="5">
        <v>19802</v>
      </c>
      <c r="F154" s="47">
        <v>15.13</v>
      </c>
      <c r="G154" s="48">
        <v>7.31</v>
      </c>
      <c r="H154" s="31"/>
    </row>
    <row r="155" spans="2:8">
      <c r="B155" s="45">
        <v>43646</v>
      </c>
      <c r="C155" s="46">
        <v>5</v>
      </c>
      <c r="D155" s="46">
        <v>3</v>
      </c>
      <c r="E155" s="5">
        <v>13998</v>
      </c>
      <c r="F155" s="47">
        <v>13.06</v>
      </c>
      <c r="G155" s="48">
        <v>5.12</v>
      </c>
      <c r="H155" s="31"/>
    </row>
    <row r="156" spans="2:8">
      <c r="B156" s="45">
        <v>43646</v>
      </c>
      <c r="C156" s="46">
        <v>5</v>
      </c>
      <c r="D156" s="46">
        <v>4</v>
      </c>
      <c r="E156" s="5">
        <v>13984</v>
      </c>
      <c r="F156" s="47">
        <v>9.61</v>
      </c>
      <c r="G156" s="48">
        <v>6.48</v>
      </c>
      <c r="H156" s="31"/>
    </row>
    <row r="157" spans="2:8">
      <c r="B157" s="45">
        <v>43646</v>
      </c>
      <c r="C157" s="46">
        <v>5</v>
      </c>
      <c r="D157" s="46">
        <v>5</v>
      </c>
      <c r="E157" s="5">
        <v>15628</v>
      </c>
      <c r="F157" s="47">
        <v>12.67</v>
      </c>
      <c r="G157" s="48">
        <v>6.26</v>
      </c>
      <c r="H157" s="31"/>
    </row>
    <row r="158" spans="2:8">
      <c r="B158" s="45">
        <v>43677</v>
      </c>
      <c r="C158" s="46">
        <v>1</v>
      </c>
      <c r="D158" s="46">
        <v>1</v>
      </c>
      <c r="E158" s="5">
        <v>5680</v>
      </c>
      <c r="F158" s="47">
        <v>40</v>
      </c>
      <c r="G158" s="48">
        <v>25</v>
      </c>
      <c r="H158" s="31"/>
    </row>
    <row r="159" spans="2:8">
      <c r="B159" s="45">
        <v>43677</v>
      </c>
      <c r="C159" s="46">
        <v>1</v>
      </c>
      <c r="D159" s="46">
        <v>2</v>
      </c>
      <c r="E159" s="5">
        <v>930</v>
      </c>
      <c r="F159" s="47">
        <v>17</v>
      </c>
      <c r="G159" s="48">
        <v>7.31</v>
      </c>
      <c r="H159" s="31"/>
    </row>
    <row r="160" spans="2:8">
      <c r="B160" s="45">
        <v>43677</v>
      </c>
      <c r="C160" s="46">
        <v>1</v>
      </c>
      <c r="D160" s="46">
        <v>3</v>
      </c>
      <c r="E160" s="5">
        <v>10712</v>
      </c>
      <c r="F160" s="47">
        <v>12.8</v>
      </c>
      <c r="G160" s="48">
        <v>5.12</v>
      </c>
      <c r="H160" s="31"/>
    </row>
    <row r="161" spans="2:8">
      <c r="B161" s="45">
        <v>43677</v>
      </c>
      <c r="C161" s="46">
        <v>1</v>
      </c>
      <c r="D161" s="46">
        <v>4</v>
      </c>
      <c r="E161" s="5">
        <v>32560</v>
      </c>
      <c r="F161" s="47">
        <v>10.8</v>
      </c>
      <c r="G161" s="48">
        <v>6.48</v>
      </c>
      <c r="H161" s="31"/>
    </row>
    <row r="162" spans="2:8">
      <c r="B162" s="45">
        <v>43677</v>
      </c>
      <c r="C162" s="46">
        <v>1</v>
      </c>
      <c r="D162" s="46">
        <v>5</v>
      </c>
      <c r="E162" s="5">
        <v>11088</v>
      </c>
      <c r="F162" s="47">
        <v>14.9</v>
      </c>
      <c r="G162" s="48">
        <v>6.26</v>
      </c>
      <c r="H162" s="31"/>
    </row>
    <row r="163" spans="2:8">
      <c r="B163" s="45">
        <v>43677</v>
      </c>
      <c r="C163" s="46">
        <v>2</v>
      </c>
      <c r="D163" s="46">
        <v>1</v>
      </c>
      <c r="E163" s="5">
        <v>1642</v>
      </c>
      <c r="F163" s="47">
        <v>34</v>
      </c>
      <c r="G163" s="48">
        <v>25</v>
      </c>
      <c r="H163" s="31"/>
    </row>
    <row r="164" spans="2:8">
      <c r="B164" s="45">
        <v>43677</v>
      </c>
      <c r="C164" s="46">
        <v>2</v>
      </c>
      <c r="D164" s="46">
        <v>2</v>
      </c>
      <c r="E164" s="5">
        <v>1550</v>
      </c>
      <c r="F164" s="47">
        <v>16.32</v>
      </c>
      <c r="G164" s="48">
        <v>7.31</v>
      </c>
      <c r="H164" s="31"/>
    </row>
    <row r="165" spans="2:8">
      <c r="B165" s="45">
        <v>43677</v>
      </c>
      <c r="C165" s="46">
        <v>2</v>
      </c>
      <c r="D165" s="46">
        <v>3</v>
      </c>
      <c r="E165" s="5">
        <v>24828</v>
      </c>
      <c r="F165" s="47">
        <v>14.21</v>
      </c>
      <c r="G165" s="48">
        <v>5.12</v>
      </c>
      <c r="H165" s="31"/>
    </row>
    <row r="166" spans="2:8">
      <c r="B166" s="45">
        <v>43677</v>
      </c>
      <c r="C166" s="46">
        <v>2</v>
      </c>
      <c r="D166" s="46">
        <v>4</v>
      </c>
      <c r="E166" s="5">
        <v>10050</v>
      </c>
      <c r="F166" s="47">
        <v>9.83</v>
      </c>
      <c r="G166" s="48">
        <v>6.48</v>
      </c>
      <c r="H166" s="31"/>
    </row>
    <row r="167" spans="2:8">
      <c r="B167" s="45">
        <v>43677</v>
      </c>
      <c r="C167" s="46">
        <v>2</v>
      </c>
      <c r="D167" s="46">
        <v>5</v>
      </c>
      <c r="E167" s="5">
        <v>16388</v>
      </c>
      <c r="F167" s="47">
        <v>14.16</v>
      </c>
      <c r="G167" s="48">
        <v>6.26</v>
      </c>
      <c r="H167" s="31"/>
    </row>
    <row r="168" spans="2:8">
      <c r="B168" s="45">
        <v>43677</v>
      </c>
      <c r="C168" s="46">
        <v>3</v>
      </c>
      <c r="D168" s="46">
        <v>1</v>
      </c>
      <c r="E168" s="5">
        <v>4490</v>
      </c>
      <c r="F168" s="47">
        <v>39.6</v>
      </c>
      <c r="G168" s="48">
        <v>25</v>
      </c>
      <c r="H168" s="31"/>
    </row>
    <row r="169" spans="2:8">
      <c r="B169" s="45">
        <v>43677</v>
      </c>
      <c r="C169" s="46">
        <v>3</v>
      </c>
      <c r="D169" s="46">
        <v>2</v>
      </c>
      <c r="E169" s="5">
        <v>10202</v>
      </c>
      <c r="F169" s="47">
        <v>17.850000000000001</v>
      </c>
      <c r="G169" s="48">
        <v>7.31</v>
      </c>
      <c r="H169" s="31"/>
    </row>
    <row r="170" spans="2:8">
      <c r="B170" s="45">
        <v>43677</v>
      </c>
      <c r="C170" s="46">
        <v>3</v>
      </c>
      <c r="D170" s="46">
        <v>3</v>
      </c>
      <c r="E170" s="5">
        <v>4274</v>
      </c>
      <c r="F170" s="47">
        <v>14.72</v>
      </c>
      <c r="G170" s="48">
        <v>5.12</v>
      </c>
      <c r="H170" s="31"/>
    </row>
    <row r="171" spans="2:8">
      <c r="B171" s="45">
        <v>43677</v>
      </c>
      <c r="C171" s="46">
        <v>3</v>
      </c>
      <c r="D171" s="46">
        <v>4</v>
      </c>
      <c r="E171" s="5">
        <v>28988</v>
      </c>
      <c r="F171" s="47">
        <v>10.8</v>
      </c>
      <c r="G171" s="48">
        <v>6.48</v>
      </c>
      <c r="H171" s="31"/>
    </row>
    <row r="172" spans="2:8">
      <c r="B172" s="45">
        <v>43677</v>
      </c>
      <c r="C172" s="46">
        <v>3</v>
      </c>
      <c r="D172" s="46">
        <v>5</v>
      </c>
      <c r="E172" s="5">
        <v>25266</v>
      </c>
      <c r="F172" s="47">
        <v>15.65</v>
      </c>
      <c r="G172" s="48">
        <v>6.26</v>
      </c>
      <c r="H172" s="31"/>
    </row>
    <row r="173" spans="2:8">
      <c r="B173" s="45">
        <v>43677</v>
      </c>
      <c r="C173" s="46">
        <v>4</v>
      </c>
      <c r="D173" s="46">
        <v>1</v>
      </c>
      <c r="E173" s="5">
        <v>25200</v>
      </c>
      <c r="F173" s="47">
        <v>44.4</v>
      </c>
      <c r="G173" s="48">
        <v>25</v>
      </c>
      <c r="H173" s="31"/>
    </row>
    <row r="174" spans="2:8">
      <c r="B174" s="45">
        <v>43677</v>
      </c>
      <c r="C174" s="46">
        <v>4</v>
      </c>
      <c r="D174" s="46">
        <v>2</v>
      </c>
      <c r="E174" s="5">
        <v>18606</v>
      </c>
      <c r="F174" s="47">
        <v>17.170000000000002</v>
      </c>
      <c r="G174" s="48">
        <v>7.31</v>
      </c>
      <c r="H174" s="31"/>
    </row>
    <row r="175" spans="2:8">
      <c r="B175" s="45">
        <v>43677</v>
      </c>
      <c r="C175" s="46">
        <v>4</v>
      </c>
      <c r="D175" s="46">
        <v>3</v>
      </c>
      <c r="E175" s="5">
        <v>13944</v>
      </c>
      <c r="F175" s="47">
        <v>13.57</v>
      </c>
      <c r="G175" s="48">
        <v>5.12</v>
      </c>
      <c r="H175" s="31"/>
    </row>
    <row r="176" spans="2:8">
      <c r="B176" s="45">
        <v>43677</v>
      </c>
      <c r="C176" s="46">
        <v>4</v>
      </c>
      <c r="D176" s="46">
        <v>4</v>
      </c>
      <c r="E176" s="5">
        <v>1424</v>
      </c>
      <c r="F176" s="47">
        <v>12.42</v>
      </c>
      <c r="G176" s="48">
        <v>6.48</v>
      </c>
      <c r="H176" s="31"/>
    </row>
    <row r="177" spans="2:8">
      <c r="B177" s="45">
        <v>43677</v>
      </c>
      <c r="C177" s="46">
        <v>4</v>
      </c>
      <c r="D177" s="46">
        <v>5</v>
      </c>
      <c r="E177" s="5">
        <v>10180</v>
      </c>
      <c r="F177" s="47">
        <v>14.16</v>
      </c>
      <c r="G177" s="48">
        <v>6.26</v>
      </c>
      <c r="H177" s="31"/>
    </row>
    <row r="178" spans="2:8">
      <c r="B178" s="45">
        <v>43677</v>
      </c>
      <c r="C178" s="46">
        <v>5</v>
      </c>
      <c r="D178" s="46">
        <v>1</v>
      </c>
      <c r="E178" s="5">
        <v>6046</v>
      </c>
      <c r="F178" s="47">
        <v>37.6</v>
      </c>
      <c r="G178" s="48">
        <v>25</v>
      </c>
      <c r="H178" s="31"/>
    </row>
    <row r="179" spans="2:8">
      <c r="B179" s="45">
        <v>43677</v>
      </c>
      <c r="C179" s="46">
        <v>5</v>
      </c>
      <c r="D179" s="46">
        <v>2</v>
      </c>
      <c r="E179" s="5">
        <v>22982</v>
      </c>
      <c r="F179" s="47">
        <v>15.13</v>
      </c>
      <c r="G179" s="48">
        <v>7.31</v>
      </c>
      <c r="H179" s="31"/>
    </row>
    <row r="180" spans="2:8">
      <c r="B180" s="45">
        <v>43677</v>
      </c>
      <c r="C180" s="46">
        <v>5</v>
      </c>
      <c r="D180" s="46">
        <v>3</v>
      </c>
      <c r="E180" s="5">
        <v>21422</v>
      </c>
      <c r="F180" s="47">
        <v>13.06</v>
      </c>
      <c r="G180" s="48">
        <v>5.12</v>
      </c>
      <c r="H180" s="31"/>
    </row>
    <row r="181" spans="2:8">
      <c r="B181" s="45">
        <v>43677</v>
      </c>
      <c r="C181" s="46">
        <v>5</v>
      </c>
      <c r="D181" s="46">
        <v>4</v>
      </c>
      <c r="E181" s="5">
        <v>6462</v>
      </c>
      <c r="F181" s="47">
        <v>9.61</v>
      </c>
      <c r="G181" s="48">
        <v>6.48</v>
      </c>
      <c r="H181" s="31"/>
    </row>
    <row r="182" spans="2:8">
      <c r="B182" s="45">
        <v>43677</v>
      </c>
      <c r="C182" s="46">
        <v>5</v>
      </c>
      <c r="D182" s="46">
        <v>5</v>
      </c>
      <c r="E182" s="5">
        <v>9404</v>
      </c>
      <c r="F182" s="47">
        <v>12.67</v>
      </c>
      <c r="G182" s="48">
        <v>6.26</v>
      </c>
      <c r="H182" s="31"/>
    </row>
    <row r="183" spans="2:8">
      <c r="B183" s="45">
        <v>43708</v>
      </c>
      <c r="C183" s="46">
        <v>1</v>
      </c>
      <c r="D183" s="46">
        <v>1</v>
      </c>
      <c r="E183" s="5">
        <v>11920</v>
      </c>
      <c r="F183" s="47">
        <v>40</v>
      </c>
      <c r="G183" s="48">
        <v>25</v>
      </c>
      <c r="H183" s="31"/>
    </row>
    <row r="184" spans="2:8">
      <c r="B184" s="45">
        <v>43708</v>
      </c>
      <c r="C184" s="46">
        <v>1</v>
      </c>
      <c r="D184" s="46">
        <v>2</v>
      </c>
      <c r="E184" s="5">
        <v>760</v>
      </c>
      <c r="F184" s="47">
        <v>17</v>
      </c>
      <c r="G184" s="48">
        <v>7.31</v>
      </c>
      <c r="H184" s="31"/>
    </row>
    <row r="185" spans="2:8">
      <c r="B185" s="45">
        <v>43708</v>
      </c>
      <c r="C185" s="46">
        <v>1</v>
      </c>
      <c r="D185" s="46">
        <v>3</v>
      </c>
      <c r="E185" s="5">
        <v>19200</v>
      </c>
      <c r="F185" s="47">
        <v>12.8</v>
      </c>
      <c r="G185" s="48">
        <v>5.12</v>
      </c>
      <c r="H185" s="31"/>
    </row>
    <row r="186" spans="2:8">
      <c r="B186" s="45">
        <v>43708</v>
      </c>
      <c r="C186" s="46">
        <v>1</v>
      </c>
      <c r="D186" s="46">
        <v>4</v>
      </c>
      <c r="E186" s="5">
        <v>25662</v>
      </c>
      <c r="F186" s="47">
        <v>10.8</v>
      </c>
      <c r="G186" s="48">
        <v>6.48</v>
      </c>
      <c r="H186" s="31"/>
    </row>
    <row r="187" spans="2:8">
      <c r="B187" s="45">
        <v>43708</v>
      </c>
      <c r="C187" s="46">
        <v>1</v>
      </c>
      <c r="D187" s="46">
        <v>5</v>
      </c>
      <c r="E187" s="5">
        <v>9000</v>
      </c>
      <c r="F187" s="47">
        <v>14.9</v>
      </c>
      <c r="G187" s="48">
        <v>6.26</v>
      </c>
      <c r="H187" s="31"/>
    </row>
    <row r="188" spans="2:8">
      <c r="B188" s="45">
        <v>43708</v>
      </c>
      <c r="C188" s="46">
        <v>2</v>
      </c>
      <c r="D188" s="46">
        <v>1</v>
      </c>
      <c r="E188" s="5">
        <v>4368</v>
      </c>
      <c r="F188" s="47">
        <v>34</v>
      </c>
      <c r="G188" s="48">
        <v>25</v>
      </c>
      <c r="H188" s="31"/>
    </row>
    <row r="189" spans="2:8">
      <c r="B189" s="45">
        <v>43708</v>
      </c>
      <c r="C189" s="46">
        <v>2</v>
      </c>
      <c r="D189" s="46">
        <v>2</v>
      </c>
      <c r="E189" s="5">
        <v>2352</v>
      </c>
      <c r="F189" s="47">
        <v>16.32</v>
      </c>
      <c r="G189" s="48">
        <v>7.31</v>
      </c>
      <c r="H189" s="31"/>
    </row>
    <row r="190" spans="2:8">
      <c r="B190" s="45">
        <v>43708</v>
      </c>
      <c r="C190" s="46">
        <v>2</v>
      </c>
      <c r="D190" s="46">
        <v>3</v>
      </c>
      <c r="E190" s="5">
        <v>36496</v>
      </c>
      <c r="F190" s="47">
        <v>14.21</v>
      </c>
      <c r="G190" s="48">
        <v>5.12</v>
      </c>
      <c r="H190" s="31"/>
    </row>
    <row r="191" spans="2:8">
      <c r="B191" s="45">
        <v>43708</v>
      </c>
      <c r="C191" s="46">
        <v>2</v>
      </c>
      <c r="D191" s="46">
        <v>4</v>
      </c>
      <c r="E191" s="5">
        <v>19002</v>
      </c>
      <c r="F191" s="47">
        <v>9.83</v>
      </c>
      <c r="G191" s="48">
        <v>6.48</v>
      </c>
      <c r="H191" s="31"/>
    </row>
    <row r="192" spans="2:8">
      <c r="B192" s="45">
        <v>43708</v>
      </c>
      <c r="C192" s="46">
        <v>2</v>
      </c>
      <c r="D192" s="46">
        <v>5</v>
      </c>
      <c r="E192" s="5">
        <v>15798</v>
      </c>
      <c r="F192" s="47">
        <v>14.16</v>
      </c>
      <c r="G192" s="48">
        <v>6.26</v>
      </c>
      <c r="H192" s="31"/>
    </row>
    <row r="193" spans="2:8">
      <c r="B193" s="45">
        <v>43708</v>
      </c>
      <c r="C193" s="46">
        <v>3</v>
      </c>
      <c r="D193" s="46">
        <v>1</v>
      </c>
      <c r="E193" s="5">
        <v>3074</v>
      </c>
      <c r="F193" s="47">
        <v>39.6</v>
      </c>
      <c r="G193" s="48">
        <v>25</v>
      </c>
      <c r="H193" s="31"/>
    </row>
    <row r="194" spans="2:8">
      <c r="B194" s="45">
        <v>43708</v>
      </c>
      <c r="C194" s="46">
        <v>3</v>
      </c>
      <c r="D194" s="46">
        <v>2</v>
      </c>
      <c r="E194" s="5">
        <v>10202</v>
      </c>
      <c r="F194" s="47">
        <v>17.850000000000001</v>
      </c>
      <c r="G194" s="48">
        <v>7.31</v>
      </c>
      <c r="H194" s="31"/>
    </row>
    <row r="195" spans="2:8">
      <c r="B195" s="45">
        <v>43708</v>
      </c>
      <c r="C195" s="46">
        <v>3</v>
      </c>
      <c r="D195" s="46">
        <v>3</v>
      </c>
      <c r="E195" s="5">
        <v>2034</v>
      </c>
      <c r="F195" s="47">
        <v>14.72</v>
      </c>
      <c r="G195" s="48">
        <v>5.12</v>
      </c>
      <c r="H195" s="31"/>
    </row>
    <row r="196" spans="2:8">
      <c r="B196" s="45">
        <v>43708</v>
      </c>
      <c r="C196" s="46">
        <v>3</v>
      </c>
      <c r="D196" s="46">
        <v>4</v>
      </c>
      <c r="E196" s="5">
        <v>14604</v>
      </c>
      <c r="F196" s="47">
        <v>10.8</v>
      </c>
      <c r="G196" s="48">
        <v>6.48</v>
      </c>
      <c r="H196" s="31"/>
    </row>
    <row r="197" spans="2:8">
      <c r="B197" s="45">
        <v>43708</v>
      </c>
      <c r="C197" s="46">
        <v>3</v>
      </c>
      <c r="D197" s="46">
        <v>5</v>
      </c>
      <c r="E197" s="5">
        <v>21014</v>
      </c>
      <c r="F197" s="47">
        <v>15.65</v>
      </c>
      <c r="G197" s="48">
        <v>6.26</v>
      </c>
      <c r="H197" s="31"/>
    </row>
    <row r="198" spans="2:8">
      <c r="B198" s="45">
        <v>43708</v>
      </c>
      <c r="C198" s="46">
        <v>4</v>
      </c>
      <c r="D198" s="46">
        <v>1</v>
      </c>
      <c r="E198" s="5">
        <v>46400</v>
      </c>
      <c r="F198" s="47">
        <v>44.4</v>
      </c>
      <c r="G198" s="48">
        <v>25</v>
      </c>
      <c r="H198" s="31"/>
    </row>
    <row r="199" spans="2:8">
      <c r="B199" s="45">
        <v>43708</v>
      </c>
      <c r="C199" s="46">
        <v>4</v>
      </c>
      <c r="D199" s="46">
        <v>2</v>
      </c>
      <c r="E199" s="5">
        <v>21514</v>
      </c>
      <c r="F199" s="47">
        <v>17.170000000000002</v>
      </c>
      <c r="G199" s="48">
        <v>7.31</v>
      </c>
      <c r="H199" s="31"/>
    </row>
    <row r="200" spans="2:8">
      <c r="B200" s="45">
        <v>43708</v>
      </c>
      <c r="C200" s="46">
        <v>4</v>
      </c>
      <c r="D200" s="46">
        <v>3</v>
      </c>
      <c r="E200" s="5">
        <v>16986</v>
      </c>
      <c r="F200" s="47">
        <v>13.57</v>
      </c>
      <c r="G200" s="48">
        <v>5.12</v>
      </c>
      <c r="H200" s="31"/>
    </row>
    <row r="201" spans="2:8">
      <c r="B201" s="45">
        <v>43708</v>
      </c>
      <c r="C201" s="46">
        <v>4</v>
      </c>
      <c r="D201" s="46">
        <v>4</v>
      </c>
      <c r="E201" s="5">
        <v>1024</v>
      </c>
      <c r="F201" s="47">
        <v>12.42</v>
      </c>
      <c r="G201" s="48">
        <v>6.48</v>
      </c>
      <c r="H201" s="31"/>
    </row>
    <row r="202" spans="2:8">
      <c r="B202" s="45">
        <v>43708</v>
      </c>
      <c r="C202" s="46">
        <v>4</v>
      </c>
      <c r="D202" s="46">
        <v>5</v>
      </c>
      <c r="E202" s="5">
        <v>20634</v>
      </c>
      <c r="F202" s="47">
        <v>14.16</v>
      </c>
      <c r="G202" s="48">
        <v>6.26</v>
      </c>
      <c r="H202" s="31"/>
    </row>
    <row r="203" spans="2:8">
      <c r="B203" s="45">
        <v>43708</v>
      </c>
      <c r="C203" s="46">
        <v>5</v>
      </c>
      <c r="D203" s="46">
        <v>1</v>
      </c>
      <c r="E203" s="5">
        <v>3556</v>
      </c>
      <c r="F203" s="47">
        <v>37.6</v>
      </c>
      <c r="G203" s="48">
        <v>25</v>
      </c>
      <c r="H203" s="31"/>
    </row>
    <row r="204" spans="2:8">
      <c r="B204" s="45">
        <v>43708</v>
      </c>
      <c r="C204" s="46">
        <v>5</v>
      </c>
      <c r="D204" s="46">
        <v>2</v>
      </c>
      <c r="E204" s="5">
        <v>26648</v>
      </c>
      <c r="F204" s="47">
        <v>15.13</v>
      </c>
      <c r="G204" s="48">
        <v>7.31</v>
      </c>
      <c r="H204" s="31"/>
    </row>
    <row r="205" spans="2:8">
      <c r="B205" s="45">
        <v>43708</v>
      </c>
      <c r="C205" s="46">
        <v>5</v>
      </c>
      <c r="D205" s="46">
        <v>3</v>
      </c>
      <c r="E205" s="5">
        <v>19726</v>
      </c>
      <c r="F205" s="47">
        <v>13.06</v>
      </c>
      <c r="G205" s="48">
        <v>5.12</v>
      </c>
      <c r="H205" s="31"/>
    </row>
    <row r="206" spans="2:8">
      <c r="B206" s="45">
        <v>43708</v>
      </c>
      <c r="C206" s="46">
        <v>5</v>
      </c>
      <c r="D206" s="46">
        <v>4</v>
      </c>
      <c r="E206" s="5">
        <v>10802</v>
      </c>
      <c r="F206" s="47">
        <v>9.61</v>
      </c>
      <c r="G206" s="48">
        <v>6.48</v>
      </c>
      <c r="H206" s="31"/>
    </row>
    <row r="207" spans="2:8">
      <c r="B207" s="45">
        <v>43708</v>
      </c>
      <c r="C207" s="46">
        <v>5</v>
      </c>
      <c r="D207" s="46">
        <v>5</v>
      </c>
      <c r="E207" s="5">
        <v>8022</v>
      </c>
      <c r="F207" s="47">
        <v>12.67</v>
      </c>
      <c r="G207" s="48">
        <v>6.26</v>
      </c>
      <c r="H207" s="31"/>
    </row>
    <row r="208" spans="2:8">
      <c r="B208" s="45">
        <v>43738</v>
      </c>
      <c r="C208" s="46">
        <v>1</v>
      </c>
      <c r="D208" s="46">
        <v>1</v>
      </c>
      <c r="E208" s="5">
        <v>10880</v>
      </c>
      <c r="F208" s="47">
        <v>40</v>
      </c>
      <c r="G208" s="48">
        <v>25</v>
      </c>
      <c r="H208" s="31"/>
    </row>
    <row r="209" spans="2:8">
      <c r="B209" s="45">
        <v>43738</v>
      </c>
      <c r="C209" s="46">
        <v>1</v>
      </c>
      <c r="D209" s="46">
        <v>2</v>
      </c>
      <c r="E209" s="5">
        <v>1162</v>
      </c>
      <c r="F209" s="47">
        <v>17</v>
      </c>
      <c r="G209" s="48">
        <v>7.31</v>
      </c>
      <c r="H209" s="31"/>
    </row>
    <row r="210" spans="2:8">
      <c r="B210" s="45">
        <v>43738</v>
      </c>
      <c r="C210" s="46">
        <v>1</v>
      </c>
      <c r="D210" s="46">
        <v>3</v>
      </c>
      <c r="E210" s="5">
        <v>24858</v>
      </c>
      <c r="F210" s="47">
        <v>12.8</v>
      </c>
      <c r="G210" s="48">
        <v>5.12</v>
      </c>
      <c r="H210" s="31"/>
    </row>
    <row r="211" spans="2:8">
      <c r="B211" s="45">
        <v>43738</v>
      </c>
      <c r="C211" s="46">
        <v>1</v>
      </c>
      <c r="D211" s="46">
        <v>4</v>
      </c>
      <c r="E211" s="5">
        <v>23178</v>
      </c>
      <c r="F211" s="47">
        <v>10.8</v>
      </c>
      <c r="G211" s="48">
        <v>6.48</v>
      </c>
      <c r="H211" s="31"/>
    </row>
    <row r="212" spans="2:8">
      <c r="B212" s="45">
        <v>43738</v>
      </c>
      <c r="C212" s="46">
        <v>1</v>
      </c>
      <c r="D212" s="46">
        <v>5</v>
      </c>
      <c r="E212" s="5">
        <v>10826</v>
      </c>
      <c r="F212" s="47">
        <v>14.9</v>
      </c>
      <c r="G212" s="48">
        <v>6.26</v>
      </c>
      <c r="H212" s="31"/>
    </row>
    <row r="213" spans="2:8">
      <c r="B213" s="45">
        <v>43738</v>
      </c>
      <c r="C213" s="46">
        <v>2</v>
      </c>
      <c r="D213" s="46">
        <v>1</v>
      </c>
      <c r="E213" s="5">
        <v>1580</v>
      </c>
      <c r="F213" s="47">
        <v>34</v>
      </c>
      <c r="G213" s="48">
        <v>25</v>
      </c>
      <c r="H213" s="31"/>
    </row>
    <row r="214" spans="2:8">
      <c r="B214" s="45">
        <v>43738</v>
      </c>
      <c r="C214" s="46">
        <v>2</v>
      </c>
      <c r="D214" s="46">
        <v>2</v>
      </c>
      <c r="E214" s="5">
        <v>1672</v>
      </c>
      <c r="F214" s="47">
        <v>16.32</v>
      </c>
      <c r="G214" s="48">
        <v>7.31</v>
      </c>
      <c r="H214" s="31"/>
    </row>
    <row r="215" spans="2:8">
      <c r="B215" s="45">
        <v>43738</v>
      </c>
      <c r="C215" s="46">
        <v>2</v>
      </c>
      <c r="D215" s="46">
        <v>3</v>
      </c>
      <c r="E215" s="5">
        <v>21838</v>
      </c>
      <c r="F215" s="47">
        <v>14.21</v>
      </c>
      <c r="G215" s="48">
        <v>5.12</v>
      </c>
      <c r="H215" s="31"/>
    </row>
    <row r="216" spans="2:8">
      <c r="B216" s="45">
        <v>43738</v>
      </c>
      <c r="C216" s="46">
        <v>2</v>
      </c>
      <c r="D216" s="46">
        <v>4</v>
      </c>
      <c r="E216" s="5">
        <v>10678</v>
      </c>
      <c r="F216" s="47">
        <v>9.83</v>
      </c>
      <c r="G216" s="48">
        <v>6.48</v>
      </c>
      <c r="H216" s="31"/>
    </row>
    <row r="217" spans="2:8">
      <c r="B217" s="45">
        <v>43738</v>
      </c>
      <c r="C217" s="46">
        <v>2</v>
      </c>
      <c r="D217" s="46">
        <v>5</v>
      </c>
      <c r="E217" s="5">
        <v>8564</v>
      </c>
      <c r="F217" s="47">
        <v>14.16</v>
      </c>
      <c r="G217" s="48">
        <v>6.26</v>
      </c>
      <c r="H217" s="31"/>
    </row>
    <row r="218" spans="2:8">
      <c r="B218" s="45">
        <v>43738</v>
      </c>
      <c r="C218" s="46">
        <v>3</v>
      </c>
      <c r="D218" s="46">
        <v>1</v>
      </c>
      <c r="E218" s="5">
        <v>5182</v>
      </c>
      <c r="F218" s="47">
        <v>39.6</v>
      </c>
      <c r="G218" s="48">
        <v>25</v>
      </c>
      <c r="H218" s="31"/>
    </row>
    <row r="219" spans="2:8">
      <c r="B219" s="45">
        <v>43738</v>
      </c>
      <c r="C219" s="46">
        <v>3</v>
      </c>
      <c r="D219" s="46">
        <v>2</v>
      </c>
      <c r="E219" s="5">
        <v>16248</v>
      </c>
      <c r="F219" s="47">
        <v>17.850000000000001</v>
      </c>
      <c r="G219" s="48">
        <v>7.31</v>
      </c>
      <c r="H219" s="31"/>
    </row>
    <row r="220" spans="2:8">
      <c r="B220" s="45">
        <v>43738</v>
      </c>
      <c r="C220" s="46">
        <v>3</v>
      </c>
      <c r="D220" s="46">
        <v>3</v>
      </c>
      <c r="E220" s="5">
        <v>3242</v>
      </c>
      <c r="F220" s="47">
        <v>14.72</v>
      </c>
      <c r="G220" s="48">
        <v>5.12</v>
      </c>
      <c r="H220" s="31"/>
    </row>
    <row r="221" spans="2:8">
      <c r="B221" s="45">
        <v>43738</v>
      </c>
      <c r="C221" s="46">
        <v>3</v>
      </c>
      <c r="D221" s="46">
        <v>4</v>
      </c>
      <c r="E221" s="5">
        <v>29206</v>
      </c>
      <c r="F221" s="47">
        <v>10.8</v>
      </c>
      <c r="G221" s="48">
        <v>6.48</v>
      </c>
      <c r="H221" s="31"/>
    </row>
    <row r="222" spans="2:8">
      <c r="B222" s="45">
        <v>43738</v>
      </c>
      <c r="C222" s="46">
        <v>3</v>
      </c>
      <c r="D222" s="46">
        <v>5</v>
      </c>
      <c r="E222" s="5">
        <v>32520</v>
      </c>
      <c r="F222" s="47">
        <v>15.65</v>
      </c>
      <c r="G222" s="48">
        <v>6.26</v>
      </c>
      <c r="H222" s="31"/>
    </row>
    <row r="223" spans="2:8">
      <c r="B223" s="45">
        <v>43738</v>
      </c>
      <c r="C223" s="46">
        <v>4</v>
      </c>
      <c r="D223" s="46">
        <v>1</v>
      </c>
      <c r="E223" s="5">
        <v>41600</v>
      </c>
      <c r="F223" s="47">
        <v>44.4</v>
      </c>
      <c r="G223" s="48">
        <v>25</v>
      </c>
      <c r="H223" s="31"/>
    </row>
    <row r="224" spans="2:8">
      <c r="B224" s="45">
        <v>43738</v>
      </c>
      <c r="C224" s="46">
        <v>4</v>
      </c>
      <c r="D224" s="46">
        <v>2</v>
      </c>
      <c r="E224" s="5">
        <v>17444</v>
      </c>
      <c r="F224" s="47">
        <v>17.170000000000002</v>
      </c>
      <c r="G224" s="48">
        <v>7.31</v>
      </c>
      <c r="H224" s="31"/>
    </row>
    <row r="225" spans="2:8">
      <c r="B225" s="45">
        <v>43738</v>
      </c>
      <c r="C225" s="46">
        <v>4</v>
      </c>
      <c r="D225" s="46">
        <v>3</v>
      </c>
      <c r="E225" s="5">
        <v>26620</v>
      </c>
      <c r="F225" s="47">
        <v>13.57</v>
      </c>
      <c r="G225" s="48">
        <v>5.12</v>
      </c>
      <c r="H225" s="31"/>
    </row>
    <row r="226" spans="2:8">
      <c r="B226" s="45">
        <v>43738</v>
      </c>
      <c r="C226" s="46">
        <v>4</v>
      </c>
      <c r="D226" s="46">
        <v>4</v>
      </c>
      <c r="E226" s="5">
        <v>798</v>
      </c>
      <c r="F226" s="47">
        <v>12.42</v>
      </c>
      <c r="G226" s="48">
        <v>6.48</v>
      </c>
      <c r="H226" s="31"/>
    </row>
    <row r="227" spans="2:8">
      <c r="B227" s="45">
        <v>43738</v>
      </c>
      <c r="C227" s="46">
        <v>4</v>
      </c>
      <c r="D227" s="46">
        <v>5</v>
      </c>
      <c r="E227" s="5">
        <v>14306</v>
      </c>
      <c r="F227" s="47">
        <v>14.16</v>
      </c>
      <c r="G227" s="48">
        <v>6.26</v>
      </c>
      <c r="H227" s="31"/>
    </row>
    <row r="228" spans="2:8">
      <c r="B228" s="45">
        <v>43738</v>
      </c>
      <c r="C228" s="46">
        <v>5</v>
      </c>
      <c r="D228" s="46">
        <v>1</v>
      </c>
      <c r="E228" s="5">
        <v>6460</v>
      </c>
      <c r="F228" s="47">
        <v>37.6</v>
      </c>
      <c r="G228" s="48">
        <v>25</v>
      </c>
      <c r="H228" s="31"/>
    </row>
    <row r="229" spans="2:8">
      <c r="B229" s="45">
        <v>43738</v>
      </c>
      <c r="C229" s="46">
        <v>5</v>
      </c>
      <c r="D229" s="46">
        <v>2</v>
      </c>
      <c r="E229" s="5">
        <v>28848</v>
      </c>
      <c r="F229" s="47">
        <v>15.13</v>
      </c>
      <c r="G229" s="48">
        <v>7.31</v>
      </c>
      <c r="H229" s="31"/>
    </row>
    <row r="230" spans="2:8">
      <c r="B230" s="45">
        <v>43738</v>
      </c>
      <c r="C230" s="46">
        <v>5</v>
      </c>
      <c r="D230" s="46">
        <v>3</v>
      </c>
      <c r="E230" s="5">
        <v>11666</v>
      </c>
      <c r="F230" s="47">
        <v>13.06</v>
      </c>
      <c r="G230" s="48">
        <v>5.12</v>
      </c>
      <c r="H230" s="31"/>
    </row>
    <row r="231" spans="2:8">
      <c r="B231" s="45">
        <v>43738</v>
      </c>
      <c r="C231" s="46">
        <v>5</v>
      </c>
      <c r="D231" s="46">
        <v>4</v>
      </c>
      <c r="E231" s="5">
        <v>8486</v>
      </c>
      <c r="F231" s="47">
        <v>9.61</v>
      </c>
      <c r="G231" s="48">
        <v>6.48</v>
      </c>
      <c r="H231" s="31"/>
    </row>
    <row r="232" spans="2:8">
      <c r="B232" s="45">
        <v>43738</v>
      </c>
      <c r="C232" s="46">
        <v>5</v>
      </c>
      <c r="D232" s="46">
        <v>5</v>
      </c>
      <c r="E232" s="5">
        <v>6916</v>
      </c>
      <c r="F232" s="47">
        <v>12.67</v>
      </c>
      <c r="G232" s="48">
        <v>6.26</v>
      </c>
      <c r="H232" s="31"/>
    </row>
    <row r="233" spans="2:8">
      <c r="B233" s="45">
        <v>43769</v>
      </c>
      <c r="C233" s="46">
        <v>1</v>
      </c>
      <c r="D233" s="46">
        <v>1</v>
      </c>
      <c r="E233" s="5">
        <v>4560</v>
      </c>
      <c r="F233" s="47">
        <v>40</v>
      </c>
      <c r="G233" s="48">
        <v>25</v>
      </c>
      <c r="H233" s="31"/>
    </row>
    <row r="234" spans="2:8">
      <c r="B234" s="45">
        <v>43769</v>
      </c>
      <c r="C234" s="46">
        <v>1</v>
      </c>
      <c r="D234" s="46">
        <v>2</v>
      </c>
      <c r="E234" s="5">
        <v>1212</v>
      </c>
      <c r="F234" s="47">
        <v>17</v>
      </c>
      <c r="G234" s="48">
        <v>7.31</v>
      </c>
      <c r="H234" s="31"/>
    </row>
    <row r="235" spans="2:8">
      <c r="B235" s="45">
        <v>43769</v>
      </c>
      <c r="C235" s="46">
        <v>1</v>
      </c>
      <c r="D235" s="46">
        <v>3</v>
      </c>
      <c r="E235" s="5">
        <v>26274</v>
      </c>
      <c r="F235" s="47">
        <v>12.8</v>
      </c>
      <c r="G235" s="48">
        <v>5.12</v>
      </c>
      <c r="H235" s="31"/>
    </row>
    <row r="236" spans="2:8">
      <c r="B236" s="45">
        <v>43769</v>
      </c>
      <c r="C236" s="46">
        <v>1</v>
      </c>
      <c r="D236" s="46">
        <v>4</v>
      </c>
      <c r="E236" s="5">
        <v>31734</v>
      </c>
      <c r="F236" s="47">
        <v>10.8</v>
      </c>
      <c r="G236" s="48">
        <v>6.48</v>
      </c>
      <c r="H236" s="31"/>
    </row>
    <row r="237" spans="2:8">
      <c r="B237" s="45">
        <v>43769</v>
      </c>
      <c r="C237" s="46">
        <v>1</v>
      </c>
      <c r="D237" s="46">
        <v>5</v>
      </c>
      <c r="E237" s="5">
        <v>6914</v>
      </c>
      <c r="F237" s="47">
        <v>14.9</v>
      </c>
      <c r="G237" s="48">
        <v>6.26</v>
      </c>
      <c r="H237" s="31"/>
    </row>
    <row r="238" spans="2:8">
      <c r="B238" s="45">
        <v>43769</v>
      </c>
      <c r="C238" s="46">
        <v>2</v>
      </c>
      <c r="D238" s="46">
        <v>1</v>
      </c>
      <c r="E238" s="5">
        <v>2540</v>
      </c>
      <c r="F238" s="47">
        <v>34</v>
      </c>
      <c r="G238" s="48">
        <v>25</v>
      </c>
      <c r="H238" s="31"/>
    </row>
    <row r="239" spans="2:8">
      <c r="B239" s="45">
        <v>43769</v>
      </c>
      <c r="C239" s="46">
        <v>2</v>
      </c>
      <c r="D239" s="46">
        <v>2</v>
      </c>
      <c r="E239" s="5">
        <v>2194</v>
      </c>
      <c r="F239" s="47">
        <v>16.32</v>
      </c>
      <c r="G239" s="48">
        <v>7.31</v>
      </c>
      <c r="H239" s="31"/>
    </row>
    <row r="240" spans="2:8">
      <c r="B240" s="45">
        <v>43769</v>
      </c>
      <c r="C240" s="46">
        <v>2</v>
      </c>
      <c r="D240" s="46">
        <v>3</v>
      </c>
      <c r="E240" s="5">
        <v>33204</v>
      </c>
      <c r="F240" s="47">
        <v>14.21</v>
      </c>
      <c r="G240" s="48">
        <v>5.12</v>
      </c>
      <c r="H240" s="31"/>
    </row>
    <row r="241" spans="2:8">
      <c r="B241" s="45">
        <v>43769</v>
      </c>
      <c r="C241" s="46">
        <v>2</v>
      </c>
      <c r="D241" s="46">
        <v>4</v>
      </c>
      <c r="E241" s="5">
        <v>17118</v>
      </c>
      <c r="F241" s="47">
        <v>9.83</v>
      </c>
      <c r="G241" s="48">
        <v>6.48</v>
      </c>
      <c r="H241" s="31"/>
    </row>
    <row r="242" spans="2:8">
      <c r="B242" s="45">
        <v>43769</v>
      </c>
      <c r="C242" s="46">
        <v>2</v>
      </c>
      <c r="D242" s="46">
        <v>5</v>
      </c>
      <c r="E242" s="5">
        <v>12698</v>
      </c>
      <c r="F242" s="47">
        <v>14.16</v>
      </c>
      <c r="G242" s="48">
        <v>6.26</v>
      </c>
      <c r="H242" s="31"/>
    </row>
    <row r="243" spans="2:8">
      <c r="B243" s="45">
        <v>43769</v>
      </c>
      <c r="C243" s="46">
        <v>3</v>
      </c>
      <c r="D243" s="46">
        <v>1</v>
      </c>
      <c r="E243" s="5">
        <v>4904</v>
      </c>
      <c r="F243" s="47">
        <v>39.6</v>
      </c>
      <c r="G243" s="48">
        <v>25</v>
      </c>
      <c r="H243" s="31"/>
    </row>
    <row r="244" spans="2:8">
      <c r="B244" s="45">
        <v>43769</v>
      </c>
      <c r="C244" s="46">
        <v>3</v>
      </c>
      <c r="D244" s="46">
        <v>2</v>
      </c>
      <c r="E244" s="5">
        <v>19650</v>
      </c>
      <c r="F244" s="47">
        <v>17.850000000000001</v>
      </c>
      <c r="G244" s="48">
        <v>7.31</v>
      </c>
      <c r="H244" s="31"/>
    </row>
    <row r="245" spans="2:8">
      <c r="B245" s="45">
        <v>43769</v>
      </c>
      <c r="C245" s="46">
        <v>3</v>
      </c>
      <c r="D245" s="46">
        <v>3</v>
      </c>
      <c r="E245" s="5">
        <v>1946</v>
      </c>
      <c r="F245" s="47">
        <v>14.72</v>
      </c>
      <c r="G245" s="48">
        <v>5.12</v>
      </c>
      <c r="H245" s="31"/>
    </row>
    <row r="246" spans="2:8">
      <c r="B246" s="45">
        <v>43769</v>
      </c>
      <c r="C246" s="46">
        <v>3</v>
      </c>
      <c r="D246" s="46">
        <v>4</v>
      </c>
      <c r="E246" s="5">
        <v>32040</v>
      </c>
      <c r="F246" s="47">
        <v>10.8</v>
      </c>
      <c r="G246" s="48">
        <v>6.48</v>
      </c>
      <c r="H246" s="31"/>
    </row>
    <row r="247" spans="2:8">
      <c r="B247" s="45">
        <v>43769</v>
      </c>
      <c r="C247" s="46">
        <v>3</v>
      </c>
      <c r="D247" s="46">
        <v>5</v>
      </c>
      <c r="E247" s="5">
        <v>32770</v>
      </c>
      <c r="F247" s="47">
        <v>15.65</v>
      </c>
      <c r="G247" s="48">
        <v>6.26</v>
      </c>
      <c r="H247" s="31"/>
    </row>
    <row r="248" spans="2:8">
      <c r="B248" s="45">
        <v>43769</v>
      </c>
      <c r="C248" s="46">
        <v>4</v>
      </c>
      <c r="D248" s="46">
        <v>1</v>
      </c>
      <c r="E248" s="5">
        <v>51600</v>
      </c>
      <c r="F248" s="47">
        <v>44.4</v>
      </c>
      <c r="G248" s="48">
        <v>25</v>
      </c>
      <c r="H248" s="31"/>
    </row>
    <row r="249" spans="2:8">
      <c r="B249" s="45">
        <v>43769</v>
      </c>
      <c r="C249" s="46">
        <v>4</v>
      </c>
      <c r="D249" s="46">
        <v>2</v>
      </c>
      <c r="E249" s="5">
        <v>23646</v>
      </c>
      <c r="F249" s="47">
        <v>17.170000000000002</v>
      </c>
      <c r="G249" s="48">
        <v>7.31</v>
      </c>
      <c r="H249" s="31"/>
    </row>
    <row r="250" spans="2:8">
      <c r="B250" s="45">
        <v>43769</v>
      </c>
      <c r="C250" s="46">
        <v>4</v>
      </c>
      <c r="D250" s="46">
        <v>3</v>
      </c>
      <c r="E250" s="5">
        <v>20028</v>
      </c>
      <c r="F250" s="47">
        <v>13.57</v>
      </c>
      <c r="G250" s="48">
        <v>5.12</v>
      </c>
      <c r="H250" s="31"/>
    </row>
    <row r="251" spans="2:8">
      <c r="B251" s="45">
        <v>43769</v>
      </c>
      <c r="C251" s="46">
        <v>4</v>
      </c>
      <c r="D251" s="46">
        <v>4</v>
      </c>
      <c r="E251" s="5">
        <v>880</v>
      </c>
      <c r="F251" s="47">
        <v>12.42</v>
      </c>
      <c r="G251" s="48">
        <v>6.48</v>
      </c>
      <c r="H251" s="31"/>
    </row>
    <row r="252" spans="2:8">
      <c r="B252" s="45">
        <v>43769</v>
      </c>
      <c r="C252" s="46">
        <v>4</v>
      </c>
      <c r="D252" s="46">
        <v>5</v>
      </c>
      <c r="E252" s="5">
        <v>20496</v>
      </c>
      <c r="F252" s="47">
        <v>14.16</v>
      </c>
      <c r="G252" s="48">
        <v>6.26</v>
      </c>
      <c r="H252" s="31"/>
    </row>
    <row r="253" spans="2:8">
      <c r="B253" s="45">
        <v>43769</v>
      </c>
      <c r="C253" s="46">
        <v>5</v>
      </c>
      <c r="D253" s="46">
        <v>1</v>
      </c>
      <c r="E253" s="5">
        <v>2964</v>
      </c>
      <c r="F253" s="47">
        <v>37.6</v>
      </c>
      <c r="G253" s="48">
        <v>25</v>
      </c>
      <c r="H253" s="31"/>
    </row>
    <row r="254" spans="2:8">
      <c r="B254" s="45">
        <v>43769</v>
      </c>
      <c r="C254" s="46">
        <v>5</v>
      </c>
      <c r="D254" s="46">
        <v>2</v>
      </c>
      <c r="E254" s="5">
        <v>33004</v>
      </c>
      <c r="F254" s="47">
        <v>15.13</v>
      </c>
      <c r="G254" s="48">
        <v>7.31</v>
      </c>
      <c r="H254" s="31"/>
    </row>
    <row r="255" spans="2:8">
      <c r="B255" s="45">
        <v>43769</v>
      </c>
      <c r="C255" s="46">
        <v>5</v>
      </c>
      <c r="D255" s="46">
        <v>3</v>
      </c>
      <c r="E255" s="5">
        <v>16756</v>
      </c>
      <c r="F255" s="47">
        <v>13.06</v>
      </c>
      <c r="G255" s="48">
        <v>5.12</v>
      </c>
      <c r="H255" s="31"/>
    </row>
    <row r="256" spans="2:8">
      <c r="B256" s="45">
        <v>43769</v>
      </c>
      <c r="C256" s="46">
        <v>5</v>
      </c>
      <c r="D256" s="46">
        <v>4</v>
      </c>
      <c r="E256" s="5">
        <v>12248</v>
      </c>
      <c r="F256" s="47">
        <v>9.61</v>
      </c>
      <c r="G256" s="48">
        <v>6.48</v>
      </c>
      <c r="H256" s="31"/>
    </row>
    <row r="257" spans="2:8">
      <c r="B257" s="45">
        <v>43769</v>
      </c>
      <c r="C257" s="46">
        <v>5</v>
      </c>
      <c r="D257" s="46">
        <v>5</v>
      </c>
      <c r="E257" s="5">
        <v>8436</v>
      </c>
      <c r="F257" s="47">
        <v>12.67</v>
      </c>
      <c r="G257" s="48">
        <v>6.26</v>
      </c>
      <c r="H257" s="31"/>
    </row>
    <row r="258" spans="2:8">
      <c r="B258" s="45">
        <v>43799</v>
      </c>
      <c r="C258" s="46">
        <v>1</v>
      </c>
      <c r="D258" s="46">
        <v>1</v>
      </c>
      <c r="E258" s="5">
        <v>10560</v>
      </c>
      <c r="F258" s="47">
        <v>40</v>
      </c>
      <c r="G258" s="48">
        <v>25</v>
      </c>
      <c r="H258" s="31"/>
    </row>
    <row r="259" spans="2:8">
      <c r="B259" s="45">
        <v>43799</v>
      </c>
      <c r="C259" s="46">
        <v>1</v>
      </c>
      <c r="D259" s="46">
        <v>2</v>
      </c>
      <c r="E259" s="5">
        <v>1076</v>
      </c>
      <c r="F259" s="47">
        <v>17</v>
      </c>
      <c r="G259" s="48">
        <v>7.31</v>
      </c>
      <c r="H259" s="31"/>
    </row>
    <row r="260" spans="2:8">
      <c r="B260" s="45">
        <v>43799</v>
      </c>
      <c r="C260" s="46">
        <v>1</v>
      </c>
      <c r="D260" s="46">
        <v>3</v>
      </c>
      <c r="E260" s="5">
        <v>27688</v>
      </c>
      <c r="F260" s="47">
        <v>12.8</v>
      </c>
      <c r="G260" s="48">
        <v>5.12</v>
      </c>
      <c r="H260" s="31"/>
    </row>
    <row r="261" spans="2:8">
      <c r="B261" s="45">
        <v>43799</v>
      </c>
      <c r="C261" s="46">
        <v>1</v>
      </c>
      <c r="D261" s="46">
        <v>4</v>
      </c>
      <c r="E261" s="5">
        <v>14900</v>
      </c>
      <c r="F261" s="47">
        <v>10.8</v>
      </c>
      <c r="G261" s="48">
        <v>6.48</v>
      </c>
      <c r="H261" s="31"/>
    </row>
    <row r="262" spans="2:8">
      <c r="B262" s="45">
        <v>43799</v>
      </c>
      <c r="C262" s="46">
        <v>1</v>
      </c>
      <c r="D262" s="46">
        <v>5</v>
      </c>
      <c r="E262" s="5">
        <v>12914</v>
      </c>
      <c r="F262" s="47">
        <v>14.9</v>
      </c>
      <c r="G262" s="48">
        <v>6.26</v>
      </c>
      <c r="H262" s="31"/>
    </row>
    <row r="263" spans="2:8">
      <c r="B263" s="45">
        <v>43799</v>
      </c>
      <c r="C263" s="46">
        <v>2</v>
      </c>
      <c r="D263" s="46">
        <v>1</v>
      </c>
      <c r="E263" s="5">
        <v>4306</v>
      </c>
      <c r="F263" s="47">
        <v>34</v>
      </c>
      <c r="G263" s="48">
        <v>25</v>
      </c>
      <c r="H263" s="31"/>
    </row>
    <row r="264" spans="2:8">
      <c r="B264" s="45">
        <v>43799</v>
      </c>
      <c r="C264" s="46">
        <v>2</v>
      </c>
      <c r="D264" s="46">
        <v>2</v>
      </c>
      <c r="E264" s="5">
        <v>1220</v>
      </c>
      <c r="F264" s="47">
        <v>16.32</v>
      </c>
      <c r="G264" s="48">
        <v>7.31</v>
      </c>
      <c r="H264" s="31"/>
    </row>
    <row r="265" spans="2:8">
      <c r="B265" s="45">
        <v>43799</v>
      </c>
      <c r="C265" s="46">
        <v>2</v>
      </c>
      <c r="D265" s="46">
        <v>3</v>
      </c>
      <c r="E265" s="5">
        <v>41282</v>
      </c>
      <c r="F265" s="47">
        <v>14.21</v>
      </c>
      <c r="G265" s="48">
        <v>5.12</v>
      </c>
      <c r="H265" s="31"/>
    </row>
    <row r="266" spans="2:8">
      <c r="B266" s="45">
        <v>43799</v>
      </c>
      <c r="C266" s="46">
        <v>2</v>
      </c>
      <c r="D266" s="46">
        <v>4</v>
      </c>
      <c r="E266" s="5">
        <v>18374</v>
      </c>
      <c r="F266" s="47">
        <v>9.83</v>
      </c>
      <c r="G266" s="48">
        <v>6.48</v>
      </c>
      <c r="H266" s="31"/>
    </row>
    <row r="267" spans="2:8">
      <c r="B267" s="45">
        <v>43799</v>
      </c>
      <c r="C267" s="46">
        <v>2</v>
      </c>
      <c r="D267" s="46">
        <v>5</v>
      </c>
      <c r="E267" s="5">
        <v>11812</v>
      </c>
      <c r="F267" s="47">
        <v>14.16</v>
      </c>
      <c r="G267" s="48">
        <v>6.26</v>
      </c>
      <c r="H267" s="31"/>
    </row>
    <row r="268" spans="2:8">
      <c r="B268" s="45">
        <v>43799</v>
      </c>
      <c r="C268" s="46">
        <v>3</v>
      </c>
      <c r="D268" s="46">
        <v>1</v>
      </c>
      <c r="E268" s="5">
        <v>1728</v>
      </c>
      <c r="F268" s="47">
        <v>39.6</v>
      </c>
      <c r="G268" s="48">
        <v>25</v>
      </c>
      <c r="H268" s="31"/>
    </row>
    <row r="269" spans="2:8">
      <c r="B269" s="45">
        <v>43799</v>
      </c>
      <c r="C269" s="46">
        <v>3</v>
      </c>
      <c r="D269" s="46">
        <v>2</v>
      </c>
      <c r="E269" s="5">
        <v>13036</v>
      </c>
      <c r="F269" s="47">
        <v>17.850000000000001</v>
      </c>
      <c r="G269" s="48">
        <v>7.31</v>
      </c>
      <c r="H269" s="31"/>
    </row>
    <row r="270" spans="2:8">
      <c r="B270" s="45">
        <v>43799</v>
      </c>
      <c r="C270" s="46">
        <v>3</v>
      </c>
      <c r="D270" s="46">
        <v>3</v>
      </c>
      <c r="E270" s="5">
        <v>2536</v>
      </c>
      <c r="F270" s="47">
        <v>14.72</v>
      </c>
      <c r="G270" s="48">
        <v>5.12</v>
      </c>
      <c r="H270" s="31"/>
    </row>
    <row r="271" spans="2:8">
      <c r="B271" s="45">
        <v>43799</v>
      </c>
      <c r="C271" s="46">
        <v>3</v>
      </c>
      <c r="D271" s="46">
        <v>4</v>
      </c>
      <c r="E271" s="5">
        <v>16564</v>
      </c>
      <c r="F271" s="47">
        <v>10.8</v>
      </c>
      <c r="G271" s="48">
        <v>6.48</v>
      </c>
      <c r="H271" s="31"/>
    </row>
    <row r="272" spans="2:8">
      <c r="B272" s="45">
        <v>43799</v>
      </c>
      <c r="C272" s="46">
        <v>3</v>
      </c>
      <c r="D272" s="46">
        <v>5</v>
      </c>
      <c r="E272" s="5">
        <v>32020</v>
      </c>
      <c r="F272" s="47">
        <v>15.65</v>
      </c>
      <c r="G272" s="48">
        <v>6.26</v>
      </c>
      <c r="H272" s="31"/>
    </row>
    <row r="273" spans="2:8">
      <c r="B273" s="45">
        <v>43799</v>
      </c>
      <c r="C273" s="46">
        <v>4</v>
      </c>
      <c r="D273" s="46">
        <v>1</v>
      </c>
      <c r="E273" s="5">
        <v>36800</v>
      </c>
      <c r="F273" s="47">
        <v>44.4</v>
      </c>
      <c r="G273" s="48">
        <v>25</v>
      </c>
      <c r="H273" s="31"/>
    </row>
    <row r="274" spans="2:8">
      <c r="B274" s="45">
        <v>43799</v>
      </c>
      <c r="C274" s="46">
        <v>4</v>
      </c>
      <c r="D274" s="46">
        <v>2</v>
      </c>
      <c r="E274" s="5">
        <v>26940</v>
      </c>
      <c r="F274" s="47">
        <v>17.170000000000002</v>
      </c>
      <c r="G274" s="48">
        <v>7.31</v>
      </c>
      <c r="H274" s="31"/>
    </row>
    <row r="275" spans="2:8">
      <c r="B275" s="45">
        <v>43799</v>
      </c>
      <c r="C275" s="46">
        <v>4</v>
      </c>
      <c r="D275" s="46">
        <v>3</v>
      </c>
      <c r="E275" s="5">
        <v>16986</v>
      </c>
      <c r="F275" s="47">
        <v>13.57</v>
      </c>
      <c r="G275" s="48">
        <v>5.12</v>
      </c>
      <c r="H275" s="31"/>
    </row>
    <row r="276" spans="2:8">
      <c r="B276" s="45">
        <v>43799</v>
      </c>
      <c r="C276" s="46">
        <v>4</v>
      </c>
      <c r="D276" s="46">
        <v>4</v>
      </c>
      <c r="E276" s="5">
        <v>1372</v>
      </c>
      <c r="F276" s="47">
        <v>12.42</v>
      </c>
      <c r="G276" s="48">
        <v>6.48</v>
      </c>
      <c r="H276" s="31"/>
    </row>
    <row r="277" spans="2:8">
      <c r="B277" s="45">
        <v>43799</v>
      </c>
      <c r="C277" s="46">
        <v>4</v>
      </c>
      <c r="D277" s="46">
        <v>5</v>
      </c>
      <c r="E277" s="5">
        <v>18020</v>
      </c>
      <c r="F277" s="47">
        <v>14.16</v>
      </c>
      <c r="G277" s="48">
        <v>6.26</v>
      </c>
      <c r="H277" s="31"/>
    </row>
    <row r="278" spans="2:8">
      <c r="B278" s="45">
        <v>43799</v>
      </c>
      <c r="C278" s="46">
        <v>5</v>
      </c>
      <c r="D278" s="46">
        <v>1</v>
      </c>
      <c r="E278" s="5">
        <v>3616</v>
      </c>
      <c r="F278" s="47">
        <v>37.6</v>
      </c>
      <c r="G278" s="48">
        <v>25</v>
      </c>
      <c r="H278" s="31"/>
    </row>
    <row r="279" spans="2:8">
      <c r="B279" s="45">
        <v>43799</v>
      </c>
      <c r="C279" s="46">
        <v>5</v>
      </c>
      <c r="D279" s="46">
        <v>2</v>
      </c>
      <c r="E279" s="5">
        <v>29094</v>
      </c>
      <c r="F279" s="47">
        <v>15.13</v>
      </c>
      <c r="G279" s="48">
        <v>7.31</v>
      </c>
      <c r="H279" s="31"/>
    </row>
    <row r="280" spans="2:8">
      <c r="B280" s="45">
        <v>43799</v>
      </c>
      <c r="C280" s="46">
        <v>5</v>
      </c>
      <c r="D280" s="46">
        <v>3</v>
      </c>
      <c r="E280" s="5">
        <v>23332</v>
      </c>
      <c r="F280" s="47">
        <v>13.06</v>
      </c>
      <c r="G280" s="48">
        <v>5.12</v>
      </c>
      <c r="H280" s="31"/>
    </row>
    <row r="281" spans="2:8">
      <c r="B281" s="45">
        <v>43799</v>
      </c>
      <c r="C281" s="46">
        <v>5</v>
      </c>
      <c r="D281" s="46">
        <v>4</v>
      </c>
      <c r="E281" s="5">
        <v>8198</v>
      </c>
      <c r="F281" s="47">
        <v>9.61</v>
      </c>
      <c r="G281" s="48">
        <v>6.48</v>
      </c>
      <c r="H281" s="31"/>
    </row>
    <row r="282" spans="2:8">
      <c r="B282" s="45">
        <v>43799</v>
      </c>
      <c r="C282" s="46">
        <v>5</v>
      </c>
      <c r="D282" s="46">
        <v>5</v>
      </c>
      <c r="E282" s="5">
        <v>18532</v>
      </c>
      <c r="F282" s="47">
        <v>12.67</v>
      </c>
      <c r="G282" s="48">
        <v>6.26</v>
      </c>
      <c r="H282" s="31"/>
    </row>
    <row r="283" spans="2:8">
      <c r="B283" s="45">
        <v>43830</v>
      </c>
      <c r="C283" s="46">
        <v>1</v>
      </c>
      <c r="D283" s="46">
        <v>1</v>
      </c>
      <c r="E283" s="5">
        <v>11840</v>
      </c>
      <c r="F283" s="47">
        <v>40</v>
      </c>
      <c r="G283" s="48">
        <v>25</v>
      </c>
      <c r="H283" s="31"/>
    </row>
    <row r="284" spans="2:8">
      <c r="B284" s="45">
        <v>43830</v>
      </c>
      <c r="C284" s="46">
        <v>1</v>
      </c>
      <c r="D284" s="46">
        <v>2</v>
      </c>
      <c r="E284" s="5">
        <v>718</v>
      </c>
      <c r="F284" s="47">
        <v>17</v>
      </c>
      <c r="G284" s="48">
        <v>7.31</v>
      </c>
      <c r="H284" s="31"/>
    </row>
    <row r="285" spans="2:8">
      <c r="B285" s="45">
        <v>43830</v>
      </c>
      <c r="C285" s="46">
        <v>1</v>
      </c>
      <c r="D285" s="46">
        <v>3</v>
      </c>
      <c r="E285" s="5">
        <v>15966</v>
      </c>
      <c r="F285" s="47">
        <v>12.8</v>
      </c>
      <c r="G285" s="48">
        <v>5.12</v>
      </c>
      <c r="H285" s="31"/>
    </row>
    <row r="286" spans="2:8">
      <c r="B286" s="45">
        <v>43830</v>
      </c>
      <c r="C286" s="46">
        <v>1</v>
      </c>
      <c r="D286" s="46">
        <v>4</v>
      </c>
      <c r="E286" s="5">
        <v>34768</v>
      </c>
      <c r="F286" s="47">
        <v>10.8</v>
      </c>
      <c r="G286" s="48">
        <v>6.48</v>
      </c>
      <c r="H286" s="31"/>
    </row>
    <row r="287" spans="2:8">
      <c r="B287" s="45">
        <v>43830</v>
      </c>
      <c r="C287" s="46">
        <v>1</v>
      </c>
      <c r="D287" s="46">
        <v>5</v>
      </c>
      <c r="E287" s="5">
        <v>14088</v>
      </c>
      <c r="F287" s="47">
        <v>14.9</v>
      </c>
      <c r="G287" s="48">
        <v>6.26</v>
      </c>
      <c r="H287" s="31"/>
    </row>
    <row r="288" spans="2:8">
      <c r="B288" s="45">
        <v>43830</v>
      </c>
      <c r="C288" s="46">
        <v>2</v>
      </c>
      <c r="D288" s="46">
        <v>1</v>
      </c>
      <c r="E288" s="5">
        <v>1828</v>
      </c>
      <c r="F288" s="47">
        <v>34</v>
      </c>
      <c r="G288" s="48">
        <v>25</v>
      </c>
      <c r="H288" s="31"/>
    </row>
    <row r="289" spans="2:8">
      <c r="B289" s="45">
        <v>43830</v>
      </c>
      <c r="C289" s="46">
        <v>2</v>
      </c>
      <c r="D289" s="46">
        <v>2</v>
      </c>
      <c r="E289" s="5">
        <v>1532</v>
      </c>
      <c r="F289" s="47">
        <v>16.32</v>
      </c>
      <c r="G289" s="48">
        <v>7.31</v>
      </c>
      <c r="H289" s="31"/>
    </row>
    <row r="290" spans="2:8">
      <c r="B290" s="45">
        <v>43830</v>
      </c>
      <c r="C290" s="46">
        <v>2</v>
      </c>
      <c r="D290" s="46">
        <v>3</v>
      </c>
      <c r="E290" s="5">
        <v>39786</v>
      </c>
      <c r="F290" s="47">
        <v>14.21</v>
      </c>
      <c r="G290" s="48">
        <v>5.12</v>
      </c>
      <c r="H290" s="31"/>
    </row>
    <row r="291" spans="2:8">
      <c r="B291" s="45">
        <v>43830</v>
      </c>
      <c r="C291" s="46">
        <v>2</v>
      </c>
      <c r="D291" s="46">
        <v>4</v>
      </c>
      <c r="E291" s="5">
        <v>21358</v>
      </c>
      <c r="F291" s="47">
        <v>9.83</v>
      </c>
      <c r="G291" s="48">
        <v>6.48</v>
      </c>
      <c r="H291" s="31"/>
    </row>
    <row r="292" spans="2:8">
      <c r="B292" s="45">
        <v>43830</v>
      </c>
      <c r="C292" s="46">
        <v>2</v>
      </c>
      <c r="D292" s="46">
        <v>5</v>
      </c>
      <c r="E292" s="5">
        <v>21260</v>
      </c>
      <c r="F292" s="47">
        <v>14.16</v>
      </c>
      <c r="G292" s="48">
        <v>6.26</v>
      </c>
      <c r="H292" s="31"/>
    </row>
    <row r="293" spans="2:8">
      <c r="B293" s="45">
        <v>43830</v>
      </c>
      <c r="C293" s="46">
        <v>3</v>
      </c>
      <c r="D293" s="46">
        <v>1</v>
      </c>
      <c r="E293" s="5">
        <v>4214</v>
      </c>
      <c r="F293" s="47">
        <v>39.6</v>
      </c>
      <c r="G293" s="48">
        <v>25</v>
      </c>
      <c r="H293" s="31"/>
    </row>
    <row r="294" spans="2:8">
      <c r="B294" s="45">
        <v>43830</v>
      </c>
      <c r="C294" s="46">
        <v>3</v>
      </c>
      <c r="D294" s="46">
        <v>2</v>
      </c>
      <c r="E294" s="5">
        <v>10958</v>
      </c>
      <c r="F294" s="47">
        <v>17.850000000000001</v>
      </c>
      <c r="G294" s="48">
        <v>7.31</v>
      </c>
      <c r="H294" s="31"/>
    </row>
    <row r="295" spans="2:8">
      <c r="B295" s="45">
        <v>43830</v>
      </c>
      <c r="C295" s="46">
        <v>3</v>
      </c>
      <c r="D295" s="46">
        <v>3</v>
      </c>
      <c r="E295" s="5">
        <v>2654</v>
      </c>
      <c r="F295" s="47">
        <v>14.72</v>
      </c>
      <c r="G295" s="48">
        <v>5.12</v>
      </c>
      <c r="H295" s="31"/>
    </row>
    <row r="296" spans="2:8">
      <c r="B296" s="45">
        <v>43830</v>
      </c>
      <c r="C296" s="46">
        <v>3</v>
      </c>
      <c r="D296" s="46">
        <v>4</v>
      </c>
      <c r="E296" s="5">
        <v>20706</v>
      </c>
      <c r="F296" s="47">
        <v>10.8</v>
      </c>
      <c r="G296" s="48">
        <v>6.48</v>
      </c>
      <c r="H296" s="31"/>
    </row>
    <row r="297" spans="2:8">
      <c r="B297" s="45">
        <v>43830</v>
      </c>
      <c r="C297" s="46">
        <v>3</v>
      </c>
      <c r="D297" s="46">
        <v>5</v>
      </c>
      <c r="E297" s="5">
        <v>26768</v>
      </c>
      <c r="F297" s="47">
        <v>15.65</v>
      </c>
      <c r="G297" s="48">
        <v>6.26</v>
      </c>
      <c r="H297" s="31"/>
    </row>
    <row r="298" spans="2:8">
      <c r="B298" s="45">
        <v>43830</v>
      </c>
      <c r="C298" s="46">
        <v>4</v>
      </c>
      <c r="D298" s="46">
        <v>1</v>
      </c>
      <c r="E298" s="5">
        <v>24400</v>
      </c>
      <c r="F298" s="47">
        <v>44.4</v>
      </c>
      <c r="G298" s="48">
        <v>25</v>
      </c>
      <c r="H298" s="31"/>
    </row>
    <row r="299" spans="2:8">
      <c r="B299" s="45">
        <v>43830</v>
      </c>
      <c r="C299" s="46">
        <v>4</v>
      </c>
      <c r="D299" s="46">
        <v>2</v>
      </c>
      <c r="E299" s="5">
        <v>28298</v>
      </c>
      <c r="F299" s="47">
        <v>17.170000000000002</v>
      </c>
      <c r="G299" s="48">
        <v>7.31</v>
      </c>
      <c r="H299" s="31"/>
    </row>
    <row r="300" spans="2:8">
      <c r="B300" s="45">
        <v>43830</v>
      </c>
      <c r="C300" s="46">
        <v>4</v>
      </c>
      <c r="D300" s="46">
        <v>3</v>
      </c>
      <c r="E300" s="5">
        <v>19014</v>
      </c>
      <c r="F300" s="47">
        <v>13.57</v>
      </c>
      <c r="G300" s="48">
        <v>5.12</v>
      </c>
      <c r="H300" s="31"/>
    </row>
    <row r="301" spans="2:8">
      <c r="B301" s="45">
        <v>43830</v>
      </c>
      <c r="C301" s="46">
        <v>4</v>
      </c>
      <c r="D301" s="46">
        <v>4</v>
      </c>
      <c r="E301" s="5">
        <v>1188</v>
      </c>
      <c r="F301" s="47">
        <v>12.42</v>
      </c>
      <c r="G301" s="48">
        <v>6.48</v>
      </c>
      <c r="H301" s="31"/>
    </row>
    <row r="302" spans="2:8">
      <c r="B302" s="45">
        <v>43830</v>
      </c>
      <c r="C302" s="46">
        <v>4</v>
      </c>
      <c r="D302" s="46">
        <v>5</v>
      </c>
      <c r="E302" s="5">
        <v>14306</v>
      </c>
      <c r="F302" s="47">
        <v>14.16</v>
      </c>
      <c r="G302" s="48">
        <v>6.26</v>
      </c>
      <c r="H302" s="31"/>
    </row>
    <row r="303" spans="2:8">
      <c r="B303" s="45">
        <v>43830</v>
      </c>
      <c r="C303" s="46">
        <v>5</v>
      </c>
      <c r="D303" s="46">
        <v>1</v>
      </c>
      <c r="E303" s="5">
        <v>3972</v>
      </c>
      <c r="F303" s="47">
        <v>37.6</v>
      </c>
      <c r="G303" s="48">
        <v>25</v>
      </c>
      <c r="H303" s="31"/>
    </row>
    <row r="304" spans="2:8">
      <c r="B304" s="45">
        <v>43830</v>
      </c>
      <c r="C304" s="46">
        <v>5</v>
      </c>
      <c r="D304" s="46">
        <v>2</v>
      </c>
      <c r="E304" s="5">
        <v>19558</v>
      </c>
      <c r="F304" s="47">
        <v>15.13</v>
      </c>
      <c r="G304" s="48">
        <v>7.31</v>
      </c>
      <c r="H304" s="31"/>
    </row>
    <row r="305" spans="2:8">
      <c r="B305" s="45">
        <v>43830</v>
      </c>
      <c r="C305" s="46">
        <v>5</v>
      </c>
      <c r="D305" s="46">
        <v>3</v>
      </c>
      <c r="E305" s="5">
        <v>11454</v>
      </c>
      <c r="F305" s="47">
        <v>13.06</v>
      </c>
      <c r="G305" s="48">
        <v>5.12</v>
      </c>
      <c r="H305" s="31"/>
    </row>
    <row r="306" spans="2:8">
      <c r="B306" s="45">
        <v>43830</v>
      </c>
      <c r="C306" s="46">
        <v>5</v>
      </c>
      <c r="D306" s="46">
        <v>4</v>
      </c>
      <c r="E306" s="5">
        <v>7618</v>
      </c>
      <c r="F306" s="47">
        <v>9.61</v>
      </c>
      <c r="G306" s="48">
        <v>6.48</v>
      </c>
      <c r="H306" s="31"/>
    </row>
    <row r="307" spans="2:8">
      <c r="B307" s="55">
        <v>43830</v>
      </c>
      <c r="C307" s="28">
        <v>5</v>
      </c>
      <c r="D307" s="28">
        <v>5</v>
      </c>
      <c r="E307" s="56">
        <v>16042</v>
      </c>
      <c r="F307" s="57">
        <v>12.67</v>
      </c>
      <c r="G307" s="58">
        <v>6.26</v>
      </c>
      <c r="H307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860E-03F8-4405-BBC6-C188E3EC706A}">
  <sheetPr>
    <tabColor theme="4" tint="-0.249977111117893"/>
  </sheetPr>
  <dimension ref="B2:AF314"/>
  <sheetViews>
    <sheetView showGridLines="0" zoomScale="80" zoomScaleNormal="80" workbookViewId="0">
      <pane xSplit="8" ySplit="6" topLeftCell="R295" activePane="bottomRight" state="frozen"/>
      <selection activeCell="L13" sqref="L13"/>
      <selection pane="topRight" activeCell="L13" sqref="L13"/>
      <selection pane="bottomLeft" activeCell="L13" sqref="L13"/>
      <selection pane="bottomRight" activeCell="U261" sqref="U261"/>
    </sheetView>
  </sheetViews>
  <sheetFormatPr defaultRowHeight="13.8" outlineLevelCol="1"/>
  <cols>
    <col min="1" max="1" width="2.296875" customWidth="1"/>
    <col min="2" max="3" width="1.5" customWidth="1"/>
    <col min="9" max="20" width="12.5" customWidth="1" outlineLevel="1"/>
    <col min="21" max="32" width="12.5" customWidth="1"/>
  </cols>
  <sheetData>
    <row r="2" spans="2:32" ht="23.4">
      <c r="B2" s="59" t="str">
        <f>CaseData!B2</f>
        <v>Big Fish Co.</v>
      </c>
    </row>
    <row r="3" spans="2:32" ht="18">
      <c r="B3" s="1" t="s">
        <v>30</v>
      </c>
    </row>
    <row r="5" spans="2:32" ht="14.4">
      <c r="D5" s="60" t="s">
        <v>16</v>
      </c>
      <c r="E5" s="60" t="s">
        <v>17</v>
      </c>
      <c r="G5" t="s">
        <v>31</v>
      </c>
      <c r="I5" s="84">
        <f>CaseData!B8</f>
        <v>43496</v>
      </c>
      <c r="J5" s="84">
        <f>EOMONTH(I5,1)</f>
        <v>43524</v>
      </c>
      <c r="K5" s="84">
        <f t="shared" ref="K5:AF5" si="0">EOMONTH(J5,1)</f>
        <v>43555</v>
      </c>
      <c r="L5" s="84">
        <f t="shared" si="0"/>
        <v>43585</v>
      </c>
      <c r="M5" s="84">
        <f t="shared" si="0"/>
        <v>43616</v>
      </c>
      <c r="N5" s="84">
        <f t="shared" si="0"/>
        <v>43646</v>
      </c>
      <c r="O5" s="84">
        <f t="shared" si="0"/>
        <v>43677</v>
      </c>
      <c r="P5" s="84">
        <f t="shared" si="0"/>
        <v>43708</v>
      </c>
      <c r="Q5" s="84">
        <f t="shared" si="0"/>
        <v>43738</v>
      </c>
      <c r="R5" s="84">
        <f t="shared" si="0"/>
        <v>43769</v>
      </c>
      <c r="S5" s="84">
        <f t="shared" si="0"/>
        <v>43799</v>
      </c>
      <c r="T5" s="84">
        <f t="shared" si="0"/>
        <v>43830</v>
      </c>
      <c r="U5" s="85">
        <f t="shared" si="0"/>
        <v>43861</v>
      </c>
      <c r="V5" s="85">
        <f t="shared" si="0"/>
        <v>43890</v>
      </c>
      <c r="W5" s="85">
        <f t="shared" si="0"/>
        <v>43921</v>
      </c>
      <c r="X5" s="85">
        <f t="shared" si="0"/>
        <v>43951</v>
      </c>
      <c r="Y5" s="85">
        <f t="shared" si="0"/>
        <v>43982</v>
      </c>
      <c r="Z5" s="85">
        <f t="shared" si="0"/>
        <v>44012</v>
      </c>
      <c r="AA5" s="85">
        <f t="shared" si="0"/>
        <v>44043</v>
      </c>
      <c r="AB5" s="85">
        <f t="shared" si="0"/>
        <v>44074</v>
      </c>
      <c r="AC5" s="85">
        <f t="shared" si="0"/>
        <v>44104</v>
      </c>
      <c r="AD5" s="85">
        <f t="shared" si="0"/>
        <v>44135</v>
      </c>
      <c r="AE5" s="85">
        <f t="shared" si="0"/>
        <v>44165</v>
      </c>
      <c r="AF5" s="85">
        <f t="shared" si="0"/>
        <v>44196</v>
      </c>
    </row>
    <row r="7" spans="2:32" ht="14.4">
      <c r="B7" s="62" t="s">
        <v>0</v>
      </c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</row>
    <row r="8" spans="2:32" ht="14.4">
      <c r="D8" s="78">
        <f>CaseData!C8</f>
        <v>1</v>
      </c>
      <c r="E8" s="78">
        <f>CaseData!D8</f>
        <v>1</v>
      </c>
      <c r="F8" s="79"/>
      <c r="G8" s="80">
        <f>INDEX(CaseData!$K$8:$K$12,MATCH("Client "&amp;$D8,CaseData!$I$8:$I$12,0))</f>
        <v>7.0000000000000007E-2</v>
      </c>
      <c r="H8" s="79"/>
      <c r="I8" s="81">
        <f>SUMIFS(CaseData!$F$8:$F$307,CaseData!$B$8:$B$307,I$5,CaseData!$C$8:$C$307,$D8,CaseData!$D$8:$D$307,$E8)</f>
        <v>40</v>
      </c>
      <c r="J8" s="81">
        <f>SUMIFS(CaseData!$F$8:$F$307,CaseData!$B$8:$B$307,J$5,CaseData!$C$8:$C$307,$D8,CaseData!$D$8:$D$307,$E8)</f>
        <v>40</v>
      </c>
      <c r="K8" s="81">
        <f>SUMIFS(CaseData!$F$8:$F$307,CaseData!$B$8:$B$307,K$5,CaseData!$C$8:$C$307,$D8,CaseData!$D$8:$D$307,$E8)</f>
        <v>40</v>
      </c>
      <c r="L8" s="81">
        <f>SUMIFS(CaseData!$F$8:$F$307,CaseData!$B$8:$B$307,L$5,CaseData!$C$8:$C$307,$D8,CaseData!$D$8:$D$307,$E8)</f>
        <v>40</v>
      </c>
      <c r="M8" s="81">
        <f>SUMIFS(CaseData!$F$8:$F$307,CaseData!$B$8:$B$307,M$5,CaseData!$C$8:$C$307,$D8,CaseData!$D$8:$D$307,$E8)</f>
        <v>40</v>
      </c>
      <c r="N8" s="81">
        <f>SUMIFS(CaseData!$F$8:$F$307,CaseData!$B$8:$B$307,N$5,CaseData!$C$8:$C$307,$D8,CaseData!$D$8:$D$307,$E8)</f>
        <v>40</v>
      </c>
      <c r="O8" s="81">
        <f>SUMIFS(CaseData!$F$8:$F$307,CaseData!$B$8:$B$307,O$5,CaseData!$C$8:$C$307,$D8,CaseData!$D$8:$D$307,$E8)</f>
        <v>40</v>
      </c>
      <c r="P8" s="81">
        <f>SUMIFS(CaseData!$F$8:$F$307,CaseData!$B$8:$B$307,P$5,CaseData!$C$8:$C$307,$D8,CaseData!$D$8:$D$307,$E8)</f>
        <v>40</v>
      </c>
      <c r="Q8" s="81">
        <f>SUMIFS(CaseData!$F$8:$F$307,CaseData!$B$8:$B$307,Q$5,CaseData!$C$8:$C$307,$D8,CaseData!$D$8:$D$307,$E8)</f>
        <v>40</v>
      </c>
      <c r="R8" s="81">
        <f>SUMIFS(CaseData!$F$8:$F$307,CaseData!$B$8:$B$307,R$5,CaseData!$C$8:$C$307,$D8,CaseData!$D$8:$D$307,$E8)</f>
        <v>40</v>
      </c>
      <c r="S8" s="81">
        <f>SUMIFS(CaseData!$F$8:$F$307,CaseData!$B$8:$B$307,S$5,CaseData!$C$8:$C$307,$D8,CaseData!$D$8:$D$307,$E8)</f>
        <v>40</v>
      </c>
      <c r="T8" s="81">
        <f>SUMIFS(CaseData!$F$8:$F$307,CaseData!$B$8:$B$307,T$5,CaseData!$C$8:$C$307,$D8,CaseData!$D$8:$D$307,$E8)</f>
        <v>40</v>
      </c>
      <c r="U8" s="65">
        <f t="shared" ref="U8:AF29" si="1">I8*(1+$G8)</f>
        <v>42.800000000000004</v>
      </c>
      <c r="V8" s="65">
        <f t="shared" si="1"/>
        <v>42.800000000000004</v>
      </c>
      <c r="W8" s="65">
        <f t="shared" si="1"/>
        <v>42.800000000000004</v>
      </c>
      <c r="X8" s="65">
        <f t="shared" si="1"/>
        <v>42.800000000000004</v>
      </c>
      <c r="Y8" s="65">
        <f t="shared" si="1"/>
        <v>42.800000000000004</v>
      </c>
      <c r="Z8" s="65">
        <f t="shared" si="1"/>
        <v>42.800000000000004</v>
      </c>
      <c r="AA8" s="65">
        <f t="shared" si="1"/>
        <v>42.800000000000004</v>
      </c>
      <c r="AB8" s="65">
        <f t="shared" si="1"/>
        <v>42.800000000000004</v>
      </c>
      <c r="AC8" s="65">
        <f t="shared" si="1"/>
        <v>42.800000000000004</v>
      </c>
      <c r="AD8" s="65">
        <f t="shared" si="1"/>
        <v>42.800000000000004</v>
      </c>
      <c r="AE8" s="65">
        <f t="shared" si="1"/>
        <v>42.800000000000004</v>
      </c>
      <c r="AF8" s="65">
        <f t="shared" si="1"/>
        <v>42.800000000000004</v>
      </c>
    </row>
    <row r="9" spans="2:32" ht="14.4">
      <c r="D9" s="78">
        <f>CaseData!C9</f>
        <v>1</v>
      </c>
      <c r="E9" s="78">
        <f>CaseData!D9</f>
        <v>2</v>
      </c>
      <c r="F9" s="79"/>
      <c r="G9" s="80">
        <f>INDEX(CaseData!$K$8:$K$12,MATCH("Client "&amp;$D9,CaseData!$I$8:$I$12,0))</f>
        <v>7.0000000000000007E-2</v>
      </c>
      <c r="H9" s="79"/>
      <c r="I9" s="81">
        <f>SUMIFS(CaseData!$F$8:$F$307,CaseData!$B$8:$B$307,I$5,CaseData!$C$8:$C$307,$D9,CaseData!$D$8:$D$307,$E9)</f>
        <v>17</v>
      </c>
      <c r="J9" s="81">
        <f>SUMIFS(CaseData!$F$8:$F$307,CaseData!$B$8:$B$307,J$5,CaseData!$C$8:$C$307,$D9,CaseData!$D$8:$D$307,$E9)</f>
        <v>17</v>
      </c>
      <c r="K9" s="81">
        <f>SUMIFS(CaseData!$F$8:$F$307,CaseData!$B$8:$B$307,K$5,CaseData!$C$8:$C$307,$D9,CaseData!$D$8:$D$307,$E9)</f>
        <v>17</v>
      </c>
      <c r="L9" s="81">
        <f>SUMIFS(CaseData!$F$8:$F$307,CaseData!$B$8:$B$307,L$5,CaseData!$C$8:$C$307,$D9,CaseData!$D$8:$D$307,$E9)</f>
        <v>17</v>
      </c>
      <c r="M9" s="81">
        <f>SUMIFS(CaseData!$F$8:$F$307,CaseData!$B$8:$B$307,M$5,CaseData!$C$8:$C$307,$D9,CaseData!$D$8:$D$307,$E9)</f>
        <v>17</v>
      </c>
      <c r="N9" s="81">
        <f>SUMIFS(CaseData!$F$8:$F$307,CaseData!$B$8:$B$307,N$5,CaseData!$C$8:$C$307,$D9,CaseData!$D$8:$D$307,$E9)</f>
        <v>17</v>
      </c>
      <c r="O9" s="81">
        <f>SUMIFS(CaseData!$F$8:$F$307,CaseData!$B$8:$B$307,O$5,CaseData!$C$8:$C$307,$D9,CaseData!$D$8:$D$307,$E9)</f>
        <v>17</v>
      </c>
      <c r="P9" s="81">
        <f>SUMIFS(CaseData!$F$8:$F$307,CaseData!$B$8:$B$307,P$5,CaseData!$C$8:$C$307,$D9,CaseData!$D$8:$D$307,$E9)</f>
        <v>17</v>
      </c>
      <c r="Q9" s="81">
        <f>SUMIFS(CaseData!$F$8:$F$307,CaseData!$B$8:$B$307,Q$5,CaseData!$C$8:$C$307,$D9,CaseData!$D$8:$D$307,$E9)</f>
        <v>17</v>
      </c>
      <c r="R9" s="81">
        <f>SUMIFS(CaseData!$F$8:$F$307,CaseData!$B$8:$B$307,R$5,CaseData!$C$8:$C$307,$D9,CaseData!$D$8:$D$307,$E9)</f>
        <v>17</v>
      </c>
      <c r="S9" s="81">
        <f>SUMIFS(CaseData!$F$8:$F$307,CaseData!$B$8:$B$307,S$5,CaseData!$C$8:$C$307,$D9,CaseData!$D$8:$D$307,$E9)</f>
        <v>17</v>
      </c>
      <c r="T9" s="81">
        <f>SUMIFS(CaseData!$F$8:$F$307,CaseData!$B$8:$B$307,T$5,CaseData!$C$8:$C$307,$D9,CaseData!$D$8:$D$307,$E9)</f>
        <v>17</v>
      </c>
      <c r="U9" s="65">
        <f t="shared" si="1"/>
        <v>18.190000000000001</v>
      </c>
      <c r="V9" s="65">
        <f t="shared" si="1"/>
        <v>18.190000000000001</v>
      </c>
      <c r="W9" s="65">
        <f t="shared" si="1"/>
        <v>18.190000000000001</v>
      </c>
      <c r="X9" s="65">
        <f t="shared" si="1"/>
        <v>18.190000000000001</v>
      </c>
      <c r="Y9" s="65">
        <f t="shared" si="1"/>
        <v>18.190000000000001</v>
      </c>
      <c r="Z9" s="65">
        <f t="shared" si="1"/>
        <v>18.190000000000001</v>
      </c>
      <c r="AA9" s="65">
        <f t="shared" si="1"/>
        <v>18.190000000000001</v>
      </c>
      <c r="AB9" s="65">
        <f t="shared" si="1"/>
        <v>18.190000000000001</v>
      </c>
      <c r="AC9" s="65">
        <f t="shared" si="1"/>
        <v>18.190000000000001</v>
      </c>
      <c r="AD9" s="65">
        <f t="shared" si="1"/>
        <v>18.190000000000001</v>
      </c>
      <c r="AE9" s="65">
        <f t="shared" si="1"/>
        <v>18.190000000000001</v>
      </c>
      <c r="AF9" s="65">
        <f t="shared" si="1"/>
        <v>18.190000000000001</v>
      </c>
    </row>
    <row r="10" spans="2:32" ht="14.4">
      <c r="D10" s="78">
        <f>CaseData!C10</f>
        <v>1</v>
      </c>
      <c r="E10" s="78">
        <f>CaseData!D10</f>
        <v>3</v>
      </c>
      <c r="F10" s="79"/>
      <c r="G10" s="80">
        <f>INDEX(CaseData!$K$8:$K$12,MATCH("Client "&amp;$D10,CaseData!$I$8:$I$12,0))</f>
        <v>7.0000000000000007E-2</v>
      </c>
      <c r="H10" s="79"/>
      <c r="I10" s="81">
        <f>SUMIFS(CaseData!$F$8:$F$307,CaseData!$B$8:$B$307,I$5,CaseData!$C$8:$C$307,$D10,CaseData!$D$8:$D$307,$E10)</f>
        <v>12.8</v>
      </c>
      <c r="J10" s="81">
        <f>SUMIFS(CaseData!$F$8:$F$307,CaseData!$B$8:$B$307,J$5,CaseData!$C$8:$C$307,$D10,CaseData!$D$8:$D$307,$E10)</f>
        <v>12.8</v>
      </c>
      <c r="K10" s="81">
        <f>SUMIFS(CaseData!$F$8:$F$307,CaseData!$B$8:$B$307,K$5,CaseData!$C$8:$C$307,$D10,CaseData!$D$8:$D$307,$E10)</f>
        <v>12.8</v>
      </c>
      <c r="L10" s="81">
        <f>SUMIFS(CaseData!$F$8:$F$307,CaseData!$B$8:$B$307,L$5,CaseData!$C$8:$C$307,$D10,CaseData!$D$8:$D$307,$E10)</f>
        <v>12.8</v>
      </c>
      <c r="M10" s="81">
        <f>SUMIFS(CaseData!$F$8:$F$307,CaseData!$B$8:$B$307,M$5,CaseData!$C$8:$C$307,$D10,CaseData!$D$8:$D$307,$E10)</f>
        <v>12.8</v>
      </c>
      <c r="N10" s="81">
        <f>SUMIFS(CaseData!$F$8:$F$307,CaseData!$B$8:$B$307,N$5,CaseData!$C$8:$C$307,$D10,CaseData!$D$8:$D$307,$E10)</f>
        <v>12.8</v>
      </c>
      <c r="O10" s="81">
        <f>SUMIFS(CaseData!$F$8:$F$307,CaseData!$B$8:$B$307,O$5,CaseData!$C$8:$C$307,$D10,CaseData!$D$8:$D$307,$E10)</f>
        <v>12.8</v>
      </c>
      <c r="P10" s="81">
        <f>SUMIFS(CaseData!$F$8:$F$307,CaseData!$B$8:$B$307,P$5,CaseData!$C$8:$C$307,$D10,CaseData!$D$8:$D$307,$E10)</f>
        <v>12.8</v>
      </c>
      <c r="Q10" s="81">
        <f>SUMIFS(CaseData!$F$8:$F$307,CaseData!$B$8:$B$307,Q$5,CaseData!$C$8:$C$307,$D10,CaseData!$D$8:$D$307,$E10)</f>
        <v>12.8</v>
      </c>
      <c r="R10" s="81">
        <f>SUMIFS(CaseData!$F$8:$F$307,CaseData!$B$8:$B$307,R$5,CaseData!$C$8:$C$307,$D10,CaseData!$D$8:$D$307,$E10)</f>
        <v>12.8</v>
      </c>
      <c r="S10" s="81">
        <f>SUMIFS(CaseData!$F$8:$F$307,CaseData!$B$8:$B$307,S$5,CaseData!$C$8:$C$307,$D10,CaseData!$D$8:$D$307,$E10)</f>
        <v>12.8</v>
      </c>
      <c r="T10" s="81">
        <f>SUMIFS(CaseData!$F$8:$F$307,CaseData!$B$8:$B$307,T$5,CaseData!$C$8:$C$307,$D10,CaseData!$D$8:$D$307,$E10)</f>
        <v>12.8</v>
      </c>
      <c r="U10" s="65">
        <f t="shared" si="1"/>
        <v>13.696000000000002</v>
      </c>
      <c r="V10" s="65">
        <f t="shared" si="1"/>
        <v>13.696000000000002</v>
      </c>
      <c r="W10" s="65">
        <f t="shared" si="1"/>
        <v>13.696000000000002</v>
      </c>
      <c r="X10" s="65">
        <f t="shared" si="1"/>
        <v>13.696000000000002</v>
      </c>
      <c r="Y10" s="65">
        <f t="shared" si="1"/>
        <v>13.696000000000002</v>
      </c>
      <c r="Z10" s="65">
        <f t="shared" si="1"/>
        <v>13.696000000000002</v>
      </c>
      <c r="AA10" s="65">
        <f t="shared" si="1"/>
        <v>13.696000000000002</v>
      </c>
      <c r="AB10" s="65">
        <f t="shared" si="1"/>
        <v>13.696000000000002</v>
      </c>
      <c r="AC10" s="65">
        <f t="shared" si="1"/>
        <v>13.696000000000002</v>
      </c>
      <c r="AD10" s="65">
        <f t="shared" si="1"/>
        <v>13.696000000000002</v>
      </c>
      <c r="AE10" s="65">
        <f t="shared" si="1"/>
        <v>13.696000000000002</v>
      </c>
      <c r="AF10" s="65">
        <f t="shared" si="1"/>
        <v>13.696000000000002</v>
      </c>
    </row>
    <row r="11" spans="2:32" ht="14.4">
      <c r="D11" s="78">
        <f>CaseData!C11</f>
        <v>1</v>
      </c>
      <c r="E11" s="78">
        <f>CaseData!D11</f>
        <v>4</v>
      </c>
      <c r="F11" s="79"/>
      <c r="G11" s="80">
        <f>INDEX(CaseData!$K$8:$K$12,MATCH("Client "&amp;$D11,CaseData!$I$8:$I$12,0))</f>
        <v>7.0000000000000007E-2</v>
      </c>
      <c r="H11" s="79"/>
      <c r="I11" s="81">
        <f>SUMIFS(CaseData!$F$8:$F$307,CaseData!$B$8:$B$307,I$5,CaseData!$C$8:$C$307,$D11,CaseData!$D$8:$D$307,$E11)</f>
        <v>10.8</v>
      </c>
      <c r="J11" s="81">
        <f>SUMIFS(CaseData!$F$8:$F$307,CaseData!$B$8:$B$307,J$5,CaseData!$C$8:$C$307,$D11,CaseData!$D$8:$D$307,$E11)</f>
        <v>10.8</v>
      </c>
      <c r="K11" s="81">
        <f>SUMIFS(CaseData!$F$8:$F$307,CaseData!$B$8:$B$307,K$5,CaseData!$C$8:$C$307,$D11,CaseData!$D$8:$D$307,$E11)</f>
        <v>10.8</v>
      </c>
      <c r="L11" s="81">
        <f>SUMIFS(CaseData!$F$8:$F$307,CaseData!$B$8:$B$307,L$5,CaseData!$C$8:$C$307,$D11,CaseData!$D$8:$D$307,$E11)</f>
        <v>10.8</v>
      </c>
      <c r="M11" s="81">
        <f>SUMIFS(CaseData!$F$8:$F$307,CaseData!$B$8:$B$307,M$5,CaseData!$C$8:$C$307,$D11,CaseData!$D$8:$D$307,$E11)</f>
        <v>10.8</v>
      </c>
      <c r="N11" s="81">
        <f>SUMIFS(CaseData!$F$8:$F$307,CaseData!$B$8:$B$307,N$5,CaseData!$C$8:$C$307,$D11,CaseData!$D$8:$D$307,$E11)</f>
        <v>10.8</v>
      </c>
      <c r="O11" s="81">
        <f>SUMIFS(CaseData!$F$8:$F$307,CaseData!$B$8:$B$307,O$5,CaseData!$C$8:$C$307,$D11,CaseData!$D$8:$D$307,$E11)</f>
        <v>10.8</v>
      </c>
      <c r="P11" s="81">
        <f>SUMIFS(CaseData!$F$8:$F$307,CaseData!$B$8:$B$307,P$5,CaseData!$C$8:$C$307,$D11,CaseData!$D$8:$D$307,$E11)</f>
        <v>10.8</v>
      </c>
      <c r="Q11" s="81">
        <f>SUMIFS(CaseData!$F$8:$F$307,CaseData!$B$8:$B$307,Q$5,CaseData!$C$8:$C$307,$D11,CaseData!$D$8:$D$307,$E11)</f>
        <v>10.8</v>
      </c>
      <c r="R11" s="81">
        <f>SUMIFS(CaseData!$F$8:$F$307,CaseData!$B$8:$B$307,R$5,CaseData!$C$8:$C$307,$D11,CaseData!$D$8:$D$307,$E11)</f>
        <v>10.8</v>
      </c>
      <c r="S11" s="81">
        <f>SUMIFS(CaseData!$F$8:$F$307,CaseData!$B$8:$B$307,S$5,CaseData!$C$8:$C$307,$D11,CaseData!$D$8:$D$307,$E11)</f>
        <v>10.8</v>
      </c>
      <c r="T11" s="81">
        <f>SUMIFS(CaseData!$F$8:$F$307,CaseData!$B$8:$B$307,T$5,CaseData!$C$8:$C$307,$D11,CaseData!$D$8:$D$307,$E11)</f>
        <v>10.8</v>
      </c>
      <c r="U11" s="65">
        <f t="shared" si="1"/>
        <v>11.556000000000001</v>
      </c>
      <c r="V11" s="65">
        <f t="shared" si="1"/>
        <v>11.556000000000001</v>
      </c>
      <c r="W11" s="65">
        <f t="shared" si="1"/>
        <v>11.556000000000001</v>
      </c>
      <c r="X11" s="65">
        <f t="shared" si="1"/>
        <v>11.556000000000001</v>
      </c>
      <c r="Y11" s="65">
        <f t="shared" si="1"/>
        <v>11.556000000000001</v>
      </c>
      <c r="Z11" s="65">
        <f t="shared" si="1"/>
        <v>11.556000000000001</v>
      </c>
      <c r="AA11" s="65">
        <f t="shared" si="1"/>
        <v>11.556000000000001</v>
      </c>
      <c r="AB11" s="65">
        <f t="shared" si="1"/>
        <v>11.556000000000001</v>
      </c>
      <c r="AC11" s="65">
        <f t="shared" si="1"/>
        <v>11.556000000000001</v>
      </c>
      <c r="AD11" s="65">
        <f t="shared" si="1"/>
        <v>11.556000000000001</v>
      </c>
      <c r="AE11" s="65">
        <f t="shared" si="1"/>
        <v>11.556000000000001</v>
      </c>
      <c r="AF11" s="65">
        <f t="shared" si="1"/>
        <v>11.556000000000001</v>
      </c>
    </row>
    <row r="12" spans="2:32" ht="14.4">
      <c r="D12" s="78">
        <f>CaseData!C12</f>
        <v>1</v>
      </c>
      <c r="E12" s="78">
        <f>CaseData!D12</f>
        <v>5</v>
      </c>
      <c r="F12" s="79"/>
      <c r="G12" s="80">
        <f>INDEX(CaseData!$K$8:$K$12,MATCH("Client "&amp;$D12,CaseData!$I$8:$I$12,0))</f>
        <v>7.0000000000000007E-2</v>
      </c>
      <c r="H12" s="79"/>
      <c r="I12" s="81">
        <f>SUMIFS(CaseData!$F$8:$F$307,CaseData!$B$8:$B$307,I$5,CaseData!$C$8:$C$307,$D12,CaseData!$D$8:$D$307,$E12)</f>
        <v>14.9</v>
      </c>
      <c r="J12" s="81">
        <f>SUMIFS(CaseData!$F$8:$F$307,CaseData!$B$8:$B$307,J$5,CaseData!$C$8:$C$307,$D12,CaseData!$D$8:$D$307,$E12)</f>
        <v>14.9</v>
      </c>
      <c r="K12" s="81">
        <f>SUMIFS(CaseData!$F$8:$F$307,CaseData!$B$8:$B$307,K$5,CaseData!$C$8:$C$307,$D12,CaseData!$D$8:$D$307,$E12)</f>
        <v>14.9</v>
      </c>
      <c r="L12" s="81">
        <f>SUMIFS(CaseData!$F$8:$F$307,CaseData!$B$8:$B$307,L$5,CaseData!$C$8:$C$307,$D12,CaseData!$D$8:$D$307,$E12)</f>
        <v>14.9</v>
      </c>
      <c r="M12" s="81">
        <f>SUMIFS(CaseData!$F$8:$F$307,CaseData!$B$8:$B$307,M$5,CaseData!$C$8:$C$307,$D12,CaseData!$D$8:$D$307,$E12)</f>
        <v>14.9</v>
      </c>
      <c r="N12" s="81">
        <f>SUMIFS(CaseData!$F$8:$F$307,CaseData!$B$8:$B$307,N$5,CaseData!$C$8:$C$307,$D12,CaseData!$D$8:$D$307,$E12)</f>
        <v>14.9</v>
      </c>
      <c r="O12" s="81">
        <f>SUMIFS(CaseData!$F$8:$F$307,CaseData!$B$8:$B$307,O$5,CaseData!$C$8:$C$307,$D12,CaseData!$D$8:$D$307,$E12)</f>
        <v>14.9</v>
      </c>
      <c r="P12" s="81">
        <f>SUMIFS(CaseData!$F$8:$F$307,CaseData!$B$8:$B$307,P$5,CaseData!$C$8:$C$307,$D12,CaseData!$D$8:$D$307,$E12)</f>
        <v>14.9</v>
      </c>
      <c r="Q12" s="81">
        <f>SUMIFS(CaseData!$F$8:$F$307,CaseData!$B$8:$B$307,Q$5,CaseData!$C$8:$C$307,$D12,CaseData!$D$8:$D$307,$E12)</f>
        <v>14.9</v>
      </c>
      <c r="R12" s="81">
        <f>SUMIFS(CaseData!$F$8:$F$307,CaseData!$B$8:$B$307,R$5,CaseData!$C$8:$C$307,$D12,CaseData!$D$8:$D$307,$E12)</f>
        <v>14.9</v>
      </c>
      <c r="S12" s="81">
        <f>SUMIFS(CaseData!$F$8:$F$307,CaseData!$B$8:$B$307,S$5,CaseData!$C$8:$C$307,$D12,CaseData!$D$8:$D$307,$E12)</f>
        <v>14.9</v>
      </c>
      <c r="T12" s="81">
        <f>SUMIFS(CaseData!$F$8:$F$307,CaseData!$B$8:$B$307,T$5,CaseData!$C$8:$C$307,$D12,CaseData!$D$8:$D$307,$E12)</f>
        <v>14.9</v>
      </c>
      <c r="U12" s="65">
        <f t="shared" si="1"/>
        <v>15.943000000000001</v>
      </c>
      <c r="V12" s="65">
        <f t="shared" si="1"/>
        <v>15.943000000000001</v>
      </c>
      <c r="W12" s="65">
        <f t="shared" si="1"/>
        <v>15.943000000000001</v>
      </c>
      <c r="X12" s="65">
        <f t="shared" si="1"/>
        <v>15.943000000000001</v>
      </c>
      <c r="Y12" s="65">
        <f t="shared" si="1"/>
        <v>15.943000000000001</v>
      </c>
      <c r="Z12" s="65">
        <f t="shared" si="1"/>
        <v>15.943000000000001</v>
      </c>
      <c r="AA12" s="65">
        <f t="shared" si="1"/>
        <v>15.943000000000001</v>
      </c>
      <c r="AB12" s="65">
        <f t="shared" si="1"/>
        <v>15.943000000000001</v>
      </c>
      <c r="AC12" s="65">
        <f t="shared" si="1"/>
        <v>15.943000000000001</v>
      </c>
      <c r="AD12" s="65">
        <f t="shared" si="1"/>
        <v>15.943000000000001</v>
      </c>
      <c r="AE12" s="65">
        <f t="shared" si="1"/>
        <v>15.943000000000001</v>
      </c>
      <c r="AF12" s="65">
        <f t="shared" si="1"/>
        <v>15.943000000000001</v>
      </c>
    </row>
    <row r="13" spans="2:32" ht="14.4">
      <c r="D13" s="78">
        <f>CaseData!C13</f>
        <v>2</v>
      </c>
      <c r="E13" s="78">
        <f>CaseData!D13</f>
        <v>1</v>
      </c>
      <c r="F13" s="79"/>
      <c r="G13" s="80">
        <f>INDEX(CaseData!$K$8:$K$12,MATCH("Client "&amp;$D13,CaseData!$I$8:$I$12,0))</f>
        <v>0.06</v>
      </c>
      <c r="H13" s="79"/>
      <c r="I13" s="81">
        <f>SUMIFS(CaseData!$F$8:$F$307,CaseData!$B$8:$B$307,I$5,CaseData!$C$8:$C$307,$D13,CaseData!$D$8:$D$307,$E13)</f>
        <v>34</v>
      </c>
      <c r="J13" s="81">
        <f>SUMIFS(CaseData!$F$8:$F$307,CaseData!$B$8:$B$307,J$5,CaseData!$C$8:$C$307,$D13,CaseData!$D$8:$D$307,$E13)</f>
        <v>34</v>
      </c>
      <c r="K13" s="81">
        <f>SUMIFS(CaseData!$F$8:$F$307,CaseData!$B$8:$B$307,K$5,CaseData!$C$8:$C$307,$D13,CaseData!$D$8:$D$307,$E13)</f>
        <v>34</v>
      </c>
      <c r="L13" s="81">
        <f>SUMIFS(CaseData!$F$8:$F$307,CaseData!$B$8:$B$307,L$5,CaseData!$C$8:$C$307,$D13,CaseData!$D$8:$D$307,$E13)</f>
        <v>34</v>
      </c>
      <c r="M13" s="81">
        <f>SUMIFS(CaseData!$F$8:$F$307,CaseData!$B$8:$B$307,M$5,CaseData!$C$8:$C$307,$D13,CaseData!$D$8:$D$307,$E13)</f>
        <v>34</v>
      </c>
      <c r="N13" s="81">
        <f>SUMIFS(CaseData!$F$8:$F$307,CaseData!$B$8:$B$307,N$5,CaseData!$C$8:$C$307,$D13,CaseData!$D$8:$D$307,$E13)</f>
        <v>34</v>
      </c>
      <c r="O13" s="81">
        <f>SUMIFS(CaseData!$F$8:$F$307,CaseData!$B$8:$B$307,O$5,CaseData!$C$8:$C$307,$D13,CaseData!$D$8:$D$307,$E13)</f>
        <v>34</v>
      </c>
      <c r="P13" s="81">
        <f>SUMIFS(CaseData!$F$8:$F$307,CaseData!$B$8:$B$307,P$5,CaseData!$C$8:$C$307,$D13,CaseData!$D$8:$D$307,$E13)</f>
        <v>34</v>
      </c>
      <c r="Q13" s="81">
        <f>SUMIFS(CaseData!$F$8:$F$307,CaseData!$B$8:$B$307,Q$5,CaseData!$C$8:$C$307,$D13,CaseData!$D$8:$D$307,$E13)</f>
        <v>34</v>
      </c>
      <c r="R13" s="81">
        <f>SUMIFS(CaseData!$F$8:$F$307,CaseData!$B$8:$B$307,R$5,CaseData!$C$8:$C$307,$D13,CaseData!$D$8:$D$307,$E13)</f>
        <v>34</v>
      </c>
      <c r="S13" s="81">
        <f>SUMIFS(CaseData!$F$8:$F$307,CaseData!$B$8:$B$307,S$5,CaseData!$C$8:$C$307,$D13,CaseData!$D$8:$D$307,$E13)</f>
        <v>34</v>
      </c>
      <c r="T13" s="81">
        <f>SUMIFS(CaseData!$F$8:$F$307,CaseData!$B$8:$B$307,T$5,CaseData!$C$8:$C$307,$D13,CaseData!$D$8:$D$307,$E13)</f>
        <v>34</v>
      </c>
      <c r="U13" s="65">
        <f t="shared" si="1"/>
        <v>36.04</v>
      </c>
      <c r="V13" s="65">
        <f t="shared" si="1"/>
        <v>36.04</v>
      </c>
      <c r="W13" s="65">
        <f t="shared" si="1"/>
        <v>36.04</v>
      </c>
      <c r="X13" s="65">
        <f t="shared" si="1"/>
        <v>36.04</v>
      </c>
      <c r="Y13" s="65">
        <f t="shared" si="1"/>
        <v>36.04</v>
      </c>
      <c r="Z13" s="65">
        <f t="shared" si="1"/>
        <v>36.04</v>
      </c>
      <c r="AA13" s="65">
        <f t="shared" si="1"/>
        <v>36.04</v>
      </c>
      <c r="AB13" s="65">
        <f t="shared" si="1"/>
        <v>36.04</v>
      </c>
      <c r="AC13" s="65">
        <f t="shared" si="1"/>
        <v>36.04</v>
      </c>
      <c r="AD13" s="65">
        <f t="shared" si="1"/>
        <v>36.04</v>
      </c>
      <c r="AE13" s="65">
        <f t="shared" si="1"/>
        <v>36.04</v>
      </c>
      <c r="AF13" s="65">
        <f t="shared" si="1"/>
        <v>36.04</v>
      </c>
    </row>
    <row r="14" spans="2:32" ht="14.4">
      <c r="D14" s="78">
        <f>CaseData!C14</f>
        <v>2</v>
      </c>
      <c r="E14" s="78">
        <f>CaseData!D14</f>
        <v>2</v>
      </c>
      <c r="F14" s="79"/>
      <c r="G14" s="80">
        <f>INDEX(CaseData!$K$8:$K$12,MATCH("Client "&amp;$D14,CaseData!$I$8:$I$12,0))</f>
        <v>0.06</v>
      </c>
      <c r="H14" s="79"/>
      <c r="I14" s="81">
        <f>SUMIFS(CaseData!$F$8:$F$307,CaseData!$B$8:$B$307,I$5,CaseData!$C$8:$C$307,$D14,CaseData!$D$8:$D$307,$E14)</f>
        <v>16.32</v>
      </c>
      <c r="J14" s="81">
        <f>SUMIFS(CaseData!$F$8:$F$307,CaseData!$B$8:$B$307,J$5,CaseData!$C$8:$C$307,$D14,CaseData!$D$8:$D$307,$E14)</f>
        <v>16.32</v>
      </c>
      <c r="K14" s="81">
        <f>SUMIFS(CaseData!$F$8:$F$307,CaseData!$B$8:$B$307,K$5,CaseData!$C$8:$C$307,$D14,CaseData!$D$8:$D$307,$E14)</f>
        <v>16.32</v>
      </c>
      <c r="L14" s="81">
        <f>SUMIFS(CaseData!$F$8:$F$307,CaseData!$B$8:$B$307,L$5,CaseData!$C$8:$C$307,$D14,CaseData!$D$8:$D$307,$E14)</f>
        <v>16.32</v>
      </c>
      <c r="M14" s="81">
        <f>SUMIFS(CaseData!$F$8:$F$307,CaseData!$B$8:$B$307,M$5,CaseData!$C$8:$C$307,$D14,CaseData!$D$8:$D$307,$E14)</f>
        <v>16.32</v>
      </c>
      <c r="N14" s="81">
        <f>SUMIFS(CaseData!$F$8:$F$307,CaseData!$B$8:$B$307,N$5,CaseData!$C$8:$C$307,$D14,CaseData!$D$8:$D$307,$E14)</f>
        <v>16.32</v>
      </c>
      <c r="O14" s="81">
        <f>SUMIFS(CaseData!$F$8:$F$307,CaseData!$B$8:$B$307,O$5,CaseData!$C$8:$C$307,$D14,CaseData!$D$8:$D$307,$E14)</f>
        <v>16.32</v>
      </c>
      <c r="P14" s="81">
        <f>SUMIFS(CaseData!$F$8:$F$307,CaseData!$B$8:$B$307,P$5,CaseData!$C$8:$C$307,$D14,CaseData!$D$8:$D$307,$E14)</f>
        <v>16.32</v>
      </c>
      <c r="Q14" s="81">
        <f>SUMIFS(CaseData!$F$8:$F$307,CaseData!$B$8:$B$307,Q$5,CaseData!$C$8:$C$307,$D14,CaseData!$D$8:$D$307,$E14)</f>
        <v>16.32</v>
      </c>
      <c r="R14" s="81">
        <f>SUMIFS(CaseData!$F$8:$F$307,CaseData!$B$8:$B$307,R$5,CaseData!$C$8:$C$307,$D14,CaseData!$D$8:$D$307,$E14)</f>
        <v>16.32</v>
      </c>
      <c r="S14" s="81">
        <f>SUMIFS(CaseData!$F$8:$F$307,CaseData!$B$8:$B$307,S$5,CaseData!$C$8:$C$307,$D14,CaseData!$D$8:$D$307,$E14)</f>
        <v>16.32</v>
      </c>
      <c r="T14" s="81">
        <f>SUMIFS(CaseData!$F$8:$F$307,CaseData!$B$8:$B$307,T$5,CaseData!$C$8:$C$307,$D14,CaseData!$D$8:$D$307,$E14)</f>
        <v>16.32</v>
      </c>
      <c r="U14" s="65">
        <f t="shared" si="1"/>
        <v>17.299200000000003</v>
      </c>
      <c r="V14" s="65">
        <f t="shared" si="1"/>
        <v>17.299200000000003</v>
      </c>
      <c r="W14" s="65">
        <f t="shared" si="1"/>
        <v>17.299200000000003</v>
      </c>
      <c r="X14" s="65">
        <f t="shared" si="1"/>
        <v>17.299200000000003</v>
      </c>
      <c r="Y14" s="65">
        <f t="shared" si="1"/>
        <v>17.299200000000003</v>
      </c>
      <c r="Z14" s="65">
        <f t="shared" si="1"/>
        <v>17.299200000000003</v>
      </c>
      <c r="AA14" s="65">
        <f t="shared" si="1"/>
        <v>17.299200000000003</v>
      </c>
      <c r="AB14" s="65">
        <f t="shared" si="1"/>
        <v>17.299200000000003</v>
      </c>
      <c r="AC14" s="65">
        <f t="shared" si="1"/>
        <v>17.299200000000003</v>
      </c>
      <c r="AD14" s="65">
        <f t="shared" si="1"/>
        <v>17.299200000000003</v>
      </c>
      <c r="AE14" s="65">
        <f t="shared" si="1"/>
        <v>17.299200000000003</v>
      </c>
      <c r="AF14" s="65">
        <f t="shared" si="1"/>
        <v>17.299200000000003</v>
      </c>
    </row>
    <row r="15" spans="2:32" ht="14.4">
      <c r="D15" s="78">
        <f>CaseData!C15</f>
        <v>2</v>
      </c>
      <c r="E15" s="78">
        <f>CaseData!D15</f>
        <v>3</v>
      </c>
      <c r="F15" s="79"/>
      <c r="G15" s="80">
        <f>INDEX(CaseData!$K$8:$K$12,MATCH("Client "&amp;$D15,CaseData!$I$8:$I$12,0))</f>
        <v>0.06</v>
      </c>
      <c r="H15" s="79"/>
      <c r="I15" s="81">
        <f>SUMIFS(CaseData!$F$8:$F$307,CaseData!$B$8:$B$307,I$5,CaseData!$C$8:$C$307,$D15,CaseData!$D$8:$D$307,$E15)</f>
        <v>14.21</v>
      </c>
      <c r="J15" s="81">
        <f>SUMIFS(CaseData!$F$8:$F$307,CaseData!$B$8:$B$307,J$5,CaseData!$C$8:$C$307,$D15,CaseData!$D$8:$D$307,$E15)</f>
        <v>14.21</v>
      </c>
      <c r="K15" s="81">
        <f>SUMIFS(CaseData!$F$8:$F$307,CaseData!$B$8:$B$307,K$5,CaseData!$C$8:$C$307,$D15,CaseData!$D$8:$D$307,$E15)</f>
        <v>14.21</v>
      </c>
      <c r="L15" s="81">
        <f>SUMIFS(CaseData!$F$8:$F$307,CaseData!$B$8:$B$307,L$5,CaseData!$C$8:$C$307,$D15,CaseData!$D$8:$D$307,$E15)</f>
        <v>14.21</v>
      </c>
      <c r="M15" s="81">
        <f>SUMIFS(CaseData!$F$8:$F$307,CaseData!$B$8:$B$307,M$5,CaseData!$C$8:$C$307,$D15,CaseData!$D$8:$D$307,$E15)</f>
        <v>14.21</v>
      </c>
      <c r="N15" s="81">
        <f>SUMIFS(CaseData!$F$8:$F$307,CaseData!$B$8:$B$307,N$5,CaseData!$C$8:$C$307,$D15,CaseData!$D$8:$D$307,$E15)</f>
        <v>14.21</v>
      </c>
      <c r="O15" s="81">
        <f>SUMIFS(CaseData!$F$8:$F$307,CaseData!$B$8:$B$307,O$5,CaseData!$C$8:$C$307,$D15,CaseData!$D$8:$D$307,$E15)</f>
        <v>14.21</v>
      </c>
      <c r="P15" s="81">
        <f>SUMIFS(CaseData!$F$8:$F$307,CaseData!$B$8:$B$307,P$5,CaseData!$C$8:$C$307,$D15,CaseData!$D$8:$D$307,$E15)</f>
        <v>14.21</v>
      </c>
      <c r="Q15" s="81">
        <f>SUMIFS(CaseData!$F$8:$F$307,CaseData!$B$8:$B$307,Q$5,CaseData!$C$8:$C$307,$D15,CaseData!$D$8:$D$307,$E15)</f>
        <v>14.21</v>
      </c>
      <c r="R15" s="81">
        <f>SUMIFS(CaseData!$F$8:$F$307,CaseData!$B$8:$B$307,R$5,CaseData!$C$8:$C$307,$D15,CaseData!$D$8:$D$307,$E15)</f>
        <v>14.21</v>
      </c>
      <c r="S15" s="81">
        <f>SUMIFS(CaseData!$F$8:$F$307,CaseData!$B$8:$B$307,S$5,CaseData!$C$8:$C$307,$D15,CaseData!$D$8:$D$307,$E15)</f>
        <v>14.21</v>
      </c>
      <c r="T15" s="81">
        <f>SUMIFS(CaseData!$F$8:$F$307,CaseData!$B$8:$B$307,T$5,CaseData!$C$8:$C$307,$D15,CaseData!$D$8:$D$307,$E15)</f>
        <v>14.21</v>
      </c>
      <c r="U15" s="65">
        <f t="shared" si="1"/>
        <v>15.062600000000002</v>
      </c>
      <c r="V15" s="65">
        <f t="shared" si="1"/>
        <v>15.062600000000002</v>
      </c>
      <c r="W15" s="65">
        <f t="shared" si="1"/>
        <v>15.062600000000002</v>
      </c>
      <c r="X15" s="65">
        <f t="shared" si="1"/>
        <v>15.062600000000002</v>
      </c>
      <c r="Y15" s="65">
        <f t="shared" si="1"/>
        <v>15.062600000000002</v>
      </c>
      <c r="Z15" s="65">
        <f t="shared" si="1"/>
        <v>15.062600000000002</v>
      </c>
      <c r="AA15" s="65">
        <f t="shared" si="1"/>
        <v>15.062600000000002</v>
      </c>
      <c r="AB15" s="65">
        <f t="shared" si="1"/>
        <v>15.062600000000002</v>
      </c>
      <c r="AC15" s="65">
        <f t="shared" si="1"/>
        <v>15.062600000000002</v>
      </c>
      <c r="AD15" s="65">
        <f t="shared" si="1"/>
        <v>15.062600000000002</v>
      </c>
      <c r="AE15" s="65">
        <f t="shared" si="1"/>
        <v>15.062600000000002</v>
      </c>
      <c r="AF15" s="65">
        <f t="shared" si="1"/>
        <v>15.062600000000002</v>
      </c>
    </row>
    <row r="16" spans="2:32" ht="14.4">
      <c r="D16" s="78">
        <f>CaseData!C16</f>
        <v>2</v>
      </c>
      <c r="E16" s="78">
        <f>CaseData!D16</f>
        <v>4</v>
      </c>
      <c r="F16" s="79"/>
      <c r="G16" s="80">
        <f>INDEX(CaseData!$K$8:$K$12,MATCH("Client "&amp;$D16,CaseData!$I$8:$I$12,0))</f>
        <v>0.06</v>
      </c>
      <c r="H16" s="79"/>
      <c r="I16" s="81">
        <f>SUMIFS(CaseData!$F$8:$F$307,CaseData!$B$8:$B$307,I$5,CaseData!$C$8:$C$307,$D16,CaseData!$D$8:$D$307,$E16)</f>
        <v>9.83</v>
      </c>
      <c r="J16" s="81">
        <f>SUMIFS(CaseData!$F$8:$F$307,CaseData!$B$8:$B$307,J$5,CaseData!$C$8:$C$307,$D16,CaseData!$D$8:$D$307,$E16)</f>
        <v>9.83</v>
      </c>
      <c r="K16" s="81">
        <f>SUMIFS(CaseData!$F$8:$F$307,CaseData!$B$8:$B$307,K$5,CaseData!$C$8:$C$307,$D16,CaseData!$D$8:$D$307,$E16)</f>
        <v>9.83</v>
      </c>
      <c r="L16" s="81">
        <f>SUMIFS(CaseData!$F$8:$F$307,CaseData!$B$8:$B$307,L$5,CaseData!$C$8:$C$307,$D16,CaseData!$D$8:$D$307,$E16)</f>
        <v>9.83</v>
      </c>
      <c r="M16" s="81">
        <f>SUMIFS(CaseData!$F$8:$F$307,CaseData!$B$8:$B$307,M$5,CaseData!$C$8:$C$307,$D16,CaseData!$D$8:$D$307,$E16)</f>
        <v>9.83</v>
      </c>
      <c r="N16" s="81">
        <f>SUMIFS(CaseData!$F$8:$F$307,CaseData!$B$8:$B$307,N$5,CaseData!$C$8:$C$307,$D16,CaseData!$D$8:$D$307,$E16)</f>
        <v>9.83</v>
      </c>
      <c r="O16" s="81">
        <f>SUMIFS(CaseData!$F$8:$F$307,CaseData!$B$8:$B$307,O$5,CaseData!$C$8:$C$307,$D16,CaseData!$D$8:$D$307,$E16)</f>
        <v>9.83</v>
      </c>
      <c r="P16" s="81">
        <f>SUMIFS(CaseData!$F$8:$F$307,CaseData!$B$8:$B$307,P$5,CaseData!$C$8:$C$307,$D16,CaseData!$D$8:$D$307,$E16)</f>
        <v>9.83</v>
      </c>
      <c r="Q16" s="81">
        <f>SUMIFS(CaseData!$F$8:$F$307,CaseData!$B$8:$B$307,Q$5,CaseData!$C$8:$C$307,$D16,CaseData!$D$8:$D$307,$E16)</f>
        <v>9.83</v>
      </c>
      <c r="R16" s="81">
        <f>SUMIFS(CaseData!$F$8:$F$307,CaseData!$B$8:$B$307,R$5,CaseData!$C$8:$C$307,$D16,CaseData!$D$8:$D$307,$E16)</f>
        <v>9.83</v>
      </c>
      <c r="S16" s="81">
        <f>SUMIFS(CaseData!$F$8:$F$307,CaseData!$B$8:$B$307,S$5,CaseData!$C$8:$C$307,$D16,CaseData!$D$8:$D$307,$E16)</f>
        <v>9.83</v>
      </c>
      <c r="T16" s="81">
        <f>SUMIFS(CaseData!$F$8:$F$307,CaseData!$B$8:$B$307,T$5,CaseData!$C$8:$C$307,$D16,CaseData!$D$8:$D$307,$E16)</f>
        <v>9.83</v>
      </c>
      <c r="U16" s="65">
        <f t="shared" si="1"/>
        <v>10.4198</v>
      </c>
      <c r="V16" s="65">
        <f t="shared" si="1"/>
        <v>10.4198</v>
      </c>
      <c r="W16" s="65">
        <f t="shared" si="1"/>
        <v>10.4198</v>
      </c>
      <c r="X16" s="65">
        <f t="shared" si="1"/>
        <v>10.4198</v>
      </c>
      <c r="Y16" s="65">
        <f t="shared" si="1"/>
        <v>10.4198</v>
      </c>
      <c r="Z16" s="65">
        <f t="shared" si="1"/>
        <v>10.4198</v>
      </c>
      <c r="AA16" s="65">
        <f t="shared" si="1"/>
        <v>10.4198</v>
      </c>
      <c r="AB16" s="65">
        <f t="shared" si="1"/>
        <v>10.4198</v>
      </c>
      <c r="AC16" s="65">
        <f t="shared" si="1"/>
        <v>10.4198</v>
      </c>
      <c r="AD16" s="65">
        <f t="shared" si="1"/>
        <v>10.4198</v>
      </c>
      <c r="AE16" s="65">
        <f t="shared" si="1"/>
        <v>10.4198</v>
      </c>
      <c r="AF16" s="65">
        <f t="shared" si="1"/>
        <v>10.4198</v>
      </c>
    </row>
    <row r="17" spans="4:32" ht="14.4">
      <c r="D17" s="78">
        <f>CaseData!C17</f>
        <v>2</v>
      </c>
      <c r="E17" s="78">
        <f>CaseData!D17</f>
        <v>5</v>
      </c>
      <c r="F17" s="79"/>
      <c r="G17" s="80">
        <f>INDEX(CaseData!$K$8:$K$12,MATCH("Client "&amp;$D17,CaseData!$I$8:$I$12,0))</f>
        <v>0.06</v>
      </c>
      <c r="H17" s="79"/>
      <c r="I17" s="81">
        <f>SUMIFS(CaseData!$F$8:$F$307,CaseData!$B$8:$B$307,I$5,CaseData!$C$8:$C$307,$D17,CaseData!$D$8:$D$307,$E17)</f>
        <v>14.16</v>
      </c>
      <c r="J17" s="81">
        <f>SUMIFS(CaseData!$F$8:$F$307,CaseData!$B$8:$B$307,J$5,CaseData!$C$8:$C$307,$D17,CaseData!$D$8:$D$307,$E17)</f>
        <v>14.16</v>
      </c>
      <c r="K17" s="81">
        <f>SUMIFS(CaseData!$F$8:$F$307,CaseData!$B$8:$B$307,K$5,CaseData!$C$8:$C$307,$D17,CaseData!$D$8:$D$307,$E17)</f>
        <v>14.16</v>
      </c>
      <c r="L17" s="81">
        <f>SUMIFS(CaseData!$F$8:$F$307,CaseData!$B$8:$B$307,L$5,CaseData!$C$8:$C$307,$D17,CaseData!$D$8:$D$307,$E17)</f>
        <v>14.16</v>
      </c>
      <c r="M17" s="81">
        <f>SUMIFS(CaseData!$F$8:$F$307,CaseData!$B$8:$B$307,M$5,CaseData!$C$8:$C$307,$D17,CaseData!$D$8:$D$307,$E17)</f>
        <v>14.16</v>
      </c>
      <c r="N17" s="81">
        <f>SUMIFS(CaseData!$F$8:$F$307,CaseData!$B$8:$B$307,N$5,CaseData!$C$8:$C$307,$D17,CaseData!$D$8:$D$307,$E17)</f>
        <v>14.16</v>
      </c>
      <c r="O17" s="81">
        <f>SUMIFS(CaseData!$F$8:$F$307,CaseData!$B$8:$B$307,O$5,CaseData!$C$8:$C$307,$D17,CaseData!$D$8:$D$307,$E17)</f>
        <v>14.16</v>
      </c>
      <c r="P17" s="81">
        <f>SUMIFS(CaseData!$F$8:$F$307,CaseData!$B$8:$B$307,P$5,CaseData!$C$8:$C$307,$D17,CaseData!$D$8:$D$307,$E17)</f>
        <v>14.16</v>
      </c>
      <c r="Q17" s="81">
        <f>SUMIFS(CaseData!$F$8:$F$307,CaseData!$B$8:$B$307,Q$5,CaseData!$C$8:$C$307,$D17,CaseData!$D$8:$D$307,$E17)</f>
        <v>14.16</v>
      </c>
      <c r="R17" s="81">
        <f>SUMIFS(CaseData!$F$8:$F$307,CaseData!$B$8:$B$307,R$5,CaseData!$C$8:$C$307,$D17,CaseData!$D$8:$D$307,$E17)</f>
        <v>14.16</v>
      </c>
      <c r="S17" s="81">
        <f>SUMIFS(CaseData!$F$8:$F$307,CaseData!$B$8:$B$307,S$5,CaseData!$C$8:$C$307,$D17,CaseData!$D$8:$D$307,$E17)</f>
        <v>14.16</v>
      </c>
      <c r="T17" s="81">
        <f>SUMIFS(CaseData!$F$8:$F$307,CaseData!$B$8:$B$307,T$5,CaseData!$C$8:$C$307,$D17,CaseData!$D$8:$D$307,$E17)</f>
        <v>14.16</v>
      </c>
      <c r="U17" s="65">
        <f t="shared" si="1"/>
        <v>15.009600000000001</v>
      </c>
      <c r="V17" s="65">
        <f t="shared" si="1"/>
        <v>15.009600000000001</v>
      </c>
      <c r="W17" s="65">
        <f t="shared" si="1"/>
        <v>15.009600000000001</v>
      </c>
      <c r="X17" s="65">
        <f t="shared" si="1"/>
        <v>15.009600000000001</v>
      </c>
      <c r="Y17" s="65">
        <f t="shared" si="1"/>
        <v>15.009600000000001</v>
      </c>
      <c r="Z17" s="65">
        <f t="shared" si="1"/>
        <v>15.009600000000001</v>
      </c>
      <c r="AA17" s="65">
        <f t="shared" si="1"/>
        <v>15.009600000000001</v>
      </c>
      <c r="AB17" s="65">
        <f t="shared" si="1"/>
        <v>15.009600000000001</v>
      </c>
      <c r="AC17" s="65">
        <f t="shared" si="1"/>
        <v>15.009600000000001</v>
      </c>
      <c r="AD17" s="65">
        <f t="shared" si="1"/>
        <v>15.009600000000001</v>
      </c>
      <c r="AE17" s="65">
        <f t="shared" si="1"/>
        <v>15.009600000000001</v>
      </c>
      <c r="AF17" s="65">
        <f t="shared" si="1"/>
        <v>15.009600000000001</v>
      </c>
    </row>
    <row r="18" spans="4:32" ht="14.4">
      <c r="D18" s="78">
        <f>CaseData!C18</f>
        <v>3</v>
      </c>
      <c r="E18" s="78">
        <f>CaseData!D18</f>
        <v>1</v>
      </c>
      <c r="F18" s="79"/>
      <c r="G18" s="80">
        <f>INDEX(CaseData!$K$8:$K$12,MATCH("Client "&amp;$D18,CaseData!$I$8:$I$12,0))</f>
        <v>0.06</v>
      </c>
      <c r="H18" s="79"/>
      <c r="I18" s="81">
        <f>SUMIFS(CaseData!$F$8:$F$307,CaseData!$B$8:$B$307,I$5,CaseData!$C$8:$C$307,$D18,CaseData!$D$8:$D$307,$E18)</f>
        <v>39.6</v>
      </c>
      <c r="J18" s="81">
        <f>SUMIFS(CaseData!$F$8:$F$307,CaseData!$B$8:$B$307,J$5,CaseData!$C$8:$C$307,$D18,CaseData!$D$8:$D$307,$E18)</f>
        <v>39.6</v>
      </c>
      <c r="K18" s="81">
        <f>SUMIFS(CaseData!$F$8:$F$307,CaseData!$B$8:$B$307,K$5,CaseData!$C$8:$C$307,$D18,CaseData!$D$8:$D$307,$E18)</f>
        <v>39.6</v>
      </c>
      <c r="L18" s="81">
        <f>SUMIFS(CaseData!$F$8:$F$307,CaseData!$B$8:$B$307,L$5,CaseData!$C$8:$C$307,$D18,CaseData!$D$8:$D$307,$E18)</f>
        <v>39.6</v>
      </c>
      <c r="M18" s="81">
        <f>SUMIFS(CaseData!$F$8:$F$307,CaseData!$B$8:$B$307,M$5,CaseData!$C$8:$C$307,$D18,CaseData!$D$8:$D$307,$E18)</f>
        <v>39.6</v>
      </c>
      <c r="N18" s="81">
        <f>SUMIFS(CaseData!$F$8:$F$307,CaseData!$B$8:$B$307,N$5,CaseData!$C$8:$C$307,$D18,CaseData!$D$8:$D$307,$E18)</f>
        <v>39.6</v>
      </c>
      <c r="O18" s="81">
        <f>SUMIFS(CaseData!$F$8:$F$307,CaseData!$B$8:$B$307,O$5,CaseData!$C$8:$C$307,$D18,CaseData!$D$8:$D$307,$E18)</f>
        <v>39.6</v>
      </c>
      <c r="P18" s="81">
        <f>SUMIFS(CaseData!$F$8:$F$307,CaseData!$B$8:$B$307,P$5,CaseData!$C$8:$C$307,$D18,CaseData!$D$8:$D$307,$E18)</f>
        <v>39.6</v>
      </c>
      <c r="Q18" s="81">
        <f>SUMIFS(CaseData!$F$8:$F$307,CaseData!$B$8:$B$307,Q$5,CaseData!$C$8:$C$307,$D18,CaseData!$D$8:$D$307,$E18)</f>
        <v>39.6</v>
      </c>
      <c r="R18" s="81">
        <f>SUMIFS(CaseData!$F$8:$F$307,CaseData!$B$8:$B$307,R$5,CaseData!$C$8:$C$307,$D18,CaseData!$D$8:$D$307,$E18)</f>
        <v>39.6</v>
      </c>
      <c r="S18" s="81">
        <f>SUMIFS(CaseData!$F$8:$F$307,CaseData!$B$8:$B$307,S$5,CaseData!$C$8:$C$307,$D18,CaseData!$D$8:$D$307,$E18)</f>
        <v>39.6</v>
      </c>
      <c r="T18" s="81">
        <f>SUMIFS(CaseData!$F$8:$F$307,CaseData!$B$8:$B$307,T$5,CaseData!$C$8:$C$307,$D18,CaseData!$D$8:$D$307,$E18)</f>
        <v>39.6</v>
      </c>
      <c r="U18" s="65">
        <f t="shared" si="1"/>
        <v>41.976000000000006</v>
      </c>
      <c r="V18" s="65">
        <f t="shared" si="1"/>
        <v>41.976000000000006</v>
      </c>
      <c r="W18" s="65">
        <f t="shared" si="1"/>
        <v>41.976000000000006</v>
      </c>
      <c r="X18" s="65">
        <f t="shared" si="1"/>
        <v>41.976000000000006</v>
      </c>
      <c r="Y18" s="65">
        <f t="shared" si="1"/>
        <v>41.976000000000006</v>
      </c>
      <c r="Z18" s="65">
        <f t="shared" si="1"/>
        <v>41.976000000000006</v>
      </c>
      <c r="AA18" s="65">
        <f t="shared" si="1"/>
        <v>41.976000000000006</v>
      </c>
      <c r="AB18" s="65">
        <f t="shared" si="1"/>
        <v>41.976000000000006</v>
      </c>
      <c r="AC18" s="65">
        <f t="shared" si="1"/>
        <v>41.976000000000006</v>
      </c>
      <c r="AD18" s="65">
        <f t="shared" si="1"/>
        <v>41.976000000000006</v>
      </c>
      <c r="AE18" s="65">
        <f t="shared" si="1"/>
        <v>41.976000000000006</v>
      </c>
      <c r="AF18" s="65">
        <f t="shared" si="1"/>
        <v>41.976000000000006</v>
      </c>
    </row>
    <row r="19" spans="4:32" ht="14.4">
      <c r="D19" s="78">
        <f>CaseData!C19</f>
        <v>3</v>
      </c>
      <c r="E19" s="78">
        <f>CaseData!D19</f>
        <v>2</v>
      </c>
      <c r="F19" s="79"/>
      <c r="G19" s="80">
        <f>INDEX(CaseData!$K$8:$K$12,MATCH("Client "&amp;$D19,CaseData!$I$8:$I$12,0))</f>
        <v>0.06</v>
      </c>
      <c r="H19" s="79"/>
      <c r="I19" s="81">
        <f>SUMIFS(CaseData!$F$8:$F$307,CaseData!$B$8:$B$307,I$5,CaseData!$C$8:$C$307,$D19,CaseData!$D$8:$D$307,$E19)</f>
        <v>17.850000000000001</v>
      </c>
      <c r="J19" s="81">
        <f>SUMIFS(CaseData!$F$8:$F$307,CaseData!$B$8:$B$307,J$5,CaseData!$C$8:$C$307,$D19,CaseData!$D$8:$D$307,$E19)</f>
        <v>17.850000000000001</v>
      </c>
      <c r="K19" s="81">
        <f>SUMIFS(CaseData!$F$8:$F$307,CaseData!$B$8:$B$307,K$5,CaseData!$C$8:$C$307,$D19,CaseData!$D$8:$D$307,$E19)</f>
        <v>17.850000000000001</v>
      </c>
      <c r="L19" s="81">
        <f>SUMIFS(CaseData!$F$8:$F$307,CaseData!$B$8:$B$307,L$5,CaseData!$C$8:$C$307,$D19,CaseData!$D$8:$D$307,$E19)</f>
        <v>17.850000000000001</v>
      </c>
      <c r="M19" s="81">
        <f>SUMIFS(CaseData!$F$8:$F$307,CaseData!$B$8:$B$307,M$5,CaseData!$C$8:$C$307,$D19,CaseData!$D$8:$D$307,$E19)</f>
        <v>17.850000000000001</v>
      </c>
      <c r="N19" s="81">
        <f>SUMIFS(CaseData!$F$8:$F$307,CaseData!$B$8:$B$307,N$5,CaseData!$C$8:$C$307,$D19,CaseData!$D$8:$D$307,$E19)</f>
        <v>17.850000000000001</v>
      </c>
      <c r="O19" s="81">
        <f>SUMIFS(CaseData!$F$8:$F$307,CaseData!$B$8:$B$307,O$5,CaseData!$C$8:$C$307,$D19,CaseData!$D$8:$D$307,$E19)</f>
        <v>17.850000000000001</v>
      </c>
      <c r="P19" s="81">
        <f>SUMIFS(CaseData!$F$8:$F$307,CaseData!$B$8:$B$307,P$5,CaseData!$C$8:$C$307,$D19,CaseData!$D$8:$D$307,$E19)</f>
        <v>17.850000000000001</v>
      </c>
      <c r="Q19" s="81">
        <f>SUMIFS(CaseData!$F$8:$F$307,CaseData!$B$8:$B$307,Q$5,CaseData!$C$8:$C$307,$D19,CaseData!$D$8:$D$307,$E19)</f>
        <v>17.850000000000001</v>
      </c>
      <c r="R19" s="81">
        <f>SUMIFS(CaseData!$F$8:$F$307,CaseData!$B$8:$B$307,R$5,CaseData!$C$8:$C$307,$D19,CaseData!$D$8:$D$307,$E19)</f>
        <v>17.850000000000001</v>
      </c>
      <c r="S19" s="81">
        <f>SUMIFS(CaseData!$F$8:$F$307,CaseData!$B$8:$B$307,S$5,CaseData!$C$8:$C$307,$D19,CaseData!$D$8:$D$307,$E19)</f>
        <v>17.850000000000001</v>
      </c>
      <c r="T19" s="81">
        <f>SUMIFS(CaseData!$F$8:$F$307,CaseData!$B$8:$B$307,T$5,CaseData!$C$8:$C$307,$D19,CaseData!$D$8:$D$307,$E19)</f>
        <v>17.850000000000001</v>
      </c>
      <c r="U19" s="65">
        <f t="shared" si="1"/>
        <v>18.921000000000003</v>
      </c>
      <c r="V19" s="65">
        <f t="shared" si="1"/>
        <v>18.921000000000003</v>
      </c>
      <c r="W19" s="65">
        <f t="shared" si="1"/>
        <v>18.921000000000003</v>
      </c>
      <c r="X19" s="65">
        <f t="shared" si="1"/>
        <v>18.921000000000003</v>
      </c>
      <c r="Y19" s="65">
        <f t="shared" si="1"/>
        <v>18.921000000000003</v>
      </c>
      <c r="Z19" s="65">
        <f t="shared" si="1"/>
        <v>18.921000000000003</v>
      </c>
      <c r="AA19" s="65">
        <f t="shared" si="1"/>
        <v>18.921000000000003</v>
      </c>
      <c r="AB19" s="65">
        <f t="shared" si="1"/>
        <v>18.921000000000003</v>
      </c>
      <c r="AC19" s="65">
        <f t="shared" si="1"/>
        <v>18.921000000000003</v>
      </c>
      <c r="AD19" s="65">
        <f t="shared" si="1"/>
        <v>18.921000000000003</v>
      </c>
      <c r="AE19" s="65">
        <f t="shared" si="1"/>
        <v>18.921000000000003</v>
      </c>
      <c r="AF19" s="65">
        <f t="shared" si="1"/>
        <v>18.921000000000003</v>
      </c>
    </row>
    <row r="20" spans="4:32" ht="14.4">
      <c r="D20" s="78">
        <f>CaseData!C20</f>
        <v>3</v>
      </c>
      <c r="E20" s="78">
        <f>CaseData!D20</f>
        <v>3</v>
      </c>
      <c r="F20" s="79"/>
      <c r="G20" s="80">
        <f>INDEX(CaseData!$K$8:$K$12,MATCH("Client "&amp;$D20,CaseData!$I$8:$I$12,0))</f>
        <v>0.06</v>
      </c>
      <c r="H20" s="79"/>
      <c r="I20" s="81">
        <f>SUMIFS(CaseData!$F$8:$F$307,CaseData!$B$8:$B$307,I$5,CaseData!$C$8:$C$307,$D20,CaseData!$D$8:$D$307,$E20)</f>
        <v>14.72</v>
      </c>
      <c r="J20" s="81">
        <f>SUMIFS(CaseData!$F$8:$F$307,CaseData!$B$8:$B$307,J$5,CaseData!$C$8:$C$307,$D20,CaseData!$D$8:$D$307,$E20)</f>
        <v>14.72</v>
      </c>
      <c r="K20" s="81">
        <f>SUMIFS(CaseData!$F$8:$F$307,CaseData!$B$8:$B$307,K$5,CaseData!$C$8:$C$307,$D20,CaseData!$D$8:$D$307,$E20)</f>
        <v>14.72</v>
      </c>
      <c r="L20" s="81">
        <f>SUMIFS(CaseData!$F$8:$F$307,CaseData!$B$8:$B$307,L$5,CaseData!$C$8:$C$307,$D20,CaseData!$D$8:$D$307,$E20)</f>
        <v>14.72</v>
      </c>
      <c r="M20" s="81">
        <f>SUMIFS(CaseData!$F$8:$F$307,CaseData!$B$8:$B$307,M$5,CaseData!$C$8:$C$307,$D20,CaseData!$D$8:$D$307,$E20)</f>
        <v>14.72</v>
      </c>
      <c r="N20" s="81">
        <f>SUMIFS(CaseData!$F$8:$F$307,CaseData!$B$8:$B$307,N$5,CaseData!$C$8:$C$307,$D20,CaseData!$D$8:$D$307,$E20)</f>
        <v>14.72</v>
      </c>
      <c r="O20" s="81">
        <f>SUMIFS(CaseData!$F$8:$F$307,CaseData!$B$8:$B$307,O$5,CaseData!$C$8:$C$307,$D20,CaseData!$D$8:$D$307,$E20)</f>
        <v>14.72</v>
      </c>
      <c r="P20" s="81">
        <f>SUMIFS(CaseData!$F$8:$F$307,CaseData!$B$8:$B$307,P$5,CaseData!$C$8:$C$307,$D20,CaseData!$D$8:$D$307,$E20)</f>
        <v>14.72</v>
      </c>
      <c r="Q20" s="81">
        <f>SUMIFS(CaseData!$F$8:$F$307,CaseData!$B$8:$B$307,Q$5,CaseData!$C$8:$C$307,$D20,CaseData!$D$8:$D$307,$E20)</f>
        <v>14.72</v>
      </c>
      <c r="R20" s="81">
        <f>SUMIFS(CaseData!$F$8:$F$307,CaseData!$B$8:$B$307,R$5,CaseData!$C$8:$C$307,$D20,CaseData!$D$8:$D$307,$E20)</f>
        <v>14.72</v>
      </c>
      <c r="S20" s="81">
        <f>SUMIFS(CaseData!$F$8:$F$307,CaseData!$B$8:$B$307,S$5,CaseData!$C$8:$C$307,$D20,CaseData!$D$8:$D$307,$E20)</f>
        <v>14.72</v>
      </c>
      <c r="T20" s="81">
        <f>SUMIFS(CaseData!$F$8:$F$307,CaseData!$B$8:$B$307,T$5,CaseData!$C$8:$C$307,$D20,CaseData!$D$8:$D$307,$E20)</f>
        <v>14.72</v>
      </c>
      <c r="U20" s="65">
        <f t="shared" si="1"/>
        <v>15.603200000000001</v>
      </c>
      <c r="V20" s="65">
        <f t="shared" si="1"/>
        <v>15.603200000000001</v>
      </c>
      <c r="W20" s="65">
        <f t="shared" si="1"/>
        <v>15.603200000000001</v>
      </c>
      <c r="X20" s="65">
        <f t="shared" si="1"/>
        <v>15.603200000000001</v>
      </c>
      <c r="Y20" s="65">
        <f t="shared" si="1"/>
        <v>15.603200000000001</v>
      </c>
      <c r="Z20" s="65">
        <f t="shared" si="1"/>
        <v>15.603200000000001</v>
      </c>
      <c r="AA20" s="65">
        <f t="shared" si="1"/>
        <v>15.603200000000001</v>
      </c>
      <c r="AB20" s="65">
        <f t="shared" si="1"/>
        <v>15.603200000000001</v>
      </c>
      <c r="AC20" s="65">
        <f t="shared" si="1"/>
        <v>15.603200000000001</v>
      </c>
      <c r="AD20" s="65">
        <f t="shared" si="1"/>
        <v>15.603200000000001</v>
      </c>
      <c r="AE20" s="65">
        <f t="shared" si="1"/>
        <v>15.603200000000001</v>
      </c>
      <c r="AF20" s="65">
        <f t="shared" si="1"/>
        <v>15.603200000000001</v>
      </c>
    </row>
    <row r="21" spans="4:32" ht="14.4">
      <c r="D21" s="78">
        <f>CaseData!C21</f>
        <v>3</v>
      </c>
      <c r="E21" s="78">
        <f>CaseData!D21</f>
        <v>4</v>
      </c>
      <c r="F21" s="79"/>
      <c r="G21" s="80">
        <f>INDEX(CaseData!$K$8:$K$12,MATCH("Client "&amp;$D21,CaseData!$I$8:$I$12,0))</f>
        <v>0.06</v>
      </c>
      <c r="H21" s="79"/>
      <c r="I21" s="81">
        <f>SUMIFS(CaseData!$F$8:$F$307,CaseData!$B$8:$B$307,I$5,CaseData!$C$8:$C$307,$D21,CaseData!$D$8:$D$307,$E21)</f>
        <v>10.8</v>
      </c>
      <c r="J21" s="81">
        <f>SUMIFS(CaseData!$F$8:$F$307,CaseData!$B$8:$B$307,J$5,CaseData!$C$8:$C$307,$D21,CaseData!$D$8:$D$307,$E21)</f>
        <v>10.8</v>
      </c>
      <c r="K21" s="81">
        <f>SUMIFS(CaseData!$F$8:$F$307,CaseData!$B$8:$B$307,K$5,CaseData!$C$8:$C$307,$D21,CaseData!$D$8:$D$307,$E21)</f>
        <v>10.8</v>
      </c>
      <c r="L21" s="81">
        <f>SUMIFS(CaseData!$F$8:$F$307,CaseData!$B$8:$B$307,L$5,CaseData!$C$8:$C$307,$D21,CaseData!$D$8:$D$307,$E21)</f>
        <v>10.8</v>
      </c>
      <c r="M21" s="81">
        <f>SUMIFS(CaseData!$F$8:$F$307,CaseData!$B$8:$B$307,M$5,CaseData!$C$8:$C$307,$D21,CaseData!$D$8:$D$307,$E21)</f>
        <v>10.8</v>
      </c>
      <c r="N21" s="81">
        <f>SUMIFS(CaseData!$F$8:$F$307,CaseData!$B$8:$B$307,N$5,CaseData!$C$8:$C$307,$D21,CaseData!$D$8:$D$307,$E21)</f>
        <v>10.8</v>
      </c>
      <c r="O21" s="81">
        <f>SUMIFS(CaseData!$F$8:$F$307,CaseData!$B$8:$B$307,O$5,CaseData!$C$8:$C$307,$D21,CaseData!$D$8:$D$307,$E21)</f>
        <v>10.8</v>
      </c>
      <c r="P21" s="81">
        <f>SUMIFS(CaseData!$F$8:$F$307,CaseData!$B$8:$B$307,P$5,CaseData!$C$8:$C$307,$D21,CaseData!$D$8:$D$307,$E21)</f>
        <v>10.8</v>
      </c>
      <c r="Q21" s="81">
        <f>SUMIFS(CaseData!$F$8:$F$307,CaseData!$B$8:$B$307,Q$5,CaseData!$C$8:$C$307,$D21,CaseData!$D$8:$D$307,$E21)</f>
        <v>10.8</v>
      </c>
      <c r="R21" s="81">
        <f>SUMIFS(CaseData!$F$8:$F$307,CaseData!$B$8:$B$307,R$5,CaseData!$C$8:$C$307,$D21,CaseData!$D$8:$D$307,$E21)</f>
        <v>10.8</v>
      </c>
      <c r="S21" s="81">
        <f>SUMIFS(CaseData!$F$8:$F$307,CaseData!$B$8:$B$307,S$5,CaseData!$C$8:$C$307,$D21,CaseData!$D$8:$D$307,$E21)</f>
        <v>10.8</v>
      </c>
      <c r="T21" s="81">
        <f>SUMIFS(CaseData!$F$8:$F$307,CaseData!$B$8:$B$307,T$5,CaseData!$C$8:$C$307,$D21,CaseData!$D$8:$D$307,$E21)</f>
        <v>10.8</v>
      </c>
      <c r="U21" s="65">
        <f t="shared" si="1"/>
        <v>11.448000000000002</v>
      </c>
      <c r="V21" s="65">
        <f t="shared" si="1"/>
        <v>11.448000000000002</v>
      </c>
      <c r="W21" s="65">
        <f t="shared" si="1"/>
        <v>11.448000000000002</v>
      </c>
      <c r="X21" s="65">
        <f t="shared" si="1"/>
        <v>11.448000000000002</v>
      </c>
      <c r="Y21" s="65">
        <f t="shared" si="1"/>
        <v>11.448000000000002</v>
      </c>
      <c r="Z21" s="65">
        <f t="shared" si="1"/>
        <v>11.448000000000002</v>
      </c>
      <c r="AA21" s="65">
        <f t="shared" si="1"/>
        <v>11.448000000000002</v>
      </c>
      <c r="AB21" s="65">
        <f t="shared" si="1"/>
        <v>11.448000000000002</v>
      </c>
      <c r="AC21" s="65">
        <f t="shared" si="1"/>
        <v>11.448000000000002</v>
      </c>
      <c r="AD21" s="65">
        <f t="shared" si="1"/>
        <v>11.448000000000002</v>
      </c>
      <c r="AE21" s="65">
        <f t="shared" si="1"/>
        <v>11.448000000000002</v>
      </c>
      <c r="AF21" s="65">
        <f t="shared" si="1"/>
        <v>11.448000000000002</v>
      </c>
    </row>
    <row r="22" spans="4:32" ht="14.4">
      <c r="D22" s="78">
        <f>CaseData!C22</f>
        <v>3</v>
      </c>
      <c r="E22" s="78">
        <f>CaseData!D22</f>
        <v>5</v>
      </c>
      <c r="F22" s="79"/>
      <c r="G22" s="80">
        <f>INDEX(CaseData!$K$8:$K$12,MATCH("Client "&amp;$D22,CaseData!$I$8:$I$12,0))</f>
        <v>0.06</v>
      </c>
      <c r="H22" s="79"/>
      <c r="I22" s="81">
        <f>SUMIFS(CaseData!$F$8:$F$307,CaseData!$B$8:$B$307,I$5,CaseData!$C$8:$C$307,$D22,CaseData!$D$8:$D$307,$E22)</f>
        <v>15.65</v>
      </c>
      <c r="J22" s="81">
        <f>SUMIFS(CaseData!$F$8:$F$307,CaseData!$B$8:$B$307,J$5,CaseData!$C$8:$C$307,$D22,CaseData!$D$8:$D$307,$E22)</f>
        <v>15.65</v>
      </c>
      <c r="K22" s="81">
        <f>SUMIFS(CaseData!$F$8:$F$307,CaseData!$B$8:$B$307,K$5,CaseData!$C$8:$C$307,$D22,CaseData!$D$8:$D$307,$E22)</f>
        <v>15.65</v>
      </c>
      <c r="L22" s="81">
        <f>SUMIFS(CaseData!$F$8:$F$307,CaseData!$B$8:$B$307,L$5,CaseData!$C$8:$C$307,$D22,CaseData!$D$8:$D$307,$E22)</f>
        <v>15.65</v>
      </c>
      <c r="M22" s="81">
        <f>SUMIFS(CaseData!$F$8:$F$307,CaseData!$B$8:$B$307,M$5,CaseData!$C$8:$C$307,$D22,CaseData!$D$8:$D$307,$E22)</f>
        <v>15.65</v>
      </c>
      <c r="N22" s="81">
        <f>SUMIFS(CaseData!$F$8:$F$307,CaseData!$B$8:$B$307,N$5,CaseData!$C$8:$C$307,$D22,CaseData!$D$8:$D$307,$E22)</f>
        <v>15.65</v>
      </c>
      <c r="O22" s="81">
        <f>SUMIFS(CaseData!$F$8:$F$307,CaseData!$B$8:$B$307,O$5,CaseData!$C$8:$C$307,$D22,CaseData!$D$8:$D$307,$E22)</f>
        <v>15.65</v>
      </c>
      <c r="P22" s="81">
        <f>SUMIFS(CaseData!$F$8:$F$307,CaseData!$B$8:$B$307,P$5,CaseData!$C$8:$C$307,$D22,CaseData!$D$8:$D$307,$E22)</f>
        <v>15.65</v>
      </c>
      <c r="Q22" s="81">
        <f>SUMIFS(CaseData!$F$8:$F$307,CaseData!$B$8:$B$307,Q$5,CaseData!$C$8:$C$307,$D22,CaseData!$D$8:$D$307,$E22)</f>
        <v>15.65</v>
      </c>
      <c r="R22" s="81">
        <f>SUMIFS(CaseData!$F$8:$F$307,CaseData!$B$8:$B$307,R$5,CaseData!$C$8:$C$307,$D22,CaseData!$D$8:$D$307,$E22)</f>
        <v>15.65</v>
      </c>
      <c r="S22" s="81">
        <f>SUMIFS(CaseData!$F$8:$F$307,CaseData!$B$8:$B$307,S$5,CaseData!$C$8:$C$307,$D22,CaseData!$D$8:$D$307,$E22)</f>
        <v>15.65</v>
      </c>
      <c r="T22" s="81">
        <f>SUMIFS(CaseData!$F$8:$F$307,CaseData!$B$8:$B$307,T$5,CaseData!$C$8:$C$307,$D22,CaseData!$D$8:$D$307,$E22)</f>
        <v>15.65</v>
      </c>
      <c r="U22" s="65">
        <f t="shared" si="1"/>
        <v>16.589000000000002</v>
      </c>
      <c r="V22" s="65">
        <f t="shared" si="1"/>
        <v>16.589000000000002</v>
      </c>
      <c r="W22" s="65">
        <f t="shared" si="1"/>
        <v>16.589000000000002</v>
      </c>
      <c r="X22" s="65">
        <f t="shared" si="1"/>
        <v>16.589000000000002</v>
      </c>
      <c r="Y22" s="65">
        <f t="shared" si="1"/>
        <v>16.589000000000002</v>
      </c>
      <c r="Z22" s="65">
        <f t="shared" si="1"/>
        <v>16.589000000000002</v>
      </c>
      <c r="AA22" s="65">
        <f t="shared" si="1"/>
        <v>16.589000000000002</v>
      </c>
      <c r="AB22" s="65">
        <f t="shared" si="1"/>
        <v>16.589000000000002</v>
      </c>
      <c r="AC22" s="65">
        <f t="shared" si="1"/>
        <v>16.589000000000002</v>
      </c>
      <c r="AD22" s="65">
        <f t="shared" si="1"/>
        <v>16.589000000000002</v>
      </c>
      <c r="AE22" s="65">
        <f t="shared" si="1"/>
        <v>16.589000000000002</v>
      </c>
      <c r="AF22" s="65">
        <f t="shared" si="1"/>
        <v>16.589000000000002</v>
      </c>
    </row>
    <row r="23" spans="4:32" ht="14.4">
      <c r="D23" s="78">
        <f>CaseData!C23</f>
        <v>4</v>
      </c>
      <c r="E23" s="78">
        <f>CaseData!D23</f>
        <v>1</v>
      </c>
      <c r="F23" s="79"/>
      <c r="G23" s="80">
        <f>INDEX(CaseData!$K$8:$K$12,MATCH("Client "&amp;$D23,CaseData!$I$8:$I$12,0))</f>
        <v>0.08</v>
      </c>
      <c r="H23" s="79"/>
      <c r="I23" s="81">
        <f>SUMIFS(CaseData!$F$8:$F$307,CaseData!$B$8:$B$307,I$5,CaseData!$C$8:$C$307,$D23,CaseData!$D$8:$D$307,$E23)</f>
        <v>44.4</v>
      </c>
      <c r="J23" s="81">
        <f>SUMIFS(CaseData!$F$8:$F$307,CaseData!$B$8:$B$307,J$5,CaseData!$C$8:$C$307,$D23,CaseData!$D$8:$D$307,$E23)</f>
        <v>44.4</v>
      </c>
      <c r="K23" s="81">
        <f>SUMIFS(CaseData!$F$8:$F$307,CaseData!$B$8:$B$307,K$5,CaseData!$C$8:$C$307,$D23,CaseData!$D$8:$D$307,$E23)</f>
        <v>44.4</v>
      </c>
      <c r="L23" s="81">
        <f>SUMIFS(CaseData!$F$8:$F$307,CaseData!$B$8:$B$307,L$5,CaseData!$C$8:$C$307,$D23,CaseData!$D$8:$D$307,$E23)</f>
        <v>44.4</v>
      </c>
      <c r="M23" s="81">
        <f>SUMIFS(CaseData!$F$8:$F$307,CaseData!$B$8:$B$307,M$5,CaseData!$C$8:$C$307,$D23,CaseData!$D$8:$D$307,$E23)</f>
        <v>44.4</v>
      </c>
      <c r="N23" s="81">
        <f>SUMIFS(CaseData!$F$8:$F$307,CaseData!$B$8:$B$307,N$5,CaseData!$C$8:$C$307,$D23,CaseData!$D$8:$D$307,$E23)</f>
        <v>44.4</v>
      </c>
      <c r="O23" s="81">
        <f>SUMIFS(CaseData!$F$8:$F$307,CaseData!$B$8:$B$307,O$5,CaseData!$C$8:$C$307,$D23,CaseData!$D$8:$D$307,$E23)</f>
        <v>44.4</v>
      </c>
      <c r="P23" s="81">
        <f>SUMIFS(CaseData!$F$8:$F$307,CaseData!$B$8:$B$307,P$5,CaseData!$C$8:$C$307,$D23,CaseData!$D$8:$D$307,$E23)</f>
        <v>44.4</v>
      </c>
      <c r="Q23" s="81">
        <f>SUMIFS(CaseData!$F$8:$F$307,CaseData!$B$8:$B$307,Q$5,CaseData!$C$8:$C$307,$D23,CaseData!$D$8:$D$307,$E23)</f>
        <v>44.4</v>
      </c>
      <c r="R23" s="81">
        <f>SUMIFS(CaseData!$F$8:$F$307,CaseData!$B$8:$B$307,R$5,CaseData!$C$8:$C$307,$D23,CaseData!$D$8:$D$307,$E23)</f>
        <v>44.4</v>
      </c>
      <c r="S23" s="81">
        <f>SUMIFS(CaseData!$F$8:$F$307,CaseData!$B$8:$B$307,S$5,CaseData!$C$8:$C$307,$D23,CaseData!$D$8:$D$307,$E23)</f>
        <v>44.4</v>
      </c>
      <c r="T23" s="81">
        <f>SUMIFS(CaseData!$F$8:$F$307,CaseData!$B$8:$B$307,T$5,CaseData!$C$8:$C$307,$D23,CaseData!$D$8:$D$307,$E23)</f>
        <v>44.4</v>
      </c>
      <c r="U23" s="65">
        <f t="shared" si="1"/>
        <v>47.951999999999998</v>
      </c>
      <c r="V23" s="65">
        <f t="shared" si="1"/>
        <v>47.951999999999998</v>
      </c>
      <c r="W23" s="65">
        <f t="shared" si="1"/>
        <v>47.951999999999998</v>
      </c>
      <c r="X23" s="65">
        <f t="shared" si="1"/>
        <v>47.951999999999998</v>
      </c>
      <c r="Y23" s="65">
        <f t="shared" si="1"/>
        <v>47.951999999999998</v>
      </c>
      <c r="Z23" s="65">
        <f t="shared" si="1"/>
        <v>47.951999999999998</v>
      </c>
      <c r="AA23" s="65">
        <f t="shared" si="1"/>
        <v>47.951999999999998</v>
      </c>
      <c r="AB23" s="65">
        <f t="shared" si="1"/>
        <v>47.951999999999998</v>
      </c>
      <c r="AC23" s="65">
        <f t="shared" si="1"/>
        <v>47.951999999999998</v>
      </c>
      <c r="AD23" s="65">
        <f t="shared" si="1"/>
        <v>47.951999999999998</v>
      </c>
      <c r="AE23" s="65">
        <f t="shared" si="1"/>
        <v>47.951999999999998</v>
      </c>
      <c r="AF23" s="65">
        <f t="shared" si="1"/>
        <v>47.951999999999998</v>
      </c>
    </row>
    <row r="24" spans="4:32" ht="14.4">
      <c r="D24" s="78">
        <f>CaseData!C24</f>
        <v>4</v>
      </c>
      <c r="E24" s="78">
        <f>CaseData!D24</f>
        <v>2</v>
      </c>
      <c r="F24" s="79"/>
      <c r="G24" s="80">
        <f>INDEX(CaseData!$K$8:$K$12,MATCH("Client "&amp;$D24,CaseData!$I$8:$I$12,0))</f>
        <v>0.08</v>
      </c>
      <c r="H24" s="79"/>
      <c r="I24" s="81">
        <f>SUMIFS(CaseData!$F$8:$F$307,CaseData!$B$8:$B$307,I$5,CaseData!$C$8:$C$307,$D24,CaseData!$D$8:$D$307,$E24)</f>
        <v>17.170000000000002</v>
      </c>
      <c r="J24" s="81">
        <f>SUMIFS(CaseData!$F$8:$F$307,CaseData!$B$8:$B$307,J$5,CaseData!$C$8:$C$307,$D24,CaseData!$D$8:$D$307,$E24)</f>
        <v>17.170000000000002</v>
      </c>
      <c r="K24" s="81">
        <f>SUMIFS(CaseData!$F$8:$F$307,CaseData!$B$8:$B$307,K$5,CaseData!$C$8:$C$307,$D24,CaseData!$D$8:$D$307,$E24)</f>
        <v>17.170000000000002</v>
      </c>
      <c r="L24" s="81">
        <f>SUMIFS(CaseData!$F$8:$F$307,CaseData!$B$8:$B$307,L$5,CaseData!$C$8:$C$307,$D24,CaseData!$D$8:$D$307,$E24)</f>
        <v>17.170000000000002</v>
      </c>
      <c r="M24" s="81">
        <f>SUMIFS(CaseData!$F$8:$F$307,CaseData!$B$8:$B$307,M$5,CaseData!$C$8:$C$307,$D24,CaseData!$D$8:$D$307,$E24)</f>
        <v>17.170000000000002</v>
      </c>
      <c r="N24" s="81">
        <f>SUMIFS(CaseData!$F$8:$F$307,CaseData!$B$8:$B$307,N$5,CaseData!$C$8:$C$307,$D24,CaseData!$D$8:$D$307,$E24)</f>
        <v>17.170000000000002</v>
      </c>
      <c r="O24" s="81">
        <f>SUMIFS(CaseData!$F$8:$F$307,CaseData!$B$8:$B$307,O$5,CaseData!$C$8:$C$307,$D24,CaseData!$D$8:$D$307,$E24)</f>
        <v>17.170000000000002</v>
      </c>
      <c r="P24" s="81">
        <f>SUMIFS(CaseData!$F$8:$F$307,CaseData!$B$8:$B$307,P$5,CaseData!$C$8:$C$307,$D24,CaseData!$D$8:$D$307,$E24)</f>
        <v>17.170000000000002</v>
      </c>
      <c r="Q24" s="81">
        <f>SUMIFS(CaseData!$F$8:$F$307,CaseData!$B$8:$B$307,Q$5,CaseData!$C$8:$C$307,$D24,CaseData!$D$8:$D$307,$E24)</f>
        <v>17.170000000000002</v>
      </c>
      <c r="R24" s="81">
        <f>SUMIFS(CaseData!$F$8:$F$307,CaseData!$B$8:$B$307,R$5,CaseData!$C$8:$C$307,$D24,CaseData!$D$8:$D$307,$E24)</f>
        <v>17.170000000000002</v>
      </c>
      <c r="S24" s="81">
        <f>SUMIFS(CaseData!$F$8:$F$307,CaseData!$B$8:$B$307,S$5,CaseData!$C$8:$C$307,$D24,CaseData!$D$8:$D$307,$E24)</f>
        <v>17.170000000000002</v>
      </c>
      <c r="T24" s="81">
        <f>SUMIFS(CaseData!$F$8:$F$307,CaseData!$B$8:$B$307,T$5,CaseData!$C$8:$C$307,$D24,CaseData!$D$8:$D$307,$E24)</f>
        <v>17.170000000000002</v>
      </c>
      <c r="U24" s="65">
        <f t="shared" si="1"/>
        <v>18.543600000000001</v>
      </c>
      <c r="V24" s="65">
        <f t="shared" si="1"/>
        <v>18.543600000000001</v>
      </c>
      <c r="W24" s="65">
        <f t="shared" si="1"/>
        <v>18.543600000000001</v>
      </c>
      <c r="X24" s="65">
        <f t="shared" si="1"/>
        <v>18.543600000000001</v>
      </c>
      <c r="Y24" s="65">
        <f t="shared" si="1"/>
        <v>18.543600000000001</v>
      </c>
      <c r="Z24" s="65">
        <f t="shared" si="1"/>
        <v>18.543600000000001</v>
      </c>
      <c r="AA24" s="65">
        <f t="shared" si="1"/>
        <v>18.543600000000001</v>
      </c>
      <c r="AB24" s="65">
        <f t="shared" si="1"/>
        <v>18.543600000000001</v>
      </c>
      <c r="AC24" s="65">
        <f t="shared" si="1"/>
        <v>18.543600000000001</v>
      </c>
      <c r="AD24" s="65">
        <f t="shared" si="1"/>
        <v>18.543600000000001</v>
      </c>
      <c r="AE24" s="65">
        <f t="shared" si="1"/>
        <v>18.543600000000001</v>
      </c>
      <c r="AF24" s="65">
        <f t="shared" si="1"/>
        <v>18.543600000000001</v>
      </c>
    </row>
    <row r="25" spans="4:32" ht="14.4">
      <c r="D25" s="78">
        <f>CaseData!C25</f>
        <v>4</v>
      </c>
      <c r="E25" s="78">
        <f>CaseData!D25</f>
        <v>3</v>
      </c>
      <c r="F25" s="79"/>
      <c r="G25" s="80">
        <f>INDEX(CaseData!$K$8:$K$12,MATCH("Client "&amp;$D25,CaseData!$I$8:$I$12,0))</f>
        <v>0.08</v>
      </c>
      <c r="H25" s="79"/>
      <c r="I25" s="81">
        <f>SUMIFS(CaseData!$F$8:$F$307,CaseData!$B$8:$B$307,I$5,CaseData!$C$8:$C$307,$D25,CaseData!$D$8:$D$307,$E25)</f>
        <v>13.57</v>
      </c>
      <c r="J25" s="81">
        <f>SUMIFS(CaseData!$F$8:$F$307,CaseData!$B$8:$B$307,J$5,CaseData!$C$8:$C$307,$D25,CaseData!$D$8:$D$307,$E25)</f>
        <v>13.57</v>
      </c>
      <c r="K25" s="81">
        <f>SUMIFS(CaseData!$F$8:$F$307,CaseData!$B$8:$B$307,K$5,CaseData!$C$8:$C$307,$D25,CaseData!$D$8:$D$307,$E25)</f>
        <v>13.57</v>
      </c>
      <c r="L25" s="81">
        <f>SUMIFS(CaseData!$F$8:$F$307,CaseData!$B$8:$B$307,L$5,CaseData!$C$8:$C$307,$D25,CaseData!$D$8:$D$307,$E25)</f>
        <v>13.57</v>
      </c>
      <c r="M25" s="81">
        <f>SUMIFS(CaseData!$F$8:$F$307,CaseData!$B$8:$B$307,M$5,CaseData!$C$8:$C$307,$D25,CaseData!$D$8:$D$307,$E25)</f>
        <v>13.57</v>
      </c>
      <c r="N25" s="81">
        <f>SUMIFS(CaseData!$F$8:$F$307,CaseData!$B$8:$B$307,N$5,CaseData!$C$8:$C$307,$D25,CaseData!$D$8:$D$307,$E25)</f>
        <v>13.57</v>
      </c>
      <c r="O25" s="81">
        <f>SUMIFS(CaseData!$F$8:$F$307,CaseData!$B$8:$B$307,O$5,CaseData!$C$8:$C$307,$D25,CaseData!$D$8:$D$307,$E25)</f>
        <v>13.57</v>
      </c>
      <c r="P25" s="81">
        <f>SUMIFS(CaseData!$F$8:$F$307,CaseData!$B$8:$B$307,P$5,CaseData!$C$8:$C$307,$D25,CaseData!$D$8:$D$307,$E25)</f>
        <v>13.57</v>
      </c>
      <c r="Q25" s="81">
        <f>SUMIFS(CaseData!$F$8:$F$307,CaseData!$B$8:$B$307,Q$5,CaseData!$C$8:$C$307,$D25,CaseData!$D$8:$D$307,$E25)</f>
        <v>13.57</v>
      </c>
      <c r="R25" s="81">
        <f>SUMIFS(CaseData!$F$8:$F$307,CaseData!$B$8:$B$307,R$5,CaseData!$C$8:$C$307,$D25,CaseData!$D$8:$D$307,$E25)</f>
        <v>13.57</v>
      </c>
      <c r="S25" s="81">
        <f>SUMIFS(CaseData!$F$8:$F$307,CaseData!$B$8:$B$307,S$5,CaseData!$C$8:$C$307,$D25,CaseData!$D$8:$D$307,$E25)</f>
        <v>13.57</v>
      </c>
      <c r="T25" s="81">
        <f>SUMIFS(CaseData!$F$8:$F$307,CaseData!$B$8:$B$307,T$5,CaseData!$C$8:$C$307,$D25,CaseData!$D$8:$D$307,$E25)</f>
        <v>13.57</v>
      </c>
      <c r="U25" s="65">
        <f t="shared" si="1"/>
        <v>14.655600000000002</v>
      </c>
      <c r="V25" s="65">
        <f t="shared" si="1"/>
        <v>14.655600000000002</v>
      </c>
      <c r="W25" s="65">
        <f t="shared" si="1"/>
        <v>14.655600000000002</v>
      </c>
      <c r="X25" s="65">
        <f t="shared" si="1"/>
        <v>14.655600000000002</v>
      </c>
      <c r="Y25" s="65">
        <f t="shared" si="1"/>
        <v>14.655600000000002</v>
      </c>
      <c r="Z25" s="65">
        <f t="shared" si="1"/>
        <v>14.655600000000002</v>
      </c>
      <c r="AA25" s="65">
        <f t="shared" si="1"/>
        <v>14.655600000000002</v>
      </c>
      <c r="AB25" s="65">
        <f t="shared" si="1"/>
        <v>14.655600000000002</v>
      </c>
      <c r="AC25" s="65">
        <f t="shared" si="1"/>
        <v>14.655600000000002</v>
      </c>
      <c r="AD25" s="65">
        <f t="shared" si="1"/>
        <v>14.655600000000002</v>
      </c>
      <c r="AE25" s="65">
        <f t="shared" si="1"/>
        <v>14.655600000000002</v>
      </c>
      <c r="AF25" s="65">
        <f t="shared" si="1"/>
        <v>14.655600000000002</v>
      </c>
    </row>
    <row r="26" spans="4:32" ht="14.4">
      <c r="D26" s="78">
        <f>CaseData!C26</f>
        <v>4</v>
      </c>
      <c r="E26" s="78">
        <f>CaseData!D26</f>
        <v>4</v>
      </c>
      <c r="F26" s="79"/>
      <c r="G26" s="80">
        <f>INDEX(CaseData!$K$8:$K$12,MATCH("Client "&amp;$D26,CaseData!$I$8:$I$12,0))</f>
        <v>0.08</v>
      </c>
      <c r="H26" s="79"/>
      <c r="I26" s="81">
        <f>SUMIFS(CaseData!$F$8:$F$307,CaseData!$B$8:$B$307,I$5,CaseData!$C$8:$C$307,$D26,CaseData!$D$8:$D$307,$E26)</f>
        <v>12.42</v>
      </c>
      <c r="J26" s="81">
        <f>SUMIFS(CaseData!$F$8:$F$307,CaseData!$B$8:$B$307,J$5,CaseData!$C$8:$C$307,$D26,CaseData!$D$8:$D$307,$E26)</f>
        <v>12.42</v>
      </c>
      <c r="K26" s="81">
        <f>SUMIFS(CaseData!$F$8:$F$307,CaseData!$B$8:$B$307,K$5,CaseData!$C$8:$C$307,$D26,CaseData!$D$8:$D$307,$E26)</f>
        <v>12.42</v>
      </c>
      <c r="L26" s="81">
        <f>SUMIFS(CaseData!$F$8:$F$307,CaseData!$B$8:$B$307,L$5,CaseData!$C$8:$C$307,$D26,CaseData!$D$8:$D$307,$E26)</f>
        <v>12.42</v>
      </c>
      <c r="M26" s="81">
        <f>SUMIFS(CaseData!$F$8:$F$307,CaseData!$B$8:$B$307,M$5,CaseData!$C$8:$C$307,$D26,CaseData!$D$8:$D$307,$E26)</f>
        <v>12.42</v>
      </c>
      <c r="N26" s="81">
        <f>SUMIFS(CaseData!$F$8:$F$307,CaseData!$B$8:$B$307,N$5,CaseData!$C$8:$C$307,$D26,CaseData!$D$8:$D$307,$E26)</f>
        <v>12.42</v>
      </c>
      <c r="O26" s="81">
        <f>SUMIFS(CaseData!$F$8:$F$307,CaseData!$B$8:$B$307,O$5,CaseData!$C$8:$C$307,$D26,CaseData!$D$8:$D$307,$E26)</f>
        <v>12.42</v>
      </c>
      <c r="P26" s="81">
        <f>SUMIFS(CaseData!$F$8:$F$307,CaseData!$B$8:$B$307,P$5,CaseData!$C$8:$C$307,$D26,CaseData!$D$8:$D$307,$E26)</f>
        <v>12.42</v>
      </c>
      <c r="Q26" s="81">
        <f>SUMIFS(CaseData!$F$8:$F$307,CaseData!$B$8:$B$307,Q$5,CaseData!$C$8:$C$307,$D26,CaseData!$D$8:$D$307,$E26)</f>
        <v>12.42</v>
      </c>
      <c r="R26" s="81">
        <f>SUMIFS(CaseData!$F$8:$F$307,CaseData!$B$8:$B$307,R$5,CaseData!$C$8:$C$307,$D26,CaseData!$D$8:$D$307,$E26)</f>
        <v>12.42</v>
      </c>
      <c r="S26" s="81">
        <f>SUMIFS(CaseData!$F$8:$F$307,CaseData!$B$8:$B$307,S$5,CaseData!$C$8:$C$307,$D26,CaseData!$D$8:$D$307,$E26)</f>
        <v>12.42</v>
      </c>
      <c r="T26" s="81">
        <f>SUMIFS(CaseData!$F$8:$F$307,CaseData!$B$8:$B$307,T$5,CaseData!$C$8:$C$307,$D26,CaseData!$D$8:$D$307,$E26)</f>
        <v>12.42</v>
      </c>
      <c r="U26" s="65">
        <f t="shared" si="1"/>
        <v>13.413600000000001</v>
      </c>
      <c r="V26" s="65">
        <f t="shared" si="1"/>
        <v>13.413600000000001</v>
      </c>
      <c r="W26" s="65">
        <f t="shared" si="1"/>
        <v>13.413600000000001</v>
      </c>
      <c r="X26" s="65">
        <f t="shared" si="1"/>
        <v>13.413600000000001</v>
      </c>
      <c r="Y26" s="65">
        <f t="shared" si="1"/>
        <v>13.413600000000001</v>
      </c>
      <c r="Z26" s="65">
        <f t="shared" si="1"/>
        <v>13.413600000000001</v>
      </c>
      <c r="AA26" s="65">
        <f t="shared" si="1"/>
        <v>13.413600000000001</v>
      </c>
      <c r="AB26" s="65">
        <f t="shared" si="1"/>
        <v>13.413600000000001</v>
      </c>
      <c r="AC26" s="65">
        <f t="shared" si="1"/>
        <v>13.413600000000001</v>
      </c>
      <c r="AD26" s="65">
        <f t="shared" si="1"/>
        <v>13.413600000000001</v>
      </c>
      <c r="AE26" s="65">
        <f t="shared" si="1"/>
        <v>13.413600000000001</v>
      </c>
      <c r="AF26" s="65">
        <f t="shared" si="1"/>
        <v>13.413600000000001</v>
      </c>
    </row>
    <row r="27" spans="4:32" ht="14.4">
      <c r="D27" s="78">
        <f>CaseData!C27</f>
        <v>4</v>
      </c>
      <c r="E27" s="78">
        <f>CaseData!D27</f>
        <v>5</v>
      </c>
      <c r="F27" s="79"/>
      <c r="G27" s="80">
        <f>INDEX(CaseData!$K$8:$K$12,MATCH("Client "&amp;$D27,CaseData!$I$8:$I$12,0))</f>
        <v>0.08</v>
      </c>
      <c r="H27" s="79"/>
      <c r="I27" s="81">
        <f>SUMIFS(CaseData!$F$8:$F$307,CaseData!$B$8:$B$307,I$5,CaseData!$C$8:$C$307,$D27,CaseData!$D$8:$D$307,$E27)</f>
        <v>14.16</v>
      </c>
      <c r="J27" s="81">
        <f>SUMIFS(CaseData!$F$8:$F$307,CaseData!$B$8:$B$307,J$5,CaseData!$C$8:$C$307,$D27,CaseData!$D$8:$D$307,$E27)</f>
        <v>14.16</v>
      </c>
      <c r="K27" s="81">
        <f>SUMIFS(CaseData!$F$8:$F$307,CaseData!$B$8:$B$307,K$5,CaseData!$C$8:$C$307,$D27,CaseData!$D$8:$D$307,$E27)</f>
        <v>14.16</v>
      </c>
      <c r="L27" s="81">
        <f>SUMIFS(CaseData!$F$8:$F$307,CaseData!$B$8:$B$307,L$5,CaseData!$C$8:$C$307,$D27,CaseData!$D$8:$D$307,$E27)</f>
        <v>14.16</v>
      </c>
      <c r="M27" s="81">
        <f>SUMIFS(CaseData!$F$8:$F$307,CaseData!$B$8:$B$307,M$5,CaseData!$C$8:$C$307,$D27,CaseData!$D$8:$D$307,$E27)</f>
        <v>14.16</v>
      </c>
      <c r="N27" s="81">
        <f>SUMIFS(CaseData!$F$8:$F$307,CaseData!$B$8:$B$307,N$5,CaseData!$C$8:$C$307,$D27,CaseData!$D$8:$D$307,$E27)</f>
        <v>14.16</v>
      </c>
      <c r="O27" s="81">
        <f>SUMIFS(CaseData!$F$8:$F$307,CaseData!$B$8:$B$307,O$5,CaseData!$C$8:$C$307,$D27,CaseData!$D$8:$D$307,$E27)</f>
        <v>14.16</v>
      </c>
      <c r="P27" s="81">
        <f>SUMIFS(CaseData!$F$8:$F$307,CaseData!$B$8:$B$307,P$5,CaseData!$C$8:$C$307,$D27,CaseData!$D$8:$D$307,$E27)</f>
        <v>14.16</v>
      </c>
      <c r="Q27" s="81">
        <f>SUMIFS(CaseData!$F$8:$F$307,CaseData!$B$8:$B$307,Q$5,CaseData!$C$8:$C$307,$D27,CaseData!$D$8:$D$307,$E27)</f>
        <v>14.16</v>
      </c>
      <c r="R27" s="81">
        <f>SUMIFS(CaseData!$F$8:$F$307,CaseData!$B$8:$B$307,R$5,CaseData!$C$8:$C$307,$D27,CaseData!$D$8:$D$307,$E27)</f>
        <v>14.16</v>
      </c>
      <c r="S27" s="81">
        <f>SUMIFS(CaseData!$F$8:$F$307,CaseData!$B$8:$B$307,S$5,CaseData!$C$8:$C$307,$D27,CaseData!$D$8:$D$307,$E27)</f>
        <v>14.16</v>
      </c>
      <c r="T27" s="81">
        <f>SUMIFS(CaseData!$F$8:$F$307,CaseData!$B$8:$B$307,T$5,CaseData!$C$8:$C$307,$D27,CaseData!$D$8:$D$307,$E27)</f>
        <v>14.16</v>
      </c>
      <c r="U27" s="65">
        <f t="shared" si="1"/>
        <v>15.292800000000002</v>
      </c>
      <c r="V27" s="65">
        <f t="shared" si="1"/>
        <v>15.292800000000002</v>
      </c>
      <c r="W27" s="65">
        <f t="shared" si="1"/>
        <v>15.292800000000002</v>
      </c>
      <c r="X27" s="65">
        <f t="shared" si="1"/>
        <v>15.292800000000002</v>
      </c>
      <c r="Y27" s="65">
        <f t="shared" si="1"/>
        <v>15.292800000000002</v>
      </c>
      <c r="Z27" s="65">
        <f t="shared" si="1"/>
        <v>15.292800000000002</v>
      </c>
      <c r="AA27" s="65">
        <f t="shared" si="1"/>
        <v>15.292800000000002</v>
      </c>
      <c r="AB27" s="65">
        <f t="shared" si="1"/>
        <v>15.292800000000002</v>
      </c>
      <c r="AC27" s="65">
        <f t="shared" si="1"/>
        <v>15.292800000000002</v>
      </c>
      <c r="AD27" s="65">
        <f t="shared" si="1"/>
        <v>15.292800000000002</v>
      </c>
      <c r="AE27" s="65">
        <f t="shared" si="1"/>
        <v>15.292800000000002</v>
      </c>
      <c r="AF27" s="65">
        <f t="shared" si="1"/>
        <v>15.292800000000002</v>
      </c>
    </row>
    <row r="28" spans="4:32" ht="14.4">
      <c r="D28" s="78">
        <f>CaseData!C28</f>
        <v>5</v>
      </c>
      <c r="E28" s="78">
        <f>CaseData!D28</f>
        <v>1</v>
      </c>
      <c r="F28" s="79"/>
      <c r="G28" s="80">
        <f>INDEX(CaseData!$K$8:$K$12,MATCH("Client "&amp;$D28,CaseData!$I$8:$I$12,0))</f>
        <v>7.0000000000000007E-2</v>
      </c>
      <c r="H28" s="79"/>
      <c r="I28" s="81">
        <f>SUMIFS(CaseData!$F$8:$F$307,CaseData!$B$8:$B$307,I$5,CaseData!$C$8:$C$307,$D28,CaseData!$D$8:$D$307,$E28)</f>
        <v>37.6</v>
      </c>
      <c r="J28" s="81">
        <f>SUMIFS(CaseData!$F$8:$F$307,CaseData!$B$8:$B$307,J$5,CaseData!$C$8:$C$307,$D28,CaseData!$D$8:$D$307,$E28)</f>
        <v>37.6</v>
      </c>
      <c r="K28" s="81">
        <f>SUMIFS(CaseData!$F$8:$F$307,CaseData!$B$8:$B$307,K$5,CaseData!$C$8:$C$307,$D28,CaseData!$D$8:$D$307,$E28)</f>
        <v>37.6</v>
      </c>
      <c r="L28" s="81">
        <f>SUMIFS(CaseData!$F$8:$F$307,CaseData!$B$8:$B$307,L$5,CaseData!$C$8:$C$307,$D28,CaseData!$D$8:$D$307,$E28)</f>
        <v>37.6</v>
      </c>
      <c r="M28" s="81">
        <f>SUMIFS(CaseData!$F$8:$F$307,CaseData!$B$8:$B$307,M$5,CaseData!$C$8:$C$307,$D28,CaseData!$D$8:$D$307,$E28)</f>
        <v>37.6</v>
      </c>
      <c r="N28" s="81">
        <f>SUMIFS(CaseData!$F$8:$F$307,CaseData!$B$8:$B$307,N$5,CaseData!$C$8:$C$307,$D28,CaseData!$D$8:$D$307,$E28)</f>
        <v>37.6</v>
      </c>
      <c r="O28" s="81">
        <f>SUMIFS(CaseData!$F$8:$F$307,CaseData!$B$8:$B$307,O$5,CaseData!$C$8:$C$307,$D28,CaseData!$D$8:$D$307,$E28)</f>
        <v>37.6</v>
      </c>
      <c r="P28" s="81">
        <f>SUMIFS(CaseData!$F$8:$F$307,CaseData!$B$8:$B$307,P$5,CaseData!$C$8:$C$307,$D28,CaseData!$D$8:$D$307,$E28)</f>
        <v>37.6</v>
      </c>
      <c r="Q28" s="81">
        <f>SUMIFS(CaseData!$F$8:$F$307,CaseData!$B$8:$B$307,Q$5,CaseData!$C$8:$C$307,$D28,CaseData!$D$8:$D$307,$E28)</f>
        <v>37.6</v>
      </c>
      <c r="R28" s="81">
        <f>SUMIFS(CaseData!$F$8:$F$307,CaseData!$B$8:$B$307,R$5,CaseData!$C$8:$C$307,$D28,CaseData!$D$8:$D$307,$E28)</f>
        <v>37.6</v>
      </c>
      <c r="S28" s="81">
        <f>SUMIFS(CaseData!$F$8:$F$307,CaseData!$B$8:$B$307,S$5,CaseData!$C$8:$C$307,$D28,CaseData!$D$8:$D$307,$E28)</f>
        <v>37.6</v>
      </c>
      <c r="T28" s="81">
        <f>SUMIFS(CaseData!$F$8:$F$307,CaseData!$B$8:$B$307,T$5,CaseData!$C$8:$C$307,$D28,CaseData!$D$8:$D$307,$E28)</f>
        <v>37.6</v>
      </c>
      <c r="U28" s="65">
        <f t="shared" si="1"/>
        <v>40.232000000000006</v>
      </c>
      <c r="V28" s="65">
        <f t="shared" si="1"/>
        <v>40.232000000000006</v>
      </c>
      <c r="W28" s="65">
        <f t="shared" si="1"/>
        <v>40.232000000000006</v>
      </c>
      <c r="X28" s="65">
        <f t="shared" si="1"/>
        <v>40.232000000000006</v>
      </c>
      <c r="Y28" s="65">
        <f t="shared" si="1"/>
        <v>40.232000000000006</v>
      </c>
      <c r="Z28" s="65">
        <f t="shared" si="1"/>
        <v>40.232000000000006</v>
      </c>
      <c r="AA28" s="65">
        <f t="shared" si="1"/>
        <v>40.232000000000006</v>
      </c>
      <c r="AB28" s="65">
        <f t="shared" si="1"/>
        <v>40.232000000000006</v>
      </c>
      <c r="AC28" s="65">
        <f t="shared" si="1"/>
        <v>40.232000000000006</v>
      </c>
      <c r="AD28" s="65">
        <f t="shared" si="1"/>
        <v>40.232000000000006</v>
      </c>
      <c r="AE28" s="65">
        <f t="shared" si="1"/>
        <v>40.232000000000006</v>
      </c>
      <c r="AF28" s="65">
        <f t="shared" si="1"/>
        <v>40.232000000000006</v>
      </c>
    </row>
    <row r="29" spans="4:32" ht="14.4">
      <c r="D29" s="78">
        <f>CaseData!C29</f>
        <v>5</v>
      </c>
      <c r="E29" s="78">
        <f>CaseData!D29</f>
        <v>2</v>
      </c>
      <c r="F29" s="79"/>
      <c r="G29" s="80">
        <f>INDEX(CaseData!$K$8:$K$12,MATCH("Client "&amp;$D29,CaseData!$I$8:$I$12,0))</f>
        <v>7.0000000000000007E-2</v>
      </c>
      <c r="H29" s="79"/>
      <c r="I29" s="81">
        <f>SUMIFS(CaseData!$F$8:$F$307,CaseData!$B$8:$B$307,I$5,CaseData!$C$8:$C$307,$D29,CaseData!$D$8:$D$307,$E29)</f>
        <v>15.13</v>
      </c>
      <c r="J29" s="81">
        <f>SUMIFS(CaseData!$F$8:$F$307,CaseData!$B$8:$B$307,J$5,CaseData!$C$8:$C$307,$D29,CaseData!$D$8:$D$307,$E29)</f>
        <v>15.13</v>
      </c>
      <c r="K29" s="81">
        <f>SUMIFS(CaseData!$F$8:$F$307,CaseData!$B$8:$B$307,K$5,CaseData!$C$8:$C$307,$D29,CaseData!$D$8:$D$307,$E29)</f>
        <v>15.13</v>
      </c>
      <c r="L29" s="81">
        <f>SUMIFS(CaseData!$F$8:$F$307,CaseData!$B$8:$B$307,L$5,CaseData!$C$8:$C$307,$D29,CaseData!$D$8:$D$307,$E29)</f>
        <v>15.13</v>
      </c>
      <c r="M29" s="81">
        <f>SUMIFS(CaseData!$F$8:$F$307,CaseData!$B$8:$B$307,M$5,CaseData!$C$8:$C$307,$D29,CaseData!$D$8:$D$307,$E29)</f>
        <v>15.13</v>
      </c>
      <c r="N29" s="81">
        <f>SUMIFS(CaseData!$F$8:$F$307,CaseData!$B$8:$B$307,N$5,CaseData!$C$8:$C$307,$D29,CaseData!$D$8:$D$307,$E29)</f>
        <v>15.13</v>
      </c>
      <c r="O29" s="81">
        <f>SUMIFS(CaseData!$F$8:$F$307,CaseData!$B$8:$B$307,O$5,CaseData!$C$8:$C$307,$D29,CaseData!$D$8:$D$307,$E29)</f>
        <v>15.13</v>
      </c>
      <c r="P29" s="81">
        <f>SUMIFS(CaseData!$F$8:$F$307,CaseData!$B$8:$B$307,P$5,CaseData!$C$8:$C$307,$D29,CaseData!$D$8:$D$307,$E29)</f>
        <v>15.13</v>
      </c>
      <c r="Q29" s="81">
        <f>SUMIFS(CaseData!$F$8:$F$307,CaseData!$B$8:$B$307,Q$5,CaseData!$C$8:$C$307,$D29,CaseData!$D$8:$D$307,$E29)</f>
        <v>15.13</v>
      </c>
      <c r="R29" s="81">
        <f>SUMIFS(CaseData!$F$8:$F$307,CaseData!$B$8:$B$307,R$5,CaseData!$C$8:$C$307,$D29,CaseData!$D$8:$D$307,$E29)</f>
        <v>15.13</v>
      </c>
      <c r="S29" s="81">
        <f>SUMIFS(CaseData!$F$8:$F$307,CaseData!$B$8:$B$307,S$5,CaseData!$C$8:$C$307,$D29,CaseData!$D$8:$D$307,$E29)</f>
        <v>15.13</v>
      </c>
      <c r="T29" s="81">
        <f>SUMIFS(CaseData!$F$8:$F$307,CaseData!$B$8:$B$307,T$5,CaseData!$C$8:$C$307,$D29,CaseData!$D$8:$D$307,$E29)</f>
        <v>15.13</v>
      </c>
      <c r="U29" s="65">
        <f t="shared" si="1"/>
        <v>16.189100000000003</v>
      </c>
      <c r="V29" s="65">
        <f t="shared" si="1"/>
        <v>16.189100000000003</v>
      </c>
      <c r="W29" s="65">
        <f t="shared" si="1"/>
        <v>16.189100000000003</v>
      </c>
      <c r="X29" s="65">
        <f t="shared" ref="X29:AF32" si="2">L29*(1+$G29)</f>
        <v>16.189100000000003</v>
      </c>
      <c r="Y29" s="65">
        <f t="shared" si="2"/>
        <v>16.189100000000003</v>
      </c>
      <c r="Z29" s="65">
        <f t="shared" si="2"/>
        <v>16.189100000000003</v>
      </c>
      <c r="AA29" s="65">
        <f t="shared" si="2"/>
        <v>16.189100000000003</v>
      </c>
      <c r="AB29" s="65">
        <f t="shared" si="2"/>
        <v>16.189100000000003</v>
      </c>
      <c r="AC29" s="65">
        <f t="shared" si="2"/>
        <v>16.189100000000003</v>
      </c>
      <c r="AD29" s="65">
        <f t="shared" si="2"/>
        <v>16.189100000000003</v>
      </c>
      <c r="AE29" s="65">
        <f t="shared" si="2"/>
        <v>16.189100000000003</v>
      </c>
      <c r="AF29" s="65">
        <f t="shared" si="2"/>
        <v>16.189100000000003</v>
      </c>
    </row>
    <row r="30" spans="4:32" ht="14.4">
      <c r="D30" s="78">
        <f>CaseData!C30</f>
        <v>5</v>
      </c>
      <c r="E30" s="78">
        <f>CaseData!D30</f>
        <v>3</v>
      </c>
      <c r="F30" s="79"/>
      <c r="G30" s="80">
        <f>INDEX(CaseData!$K$8:$K$12,MATCH("Client "&amp;$D30,CaseData!$I$8:$I$12,0))</f>
        <v>7.0000000000000007E-2</v>
      </c>
      <c r="H30" s="79"/>
      <c r="I30" s="81">
        <f>SUMIFS(CaseData!$F$8:$F$307,CaseData!$B$8:$B$307,I$5,CaseData!$C$8:$C$307,$D30,CaseData!$D$8:$D$307,$E30)</f>
        <v>13.06</v>
      </c>
      <c r="J30" s="81">
        <f>SUMIFS(CaseData!$F$8:$F$307,CaseData!$B$8:$B$307,J$5,CaseData!$C$8:$C$307,$D30,CaseData!$D$8:$D$307,$E30)</f>
        <v>13.06</v>
      </c>
      <c r="K30" s="81">
        <f>SUMIFS(CaseData!$F$8:$F$307,CaseData!$B$8:$B$307,K$5,CaseData!$C$8:$C$307,$D30,CaseData!$D$8:$D$307,$E30)</f>
        <v>13.06</v>
      </c>
      <c r="L30" s="81">
        <f>SUMIFS(CaseData!$F$8:$F$307,CaseData!$B$8:$B$307,L$5,CaseData!$C$8:$C$307,$D30,CaseData!$D$8:$D$307,$E30)</f>
        <v>13.06</v>
      </c>
      <c r="M30" s="81">
        <f>SUMIFS(CaseData!$F$8:$F$307,CaseData!$B$8:$B$307,M$5,CaseData!$C$8:$C$307,$D30,CaseData!$D$8:$D$307,$E30)</f>
        <v>13.06</v>
      </c>
      <c r="N30" s="81">
        <f>SUMIFS(CaseData!$F$8:$F$307,CaseData!$B$8:$B$307,N$5,CaseData!$C$8:$C$307,$D30,CaseData!$D$8:$D$307,$E30)</f>
        <v>13.06</v>
      </c>
      <c r="O30" s="81">
        <f>SUMIFS(CaseData!$F$8:$F$307,CaseData!$B$8:$B$307,O$5,CaseData!$C$8:$C$307,$D30,CaseData!$D$8:$D$307,$E30)</f>
        <v>13.06</v>
      </c>
      <c r="P30" s="81">
        <f>SUMIFS(CaseData!$F$8:$F$307,CaseData!$B$8:$B$307,P$5,CaseData!$C$8:$C$307,$D30,CaseData!$D$8:$D$307,$E30)</f>
        <v>13.06</v>
      </c>
      <c r="Q30" s="81">
        <f>SUMIFS(CaseData!$F$8:$F$307,CaseData!$B$8:$B$307,Q$5,CaseData!$C$8:$C$307,$D30,CaseData!$D$8:$D$307,$E30)</f>
        <v>13.06</v>
      </c>
      <c r="R30" s="81">
        <f>SUMIFS(CaseData!$F$8:$F$307,CaseData!$B$8:$B$307,R$5,CaseData!$C$8:$C$307,$D30,CaseData!$D$8:$D$307,$E30)</f>
        <v>13.06</v>
      </c>
      <c r="S30" s="81">
        <f>SUMIFS(CaseData!$F$8:$F$307,CaseData!$B$8:$B$307,S$5,CaseData!$C$8:$C$307,$D30,CaseData!$D$8:$D$307,$E30)</f>
        <v>13.06</v>
      </c>
      <c r="T30" s="81">
        <f>SUMIFS(CaseData!$F$8:$F$307,CaseData!$B$8:$B$307,T$5,CaseData!$C$8:$C$307,$D30,CaseData!$D$8:$D$307,$E30)</f>
        <v>13.06</v>
      </c>
      <c r="U30" s="65">
        <f t="shared" ref="U30:W32" si="3">I30*(1+$G30)</f>
        <v>13.974200000000002</v>
      </c>
      <c r="V30" s="65">
        <f t="shared" si="3"/>
        <v>13.974200000000002</v>
      </c>
      <c r="W30" s="65">
        <f t="shared" si="3"/>
        <v>13.974200000000002</v>
      </c>
      <c r="X30" s="65">
        <f t="shared" si="2"/>
        <v>13.974200000000002</v>
      </c>
      <c r="Y30" s="65">
        <f t="shared" si="2"/>
        <v>13.974200000000002</v>
      </c>
      <c r="Z30" s="65">
        <f t="shared" si="2"/>
        <v>13.974200000000002</v>
      </c>
      <c r="AA30" s="65">
        <f t="shared" si="2"/>
        <v>13.974200000000002</v>
      </c>
      <c r="AB30" s="65">
        <f t="shared" si="2"/>
        <v>13.974200000000002</v>
      </c>
      <c r="AC30" s="65">
        <f t="shared" si="2"/>
        <v>13.974200000000002</v>
      </c>
      <c r="AD30" s="65">
        <f t="shared" si="2"/>
        <v>13.974200000000002</v>
      </c>
      <c r="AE30" s="65">
        <f t="shared" si="2"/>
        <v>13.974200000000002</v>
      </c>
      <c r="AF30" s="65">
        <f t="shared" si="2"/>
        <v>13.974200000000002</v>
      </c>
    </row>
    <row r="31" spans="4:32" ht="14.4">
      <c r="D31" s="78">
        <f>CaseData!C31</f>
        <v>5</v>
      </c>
      <c r="E31" s="78">
        <f>CaseData!D31</f>
        <v>4</v>
      </c>
      <c r="F31" s="79"/>
      <c r="G31" s="80">
        <f>INDEX(CaseData!$K$8:$K$12,MATCH("Client "&amp;$D31,CaseData!$I$8:$I$12,0))</f>
        <v>7.0000000000000007E-2</v>
      </c>
      <c r="H31" s="79"/>
      <c r="I31" s="81">
        <f>SUMIFS(CaseData!$F$8:$F$307,CaseData!$B$8:$B$307,I$5,CaseData!$C$8:$C$307,$D31,CaseData!$D$8:$D$307,$E31)</f>
        <v>9.61</v>
      </c>
      <c r="J31" s="81">
        <f>SUMIFS(CaseData!$F$8:$F$307,CaseData!$B$8:$B$307,J$5,CaseData!$C$8:$C$307,$D31,CaseData!$D$8:$D$307,$E31)</f>
        <v>9.61</v>
      </c>
      <c r="K31" s="81">
        <f>SUMIFS(CaseData!$F$8:$F$307,CaseData!$B$8:$B$307,K$5,CaseData!$C$8:$C$307,$D31,CaseData!$D$8:$D$307,$E31)</f>
        <v>9.61</v>
      </c>
      <c r="L31" s="81">
        <f>SUMIFS(CaseData!$F$8:$F$307,CaseData!$B$8:$B$307,L$5,CaseData!$C$8:$C$307,$D31,CaseData!$D$8:$D$307,$E31)</f>
        <v>9.61</v>
      </c>
      <c r="M31" s="81">
        <f>SUMIFS(CaseData!$F$8:$F$307,CaseData!$B$8:$B$307,M$5,CaseData!$C$8:$C$307,$D31,CaseData!$D$8:$D$307,$E31)</f>
        <v>9.61</v>
      </c>
      <c r="N31" s="81">
        <f>SUMIFS(CaseData!$F$8:$F$307,CaseData!$B$8:$B$307,N$5,CaseData!$C$8:$C$307,$D31,CaseData!$D$8:$D$307,$E31)</f>
        <v>9.61</v>
      </c>
      <c r="O31" s="81">
        <f>SUMIFS(CaseData!$F$8:$F$307,CaseData!$B$8:$B$307,O$5,CaseData!$C$8:$C$307,$D31,CaseData!$D$8:$D$307,$E31)</f>
        <v>9.61</v>
      </c>
      <c r="P31" s="81">
        <f>SUMIFS(CaseData!$F$8:$F$307,CaseData!$B$8:$B$307,P$5,CaseData!$C$8:$C$307,$D31,CaseData!$D$8:$D$307,$E31)</f>
        <v>9.61</v>
      </c>
      <c r="Q31" s="81">
        <f>SUMIFS(CaseData!$F$8:$F$307,CaseData!$B$8:$B$307,Q$5,CaseData!$C$8:$C$307,$D31,CaseData!$D$8:$D$307,$E31)</f>
        <v>9.61</v>
      </c>
      <c r="R31" s="81">
        <f>SUMIFS(CaseData!$F$8:$F$307,CaseData!$B$8:$B$307,R$5,CaseData!$C$8:$C$307,$D31,CaseData!$D$8:$D$307,$E31)</f>
        <v>9.61</v>
      </c>
      <c r="S31" s="81">
        <f>SUMIFS(CaseData!$F$8:$F$307,CaseData!$B$8:$B$307,S$5,CaseData!$C$8:$C$307,$D31,CaseData!$D$8:$D$307,$E31)</f>
        <v>9.61</v>
      </c>
      <c r="T31" s="81">
        <f>SUMIFS(CaseData!$F$8:$F$307,CaseData!$B$8:$B$307,T$5,CaseData!$C$8:$C$307,$D31,CaseData!$D$8:$D$307,$E31)</f>
        <v>9.61</v>
      </c>
      <c r="U31" s="65">
        <f t="shared" si="3"/>
        <v>10.2827</v>
      </c>
      <c r="V31" s="65">
        <f t="shared" si="3"/>
        <v>10.2827</v>
      </c>
      <c r="W31" s="65">
        <f t="shared" si="3"/>
        <v>10.2827</v>
      </c>
      <c r="X31" s="65">
        <f t="shared" si="2"/>
        <v>10.2827</v>
      </c>
      <c r="Y31" s="65">
        <f t="shared" si="2"/>
        <v>10.2827</v>
      </c>
      <c r="Z31" s="65">
        <f t="shared" si="2"/>
        <v>10.2827</v>
      </c>
      <c r="AA31" s="65">
        <f t="shared" si="2"/>
        <v>10.2827</v>
      </c>
      <c r="AB31" s="65">
        <f t="shared" si="2"/>
        <v>10.2827</v>
      </c>
      <c r="AC31" s="65">
        <f t="shared" si="2"/>
        <v>10.2827</v>
      </c>
      <c r="AD31" s="65">
        <f t="shared" si="2"/>
        <v>10.2827</v>
      </c>
      <c r="AE31" s="65">
        <f t="shared" si="2"/>
        <v>10.2827</v>
      </c>
      <c r="AF31" s="65">
        <f t="shared" si="2"/>
        <v>10.2827</v>
      </c>
    </row>
    <row r="32" spans="4:32" ht="14.4">
      <c r="D32" s="78">
        <f>CaseData!C32</f>
        <v>5</v>
      </c>
      <c r="E32" s="78">
        <f>CaseData!D32</f>
        <v>5</v>
      </c>
      <c r="F32" s="79"/>
      <c r="G32" s="80">
        <f>INDEX(CaseData!$K$8:$K$12,MATCH("Client "&amp;$D32,CaseData!$I$8:$I$12,0))</f>
        <v>7.0000000000000007E-2</v>
      </c>
      <c r="H32" s="79"/>
      <c r="I32" s="81">
        <f>SUMIFS(CaseData!$F$8:$F$307,CaseData!$B$8:$B$307,I$5,CaseData!$C$8:$C$307,$D32,CaseData!$D$8:$D$307,$E32)</f>
        <v>12.67</v>
      </c>
      <c r="J32" s="81">
        <f>SUMIFS(CaseData!$F$8:$F$307,CaseData!$B$8:$B$307,J$5,CaseData!$C$8:$C$307,$D32,CaseData!$D$8:$D$307,$E32)</f>
        <v>12.67</v>
      </c>
      <c r="K32" s="81">
        <f>SUMIFS(CaseData!$F$8:$F$307,CaseData!$B$8:$B$307,K$5,CaseData!$C$8:$C$307,$D32,CaseData!$D$8:$D$307,$E32)</f>
        <v>12.67</v>
      </c>
      <c r="L32" s="81">
        <f>SUMIFS(CaseData!$F$8:$F$307,CaseData!$B$8:$B$307,L$5,CaseData!$C$8:$C$307,$D32,CaseData!$D$8:$D$307,$E32)</f>
        <v>12.67</v>
      </c>
      <c r="M32" s="81">
        <f>SUMIFS(CaseData!$F$8:$F$307,CaseData!$B$8:$B$307,M$5,CaseData!$C$8:$C$307,$D32,CaseData!$D$8:$D$307,$E32)</f>
        <v>12.67</v>
      </c>
      <c r="N32" s="81">
        <f>SUMIFS(CaseData!$F$8:$F$307,CaseData!$B$8:$B$307,N$5,CaseData!$C$8:$C$307,$D32,CaseData!$D$8:$D$307,$E32)</f>
        <v>12.67</v>
      </c>
      <c r="O32" s="81">
        <f>SUMIFS(CaseData!$F$8:$F$307,CaseData!$B$8:$B$307,O$5,CaseData!$C$8:$C$307,$D32,CaseData!$D$8:$D$307,$E32)</f>
        <v>12.67</v>
      </c>
      <c r="P32" s="81">
        <f>SUMIFS(CaseData!$F$8:$F$307,CaseData!$B$8:$B$307,P$5,CaseData!$C$8:$C$307,$D32,CaseData!$D$8:$D$307,$E32)</f>
        <v>12.67</v>
      </c>
      <c r="Q32" s="81">
        <f>SUMIFS(CaseData!$F$8:$F$307,CaseData!$B$8:$B$307,Q$5,CaseData!$C$8:$C$307,$D32,CaseData!$D$8:$D$307,$E32)</f>
        <v>12.67</v>
      </c>
      <c r="R32" s="81">
        <f>SUMIFS(CaseData!$F$8:$F$307,CaseData!$B$8:$B$307,R$5,CaseData!$C$8:$C$307,$D32,CaseData!$D$8:$D$307,$E32)</f>
        <v>12.67</v>
      </c>
      <c r="S32" s="81">
        <f>SUMIFS(CaseData!$F$8:$F$307,CaseData!$B$8:$B$307,S$5,CaseData!$C$8:$C$307,$D32,CaseData!$D$8:$D$307,$E32)</f>
        <v>12.67</v>
      </c>
      <c r="T32" s="81">
        <f>SUMIFS(CaseData!$F$8:$F$307,CaseData!$B$8:$B$307,T$5,CaseData!$C$8:$C$307,$D32,CaseData!$D$8:$D$307,$E32)</f>
        <v>12.67</v>
      </c>
      <c r="U32" s="65">
        <f t="shared" si="3"/>
        <v>13.556900000000001</v>
      </c>
      <c r="V32" s="65">
        <f t="shared" si="3"/>
        <v>13.556900000000001</v>
      </c>
      <c r="W32" s="65">
        <f t="shared" si="3"/>
        <v>13.556900000000001</v>
      </c>
      <c r="X32" s="65">
        <f t="shared" si="2"/>
        <v>13.556900000000001</v>
      </c>
      <c r="Y32" s="65">
        <f t="shared" si="2"/>
        <v>13.556900000000001</v>
      </c>
      <c r="Z32" s="65">
        <f t="shared" si="2"/>
        <v>13.556900000000001</v>
      </c>
      <c r="AA32" s="65">
        <f t="shared" si="2"/>
        <v>13.556900000000001</v>
      </c>
      <c r="AB32" s="65">
        <f t="shared" si="2"/>
        <v>13.556900000000001</v>
      </c>
      <c r="AC32" s="65">
        <f t="shared" si="2"/>
        <v>13.556900000000001</v>
      </c>
      <c r="AD32" s="65">
        <f t="shared" si="2"/>
        <v>13.556900000000001</v>
      </c>
      <c r="AE32" s="65">
        <f t="shared" si="2"/>
        <v>13.556900000000001</v>
      </c>
      <c r="AF32" s="65">
        <f t="shared" si="2"/>
        <v>13.556900000000001</v>
      </c>
    </row>
    <row r="34" spans="2:32" ht="14.4">
      <c r="B34" s="62" t="s">
        <v>32</v>
      </c>
      <c r="C34" s="62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</row>
    <row r="35" spans="2:32" ht="14.4">
      <c r="D35" s="66">
        <f>D$8</f>
        <v>1</v>
      </c>
      <c r="E35" s="66">
        <f>E$8</f>
        <v>1</v>
      </c>
      <c r="G35" s="80">
        <f>INDEX(CaseData!$N$8:$N$12,MATCH($E35,CaseData!$M$8:$M$12,0))</f>
        <v>7.0000000000000007E-2</v>
      </c>
      <c r="H35" s="79"/>
      <c r="I35" s="81">
        <f>SUMIFS(CaseData!$G$8:$G$307,CaseData!$B$8:$B$307,I$5,CaseData!$C$8:$C$307,$D35,CaseData!$D$8:$D$307,$E35)</f>
        <v>25</v>
      </c>
      <c r="J35" s="81">
        <f>SUMIFS(CaseData!$G$8:$G$307,CaseData!$B$8:$B$307,J$5,CaseData!$C$8:$C$307,$D35,CaseData!$D$8:$D$307,$E35)</f>
        <v>25</v>
      </c>
      <c r="K35" s="81">
        <f>SUMIFS(CaseData!$G$8:$G$307,CaseData!$B$8:$B$307,K$5,CaseData!$C$8:$C$307,$D35,CaseData!$D$8:$D$307,$E35)</f>
        <v>25</v>
      </c>
      <c r="L35" s="81">
        <f>SUMIFS(CaseData!$G$8:$G$307,CaseData!$B$8:$B$307,L$5,CaseData!$C$8:$C$307,$D35,CaseData!$D$8:$D$307,$E35)</f>
        <v>25</v>
      </c>
      <c r="M35" s="81">
        <f>SUMIFS(CaseData!$G$8:$G$307,CaseData!$B$8:$B$307,M$5,CaseData!$C$8:$C$307,$D35,CaseData!$D$8:$D$307,$E35)</f>
        <v>25</v>
      </c>
      <c r="N35" s="81">
        <f>SUMIFS(CaseData!$G$8:$G$307,CaseData!$B$8:$B$307,N$5,CaseData!$C$8:$C$307,$D35,CaseData!$D$8:$D$307,$E35)</f>
        <v>25</v>
      </c>
      <c r="O35" s="81">
        <f>SUMIFS(CaseData!$G$8:$G$307,CaseData!$B$8:$B$307,O$5,CaseData!$C$8:$C$307,$D35,CaseData!$D$8:$D$307,$E35)</f>
        <v>25</v>
      </c>
      <c r="P35" s="81">
        <f>SUMIFS(CaseData!$G$8:$G$307,CaseData!$B$8:$B$307,P$5,CaseData!$C$8:$C$307,$D35,CaseData!$D$8:$D$307,$E35)</f>
        <v>25</v>
      </c>
      <c r="Q35" s="81">
        <f>SUMIFS(CaseData!$G$8:$G$307,CaseData!$B$8:$B$307,Q$5,CaseData!$C$8:$C$307,$D35,CaseData!$D$8:$D$307,$E35)</f>
        <v>25</v>
      </c>
      <c r="R35" s="81">
        <f>SUMIFS(CaseData!$G$8:$G$307,CaseData!$B$8:$B$307,R$5,CaseData!$C$8:$C$307,$D35,CaseData!$D$8:$D$307,$E35)</f>
        <v>25</v>
      </c>
      <c r="S35" s="81">
        <f>SUMIFS(CaseData!$G$8:$G$307,CaseData!$B$8:$B$307,S$5,CaseData!$C$8:$C$307,$D35,CaseData!$D$8:$D$307,$E35)</f>
        <v>25</v>
      </c>
      <c r="T35" s="81">
        <f>SUMIFS(CaseData!$G$8:$G$307,CaseData!$B$8:$B$307,T$5,CaseData!$C$8:$C$307,$D35,CaseData!$D$8:$D$307,$E35)</f>
        <v>25</v>
      </c>
      <c r="U35" s="65">
        <f t="shared" ref="U35:AF56" si="4">I35*(1+$G35)</f>
        <v>26.75</v>
      </c>
      <c r="V35" s="65">
        <f t="shared" si="4"/>
        <v>26.75</v>
      </c>
      <c r="W35" s="65">
        <f t="shared" si="4"/>
        <v>26.75</v>
      </c>
      <c r="X35" s="65">
        <f t="shared" si="4"/>
        <v>26.75</v>
      </c>
      <c r="Y35" s="65">
        <f t="shared" si="4"/>
        <v>26.75</v>
      </c>
      <c r="Z35" s="65">
        <f t="shared" si="4"/>
        <v>26.75</v>
      </c>
      <c r="AA35" s="65">
        <f t="shared" si="4"/>
        <v>26.75</v>
      </c>
      <c r="AB35" s="65">
        <f t="shared" si="4"/>
        <v>26.75</v>
      </c>
      <c r="AC35" s="65">
        <f t="shared" si="4"/>
        <v>26.75</v>
      </c>
      <c r="AD35" s="65">
        <f t="shared" si="4"/>
        <v>26.75</v>
      </c>
      <c r="AE35" s="65">
        <f t="shared" si="4"/>
        <v>26.75</v>
      </c>
      <c r="AF35" s="65">
        <f t="shared" si="4"/>
        <v>26.75</v>
      </c>
    </row>
    <row r="36" spans="2:32" ht="14.4">
      <c r="D36" s="66">
        <f>D$9</f>
        <v>1</v>
      </c>
      <c r="E36" s="66">
        <f>E$9</f>
        <v>2</v>
      </c>
      <c r="G36" s="80">
        <f>INDEX(CaseData!$N$8:$N$12,MATCH($E36,CaseData!$M$8:$M$12,0))</f>
        <v>0.09</v>
      </c>
      <c r="H36" s="79"/>
      <c r="I36" s="81">
        <f>SUMIFS(CaseData!$G$8:$G$307,CaseData!$B$8:$B$307,I$5,CaseData!$C$8:$C$307,$D36,CaseData!$D$8:$D$307,$E36)</f>
        <v>7.31</v>
      </c>
      <c r="J36" s="81">
        <f>SUMIFS(CaseData!$G$8:$G$307,CaseData!$B$8:$B$307,J$5,CaseData!$C$8:$C$307,$D36,CaseData!$D$8:$D$307,$E36)</f>
        <v>7.31</v>
      </c>
      <c r="K36" s="81">
        <f>SUMIFS(CaseData!$G$8:$G$307,CaseData!$B$8:$B$307,K$5,CaseData!$C$8:$C$307,$D36,CaseData!$D$8:$D$307,$E36)</f>
        <v>7.31</v>
      </c>
      <c r="L36" s="81">
        <f>SUMIFS(CaseData!$G$8:$G$307,CaseData!$B$8:$B$307,L$5,CaseData!$C$8:$C$307,$D36,CaseData!$D$8:$D$307,$E36)</f>
        <v>7.31</v>
      </c>
      <c r="M36" s="81">
        <f>SUMIFS(CaseData!$G$8:$G$307,CaseData!$B$8:$B$307,M$5,CaseData!$C$8:$C$307,$D36,CaseData!$D$8:$D$307,$E36)</f>
        <v>7.31</v>
      </c>
      <c r="N36" s="81">
        <f>SUMIFS(CaseData!$G$8:$G$307,CaseData!$B$8:$B$307,N$5,CaseData!$C$8:$C$307,$D36,CaseData!$D$8:$D$307,$E36)</f>
        <v>7.31</v>
      </c>
      <c r="O36" s="81">
        <f>SUMIFS(CaseData!$G$8:$G$307,CaseData!$B$8:$B$307,O$5,CaseData!$C$8:$C$307,$D36,CaseData!$D$8:$D$307,$E36)</f>
        <v>7.31</v>
      </c>
      <c r="P36" s="81">
        <f>SUMIFS(CaseData!$G$8:$G$307,CaseData!$B$8:$B$307,P$5,CaseData!$C$8:$C$307,$D36,CaseData!$D$8:$D$307,$E36)</f>
        <v>7.31</v>
      </c>
      <c r="Q36" s="81">
        <f>SUMIFS(CaseData!$G$8:$G$307,CaseData!$B$8:$B$307,Q$5,CaseData!$C$8:$C$307,$D36,CaseData!$D$8:$D$307,$E36)</f>
        <v>7.31</v>
      </c>
      <c r="R36" s="81">
        <f>SUMIFS(CaseData!$G$8:$G$307,CaseData!$B$8:$B$307,R$5,CaseData!$C$8:$C$307,$D36,CaseData!$D$8:$D$307,$E36)</f>
        <v>7.31</v>
      </c>
      <c r="S36" s="81">
        <f>SUMIFS(CaseData!$G$8:$G$307,CaseData!$B$8:$B$307,S$5,CaseData!$C$8:$C$307,$D36,CaseData!$D$8:$D$307,$E36)</f>
        <v>7.31</v>
      </c>
      <c r="T36" s="81">
        <f>SUMIFS(CaseData!$G$8:$G$307,CaseData!$B$8:$B$307,T$5,CaseData!$C$8:$C$307,$D36,CaseData!$D$8:$D$307,$E36)</f>
        <v>7.31</v>
      </c>
      <c r="U36" s="65">
        <f t="shared" si="4"/>
        <v>7.9679000000000002</v>
      </c>
      <c r="V36" s="65">
        <f t="shared" si="4"/>
        <v>7.9679000000000002</v>
      </c>
      <c r="W36" s="65">
        <f t="shared" si="4"/>
        <v>7.9679000000000002</v>
      </c>
      <c r="X36" s="65">
        <f t="shared" si="4"/>
        <v>7.9679000000000002</v>
      </c>
      <c r="Y36" s="65">
        <f t="shared" si="4"/>
        <v>7.9679000000000002</v>
      </c>
      <c r="Z36" s="65">
        <f t="shared" si="4"/>
        <v>7.9679000000000002</v>
      </c>
      <c r="AA36" s="65">
        <f t="shared" si="4"/>
        <v>7.9679000000000002</v>
      </c>
      <c r="AB36" s="65">
        <f t="shared" si="4"/>
        <v>7.9679000000000002</v>
      </c>
      <c r="AC36" s="65">
        <f t="shared" si="4"/>
        <v>7.9679000000000002</v>
      </c>
      <c r="AD36" s="65">
        <f t="shared" si="4"/>
        <v>7.9679000000000002</v>
      </c>
      <c r="AE36" s="65">
        <f t="shared" si="4"/>
        <v>7.9679000000000002</v>
      </c>
      <c r="AF36" s="65">
        <f t="shared" si="4"/>
        <v>7.9679000000000002</v>
      </c>
    </row>
    <row r="37" spans="2:32" ht="14.4">
      <c r="D37" s="66">
        <f>D$10</f>
        <v>1</v>
      </c>
      <c r="E37" s="66">
        <f>E$10</f>
        <v>3</v>
      </c>
      <c r="G37" s="80">
        <f>INDEX(CaseData!$N$8:$N$12,MATCH($E37,CaseData!$M$8:$M$12,0))</f>
        <v>0.08</v>
      </c>
      <c r="H37" s="79"/>
      <c r="I37" s="81">
        <f>SUMIFS(CaseData!$G$8:$G$307,CaseData!$B$8:$B$307,I$5,CaseData!$C$8:$C$307,$D37,CaseData!$D$8:$D$307,$E37)</f>
        <v>5.12</v>
      </c>
      <c r="J37" s="81">
        <f>SUMIFS(CaseData!$G$8:$G$307,CaseData!$B$8:$B$307,J$5,CaseData!$C$8:$C$307,$D37,CaseData!$D$8:$D$307,$E37)</f>
        <v>5.12</v>
      </c>
      <c r="K37" s="81">
        <f>SUMIFS(CaseData!$G$8:$G$307,CaseData!$B$8:$B$307,K$5,CaseData!$C$8:$C$307,$D37,CaseData!$D$8:$D$307,$E37)</f>
        <v>5.12</v>
      </c>
      <c r="L37" s="81">
        <f>SUMIFS(CaseData!$G$8:$G$307,CaseData!$B$8:$B$307,L$5,CaseData!$C$8:$C$307,$D37,CaseData!$D$8:$D$307,$E37)</f>
        <v>5.12</v>
      </c>
      <c r="M37" s="81">
        <f>SUMIFS(CaseData!$G$8:$G$307,CaseData!$B$8:$B$307,M$5,CaseData!$C$8:$C$307,$D37,CaseData!$D$8:$D$307,$E37)</f>
        <v>5.12</v>
      </c>
      <c r="N37" s="81">
        <f>SUMIFS(CaseData!$G$8:$G$307,CaseData!$B$8:$B$307,N$5,CaseData!$C$8:$C$307,$D37,CaseData!$D$8:$D$307,$E37)</f>
        <v>5.12</v>
      </c>
      <c r="O37" s="81">
        <f>SUMIFS(CaseData!$G$8:$G$307,CaseData!$B$8:$B$307,O$5,CaseData!$C$8:$C$307,$D37,CaseData!$D$8:$D$307,$E37)</f>
        <v>5.12</v>
      </c>
      <c r="P37" s="81">
        <f>SUMIFS(CaseData!$G$8:$G$307,CaseData!$B$8:$B$307,P$5,CaseData!$C$8:$C$307,$D37,CaseData!$D$8:$D$307,$E37)</f>
        <v>5.12</v>
      </c>
      <c r="Q37" s="81">
        <f>SUMIFS(CaseData!$G$8:$G$307,CaseData!$B$8:$B$307,Q$5,CaseData!$C$8:$C$307,$D37,CaseData!$D$8:$D$307,$E37)</f>
        <v>5.12</v>
      </c>
      <c r="R37" s="81">
        <f>SUMIFS(CaseData!$G$8:$G$307,CaseData!$B$8:$B$307,R$5,CaseData!$C$8:$C$307,$D37,CaseData!$D$8:$D$307,$E37)</f>
        <v>5.12</v>
      </c>
      <c r="S37" s="81">
        <f>SUMIFS(CaseData!$G$8:$G$307,CaseData!$B$8:$B$307,S$5,CaseData!$C$8:$C$307,$D37,CaseData!$D$8:$D$307,$E37)</f>
        <v>5.12</v>
      </c>
      <c r="T37" s="81">
        <f>SUMIFS(CaseData!$G$8:$G$307,CaseData!$B$8:$B$307,T$5,CaseData!$C$8:$C$307,$D37,CaseData!$D$8:$D$307,$E37)</f>
        <v>5.12</v>
      </c>
      <c r="U37" s="65">
        <f t="shared" si="4"/>
        <v>5.5296000000000003</v>
      </c>
      <c r="V37" s="65">
        <f t="shared" si="4"/>
        <v>5.5296000000000003</v>
      </c>
      <c r="W37" s="65">
        <f t="shared" si="4"/>
        <v>5.5296000000000003</v>
      </c>
      <c r="X37" s="65">
        <f t="shared" si="4"/>
        <v>5.5296000000000003</v>
      </c>
      <c r="Y37" s="65">
        <f t="shared" si="4"/>
        <v>5.5296000000000003</v>
      </c>
      <c r="Z37" s="65">
        <f t="shared" si="4"/>
        <v>5.5296000000000003</v>
      </c>
      <c r="AA37" s="65">
        <f t="shared" si="4"/>
        <v>5.5296000000000003</v>
      </c>
      <c r="AB37" s="65">
        <f t="shared" si="4"/>
        <v>5.5296000000000003</v>
      </c>
      <c r="AC37" s="65">
        <f t="shared" si="4"/>
        <v>5.5296000000000003</v>
      </c>
      <c r="AD37" s="65">
        <f t="shared" si="4"/>
        <v>5.5296000000000003</v>
      </c>
      <c r="AE37" s="65">
        <f t="shared" si="4"/>
        <v>5.5296000000000003</v>
      </c>
      <c r="AF37" s="65">
        <f t="shared" si="4"/>
        <v>5.5296000000000003</v>
      </c>
    </row>
    <row r="38" spans="2:32" ht="14.4">
      <c r="D38" s="66">
        <f>D$11</f>
        <v>1</v>
      </c>
      <c r="E38" s="66">
        <f>E$11</f>
        <v>4</v>
      </c>
      <c r="G38" s="80">
        <f>INDEX(CaseData!$N$8:$N$12,MATCH($E38,CaseData!$M$8:$M$12,0))</f>
        <v>7.0000000000000007E-2</v>
      </c>
      <c r="H38" s="79"/>
      <c r="I38" s="81">
        <f>SUMIFS(CaseData!$G$8:$G$307,CaseData!$B$8:$B$307,I$5,CaseData!$C$8:$C$307,$D38,CaseData!$D$8:$D$307,$E38)</f>
        <v>6.48</v>
      </c>
      <c r="J38" s="81">
        <f>SUMIFS(CaseData!$G$8:$G$307,CaseData!$B$8:$B$307,J$5,CaseData!$C$8:$C$307,$D38,CaseData!$D$8:$D$307,$E38)</f>
        <v>6.48</v>
      </c>
      <c r="K38" s="81">
        <f>SUMIFS(CaseData!$G$8:$G$307,CaseData!$B$8:$B$307,K$5,CaseData!$C$8:$C$307,$D38,CaseData!$D$8:$D$307,$E38)</f>
        <v>6.48</v>
      </c>
      <c r="L38" s="81">
        <f>SUMIFS(CaseData!$G$8:$G$307,CaseData!$B$8:$B$307,L$5,CaseData!$C$8:$C$307,$D38,CaseData!$D$8:$D$307,$E38)</f>
        <v>6.48</v>
      </c>
      <c r="M38" s="81">
        <f>SUMIFS(CaseData!$G$8:$G$307,CaseData!$B$8:$B$307,M$5,CaseData!$C$8:$C$307,$D38,CaseData!$D$8:$D$307,$E38)</f>
        <v>6.48</v>
      </c>
      <c r="N38" s="81">
        <f>SUMIFS(CaseData!$G$8:$G$307,CaseData!$B$8:$B$307,N$5,CaseData!$C$8:$C$307,$D38,CaseData!$D$8:$D$307,$E38)</f>
        <v>6.48</v>
      </c>
      <c r="O38" s="81">
        <f>SUMIFS(CaseData!$G$8:$G$307,CaseData!$B$8:$B$307,O$5,CaseData!$C$8:$C$307,$D38,CaseData!$D$8:$D$307,$E38)</f>
        <v>6.48</v>
      </c>
      <c r="P38" s="81">
        <f>SUMIFS(CaseData!$G$8:$G$307,CaseData!$B$8:$B$307,P$5,CaseData!$C$8:$C$307,$D38,CaseData!$D$8:$D$307,$E38)</f>
        <v>6.48</v>
      </c>
      <c r="Q38" s="81">
        <f>SUMIFS(CaseData!$G$8:$G$307,CaseData!$B$8:$B$307,Q$5,CaseData!$C$8:$C$307,$D38,CaseData!$D$8:$D$307,$E38)</f>
        <v>6.48</v>
      </c>
      <c r="R38" s="81">
        <f>SUMIFS(CaseData!$G$8:$G$307,CaseData!$B$8:$B$307,R$5,CaseData!$C$8:$C$307,$D38,CaseData!$D$8:$D$307,$E38)</f>
        <v>6.48</v>
      </c>
      <c r="S38" s="81">
        <f>SUMIFS(CaseData!$G$8:$G$307,CaseData!$B$8:$B$307,S$5,CaseData!$C$8:$C$307,$D38,CaseData!$D$8:$D$307,$E38)</f>
        <v>6.48</v>
      </c>
      <c r="T38" s="81">
        <f>SUMIFS(CaseData!$G$8:$G$307,CaseData!$B$8:$B$307,T$5,CaseData!$C$8:$C$307,$D38,CaseData!$D$8:$D$307,$E38)</f>
        <v>6.48</v>
      </c>
      <c r="U38" s="65">
        <f t="shared" si="4"/>
        <v>6.9336000000000011</v>
      </c>
      <c r="V38" s="65">
        <f t="shared" si="4"/>
        <v>6.9336000000000011</v>
      </c>
      <c r="W38" s="65">
        <f t="shared" si="4"/>
        <v>6.9336000000000011</v>
      </c>
      <c r="X38" s="65">
        <f t="shared" si="4"/>
        <v>6.9336000000000011</v>
      </c>
      <c r="Y38" s="65">
        <f t="shared" si="4"/>
        <v>6.9336000000000011</v>
      </c>
      <c r="Z38" s="65">
        <f t="shared" si="4"/>
        <v>6.9336000000000011</v>
      </c>
      <c r="AA38" s="65">
        <f t="shared" si="4"/>
        <v>6.9336000000000011</v>
      </c>
      <c r="AB38" s="65">
        <f t="shared" si="4"/>
        <v>6.9336000000000011</v>
      </c>
      <c r="AC38" s="65">
        <f t="shared" si="4"/>
        <v>6.9336000000000011</v>
      </c>
      <c r="AD38" s="65">
        <f t="shared" si="4"/>
        <v>6.9336000000000011</v>
      </c>
      <c r="AE38" s="65">
        <f t="shared" si="4"/>
        <v>6.9336000000000011</v>
      </c>
      <c r="AF38" s="65">
        <f t="shared" si="4"/>
        <v>6.9336000000000011</v>
      </c>
    </row>
    <row r="39" spans="2:32" ht="14.4">
      <c r="D39" s="66">
        <f>D$12</f>
        <v>1</v>
      </c>
      <c r="E39" s="66">
        <f>E$12</f>
        <v>5</v>
      </c>
      <c r="G39" s="80">
        <f>INDEX(CaseData!$N$8:$N$12,MATCH($E39,CaseData!$M$8:$M$12,0))</f>
        <v>0.05</v>
      </c>
      <c r="H39" s="79"/>
      <c r="I39" s="81">
        <f>SUMIFS(CaseData!$G$8:$G$307,CaseData!$B$8:$B$307,I$5,CaseData!$C$8:$C$307,$D39,CaseData!$D$8:$D$307,$E39)</f>
        <v>6.26</v>
      </c>
      <c r="J39" s="81">
        <f>SUMIFS(CaseData!$G$8:$G$307,CaseData!$B$8:$B$307,J$5,CaseData!$C$8:$C$307,$D39,CaseData!$D$8:$D$307,$E39)</f>
        <v>6.26</v>
      </c>
      <c r="K39" s="81">
        <f>SUMIFS(CaseData!$G$8:$G$307,CaseData!$B$8:$B$307,K$5,CaseData!$C$8:$C$307,$D39,CaseData!$D$8:$D$307,$E39)</f>
        <v>6.26</v>
      </c>
      <c r="L39" s="81">
        <f>SUMIFS(CaseData!$G$8:$G$307,CaseData!$B$8:$B$307,L$5,CaseData!$C$8:$C$307,$D39,CaseData!$D$8:$D$307,$E39)</f>
        <v>6.26</v>
      </c>
      <c r="M39" s="81">
        <f>SUMIFS(CaseData!$G$8:$G$307,CaseData!$B$8:$B$307,M$5,CaseData!$C$8:$C$307,$D39,CaseData!$D$8:$D$307,$E39)</f>
        <v>6.26</v>
      </c>
      <c r="N39" s="81">
        <f>SUMIFS(CaseData!$G$8:$G$307,CaseData!$B$8:$B$307,N$5,CaseData!$C$8:$C$307,$D39,CaseData!$D$8:$D$307,$E39)</f>
        <v>6.26</v>
      </c>
      <c r="O39" s="81">
        <f>SUMIFS(CaseData!$G$8:$G$307,CaseData!$B$8:$B$307,O$5,CaseData!$C$8:$C$307,$D39,CaseData!$D$8:$D$307,$E39)</f>
        <v>6.26</v>
      </c>
      <c r="P39" s="81">
        <f>SUMIFS(CaseData!$G$8:$G$307,CaseData!$B$8:$B$307,P$5,CaseData!$C$8:$C$307,$D39,CaseData!$D$8:$D$307,$E39)</f>
        <v>6.26</v>
      </c>
      <c r="Q39" s="81">
        <f>SUMIFS(CaseData!$G$8:$G$307,CaseData!$B$8:$B$307,Q$5,CaseData!$C$8:$C$307,$D39,CaseData!$D$8:$D$307,$E39)</f>
        <v>6.26</v>
      </c>
      <c r="R39" s="81">
        <f>SUMIFS(CaseData!$G$8:$G$307,CaseData!$B$8:$B$307,R$5,CaseData!$C$8:$C$307,$D39,CaseData!$D$8:$D$307,$E39)</f>
        <v>6.26</v>
      </c>
      <c r="S39" s="81">
        <f>SUMIFS(CaseData!$G$8:$G$307,CaseData!$B$8:$B$307,S$5,CaseData!$C$8:$C$307,$D39,CaseData!$D$8:$D$307,$E39)</f>
        <v>6.26</v>
      </c>
      <c r="T39" s="81">
        <f>SUMIFS(CaseData!$G$8:$G$307,CaseData!$B$8:$B$307,T$5,CaseData!$C$8:$C$307,$D39,CaseData!$D$8:$D$307,$E39)</f>
        <v>6.26</v>
      </c>
      <c r="U39" s="65">
        <f t="shared" si="4"/>
        <v>6.5730000000000004</v>
      </c>
      <c r="V39" s="65">
        <f t="shared" si="4"/>
        <v>6.5730000000000004</v>
      </c>
      <c r="W39" s="65">
        <f t="shared" si="4"/>
        <v>6.5730000000000004</v>
      </c>
      <c r="X39" s="65">
        <f t="shared" si="4"/>
        <v>6.5730000000000004</v>
      </c>
      <c r="Y39" s="65">
        <f t="shared" si="4"/>
        <v>6.5730000000000004</v>
      </c>
      <c r="Z39" s="65">
        <f t="shared" si="4"/>
        <v>6.5730000000000004</v>
      </c>
      <c r="AA39" s="65">
        <f t="shared" si="4"/>
        <v>6.5730000000000004</v>
      </c>
      <c r="AB39" s="65">
        <f t="shared" si="4"/>
        <v>6.5730000000000004</v>
      </c>
      <c r="AC39" s="65">
        <f t="shared" si="4"/>
        <v>6.5730000000000004</v>
      </c>
      <c r="AD39" s="65">
        <f t="shared" si="4"/>
        <v>6.5730000000000004</v>
      </c>
      <c r="AE39" s="65">
        <f t="shared" si="4"/>
        <v>6.5730000000000004</v>
      </c>
      <c r="AF39" s="65">
        <f t="shared" si="4"/>
        <v>6.5730000000000004</v>
      </c>
    </row>
    <row r="40" spans="2:32" ht="14.4">
      <c r="D40" s="66">
        <f>D$13</f>
        <v>2</v>
      </c>
      <c r="E40" s="66">
        <f>E$13</f>
        <v>1</v>
      </c>
      <c r="G40" s="80">
        <f>INDEX(CaseData!$N$8:$N$12,MATCH($E40,CaseData!$M$8:$M$12,0))</f>
        <v>7.0000000000000007E-2</v>
      </c>
      <c r="H40" s="79"/>
      <c r="I40" s="81">
        <f>SUMIFS(CaseData!$G$8:$G$307,CaseData!$B$8:$B$307,I$5,CaseData!$C$8:$C$307,$D40,CaseData!$D$8:$D$307,$E40)</f>
        <v>25</v>
      </c>
      <c r="J40" s="81">
        <f>SUMIFS(CaseData!$G$8:$G$307,CaseData!$B$8:$B$307,J$5,CaseData!$C$8:$C$307,$D40,CaseData!$D$8:$D$307,$E40)</f>
        <v>25</v>
      </c>
      <c r="K40" s="81">
        <f>SUMIFS(CaseData!$G$8:$G$307,CaseData!$B$8:$B$307,K$5,CaseData!$C$8:$C$307,$D40,CaseData!$D$8:$D$307,$E40)</f>
        <v>25</v>
      </c>
      <c r="L40" s="81">
        <f>SUMIFS(CaseData!$G$8:$G$307,CaseData!$B$8:$B$307,L$5,CaseData!$C$8:$C$307,$D40,CaseData!$D$8:$D$307,$E40)</f>
        <v>25</v>
      </c>
      <c r="M40" s="81">
        <f>SUMIFS(CaseData!$G$8:$G$307,CaseData!$B$8:$B$307,M$5,CaseData!$C$8:$C$307,$D40,CaseData!$D$8:$D$307,$E40)</f>
        <v>25</v>
      </c>
      <c r="N40" s="81">
        <f>SUMIFS(CaseData!$G$8:$G$307,CaseData!$B$8:$B$307,N$5,CaseData!$C$8:$C$307,$D40,CaseData!$D$8:$D$307,$E40)</f>
        <v>25</v>
      </c>
      <c r="O40" s="81">
        <f>SUMIFS(CaseData!$G$8:$G$307,CaseData!$B$8:$B$307,O$5,CaseData!$C$8:$C$307,$D40,CaseData!$D$8:$D$307,$E40)</f>
        <v>25</v>
      </c>
      <c r="P40" s="81">
        <f>SUMIFS(CaseData!$G$8:$G$307,CaseData!$B$8:$B$307,P$5,CaseData!$C$8:$C$307,$D40,CaseData!$D$8:$D$307,$E40)</f>
        <v>25</v>
      </c>
      <c r="Q40" s="81">
        <f>SUMIFS(CaseData!$G$8:$G$307,CaseData!$B$8:$B$307,Q$5,CaseData!$C$8:$C$307,$D40,CaseData!$D$8:$D$307,$E40)</f>
        <v>25</v>
      </c>
      <c r="R40" s="81">
        <f>SUMIFS(CaseData!$G$8:$G$307,CaseData!$B$8:$B$307,R$5,CaseData!$C$8:$C$307,$D40,CaseData!$D$8:$D$307,$E40)</f>
        <v>25</v>
      </c>
      <c r="S40" s="81">
        <f>SUMIFS(CaseData!$G$8:$G$307,CaseData!$B$8:$B$307,S$5,CaseData!$C$8:$C$307,$D40,CaseData!$D$8:$D$307,$E40)</f>
        <v>25</v>
      </c>
      <c r="T40" s="81">
        <f>SUMIFS(CaseData!$G$8:$G$307,CaseData!$B$8:$B$307,T$5,CaseData!$C$8:$C$307,$D40,CaseData!$D$8:$D$307,$E40)</f>
        <v>25</v>
      </c>
      <c r="U40" s="65">
        <f t="shared" si="4"/>
        <v>26.75</v>
      </c>
      <c r="V40" s="65">
        <f t="shared" si="4"/>
        <v>26.75</v>
      </c>
      <c r="W40" s="65">
        <f t="shared" si="4"/>
        <v>26.75</v>
      </c>
      <c r="X40" s="65">
        <f t="shared" si="4"/>
        <v>26.75</v>
      </c>
      <c r="Y40" s="65">
        <f t="shared" si="4"/>
        <v>26.75</v>
      </c>
      <c r="Z40" s="65">
        <f t="shared" si="4"/>
        <v>26.75</v>
      </c>
      <c r="AA40" s="65">
        <f t="shared" si="4"/>
        <v>26.75</v>
      </c>
      <c r="AB40" s="65">
        <f t="shared" si="4"/>
        <v>26.75</v>
      </c>
      <c r="AC40" s="65">
        <f t="shared" si="4"/>
        <v>26.75</v>
      </c>
      <c r="AD40" s="65">
        <f t="shared" si="4"/>
        <v>26.75</v>
      </c>
      <c r="AE40" s="65">
        <f t="shared" si="4"/>
        <v>26.75</v>
      </c>
      <c r="AF40" s="65">
        <f t="shared" si="4"/>
        <v>26.75</v>
      </c>
    </row>
    <row r="41" spans="2:32" ht="14.4">
      <c r="D41" s="66">
        <f>D$14</f>
        <v>2</v>
      </c>
      <c r="E41" s="66">
        <f>E$14</f>
        <v>2</v>
      </c>
      <c r="G41" s="80">
        <f>INDEX(CaseData!$N$8:$N$12,MATCH($E41,CaseData!$M$8:$M$12,0))</f>
        <v>0.09</v>
      </c>
      <c r="H41" s="79"/>
      <c r="I41" s="81">
        <f>SUMIFS(CaseData!$G$8:$G$307,CaseData!$B$8:$B$307,I$5,CaseData!$C$8:$C$307,$D41,CaseData!$D$8:$D$307,$E41)</f>
        <v>7.31</v>
      </c>
      <c r="J41" s="81">
        <f>SUMIFS(CaseData!$G$8:$G$307,CaseData!$B$8:$B$307,J$5,CaseData!$C$8:$C$307,$D41,CaseData!$D$8:$D$307,$E41)</f>
        <v>7.31</v>
      </c>
      <c r="K41" s="81">
        <f>SUMIFS(CaseData!$G$8:$G$307,CaseData!$B$8:$B$307,K$5,CaseData!$C$8:$C$307,$D41,CaseData!$D$8:$D$307,$E41)</f>
        <v>7.31</v>
      </c>
      <c r="L41" s="81">
        <f>SUMIFS(CaseData!$G$8:$G$307,CaseData!$B$8:$B$307,L$5,CaseData!$C$8:$C$307,$D41,CaseData!$D$8:$D$307,$E41)</f>
        <v>7.31</v>
      </c>
      <c r="M41" s="81">
        <f>SUMIFS(CaseData!$G$8:$G$307,CaseData!$B$8:$B$307,M$5,CaseData!$C$8:$C$307,$D41,CaseData!$D$8:$D$307,$E41)</f>
        <v>7.31</v>
      </c>
      <c r="N41" s="81">
        <f>SUMIFS(CaseData!$G$8:$G$307,CaseData!$B$8:$B$307,N$5,CaseData!$C$8:$C$307,$D41,CaseData!$D$8:$D$307,$E41)</f>
        <v>7.31</v>
      </c>
      <c r="O41" s="81">
        <f>SUMIFS(CaseData!$G$8:$G$307,CaseData!$B$8:$B$307,O$5,CaseData!$C$8:$C$307,$D41,CaseData!$D$8:$D$307,$E41)</f>
        <v>7.31</v>
      </c>
      <c r="P41" s="81">
        <f>SUMIFS(CaseData!$G$8:$G$307,CaseData!$B$8:$B$307,P$5,CaseData!$C$8:$C$307,$D41,CaseData!$D$8:$D$307,$E41)</f>
        <v>7.31</v>
      </c>
      <c r="Q41" s="81">
        <f>SUMIFS(CaseData!$G$8:$G$307,CaseData!$B$8:$B$307,Q$5,CaseData!$C$8:$C$307,$D41,CaseData!$D$8:$D$307,$E41)</f>
        <v>7.31</v>
      </c>
      <c r="R41" s="81">
        <f>SUMIFS(CaseData!$G$8:$G$307,CaseData!$B$8:$B$307,R$5,CaseData!$C$8:$C$307,$D41,CaseData!$D$8:$D$307,$E41)</f>
        <v>7.31</v>
      </c>
      <c r="S41" s="81">
        <f>SUMIFS(CaseData!$G$8:$G$307,CaseData!$B$8:$B$307,S$5,CaseData!$C$8:$C$307,$D41,CaseData!$D$8:$D$307,$E41)</f>
        <v>7.31</v>
      </c>
      <c r="T41" s="81">
        <f>SUMIFS(CaseData!$G$8:$G$307,CaseData!$B$8:$B$307,T$5,CaseData!$C$8:$C$307,$D41,CaseData!$D$8:$D$307,$E41)</f>
        <v>7.31</v>
      </c>
      <c r="U41" s="65">
        <f t="shared" si="4"/>
        <v>7.9679000000000002</v>
      </c>
      <c r="V41" s="65">
        <f t="shared" si="4"/>
        <v>7.9679000000000002</v>
      </c>
      <c r="W41" s="65">
        <f t="shared" si="4"/>
        <v>7.9679000000000002</v>
      </c>
      <c r="X41" s="65">
        <f t="shared" si="4"/>
        <v>7.9679000000000002</v>
      </c>
      <c r="Y41" s="65">
        <f t="shared" si="4"/>
        <v>7.9679000000000002</v>
      </c>
      <c r="Z41" s="65">
        <f t="shared" si="4"/>
        <v>7.9679000000000002</v>
      </c>
      <c r="AA41" s="65">
        <f t="shared" si="4"/>
        <v>7.9679000000000002</v>
      </c>
      <c r="AB41" s="65">
        <f t="shared" si="4"/>
        <v>7.9679000000000002</v>
      </c>
      <c r="AC41" s="65">
        <f t="shared" si="4"/>
        <v>7.9679000000000002</v>
      </c>
      <c r="AD41" s="65">
        <f t="shared" si="4"/>
        <v>7.9679000000000002</v>
      </c>
      <c r="AE41" s="65">
        <f t="shared" si="4"/>
        <v>7.9679000000000002</v>
      </c>
      <c r="AF41" s="65">
        <f t="shared" si="4"/>
        <v>7.9679000000000002</v>
      </c>
    </row>
    <row r="42" spans="2:32" ht="14.4">
      <c r="D42" s="66">
        <f>D$15</f>
        <v>2</v>
      </c>
      <c r="E42" s="66">
        <f>E$15</f>
        <v>3</v>
      </c>
      <c r="G42" s="80">
        <f>INDEX(CaseData!$N$8:$N$12,MATCH($E42,CaseData!$M$8:$M$12,0))</f>
        <v>0.08</v>
      </c>
      <c r="H42" s="79"/>
      <c r="I42" s="81">
        <f>SUMIFS(CaseData!$G$8:$G$307,CaseData!$B$8:$B$307,I$5,CaseData!$C$8:$C$307,$D42,CaseData!$D$8:$D$307,$E42)</f>
        <v>5.12</v>
      </c>
      <c r="J42" s="81">
        <f>SUMIFS(CaseData!$G$8:$G$307,CaseData!$B$8:$B$307,J$5,CaseData!$C$8:$C$307,$D42,CaseData!$D$8:$D$307,$E42)</f>
        <v>5.12</v>
      </c>
      <c r="K42" s="81">
        <f>SUMIFS(CaseData!$G$8:$G$307,CaseData!$B$8:$B$307,K$5,CaseData!$C$8:$C$307,$D42,CaseData!$D$8:$D$307,$E42)</f>
        <v>5.12</v>
      </c>
      <c r="L42" s="81">
        <f>SUMIFS(CaseData!$G$8:$G$307,CaseData!$B$8:$B$307,L$5,CaseData!$C$8:$C$307,$D42,CaseData!$D$8:$D$307,$E42)</f>
        <v>5.12</v>
      </c>
      <c r="M42" s="81">
        <f>SUMIFS(CaseData!$G$8:$G$307,CaseData!$B$8:$B$307,M$5,CaseData!$C$8:$C$307,$D42,CaseData!$D$8:$D$307,$E42)</f>
        <v>5.12</v>
      </c>
      <c r="N42" s="81">
        <f>SUMIFS(CaseData!$G$8:$G$307,CaseData!$B$8:$B$307,N$5,CaseData!$C$8:$C$307,$D42,CaseData!$D$8:$D$307,$E42)</f>
        <v>5.12</v>
      </c>
      <c r="O42" s="81">
        <f>SUMIFS(CaseData!$G$8:$G$307,CaseData!$B$8:$B$307,O$5,CaseData!$C$8:$C$307,$D42,CaseData!$D$8:$D$307,$E42)</f>
        <v>5.12</v>
      </c>
      <c r="P42" s="81">
        <f>SUMIFS(CaseData!$G$8:$G$307,CaseData!$B$8:$B$307,P$5,CaseData!$C$8:$C$307,$D42,CaseData!$D$8:$D$307,$E42)</f>
        <v>5.12</v>
      </c>
      <c r="Q42" s="81">
        <f>SUMIFS(CaseData!$G$8:$G$307,CaseData!$B$8:$B$307,Q$5,CaseData!$C$8:$C$307,$D42,CaseData!$D$8:$D$307,$E42)</f>
        <v>5.12</v>
      </c>
      <c r="R42" s="81">
        <f>SUMIFS(CaseData!$G$8:$G$307,CaseData!$B$8:$B$307,R$5,CaseData!$C$8:$C$307,$D42,CaseData!$D$8:$D$307,$E42)</f>
        <v>5.12</v>
      </c>
      <c r="S42" s="81">
        <f>SUMIFS(CaseData!$G$8:$G$307,CaseData!$B$8:$B$307,S$5,CaseData!$C$8:$C$307,$D42,CaseData!$D$8:$D$307,$E42)</f>
        <v>5.12</v>
      </c>
      <c r="T42" s="81">
        <f>SUMIFS(CaseData!$G$8:$G$307,CaseData!$B$8:$B$307,T$5,CaseData!$C$8:$C$307,$D42,CaseData!$D$8:$D$307,$E42)</f>
        <v>5.12</v>
      </c>
      <c r="U42" s="65">
        <f t="shared" si="4"/>
        <v>5.5296000000000003</v>
      </c>
      <c r="V42" s="65">
        <f t="shared" si="4"/>
        <v>5.5296000000000003</v>
      </c>
      <c r="W42" s="65">
        <f t="shared" si="4"/>
        <v>5.5296000000000003</v>
      </c>
      <c r="X42" s="65">
        <f t="shared" si="4"/>
        <v>5.5296000000000003</v>
      </c>
      <c r="Y42" s="65">
        <f t="shared" si="4"/>
        <v>5.5296000000000003</v>
      </c>
      <c r="Z42" s="65">
        <f t="shared" si="4"/>
        <v>5.5296000000000003</v>
      </c>
      <c r="AA42" s="65">
        <f t="shared" si="4"/>
        <v>5.5296000000000003</v>
      </c>
      <c r="AB42" s="65">
        <f t="shared" si="4"/>
        <v>5.5296000000000003</v>
      </c>
      <c r="AC42" s="65">
        <f t="shared" si="4"/>
        <v>5.5296000000000003</v>
      </c>
      <c r="AD42" s="65">
        <f t="shared" si="4"/>
        <v>5.5296000000000003</v>
      </c>
      <c r="AE42" s="65">
        <f t="shared" si="4"/>
        <v>5.5296000000000003</v>
      </c>
      <c r="AF42" s="65">
        <f t="shared" si="4"/>
        <v>5.5296000000000003</v>
      </c>
    </row>
    <row r="43" spans="2:32" ht="14.4">
      <c r="D43" s="66">
        <f>D$16</f>
        <v>2</v>
      </c>
      <c r="E43" s="66">
        <f>E$16</f>
        <v>4</v>
      </c>
      <c r="G43" s="80">
        <f>INDEX(CaseData!$N$8:$N$12,MATCH($E43,CaseData!$M$8:$M$12,0))</f>
        <v>7.0000000000000007E-2</v>
      </c>
      <c r="H43" s="79"/>
      <c r="I43" s="81">
        <f>SUMIFS(CaseData!$G$8:$G$307,CaseData!$B$8:$B$307,I$5,CaseData!$C$8:$C$307,$D43,CaseData!$D$8:$D$307,$E43)</f>
        <v>6.48</v>
      </c>
      <c r="J43" s="81">
        <f>SUMIFS(CaseData!$G$8:$G$307,CaseData!$B$8:$B$307,J$5,CaseData!$C$8:$C$307,$D43,CaseData!$D$8:$D$307,$E43)</f>
        <v>6.48</v>
      </c>
      <c r="K43" s="81">
        <f>SUMIFS(CaseData!$G$8:$G$307,CaseData!$B$8:$B$307,K$5,CaseData!$C$8:$C$307,$D43,CaseData!$D$8:$D$307,$E43)</f>
        <v>6.48</v>
      </c>
      <c r="L43" s="81">
        <f>SUMIFS(CaseData!$G$8:$G$307,CaseData!$B$8:$B$307,L$5,CaseData!$C$8:$C$307,$D43,CaseData!$D$8:$D$307,$E43)</f>
        <v>6.48</v>
      </c>
      <c r="M43" s="81">
        <f>SUMIFS(CaseData!$G$8:$G$307,CaseData!$B$8:$B$307,M$5,CaseData!$C$8:$C$307,$D43,CaseData!$D$8:$D$307,$E43)</f>
        <v>6.48</v>
      </c>
      <c r="N43" s="81">
        <f>SUMIFS(CaseData!$G$8:$G$307,CaseData!$B$8:$B$307,N$5,CaseData!$C$8:$C$307,$D43,CaseData!$D$8:$D$307,$E43)</f>
        <v>6.48</v>
      </c>
      <c r="O43" s="81">
        <f>SUMIFS(CaseData!$G$8:$G$307,CaseData!$B$8:$B$307,O$5,CaseData!$C$8:$C$307,$D43,CaseData!$D$8:$D$307,$E43)</f>
        <v>6.48</v>
      </c>
      <c r="P43" s="81">
        <f>SUMIFS(CaseData!$G$8:$G$307,CaseData!$B$8:$B$307,P$5,CaseData!$C$8:$C$307,$D43,CaseData!$D$8:$D$307,$E43)</f>
        <v>6.48</v>
      </c>
      <c r="Q43" s="81">
        <f>SUMIFS(CaseData!$G$8:$G$307,CaseData!$B$8:$B$307,Q$5,CaseData!$C$8:$C$307,$D43,CaseData!$D$8:$D$307,$E43)</f>
        <v>6.48</v>
      </c>
      <c r="R43" s="81">
        <f>SUMIFS(CaseData!$G$8:$G$307,CaseData!$B$8:$B$307,R$5,CaseData!$C$8:$C$307,$D43,CaseData!$D$8:$D$307,$E43)</f>
        <v>6.48</v>
      </c>
      <c r="S43" s="81">
        <f>SUMIFS(CaseData!$G$8:$G$307,CaseData!$B$8:$B$307,S$5,CaseData!$C$8:$C$307,$D43,CaseData!$D$8:$D$307,$E43)</f>
        <v>6.48</v>
      </c>
      <c r="T43" s="81">
        <f>SUMIFS(CaseData!$G$8:$G$307,CaseData!$B$8:$B$307,T$5,CaseData!$C$8:$C$307,$D43,CaseData!$D$8:$D$307,$E43)</f>
        <v>6.48</v>
      </c>
      <c r="U43" s="65">
        <f t="shared" si="4"/>
        <v>6.9336000000000011</v>
      </c>
      <c r="V43" s="65">
        <f t="shared" si="4"/>
        <v>6.9336000000000011</v>
      </c>
      <c r="W43" s="65">
        <f t="shared" si="4"/>
        <v>6.9336000000000011</v>
      </c>
      <c r="X43" s="65">
        <f t="shared" si="4"/>
        <v>6.9336000000000011</v>
      </c>
      <c r="Y43" s="65">
        <f t="shared" si="4"/>
        <v>6.9336000000000011</v>
      </c>
      <c r="Z43" s="65">
        <f t="shared" si="4"/>
        <v>6.9336000000000011</v>
      </c>
      <c r="AA43" s="65">
        <f t="shared" si="4"/>
        <v>6.9336000000000011</v>
      </c>
      <c r="AB43" s="65">
        <f t="shared" si="4"/>
        <v>6.9336000000000011</v>
      </c>
      <c r="AC43" s="65">
        <f t="shared" si="4"/>
        <v>6.9336000000000011</v>
      </c>
      <c r="AD43" s="65">
        <f t="shared" si="4"/>
        <v>6.9336000000000011</v>
      </c>
      <c r="AE43" s="65">
        <f t="shared" si="4"/>
        <v>6.9336000000000011</v>
      </c>
      <c r="AF43" s="65">
        <f t="shared" si="4"/>
        <v>6.9336000000000011</v>
      </c>
    </row>
    <row r="44" spans="2:32" ht="14.4">
      <c r="D44" s="66">
        <f>D$17</f>
        <v>2</v>
      </c>
      <c r="E44" s="66">
        <f>E$17</f>
        <v>5</v>
      </c>
      <c r="G44" s="80">
        <f>INDEX(CaseData!$N$8:$N$12,MATCH($E44,CaseData!$M$8:$M$12,0))</f>
        <v>0.05</v>
      </c>
      <c r="H44" s="79"/>
      <c r="I44" s="81">
        <f>SUMIFS(CaseData!$G$8:$G$307,CaseData!$B$8:$B$307,I$5,CaseData!$C$8:$C$307,$D44,CaseData!$D$8:$D$307,$E44)</f>
        <v>6.26</v>
      </c>
      <c r="J44" s="81">
        <f>SUMIFS(CaseData!$G$8:$G$307,CaseData!$B$8:$B$307,J$5,CaseData!$C$8:$C$307,$D44,CaseData!$D$8:$D$307,$E44)</f>
        <v>6.26</v>
      </c>
      <c r="K44" s="81">
        <f>SUMIFS(CaseData!$G$8:$G$307,CaseData!$B$8:$B$307,K$5,CaseData!$C$8:$C$307,$D44,CaseData!$D$8:$D$307,$E44)</f>
        <v>6.26</v>
      </c>
      <c r="L44" s="81">
        <f>SUMIFS(CaseData!$G$8:$G$307,CaseData!$B$8:$B$307,L$5,CaseData!$C$8:$C$307,$D44,CaseData!$D$8:$D$307,$E44)</f>
        <v>6.26</v>
      </c>
      <c r="M44" s="81">
        <f>SUMIFS(CaseData!$G$8:$G$307,CaseData!$B$8:$B$307,M$5,CaseData!$C$8:$C$307,$D44,CaseData!$D$8:$D$307,$E44)</f>
        <v>6.26</v>
      </c>
      <c r="N44" s="81">
        <f>SUMIFS(CaseData!$G$8:$G$307,CaseData!$B$8:$B$307,N$5,CaseData!$C$8:$C$307,$D44,CaseData!$D$8:$D$307,$E44)</f>
        <v>6.26</v>
      </c>
      <c r="O44" s="81">
        <f>SUMIFS(CaseData!$G$8:$G$307,CaseData!$B$8:$B$307,O$5,CaseData!$C$8:$C$307,$D44,CaseData!$D$8:$D$307,$E44)</f>
        <v>6.26</v>
      </c>
      <c r="P44" s="81">
        <f>SUMIFS(CaseData!$G$8:$G$307,CaseData!$B$8:$B$307,P$5,CaseData!$C$8:$C$307,$D44,CaseData!$D$8:$D$307,$E44)</f>
        <v>6.26</v>
      </c>
      <c r="Q44" s="81">
        <f>SUMIFS(CaseData!$G$8:$G$307,CaseData!$B$8:$B$307,Q$5,CaseData!$C$8:$C$307,$D44,CaseData!$D$8:$D$307,$E44)</f>
        <v>6.26</v>
      </c>
      <c r="R44" s="81">
        <f>SUMIFS(CaseData!$G$8:$G$307,CaseData!$B$8:$B$307,R$5,CaseData!$C$8:$C$307,$D44,CaseData!$D$8:$D$307,$E44)</f>
        <v>6.26</v>
      </c>
      <c r="S44" s="81">
        <f>SUMIFS(CaseData!$G$8:$G$307,CaseData!$B$8:$B$307,S$5,CaseData!$C$8:$C$307,$D44,CaseData!$D$8:$D$307,$E44)</f>
        <v>6.26</v>
      </c>
      <c r="T44" s="81">
        <f>SUMIFS(CaseData!$G$8:$G$307,CaseData!$B$8:$B$307,T$5,CaseData!$C$8:$C$307,$D44,CaseData!$D$8:$D$307,$E44)</f>
        <v>6.26</v>
      </c>
      <c r="U44" s="65">
        <f t="shared" si="4"/>
        <v>6.5730000000000004</v>
      </c>
      <c r="V44" s="65">
        <f t="shared" si="4"/>
        <v>6.5730000000000004</v>
      </c>
      <c r="W44" s="65">
        <f t="shared" si="4"/>
        <v>6.5730000000000004</v>
      </c>
      <c r="X44" s="65">
        <f t="shared" si="4"/>
        <v>6.5730000000000004</v>
      </c>
      <c r="Y44" s="65">
        <f t="shared" si="4"/>
        <v>6.5730000000000004</v>
      </c>
      <c r="Z44" s="65">
        <f t="shared" si="4"/>
        <v>6.5730000000000004</v>
      </c>
      <c r="AA44" s="65">
        <f t="shared" si="4"/>
        <v>6.5730000000000004</v>
      </c>
      <c r="AB44" s="65">
        <f t="shared" si="4"/>
        <v>6.5730000000000004</v>
      </c>
      <c r="AC44" s="65">
        <f t="shared" si="4"/>
        <v>6.5730000000000004</v>
      </c>
      <c r="AD44" s="65">
        <f t="shared" si="4"/>
        <v>6.5730000000000004</v>
      </c>
      <c r="AE44" s="65">
        <f t="shared" si="4"/>
        <v>6.5730000000000004</v>
      </c>
      <c r="AF44" s="65">
        <f t="shared" si="4"/>
        <v>6.5730000000000004</v>
      </c>
    </row>
    <row r="45" spans="2:32" ht="14.4">
      <c r="D45" s="66">
        <f>D$18</f>
        <v>3</v>
      </c>
      <c r="E45" s="66">
        <f>E$18</f>
        <v>1</v>
      </c>
      <c r="G45" s="80">
        <f>INDEX(CaseData!$N$8:$N$12,MATCH($E45,CaseData!$M$8:$M$12,0))</f>
        <v>7.0000000000000007E-2</v>
      </c>
      <c r="H45" s="79"/>
      <c r="I45" s="81">
        <f>SUMIFS(CaseData!$G$8:$G$307,CaseData!$B$8:$B$307,I$5,CaseData!$C$8:$C$307,$D45,CaseData!$D$8:$D$307,$E45)</f>
        <v>25</v>
      </c>
      <c r="J45" s="81">
        <f>SUMIFS(CaseData!$G$8:$G$307,CaseData!$B$8:$B$307,J$5,CaseData!$C$8:$C$307,$D45,CaseData!$D$8:$D$307,$E45)</f>
        <v>25</v>
      </c>
      <c r="K45" s="81">
        <f>SUMIFS(CaseData!$G$8:$G$307,CaseData!$B$8:$B$307,K$5,CaseData!$C$8:$C$307,$D45,CaseData!$D$8:$D$307,$E45)</f>
        <v>25</v>
      </c>
      <c r="L45" s="81">
        <f>SUMIFS(CaseData!$G$8:$G$307,CaseData!$B$8:$B$307,L$5,CaseData!$C$8:$C$307,$D45,CaseData!$D$8:$D$307,$E45)</f>
        <v>25</v>
      </c>
      <c r="M45" s="81">
        <f>SUMIFS(CaseData!$G$8:$G$307,CaseData!$B$8:$B$307,M$5,CaseData!$C$8:$C$307,$D45,CaseData!$D$8:$D$307,$E45)</f>
        <v>25</v>
      </c>
      <c r="N45" s="81">
        <f>SUMIFS(CaseData!$G$8:$G$307,CaseData!$B$8:$B$307,N$5,CaseData!$C$8:$C$307,$D45,CaseData!$D$8:$D$307,$E45)</f>
        <v>25</v>
      </c>
      <c r="O45" s="81">
        <f>SUMIFS(CaseData!$G$8:$G$307,CaseData!$B$8:$B$307,O$5,CaseData!$C$8:$C$307,$D45,CaseData!$D$8:$D$307,$E45)</f>
        <v>25</v>
      </c>
      <c r="P45" s="81">
        <f>SUMIFS(CaseData!$G$8:$G$307,CaseData!$B$8:$B$307,P$5,CaseData!$C$8:$C$307,$D45,CaseData!$D$8:$D$307,$E45)</f>
        <v>25</v>
      </c>
      <c r="Q45" s="81">
        <f>SUMIFS(CaseData!$G$8:$G$307,CaseData!$B$8:$B$307,Q$5,CaseData!$C$8:$C$307,$D45,CaseData!$D$8:$D$307,$E45)</f>
        <v>25</v>
      </c>
      <c r="R45" s="81">
        <f>SUMIFS(CaseData!$G$8:$G$307,CaseData!$B$8:$B$307,R$5,CaseData!$C$8:$C$307,$D45,CaseData!$D$8:$D$307,$E45)</f>
        <v>25</v>
      </c>
      <c r="S45" s="81">
        <f>SUMIFS(CaseData!$G$8:$G$307,CaseData!$B$8:$B$307,S$5,CaseData!$C$8:$C$307,$D45,CaseData!$D$8:$D$307,$E45)</f>
        <v>25</v>
      </c>
      <c r="T45" s="81">
        <f>SUMIFS(CaseData!$G$8:$G$307,CaseData!$B$8:$B$307,T$5,CaseData!$C$8:$C$307,$D45,CaseData!$D$8:$D$307,$E45)</f>
        <v>25</v>
      </c>
      <c r="U45" s="65">
        <f t="shared" si="4"/>
        <v>26.75</v>
      </c>
      <c r="V45" s="65">
        <f t="shared" si="4"/>
        <v>26.75</v>
      </c>
      <c r="W45" s="65">
        <f t="shared" si="4"/>
        <v>26.75</v>
      </c>
      <c r="X45" s="65">
        <f t="shared" si="4"/>
        <v>26.75</v>
      </c>
      <c r="Y45" s="65">
        <f t="shared" si="4"/>
        <v>26.75</v>
      </c>
      <c r="Z45" s="65">
        <f t="shared" si="4"/>
        <v>26.75</v>
      </c>
      <c r="AA45" s="65">
        <f t="shared" si="4"/>
        <v>26.75</v>
      </c>
      <c r="AB45" s="65">
        <f t="shared" si="4"/>
        <v>26.75</v>
      </c>
      <c r="AC45" s="65">
        <f t="shared" si="4"/>
        <v>26.75</v>
      </c>
      <c r="AD45" s="65">
        <f t="shared" si="4"/>
        <v>26.75</v>
      </c>
      <c r="AE45" s="65">
        <f t="shared" si="4"/>
        <v>26.75</v>
      </c>
      <c r="AF45" s="65">
        <f t="shared" si="4"/>
        <v>26.75</v>
      </c>
    </row>
    <row r="46" spans="2:32" ht="14.4">
      <c r="D46" s="66">
        <f>D$19</f>
        <v>3</v>
      </c>
      <c r="E46" s="66">
        <f>E$19</f>
        <v>2</v>
      </c>
      <c r="G46" s="80">
        <f>INDEX(CaseData!$N$8:$N$12,MATCH($E46,CaseData!$M$8:$M$12,0))</f>
        <v>0.09</v>
      </c>
      <c r="H46" s="79"/>
      <c r="I46" s="81">
        <f>SUMIFS(CaseData!$G$8:$G$307,CaseData!$B$8:$B$307,I$5,CaseData!$C$8:$C$307,$D46,CaseData!$D$8:$D$307,$E46)</f>
        <v>7.31</v>
      </c>
      <c r="J46" s="81">
        <f>SUMIFS(CaseData!$G$8:$G$307,CaseData!$B$8:$B$307,J$5,CaseData!$C$8:$C$307,$D46,CaseData!$D$8:$D$307,$E46)</f>
        <v>7.31</v>
      </c>
      <c r="K46" s="81">
        <f>SUMIFS(CaseData!$G$8:$G$307,CaseData!$B$8:$B$307,K$5,CaseData!$C$8:$C$307,$D46,CaseData!$D$8:$D$307,$E46)</f>
        <v>7.31</v>
      </c>
      <c r="L46" s="81">
        <f>SUMIFS(CaseData!$G$8:$G$307,CaseData!$B$8:$B$307,L$5,CaseData!$C$8:$C$307,$D46,CaseData!$D$8:$D$307,$E46)</f>
        <v>7.31</v>
      </c>
      <c r="M46" s="81">
        <f>SUMIFS(CaseData!$G$8:$G$307,CaseData!$B$8:$B$307,M$5,CaseData!$C$8:$C$307,$D46,CaseData!$D$8:$D$307,$E46)</f>
        <v>7.31</v>
      </c>
      <c r="N46" s="81">
        <f>SUMIFS(CaseData!$G$8:$G$307,CaseData!$B$8:$B$307,N$5,CaseData!$C$8:$C$307,$D46,CaseData!$D$8:$D$307,$E46)</f>
        <v>7.31</v>
      </c>
      <c r="O46" s="81">
        <f>SUMIFS(CaseData!$G$8:$G$307,CaseData!$B$8:$B$307,O$5,CaseData!$C$8:$C$307,$D46,CaseData!$D$8:$D$307,$E46)</f>
        <v>7.31</v>
      </c>
      <c r="P46" s="81">
        <f>SUMIFS(CaseData!$G$8:$G$307,CaseData!$B$8:$B$307,P$5,CaseData!$C$8:$C$307,$D46,CaseData!$D$8:$D$307,$E46)</f>
        <v>7.31</v>
      </c>
      <c r="Q46" s="81">
        <f>SUMIFS(CaseData!$G$8:$G$307,CaseData!$B$8:$B$307,Q$5,CaseData!$C$8:$C$307,$D46,CaseData!$D$8:$D$307,$E46)</f>
        <v>7.31</v>
      </c>
      <c r="R46" s="81">
        <f>SUMIFS(CaseData!$G$8:$G$307,CaseData!$B$8:$B$307,R$5,CaseData!$C$8:$C$307,$D46,CaseData!$D$8:$D$307,$E46)</f>
        <v>7.31</v>
      </c>
      <c r="S46" s="81">
        <f>SUMIFS(CaseData!$G$8:$G$307,CaseData!$B$8:$B$307,S$5,CaseData!$C$8:$C$307,$D46,CaseData!$D$8:$D$307,$E46)</f>
        <v>7.31</v>
      </c>
      <c r="T46" s="81">
        <f>SUMIFS(CaseData!$G$8:$G$307,CaseData!$B$8:$B$307,T$5,CaseData!$C$8:$C$307,$D46,CaseData!$D$8:$D$307,$E46)</f>
        <v>7.31</v>
      </c>
      <c r="U46" s="65">
        <f t="shared" si="4"/>
        <v>7.9679000000000002</v>
      </c>
      <c r="V46" s="65">
        <f t="shared" si="4"/>
        <v>7.9679000000000002</v>
      </c>
      <c r="W46" s="65">
        <f t="shared" si="4"/>
        <v>7.9679000000000002</v>
      </c>
      <c r="X46" s="65">
        <f t="shared" si="4"/>
        <v>7.9679000000000002</v>
      </c>
      <c r="Y46" s="65">
        <f t="shared" si="4"/>
        <v>7.9679000000000002</v>
      </c>
      <c r="Z46" s="65">
        <f t="shared" si="4"/>
        <v>7.9679000000000002</v>
      </c>
      <c r="AA46" s="65">
        <f t="shared" si="4"/>
        <v>7.9679000000000002</v>
      </c>
      <c r="AB46" s="65">
        <f t="shared" si="4"/>
        <v>7.9679000000000002</v>
      </c>
      <c r="AC46" s="65">
        <f t="shared" si="4"/>
        <v>7.9679000000000002</v>
      </c>
      <c r="AD46" s="65">
        <f t="shared" si="4"/>
        <v>7.9679000000000002</v>
      </c>
      <c r="AE46" s="65">
        <f t="shared" si="4"/>
        <v>7.9679000000000002</v>
      </c>
      <c r="AF46" s="65">
        <f t="shared" si="4"/>
        <v>7.9679000000000002</v>
      </c>
    </row>
    <row r="47" spans="2:32" ht="14.4">
      <c r="D47" s="66">
        <f>D$20</f>
        <v>3</v>
      </c>
      <c r="E47" s="66">
        <f>E$20</f>
        <v>3</v>
      </c>
      <c r="G47" s="80">
        <f>INDEX(CaseData!$N$8:$N$12,MATCH($E47,CaseData!$M$8:$M$12,0))</f>
        <v>0.08</v>
      </c>
      <c r="H47" s="79"/>
      <c r="I47" s="81">
        <f>SUMIFS(CaseData!$G$8:$G$307,CaseData!$B$8:$B$307,I$5,CaseData!$C$8:$C$307,$D47,CaseData!$D$8:$D$307,$E47)</f>
        <v>5.12</v>
      </c>
      <c r="J47" s="81">
        <f>SUMIFS(CaseData!$G$8:$G$307,CaseData!$B$8:$B$307,J$5,CaseData!$C$8:$C$307,$D47,CaseData!$D$8:$D$307,$E47)</f>
        <v>5.12</v>
      </c>
      <c r="K47" s="81">
        <f>SUMIFS(CaseData!$G$8:$G$307,CaseData!$B$8:$B$307,K$5,CaseData!$C$8:$C$307,$D47,CaseData!$D$8:$D$307,$E47)</f>
        <v>5.12</v>
      </c>
      <c r="L47" s="81">
        <f>SUMIFS(CaseData!$G$8:$G$307,CaseData!$B$8:$B$307,L$5,CaseData!$C$8:$C$307,$D47,CaseData!$D$8:$D$307,$E47)</f>
        <v>5.12</v>
      </c>
      <c r="M47" s="81">
        <f>SUMIFS(CaseData!$G$8:$G$307,CaseData!$B$8:$B$307,M$5,CaseData!$C$8:$C$307,$D47,CaseData!$D$8:$D$307,$E47)</f>
        <v>5.12</v>
      </c>
      <c r="N47" s="81">
        <f>SUMIFS(CaseData!$G$8:$G$307,CaseData!$B$8:$B$307,N$5,CaseData!$C$8:$C$307,$D47,CaseData!$D$8:$D$307,$E47)</f>
        <v>5.12</v>
      </c>
      <c r="O47" s="81">
        <f>SUMIFS(CaseData!$G$8:$G$307,CaseData!$B$8:$B$307,O$5,CaseData!$C$8:$C$307,$D47,CaseData!$D$8:$D$307,$E47)</f>
        <v>5.12</v>
      </c>
      <c r="P47" s="81">
        <f>SUMIFS(CaseData!$G$8:$G$307,CaseData!$B$8:$B$307,P$5,CaseData!$C$8:$C$307,$D47,CaseData!$D$8:$D$307,$E47)</f>
        <v>5.12</v>
      </c>
      <c r="Q47" s="81">
        <f>SUMIFS(CaseData!$G$8:$G$307,CaseData!$B$8:$B$307,Q$5,CaseData!$C$8:$C$307,$D47,CaseData!$D$8:$D$307,$E47)</f>
        <v>5.12</v>
      </c>
      <c r="R47" s="81">
        <f>SUMIFS(CaseData!$G$8:$G$307,CaseData!$B$8:$B$307,R$5,CaseData!$C$8:$C$307,$D47,CaseData!$D$8:$D$307,$E47)</f>
        <v>5.12</v>
      </c>
      <c r="S47" s="81">
        <f>SUMIFS(CaseData!$G$8:$G$307,CaseData!$B$8:$B$307,S$5,CaseData!$C$8:$C$307,$D47,CaseData!$D$8:$D$307,$E47)</f>
        <v>5.12</v>
      </c>
      <c r="T47" s="81">
        <f>SUMIFS(CaseData!$G$8:$G$307,CaseData!$B$8:$B$307,T$5,CaseData!$C$8:$C$307,$D47,CaseData!$D$8:$D$307,$E47)</f>
        <v>5.12</v>
      </c>
      <c r="U47" s="65">
        <f t="shared" si="4"/>
        <v>5.5296000000000003</v>
      </c>
      <c r="V47" s="65">
        <f t="shared" si="4"/>
        <v>5.5296000000000003</v>
      </c>
      <c r="W47" s="65">
        <f t="shared" si="4"/>
        <v>5.5296000000000003</v>
      </c>
      <c r="X47" s="65">
        <f t="shared" si="4"/>
        <v>5.5296000000000003</v>
      </c>
      <c r="Y47" s="65">
        <f t="shared" si="4"/>
        <v>5.5296000000000003</v>
      </c>
      <c r="Z47" s="65">
        <f t="shared" si="4"/>
        <v>5.5296000000000003</v>
      </c>
      <c r="AA47" s="65">
        <f t="shared" si="4"/>
        <v>5.5296000000000003</v>
      </c>
      <c r="AB47" s="65">
        <f t="shared" si="4"/>
        <v>5.5296000000000003</v>
      </c>
      <c r="AC47" s="65">
        <f t="shared" si="4"/>
        <v>5.5296000000000003</v>
      </c>
      <c r="AD47" s="65">
        <f t="shared" si="4"/>
        <v>5.5296000000000003</v>
      </c>
      <c r="AE47" s="65">
        <f t="shared" si="4"/>
        <v>5.5296000000000003</v>
      </c>
      <c r="AF47" s="65">
        <f t="shared" si="4"/>
        <v>5.5296000000000003</v>
      </c>
    </row>
    <row r="48" spans="2:32" ht="14.4">
      <c r="D48" s="66">
        <f>D$21</f>
        <v>3</v>
      </c>
      <c r="E48" s="66">
        <f>E$21</f>
        <v>4</v>
      </c>
      <c r="G48" s="80">
        <f>INDEX(CaseData!$N$8:$N$12,MATCH($E48,CaseData!$M$8:$M$12,0))</f>
        <v>7.0000000000000007E-2</v>
      </c>
      <c r="H48" s="79"/>
      <c r="I48" s="81">
        <f>SUMIFS(CaseData!$G$8:$G$307,CaseData!$B$8:$B$307,I$5,CaseData!$C$8:$C$307,$D48,CaseData!$D$8:$D$307,$E48)</f>
        <v>6.48</v>
      </c>
      <c r="J48" s="81">
        <f>SUMIFS(CaseData!$G$8:$G$307,CaseData!$B$8:$B$307,J$5,CaseData!$C$8:$C$307,$D48,CaseData!$D$8:$D$307,$E48)</f>
        <v>6.48</v>
      </c>
      <c r="K48" s="81">
        <f>SUMIFS(CaseData!$G$8:$G$307,CaseData!$B$8:$B$307,K$5,CaseData!$C$8:$C$307,$D48,CaseData!$D$8:$D$307,$E48)</f>
        <v>6.48</v>
      </c>
      <c r="L48" s="81">
        <f>SUMIFS(CaseData!$G$8:$G$307,CaseData!$B$8:$B$307,L$5,CaseData!$C$8:$C$307,$D48,CaseData!$D$8:$D$307,$E48)</f>
        <v>6.48</v>
      </c>
      <c r="M48" s="81">
        <f>SUMIFS(CaseData!$G$8:$G$307,CaseData!$B$8:$B$307,M$5,CaseData!$C$8:$C$307,$D48,CaseData!$D$8:$D$307,$E48)</f>
        <v>6.48</v>
      </c>
      <c r="N48" s="81">
        <f>SUMIFS(CaseData!$G$8:$G$307,CaseData!$B$8:$B$307,N$5,CaseData!$C$8:$C$307,$D48,CaseData!$D$8:$D$307,$E48)</f>
        <v>6.48</v>
      </c>
      <c r="O48" s="81">
        <f>SUMIFS(CaseData!$G$8:$G$307,CaseData!$B$8:$B$307,O$5,CaseData!$C$8:$C$307,$D48,CaseData!$D$8:$D$307,$E48)</f>
        <v>6.48</v>
      </c>
      <c r="P48" s="81">
        <f>SUMIFS(CaseData!$G$8:$G$307,CaseData!$B$8:$B$307,P$5,CaseData!$C$8:$C$307,$D48,CaseData!$D$8:$D$307,$E48)</f>
        <v>6.48</v>
      </c>
      <c r="Q48" s="81">
        <f>SUMIFS(CaseData!$G$8:$G$307,CaseData!$B$8:$B$307,Q$5,CaseData!$C$8:$C$307,$D48,CaseData!$D$8:$D$307,$E48)</f>
        <v>6.48</v>
      </c>
      <c r="R48" s="81">
        <f>SUMIFS(CaseData!$G$8:$G$307,CaseData!$B$8:$B$307,R$5,CaseData!$C$8:$C$307,$D48,CaseData!$D$8:$D$307,$E48)</f>
        <v>6.48</v>
      </c>
      <c r="S48" s="81">
        <f>SUMIFS(CaseData!$G$8:$G$307,CaseData!$B$8:$B$307,S$5,CaseData!$C$8:$C$307,$D48,CaseData!$D$8:$D$307,$E48)</f>
        <v>6.48</v>
      </c>
      <c r="T48" s="81">
        <f>SUMIFS(CaseData!$G$8:$G$307,CaseData!$B$8:$B$307,T$5,CaseData!$C$8:$C$307,$D48,CaseData!$D$8:$D$307,$E48)</f>
        <v>6.48</v>
      </c>
      <c r="U48" s="65">
        <f t="shared" si="4"/>
        <v>6.9336000000000011</v>
      </c>
      <c r="V48" s="65">
        <f t="shared" si="4"/>
        <v>6.9336000000000011</v>
      </c>
      <c r="W48" s="65">
        <f t="shared" si="4"/>
        <v>6.9336000000000011</v>
      </c>
      <c r="X48" s="65">
        <f t="shared" si="4"/>
        <v>6.9336000000000011</v>
      </c>
      <c r="Y48" s="65">
        <f t="shared" si="4"/>
        <v>6.9336000000000011</v>
      </c>
      <c r="Z48" s="65">
        <f t="shared" si="4"/>
        <v>6.9336000000000011</v>
      </c>
      <c r="AA48" s="65">
        <f t="shared" si="4"/>
        <v>6.9336000000000011</v>
      </c>
      <c r="AB48" s="65">
        <f t="shared" si="4"/>
        <v>6.9336000000000011</v>
      </c>
      <c r="AC48" s="65">
        <f t="shared" si="4"/>
        <v>6.9336000000000011</v>
      </c>
      <c r="AD48" s="65">
        <f t="shared" si="4"/>
        <v>6.9336000000000011</v>
      </c>
      <c r="AE48" s="65">
        <f t="shared" si="4"/>
        <v>6.9336000000000011</v>
      </c>
      <c r="AF48" s="65">
        <f t="shared" si="4"/>
        <v>6.9336000000000011</v>
      </c>
    </row>
    <row r="49" spans="2:32" ht="14.4">
      <c r="D49" s="66">
        <f>D$22</f>
        <v>3</v>
      </c>
      <c r="E49" s="66">
        <f>E$22</f>
        <v>5</v>
      </c>
      <c r="G49" s="80">
        <f>INDEX(CaseData!$N$8:$N$12,MATCH($E49,CaseData!$M$8:$M$12,0))</f>
        <v>0.05</v>
      </c>
      <c r="H49" s="79"/>
      <c r="I49" s="81">
        <f>SUMIFS(CaseData!$G$8:$G$307,CaseData!$B$8:$B$307,I$5,CaseData!$C$8:$C$307,$D49,CaseData!$D$8:$D$307,$E49)</f>
        <v>6.26</v>
      </c>
      <c r="J49" s="81">
        <f>SUMIFS(CaseData!$G$8:$G$307,CaseData!$B$8:$B$307,J$5,CaseData!$C$8:$C$307,$D49,CaseData!$D$8:$D$307,$E49)</f>
        <v>6.26</v>
      </c>
      <c r="K49" s="81">
        <f>SUMIFS(CaseData!$G$8:$G$307,CaseData!$B$8:$B$307,K$5,CaseData!$C$8:$C$307,$D49,CaseData!$D$8:$D$307,$E49)</f>
        <v>6.26</v>
      </c>
      <c r="L49" s="81">
        <f>SUMIFS(CaseData!$G$8:$G$307,CaseData!$B$8:$B$307,L$5,CaseData!$C$8:$C$307,$D49,CaseData!$D$8:$D$307,$E49)</f>
        <v>6.26</v>
      </c>
      <c r="M49" s="81">
        <f>SUMIFS(CaseData!$G$8:$G$307,CaseData!$B$8:$B$307,M$5,CaseData!$C$8:$C$307,$D49,CaseData!$D$8:$D$307,$E49)</f>
        <v>6.26</v>
      </c>
      <c r="N49" s="81">
        <f>SUMIFS(CaseData!$G$8:$G$307,CaseData!$B$8:$B$307,N$5,CaseData!$C$8:$C$307,$D49,CaseData!$D$8:$D$307,$E49)</f>
        <v>6.26</v>
      </c>
      <c r="O49" s="81">
        <f>SUMIFS(CaseData!$G$8:$G$307,CaseData!$B$8:$B$307,O$5,CaseData!$C$8:$C$307,$D49,CaseData!$D$8:$D$307,$E49)</f>
        <v>6.26</v>
      </c>
      <c r="P49" s="81">
        <f>SUMIFS(CaseData!$G$8:$G$307,CaseData!$B$8:$B$307,P$5,CaseData!$C$8:$C$307,$D49,CaseData!$D$8:$D$307,$E49)</f>
        <v>6.26</v>
      </c>
      <c r="Q49" s="81">
        <f>SUMIFS(CaseData!$G$8:$G$307,CaseData!$B$8:$B$307,Q$5,CaseData!$C$8:$C$307,$D49,CaseData!$D$8:$D$307,$E49)</f>
        <v>6.26</v>
      </c>
      <c r="R49" s="81">
        <f>SUMIFS(CaseData!$G$8:$G$307,CaseData!$B$8:$B$307,R$5,CaseData!$C$8:$C$307,$D49,CaseData!$D$8:$D$307,$E49)</f>
        <v>6.26</v>
      </c>
      <c r="S49" s="81">
        <f>SUMIFS(CaseData!$G$8:$G$307,CaseData!$B$8:$B$307,S$5,CaseData!$C$8:$C$307,$D49,CaseData!$D$8:$D$307,$E49)</f>
        <v>6.26</v>
      </c>
      <c r="T49" s="81">
        <f>SUMIFS(CaseData!$G$8:$G$307,CaseData!$B$8:$B$307,T$5,CaseData!$C$8:$C$307,$D49,CaseData!$D$8:$D$307,$E49)</f>
        <v>6.26</v>
      </c>
      <c r="U49" s="65">
        <f t="shared" si="4"/>
        <v>6.5730000000000004</v>
      </c>
      <c r="V49" s="65">
        <f t="shared" si="4"/>
        <v>6.5730000000000004</v>
      </c>
      <c r="W49" s="65">
        <f t="shared" si="4"/>
        <v>6.5730000000000004</v>
      </c>
      <c r="X49" s="65">
        <f t="shared" si="4"/>
        <v>6.5730000000000004</v>
      </c>
      <c r="Y49" s="65">
        <f t="shared" si="4"/>
        <v>6.5730000000000004</v>
      </c>
      <c r="Z49" s="65">
        <f t="shared" si="4"/>
        <v>6.5730000000000004</v>
      </c>
      <c r="AA49" s="65">
        <f t="shared" si="4"/>
        <v>6.5730000000000004</v>
      </c>
      <c r="AB49" s="65">
        <f t="shared" si="4"/>
        <v>6.5730000000000004</v>
      </c>
      <c r="AC49" s="65">
        <f t="shared" si="4"/>
        <v>6.5730000000000004</v>
      </c>
      <c r="AD49" s="65">
        <f t="shared" si="4"/>
        <v>6.5730000000000004</v>
      </c>
      <c r="AE49" s="65">
        <f t="shared" si="4"/>
        <v>6.5730000000000004</v>
      </c>
      <c r="AF49" s="65">
        <f t="shared" si="4"/>
        <v>6.5730000000000004</v>
      </c>
    </row>
    <row r="50" spans="2:32" ht="14.4">
      <c r="D50" s="66">
        <f>D$23</f>
        <v>4</v>
      </c>
      <c r="E50" s="66">
        <f>E$23</f>
        <v>1</v>
      </c>
      <c r="G50" s="80">
        <f>INDEX(CaseData!$N$8:$N$12,MATCH($E50,CaseData!$M$8:$M$12,0))</f>
        <v>7.0000000000000007E-2</v>
      </c>
      <c r="H50" s="79"/>
      <c r="I50" s="81">
        <f>SUMIFS(CaseData!$G$8:$G$307,CaseData!$B$8:$B$307,I$5,CaseData!$C$8:$C$307,$D50,CaseData!$D$8:$D$307,$E50)</f>
        <v>25</v>
      </c>
      <c r="J50" s="81">
        <f>SUMIFS(CaseData!$G$8:$G$307,CaseData!$B$8:$B$307,J$5,CaseData!$C$8:$C$307,$D50,CaseData!$D$8:$D$307,$E50)</f>
        <v>25</v>
      </c>
      <c r="K50" s="81">
        <f>SUMIFS(CaseData!$G$8:$G$307,CaseData!$B$8:$B$307,K$5,CaseData!$C$8:$C$307,$D50,CaseData!$D$8:$D$307,$E50)</f>
        <v>25</v>
      </c>
      <c r="L50" s="81">
        <f>SUMIFS(CaseData!$G$8:$G$307,CaseData!$B$8:$B$307,L$5,CaseData!$C$8:$C$307,$D50,CaseData!$D$8:$D$307,$E50)</f>
        <v>25</v>
      </c>
      <c r="M50" s="81">
        <f>SUMIFS(CaseData!$G$8:$G$307,CaseData!$B$8:$B$307,M$5,CaseData!$C$8:$C$307,$D50,CaseData!$D$8:$D$307,$E50)</f>
        <v>25</v>
      </c>
      <c r="N50" s="81">
        <f>SUMIFS(CaseData!$G$8:$G$307,CaseData!$B$8:$B$307,N$5,CaseData!$C$8:$C$307,$D50,CaseData!$D$8:$D$307,$E50)</f>
        <v>25</v>
      </c>
      <c r="O50" s="81">
        <f>SUMIFS(CaseData!$G$8:$G$307,CaseData!$B$8:$B$307,O$5,CaseData!$C$8:$C$307,$D50,CaseData!$D$8:$D$307,$E50)</f>
        <v>25</v>
      </c>
      <c r="P50" s="81">
        <f>SUMIFS(CaseData!$G$8:$G$307,CaseData!$B$8:$B$307,P$5,CaseData!$C$8:$C$307,$D50,CaseData!$D$8:$D$307,$E50)</f>
        <v>25</v>
      </c>
      <c r="Q50" s="81">
        <f>SUMIFS(CaseData!$G$8:$G$307,CaseData!$B$8:$B$307,Q$5,CaseData!$C$8:$C$307,$D50,CaseData!$D$8:$D$307,$E50)</f>
        <v>25</v>
      </c>
      <c r="R50" s="81">
        <f>SUMIFS(CaseData!$G$8:$G$307,CaseData!$B$8:$B$307,R$5,CaseData!$C$8:$C$307,$D50,CaseData!$D$8:$D$307,$E50)</f>
        <v>25</v>
      </c>
      <c r="S50" s="81">
        <f>SUMIFS(CaseData!$G$8:$G$307,CaseData!$B$8:$B$307,S$5,CaseData!$C$8:$C$307,$D50,CaseData!$D$8:$D$307,$E50)</f>
        <v>25</v>
      </c>
      <c r="T50" s="81">
        <f>SUMIFS(CaseData!$G$8:$G$307,CaseData!$B$8:$B$307,T$5,CaseData!$C$8:$C$307,$D50,CaseData!$D$8:$D$307,$E50)</f>
        <v>25</v>
      </c>
      <c r="U50" s="65">
        <f t="shared" si="4"/>
        <v>26.75</v>
      </c>
      <c r="V50" s="65">
        <f t="shared" si="4"/>
        <v>26.75</v>
      </c>
      <c r="W50" s="65">
        <f t="shared" si="4"/>
        <v>26.75</v>
      </c>
      <c r="X50" s="65">
        <f t="shared" si="4"/>
        <v>26.75</v>
      </c>
      <c r="Y50" s="65">
        <f t="shared" si="4"/>
        <v>26.75</v>
      </c>
      <c r="Z50" s="65">
        <f t="shared" si="4"/>
        <v>26.75</v>
      </c>
      <c r="AA50" s="65">
        <f t="shared" si="4"/>
        <v>26.75</v>
      </c>
      <c r="AB50" s="65">
        <f t="shared" si="4"/>
        <v>26.75</v>
      </c>
      <c r="AC50" s="65">
        <f t="shared" si="4"/>
        <v>26.75</v>
      </c>
      <c r="AD50" s="65">
        <f t="shared" si="4"/>
        <v>26.75</v>
      </c>
      <c r="AE50" s="65">
        <f t="shared" si="4"/>
        <v>26.75</v>
      </c>
      <c r="AF50" s="65">
        <f t="shared" si="4"/>
        <v>26.75</v>
      </c>
    </row>
    <row r="51" spans="2:32" ht="14.4">
      <c r="D51" s="66">
        <f>D$24</f>
        <v>4</v>
      </c>
      <c r="E51" s="66">
        <f>E$24</f>
        <v>2</v>
      </c>
      <c r="G51" s="80">
        <f>INDEX(CaseData!$N$8:$N$12,MATCH($E51,CaseData!$M$8:$M$12,0))</f>
        <v>0.09</v>
      </c>
      <c r="H51" s="79"/>
      <c r="I51" s="81">
        <f>SUMIFS(CaseData!$G$8:$G$307,CaseData!$B$8:$B$307,I$5,CaseData!$C$8:$C$307,$D51,CaseData!$D$8:$D$307,$E51)</f>
        <v>7.31</v>
      </c>
      <c r="J51" s="81">
        <f>SUMIFS(CaseData!$G$8:$G$307,CaseData!$B$8:$B$307,J$5,CaseData!$C$8:$C$307,$D51,CaseData!$D$8:$D$307,$E51)</f>
        <v>7.31</v>
      </c>
      <c r="K51" s="81">
        <f>SUMIFS(CaseData!$G$8:$G$307,CaseData!$B$8:$B$307,K$5,CaseData!$C$8:$C$307,$D51,CaseData!$D$8:$D$307,$E51)</f>
        <v>7.31</v>
      </c>
      <c r="L51" s="81">
        <f>SUMIFS(CaseData!$G$8:$G$307,CaseData!$B$8:$B$307,L$5,CaseData!$C$8:$C$307,$D51,CaseData!$D$8:$D$307,$E51)</f>
        <v>7.31</v>
      </c>
      <c r="M51" s="81">
        <f>SUMIFS(CaseData!$G$8:$G$307,CaseData!$B$8:$B$307,M$5,CaseData!$C$8:$C$307,$D51,CaseData!$D$8:$D$307,$E51)</f>
        <v>7.31</v>
      </c>
      <c r="N51" s="81">
        <f>SUMIFS(CaseData!$G$8:$G$307,CaseData!$B$8:$B$307,N$5,CaseData!$C$8:$C$307,$D51,CaseData!$D$8:$D$307,$E51)</f>
        <v>7.31</v>
      </c>
      <c r="O51" s="81">
        <f>SUMIFS(CaseData!$G$8:$G$307,CaseData!$B$8:$B$307,O$5,CaseData!$C$8:$C$307,$D51,CaseData!$D$8:$D$307,$E51)</f>
        <v>7.31</v>
      </c>
      <c r="P51" s="81">
        <f>SUMIFS(CaseData!$G$8:$G$307,CaseData!$B$8:$B$307,P$5,CaseData!$C$8:$C$307,$D51,CaseData!$D$8:$D$307,$E51)</f>
        <v>7.31</v>
      </c>
      <c r="Q51" s="81">
        <f>SUMIFS(CaseData!$G$8:$G$307,CaseData!$B$8:$B$307,Q$5,CaseData!$C$8:$C$307,$D51,CaseData!$D$8:$D$307,$E51)</f>
        <v>7.31</v>
      </c>
      <c r="R51" s="81">
        <f>SUMIFS(CaseData!$G$8:$G$307,CaseData!$B$8:$B$307,R$5,CaseData!$C$8:$C$307,$D51,CaseData!$D$8:$D$307,$E51)</f>
        <v>7.31</v>
      </c>
      <c r="S51" s="81">
        <f>SUMIFS(CaseData!$G$8:$G$307,CaseData!$B$8:$B$307,S$5,CaseData!$C$8:$C$307,$D51,CaseData!$D$8:$D$307,$E51)</f>
        <v>7.31</v>
      </c>
      <c r="T51" s="81">
        <f>SUMIFS(CaseData!$G$8:$G$307,CaseData!$B$8:$B$307,T$5,CaseData!$C$8:$C$307,$D51,CaseData!$D$8:$D$307,$E51)</f>
        <v>7.31</v>
      </c>
      <c r="U51" s="65">
        <f t="shared" si="4"/>
        <v>7.9679000000000002</v>
      </c>
      <c r="V51" s="65">
        <f t="shared" si="4"/>
        <v>7.9679000000000002</v>
      </c>
      <c r="W51" s="65">
        <f t="shared" si="4"/>
        <v>7.9679000000000002</v>
      </c>
      <c r="X51" s="65">
        <f t="shared" si="4"/>
        <v>7.9679000000000002</v>
      </c>
      <c r="Y51" s="65">
        <f t="shared" si="4"/>
        <v>7.9679000000000002</v>
      </c>
      <c r="Z51" s="65">
        <f t="shared" si="4"/>
        <v>7.9679000000000002</v>
      </c>
      <c r="AA51" s="65">
        <f t="shared" si="4"/>
        <v>7.9679000000000002</v>
      </c>
      <c r="AB51" s="65">
        <f t="shared" si="4"/>
        <v>7.9679000000000002</v>
      </c>
      <c r="AC51" s="65">
        <f t="shared" si="4"/>
        <v>7.9679000000000002</v>
      </c>
      <c r="AD51" s="65">
        <f t="shared" si="4"/>
        <v>7.9679000000000002</v>
      </c>
      <c r="AE51" s="65">
        <f t="shared" si="4"/>
        <v>7.9679000000000002</v>
      </c>
      <c r="AF51" s="65">
        <f t="shared" si="4"/>
        <v>7.9679000000000002</v>
      </c>
    </row>
    <row r="52" spans="2:32" ht="14.4">
      <c r="D52" s="66">
        <f>D$25</f>
        <v>4</v>
      </c>
      <c r="E52" s="66">
        <f>E$25</f>
        <v>3</v>
      </c>
      <c r="G52" s="80">
        <f>INDEX(CaseData!$N$8:$N$12,MATCH($E52,CaseData!$M$8:$M$12,0))</f>
        <v>0.08</v>
      </c>
      <c r="H52" s="79"/>
      <c r="I52" s="81">
        <f>SUMIFS(CaseData!$G$8:$G$307,CaseData!$B$8:$B$307,I$5,CaseData!$C$8:$C$307,$D52,CaseData!$D$8:$D$307,$E52)</f>
        <v>5.12</v>
      </c>
      <c r="J52" s="81">
        <f>SUMIFS(CaseData!$G$8:$G$307,CaseData!$B$8:$B$307,J$5,CaseData!$C$8:$C$307,$D52,CaseData!$D$8:$D$307,$E52)</f>
        <v>5.12</v>
      </c>
      <c r="K52" s="81">
        <f>SUMIFS(CaseData!$G$8:$G$307,CaseData!$B$8:$B$307,K$5,CaseData!$C$8:$C$307,$D52,CaseData!$D$8:$D$307,$E52)</f>
        <v>5.12</v>
      </c>
      <c r="L52" s="81">
        <f>SUMIFS(CaseData!$G$8:$G$307,CaseData!$B$8:$B$307,L$5,CaseData!$C$8:$C$307,$D52,CaseData!$D$8:$D$307,$E52)</f>
        <v>5.12</v>
      </c>
      <c r="M52" s="81">
        <f>SUMIFS(CaseData!$G$8:$G$307,CaseData!$B$8:$B$307,M$5,CaseData!$C$8:$C$307,$D52,CaseData!$D$8:$D$307,$E52)</f>
        <v>5.12</v>
      </c>
      <c r="N52" s="81">
        <f>SUMIFS(CaseData!$G$8:$G$307,CaseData!$B$8:$B$307,N$5,CaseData!$C$8:$C$307,$D52,CaseData!$D$8:$D$307,$E52)</f>
        <v>5.12</v>
      </c>
      <c r="O52" s="81">
        <f>SUMIFS(CaseData!$G$8:$G$307,CaseData!$B$8:$B$307,O$5,CaseData!$C$8:$C$307,$D52,CaseData!$D$8:$D$307,$E52)</f>
        <v>5.12</v>
      </c>
      <c r="P52" s="81">
        <f>SUMIFS(CaseData!$G$8:$G$307,CaseData!$B$8:$B$307,P$5,CaseData!$C$8:$C$307,$D52,CaseData!$D$8:$D$307,$E52)</f>
        <v>5.12</v>
      </c>
      <c r="Q52" s="81">
        <f>SUMIFS(CaseData!$G$8:$G$307,CaseData!$B$8:$B$307,Q$5,CaseData!$C$8:$C$307,$D52,CaseData!$D$8:$D$307,$E52)</f>
        <v>5.12</v>
      </c>
      <c r="R52" s="81">
        <f>SUMIFS(CaseData!$G$8:$G$307,CaseData!$B$8:$B$307,R$5,CaseData!$C$8:$C$307,$D52,CaseData!$D$8:$D$307,$E52)</f>
        <v>5.12</v>
      </c>
      <c r="S52" s="81">
        <f>SUMIFS(CaseData!$G$8:$G$307,CaseData!$B$8:$B$307,S$5,CaseData!$C$8:$C$307,$D52,CaseData!$D$8:$D$307,$E52)</f>
        <v>5.12</v>
      </c>
      <c r="T52" s="81">
        <f>SUMIFS(CaseData!$G$8:$G$307,CaseData!$B$8:$B$307,T$5,CaseData!$C$8:$C$307,$D52,CaseData!$D$8:$D$307,$E52)</f>
        <v>5.12</v>
      </c>
      <c r="U52" s="65">
        <f t="shared" si="4"/>
        <v>5.5296000000000003</v>
      </c>
      <c r="V52" s="65">
        <f t="shared" si="4"/>
        <v>5.5296000000000003</v>
      </c>
      <c r="W52" s="65">
        <f t="shared" si="4"/>
        <v>5.5296000000000003</v>
      </c>
      <c r="X52" s="65">
        <f t="shared" si="4"/>
        <v>5.5296000000000003</v>
      </c>
      <c r="Y52" s="65">
        <f t="shared" si="4"/>
        <v>5.5296000000000003</v>
      </c>
      <c r="Z52" s="65">
        <f t="shared" si="4"/>
        <v>5.5296000000000003</v>
      </c>
      <c r="AA52" s="65">
        <f t="shared" si="4"/>
        <v>5.5296000000000003</v>
      </c>
      <c r="AB52" s="65">
        <f t="shared" si="4"/>
        <v>5.5296000000000003</v>
      </c>
      <c r="AC52" s="65">
        <f t="shared" si="4"/>
        <v>5.5296000000000003</v>
      </c>
      <c r="AD52" s="65">
        <f t="shared" si="4"/>
        <v>5.5296000000000003</v>
      </c>
      <c r="AE52" s="65">
        <f t="shared" si="4"/>
        <v>5.5296000000000003</v>
      </c>
      <c r="AF52" s="65">
        <f t="shared" si="4"/>
        <v>5.5296000000000003</v>
      </c>
    </row>
    <row r="53" spans="2:32" ht="14.4">
      <c r="D53" s="66">
        <f>D$26</f>
        <v>4</v>
      </c>
      <c r="E53" s="66">
        <f>E$26</f>
        <v>4</v>
      </c>
      <c r="G53" s="80">
        <f>INDEX(CaseData!$N$8:$N$12,MATCH($E53,CaseData!$M$8:$M$12,0))</f>
        <v>7.0000000000000007E-2</v>
      </c>
      <c r="H53" s="79"/>
      <c r="I53" s="81">
        <f>SUMIFS(CaseData!$G$8:$G$307,CaseData!$B$8:$B$307,I$5,CaseData!$C$8:$C$307,$D53,CaseData!$D$8:$D$307,$E53)</f>
        <v>6.48</v>
      </c>
      <c r="J53" s="81">
        <f>SUMIFS(CaseData!$G$8:$G$307,CaseData!$B$8:$B$307,J$5,CaseData!$C$8:$C$307,$D53,CaseData!$D$8:$D$307,$E53)</f>
        <v>6.48</v>
      </c>
      <c r="K53" s="81">
        <f>SUMIFS(CaseData!$G$8:$G$307,CaseData!$B$8:$B$307,K$5,CaseData!$C$8:$C$307,$D53,CaseData!$D$8:$D$307,$E53)</f>
        <v>6.48</v>
      </c>
      <c r="L53" s="81">
        <f>SUMIFS(CaseData!$G$8:$G$307,CaseData!$B$8:$B$307,L$5,CaseData!$C$8:$C$307,$D53,CaseData!$D$8:$D$307,$E53)</f>
        <v>6.48</v>
      </c>
      <c r="M53" s="81">
        <f>SUMIFS(CaseData!$G$8:$G$307,CaseData!$B$8:$B$307,M$5,CaseData!$C$8:$C$307,$D53,CaseData!$D$8:$D$307,$E53)</f>
        <v>6.48</v>
      </c>
      <c r="N53" s="81">
        <f>SUMIFS(CaseData!$G$8:$G$307,CaseData!$B$8:$B$307,N$5,CaseData!$C$8:$C$307,$D53,CaseData!$D$8:$D$307,$E53)</f>
        <v>6.48</v>
      </c>
      <c r="O53" s="81">
        <f>SUMIFS(CaseData!$G$8:$G$307,CaseData!$B$8:$B$307,O$5,CaseData!$C$8:$C$307,$D53,CaseData!$D$8:$D$307,$E53)</f>
        <v>6.48</v>
      </c>
      <c r="P53" s="81">
        <f>SUMIFS(CaseData!$G$8:$G$307,CaseData!$B$8:$B$307,P$5,CaseData!$C$8:$C$307,$D53,CaseData!$D$8:$D$307,$E53)</f>
        <v>6.48</v>
      </c>
      <c r="Q53" s="81">
        <f>SUMIFS(CaseData!$G$8:$G$307,CaseData!$B$8:$B$307,Q$5,CaseData!$C$8:$C$307,$D53,CaseData!$D$8:$D$307,$E53)</f>
        <v>6.48</v>
      </c>
      <c r="R53" s="81">
        <f>SUMIFS(CaseData!$G$8:$G$307,CaseData!$B$8:$B$307,R$5,CaseData!$C$8:$C$307,$D53,CaseData!$D$8:$D$307,$E53)</f>
        <v>6.48</v>
      </c>
      <c r="S53" s="81">
        <f>SUMIFS(CaseData!$G$8:$G$307,CaseData!$B$8:$B$307,S$5,CaseData!$C$8:$C$307,$D53,CaseData!$D$8:$D$307,$E53)</f>
        <v>6.48</v>
      </c>
      <c r="T53" s="81">
        <f>SUMIFS(CaseData!$G$8:$G$307,CaseData!$B$8:$B$307,T$5,CaseData!$C$8:$C$307,$D53,CaseData!$D$8:$D$307,$E53)</f>
        <v>6.48</v>
      </c>
      <c r="U53" s="65">
        <f t="shared" si="4"/>
        <v>6.9336000000000011</v>
      </c>
      <c r="V53" s="65">
        <f t="shared" si="4"/>
        <v>6.9336000000000011</v>
      </c>
      <c r="W53" s="65">
        <f t="shared" si="4"/>
        <v>6.9336000000000011</v>
      </c>
      <c r="X53" s="65">
        <f t="shared" si="4"/>
        <v>6.9336000000000011</v>
      </c>
      <c r="Y53" s="65">
        <f t="shared" si="4"/>
        <v>6.9336000000000011</v>
      </c>
      <c r="Z53" s="65">
        <f t="shared" si="4"/>
        <v>6.9336000000000011</v>
      </c>
      <c r="AA53" s="65">
        <f t="shared" si="4"/>
        <v>6.9336000000000011</v>
      </c>
      <c r="AB53" s="65">
        <f t="shared" si="4"/>
        <v>6.9336000000000011</v>
      </c>
      <c r="AC53" s="65">
        <f t="shared" si="4"/>
        <v>6.9336000000000011</v>
      </c>
      <c r="AD53" s="65">
        <f t="shared" si="4"/>
        <v>6.9336000000000011</v>
      </c>
      <c r="AE53" s="65">
        <f t="shared" si="4"/>
        <v>6.9336000000000011</v>
      </c>
      <c r="AF53" s="65">
        <f t="shared" si="4"/>
        <v>6.9336000000000011</v>
      </c>
    </row>
    <row r="54" spans="2:32" ht="14.4">
      <c r="D54" s="66">
        <f>D$27</f>
        <v>4</v>
      </c>
      <c r="E54" s="66">
        <f>E$27</f>
        <v>5</v>
      </c>
      <c r="G54" s="80">
        <f>INDEX(CaseData!$N$8:$N$12,MATCH($E54,CaseData!$M$8:$M$12,0))</f>
        <v>0.05</v>
      </c>
      <c r="H54" s="79"/>
      <c r="I54" s="81">
        <f>SUMIFS(CaseData!$G$8:$G$307,CaseData!$B$8:$B$307,I$5,CaseData!$C$8:$C$307,$D54,CaseData!$D$8:$D$307,$E54)</f>
        <v>6.26</v>
      </c>
      <c r="J54" s="81">
        <f>SUMIFS(CaseData!$G$8:$G$307,CaseData!$B$8:$B$307,J$5,CaseData!$C$8:$C$307,$D54,CaseData!$D$8:$D$307,$E54)</f>
        <v>6.26</v>
      </c>
      <c r="K54" s="81">
        <f>SUMIFS(CaseData!$G$8:$G$307,CaseData!$B$8:$B$307,K$5,CaseData!$C$8:$C$307,$D54,CaseData!$D$8:$D$307,$E54)</f>
        <v>6.26</v>
      </c>
      <c r="L54" s="81">
        <f>SUMIFS(CaseData!$G$8:$G$307,CaseData!$B$8:$B$307,L$5,CaseData!$C$8:$C$307,$D54,CaseData!$D$8:$D$307,$E54)</f>
        <v>6.26</v>
      </c>
      <c r="M54" s="81">
        <f>SUMIFS(CaseData!$G$8:$G$307,CaseData!$B$8:$B$307,M$5,CaseData!$C$8:$C$307,$D54,CaseData!$D$8:$D$307,$E54)</f>
        <v>6.26</v>
      </c>
      <c r="N54" s="81">
        <f>SUMIFS(CaseData!$G$8:$G$307,CaseData!$B$8:$B$307,N$5,CaseData!$C$8:$C$307,$D54,CaseData!$D$8:$D$307,$E54)</f>
        <v>6.26</v>
      </c>
      <c r="O54" s="81">
        <f>SUMIFS(CaseData!$G$8:$G$307,CaseData!$B$8:$B$307,O$5,CaseData!$C$8:$C$307,$D54,CaseData!$D$8:$D$307,$E54)</f>
        <v>6.26</v>
      </c>
      <c r="P54" s="81">
        <f>SUMIFS(CaseData!$G$8:$G$307,CaseData!$B$8:$B$307,P$5,CaseData!$C$8:$C$307,$D54,CaseData!$D$8:$D$307,$E54)</f>
        <v>6.26</v>
      </c>
      <c r="Q54" s="81">
        <f>SUMIFS(CaseData!$G$8:$G$307,CaseData!$B$8:$B$307,Q$5,CaseData!$C$8:$C$307,$D54,CaseData!$D$8:$D$307,$E54)</f>
        <v>6.26</v>
      </c>
      <c r="R54" s="81">
        <f>SUMIFS(CaseData!$G$8:$G$307,CaseData!$B$8:$B$307,R$5,CaseData!$C$8:$C$307,$D54,CaseData!$D$8:$D$307,$E54)</f>
        <v>6.26</v>
      </c>
      <c r="S54" s="81">
        <f>SUMIFS(CaseData!$G$8:$G$307,CaseData!$B$8:$B$307,S$5,CaseData!$C$8:$C$307,$D54,CaseData!$D$8:$D$307,$E54)</f>
        <v>6.26</v>
      </c>
      <c r="T54" s="81">
        <f>SUMIFS(CaseData!$G$8:$G$307,CaseData!$B$8:$B$307,T$5,CaseData!$C$8:$C$307,$D54,CaseData!$D$8:$D$307,$E54)</f>
        <v>6.26</v>
      </c>
      <c r="U54" s="65">
        <f t="shared" si="4"/>
        <v>6.5730000000000004</v>
      </c>
      <c r="V54" s="65">
        <f t="shared" si="4"/>
        <v>6.5730000000000004</v>
      </c>
      <c r="W54" s="65">
        <f t="shared" si="4"/>
        <v>6.5730000000000004</v>
      </c>
      <c r="X54" s="65">
        <f t="shared" si="4"/>
        <v>6.5730000000000004</v>
      </c>
      <c r="Y54" s="65">
        <f t="shared" si="4"/>
        <v>6.5730000000000004</v>
      </c>
      <c r="Z54" s="65">
        <f t="shared" si="4"/>
        <v>6.5730000000000004</v>
      </c>
      <c r="AA54" s="65">
        <f t="shared" si="4"/>
        <v>6.5730000000000004</v>
      </c>
      <c r="AB54" s="65">
        <f t="shared" si="4"/>
        <v>6.5730000000000004</v>
      </c>
      <c r="AC54" s="65">
        <f t="shared" si="4"/>
        <v>6.5730000000000004</v>
      </c>
      <c r="AD54" s="65">
        <f t="shared" si="4"/>
        <v>6.5730000000000004</v>
      </c>
      <c r="AE54" s="65">
        <f t="shared" si="4"/>
        <v>6.5730000000000004</v>
      </c>
      <c r="AF54" s="65">
        <f t="shared" si="4"/>
        <v>6.5730000000000004</v>
      </c>
    </row>
    <row r="55" spans="2:32" ht="14.4">
      <c r="D55" s="66">
        <f>D$28</f>
        <v>5</v>
      </c>
      <c r="E55" s="66">
        <f>E$28</f>
        <v>1</v>
      </c>
      <c r="G55" s="80">
        <f>INDEX(CaseData!$N$8:$N$12,MATCH($E55,CaseData!$M$8:$M$12,0))</f>
        <v>7.0000000000000007E-2</v>
      </c>
      <c r="H55" s="79"/>
      <c r="I55" s="81">
        <f>SUMIFS(CaseData!$G$8:$G$307,CaseData!$B$8:$B$307,I$5,CaseData!$C$8:$C$307,$D55,CaseData!$D$8:$D$307,$E55)</f>
        <v>25</v>
      </c>
      <c r="J55" s="81">
        <f>SUMIFS(CaseData!$G$8:$G$307,CaseData!$B$8:$B$307,J$5,CaseData!$C$8:$C$307,$D55,CaseData!$D$8:$D$307,$E55)</f>
        <v>25</v>
      </c>
      <c r="K55" s="81">
        <f>SUMIFS(CaseData!$G$8:$G$307,CaseData!$B$8:$B$307,K$5,CaseData!$C$8:$C$307,$D55,CaseData!$D$8:$D$307,$E55)</f>
        <v>25</v>
      </c>
      <c r="L55" s="81">
        <f>SUMIFS(CaseData!$G$8:$G$307,CaseData!$B$8:$B$307,L$5,CaseData!$C$8:$C$307,$D55,CaseData!$D$8:$D$307,$E55)</f>
        <v>25</v>
      </c>
      <c r="M55" s="81">
        <f>SUMIFS(CaseData!$G$8:$G$307,CaseData!$B$8:$B$307,M$5,CaseData!$C$8:$C$307,$D55,CaseData!$D$8:$D$307,$E55)</f>
        <v>25</v>
      </c>
      <c r="N55" s="81">
        <f>SUMIFS(CaseData!$G$8:$G$307,CaseData!$B$8:$B$307,N$5,CaseData!$C$8:$C$307,$D55,CaseData!$D$8:$D$307,$E55)</f>
        <v>25</v>
      </c>
      <c r="O55" s="81">
        <f>SUMIFS(CaseData!$G$8:$G$307,CaseData!$B$8:$B$307,O$5,CaseData!$C$8:$C$307,$D55,CaseData!$D$8:$D$307,$E55)</f>
        <v>25</v>
      </c>
      <c r="P55" s="81">
        <f>SUMIFS(CaseData!$G$8:$G$307,CaseData!$B$8:$B$307,P$5,CaseData!$C$8:$C$307,$D55,CaseData!$D$8:$D$307,$E55)</f>
        <v>25</v>
      </c>
      <c r="Q55" s="81">
        <f>SUMIFS(CaseData!$G$8:$G$307,CaseData!$B$8:$B$307,Q$5,CaseData!$C$8:$C$307,$D55,CaseData!$D$8:$D$307,$E55)</f>
        <v>25</v>
      </c>
      <c r="R55" s="81">
        <f>SUMIFS(CaseData!$G$8:$G$307,CaseData!$B$8:$B$307,R$5,CaseData!$C$8:$C$307,$D55,CaseData!$D$8:$D$307,$E55)</f>
        <v>25</v>
      </c>
      <c r="S55" s="81">
        <f>SUMIFS(CaseData!$G$8:$G$307,CaseData!$B$8:$B$307,S$5,CaseData!$C$8:$C$307,$D55,CaseData!$D$8:$D$307,$E55)</f>
        <v>25</v>
      </c>
      <c r="T55" s="81">
        <f>SUMIFS(CaseData!$G$8:$G$307,CaseData!$B$8:$B$307,T$5,CaseData!$C$8:$C$307,$D55,CaseData!$D$8:$D$307,$E55)</f>
        <v>25</v>
      </c>
      <c r="U55" s="65">
        <f t="shared" si="4"/>
        <v>26.75</v>
      </c>
      <c r="V55" s="65">
        <f t="shared" si="4"/>
        <v>26.75</v>
      </c>
      <c r="W55" s="65">
        <f t="shared" si="4"/>
        <v>26.75</v>
      </c>
      <c r="X55" s="65">
        <f t="shared" si="4"/>
        <v>26.75</v>
      </c>
      <c r="Y55" s="65">
        <f t="shared" si="4"/>
        <v>26.75</v>
      </c>
      <c r="Z55" s="65">
        <f t="shared" si="4"/>
        <v>26.75</v>
      </c>
      <c r="AA55" s="65">
        <f t="shared" si="4"/>
        <v>26.75</v>
      </c>
      <c r="AB55" s="65">
        <f t="shared" si="4"/>
        <v>26.75</v>
      </c>
      <c r="AC55" s="65">
        <f t="shared" si="4"/>
        <v>26.75</v>
      </c>
      <c r="AD55" s="65">
        <f t="shared" si="4"/>
        <v>26.75</v>
      </c>
      <c r="AE55" s="65">
        <f t="shared" si="4"/>
        <v>26.75</v>
      </c>
      <c r="AF55" s="65">
        <f t="shared" si="4"/>
        <v>26.75</v>
      </c>
    </row>
    <row r="56" spans="2:32" ht="14.4">
      <c r="D56" s="66">
        <f>D$29</f>
        <v>5</v>
      </c>
      <c r="E56" s="66">
        <f>E$29</f>
        <v>2</v>
      </c>
      <c r="G56" s="80">
        <f>INDEX(CaseData!$N$8:$N$12,MATCH($E56,CaseData!$M$8:$M$12,0))</f>
        <v>0.09</v>
      </c>
      <c r="H56" s="79"/>
      <c r="I56" s="81">
        <f>SUMIFS(CaseData!$G$8:$G$307,CaseData!$B$8:$B$307,I$5,CaseData!$C$8:$C$307,$D56,CaseData!$D$8:$D$307,$E56)</f>
        <v>7.31</v>
      </c>
      <c r="J56" s="81">
        <f>SUMIFS(CaseData!$G$8:$G$307,CaseData!$B$8:$B$307,J$5,CaseData!$C$8:$C$307,$D56,CaseData!$D$8:$D$307,$E56)</f>
        <v>7.31</v>
      </c>
      <c r="K56" s="81">
        <f>SUMIFS(CaseData!$G$8:$G$307,CaseData!$B$8:$B$307,K$5,CaseData!$C$8:$C$307,$D56,CaseData!$D$8:$D$307,$E56)</f>
        <v>7.31</v>
      </c>
      <c r="L56" s="81">
        <f>SUMIFS(CaseData!$G$8:$G$307,CaseData!$B$8:$B$307,L$5,CaseData!$C$8:$C$307,$D56,CaseData!$D$8:$D$307,$E56)</f>
        <v>7.31</v>
      </c>
      <c r="M56" s="81">
        <f>SUMIFS(CaseData!$G$8:$G$307,CaseData!$B$8:$B$307,M$5,CaseData!$C$8:$C$307,$D56,CaseData!$D$8:$D$307,$E56)</f>
        <v>7.31</v>
      </c>
      <c r="N56" s="81">
        <f>SUMIFS(CaseData!$G$8:$G$307,CaseData!$B$8:$B$307,N$5,CaseData!$C$8:$C$307,$D56,CaseData!$D$8:$D$307,$E56)</f>
        <v>7.31</v>
      </c>
      <c r="O56" s="81">
        <f>SUMIFS(CaseData!$G$8:$G$307,CaseData!$B$8:$B$307,O$5,CaseData!$C$8:$C$307,$D56,CaseData!$D$8:$D$307,$E56)</f>
        <v>7.31</v>
      </c>
      <c r="P56" s="81">
        <f>SUMIFS(CaseData!$G$8:$G$307,CaseData!$B$8:$B$307,P$5,CaseData!$C$8:$C$307,$D56,CaseData!$D$8:$D$307,$E56)</f>
        <v>7.31</v>
      </c>
      <c r="Q56" s="81">
        <f>SUMIFS(CaseData!$G$8:$G$307,CaseData!$B$8:$B$307,Q$5,CaseData!$C$8:$C$307,$D56,CaseData!$D$8:$D$307,$E56)</f>
        <v>7.31</v>
      </c>
      <c r="R56" s="81">
        <f>SUMIFS(CaseData!$G$8:$G$307,CaseData!$B$8:$B$307,R$5,CaseData!$C$8:$C$307,$D56,CaseData!$D$8:$D$307,$E56)</f>
        <v>7.31</v>
      </c>
      <c r="S56" s="81">
        <f>SUMIFS(CaseData!$G$8:$G$307,CaseData!$B$8:$B$307,S$5,CaseData!$C$8:$C$307,$D56,CaseData!$D$8:$D$307,$E56)</f>
        <v>7.31</v>
      </c>
      <c r="T56" s="81">
        <f>SUMIFS(CaseData!$G$8:$G$307,CaseData!$B$8:$B$307,T$5,CaseData!$C$8:$C$307,$D56,CaseData!$D$8:$D$307,$E56)</f>
        <v>7.31</v>
      </c>
      <c r="U56" s="65">
        <f t="shared" si="4"/>
        <v>7.9679000000000002</v>
      </c>
      <c r="V56" s="65">
        <f t="shared" si="4"/>
        <v>7.9679000000000002</v>
      </c>
      <c r="W56" s="65">
        <f t="shared" si="4"/>
        <v>7.9679000000000002</v>
      </c>
      <c r="X56" s="65">
        <f t="shared" ref="X56:AF59" si="5">L56*(1+$G56)</f>
        <v>7.9679000000000002</v>
      </c>
      <c r="Y56" s="65">
        <f t="shared" si="5"/>
        <v>7.9679000000000002</v>
      </c>
      <c r="Z56" s="65">
        <f t="shared" si="5"/>
        <v>7.9679000000000002</v>
      </c>
      <c r="AA56" s="65">
        <f t="shared" si="5"/>
        <v>7.9679000000000002</v>
      </c>
      <c r="AB56" s="65">
        <f t="shared" si="5"/>
        <v>7.9679000000000002</v>
      </c>
      <c r="AC56" s="65">
        <f t="shared" si="5"/>
        <v>7.9679000000000002</v>
      </c>
      <c r="AD56" s="65">
        <f t="shared" si="5"/>
        <v>7.9679000000000002</v>
      </c>
      <c r="AE56" s="65">
        <f t="shared" si="5"/>
        <v>7.9679000000000002</v>
      </c>
      <c r="AF56" s="65">
        <f t="shared" si="5"/>
        <v>7.9679000000000002</v>
      </c>
    </row>
    <row r="57" spans="2:32" ht="14.4">
      <c r="D57" s="66">
        <f>D$30</f>
        <v>5</v>
      </c>
      <c r="E57" s="66">
        <f>E$30</f>
        <v>3</v>
      </c>
      <c r="G57" s="80">
        <f>INDEX(CaseData!$N$8:$N$12,MATCH($E57,CaseData!$M$8:$M$12,0))</f>
        <v>0.08</v>
      </c>
      <c r="H57" s="79"/>
      <c r="I57" s="81">
        <f>SUMIFS(CaseData!$G$8:$G$307,CaseData!$B$8:$B$307,I$5,CaseData!$C$8:$C$307,$D57,CaseData!$D$8:$D$307,$E57)</f>
        <v>5.12</v>
      </c>
      <c r="J57" s="81">
        <f>SUMIFS(CaseData!$G$8:$G$307,CaseData!$B$8:$B$307,J$5,CaseData!$C$8:$C$307,$D57,CaseData!$D$8:$D$307,$E57)</f>
        <v>5.12</v>
      </c>
      <c r="K57" s="81">
        <f>SUMIFS(CaseData!$G$8:$G$307,CaseData!$B$8:$B$307,K$5,CaseData!$C$8:$C$307,$D57,CaseData!$D$8:$D$307,$E57)</f>
        <v>5.12</v>
      </c>
      <c r="L57" s="81">
        <f>SUMIFS(CaseData!$G$8:$G$307,CaseData!$B$8:$B$307,L$5,CaseData!$C$8:$C$307,$D57,CaseData!$D$8:$D$307,$E57)</f>
        <v>5.12</v>
      </c>
      <c r="M57" s="81">
        <f>SUMIFS(CaseData!$G$8:$G$307,CaseData!$B$8:$B$307,M$5,CaseData!$C$8:$C$307,$D57,CaseData!$D$8:$D$307,$E57)</f>
        <v>5.12</v>
      </c>
      <c r="N57" s="81">
        <f>SUMIFS(CaseData!$G$8:$G$307,CaseData!$B$8:$B$307,N$5,CaseData!$C$8:$C$307,$D57,CaseData!$D$8:$D$307,$E57)</f>
        <v>5.12</v>
      </c>
      <c r="O57" s="81">
        <f>SUMIFS(CaseData!$G$8:$G$307,CaseData!$B$8:$B$307,O$5,CaseData!$C$8:$C$307,$D57,CaseData!$D$8:$D$307,$E57)</f>
        <v>5.12</v>
      </c>
      <c r="P57" s="81">
        <f>SUMIFS(CaseData!$G$8:$G$307,CaseData!$B$8:$B$307,P$5,CaseData!$C$8:$C$307,$D57,CaseData!$D$8:$D$307,$E57)</f>
        <v>5.12</v>
      </c>
      <c r="Q57" s="81">
        <f>SUMIFS(CaseData!$G$8:$G$307,CaseData!$B$8:$B$307,Q$5,CaseData!$C$8:$C$307,$D57,CaseData!$D$8:$D$307,$E57)</f>
        <v>5.12</v>
      </c>
      <c r="R57" s="81">
        <f>SUMIFS(CaseData!$G$8:$G$307,CaseData!$B$8:$B$307,R$5,CaseData!$C$8:$C$307,$D57,CaseData!$D$8:$D$307,$E57)</f>
        <v>5.12</v>
      </c>
      <c r="S57" s="81">
        <f>SUMIFS(CaseData!$G$8:$G$307,CaseData!$B$8:$B$307,S$5,CaseData!$C$8:$C$307,$D57,CaseData!$D$8:$D$307,$E57)</f>
        <v>5.12</v>
      </c>
      <c r="T57" s="81">
        <f>SUMIFS(CaseData!$G$8:$G$307,CaseData!$B$8:$B$307,T$5,CaseData!$C$8:$C$307,$D57,CaseData!$D$8:$D$307,$E57)</f>
        <v>5.12</v>
      </c>
      <c r="U57" s="65">
        <f t="shared" ref="U57:W59" si="6">I57*(1+$G57)</f>
        <v>5.5296000000000003</v>
      </c>
      <c r="V57" s="65">
        <f t="shared" si="6"/>
        <v>5.5296000000000003</v>
      </c>
      <c r="W57" s="65">
        <f t="shared" si="6"/>
        <v>5.5296000000000003</v>
      </c>
      <c r="X57" s="65">
        <f t="shared" si="5"/>
        <v>5.5296000000000003</v>
      </c>
      <c r="Y57" s="65">
        <f t="shared" si="5"/>
        <v>5.5296000000000003</v>
      </c>
      <c r="Z57" s="65">
        <f t="shared" si="5"/>
        <v>5.5296000000000003</v>
      </c>
      <c r="AA57" s="65">
        <f t="shared" si="5"/>
        <v>5.5296000000000003</v>
      </c>
      <c r="AB57" s="65">
        <f t="shared" si="5"/>
        <v>5.5296000000000003</v>
      </c>
      <c r="AC57" s="65">
        <f t="shared" si="5"/>
        <v>5.5296000000000003</v>
      </c>
      <c r="AD57" s="65">
        <f t="shared" si="5"/>
        <v>5.5296000000000003</v>
      </c>
      <c r="AE57" s="65">
        <f t="shared" si="5"/>
        <v>5.5296000000000003</v>
      </c>
      <c r="AF57" s="65">
        <f t="shared" si="5"/>
        <v>5.5296000000000003</v>
      </c>
    </row>
    <row r="58" spans="2:32" ht="14.4">
      <c r="D58" s="66">
        <f>D$31</f>
        <v>5</v>
      </c>
      <c r="E58" s="66">
        <f>E$31</f>
        <v>4</v>
      </c>
      <c r="G58" s="80">
        <f>INDEX(CaseData!$N$8:$N$12,MATCH($E58,CaseData!$M$8:$M$12,0))</f>
        <v>7.0000000000000007E-2</v>
      </c>
      <c r="H58" s="79"/>
      <c r="I58" s="81">
        <f>SUMIFS(CaseData!$G$8:$G$307,CaseData!$B$8:$B$307,I$5,CaseData!$C$8:$C$307,$D58,CaseData!$D$8:$D$307,$E58)</f>
        <v>6.48</v>
      </c>
      <c r="J58" s="81">
        <f>SUMIFS(CaseData!$G$8:$G$307,CaseData!$B$8:$B$307,J$5,CaseData!$C$8:$C$307,$D58,CaseData!$D$8:$D$307,$E58)</f>
        <v>6.48</v>
      </c>
      <c r="K58" s="81">
        <f>SUMIFS(CaseData!$G$8:$G$307,CaseData!$B$8:$B$307,K$5,CaseData!$C$8:$C$307,$D58,CaseData!$D$8:$D$307,$E58)</f>
        <v>6.48</v>
      </c>
      <c r="L58" s="81">
        <f>SUMIFS(CaseData!$G$8:$G$307,CaseData!$B$8:$B$307,L$5,CaseData!$C$8:$C$307,$D58,CaseData!$D$8:$D$307,$E58)</f>
        <v>6.48</v>
      </c>
      <c r="M58" s="81">
        <f>SUMIFS(CaseData!$G$8:$G$307,CaseData!$B$8:$B$307,M$5,CaseData!$C$8:$C$307,$D58,CaseData!$D$8:$D$307,$E58)</f>
        <v>6.48</v>
      </c>
      <c r="N58" s="81">
        <f>SUMIFS(CaseData!$G$8:$G$307,CaseData!$B$8:$B$307,N$5,CaseData!$C$8:$C$307,$D58,CaseData!$D$8:$D$307,$E58)</f>
        <v>6.48</v>
      </c>
      <c r="O58" s="81">
        <f>SUMIFS(CaseData!$G$8:$G$307,CaseData!$B$8:$B$307,O$5,CaseData!$C$8:$C$307,$D58,CaseData!$D$8:$D$307,$E58)</f>
        <v>6.48</v>
      </c>
      <c r="P58" s="81">
        <f>SUMIFS(CaseData!$G$8:$G$307,CaseData!$B$8:$B$307,P$5,CaseData!$C$8:$C$307,$D58,CaseData!$D$8:$D$307,$E58)</f>
        <v>6.48</v>
      </c>
      <c r="Q58" s="81">
        <f>SUMIFS(CaseData!$G$8:$G$307,CaseData!$B$8:$B$307,Q$5,CaseData!$C$8:$C$307,$D58,CaseData!$D$8:$D$307,$E58)</f>
        <v>6.48</v>
      </c>
      <c r="R58" s="81">
        <f>SUMIFS(CaseData!$G$8:$G$307,CaseData!$B$8:$B$307,R$5,CaseData!$C$8:$C$307,$D58,CaseData!$D$8:$D$307,$E58)</f>
        <v>6.48</v>
      </c>
      <c r="S58" s="81">
        <f>SUMIFS(CaseData!$G$8:$G$307,CaseData!$B$8:$B$307,S$5,CaseData!$C$8:$C$307,$D58,CaseData!$D$8:$D$307,$E58)</f>
        <v>6.48</v>
      </c>
      <c r="T58" s="81">
        <f>SUMIFS(CaseData!$G$8:$G$307,CaseData!$B$8:$B$307,T$5,CaseData!$C$8:$C$307,$D58,CaseData!$D$8:$D$307,$E58)</f>
        <v>6.48</v>
      </c>
      <c r="U58" s="65">
        <f t="shared" si="6"/>
        <v>6.9336000000000011</v>
      </c>
      <c r="V58" s="65">
        <f t="shared" si="6"/>
        <v>6.9336000000000011</v>
      </c>
      <c r="W58" s="65">
        <f t="shared" si="6"/>
        <v>6.9336000000000011</v>
      </c>
      <c r="X58" s="65">
        <f t="shared" si="5"/>
        <v>6.9336000000000011</v>
      </c>
      <c r="Y58" s="65">
        <f t="shared" si="5"/>
        <v>6.9336000000000011</v>
      </c>
      <c r="Z58" s="65">
        <f t="shared" si="5"/>
        <v>6.9336000000000011</v>
      </c>
      <c r="AA58" s="65">
        <f t="shared" si="5"/>
        <v>6.9336000000000011</v>
      </c>
      <c r="AB58" s="65">
        <f t="shared" si="5"/>
        <v>6.9336000000000011</v>
      </c>
      <c r="AC58" s="65">
        <f t="shared" si="5"/>
        <v>6.9336000000000011</v>
      </c>
      <c r="AD58" s="65">
        <f t="shared" si="5"/>
        <v>6.9336000000000011</v>
      </c>
      <c r="AE58" s="65">
        <f t="shared" si="5"/>
        <v>6.9336000000000011</v>
      </c>
      <c r="AF58" s="65">
        <f t="shared" si="5"/>
        <v>6.9336000000000011</v>
      </c>
    </row>
    <row r="59" spans="2:32" ht="14.4">
      <c r="D59" s="66">
        <f>D$32</f>
        <v>5</v>
      </c>
      <c r="E59" s="66">
        <f>E$32</f>
        <v>5</v>
      </c>
      <c r="G59" s="80">
        <f>INDEX(CaseData!$N$8:$N$12,MATCH($E59,CaseData!$M$8:$M$12,0))</f>
        <v>0.05</v>
      </c>
      <c r="H59" s="79"/>
      <c r="I59" s="81">
        <f>SUMIFS(CaseData!$G$8:$G$307,CaseData!$B$8:$B$307,I$5,CaseData!$C$8:$C$307,$D59,CaseData!$D$8:$D$307,$E59)</f>
        <v>6.26</v>
      </c>
      <c r="J59" s="81">
        <f>SUMIFS(CaseData!$G$8:$G$307,CaseData!$B$8:$B$307,J$5,CaseData!$C$8:$C$307,$D59,CaseData!$D$8:$D$307,$E59)</f>
        <v>6.26</v>
      </c>
      <c r="K59" s="81">
        <f>SUMIFS(CaseData!$G$8:$G$307,CaseData!$B$8:$B$307,K$5,CaseData!$C$8:$C$307,$D59,CaseData!$D$8:$D$307,$E59)</f>
        <v>6.26</v>
      </c>
      <c r="L59" s="81">
        <f>SUMIFS(CaseData!$G$8:$G$307,CaseData!$B$8:$B$307,L$5,CaseData!$C$8:$C$307,$D59,CaseData!$D$8:$D$307,$E59)</f>
        <v>6.26</v>
      </c>
      <c r="M59" s="81">
        <f>SUMIFS(CaseData!$G$8:$G$307,CaseData!$B$8:$B$307,M$5,CaseData!$C$8:$C$307,$D59,CaseData!$D$8:$D$307,$E59)</f>
        <v>6.26</v>
      </c>
      <c r="N59" s="81">
        <f>SUMIFS(CaseData!$G$8:$G$307,CaseData!$B$8:$B$307,N$5,CaseData!$C$8:$C$307,$D59,CaseData!$D$8:$D$307,$E59)</f>
        <v>6.26</v>
      </c>
      <c r="O59" s="81">
        <f>SUMIFS(CaseData!$G$8:$G$307,CaseData!$B$8:$B$307,O$5,CaseData!$C$8:$C$307,$D59,CaseData!$D$8:$D$307,$E59)</f>
        <v>6.26</v>
      </c>
      <c r="P59" s="81">
        <f>SUMIFS(CaseData!$G$8:$G$307,CaseData!$B$8:$B$307,P$5,CaseData!$C$8:$C$307,$D59,CaseData!$D$8:$D$307,$E59)</f>
        <v>6.26</v>
      </c>
      <c r="Q59" s="81">
        <f>SUMIFS(CaseData!$G$8:$G$307,CaseData!$B$8:$B$307,Q$5,CaseData!$C$8:$C$307,$D59,CaseData!$D$8:$D$307,$E59)</f>
        <v>6.26</v>
      </c>
      <c r="R59" s="81">
        <f>SUMIFS(CaseData!$G$8:$G$307,CaseData!$B$8:$B$307,R$5,CaseData!$C$8:$C$307,$D59,CaseData!$D$8:$D$307,$E59)</f>
        <v>6.26</v>
      </c>
      <c r="S59" s="81">
        <f>SUMIFS(CaseData!$G$8:$G$307,CaseData!$B$8:$B$307,S$5,CaseData!$C$8:$C$307,$D59,CaseData!$D$8:$D$307,$E59)</f>
        <v>6.26</v>
      </c>
      <c r="T59" s="81">
        <f>SUMIFS(CaseData!$G$8:$G$307,CaseData!$B$8:$B$307,T$5,CaseData!$C$8:$C$307,$D59,CaseData!$D$8:$D$307,$E59)</f>
        <v>6.26</v>
      </c>
      <c r="U59" s="65">
        <f t="shared" si="6"/>
        <v>6.5730000000000004</v>
      </c>
      <c r="V59" s="65">
        <f t="shared" si="6"/>
        <v>6.5730000000000004</v>
      </c>
      <c r="W59" s="65">
        <f t="shared" si="6"/>
        <v>6.5730000000000004</v>
      </c>
      <c r="X59" s="65">
        <f t="shared" si="5"/>
        <v>6.5730000000000004</v>
      </c>
      <c r="Y59" s="65">
        <f t="shared" si="5"/>
        <v>6.5730000000000004</v>
      </c>
      <c r="Z59" s="65">
        <f t="shared" si="5"/>
        <v>6.5730000000000004</v>
      </c>
      <c r="AA59" s="65">
        <f t="shared" si="5"/>
        <v>6.5730000000000004</v>
      </c>
      <c r="AB59" s="65">
        <f t="shared" si="5"/>
        <v>6.5730000000000004</v>
      </c>
      <c r="AC59" s="65">
        <f t="shared" si="5"/>
        <v>6.5730000000000004</v>
      </c>
      <c r="AD59" s="65">
        <f t="shared" si="5"/>
        <v>6.5730000000000004</v>
      </c>
      <c r="AE59" s="65">
        <f t="shared" si="5"/>
        <v>6.5730000000000004</v>
      </c>
      <c r="AF59" s="65">
        <f t="shared" si="5"/>
        <v>6.5730000000000004</v>
      </c>
    </row>
    <row r="61" spans="2:32" ht="14.4">
      <c r="B61" s="62" t="s">
        <v>33</v>
      </c>
      <c r="C61" s="62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</row>
    <row r="62" spans="2:32" ht="14.4">
      <c r="D62" s="66">
        <f>D$8</f>
        <v>1</v>
      </c>
      <c r="E62" s="66">
        <f>E$8</f>
        <v>1</v>
      </c>
      <c r="G62" s="64"/>
      <c r="I62" s="67">
        <f t="shared" ref="I62:AF72" si="7">I8-I35</f>
        <v>15</v>
      </c>
      <c r="J62" s="67">
        <f t="shared" si="7"/>
        <v>15</v>
      </c>
      <c r="K62" s="67">
        <f t="shared" si="7"/>
        <v>15</v>
      </c>
      <c r="L62" s="67">
        <f t="shared" si="7"/>
        <v>15</v>
      </c>
      <c r="M62" s="67">
        <f t="shared" si="7"/>
        <v>15</v>
      </c>
      <c r="N62" s="67">
        <f t="shared" si="7"/>
        <v>15</v>
      </c>
      <c r="O62" s="67">
        <f t="shared" si="7"/>
        <v>15</v>
      </c>
      <c r="P62" s="67">
        <f t="shared" si="7"/>
        <v>15</v>
      </c>
      <c r="Q62" s="67">
        <f t="shared" si="7"/>
        <v>15</v>
      </c>
      <c r="R62" s="67">
        <f t="shared" si="7"/>
        <v>15</v>
      </c>
      <c r="S62" s="67">
        <f t="shared" si="7"/>
        <v>15</v>
      </c>
      <c r="T62" s="67">
        <f t="shared" si="7"/>
        <v>15</v>
      </c>
      <c r="U62" s="67">
        <f t="shared" si="7"/>
        <v>16.050000000000004</v>
      </c>
      <c r="V62" s="67">
        <f t="shared" si="7"/>
        <v>16.050000000000004</v>
      </c>
      <c r="W62" s="67">
        <f t="shared" si="7"/>
        <v>16.050000000000004</v>
      </c>
      <c r="X62" s="67">
        <f t="shared" si="7"/>
        <v>16.050000000000004</v>
      </c>
      <c r="Y62" s="67">
        <f t="shared" si="7"/>
        <v>16.050000000000004</v>
      </c>
      <c r="Z62" s="67">
        <f t="shared" si="7"/>
        <v>16.050000000000004</v>
      </c>
      <c r="AA62" s="67">
        <f t="shared" si="7"/>
        <v>16.050000000000004</v>
      </c>
      <c r="AB62" s="67">
        <f t="shared" si="7"/>
        <v>16.050000000000004</v>
      </c>
      <c r="AC62" s="67">
        <f t="shared" si="7"/>
        <v>16.050000000000004</v>
      </c>
      <c r="AD62" s="67">
        <f t="shared" si="7"/>
        <v>16.050000000000004</v>
      </c>
      <c r="AE62" s="67">
        <f t="shared" si="7"/>
        <v>16.050000000000004</v>
      </c>
      <c r="AF62" s="67">
        <f t="shared" si="7"/>
        <v>16.050000000000004</v>
      </c>
    </row>
    <row r="63" spans="2:32" ht="14.4">
      <c r="D63" s="66">
        <f>D$9</f>
        <v>1</v>
      </c>
      <c r="E63" s="66">
        <f>E$9</f>
        <v>2</v>
      </c>
      <c r="G63" s="64"/>
      <c r="I63" s="67">
        <f t="shared" si="7"/>
        <v>9.6900000000000013</v>
      </c>
      <c r="J63" s="67">
        <f t="shared" si="7"/>
        <v>9.6900000000000013</v>
      </c>
      <c r="K63" s="67">
        <f t="shared" si="7"/>
        <v>9.6900000000000013</v>
      </c>
      <c r="L63" s="67">
        <f t="shared" si="7"/>
        <v>9.6900000000000013</v>
      </c>
      <c r="M63" s="67">
        <f t="shared" si="7"/>
        <v>9.6900000000000013</v>
      </c>
      <c r="N63" s="67">
        <f t="shared" si="7"/>
        <v>9.6900000000000013</v>
      </c>
      <c r="O63" s="67">
        <f t="shared" si="7"/>
        <v>9.6900000000000013</v>
      </c>
      <c r="P63" s="67">
        <f t="shared" si="7"/>
        <v>9.6900000000000013</v>
      </c>
      <c r="Q63" s="67">
        <f t="shared" si="7"/>
        <v>9.6900000000000013</v>
      </c>
      <c r="R63" s="67">
        <f t="shared" si="7"/>
        <v>9.6900000000000013</v>
      </c>
      <c r="S63" s="67">
        <f t="shared" si="7"/>
        <v>9.6900000000000013</v>
      </c>
      <c r="T63" s="67">
        <f t="shared" si="7"/>
        <v>9.6900000000000013</v>
      </c>
      <c r="U63" s="67">
        <f t="shared" si="7"/>
        <v>10.222100000000001</v>
      </c>
      <c r="V63" s="67">
        <f t="shared" si="7"/>
        <v>10.222100000000001</v>
      </c>
      <c r="W63" s="67">
        <f t="shared" si="7"/>
        <v>10.222100000000001</v>
      </c>
      <c r="X63" s="67">
        <f t="shared" si="7"/>
        <v>10.222100000000001</v>
      </c>
      <c r="Y63" s="67">
        <f t="shared" si="7"/>
        <v>10.222100000000001</v>
      </c>
      <c r="Z63" s="67">
        <f t="shared" si="7"/>
        <v>10.222100000000001</v>
      </c>
      <c r="AA63" s="67">
        <f t="shared" si="7"/>
        <v>10.222100000000001</v>
      </c>
      <c r="AB63" s="67">
        <f t="shared" si="7"/>
        <v>10.222100000000001</v>
      </c>
      <c r="AC63" s="67">
        <f t="shared" si="7"/>
        <v>10.222100000000001</v>
      </c>
      <c r="AD63" s="67">
        <f t="shared" si="7"/>
        <v>10.222100000000001</v>
      </c>
      <c r="AE63" s="67">
        <f t="shared" si="7"/>
        <v>10.222100000000001</v>
      </c>
      <c r="AF63" s="67">
        <f t="shared" si="7"/>
        <v>10.222100000000001</v>
      </c>
    </row>
    <row r="64" spans="2:32" ht="14.4">
      <c r="D64" s="66">
        <f>D$10</f>
        <v>1</v>
      </c>
      <c r="E64" s="66">
        <f>E$10</f>
        <v>3</v>
      </c>
      <c r="G64" s="64"/>
      <c r="I64" s="67">
        <f t="shared" si="7"/>
        <v>7.6800000000000006</v>
      </c>
      <c r="J64" s="67">
        <f t="shared" si="7"/>
        <v>7.6800000000000006</v>
      </c>
      <c r="K64" s="67">
        <f t="shared" si="7"/>
        <v>7.6800000000000006</v>
      </c>
      <c r="L64" s="67">
        <f t="shared" si="7"/>
        <v>7.6800000000000006</v>
      </c>
      <c r="M64" s="67">
        <f t="shared" si="7"/>
        <v>7.6800000000000006</v>
      </c>
      <c r="N64" s="67">
        <f t="shared" si="7"/>
        <v>7.6800000000000006</v>
      </c>
      <c r="O64" s="67">
        <f t="shared" si="7"/>
        <v>7.6800000000000006</v>
      </c>
      <c r="P64" s="67">
        <f t="shared" si="7"/>
        <v>7.6800000000000006</v>
      </c>
      <c r="Q64" s="67">
        <f t="shared" si="7"/>
        <v>7.6800000000000006</v>
      </c>
      <c r="R64" s="67">
        <f t="shared" si="7"/>
        <v>7.6800000000000006</v>
      </c>
      <c r="S64" s="67">
        <f t="shared" si="7"/>
        <v>7.6800000000000006</v>
      </c>
      <c r="T64" s="67">
        <f t="shared" si="7"/>
        <v>7.6800000000000006</v>
      </c>
      <c r="U64" s="67">
        <f t="shared" si="7"/>
        <v>8.1664000000000012</v>
      </c>
      <c r="V64" s="67">
        <f t="shared" si="7"/>
        <v>8.1664000000000012</v>
      </c>
      <c r="W64" s="67">
        <f t="shared" si="7"/>
        <v>8.1664000000000012</v>
      </c>
      <c r="X64" s="67">
        <f t="shared" si="7"/>
        <v>8.1664000000000012</v>
      </c>
      <c r="Y64" s="67">
        <f t="shared" si="7"/>
        <v>8.1664000000000012</v>
      </c>
      <c r="Z64" s="67">
        <f t="shared" si="7"/>
        <v>8.1664000000000012</v>
      </c>
      <c r="AA64" s="67">
        <f t="shared" si="7"/>
        <v>8.1664000000000012</v>
      </c>
      <c r="AB64" s="67">
        <f t="shared" si="7"/>
        <v>8.1664000000000012</v>
      </c>
      <c r="AC64" s="67">
        <f t="shared" si="7"/>
        <v>8.1664000000000012</v>
      </c>
      <c r="AD64" s="67">
        <f t="shared" si="7"/>
        <v>8.1664000000000012</v>
      </c>
      <c r="AE64" s="67">
        <f t="shared" si="7"/>
        <v>8.1664000000000012</v>
      </c>
      <c r="AF64" s="67">
        <f t="shared" si="7"/>
        <v>8.1664000000000012</v>
      </c>
    </row>
    <row r="65" spans="4:32" ht="14.4">
      <c r="D65" s="66">
        <f>D$11</f>
        <v>1</v>
      </c>
      <c r="E65" s="66">
        <f>E$11</f>
        <v>4</v>
      </c>
      <c r="G65" s="64"/>
      <c r="I65" s="67">
        <f t="shared" si="7"/>
        <v>4.32</v>
      </c>
      <c r="J65" s="67">
        <f t="shared" si="7"/>
        <v>4.32</v>
      </c>
      <c r="K65" s="67">
        <f t="shared" si="7"/>
        <v>4.32</v>
      </c>
      <c r="L65" s="67">
        <f t="shared" si="7"/>
        <v>4.32</v>
      </c>
      <c r="M65" s="67">
        <f t="shared" si="7"/>
        <v>4.32</v>
      </c>
      <c r="N65" s="67">
        <f t="shared" si="7"/>
        <v>4.32</v>
      </c>
      <c r="O65" s="67">
        <f t="shared" si="7"/>
        <v>4.32</v>
      </c>
      <c r="P65" s="67">
        <f t="shared" si="7"/>
        <v>4.32</v>
      </c>
      <c r="Q65" s="67">
        <f t="shared" si="7"/>
        <v>4.32</v>
      </c>
      <c r="R65" s="67">
        <f t="shared" si="7"/>
        <v>4.32</v>
      </c>
      <c r="S65" s="67">
        <f t="shared" si="7"/>
        <v>4.32</v>
      </c>
      <c r="T65" s="67">
        <f t="shared" si="7"/>
        <v>4.32</v>
      </c>
      <c r="U65" s="67">
        <f t="shared" si="7"/>
        <v>4.6223999999999998</v>
      </c>
      <c r="V65" s="67">
        <f t="shared" si="7"/>
        <v>4.6223999999999998</v>
      </c>
      <c r="W65" s="67">
        <f t="shared" si="7"/>
        <v>4.6223999999999998</v>
      </c>
      <c r="X65" s="67">
        <f t="shared" si="7"/>
        <v>4.6223999999999998</v>
      </c>
      <c r="Y65" s="67">
        <f t="shared" si="7"/>
        <v>4.6223999999999998</v>
      </c>
      <c r="Z65" s="67">
        <f t="shared" si="7"/>
        <v>4.6223999999999998</v>
      </c>
      <c r="AA65" s="67">
        <f t="shared" si="7"/>
        <v>4.6223999999999998</v>
      </c>
      <c r="AB65" s="67">
        <f t="shared" si="7"/>
        <v>4.6223999999999998</v>
      </c>
      <c r="AC65" s="67">
        <f t="shared" si="7"/>
        <v>4.6223999999999998</v>
      </c>
      <c r="AD65" s="67">
        <f t="shared" si="7"/>
        <v>4.6223999999999998</v>
      </c>
      <c r="AE65" s="67">
        <f t="shared" si="7"/>
        <v>4.6223999999999998</v>
      </c>
      <c r="AF65" s="67">
        <f t="shared" si="7"/>
        <v>4.6223999999999998</v>
      </c>
    </row>
    <row r="66" spans="4:32" ht="14.4">
      <c r="D66" s="66">
        <f>D$12</f>
        <v>1</v>
      </c>
      <c r="E66" s="66">
        <f>E$12</f>
        <v>5</v>
      </c>
      <c r="G66" s="64"/>
      <c r="I66" s="67">
        <f t="shared" si="7"/>
        <v>8.64</v>
      </c>
      <c r="J66" s="67">
        <f t="shared" si="7"/>
        <v>8.64</v>
      </c>
      <c r="K66" s="67">
        <f t="shared" si="7"/>
        <v>8.64</v>
      </c>
      <c r="L66" s="67">
        <f t="shared" si="7"/>
        <v>8.64</v>
      </c>
      <c r="M66" s="67">
        <f t="shared" si="7"/>
        <v>8.64</v>
      </c>
      <c r="N66" s="67">
        <f t="shared" si="7"/>
        <v>8.64</v>
      </c>
      <c r="O66" s="67">
        <f t="shared" si="7"/>
        <v>8.64</v>
      </c>
      <c r="P66" s="67">
        <f t="shared" si="7"/>
        <v>8.64</v>
      </c>
      <c r="Q66" s="67">
        <f t="shared" si="7"/>
        <v>8.64</v>
      </c>
      <c r="R66" s="67">
        <f t="shared" si="7"/>
        <v>8.64</v>
      </c>
      <c r="S66" s="67">
        <f t="shared" si="7"/>
        <v>8.64</v>
      </c>
      <c r="T66" s="67">
        <f t="shared" si="7"/>
        <v>8.64</v>
      </c>
      <c r="U66" s="67">
        <f t="shared" si="7"/>
        <v>9.370000000000001</v>
      </c>
      <c r="V66" s="67">
        <f t="shared" si="7"/>
        <v>9.370000000000001</v>
      </c>
      <c r="W66" s="67">
        <f t="shared" si="7"/>
        <v>9.370000000000001</v>
      </c>
      <c r="X66" s="67">
        <f t="shared" si="7"/>
        <v>9.370000000000001</v>
      </c>
      <c r="Y66" s="67">
        <f t="shared" si="7"/>
        <v>9.370000000000001</v>
      </c>
      <c r="Z66" s="67">
        <f t="shared" si="7"/>
        <v>9.370000000000001</v>
      </c>
      <c r="AA66" s="67">
        <f t="shared" si="7"/>
        <v>9.370000000000001</v>
      </c>
      <c r="AB66" s="67">
        <f t="shared" si="7"/>
        <v>9.370000000000001</v>
      </c>
      <c r="AC66" s="67">
        <f t="shared" si="7"/>
        <v>9.370000000000001</v>
      </c>
      <c r="AD66" s="67">
        <f t="shared" si="7"/>
        <v>9.370000000000001</v>
      </c>
      <c r="AE66" s="67">
        <f t="shared" si="7"/>
        <v>9.370000000000001</v>
      </c>
      <c r="AF66" s="67">
        <f t="shared" si="7"/>
        <v>9.370000000000001</v>
      </c>
    </row>
    <row r="67" spans="4:32" ht="14.4">
      <c r="D67" s="66">
        <f>D$13</f>
        <v>2</v>
      </c>
      <c r="E67" s="66">
        <f>E$13</f>
        <v>1</v>
      </c>
      <c r="G67" s="64"/>
      <c r="I67" s="67">
        <f t="shared" si="7"/>
        <v>9</v>
      </c>
      <c r="J67" s="67">
        <f t="shared" si="7"/>
        <v>9</v>
      </c>
      <c r="K67" s="67">
        <f t="shared" si="7"/>
        <v>9</v>
      </c>
      <c r="L67" s="67">
        <f t="shared" si="7"/>
        <v>9</v>
      </c>
      <c r="M67" s="67">
        <f t="shared" si="7"/>
        <v>9</v>
      </c>
      <c r="N67" s="67">
        <f t="shared" si="7"/>
        <v>9</v>
      </c>
      <c r="O67" s="67">
        <f t="shared" si="7"/>
        <v>9</v>
      </c>
      <c r="P67" s="67">
        <f t="shared" si="7"/>
        <v>9</v>
      </c>
      <c r="Q67" s="67">
        <f t="shared" si="7"/>
        <v>9</v>
      </c>
      <c r="R67" s="67">
        <f t="shared" si="7"/>
        <v>9</v>
      </c>
      <c r="S67" s="67">
        <f t="shared" si="7"/>
        <v>9</v>
      </c>
      <c r="T67" s="67">
        <f t="shared" si="7"/>
        <v>9</v>
      </c>
      <c r="U67" s="67">
        <f t="shared" si="7"/>
        <v>9.2899999999999991</v>
      </c>
      <c r="V67" s="67">
        <f t="shared" si="7"/>
        <v>9.2899999999999991</v>
      </c>
      <c r="W67" s="67">
        <f t="shared" si="7"/>
        <v>9.2899999999999991</v>
      </c>
      <c r="X67" s="67">
        <f t="shared" si="7"/>
        <v>9.2899999999999991</v>
      </c>
      <c r="Y67" s="67">
        <f t="shared" si="7"/>
        <v>9.2899999999999991</v>
      </c>
      <c r="Z67" s="67">
        <f t="shared" si="7"/>
        <v>9.2899999999999991</v>
      </c>
      <c r="AA67" s="67">
        <f t="shared" si="7"/>
        <v>9.2899999999999991</v>
      </c>
      <c r="AB67" s="67">
        <f t="shared" si="7"/>
        <v>9.2899999999999991</v>
      </c>
      <c r="AC67" s="67">
        <f t="shared" si="7"/>
        <v>9.2899999999999991</v>
      </c>
      <c r="AD67" s="67">
        <f t="shared" si="7"/>
        <v>9.2899999999999991</v>
      </c>
      <c r="AE67" s="67">
        <f t="shared" si="7"/>
        <v>9.2899999999999991</v>
      </c>
      <c r="AF67" s="67">
        <f t="shared" si="7"/>
        <v>9.2899999999999991</v>
      </c>
    </row>
    <row r="68" spans="4:32" ht="14.4">
      <c r="D68" s="66">
        <f>D$14</f>
        <v>2</v>
      </c>
      <c r="E68" s="66">
        <f>E$14</f>
        <v>2</v>
      </c>
      <c r="G68" s="64"/>
      <c r="I68" s="67">
        <f t="shared" si="7"/>
        <v>9.0100000000000016</v>
      </c>
      <c r="J68" s="67">
        <f t="shared" si="7"/>
        <v>9.0100000000000016</v>
      </c>
      <c r="K68" s="67">
        <f t="shared" si="7"/>
        <v>9.0100000000000016</v>
      </c>
      <c r="L68" s="67">
        <f t="shared" si="7"/>
        <v>9.0100000000000016</v>
      </c>
      <c r="M68" s="67">
        <f t="shared" si="7"/>
        <v>9.0100000000000016</v>
      </c>
      <c r="N68" s="67">
        <f t="shared" si="7"/>
        <v>9.0100000000000016</v>
      </c>
      <c r="O68" s="67">
        <f t="shared" si="7"/>
        <v>9.0100000000000016</v>
      </c>
      <c r="P68" s="67">
        <f t="shared" si="7"/>
        <v>9.0100000000000016</v>
      </c>
      <c r="Q68" s="67">
        <f t="shared" si="7"/>
        <v>9.0100000000000016</v>
      </c>
      <c r="R68" s="67">
        <f t="shared" si="7"/>
        <v>9.0100000000000016</v>
      </c>
      <c r="S68" s="67">
        <f t="shared" si="7"/>
        <v>9.0100000000000016</v>
      </c>
      <c r="T68" s="67">
        <f t="shared" si="7"/>
        <v>9.0100000000000016</v>
      </c>
      <c r="U68" s="67">
        <f t="shared" si="7"/>
        <v>9.3313000000000024</v>
      </c>
      <c r="V68" s="67">
        <f t="shared" si="7"/>
        <v>9.3313000000000024</v>
      </c>
      <c r="W68" s="67">
        <f t="shared" si="7"/>
        <v>9.3313000000000024</v>
      </c>
      <c r="X68" s="67">
        <f t="shared" si="7"/>
        <v>9.3313000000000024</v>
      </c>
      <c r="Y68" s="67">
        <f t="shared" si="7"/>
        <v>9.3313000000000024</v>
      </c>
      <c r="Z68" s="67">
        <f t="shared" si="7"/>
        <v>9.3313000000000024</v>
      </c>
      <c r="AA68" s="67">
        <f t="shared" si="7"/>
        <v>9.3313000000000024</v>
      </c>
      <c r="AB68" s="67">
        <f t="shared" si="7"/>
        <v>9.3313000000000024</v>
      </c>
      <c r="AC68" s="67">
        <f t="shared" si="7"/>
        <v>9.3313000000000024</v>
      </c>
      <c r="AD68" s="67">
        <f t="shared" si="7"/>
        <v>9.3313000000000024</v>
      </c>
      <c r="AE68" s="67">
        <f t="shared" si="7"/>
        <v>9.3313000000000024</v>
      </c>
      <c r="AF68" s="67">
        <f t="shared" si="7"/>
        <v>9.3313000000000024</v>
      </c>
    </row>
    <row r="69" spans="4:32" ht="14.4">
      <c r="D69" s="66">
        <f>D$15</f>
        <v>2</v>
      </c>
      <c r="E69" s="66">
        <f>E$15</f>
        <v>3</v>
      </c>
      <c r="G69" s="64"/>
      <c r="I69" s="67">
        <f t="shared" si="7"/>
        <v>9.09</v>
      </c>
      <c r="J69" s="67">
        <f t="shared" si="7"/>
        <v>9.09</v>
      </c>
      <c r="K69" s="67">
        <f t="shared" si="7"/>
        <v>9.09</v>
      </c>
      <c r="L69" s="67">
        <f t="shared" si="7"/>
        <v>9.09</v>
      </c>
      <c r="M69" s="67">
        <f t="shared" si="7"/>
        <v>9.09</v>
      </c>
      <c r="N69" s="67">
        <f t="shared" si="7"/>
        <v>9.09</v>
      </c>
      <c r="O69" s="67">
        <f t="shared" si="7"/>
        <v>9.09</v>
      </c>
      <c r="P69" s="67">
        <f t="shared" si="7"/>
        <v>9.09</v>
      </c>
      <c r="Q69" s="67">
        <f t="shared" si="7"/>
        <v>9.09</v>
      </c>
      <c r="R69" s="67">
        <f t="shared" si="7"/>
        <v>9.09</v>
      </c>
      <c r="S69" s="67">
        <f t="shared" si="7"/>
        <v>9.09</v>
      </c>
      <c r="T69" s="67">
        <f t="shared" si="7"/>
        <v>9.09</v>
      </c>
      <c r="U69" s="67">
        <f t="shared" si="7"/>
        <v>9.5330000000000013</v>
      </c>
      <c r="V69" s="67">
        <f t="shared" si="7"/>
        <v>9.5330000000000013</v>
      </c>
      <c r="W69" s="67">
        <f t="shared" si="7"/>
        <v>9.5330000000000013</v>
      </c>
      <c r="X69" s="67">
        <f t="shared" si="7"/>
        <v>9.5330000000000013</v>
      </c>
      <c r="Y69" s="67">
        <f t="shared" si="7"/>
        <v>9.5330000000000013</v>
      </c>
      <c r="Z69" s="67">
        <f t="shared" si="7"/>
        <v>9.5330000000000013</v>
      </c>
      <c r="AA69" s="67">
        <f t="shared" si="7"/>
        <v>9.5330000000000013</v>
      </c>
      <c r="AB69" s="67">
        <f t="shared" si="7"/>
        <v>9.5330000000000013</v>
      </c>
      <c r="AC69" s="67">
        <f t="shared" si="7"/>
        <v>9.5330000000000013</v>
      </c>
      <c r="AD69" s="67">
        <f t="shared" si="7"/>
        <v>9.5330000000000013</v>
      </c>
      <c r="AE69" s="67">
        <f t="shared" si="7"/>
        <v>9.5330000000000013</v>
      </c>
      <c r="AF69" s="67">
        <f t="shared" si="7"/>
        <v>9.5330000000000013</v>
      </c>
    </row>
    <row r="70" spans="4:32" ht="14.4">
      <c r="D70" s="66">
        <f>D$16</f>
        <v>2</v>
      </c>
      <c r="E70" s="66">
        <f>E$16</f>
        <v>4</v>
      </c>
      <c r="G70" s="64"/>
      <c r="I70" s="67">
        <f t="shared" si="7"/>
        <v>3.3499999999999996</v>
      </c>
      <c r="J70" s="67">
        <f t="shared" si="7"/>
        <v>3.3499999999999996</v>
      </c>
      <c r="K70" s="67">
        <f t="shared" si="7"/>
        <v>3.3499999999999996</v>
      </c>
      <c r="L70" s="67">
        <f t="shared" si="7"/>
        <v>3.3499999999999996</v>
      </c>
      <c r="M70" s="67">
        <f t="shared" si="7"/>
        <v>3.3499999999999996</v>
      </c>
      <c r="N70" s="67">
        <f t="shared" si="7"/>
        <v>3.3499999999999996</v>
      </c>
      <c r="O70" s="67">
        <f t="shared" si="7"/>
        <v>3.3499999999999996</v>
      </c>
      <c r="P70" s="67">
        <f t="shared" si="7"/>
        <v>3.3499999999999996</v>
      </c>
      <c r="Q70" s="67">
        <f t="shared" si="7"/>
        <v>3.3499999999999996</v>
      </c>
      <c r="R70" s="67">
        <f t="shared" si="7"/>
        <v>3.3499999999999996</v>
      </c>
      <c r="S70" s="67">
        <f t="shared" si="7"/>
        <v>3.3499999999999996</v>
      </c>
      <c r="T70" s="67">
        <f t="shared" si="7"/>
        <v>3.3499999999999996</v>
      </c>
      <c r="U70" s="67">
        <f t="shared" si="7"/>
        <v>3.4861999999999993</v>
      </c>
      <c r="V70" s="67">
        <f t="shared" si="7"/>
        <v>3.4861999999999993</v>
      </c>
      <c r="W70" s="67">
        <f t="shared" si="7"/>
        <v>3.4861999999999993</v>
      </c>
      <c r="X70" s="67">
        <f t="shared" si="7"/>
        <v>3.4861999999999993</v>
      </c>
      <c r="Y70" s="67">
        <f t="shared" si="7"/>
        <v>3.4861999999999993</v>
      </c>
      <c r="Z70" s="67">
        <f t="shared" si="7"/>
        <v>3.4861999999999993</v>
      </c>
      <c r="AA70" s="67">
        <f t="shared" si="7"/>
        <v>3.4861999999999993</v>
      </c>
      <c r="AB70" s="67">
        <f t="shared" si="7"/>
        <v>3.4861999999999993</v>
      </c>
      <c r="AC70" s="67">
        <f t="shared" si="7"/>
        <v>3.4861999999999993</v>
      </c>
      <c r="AD70" s="67">
        <f t="shared" si="7"/>
        <v>3.4861999999999993</v>
      </c>
      <c r="AE70" s="67">
        <f t="shared" si="7"/>
        <v>3.4861999999999993</v>
      </c>
      <c r="AF70" s="67">
        <f t="shared" si="7"/>
        <v>3.4861999999999993</v>
      </c>
    </row>
    <row r="71" spans="4:32" ht="14.4">
      <c r="D71" s="66">
        <f>D$17</f>
        <v>2</v>
      </c>
      <c r="E71" s="66">
        <f>E$17</f>
        <v>5</v>
      </c>
      <c r="G71" s="64"/>
      <c r="I71" s="67">
        <f t="shared" si="7"/>
        <v>7.9</v>
      </c>
      <c r="J71" s="67">
        <f t="shared" si="7"/>
        <v>7.9</v>
      </c>
      <c r="K71" s="67">
        <f t="shared" si="7"/>
        <v>7.9</v>
      </c>
      <c r="L71" s="67">
        <f t="shared" si="7"/>
        <v>7.9</v>
      </c>
      <c r="M71" s="67">
        <f t="shared" si="7"/>
        <v>7.9</v>
      </c>
      <c r="N71" s="67">
        <f t="shared" si="7"/>
        <v>7.9</v>
      </c>
      <c r="O71" s="67">
        <f t="shared" si="7"/>
        <v>7.9</v>
      </c>
      <c r="P71" s="67">
        <f t="shared" si="7"/>
        <v>7.9</v>
      </c>
      <c r="Q71" s="67">
        <f t="shared" si="7"/>
        <v>7.9</v>
      </c>
      <c r="R71" s="67">
        <f t="shared" si="7"/>
        <v>7.9</v>
      </c>
      <c r="S71" s="67">
        <f t="shared" si="7"/>
        <v>7.9</v>
      </c>
      <c r="T71" s="67">
        <f t="shared" si="7"/>
        <v>7.9</v>
      </c>
      <c r="U71" s="67">
        <f t="shared" si="7"/>
        <v>8.4366000000000003</v>
      </c>
      <c r="V71" s="67">
        <f t="shared" si="7"/>
        <v>8.4366000000000003</v>
      </c>
      <c r="W71" s="67">
        <f t="shared" si="7"/>
        <v>8.4366000000000003</v>
      </c>
      <c r="X71" s="67">
        <f t="shared" si="7"/>
        <v>8.4366000000000003</v>
      </c>
      <c r="Y71" s="67">
        <f t="shared" si="7"/>
        <v>8.4366000000000003</v>
      </c>
      <c r="Z71" s="67">
        <f t="shared" si="7"/>
        <v>8.4366000000000003</v>
      </c>
      <c r="AA71" s="67">
        <f t="shared" si="7"/>
        <v>8.4366000000000003</v>
      </c>
      <c r="AB71" s="67">
        <f t="shared" si="7"/>
        <v>8.4366000000000003</v>
      </c>
      <c r="AC71" s="67">
        <f t="shared" si="7"/>
        <v>8.4366000000000003</v>
      </c>
      <c r="AD71" s="67">
        <f t="shared" si="7"/>
        <v>8.4366000000000003</v>
      </c>
      <c r="AE71" s="67">
        <f t="shared" si="7"/>
        <v>8.4366000000000003</v>
      </c>
      <c r="AF71" s="67">
        <f t="shared" si="7"/>
        <v>8.4366000000000003</v>
      </c>
    </row>
    <row r="72" spans="4:32" ht="14.4">
      <c r="D72" s="66">
        <f>D$18</f>
        <v>3</v>
      </c>
      <c r="E72" s="66">
        <f>E$18</f>
        <v>1</v>
      </c>
      <c r="G72" s="64"/>
      <c r="I72" s="67">
        <f t="shared" si="7"/>
        <v>14.600000000000001</v>
      </c>
      <c r="J72" s="67">
        <f t="shared" si="7"/>
        <v>14.600000000000001</v>
      </c>
      <c r="K72" s="67">
        <f t="shared" si="7"/>
        <v>14.600000000000001</v>
      </c>
      <c r="L72" s="67">
        <f t="shared" si="7"/>
        <v>14.600000000000001</v>
      </c>
      <c r="M72" s="67">
        <f t="shared" si="7"/>
        <v>14.600000000000001</v>
      </c>
      <c r="N72" s="67">
        <f t="shared" si="7"/>
        <v>14.600000000000001</v>
      </c>
      <c r="O72" s="67">
        <f t="shared" si="7"/>
        <v>14.600000000000001</v>
      </c>
      <c r="P72" s="67">
        <f t="shared" si="7"/>
        <v>14.600000000000001</v>
      </c>
      <c r="Q72" s="67">
        <f t="shared" si="7"/>
        <v>14.600000000000001</v>
      </c>
      <c r="R72" s="67">
        <f t="shared" si="7"/>
        <v>14.600000000000001</v>
      </c>
      <c r="S72" s="67">
        <f t="shared" si="7"/>
        <v>14.600000000000001</v>
      </c>
      <c r="T72" s="67">
        <f t="shared" si="7"/>
        <v>14.600000000000001</v>
      </c>
      <c r="U72" s="67">
        <f t="shared" si="7"/>
        <v>15.226000000000006</v>
      </c>
      <c r="V72" s="67">
        <f t="shared" si="7"/>
        <v>15.226000000000006</v>
      </c>
      <c r="W72" s="67">
        <f t="shared" si="7"/>
        <v>15.226000000000006</v>
      </c>
      <c r="X72" s="67">
        <f t="shared" ref="X72:AF72" si="8">X18-X45</f>
        <v>15.226000000000006</v>
      </c>
      <c r="Y72" s="67">
        <f t="shared" si="8"/>
        <v>15.226000000000006</v>
      </c>
      <c r="Z72" s="67">
        <f t="shared" si="8"/>
        <v>15.226000000000006</v>
      </c>
      <c r="AA72" s="67">
        <f t="shared" si="8"/>
        <v>15.226000000000006</v>
      </c>
      <c r="AB72" s="67">
        <f t="shared" si="8"/>
        <v>15.226000000000006</v>
      </c>
      <c r="AC72" s="67">
        <f t="shared" si="8"/>
        <v>15.226000000000006</v>
      </c>
      <c r="AD72" s="67">
        <f t="shared" si="8"/>
        <v>15.226000000000006</v>
      </c>
      <c r="AE72" s="67">
        <f t="shared" si="8"/>
        <v>15.226000000000006</v>
      </c>
      <c r="AF72" s="67">
        <f t="shared" si="8"/>
        <v>15.226000000000006</v>
      </c>
    </row>
    <row r="73" spans="4:32" ht="14.4">
      <c r="D73" s="66">
        <f>D$19</f>
        <v>3</v>
      </c>
      <c r="E73" s="66">
        <f>E$19</f>
        <v>2</v>
      </c>
      <c r="G73" s="64"/>
      <c r="I73" s="67">
        <f t="shared" ref="I73:AF83" si="9">I19-I46</f>
        <v>10.540000000000003</v>
      </c>
      <c r="J73" s="67">
        <f t="shared" si="9"/>
        <v>10.540000000000003</v>
      </c>
      <c r="K73" s="67">
        <f t="shared" si="9"/>
        <v>10.540000000000003</v>
      </c>
      <c r="L73" s="67">
        <f t="shared" si="9"/>
        <v>10.540000000000003</v>
      </c>
      <c r="M73" s="67">
        <f t="shared" si="9"/>
        <v>10.540000000000003</v>
      </c>
      <c r="N73" s="67">
        <f t="shared" si="9"/>
        <v>10.540000000000003</v>
      </c>
      <c r="O73" s="67">
        <f t="shared" si="9"/>
        <v>10.540000000000003</v>
      </c>
      <c r="P73" s="67">
        <f t="shared" si="9"/>
        <v>10.540000000000003</v>
      </c>
      <c r="Q73" s="67">
        <f t="shared" si="9"/>
        <v>10.540000000000003</v>
      </c>
      <c r="R73" s="67">
        <f t="shared" si="9"/>
        <v>10.540000000000003</v>
      </c>
      <c r="S73" s="67">
        <f t="shared" si="9"/>
        <v>10.540000000000003</v>
      </c>
      <c r="T73" s="67">
        <f t="shared" si="9"/>
        <v>10.540000000000003</v>
      </c>
      <c r="U73" s="67">
        <f t="shared" si="9"/>
        <v>10.953100000000003</v>
      </c>
      <c r="V73" s="67">
        <f t="shared" si="9"/>
        <v>10.953100000000003</v>
      </c>
      <c r="W73" s="67">
        <f t="shared" si="9"/>
        <v>10.953100000000003</v>
      </c>
      <c r="X73" s="67">
        <f t="shared" si="9"/>
        <v>10.953100000000003</v>
      </c>
      <c r="Y73" s="67">
        <f t="shared" si="9"/>
        <v>10.953100000000003</v>
      </c>
      <c r="Z73" s="67">
        <f t="shared" si="9"/>
        <v>10.953100000000003</v>
      </c>
      <c r="AA73" s="67">
        <f t="shared" si="9"/>
        <v>10.953100000000003</v>
      </c>
      <c r="AB73" s="67">
        <f t="shared" si="9"/>
        <v>10.953100000000003</v>
      </c>
      <c r="AC73" s="67">
        <f t="shared" si="9"/>
        <v>10.953100000000003</v>
      </c>
      <c r="AD73" s="67">
        <f t="shared" si="9"/>
        <v>10.953100000000003</v>
      </c>
      <c r="AE73" s="67">
        <f t="shared" si="9"/>
        <v>10.953100000000003</v>
      </c>
      <c r="AF73" s="67">
        <f t="shared" si="9"/>
        <v>10.953100000000003</v>
      </c>
    </row>
    <row r="74" spans="4:32" ht="14.4">
      <c r="D74" s="66">
        <f>D$20</f>
        <v>3</v>
      </c>
      <c r="E74" s="66">
        <f>E$20</f>
        <v>3</v>
      </c>
      <c r="G74" s="64"/>
      <c r="I74" s="67">
        <f t="shared" si="9"/>
        <v>9.6000000000000014</v>
      </c>
      <c r="J74" s="67">
        <f t="shared" si="9"/>
        <v>9.6000000000000014</v>
      </c>
      <c r="K74" s="67">
        <f t="shared" si="9"/>
        <v>9.6000000000000014</v>
      </c>
      <c r="L74" s="67">
        <f t="shared" si="9"/>
        <v>9.6000000000000014</v>
      </c>
      <c r="M74" s="67">
        <f t="shared" si="9"/>
        <v>9.6000000000000014</v>
      </c>
      <c r="N74" s="67">
        <f t="shared" si="9"/>
        <v>9.6000000000000014</v>
      </c>
      <c r="O74" s="67">
        <f t="shared" si="9"/>
        <v>9.6000000000000014</v>
      </c>
      <c r="P74" s="67">
        <f t="shared" si="9"/>
        <v>9.6000000000000014</v>
      </c>
      <c r="Q74" s="67">
        <f t="shared" si="9"/>
        <v>9.6000000000000014</v>
      </c>
      <c r="R74" s="67">
        <f t="shared" si="9"/>
        <v>9.6000000000000014</v>
      </c>
      <c r="S74" s="67">
        <f t="shared" si="9"/>
        <v>9.6000000000000014</v>
      </c>
      <c r="T74" s="67">
        <f t="shared" si="9"/>
        <v>9.6000000000000014</v>
      </c>
      <c r="U74" s="67">
        <f t="shared" si="9"/>
        <v>10.073600000000001</v>
      </c>
      <c r="V74" s="67">
        <f t="shared" si="9"/>
        <v>10.073600000000001</v>
      </c>
      <c r="W74" s="67">
        <f t="shared" si="9"/>
        <v>10.073600000000001</v>
      </c>
      <c r="X74" s="67">
        <f t="shared" si="9"/>
        <v>10.073600000000001</v>
      </c>
      <c r="Y74" s="67">
        <f t="shared" si="9"/>
        <v>10.073600000000001</v>
      </c>
      <c r="Z74" s="67">
        <f t="shared" si="9"/>
        <v>10.073600000000001</v>
      </c>
      <c r="AA74" s="67">
        <f t="shared" si="9"/>
        <v>10.073600000000001</v>
      </c>
      <c r="AB74" s="67">
        <f t="shared" si="9"/>
        <v>10.073600000000001</v>
      </c>
      <c r="AC74" s="67">
        <f t="shared" si="9"/>
        <v>10.073600000000001</v>
      </c>
      <c r="AD74" s="67">
        <f t="shared" si="9"/>
        <v>10.073600000000001</v>
      </c>
      <c r="AE74" s="67">
        <f t="shared" si="9"/>
        <v>10.073600000000001</v>
      </c>
      <c r="AF74" s="67">
        <f t="shared" si="9"/>
        <v>10.073600000000001</v>
      </c>
    </row>
    <row r="75" spans="4:32" ht="14.4">
      <c r="D75" s="66">
        <f>D$21</f>
        <v>3</v>
      </c>
      <c r="E75" s="66">
        <f>E$21</f>
        <v>4</v>
      </c>
      <c r="G75" s="64"/>
      <c r="I75" s="67">
        <f t="shared" si="9"/>
        <v>4.32</v>
      </c>
      <c r="J75" s="67">
        <f t="shared" si="9"/>
        <v>4.32</v>
      </c>
      <c r="K75" s="67">
        <f t="shared" si="9"/>
        <v>4.32</v>
      </c>
      <c r="L75" s="67">
        <f t="shared" si="9"/>
        <v>4.32</v>
      </c>
      <c r="M75" s="67">
        <f t="shared" si="9"/>
        <v>4.32</v>
      </c>
      <c r="N75" s="67">
        <f t="shared" si="9"/>
        <v>4.32</v>
      </c>
      <c r="O75" s="67">
        <f t="shared" si="9"/>
        <v>4.32</v>
      </c>
      <c r="P75" s="67">
        <f t="shared" si="9"/>
        <v>4.32</v>
      </c>
      <c r="Q75" s="67">
        <f t="shared" si="9"/>
        <v>4.32</v>
      </c>
      <c r="R75" s="67">
        <f t="shared" si="9"/>
        <v>4.32</v>
      </c>
      <c r="S75" s="67">
        <f t="shared" si="9"/>
        <v>4.32</v>
      </c>
      <c r="T75" s="67">
        <f t="shared" si="9"/>
        <v>4.32</v>
      </c>
      <c r="U75" s="67">
        <f t="shared" si="9"/>
        <v>4.5144000000000011</v>
      </c>
      <c r="V75" s="67">
        <f t="shared" si="9"/>
        <v>4.5144000000000011</v>
      </c>
      <c r="W75" s="67">
        <f t="shared" si="9"/>
        <v>4.5144000000000011</v>
      </c>
      <c r="X75" s="67">
        <f t="shared" si="9"/>
        <v>4.5144000000000011</v>
      </c>
      <c r="Y75" s="67">
        <f t="shared" si="9"/>
        <v>4.5144000000000011</v>
      </c>
      <c r="Z75" s="67">
        <f t="shared" si="9"/>
        <v>4.5144000000000011</v>
      </c>
      <c r="AA75" s="67">
        <f t="shared" si="9"/>
        <v>4.5144000000000011</v>
      </c>
      <c r="AB75" s="67">
        <f t="shared" si="9"/>
        <v>4.5144000000000011</v>
      </c>
      <c r="AC75" s="67">
        <f t="shared" si="9"/>
        <v>4.5144000000000011</v>
      </c>
      <c r="AD75" s="67">
        <f t="shared" si="9"/>
        <v>4.5144000000000011</v>
      </c>
      <c r="AE75" s="67">
        <f t="shared" si="9"/>
        <v>4.5144000000000011</v>
      </c>
      <c r="AF75" s="67">
        <f t="shared" si="9"/>
        <v>4.5144000000000011</v>
      </c>
    </row>
    <row r="76" spans="4:32" ht="14.4">
      <c r="D76" s="66">
        <f>D$22</f>
        <v>3</v>
      </c>
      <c r="E76" s="66">
        <f>E$22</f>
        <v>5</v>
      </c>
      <c r="G76" s="64"/>
      <c r="I76" s="67">
        <f t="shared" si="9"/>
        <v>9.39</v>
      </c>
      <c r="J76" s="67">
        <f t="shared" si="9"/>
        <v>9.39</v>
      </c>
      <c r="K76" s="67">
        <f t="shared" si="9"/>
        <v>9.39</v>
      </c>
      <c r="L76" s="67">
        <f t="shared" si="9"/>
        <v>9.39</v>
      </c>
      <c r="M76" s="67">
        <f t="shared" si="9"/>
        <v>9.39</v>
      </c>
      <c r="N76" s="67">
        <f t="shared" si="9"/>
        <v>9.39</v>
      </c>
      <c r="O76" s="67">
        <f t="shared" si="9"/>
        <v>9.39</v>
      </c>
      <c r="P76" s="67">
        <f t="shared" si="9"/>
        <v>9.39</v>
      </c>
      <c r="Q76" s="67">
        <f t="shared" si="9"/>
        <v>9.39</v>
      </c>
      <c r="R76" s="67">
        <f t="shared" si="9"/>
        <v>9.39</v>
      </c>
      <c r="S76" s="67">
        <f t="shared" si="9"/>
        <v>9.39</v>
      </c>
      <c r="T76" s="67">
        <f t="shared" si="9"/>
        <v>9.39</v>
      </c>
      <c r="U76" s="67">
        <f t="shared" si="9"/>
        <v>10.016000000000002</v>
      </c>
      <c r="V76" s="67">
        <f t="shared" si="9"/>
        <v>10.016000000000002</v>
      </c>
      <c r="W76" s="67">
        <f t="shared" si="9"/>
        <v>10.016000000000002</v>
      </c>
      <c r="X76" s="67">
        <f t="shared" si="9"/>
        <v>10.016000000000002</v>
      </c>
      <c r="Y76" s="67">
        <f t="shared" si="9"/>
        <v>10.016000000000002</v>
      </c>
      <c r="Z76" s="67">
        <f t="shared" si="9"/>
        <v>10.016000000000002</v>
      </c>
      <c r="AA76" s="67">
        <f t="shared" si="9"/>
        <v>10.016000000000002</v>
      </c>
      <c r="AB76" s="67">
        <f t="shared" si="9"/>
        <v>10.016000000000002</v>
      </c>
      <c r="AC76" s="67">
        <f t="shared" si="9"/>
        <v>10.016000000000002</v>
      </c>
      <c r="AD76" s="67">
        <f t="shared" si="9"/>
        <v>10.016000000000002</v>
      </c>
      <c r="AE76" s="67">
        <f t="shared" si="9"/>
        <v>10.016000000000002</v>
      </c>
      <c r="AF76" s="67">
        <f t="shared" si="9"/>
        <v>10.016000000000002</v>
      </c>
    </row>
    <row r="77" spans="4:32" ht="14.4">
      <c r="D77" s="66">
        <f>D$23</f>
        <v>4</v>
      </c>
      <c r="E77" s="66">
        <f>E$23</f>
        <v>1</v>
      </c>
      <c r="G77" s="64"/>
      <c r="I77" s="67">
        <f t="shared" si="9"/>
        <v>19.399999999999999</v>
      </c>
      <c r="J77" s="67">
        <f t="shared" si="9"/>
        <v>19.399999999999999</v>
      </c>
      <c r="K77" s="67">
        <f t="shared" si="9"/>
        <v>19.399999999999999</v>
      </c>
      <c r="L77" s="67">
        <f t="shared" si="9"/>
        <v>19.399999999999999</v>
      </c>
      <c r="M77" s="67">
        <f t="shared" si="9"/>
        <v>19.399999999999999</v>
      </c>
      <c r="N77" s="67">
        <f t="shared" si="9"/>
        <v>19.399999999999999</v>
      </c>
      <c r="O77" s="67">
        <f t="shared" si="9"/>
        <v>19.399999999999999</v>
      </c>
      <c r="P77" s="67">
        <f t="shared" si="9"/>
        <v>19.399999999999999</v>
      </c>
      <c r="Q77" s="67">
        <f t="shared" si="9"/>
        <v>19.399999999999999</v>
      </c>
      <c r="R77" s="67">
        <f t="shared" si="9"/>
        <v>19.399999999999999</v>
      </c>
      <c r="S77" s="67">
        <f t="shared" si="9"/>
        <v>19.399999999999999</v>
      </c>
      <c r="T77" s="67">
        <f t="shared" si="9"/>
        <v>19.399999999999999</v>
      </c>
      <c r="U77" s="67">
        <f t="shared" si="9"/>
        <v>21.201999999999998</v>
      </c>
      <c r="V77" s="67">
        <f t="shared" si="9"/>
        <v>21.201999999999998</v>
      </c>
      <c r="W77" s="67">
        <f t="shared" si="9"/>
        <v>21.201999999999998</v>
      </c>
      <c r="X77" s="67">
        <f t="shared" si="9"/>
        <v>21.201999999999998</v>
      </c>
      <c r="Y77" s="67">
        <f t="shared" si="9"/>
        <v>21.201999999999998</v>
      </c>
      <c r="Z77" s="67">
        <f t="shared" si="9"/>
        <v>21.201999999999998</v>
      </c>
      <c r="AA77" s="67">
        <f t="shared" si="9"/>
        <v>21.201999999999998</v>
      </c>
      <c r="AB77" s="67">
        <f t="shared" si="9"/>
        <v>21.201999999999998</v>
      </c>
      <c r="AC77" s="67">
        <f t="shared" si="9"/>
        <v>21.201999999999998</v>
      </c>
      <c r="AD77" s="67">
        <f t="shared" si="9"/>
        <v>21.201999999999998</v>
      </c>
      <c r="AE77" s="67">
        <f t="shared" si="9"/>
        <v>21.201999999999998</v>
      </c>
      <c r="AF77" s="67">
        <f t="shared" si="9"/>
        <v>21.201999999999998</v>
      </c>
    </row>
    <row r="78" spans="4:32" ht="14.4">
      <c r="D78" s="66">
        <f>D$24</f>
        <v>4</v>
      </c>
      <c r="E78" s="66">
        <f>E$24</f>
        <v>2</v>
      </c>
      <c r="G78" s="64"/>
      <c r="I78" s="67">
        <f t="shared" si="9"/>
        <v>9.860000000000003</v>
      </c>
      <c r="J78" s="67">
        <f t="shared" si="9"/>
        <v>9.860000000000003</v>
      </c>
      <c r="K78" s="67">
        <f t="shared" si="9"/>
        <v>9.860000000000003</v>
      </c>
      <c r="L78" s="67">
        <f t="shared" si="9"/>
        <v>9.860000000000003</v>
      </c>
      <c r="M78" s="67">
        <f t="shared" si="9"/>
        <v>9.860000000000003</v>
      </c>
      <c r="N78" s="67">
        <f t="shared" si="9"/>
        <v>9.860000000000003</v>
      </c>
      <c r="O78" s="67">
        <f t="shared" si="9"/>
        <v>9.860000000000003</v>
      </c>
      <c r="P78" s="67">
        <f t="shared" si="9"/>
        <v>9.860000000000003</v>
      </c>
      <c r="Q78" s="67">
        <f t="shared" si="9"/>
        <v>9.860000000000003</v>
      </c>
      <c r="R78" s="67">
        <f t="shared" si="9"/>
        <v>9.860000000000003</v>
      </c>
      <c r="S78" s="67">
        <f t="shared" si="9"/>
        <v>9.860000000000003</v>
      </c>
      <c r="T78" s="67">
        <f t="shared" si="9"/>
        <v>9.860000000000003</v>
      </c>
      <c r="U78" s="67">
        <f t="shared" si="9"/>
        <v>10.575700000000001</v>
      </c>
      <c r="V78" s="67">
        <f t="shared" si="9"/>
        <v>10.575700000000001</v>
      </c>
      <c r="W78" s="67">
        <f t="shared" si="9"/>
        <v>10.575700000000001</v>
      </c>
      <c r="X78" s="67">
        <f t="shared" si="9"/>
        <v>10.575700000000001</v>
      </c>
      <c r="Y78" s="67">
        <f t="shared" si="9"/>
        <v>10.575700000000001</v>
      </c>
      <c r="Z78" s="67">
        <f t="shared" si="9"/>
        <v>10.575700000000001</v>
      </c>
      <c r="AA78" s="67">
        <f t="shared" si="9"/>
        <v>10.575700000000001</v>
      </c>
      <c r="AB78" s="67">
        <f t="shared" si="9"/>
        <v>10.575700000000001</v>
      </c>
      <c r="AC78" s="67">
        <f t="shared" si="9"/>
        <v>10.575700000000001</v>
      </c>
      <c r="AD78" s="67">
        <f t="shared" si="9"/>
        <v>10.575700000000001</v>
      </c>
      <c r="AE78" s="67">
        <f t="shared" si="9"/>
        <v>10.575700000000001</v>
      </c>
      <c r="AF78" s="67">
        <f t="shared" si="9"/>
        <v>10.575700000000001</v>
      </c>
    </row>
    <row r="79" spans="4:32" ht="14.4">
      <c r="D79" s="66">
        <f>D$25</f>
        <v>4</v>
      </c>
      <c r="E79" s="66">
        <f>E$25</f>
        <v>3</v>
      </c>
      <c r="G79" s="64"/>
      <c r="I79" s="67">
        <f t="shared" si="9"/>
        <v>8.4499999999999993</v>
      </c>
      <c r="J79" s="67">
        <f t="shared" si="9"/>
        <v>8.4499999999999993</v>
      </c>
      <c r="K79" s="67">
        <f t="shared" si="9"/>
        <v>8.4499999999999993</v>
      </c>
      <c r="L79" s="67">
        <f t="shared" si="9"/>
        <v>8.4499999999999993</v>
      </c>
      <c r="M79" s="67">
        <f t="shared" si="9"/>
        <v>8.4499999999999993</v>
      </c>
      <c r="N79" s="67">
        <f t="shared" si="9"/>
        <v>8.4499999999999993</v>
      </c>
      <c r="O79" s="67">
        <f t="shared" si="9"/>
        <v>8.4499999999999993</v>
      </c>
      <c r="P79" s="67">
        <f t="shared" si="9"/>
        <v>8.4499999999999993</v>
      </c>
      <c r="Q79" s="67">
        <f t="shared" si="9"/>
        <v>8.4499999999999993</v>
      </c>
      <c r="R79" s="67">
        <f t="shared" si="9"/>
        <v>8.4499999999999993</v>
      </c>
      <c r="S79" s="67">
        <f t="shared" si="9"/>
        <v>8.4499999999999993</v>
      </c>
      <c r="T79" s="67">
        <f t="shared" si="9"/>
        <v>8.4499999999999993</v>
      </c>
      <c r="U79" s="67">
        <f t="shared" si="9"/>
        <v>9.1260000000000012</v>
      </c>
      <c r="V79" s="67">
        <f t="shared" si="9"/>
        <v>9.1260000000000012</v>
      </c>
      <c r="W79" s="67">
        <f t="shared" si="9"/>
        <v>9.1260000000000012</v>
      </c>
      <c r="X79" s="67">
        <f t="shared" si="9"/>
        <v>9.1260000000000012</v>
      </c>
      <c r="Y79" s="67">
        <f t="shared" si="9"/>
        <v>9.1260000000000012</v>
      </c>
      <c r="Z79" s="67">
        <f t="shared" si="9"/>
        <v>9.1260000000000012</v>
      </c>
      <c r="AA79" s="67">
        <f t="shared" si="9"/>
        <v>9.1260000000000012</v>
      </c>
      <c r="AB79" s="67">
        <f t="shared" si="9"/>
        <v>9.1260000000000012</v>
      </c>
      <c r="AC79" s="67">
        <f t="shared" si="9"/>
        <v>9.1260000000000012</v>
      </c>
      <c r="AD79" s="67">
        <f t="shared" si="9"/>
        <v>9.1260000000000012</v>
      </c>
      <c r="AE79" s="67">
        <f t="shared" si="9"/>
        <v>9.1260000000000012</v>
      </c>
      <c r="AF79" s="67">
        <f t="shared" si="9"/>
        <v>9.1260000000000012</v>
      </c>
    </row>
    <row r="80" spans="4:32" ht="14.4">
      <c r="D80" s="66">
        <f>D$26</f>
        <v>4</v>
      </c>
      <c r="E80" s="66">
        <f>E$26</f>
        <v>4</v>
      </c>
      <c r="G80" s="64"/>
      <c r="I80" s="67">
        <f t="shared" si="9"/>
        <v>5.9399999999999995</v>
      </c>
      <c r="J80" s="67">
        <f t="shared" si="9"/>
        <v>5.9399999999999995</v>
      </c>
      <c r="K80" s="67">
        <f t="shared" si="9"/>
        <v>5.9399999999999995</v>
      </c>
      <c r="L80" s="67">
        <f t="shared" si="9"/>
        <v>5.9399999999999995</v>
      </c>
      <c r="M80" s="67">
        <f t="shared" si="9"/>
        <v>5.9399999999999995</v>
      </c>
      <c r="N80" s="67">
        <f t="shared" si="9"/>
        <v>5.9399999999999995</v>
      </c>
      <c r="O80" s="67">
        <f t="shared" si="9"/>
        <v>5.9399999999999995</v>
      </c>
      <c r="P80" s="67">
        <f t="shared" si="9"/>
        <v>5.9399999999999995</v>
      </c>
      <c r="Q80" s="67">
        <f t="shared" si="9"/>
        <v>5.9399999999999995</v>
      </c>
      <c r="R80" s="67">
        <f t="shared" si="9"/>
        <v>5.9399999999999995</v>
      </c>
      <c r="S80" s="67">
        <f t="shared" si="9"/>
        <v>5.9399999999999995</v>
      </c>
      <c r="T80" s="67">
        <f t="shared" si="9"/>
        <v>5.9399999999999995</v>
      </c>
      <c r="U80" s="67">
        <f t="shared" si="9"/>
        <v>6.4799999999999995</v>
      </c>
      <c r="V80" s="67">
        <f t="shared" si="9"/>
        <v>6.4799999999999995</v>
      </c>
      <c r="W80" s="67">
        <f t="shared" si="9"/>
        <v>6.4799999999999995</v>
      </c>
      <c r="X80" s="67">
        <f t="shared" si="9"/>
        <v>6.4799999999999995</v>
      </c>
      <c r="Y80" s="67">
        <f t="shared" si="9"/>
        <v>6.4799999999999995</v>
      </c>
      <c r="Z80" s="67">
        <f t="shared" si="9"/>
        <v>6.4799999999999995</v>
      </c>
      <c r="AA80" s="67">
        <f t="shared" si="9"/>
        <v>6.4799999999999995</v>
      </c>
      <c r="AB80" s="67">
        <f t="shared" si="9"/>
        <v>6.4799999999999995</v>
      </c>
      <c r="AC80" s="67">
        <f t="shared" si="9"/>
        <v>6.4799999999999995</v>
      </c>
      <c r="AD80" s="67">
        <f t="shared" si="9"/>
        <v>6.4799999999999995</v>
      </c>
      <c r="AE80" s="67">
        <f t="shared" si="9"/>
        <v>6.4799999999999995</v>
      </c>
      <c r="AF80" s="67">
        <f t="shared" si="9"/>
        <v>6.4799999999999995</v>
      </c>
    </row>
    <row r="81" spans="2:32" ht="14.4">
      <c r="D81" s="66">
        <f>D$27</f>
        <v>4</v>
      </c>
      <c r="E81" s="66">
        <f>E$27</f>
        <v>5</v>
      </c>
      <c r="G81" s="64"/>
      <c r="I81" s="67">
        <f t="shared" si="9"/>
        <v>7.9</v>
      </c>
      <c r="J81" s="67">
        <f t="shared" si="9"/>
        <v>7.9</v>
      </c>
      <c r="K81" s="67">
        <f t="shared" si="9"/>
        <v>7.9</v>
      </c>
      <c r="L81" s="67">
        <f t="shared" si="9"/>
        <v>7.9</v>
      </c>
      <c r="M81" s="67">
        <f t="shared" si="9"/>
        <v>7.9</v>
      </c>
      <c r="N81" s="67">
        <f t="shared" si="9"/>
        <v>7.9</v>
      </c>
      <c r="O81" s="67">
        <f t="shared" si="9"/>
        <v>7.9</v>
      </c>
      <c r="P81" s="67">
        <f t="shared" si="9"/>
        <v>7.9</v>
      </c>
      <c r="Q81" s="67">
        <f t="shared" si="9"/>
        <v>7.9</v>
      </c>
      <c r="R81" s="67">
        <f t="shared" si="9"/>
        <v>7.9</v>
      </c>
      <c r="S81" s="67">
        <f t="shared" si="9"/>
        <v>7.9</v>
      </c>
      <c r="T81" s="67">
        <f t="shared" si="9"/>
        <v>7.9</v>
      </c>
      <c r="U81" s="67">
        <f t="shared" si="9"/>
        <v>8.7198000000000011</v>
      </c>
      <c r="V81" s="67">
        <f t="shared" si="9"/>
        <v>8.7198000000000011</v>
      </c>
      <c r="W81" s="67">
        <f t="shared" si="9"/>
        <v>8.7198000000000011</v>
      </c>
      <c r="X81" s="67">
        <f t="shared" si="9"/>
        <v>8.7198000000000011</v>
      </c>
      <c r="Y81" s="67">
        <f t="shared" si="9"/>
        <v>8.7198000000000011</v>
      </c>
      <c r="Z81" s="67">
        <f t="shared" si="9"/>
        <v>8.7198000000000011</v>
      </c>
      <c r="AA81" s="67">
        <f t="shared" si="9"/>
        <v>8.7198000000000011</v>
      </c>
      <c r="AB81" s="67">
        <f t="shared" si="9"/>
        <v>8.7198000000000011</v>
      </c>
      <c r="AC81" s="67">
        <f t="shared" si="9"/>
        <v>8.7198000000000011</v>
      </c>
      <c r="AD81" s="67">
        <f t="shared" si="9"/>
        <v>8.7198000000000011</v>
      </c>
      <c r="AE81" s="67">
        <f t="shared" si="9"/>
        <v>8.7198000000000011</v>
      </c>
      <c r="AF81" s="67">
        <f t="shared" si="9"/>
        <v>8.7198000000000011</v>
      </c>
    </row>
    <row r="82" spans="2:32" ht="14.4">
      <c r="D82" s="66">
        <f>D$28</f>
        <v>5</v>
      </c>
      <c r="E82" s="66">
        <f>E$28</f>
        <v>1</v>
      </c>
      <c r="G82" s="64"/>
      <c r="I82" s="67">
        <f t="shared" si="9"/>
        <v>12.600000000000001</v>
      </c>
      <c r="J82" s="67">
        <f t="shared" si="9"/>
        <v>12.600000000000001</v>
      </c>
      <c r="K82" s="67">
        <f t="shared" si="9"/>
        <v>12.600000000000001</v>
      </c>
      <c r="L82" s="67">
        <f t="shared" si="9"/>
        <v>12.600000000000001</v>
      </c>
      <c r="M82" s="67">
        <f t="shared" si="9"/>
        <v>12.600000000000001</v>
      </c>
      <c r="N82" s="67">
        <f t="shared" si="9"/>
        <v>12.600000000000001</v>
      </c>
      <c r="O82" s="67">
        <f t="shared" si="9"/>
        <v>12.600000000000001</v>
      </c>
      <c r="P82" s="67">
        <f t="shared" si="9"/>
        <v>12.600000000000001</v>
      </c>
      <c r="Q82" s="67">
        <f t="shared" si="9"/>
        <v>12.600000000000001</v>
      </c>
      <c r="R82" s="67">
        <f t="shared" si="9"/>
        <v>12.600000000000001</v>
      </c>
      <c r="S82" s="67">
        <f t="shared" si="9"/>
        <v>12.600000000000001</v>
      </c>
      <c r="T82" s="67">
        <f t="shared" si="9"/>
        <v>12.600000000000001</v>
      </c>
      <c r="U82" s="67">
        <f t="shared" si="9"/>
        <v>13.482000000000006</v>
      </c>
      <c r="V82" s="67">
        <f t="shared" si="9"/>
        <v>13.482000000000006</v>
      </c>
      <c r="W82" s="67">
        <f t="shared" si="9"/>
        <v>13.482000000000006</v>
      </c>
      <c r="X82" s="67">
        <f t="shared" si="9"/>
        <v>13.482000000000006</v>
      </c>
      <c r="Y82" s="67">
        <f t="shared" si="9"/>
        <v>13.482000000000006</v>
      </c>
      <c r="Z82" s="67">
        <f t="shared" si="9"/>
        <v>13.482000000000006</v>
      </c>
      <c r="AA82" s="67">
        <f t="shared" si="9"/>
        <v>13.482000000000006</v>
      </c>
      <c r="AB82" s="67">
        <f t="shared" si="9"/>
        <v>13.482000000000006</v>
      </c>
      <c r="AC82" s="67">
        <f t="shared" si="9"/>
        <v>13.482000000000006</v>
      </c>
      <c r="AD82" s="67">
        <f t="shared" si="9"/>
        <v>13.482000000000006</v>
      </c>
      <c r="AE82" s="67">
        <f t="shared" si="9"/>
        <v>13.482000000000006</v>
      </c>
      <c r="AF82" s="67">
        <f t="shared" si="9"/>
        <v>13.482000000000006</v>
      </c>
    </row>
    <row r="83" spans="2:32" ht="14.4">
      <c r="D83" s="66">
        <f>D$29</f>
        <v>5</v>
      </c>
      <c r="E83" s="66">
        <f>E$29</f>
        <v>2</v>
      </c>
      <c r="G83" s="64"/>
      <c r="I83" s="67">
        <f t="shared" si="9"/>
        <v>7.8200000000000012</v>
      </c>
      <c r="J83" s="67">
        <f t="shared" si="9"/>
        <v>7.8200000000000012</v>
      </c>
      <c r="K83" s="67">
        <f t="shared" si="9"/>
        <v>7.8200000000000012</v>
      </c>
      <c r="L83" s="67">
        <f t="shared" si="9"/>
        <v>7.8200000000000012</v>
      </c>
      <c r="M83" s="67">
        <f t="shared" si="9"/>
        <v>7.8200000000000012</v>
      </c>
      <c r="N83" s="67">
        <f t="shared" si="9"/>
        <v>7.8200000000000012</v>
      </c>
      <c r="O83" s="67">
        <f t="shared" si="9"/>
        <v>7.8200000000000012</v>
      </c>
      <c r="P83" s="67">
        <f t="shared" si="9"/>
        <v>7.8200000000000012</v>
      </c>
      <c r="Q83" s="67">
        <f t="shared" si="9"/>
        <v>7.8200000000000012</v>
      </c>
      <c r="R83" s="67">
        <f t="shared" si="9"/>
        <v>7.8200000000000012</v>
      </c>
      <c r="S83" s="67">
        <f t="shared" si="9"/>
        <v>7.8200000000000012</v>
      </c>
      <c r="T83" s="67">
        <f t="shared" si="9"/>
        <v>7.8200000000000012</v>
      </c>
      <c r="U83" s="67">
        <f t="shared" si="9"/>
        <v>8.2212000000000032</v>
      </c>
      <c r="V83" s="67">
        <f t="shared" si="9"/>
        <v>8.2212000000000032</v>
      </c>
      <c r="W83" s="67">
        <f t="shared" si="9"/>
        <v>8.2212000000000032</v>
      </c>
      <c r="X83" s="67">
        <f t="shared" ref="X83:AF83" si="10">X29-X56</f>
        <v>8.2212000000000032</v>
      </c>
      <c r="Y83" s="67">
        <f t="shared" si="10"/>
        <v>8.2212000000000032</v>
      </c>
      <c r="Z83" s="67">
        <f t="shared" si="10"/>
        <v>8.2212000000000032</v>
      </c>
      <c r="AA83" s="67">
        <f t="shared" si="10"/>
        <v>8.2212000000000032</v>
      </c>
      <c r="AB83" s="67">
        <f t="shared" si="10"/>
        <v>8.2212000000000032</v>
      </c>
      <c r="AC83" s="67">
        <f t="shared" si="10"/>
        <v>8.2212000000000032</v>
      </c>
      <c r="AD83" s="67">
        <f t="shared" si="10"/>
        <v>8.2212000000000032</v>
      </c>
      <c r="AE83" s="67">
        <f t="shared" si="10"/>
        <v>8.2212000000000032</v>
      </c>
      <c r="AF83" s="67">
        <f t="shared" si="10"/>
        <v>8.2212000000000032</v>
      </c>
    </row>
    <row r="84" spans="2:32" ht="14.4">
      <c r="D84" s="66">
        <f>D$30</f>
        <v>5</v>
      </c>
      <c r="E84" s="66">
        <f>E$30</f>
        <v>3</v>
      </c>
      <c r="G84" s="64"/>
      <c r="I84" s="67">
        <f t="shared" ref="I84:AF86" si="11">I30-I57</f>
        <v>7.94</v>
      </c>
      <c r="J84" s="67">
        <f t="shared" si="11"/>
        <v>7.94</v>
      </c>
      <c r="K84" s="67">
        <f t="shared" si="11"/>
        <v>7.94</v>
      </c>
      <c r="L84" s="67">
        <f t="shared" si="11"/>
        <v>7.94</v>
      </c>
      <c r="M84" s="67">
        <f t="shared" si="11"/>
        <v>7.94</v>
      </c>
      <c r="N84" s="67">
        <f t="shared" si="11"/>
        <v>7.94</v>
      </c>
      <c r="O84" s="67">
        <f t="shared" si="11"/>
        <v>7.94</v>
      </c>
      <c r="P84" s="67">
        <f t="shared" si="11"/>
        <v>7.94</v>
      </c>
      <c r="Q84" s="67">
        <f t="shared" si="11"/>
        <v>7.94</v>
      </c>
      <c r="R84" s="67">
        <f t="shared" si="11"/>
        <v>7.94</v>
      </c>
      <c r="S84" s="67">
        <f t="shared" si="11"/>
        <v>7.94</v>
      </c>
      <c r="T84" s="67">
        <f t="shared" si="11"/>
        <v>7.94</v>
      </c>
      <c r="U84" s="67">
        <f t="shared" si="11"/>
        <v>8.4446000000000012</v>
      </c>
      <c r="V84" s="67">
        <f t="shared" si="11"/>
        <v>8.4446000000000012</v>
      </c>
      <c r="W84" s="67">
        <f t="shared" si="11"/>
        <v>8.4446000000000012</v>
      </c>
      <c r="X84" s="67">
        <f t="shared" si="11"/>
        <v>8.4446000000000012</v>
      </c>
      <c r="Y84" s="67">
        <f t="shared" si="11"/>
        <v>8.4446000000000012</v>
      </c>
      <c r="Z84" s="67">
        <f t="shared" si="11"/>
        <v>8.4446000000000012</v>
      </c>
      <c r="AA84" s="67">
        <f t="shared" si="11"/>
        <v>8.4446000000000012</v>
      </c>
      <c r="AB84" s="67">
        <f t="shared" si="11"/>
        <v>8.4446000000000012</v>
      </c>
      <c r="AC84" s="67">
        <f t="shared" si="11"/>
        <v>8.4446000000000012</v>
      </c>
      <c r="AD84" s="67">
        <f t="shared" si="11"/>
        <v>8.4446000000000012</v>
      </c>
      <c r="AE84" s="67">
        <f t="shared" si="11"/>
        <v>8.4446000000000012</v>
      </c>
      <c r="AF84" s="67">
        <f t="shared" si="11"/>
        <v>8.4446000000000012</v>
      </c>
    </row>
    <row r="85" spans="2:32" ht="14.4">
      <c r="D85" s="66">
        <f>D$31</f>
        <v>5</v>
      </c>
      <c r="E85" s="66">
        <f>E$31</f>
        <v>4</v>
      </c>
      <c r="G85" s="64"/>
      <c r="I85" s="67">
        <f t="shared" si="11"/>
        <v>3.129999999999999</v>
      </c>
      <c r="J85" s="67">
        <f t="shared" si="11"/>
        <v>3.129999999999999</v>
      </c>
      <c r="K85" s="67">
        <f t="shared" si="11"/>
        <v>3.129999999999999</v>
      </c>
      <c r="L85" s="67">
        <f t="shared" si="11"/>
        <v>3.129999999999999</v>
      </c>
      <c r="M85" s="67">
        <f t="shared" si="11"/>
        <v>3.129999999999999</v>
      </c>
      <c r="N85" s="67">
        <f t="shared" si="11"/>
        <v>3.129999999999999</v>
      </c>
      <c r="O85" s="67">
        <f t="shared" si="11"/>
        <v>3.129999999999999</v>
      </c>
      <c r="P85" s="67">
        <f t="shared" si="11"/>
        <v>3.129999999999999</v>
      </c>
      <c r="Q85" s="67">
        <f t="shared" si="11"/>
        <v>3.129999999999999</v>
      </c>
      <c r="R85" s="67">
        <f t="shared" si="11"/>
        <v>3.129999999999999</v>
      </c>
      <c r="S85" s="67">
        <f t="shared" si="11"/>
        <v>3.129999999999999</v>
      </c>
      <c r="T85" s="67">
        <f t="shared" si="11"/>
        <v>3.129999999999999</v>
      </c>
      <c r="U85" s="67">
        <f t="shared" si="11"/>
        <v>3.3490999999999991</v>
      </c>
      <c r="V85" s="67">
        <f t="shared" si="11"/>
        <v>3.3490999999999991</v>
      </c>
      <c r="W85" s="67">
        <f t="shared" si="11"/>
        <v>3.3490999999999991</v>
      </c>
      <c r="X85" s="67">
        <f t="shared" si="11"/>
        <v>3.3490999999999991</v>
      </c>
      <c r="Y85" s="67">
        <f t="shared" si="11"/>
        <v>3.3490999999999991</v>
      </c>
      <c r="Z85" s="67">
        <f t="shared" si="11"/>
        <v>3.3490999999999991</v>
      </c>
      <c r="AA85" s="67">
        <f t="shared" si="11"/>
        <v>3.3490999999999991</v>
      </c>
      <c r="AB85" s="67">
        <f t="shared" si="11"/>
        <v>3.3490999999999991</v>
      </c>
      <c r="AC85" s="67">
        <f t="shared" si="11"/>
        <v>3.3490999999999991</v>
      </c>
      <c r="AD85" s="67">
        <f t="shared" si="11"/>
        <v>3.3490999999999991</v>
      </c>
      <c r="AE85" s="67">
        <f t="shared" si="11"/>
        <v>3.3490999999999991</v>
      </c>
      <c r="AF85" s="67">
        <f t="shared" si="11"/>
        <v>3.3490999999999991</v>
      </c>
    </row>
    <row r="86" spans="2:32" ht="14.4">
      <c r="D86" s="66">
        <f>D$32</f>
        <v>5</v>
      </c>
      <c r="E86" s="66">
        <f>E$32</f>
        <v>5</v>
      </c>
      <c r="G86" s="64"/>
      <c r="I86" s="67">
        <f t="shared" si="11"/>
        <v>6.41</v>
      </c>
      <c r="J86" s="67">
        <f t="shared" si="11"/>
        <v>6.41</v>
      </c>
      <c r="K86" s="67">
        <f t="shared" si="11"/>
        <v>6.41</v>
      </c>
      <c r="L86" s="67">
        <f t="shared" si="11"/>
        <v>6.41</v>
      </c>
      <c r="M86" s="67">
        <f t="shared" si="11"/>
        <v>6.41</v>
      </c>
      <c r="N86" s="67">
        <f t="shared" si="11"/>
        <v>6.41</v>
      </c>
      <c r="O86" s="67">
        <f t="shared" si="11"/>
        <v>6.41</v>
      </c>
      <c r="P86" s="67">
        <f t="shared" si="11"/>
        <v>6.41</v>
      </c>
      <c r="Q86" s="67">
        <f t="shared" si="11"/>
        <v>6.41</v>
      </c>
      <c r="R86" s="67">
        <f t="shared" si="11"/>
        <v>6.41</v>
      </c>
      <c r="S86" s="67">
        <f t="shared" si="11"/>
        <v>6.41</v>
      </c>
      <c r="T86" s="67">
        <f t="shared" si="11"/>
        <v>6.41</v>
      </c>
      <c r="U86" s="67">
        <f t="shared" si="11"/>
        <v>6.9839000000000002</v>
      </c>
      <c r="V86" s="67">
        <f t="shared" si="11"/>
        <v>6.9839000000000002</v>
      </c>
      <c r="W86" s="67">
        <f t="shared" si="11"/>
        <v>6.9839000000000002</v>
      </c>
      <c r="X86" s="67">
        <f t="shared" si="11"/>
        <v>6.9839000000000002</v>
      </c>
      <c r="Y86" s="67">
        <f t="shared" si="11"/>
        <v>6.9839000000000002</v>
      </c>
      <c r="Z86" s="67">
        <f t="shared" si="11"/>
        <v>6.9839000000000002</v>
      </c>
      <c r="AA86" s="67">
        <f t="shared" si="11"/>
        <v>6.9839000000000002</v>
      </c>
      <c r="AB86" s="67">
        <f t="shared" si="11"/>
        <v>6.9839000000000002</v>
      </c>
      <c r="AC86" s="67">
        <f t="shared" si="11"/>
        <v>6.9839000000000002</v>
      </c>
      <c r="AD86" s="67">
        <f t="shared" si="11"/>
        <v>6.9839000000000002</v>
      </c>
      <c r="AE86" s="67">
        <f t="shared" si="11"/>
        <v>6.9839000000000002</v>
      </c>
      <c r="AF86" s="67">
        <f t="shared" si="11"/>
        <v>6.9839000000000002</v>
      </c>
    </row>
    <row r="88" spans="2:32" ht="14.4">
      <c r="B88" s="62" t="s">
        <v>34</v>
      </c>
      <c r="C88" s="62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</row>
    <row r="89" spans="2:32">
      <c r="D89" s="66">
        <f>D$8</f>
        <v>1</v>
      </c>
      <c r="E89" s="66">
        <f>E$8</f>
        <v>1</v>
      </c>
      <c r="I89">
        <f>RANK(I62,I$62:I$86)</f>
        <v>2</v>
      </c>
      <c r="J89">
        <f t="shared" ref="J89:AF100" si="12">RANK(J62,J$62:J$86)</f>
        <v>2</v>
      </c>
      <c r="K89">
        <f t="shared" si="12"/>
        <v>2</v>
      </c>
      <c r="L89">
        <f t="shared" si="12"/>
        <v>2</v>
      </c>
      <c r="M89">
        <f t="shared" si="12"/>
        <v>2</v>
      </c>
      <c r="N89">
        <f t="shared" si="12"/>
        <v>2</v>
      </c>
      <c r="O89">
        <f t="shared" si="12"/>
        <v>2</v>
      </c>
      <c r="P89">
        <f t="shared" si="12"/>
        <v>2</v>
      </c>
      <c r="Q89">
        <f t="shared" si="12"/>
        <v>2</v>
      </c>
      <c r="R89">
        <f t="shared" si="12"/>
        <v>2</v>
      </c>
      <c r="S89">
        <f t="shared" si="12"/>
        <v>2</v>
      </c>
      <c r="T89">
        <f t="shared" si="12"/>
        <v>2</v>
      </c>
      <c r="U89">
        <f t="shared" si="12"/>
        <v>2</v>
      </c>
      <c r="V89">
        <f t="shared" si="12"/>
        <v>2</v>
      </c>
      <c r="W89">
        <f t="shared" si="12"/>
        <v>2</v>
      </c>
      <c r="X89">
        <f t="shared" si="12"/>
        <v>2</v>
      </c>
      <c r="Y89">
        <f t="shared" si="12"/>
        <v>2</v>
      </c>
      <c r="Z89">
        <f t="shared" si="12"/>
        <v>2</v>
      </c>
      <c r="AA89">
        <f t="shared" si="12"/>
        <v>2</v>
      </c>
      <c r="AB89">
        <f t="shared" si="12"/>
        <v>2</v>
      </c>
      <c r="AC89">
        <f t="shared" si="12"/>
        <v>2</v>
      </c>
      <c r="AD89">
        <f t="shared" si="12"/>
        <v>2</v>
      </c>
      <c r="AE89">
        <f t="shared" si="12"/>
        <v>2</v>
      </c>
      <c r="AF89">
        <f t="shared" si="12"/>
        <v>2</v>
      </c>
    </row>
    <row r="90" spans="2:32">
      <c r="D90" s="66">
        <f>D$9</f>
        <v>1</v>
      </c>
      <c r="E90" s="66">
        <f>E$9</f>
        <v>2</v>
      </c>
      <c r="I90">
        <f t="shared" ref="I90:X105" si="13">RANK(I63,I$62:I$86)</f>
        <v>7</v>
      </c>
      <c r="J90">
        <f t="shared" si="13"/>
        <v>7</v>
      </c>
      <c r="K90">
        <f t="shared" si="13"/>
        <v>7</v>
      </c>
      <c r="L90">
        <f t="shared" si="13"/>
        <v>7</v>
      </c>
      <c r="M90">
        <f t="shared" si="13"/>
        <v>7</v>
      </c>
      <c r="N90">
        <f t="shared" si="13"/>
        <v>7</v>
      </c>
      <c r="O90">
        <f t="shared" si="13"/>
        <v>7</v>
      </c>
      <c r="P90">
        <f t="shared" si="13"/>
        <v>7</v>
      </c>
      <c r="Q90">
        <f t="shared" si="13"/>
        <v>7</v>
      </c>
      <c r="R90">
        <f t="shared" si="13"/>
        <v>7</v>
      </c>
      <c r="S90">
        <f t="shared" si="13"/>
        <v>7</v>
      </c>
      <c r="T90">
        <f t="shared" si="13"/>
        <v>7</v>
      </c>
      <c r="U90">
        <f t="shared" si="13"/>
        <v>7</v>
      </c>
      <c r="V90">
        <f t="shared" si="13"/>
        <v>7</v>
      </c>
      <c r="W90">
        <f t="shared" si="13"/>
        <v>7</v>
      </c>
      <c r="X90">
        <f t="shared" si="13"/>
        <v>7</v>
      </c>
      <c r="Y90">
        <f t="shared" si="12"/>
        <v>7</v>
      </c>
      <c r="Z90">
        <f t="shared" si="12"/>
        <v>7</v>
      </c>
      <c r="AA90">
        <f t="shared" si="12"/>
        <v>7</v>
      </c>
      <c r="AB90">
        <f t="shared" si="12"/>
        <v>7</v>
      </c>
      <c r="AC90">
        <f t="shared" si="12"/>
        <v>7</v>
      </c>
      <c r="AD90">
        <f t="shared" si="12"/>
        <v>7</v>
      </c>
      <c r="AE90">
        <f t="shared" si="12"/>
        <v>7</v>
      </c>
      <c r="AF90">
        <f t="shared" si="12"/>
        <v>7</v>
      </c>
    </row>
    <row r="91" spans="2:32">
      <c r="D91" s="66">
        <f>D$10</f>
        <v>1</v>
      </c>
      <c r="E91" s="66">
        <f>E$10</f>
        <v>3</v>
      </c>
      <c r="I91">
        <f t="shared" si="13"/>
        <v>19</v>
      </c>
      <c r="J91">
        <f t="shared" si="12"/>
        <v>19</v>
      </c>
      <c r="K91">
        <f t="shared" si="12"/>
        <v>19</v>
      </c>
      <c r="L91">
        <f t="shared" si="12"/>
        <v>19</v>
      </c>
      <c r="M91">
        <f t="shared" si="12"/>
        <v>19</v>
      </c>
      <c r="N91">
        <f t="shared" si="12"/>
        <v>19</v>
      </c>
      <c r="O91">
        <f t="shared" si="12"/>
        <v>19</v>
      </c>
      <c r="P91">
        <f t="shared" si="12"/>
        <v>19</v>
      </c>
      <c r="Q91">
        <f t="shared" si="12"/>
        <v>19</v>
      </c>
      <c r="R91">
        <f t="shared" si="12"/>
        <v>19</v>
      </c>
      <c r="S91">
        <f t="shared" si="12"/>
        <v>19</v>
      </c>
      <c r="T91">
        <f t="shared" si="12"/>
        <v>19</v>
      </c>
      <c r="U91">
        <f t="shared" si="12"/>
        <v>19</v>
      </c>
      <c r="V91">
        <f t="shared" si="12"/>
        <v>19</v>
      </c>
      <c r="W91">
        <f t="shared" si="12"/>
        <v>19</v>
      </c>
      <c r="X91">
        <f t="shared" si="12"/>
        <v>19</v>
      </c>
      <c r="Y91">
        <f t="shared" si="12"/>
        <v>19</v>
      </c>
      <c r="Z91">
        <f t="shared" si="12"/>
        <v>19</v>
      </c>
      <c r="AA91">
        <f t="shared" si="12"/>
        <v>19</v>
      </c>
      <c r="AB91">
        <f t="shared" si="12"/>
        <v>19</v>
      </c>
      <c r="AC91">
        <f t="shared" si="12"/>
        <v>19</v>
      </c>
      <c r="AD91">
        <f t="shared" si="12"/>
        <v>19</v>
      </c>
      <c r="AE91">
        <f t="shared" si="12"/>
        <v>19</v>
      </c>
      <c r="AF91">
        <f t="shared" si="12"/>
        <v>19</v>
      </c>
    </row>
    <row r="92" spans="2:32">
      <c r="D92" s="66">
        <f>D$11</f>
        <v>1</v>
      </c>
      <c r="E92" s="66">
        <f>E$11</f>
        <v>4</v>
      </c>
      <c r="I92">
        <f t="shared" si="13"/>
        <v>22</v>
      </c>
      <c r="J92">
        <f t="shared" si="12"/>
        <v>22</v>
      </c>
      <c r="K92">
        <f t="shared" si="12"/>
        <v>22</v>
      </c>
      <c r="L92">
        <f t="shared" si="12"/>
        <v>22</v>
      </c>
      <c r="M92">
        <f t="shared" si="12"/>
        <v>22</v>
      </c>
      <c r="N92">
        <f t="shared" si="12"/>
        <v>22</v>
      </c>
      <c r="O92">
        <f t="shared" si="12"/>
        <v>22</v>
      </c>
      <c r="P92">
        <f t="shared" si="12"/>
        <v>22</v>
      </c>
      <c r="Q92">
        <f t="shared" si="12"/>
        <v>22</v>
      </c>
      <c r="R92">
        <f t="shared" si="12"/>
        <v>22</v>
      </c>
      <c r="S92">
        <f t="shared" si="12"/>
        <v>22</v>
      </c>
      <c r="T92">
        <f t="shared" si="12"/>
        <v>22</v>
      </c>
      <c r="U92">
        <f t="shared" si="12"/>
        <v>22</v>
      </c>
      <c r="V92">
        <f t="shared" si="12"/>
        <v>22</v>
      </c>
      <c r="W92">
        <f t="shared" si="12"/>
        <v>22</v>
      </c>
      <c r="X92">
        <f t="shared" si="12"/>
        <v>22</v>
      </c>
      <c r="Y92">
        <f t="shared" si="12"/>
        <v>22</v>
      </c>
      <c r="Z92">
        <f t="shared" si="12"/>
        <v>22</v>
      </c>
      <c r="AA92">
        <f t="shared" si="12"/>
        <v>22</v>
      </c>
      <c r="AB92">
        <f t="shared" si="12"/>
        <v>22</v>
      </c>
      <c r="AC92">
        <f t="shared" si="12"/>
        <v>22</v>
      </c>
      <c r="AD92">
        <f t="shared" si="12"/>
        <v>22</v>
      </c>
      <c r="AE92">
        <f t="shared" si="12"/>
        <v>22</v>
      </c>
      <c r="AF92">
        <f t="shared" si="12"/>
        <v>22</v>
      </c>
    </row>
    <row r="93" spans="2:32">
      <c r="D93" s="66">
        <f>D$12</f>
        <v>1</v>
      </c>
      <c r="E93" s="66">
        <f>E$12</f>
        <v>5</v>
      </c>
      <c r="I93">
        <f t="shared" si="13"/>
        <v>13</v>
      </c>
      <c r="J93">
        <f t="shared" si="12"/>
        <v>13</v>
      </c>
      <c r="K93">
        <f t="shared" si="12"/>
        <v>13</v>
      </c>
      <c r="L93">
        <f t="shared" si="12"/>
        <v>13</v>
      </c>
      <c r="M93">
        <f t="shared" si="12"/>
        <v>13</v>
      </c>
      <c r="N93">
        <f t="shared" si="12"/>
        <v>13</v>
      </c>
      <c r="O93">
        <f t="shared" si="12"/>
        <v>13</v>
      </c>
      <c r="P93">
        <f t="shared" si="12"/>
        <v>13</v>
      </c>
      <c r="Q93">
        <f t="shared" si="12"/>
        <v>13</v>
      </c>
      <c r="R93">
        <f t="shared" si="12"/>
        <v>13</v>
      </c>
      <c r="S93">
        <f t="shared" si="12"/>
        <v>13</v>
      </c>
      <c r="T93">
        <f t="shared" si="12"/>
        <v>13</v>
      </c>
      <c r="U93">
        <f t="shared" si="12"/>
        <v>11</v>
      </c>
      <c r="V93">
        <f t="shared" si="12"/>
        <v>11</v>
      </c>
      <c r="W93">
        <f t="shared" si="12"/>
        <v>11</v>
      </c>
      <c r="X93">
        <f t="shared" si="12"/>
        <v>11</v>
      </c>
      <c r="Y93">
        <f t="shared" si="12"/>
        <v>11</v>
      </c>
      <c r="Z93">
        <f t="shared" si="12"/>
        <v>11</v>
      </c>
      <c r="AA93">
        <f t="shared" si="12"/>
        <v>11</v>
      </c>
      <c r="AB93">
        <f t="shared" si="12"/>
        <v>11</v>
      </c>
      <c r="AC93">
        <f t="shared" si="12"/>
        <v>11</v>
      </c>
      <c r="AD93">
        <f t="shared" si="12"/>
        <v>11</v>
      </c>
      <c r="AE93">
        <f t="shared" si="12"/>
        <v>11</v>
      </c>
      <c r="AF93">
        <f t="shared" si="12"/>
        <v>11</v>
      </c>
    </row>
    <row r="94" spans="2:32">
      <c r="D94" s="66">
        <f>D$13</f>
        <v>2</v>
      </c>
      <c r="E94" s="66">
        <f>E$13</f>
        <v>1</v>
      </c>
      <c r="I94">
        <f t="shared" si="13"/>
        <v>12</v>
      </c>
      <c r="J94">
        <f t="shared" si="12"/>
        <v>12</v>
      </c>
      <c r="K94">
        <f t="shared" si="12"/>
        <v>12</v>
      </c>
      <c r="L94">
        <f t="shared" si="12"/>
        <v>12</v>
      </c>
      <c r="M94">
        <f t="shared" si="12"/>
        <v>12</v>
      </c>
      <c r="N94">
        <f t="shared" si="12"/>
        <v>12</v>
      </c>
      <c r="O94">
        <f t="shared" si="12"/>
        <v>12</v>
      </c>
      <c r="P94">
        <f t="shared" si="12"/>
        <v>12</v>
      </c>
      <c r="Q94">
        <f t="shared" si="12"/>
        <v>12</v>
      </c>
      <c r="R94">
        <f t="shared" si="12"/>
        <v>12</v>
      </c>
      <c r="S94">
        <f t="shared" si="12"/>
        <v>12</v>
      </c>
      <c r="T94">
        <f t="shared" si="12"/>
        <v>12</v>
      </c>
      <c r="U94">
        <f t="shared" si="12"/>
        <v>13</v>
      </c>
      <c r="V94">
        <f t="shared" si="12"/>
        <v>13</v>
      </c>
      <c r="W94">
        <f t="shared" si="12"/>
        <v>13</v>
      </c>
      <c r="X94">
        <f t="shared" si="12"/>
        <v>13</v>
      </c>
      <c r="Y94">
        <f t="shared" si="12"/>
        <v>13</v>
      </c>
      <c r="Z94">
        <f t="shared" si="12"/>
        <v>13</v>
      </c>
      <c r="AA94">
        <f t="shared" si="12"/>
        <v>13</v>
      </c>
      <c r="AB94">
        <f t="shared" si="12"/>
        <v>13</v>
      </c>
      <c r="AC94">
        <f t="shared" si="12"/>
        <v>13</v>
      </c>
      <c r="AD94">
        <f t="shared" si="12"/>
        <v>13</v>
      </c>
      <c r="AE94">
        <f t="shared" si="12"/>
        <v>13</v>
      </c>
      <c r="AF94">
        <f t="shared" si="12"/>
        <v>13</v>
      </c>
    </row>
    <row r="95" spans="2:32">
      <c r="D95" s="66">
        <f>D$14</f>
        <v>2</v>
      </c>
      <c r="E95" s="66">
        <f>E$14</f>
        <v>2</v>
      </c>
      <c r="I95">
        <f t="shared" si="13"/>
        <v>11</v>
      </c>
      <c r="J95">
        <f t="shared" si="12"/>
        <v>11</v>
      </c>
      <c r="K95">
        <f t="shared" si="12"/>
        <v>11</v>
      </c>
      <c r="L95">
        <f t="shared" si="12"/>
        <v>11</v>
      </c>
      <c r="M95">
        <f t="shared" si="12"/>
        <v>11</v>
      </c>
      <c r="N95">
        <f t="shared" si="12"/>
        <v>11</v>
      </c>
      <c r="O95">
        <f t="shared" si="12"/>
        <v>11</v>
      </c>
      <c r="P95">
        <f t="shared" si="12"/>
        <v>11</v>
      </c>
      <c r="Q95">
        <f t="shared" si="12"/>
        <v>11</v>
      </c>
      <c r="R95">
        <f t="shared" si="12"/>
        <v>11</v>
      </c>
      <c r="S95">
        <f t="shared" si="12"/>
        <v>11</v>
      </c>
      <c r="T95">
        <f t="shared" si="12"/>
        <v>11</v>
      </c>
      <c r="U95">
        <f t="shared" si="12"/>
        <v>12</v>
      </c>
      <c r="V95">
        <f t="shared" si="12"/>
        <v>12</v>
      </c>
      <c r="W95">
        <f t="shared" si="12"/>
        <v>12</v>
      </c>
      <c r="X95">
        <f t="shared" si="12"/>
        <v>12</v>
      </c>
      <c r="Y95">
        <f t="shared" si="12"/>
        <v>12</v>
      </c>
      <c r="Z95">
        <f t="shared" si="12"/>
        <v>12</v>
      </c>
      <c r="AA95">
        <f t="shared" si="12"/>
        <v>12</v>
      </c>
      <c r="AB95">
        <f t="shared" si="12"/>
        <v>12</v>
      </c>
      <c r="AC95">
        <f t="shared" si="12"/>
        <v>12</v>
      </c>
      <c r="AD95">
        <f t="shared" si="12"/>
        <v>12</v>
      </c>
      <c r="AE95">
        <f t="shared" si="12"/>
        <v>12</v>
      </c>
      <c r="AF95">
        <f t="shared" si="12"/>
        <v>12</v>
      </c>
    </row>
    <row r="96" spans="2:32">
      <c r="D96" s="66">
        <f>D$15</f>
        <v>2</v>
      </c>
      <c r="E96" s="66">
        <f>E$15</f>
        <v>3</v>
      </c>
      <c r="I96">
        <f t="shared" si="13"/>
        <v>10</v>
      </c>
      <c r="J96">
        <f t="shared" si="12"/>
        <v>10</v>
      </c>
      <c r="K96">
        <f t="shared" si="12"/>
        <v>10</v>
      </c>
      <c r="L96">
        <f t="shared" si="12"/>
        <v>10</v>
      </c>
      <c r="M96">
        <f t="shared" si="12"/>
        <v>10</v>
      </c>
      <c r="N96">
        <f t="shared" si="12"/>
        <v>10</v>
      </c>
      <c r="O96">
        <f t="shared" si="12"/>
        <v>10</v>
      </c>
      <c r="P96">
        <f t="shared" si="12"/>
        <v>10</v>
      </c>
      <c r="Q96">
        <f t="shared" si="12"/>
        <v>10</v>
      </c>
      <c r="R96">
        <f t="shared" si="12"/>
        <v>10</v>
      </c>
      <c r="S96">
        <f t="shared" si="12"/>
        <v>10</v>
      </c>
      <c r="T96">
        <f t="shared" si="12"/>
        <v>10</v>
      </c>
      <c r="U96">
        <f t="shared" si="12"/>
        <v>10</v>
      </c>
      <c r="V96">
        <f t="shared" si="12"/>
        <v>10</v>
      </c>
      <c r="W96">
        <f t="shared" si="12"/>
        <v>10</v>
      </c>
      <c r="X96">
        <f t="shared" si="12"/>
        <v>10</v>
      </c>
      <c r="Y96">
        <f t="shared" si="12"/>
        <v>10</v>
      </c>
      <c r="Z96">
        <f t="shared" si="12"/>
        <v>10</v>
      </c>
      <c r="AA96">
        <f t="shared" si="12"/>
        <v>10</v>
      </c>
      <c r="AB96">
        <f t="shared" si="12"/>
        <v>10</v>
      </c>
      <c r="AC96">
        <f t="shared" si="12"/>
        <v>10</v>
      </c>
      <c r="AD96">
        <f t="shared" si="12"/>
        <v>10</v>
      </c>
      <c r="AE96">
        <f t="shared" si="12"/>
        <v>10</v>
      </c>
      <c r="AF96">
        <f t="shared" si="12"/>
        <v>10</v>
      </c>
    </row>
    <row r="97" spans="4:32">
      <c r="D97" s="66">
        <f>D$16</f>
        <v>2</v>
      </c>
      <c r="E97" s="66">
        <f>E$16</f>
        <v>4</v>
      </c>
      <c r="I97">
        <f t="shared" si="13"/>
        <v>24</v>
      </c>
      <c r="J97">
        <f t="shared" si="12"/>
        <v>24</v>
      </c>
      <c r="K97">
        <f t="shared" si="12"/>
        <v>24</v>
      </c>
      <c r="L97">
        <f t="shared" si="12"/>
        <v>24</v>
      </c>
      <c r="M97">
        <f t="shared" si="12"/>
        <v>24</v>
      </c>
      <c r="N97">
        <f t="shared" si="12"/>
        <v>24</v>
      </c>
      <c r="O97">
        <f t="shared" si="12"/>
        <v>24</v>
      </c>
      <c r="P97">
        <f t="shared" si="12"/>
        <v>24</v>
      </c>
      <c r="Q97">
        <f t="shared" si="12"/>
        <v>24</v>
      </c>
      <c r="R97">
        <f t="shared" si="12"/>
        <v>24</v>
      </c>
      <c r="S97">
        <f t="shared" si="12"/>
        <v>24</v>
      </c>
      <c r="T97">
        <f t="shared" si="12"/>
        <v>24</v>
      </c>
      <c r="U97">
        <f t="shared" si="12"/>
        <v>24</v>
      </c>
      <c r="V97">
        <f t="shared" si="12"/>
        <v>24</v>
      </c>
      <c r="W97">
        <f t="shared" si="12"/>
        <v>24</v>
      </c>
      <c r="X97">
        <f t="shared" si="12"/>
        <v>24</v>
      </c>
      <c r="Y97">
        <f t="shared" si="12"/>
        <v>24</v>
      </c>
      <c r="Z97">
        <f t="shared" si="12"/>
        <v>24</v>
      </c>
      <c r="AA97">
        <f t="shared" si="12"/>
        <v>24</v>
      </c>
      <c r="AB97">
        <f t="shared" si="12"/>
        <v>24</v>
      </c>
      <c r="AC97">
        <f t="shared" si="12"/>
        <v>24</v>
      </c>
      <c r="AD97">
        <f t="shared" si="12"/>
        <v>24</v>
      </c>
      <c r="AE97">
        <f t="shared" si="12"/>
        <v>24</v>
      </c>
      <c r="AF97">
        <f t="shared" si="12"/>
        <v>24</v>
      </c>
    </row>
    <row r="98" spans="4:32">
      <c r="D98" s="66">
        <f>D$17</f>
        <v>2</v>
      </c>
      <c r="E98" s="66">
        <f>E$17</f>
        <v>5</v>
      </c>
      <c r="I98">
        <f t="shared" si="13"/>
        <v>16</v>
      </c>
      <c r="J98">
        <f t="shared" si="12"/>
        <v>16</v>
      </c>
      <c r="K98">
        <f t="shared" si="12"/>
        <v>16</v>
      </c>
      <c r="L98">
        <f t="shared" si="12"/>
        <v>16</v>
      </c>
      <c r="M98">
        <f t="shared" si="12"/>
        <v>16</v>
      </c>
      <c r="N98">
        <f t="shared" si="12"/>
        <v>16</v>
      </c>
      <c r="O98">
        <f t="shared" si="12"/>
        <v>16</v>
      </c>
      <c r="P98">
        <f t="shared" si="12"/>
        <v>16</v>
      </c>
      <c r="Q98">
        <f t="shared" si="12"/>
        <v>16</v>
      </c>
      <c r="R98">
        <f t="shared" si="12"/>
        <v>16</v>
      </c>
      <c r="S98">
        <f t="shared" si="12"/>
        <v>16</v>
      </c>
      <c r="T98">
        <f t="shared" si="12"/>
        <v>16</v>
      </c>
      <c r="U98">
        <f t="shared" si="12"/>
        <v>17</v>
      </c>
      <c r="V98">
        <f t="shared" si="12"/>
        <v>17</v>
      </c>
      <c r="W98">
        <f t="shared" si="12"/>
        <v>17</v>
      </c>
      <c r="X98">
        <f t="shared" si="12"/>
        <v>17</v>
      </c>
      <c r="Y98">
        <f t="shared" si="12"/>
        <v>17</v>
      </c>
      <c r="Z98">
        <f t="shared" si="12"/>
        <v>17</v>
      </c>
      <c r="AA98">
        <f t="shared" si="12"/>
        <v>17</v>
      </c>
      <c r="AB98">
        <f t="shared" si="12"/>
        <v>17</v>
      </c>
      <c r="AC98">
        <f t="shared" si="12"/>
        <v>17</v>
      </c>
      <c r="AD98">
        <f t="shared" si="12"/>
        <v>17</v>
      </c>
      <c r="AE98">
        <f t="shared" si="12"/>
        <v>17</v>
      </c>
      <c r="AF98">
        <f t="shared" si="12"/>
        <v>17</v>
      </c>
    </row>
    <row r="99" spans="4:32">
      <c r="D99" s="66">
        <f>D$18</f>
        <v>3</v>
      </c>
      <c r="E99" s="66">
        <f>E$18</f>
        <v>1</v>
      </c>
      <c r="I99">
        <f t="shared" si="13"/>
        <v>3</v>
      </c>
      <c r="J99">
        <f t="shared" si="12"/>
        <v>3</v>
      </c>
      <c r="K99">
        <f t="shared" si="12"/>
        <v>3</v>
      </c>
      <c r="L99">
        <f t="shared" si="12"/>
        <v>3</v>
      </c>
      <c r="M99">
        <f t="shared" si="12"/>
        <v>3</v>
      </c>
      <c r="N99">
        <f t="shared" si="12"/>
        <v>3</v>
      </c>
      <c r="O99">
        <f t="shared" si="12"/>
        <v>3</v>
      </c>
      <c r="P99">
        <f t="shared" si="12"/>
        <v>3</v>
      </c>
      <c r="Q99">
        <f t="shared" si="12"/>
        <v>3</v>
      </c>
      <c r="R99">
        <f t="shared" si="12"/>
        <v>3</v>
      </c>
      <c r="S99">
        <f t="shared" si="12"/>
        <v>3</v>
      </c>
      <c r="T99">
        <f t="shared" si="12"/>
        <v>3</v>
      </c>
      <c r="U99">
        <f t="shared" si="12"/>
        <v>3</v>
      </c>
      <c r="V99">
        <f t="shared" si="12"/>
        <v>3</v>
      </c>
      <c r="W99">
        <f t="shared" si="12"/>
        <v>3</v>
      </c>
      <c r="X99">
        <f t="shared" si="12"/>
        <v>3</v>
      </c>
      <c r="Y99">
        <f t="shared" si="12"/>
        <v>3</v>
      </c>
      <c r="Z99">
        <f t="shared" si="12"/>
        <v>3</v>
      </c>
      <c r="AA99">
        <f t="shared" si="12"/>
        <v>3</v>
      </c>
      <c r="AB99">
        <f t="shared" si="12"/>
        <v>3</v>
      </c>
      <c r="AC99">
        <f t="shared" si="12"/>
        <v>3</v>
      </c>
      <c r="AD99">
        <f t="shared" si="12"/>
        <v>3</v>
      </c>
      <c r="AE99">
        <f t="shared" si="12"/>
        <v>3</v>
      </c>
      <c r="AF99">
        <f t="shared" si="12"/>
        <v>3</v>
      </c>
    </row>
    <row r="100" spans="4:32">
      <c r="D100" s="66">
        <f>D$19</f>
        <v>3</v>
      </c>
      <c r="E100" s="66">
        <f>E$19</f>
        <v>2</v>
      </c>
      <c r="I100">
        <f t="shared" si="13"/>
        <v>5</v>
      </c>
      <c r="J100">
        <f t="shared" si="12"/>
        <v>5</v>
      </c>
      <c r="K100">
        <f t="shared" si="12"/>
        <v>5</v>
      </c>
      <c r="L100">
        <f t="shared" si="12"/>
        <v>5</v>
      </c>
      <c r="M100">
        <f t="shared" si="12"/>
        <v>5</v>
      </c>
      <c r="N100">
        <f t="shared" si="12"/>
        <v>5</v>
      </c>
      <c r="O100">
        <f t="shared" si="12"/>
        <v>5</v>
      </c>
      <c r="P100">
        <f t="shared" si="12"/>
        <v>5</v>
      </c>
      <c r="Q100">
        <f t="shared" si="12"/>
        <v>5</v>
      </c>
      <c r="R100">
        <f t="shared" si="12"/>
        <v>5</v>
      </c>
      <c r="S100">
        <f t="shared" si="12"/>
        <v>5</v>
      </c>
      <c r="T100">
        <f t="shared" si="12"/>
        <v>5</v>
      </c>
      <c r="U100">
        <f t="shared" si="12"/>
        <v>5</v>
      </c>
      <c r="V100">
        <f t="shared" si="12"/>
        <v>5</v>
      </c>
      <c r="W100">
        <f t="shared" si="12"/>
        <v>5</v>
      </c>
      <c r="X100">
        <f t="shared" si="12"/>
        <v>5</v>
      </c>
      <c r="Y100">
        <f t="shared" si="12"/>
        <v>5</v>
      </c>
      <c r="Z100">
        <f t="shared" si="12"/>
        <v>5</v>
      </c>
      <c r="AA100">
        <f t="shared" ref="J100:AF111" si="14">RANK(AA73,AA$62:AA$86)</f>
        <v>5</v>
      </c>
      <c r="AB100">
        <f t="shared" si="14"/>
        <v>5</v>
      </c>
      <c r="AC100">
        <f t="shared" si="14"/>
        <v>5</v>
      </c>
      <c r="AD100">
        <f t="shared" si="14"/>
        <v>5</v>
      </c>
      <c r="AE100">
        <f t="shared" si="14"/>
        <v>5</v>
      </c>
      <c r="AF100">
        <f t="shared" si="14"/>
        <v>5</v>
      </c>
    </row>
    <row r="101" spans="4:32">
      <c r="D101" s="66">
        <f>D$20</f>
        <v>3</v>
      </c>
      <c r="E101" s="66">
        <f>E$20</f>
        <v>3</v>
      </c>
      <c r="I101">
        <f t="shared" si="13"/>
        <v>8</v>
      </c>
      <c r="J101">
        <f t="shared" si="14"/>
        <v>8</v>
      </c>
      <c r="K101">
        <f t="shared" si="14"/>
        <v>8</v>
      </c>
      <c r="L101">
        <f t="shared" si="14"/>
        <v>8</v>
      </c>
      <c r="M101">
        <f t="shared" si="14"/>
        <v>8</v>
      </c>
      <c r="N101">
        <f t="shared" si="14"/>
        <v>8</v>
      </c>
      <c r="O101">
        <f t="shared" si="14"/>
        <v>8</v>
      </c>
      <c r="P101">
        <f t="shared" si="14"/>
        <v>8</v>
      </c>
      <c r="Q101">
        <f t="shared" si="14"/>
        <v>8</v>
      </c>
      <c r="R101">
        <f t="shared" si="14"/>
        <v>8</v>
      </c>
      <c r="S101">
        <f t="shared" si="14"/>
        <v>8</v>
      </c>
      <c r="T101">
        <f t="shared" si="14"/>
        <v>8</v>
      </c>
      <c r="U101">
        <f t="shared" si="14"/>
        <v>8</v>
      </c>
      <c r="V101">
        <f t="shared" si="14"/>
        <v>8</v>
      </c>
      <c r="W101">
        <f t="shared" si="14"/>
        <v>8</v>
      </c>
      <c r="X101">
        <f t="shared" si="14"/>
        <v>8</v>
      </c>
      <c r="Y101">
        <f t="shared" si="14"/>
        <v>8</v>
      </c>
      <c r="Z101">
        <f t="shared" si="14"/>
        <v>8</v>
      </c>
      <c r="AA101">
        <f t="shared" si="14"/>
        <v>8</v>
      </c>
      <c r="AB101">
        <f t="shared" si="14"/>
        <v>8</v>
      </c>
      <c r="AC101">
        <f t="shared" si="14"/>
        <v>8</v>
      </c>
      <c r="AD101">
        <f t="shared" si="14"/>
        <v>8</v>
      </c>
      <c r="AE101">
        <f t="shared" si="14"/>
        <v>8</v>
      </c>
      <c r="AF101">
        <f t="shared" si="14"/>
        <v>8</v>
      </c>
    </row>
    <row r="102" spans="4:32">
      <c r="D102" s="66">
        <f>D$21</f>
        <v>3</v>
      </c>
      <c r="E102" s="66">
        <f>E$21</f>
        <v>4</v>
      </c>
      <c r="I102">
        <f t="shared" si="13"/>
        <v>22</v>
      </c>
      <c r="J102">
        <f t="shared" si="14"/>
        <v>22</v>
      </c>
      <c r="K102">
        <f t="shared" si="14"/>
        <v>22</v>
      </c>
      <c r="L102">
        <f t="shared" si="14"/>
        <v>22</v>
      </c>
      <c r="M102">
        <f t="shared" si="14"/>
        <v>22</v>
      </c>
      <c r="N102">
        <f t="shared" si="14"/>
        <v>22</v>
      </c>
      <c r="O102">
        <f t="shared" si="14"/>
        <v>22</v>
      </c>
      <c r="P102">
        <f t="shared" si="14"/>
        <v>22</v>
      </c>
      <c r="Q102">
        <f t="shared" si="14"/>
        <v>22</v>
      </c>
      <c r="R102">
        <f t="shared" si="14"/>
        <v>22</v>
      </c>
      <c r="S102">
        <f t="shared" si="14"/>
        <v>22</v>
      </c>
      <c r="T102">
        <f t="shared" si="14"/>
        <v>22</v>
      </c>
      <c r="U102">
        <f t="shared" si="14"/>
        <v>23</v>
      </c>
      <c r="V102">
        <f t="shared" si="14"/>
        <v>23</v>
      </c>
      <c r="W102">
        <f t="shared" si="14"/>
        <v>23</v>
      </c>
      <c r="X102">
        <f t="shared" si="14"/>
        <v>23</v>
      </c>
      <c r="Y102">
        <f t="shared" si="14"/>
        <v>23</v>
      </c>
      <c r="Z102">
        <f t="shared" si="14"/>
        <v>23</v>
      </c>
      <c r="AA102">
        <f t="shared" si="14"/>
        <v>23</v>
      </c>
      <c r="AB102">
        <f t="shared" si="14"/>
        <v>23</v>
      </c>
      <c r="AC102">
        <f t="shared" si="14"/>
        <v>23</v>
      </c>
      <c r="AD102">
        <f t="shared" si="14"/>
        <v>23</v>
      </c>
      <c r="AE102">
        <f t="shared" si="14"/>
        <v>23</v>
      </c>
      <c r="AF102">
        <f t="shared" si="14"/>
        <v>23</v>
      </c>
    </row>
    <row r="103" spans="4:32">
      <c r="D103" s="66">
        <f>D$22</f>
        <v>3</v>
      </c>
      <c r="E103" s="66">
        <f>E$22</f>
        <v>5</v>
      </c>
      <c r="I103">
        <f t="shared" si="13"/>
        <v>9</v>
      </c>
      <c r="J103">
        <f t="shared" si="14"/>
        <v>9</v>
      </c>
      <c r="K103">
        <f t="shared" si="14"/>
        <v>9</v>
      </c>
      <c r="L103">
        <f t="shared" si="14"/>
        <v>9</v>
      </c>
      <c r="M103">
        <f t="shared" si="14"/>
        <v>9</v>
      </c>
      <c r="N103">
        <f t="shared" si="14"/>
        <v>9</v>
      </c>
      <c r="O103">
        <f t="shared" si="14"/>
        <v>9</v>
      </c>
      <c r="P103">
        <f t="shared" si="14"/>
        <v>9</v>
      </c>
      <c r="Q103">
        <f t="shared" si="14"/>
        <v>9</v>
      </c>
      <c r="R103">
        <f t="shared" si="14"/>
        <v>9</v>
      </c>
      <c r="S103">
        <f t="shared" si="14"/>
        <v>9</v>
      </c>
      <c r="T103">
        <f t="shared" si="14"/>
        <v>9</v>
      </c>
      <c r="U103">
        <f t="shared" si="14"/>
        <v>9</v>
      </c>
      <c r="V103">
        <f t="shared" si="14"/>
        <v>9</v>
      </c>
      <c r="W103">
        <f t="shared" si="14"/>
        <v>9</v>
      </c>
      <c r="X103">
        <f t="shared" si="14"/>
        <v>9</v>
      </c>
      <c r="Y103">
        <f t="shared" si="14"/>
        <v>9</v>
      </c>
      <c r="Z103">
        <f t="shared" si="14"/>
        <v>9</v>
      </c>
      <c r="AA103">
        <f t="shared" si="14"/>
        <v>9</v>
      </c>
      <c r="AB103">
        <f t="shared" si="14"/>
        <v>9</v>
      </c>
      <c r="AC103">
        <f t="shared" si="14"/>
        <v>9</v>
      </c>
      <c r="AD103">
        <f t="shared" si="14"/>
        <v>9</v>
      </c>
      <c r="AE103">
        <f t="shared" si="14"/>
        <v>9</v>
      </c>
      <c r="AF103">
        <f t="shared" si="14"/>
        <v>9</v>
      </c>
    </row>
    <row r="104" spans="4:32">
      <c r="D104" s="66">
        <f>D$23</f>
        <v>4</v>
      </c>
      <c r="E104" s="66">
        <f>E$23</f>
        <v>1</v>
      </c>
      <c r="I104">
        <f t="shared" si="13"/>
        <v>1</v>
      </c>
      <c r="J104">
        <f t="shared" si="14"/>
        <v>1</v>
      </c>
      <c r="K104">
        <f t="shared" si="14"/>
        <v>1</v>
      </c>
      <c r="L104">
        <f t="shared" si="14"/>
        <v>1</v>
      </c>
      <c r="M104">
        <f t="shared" si="14"/>
        <v>1</v>
      </c>
      <c r="N104">
        <f t="shared" si="14"/>
        <v>1</v>
      </c>
      <c r="O104">
        <f t="shared" si="14"/>
        <v>1</v>
      </c>
      <c r="P104">
        <f t="shared" si="14"/>
        <v>1</v>
      </c>
      <c r="Q104">
        <f t="shared" si="14"/>
        <v>1</v>
      </c>
      <c r="R104">
        <f t="shared" si="14"/>
        <v>1</v>
      </c>
      <c r="S104">
        <f t="shared" si="14"/>
        <v>1</v>
      </c>
      <c r="T104">
        <f t="shared" si="14"/>
        <v>1</v>
      </c>
      <c r="U104">
        <f t="shared" si="14"/>
        <v>1</v>
      </c>
      <c r="V104">
        <f t="shared" si="14"/>
        <v>1</v>
      </c>
      <c r="W104">
        <f t="shared" si="14"/>
        <v>1</v>
      </c>
      <c r="X104">
        <f t="shared" si="14"/>
        <v>1</v>
      </c>
      <c r="Y104">
        <f t="shared" si="14"/>
        <v>1</v>
      </c>
      <c r="Z104">
        <f t="shared" si="14"/>
        <v>1</v>
      </c>
      <c r="AA104">
        <f t="shared" si="14"/>
        <v>1</v>
      </c>
      <c r="AB104">
        <f t="shared" si="14"/>
        <v>1</v>
      </c>
      <c r="AC104">
        <f t="shared" si="14"/>
        <v>1</v>
      </c>
      <c r="AD104">
        <f t="shared" si="14"/>
        <v>1</v>
      </c>
      <c r="AE104">
        <f t="shared" si="14"/>
        <v>1</v>
      </c>
      <c r="AF104">
        <f t="shared" si="14"/>
        <v>1</v>
      </c>
    </row>
    <row r="105" spans="4:32">
      <c r="D105" s="66">
        <f>D$24</f>
        <v>4</v>
      </c>
      <c r="E105" s="66">
        <f>E$24</f>
        <v>2</v>
      </c>
      <c r="I105">
        <f t="shared" si="13"/>
        <v>6</v>
      </c>
      <c r="J105">
        <f t="shared" si="14"/>
        <v>6</v>
      </c>
      <c r="K105">
        <f t="shared" si="14"/>
        <v>6</v>
      </c>
      <c r="L105">
        <f t="shared" si="14"/>
        <v>6</v>
      </c>
      <c r="M105">
        <f t="shared" si="14"/>
        <v>6</v>
      </c>
      <c r="N105">
        <f t="shared" si="14"/>
        <v>6</v>
      </c>
      <c r="O105">
        <f t="shared" si="14"/>
        <v>6</v>
      </c>
      <c r="P105">
        <f t="shared" si="14"/>
        <v>6</v>
      </c>
      <c r="Q105">
        <f t="shared" si="14"/>
        <v>6</v>
      </c>
      <c r="R105">
        <f t="shared" si="14"/>
        <v>6</v>
      </c>
      <c r="S105">
        <f t="shared" si="14"/>
        <v>6</v>
      </c>
      <c r="T105">
        <f t="shared" si="14"/>
        <v>6</v>
      </c>
      <c r="U105">
        <f t="shared" si="14"/>
        <v>6</v>
      </c>
      <c r="V105">
        <f t="shared" si="14"/>
        <v>6</v>
      </c>
      <c r="W105">
        <f t="shared" si="14"/>
        <v>6</v>
      </c>
      <c r="X105">
        <f t="shared" si="14"/>
        <v>6</v>
      </c>
      <c r="Y105">
        <f t="shared" si="14"/>
        <v>6</v>
      </c>
      <c r="Z105">
        <f t="shared" si="14"/>
        <v>6</v>
      </c>
      <c r="AA105">
        <f t="shared" si="14"/>
        <v>6</v>
      </c>
      <c r="AB105">
        <f t="shared" si="14"/>
        <v>6</v>
      </c>
      <c r="AC105">
        <f t="shared" si="14"/>
        <v>6</v>
      </c>
      <c r="AD105">
        <f t="shared" si="14"/>
        <v>6</v>
      </c>
      <c r="AE105">
        <f t="shared" si="14"/>
        <v>6</v>
      </c>
      <c r="AF105">
        <f t="shared" si="14"/>
        <v>6</v>
      </c>
    </row>
    <row r="106" spans="4:32">
      <c r="D106" s="66">
        <f>D$25</f>
        <v>4</v>
      </c>
      <c r="E106" s="66">
        <f>E$25</f>
        <v>3</v>
      </c>
      <c r="I106">
        <f t="shared" ref="I106:I113" si="15">RANK(I79,I$62:I$86)</f>
        <v>14</v>
      </c>
      <c r="J106">
        <f t="shared" si="14"/>
        <v>14</v>
      </c>
      <c r="K106">
        <f t="shared" si="14"/>
        <v>14</v>
      </c>
      <c r="L106">
        <f t="shared" si="14"/>
        <v>14</v>
      </c>
      <c r="M106">
        <f t="shared" si="14"/>
        <v>14</v>
      </c>
      <c r="N106">
        <f t="shared" si="14"/>
        <v>14</v>
      </c>
      <c r="O106">
        <f t="shared" si="14"/>
        <v>14</v>
      </c>
      <c r="P106">
        <f t="shared" si="14"/>
        <v>14</v>
      </c>
      <c r="Q106">
        <f t="shared" si="14"/>
        <v>14</v>
      </c>
      <c r="R106">
        <f t="shared" si="14"/>
        <v>14</v>
      </c>
      <c r="S106">
        <f t="shared" si="14"/>
        <v>14</v>
      </c>
      <c r="T106">
        <f t="shared" si="14"/>
        <v>14</v>
      </c>
      <c r="U106">
        <f t="shared" si="14"/>
        <v>14</v>
      </c>
      <c r="V106">
        <f t="shared" si="14"/>
        <v>14</v>
      </c>
      <c r="W106">
        <f t="shared" si="14"/>
        <v>14</v>
      </c>
      <c r="X106">
        <f t="shared" si="14"/>
        <v>14</v>
      </c>
      <c r="Y106">
        <f t="shared" si="14"/>
        <v>14</v>
      </c>
      <c r="Z106">
        <f t="shared" si="14"/>
        <v>14</v>
      </c>
      <c r="AA106">
        <f t="shared" si="14"/>
        <v>14</v>
      </c>
      <c r="AB106">
        <f t="shared" si="14"/>
        <v>14</v>
      </c>
      <c r="AC106">
        <f t="shared" si="14"/>
        <v>14</v>
      </c>
      <c r="AD106">
        <f t="shared" si="14"/>
        <v>14</v>
      </c>
      <c r="AE106">
        <f t="shared" si="14"/>
        <v>14</v>
      </c>
      <c r="AF106">
        <f t="shared" si="14"/>
        <v>14</v>
      </c>
    </row>
    <row r="107" spans="4:32">
      <c r="D107" s="66">
        <f>D$26</f>
        <v>4</v>
      </c>
      <c r="E107" s="66">
        <f>E$26</f>
        <v>4</v>
      </c>
      <c r="I107">
        <f t="shared" si="15"/>
        <v>21</v>
      </c>
      <c r="J107">
        <f t="shared" si="14"/>
        <v>21</v>
      </c>
      <c r="K107">
        <f t="shared" si="14"/>
        <v>21</v>
      </c>
      <c r="L107">
        <f t="shared" si="14"/>
        <v>21</v>
      </c>
      <c r="M107">
        <f t="shared" si="14"/>
        <v>21</v>
      </c>
      <c r="N107">
        <f t="shared" si="14"/>
        <v>21</v>
      </c>
      <c r="O107">
        <f t="shared" si="14"/>
        <v>21</v>
      </c>
      <c r="P107">
        <f t="shared" si="14"/>
        <v>21</v>
      </c>
      <c r="Q107">
        <f t="shared" si="14"/>
        <v>21</v>
      </c>
      <c r="R107">
        <f t="shared" si="14"/>
        <v>21</v>
      </c>
      <c r="S107">
        <f t="shared" si="14"/>
        <v>21</v>
      </c>
      <c r="T107">
        <f t="shared" si="14"/>
        <v>21</v>
      </c>
      <c r="U107">
        <f t="shared" si="14"/>
        <v>21</v>
      </c>
      <c r="V107">
        <f t="shared" si="14"/>
        <v>21</v>
      </c>
      <c r="W107">
        <f t="shared" si="14"/>
        <v>21</v>
      </c>
      <c r="X107">
        <f t="shared" si="14"/>
        <v>21</v>
      </c>
      <c r="Y107">
        <f t="shared" si="14"/>
        <v>21</v>
      </c>
      <c r="Z107">
        <f t="shared" si="14"/>
        <v>21</v>
      </c>
      <c r="AA107">
        <f t="shared" si="14"/>
        <v>21</v>
      </c>
      <c r="AB107">
        <f t="shared" si="14"/>
        <v>21</v>
      </c>
      <c r="AC107">
        <f t="shared" si="14"/>
        <v>21</v>
      </c>
      <c r="AD107">
        <f t="shared" si="14"/>
        <v>21</v>
      </c>
      <c r="AE107">
        <f t="shared" si="14"/>
        <v>21</v>
      </c>
      <c r="AF107">
        <f t="shared" si="14"/>
        <v>21</v>
      </c>
    </row>
    <row r="108" spans="4:32">
      <c r="D108" s="66">
        <f>D$27</f>
        <v>4</v>
      </c>
      <c r="E108" s="66">
        <f>E$27</f>
        <v>5</v>
      </c>
      <c r="I108">
        <f t="shared" si="15"/>
        <v>16</v>
      </c>
      <c r="J108">
        <f t="shared" si="14"/>
        <v>16</v>
      </c>
      <c r="K108">
        <f t="shared" si="14"/>
        <v>16</v>
      </c>
      <c r="L108">
        <f t="shared" si="14"/>
        <v>16</v>
      </c>
      <c r="M108">
        <f t="shared" si="14"/>
        <v>16</v>
      </c>
      <c r="N108">
        <f t="shared" si="14"/>
        <v>16</v>
      </c>
      <c r="O108">
        <f t="shared" si="14"/>
        <v>16</v>
      </c>
      <c r="P108">
        <f t="shared" si="14"/>
        <v>16</v>
      </c>
      <c r="Q108">
        <f t="shared" si="14"/>
        <v>16</v>
      </c>
      <c r="R108">
        <f t="shared" si="14"/>
        <v>16</v>
      </c>
      <c r="S108">
        <f t="shared" si="14"/>
        <v>16</v>
      </c>
      <c r="T108">
        <f t="shared" si="14"/>
        <v>16</v>
      </c>
      <c r="U108">
        <f t="shared" si="14"/>
        <v>15</v>
      </c>
      <c r="V108">
        <f t="shared" si="14"/>
        <v>15</v>
      </c>
      <c r="W108">
        <f t="shared" si="14"/>
        <v>15</v>
      </c>
      <c r="X108">
        <f t="shared" si="14"/>
        <v>15</v>
      </c>
      <c r="Y108">
        <f t="shared" si="14"/>
        <v>15</v>
      </c>
      <c r="Z108">
        <f t="shared" si="14"/>
        <v>15</v>
      </c>
      <c r="AA108">
        <f t="shared" si="14"/>
        <v>15</v>
      </c>
      <c r="AB108">
        <f t="shared" si="14"/>
        <v>15</v>
      </c>
      <c r="AC108">
        <f t="shared" si="14"/>
        <v>15</v>
      </c>
      <c r="AD108">
        <f t="shared" si="14"/>
        <v>15</v>
      </c>
      <c r="AE108">
        <f t="shared" si="14"/>
        <v>15</v>
      </c>
      <c r="AF108">
        <f t="shared" si="14"/>
        <v>15</v>
      </c>
    </row>
    <row r="109" spans="4:32">
      <c r="D109" s="66">
        <f>D$28</f>
        <v>5</v>
      </c>
      <c r="E109" s="66">
        <f>E$28</f>
        <v>1</v>
      </c>
      <c r="I109">
        <f t="shared" si="15"/>
        <v>4</v>
      </c>
      <c r="J109">
        <f t="shared" si="14"/>
        <v>4</v>
      </c>
      <c r="K109">
        <f t="shared" si="14"/>
        <v>4</v>
      </c>
      <c r="L109">
        <f t="shared" si="14"/>
        <v>4</v>
      </c>
      <c r="M109">
        <f t="shared" si="14"/>
        <v>4</v>
      </c>
      <c r="N109">
        <f t="shared" si="14"/>
        <v>4</v>
      </c>
      <c r="O109">
        <f t="shared" si="14"/>
        <v>4</v>
      </c>
      <c r="P109">
        <f t="shared" si="14"/>
        <v>4</v>
      </c>
      <c r="Q109">
        <f t="shared" si="14"/>
        <v>4</v>
      </c>
      <c r="R109">
        <f t="shared" si="14"/>
        <v>4</v>
      </c>
      <c r="S109">
        <f t="shared" si="14"/>
        <v>4</v>
      </c>
      <c r="T109">
        <f t="shared" si="14"/>
        <v>4</v>
      </c>
      <c r="U109">
        <f t="shared" si="14"/>
        <v>4</v>
      </c>
      <c r="V109">
        <f t="shared" si="14"/>
        <v>4</v>
      </c>
      <c r="W109">
        <f t="shared" si="14"/>
        <v>4</v>
      </c>
      <c r="X109">
        <f t="shared" si="14"/>
        <v>4</v>
      </c>
      <c r="Y109">
        <f t="shared" si="14"/>
        <v>4</v>
      </c>
      <c r="Z109">
        <f t="shared" si="14"/>
        <v>4</v>
      </c>
      <c r="AA109">
        <f t="shared" si="14"/>
        <v>4</v>
      </c>
      <c r="AB109">
        <f t="shared" si="14"/>
        <v>4</v>
      </c>
      <c r="AC109">
        <f t="shared" si="14"/>
        <v>4</v>
      </c>
      <c r="AD109">
        <f t="shared" si="14"/>
        <v>4</v>
      </c>
      <c r="AE109">
        <f t="shared" si="14"/>
        <v>4</v>
      </c>
      <c r="AF109">
        <f t="shared" si="14"/>
        <v>4</v>
      </c>
    </row>
    <row r="110" spans="4:32">
      <c r="D110" s="66">
        <f>D$29</f>
        <v>5</v>
      </c>
      <c r="E110" s="66">
        <f>E$29</f>
        <v>2</v>
      </c>
      <c r="I110">
        <f t="shared" si="15"/>
        <v>18</v>
      </c>
      <c r="J110">
        <f t="shared" si="14"/>
        <v>18</v>
      </c>
      <c r="K110">
        <f t="shared" si="14"/>
        <v>18</v>
      </c>
      <c r="L110">
        <f t="shared" si="14"/>
        <v>18</v>
      </c>
      <c r="M110">
        <f t="shared" si="14"/>
        <v>18</v>
      </c>
      <c r="N110">
        <f t="shared" si="14"/>
        <v>18</v>
      </c>
      <c r="O110">
        <f t="shared" si="14"/>
        <v>18</v>
      </c>
      <c r="P110">
        <f t="shared" si="14"/>
        <v>18</v>
      </c>
      <c r="Q110">
        <f t="shared" si="14"/>
        <v>18</v>
      </c>
      <c r="R110">
        <f t="shared" si="14"/>
        <v>18</v>
      </c>
      <c r="S110">
        <f t="shared" si="14"/>
        <v>18</v>
      </c>
      <c r="T110">
        <f t="shared" si="14"/>
        <v>18</v>
      </c>
      <c r="U110">
        <f t="shared" si="14"/>
        <v>18</v>
      </c>
      <c r="V110">
        <f t="shared" si="14"/>
        <v>18</v>
      </c>
      <c r="W110">
        <f t="shared" si="14"/>
        <v>18</v>
      </c>
      <c r="X110">
        <f t="shared" si="14"/>
        <v>18</v>
      </c>
      <c r="Y110">
        <f t="shared" si="14"/>
        <v>18</v>
      </c>
      <c r="Z110">
        <f t="shared" si="14"/>
        <v>18</v>
      </c>
      <c r="AA110">
        <f t="shared" si="14"/>
        <v>18</v>
      </c>
      <c r="AB110">
        <f t="shared" si="14"/>
        <v>18</v>
      </c>
      <c r="AC110">
        <f t="shared" si="14"/>
        <v>18</v>
      </c>
      <c r="AD110">
        <f t="shared" si="14"/>
        <v>18</v>
      </c>
      <c r="AE110">
        <f t="shared" si="14"/>
        <v>18</v>
      </c>
      <c r="AF110">
        <f t="shared" si="14"/>
        <v>18</v>
      </c>
    </row>
    <row r="111" spans="4:32">
      <c r="D111" s="66">
        <f>D$30</f>
        <v>5</v>
      </c>
      <c r="E111" s="66">
        <f>E$30</f>
        <v>3</v>
      </c>
      <c r="I111">
        <f t="shared" si="15"/>
        <v>15</v>
      </c>
      <c r="J111">
        <f t="shared" si="14"/>
        <v>15</v>
      </c>
      <c r="K111">
        <f t="shared" si="14"/>
        <v>15</v>
      </c>
      <c r="L111">
        <f t="shared" si="14"/>
        <v>15</v>
      </c>
      <c r="M111">
        <f t="shared" si="14"/>
        <v>15</v>
      </c>
      <c r="N111">
        <f t="shared" si="14"/>
        <v>15</v>
      </c>
      <c r="O111">
        <f t="shared" si="14"/>
        <v>15</v>
      </c>
      <c r="P111">
        <f t="shared" si="14"/>
        <v>15</v>
      </c>
      <c r="Q111">
        <f t="shared" si="14"/>
        <v>15</v>
      </c>
      <c r="R111">
        <f t="shared" si="14"/>
        <v>15</v>
      </c>
      <c r="S111">
        <f t="shared" si="14"/>
        <v>15</v>
      </c>
      <c r="T111">
        <f t="shared" si="14"/>
        <v>15</v>
      </c>
      <c r="U111">
        <f t="shared" si="14"/>
        <v>16</v>
      </c>
      <c r="V111">
        <f t="shared" si="14"/>
        <v>16</v>
      </c>
      <c r="W111">
        <f t="shared" si="14"/>
        <v>16</v>
      </c>
      <c r="X111">
        <f t="shared" si="14"/>
        <v>16</v>
      </c>
      <c r="Y111">
        <f t="shared" si="14"/>
        <v>16</v>
      </c>
      <c r="Z111">
        <f t="shared" si="14"/>
        <v>16</v>
      </c>
      <c r="AA111">
        <f t="shared" si="14"/>
        <v>16</v>
      </c>
      <c r="AB111">
        <f t="shared" si="14"/>
        <v>16</v>
      </c>
      <c r="AC111">
        <f t="shared" ref="J111:AF113" si="16">RANK(AC84,AC$62:AC$86)</f>
        <v>16</v>
      </c>
      <c r="AD111">
        <f t="shared" si="16"/>
        <v>16</v>
      </c>
      <c r="AE111">
        <f t="shared" si="16"/>
        <v>16</v>
      </c>
      <c r="AF111">
        <f t="shared" si="16"/>
        <v>16</v>
      </c>
    </row>
    <row r="112" spans="4:32">
      <c r="D112" s="66">
        <f>D$31</f>
        <v>5</v>
      </c>
      <c r="E112" s="66">
        <f>E$31</f>
        <v>4</v>
      </c>
      <c r="I112">
        <f t="shared" si="15"/>
        <v>25</v>
      </c>
      <c r="J112">
        <f t="shared" si="16"/>
        <v>25</v>
      </c>
      <c r="K112">
        <f t="shared" si="16"/>
        <v>25</v>
      </c>
      <c r="L112">
        <f t="shared" si="16"/>
        <v>25</v>
      </c>
      <c r="M112">
        <f t="shared" si="16"/>
        <v>25</v>
      </c>
      <c r="N112">
        <f t="shared" si="16"/>
        <v>25</v>
      </c>
      <c r="O112">
        <f t="shared" si="16"/>
        <v>25</v>
      </c>
      <c r="P112">
        <f t="shared" si="16"/>
        <v>25</v>
      </c>
      <c r="Q112">
        <f t="shared" si="16"/>
        <v>25</v>
      </c>
      <c r="R112">
        <f t="shared" si="16"/>
        <v>25</v>
      </c>
      <c r="S112">
        <f t="shared" si="16"/>
        <v>25</v>
      </c>
      <c r="T112">
        <f t="shared" si="16"/>
        <v>25</v>
      </c>
      <c r="U112">
        <f t="shared" si="16"/>
        <v>25</v>
      </c>
      <c r="V112">
        <f t="shared" si="16"/>
        <v>25</v>
      </c>
      <c r="W112">
        <f t="shared" si="16"/>
        <v>25</v>
      </c>
      <c r="X112">
        <f t="shared" si="16"/>
        <v>25</v>
      </c>
      <c r="Y112">
        <f t="shared" si="16"/>
        <v>25</v>
      </c>
      <c r="Z112">
        <f t="shared" si="16"/>
        <v>25</v>
      </c>
      <c r="AA112">
        <f t="shared" si="16"/>
        <v>25</v>
      </c>
      <c r="AB112">
        <f t="shared" si="16"/>
        <v>25</v>
      </c>
      <c r="AC112">
        <f t="shared" si="16"/>
        <v>25</v>
      </c>
      <c r="AD112">
        <f t="shared" si="16"/>
        <v>25</v>
      </c>
      <c r="AE112">
        <f t="shared" si="16"/>
        <v>25</v>
      </c>
      <c r="AF112">
        <f t="shared" si="16"/>
        <v>25</v>
      </c>
    </row>
    <row r="113" spans="2:32">
      <c r="D113" s="66">
        <f>D$32</f>
        <v>5</v>
      </c>
      <c r="E113" s="66">
        <f>E$32</f>
        <v>5</v>
      </c>
      <c r="I113">
        <f t="shared" si="15"/>
        <v>20</v>
      </c>
      <c r="J113">
        <f t="shared" si="16"/>
        <v>20</v>
      </c>
      <c r="K113">
        <f t="shared" si="16"/>
        <v>20</v>
      </c>
      <c r="L113">
        <f t="shared" si="16"/>
        <v>20</v>
      </c>
      <c r="M113">
        <f t="shared" si="16"/>
        <v>20</v>
      </c>
      <c r="N113">
        <f t="shared" si="16"/>
        <v>20</v>
      </c>
      <c r="O113">
        <f t="shared" si="16"/>
        <v>20</v>
      </c>
      <c r="P113">
        <f t="shared" si="16"/>
        <v>20</v>
      </c>
      <c r="Q113">
        <f t="shared" si="16"/>
        <v>20</v>
      </c>
      <c r="R113">
        <f t="shared" si="16"/>
        <v>20</v>
      </c>
      <c r="S113">
        <f t="shared" si="16"/>
        <v>20</v>
      </c>
      <c r="T113">
        <f t="shared" si="16"/>
        <v>20</v>
      </c>
      <c r="U113">
        <f t="shared" si="16"/>
        <v>20</v>
      </c>
      <c r="V113">
        <f t="shared" si="16"/>
        <v>20</v>
      </c>
      <c r="W113">
        <f t="shared" si="16"/>
        <v>20</v>
      </c>
      <c r="X113">
        <f t="shared" si="16"/>
        <v>20</v>
      </c>
      <c r="Y113">
        <f t="shared" si="16"/>
        <v>20</v>
      </c>
      <c r="Z113">
        <f t="shared" si="16"/>
        <v>20</v>
      </c>
      <c r="AA113">
        <f t="shared" si="16"/>
        <v>20</v>
      </c>
      <c r="AB113">
        <f t="shared" si="16"/>
        <v>20</v>
      </c>
      <c r="AC113">
        <f t="shared" si="16"/>
        <v>20</v>
      </c>
      <c r="AD113">
        <f t="shared" si="16"/>
        <v>20</v>
      </c>
      <c r="AE113">
        <f t="shared" si="16"/>
        <v>20</v>
      </c>
      <c r="AF113">
        <f t="shared" si="16"/>
        <v>20</v>
      </c>
    </row>
    <row r="115" spans="2:32" ht="14.4">
      <c r="B115" s="62" t="s">
        <v>5</v>
      </c>
      <c r="C115" s="62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</row>
    <row r="117" spans="2:32" ht="14.4">
      <c r="B117" s="68" t="s">
        <v>6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</row>
    <row r="118" spans="2:32" ht="14.4">
      <c r="D118" s="66">
        <f>D$8</f>
        <v>1</v>
      </c>
      <c r="E118" s="66">
        <f>E$8</f>
        <v>1</v>
      </c>
      <c r="G118" s="80">
        <f>INDEX(CaseData!$J$8:$J$12,MATCH("Client "&amp;$D118,CaseData!$I$8:$I$12,0))</f>
        <v>0.02</v>
      </c>
      <c r="H118" s="79"/>
      <c r="I118" s="82">
        <f>SUMIFS(CaseData!$E$8:$E$307,CaseData!$B$8:$B$307,I$5,CaseData!$C$8:$C$307,$D118,CaseData!$D$8:$D$307,$E118)</f>
        <v>10438</v>
      </c>
      <c r="J118" s="82">
        <f>SUMIFS(CaseData!$E$8:$E$307,CaseData!$B$8:$B$307,J$5,CaseData!$C$8:$C$307,$D118,CaseData!$D$8:$D$307,$E118)</f>
        <v>4960</v>
      </c>
      <c r="K118" s="82">
        <f>SUMIFS(CaseData!$E$8:$E$307,CaseData!$B$8:$B$307,K$5,CaseData!$C$8:$C$307,$D118,CaseData!$D$8:$D$307,$E118)</f>
        <v>4960</v>
      </c>
      <c r="L118" s="82">
        <f>SUMIFS(CaseData!$E$8:$E$307,CaseData!$B$8:$B$307,L$5,CaseData!$C$8:$C$307,$D118,CaseData!$D$8:$D$307,$E118)</f>
        <v>5920</v>
      </c>
      <c r="M118" s="82">
        <f>SUMIFS(CaseData!$E$8:$E$307,CaseData!$B$8:$B$307,M$5,CaseData!$C$8:$C$307,$D118,CaseData!$D$8:$D$307,$E118)</f>
        <v>4400</v>
      </c>
      <c r="N118" s="82">
        <f>SUMIFS(CaseData!$E$8:$E$307,CaseData!$B$8:$B$307,N$5,CaseData!$C$8:$C$307,$D118,CaseData!$D$8:$D$307,$E118)</f>
        <v>5120</v>
      </c>
      <c r="O118" s="82">
        <f>SUMIFS(CaseData!$E$8:$E$307,CaseData!$B$8:$B$307,O$5,CaseData!$C$8:$C$307,$D118,CaseData!$D$8:$D$307,$E118)</f>
        <v>5680</v>
      </c>
      <c r="P118" s="82">
        <f>SUMIFS(CaseData!$E$8:$E$307,CaseData!$B$8:$B$307,P$5,CaseData!$C$8:$C$307,$D118,CaseData!$D$8:$D$307,$E118)</f>
        <v>11920</v>
      </c>
      <c r="Q118" s="82">
        <f>SUMIFS(CaseData!$E$8:$E$307,CaseData!$B$8:$B$307,Q$5,CaseData!$C$8:$C$307,$D118,CaseData!$D$8:$D$307,$E118)</f>
        <v>10880</v>
      </c>
      <c r="R118" s="82">
        <f>SUMIFS(CaseData!$E$8:$E$307,CaseData!$B$8:$B$307,R$5,CaseData!$C$8:$C$307,$D118,CaseData!$D$8:$D$307,$E118)</f>
        <v>4560</v>
      </c>
      <c r="S118" s="82">
        <f>SUMIFS(CaseData!$E$8:$E$307,CaseData!$B$8:$B$307,S$5,CaseData!$C$8:$C$307,$D118,CaseData!$D$8:$D$307,$E118)</f>
        <v>10560</v>
      </c>
      <c r="T118" s="82">
        <f>SUMIFS(CaseData!$E$8:$E$307,CaseData!$B$8:$B$307,T$5,CaseData!$C$8:$C$307,$D118,CaseData!$D$8:$D$307,$E118)</f>
        <v>11840</v>
      </c>
      <c r="U118" s="71">
        <f t="shared" ref="U118:AF139" si="17">I118*(1+$G118)</f>
        <v>10646.76</v>
      </c>
      <c r="V118" s="71">
        <f t="shared" si="17"/>
        <v>5059.2</v>
      </c>
      <c r="W118" s="71">
        <f t="shared" si="17"/>
        <v>5059.2</v>
      </c>
      <c r="X118" s="71">
        <f t="shared" si="17"/>
        <v>6038.4000000000005</v>
      </c>
      <c r="Y118" s="71">
        <f t="shared" si="17"/>
        <v>4488</v>
      </c>
      <c r="Z118" s="71">
        <f t="shared" si="17"/>
        <v>5222.3999999999996</v>
      </c>
      <c r="AA118" s="71">
        <f t="shared" si="17"/>
        <v>5793.6</v>
      </c>
      <c r="AB118" s="71">
        <f t="shared" si="17"/>
        <v>12158.4</v>
      </c>
      <c r="AC118" s="71">
        <f t="shared" si="17"/>
        <v>11097.6</v>
      </c>
      <c r="AD118" s="71">
        <f t="shared" si="17"/>
        <v>4651.2</v>
      </c>
      <c r="AE118" s="71">
        <f t="shared" si="17"/>
        <v>10771.2</v>
      </c>
      <c r="AF118" s="71">
        <f t="shared" si="17"/>
        <v>12076.800000000001</v>
      </c>
    </row>
    <row r="119" spans="2:32" ht="14.4">
      <c r="D119" s="66">
        <f>D$9</f>
        <v>1</v>
      </c>
      <c r="E119" s="66">
        <f>E$9</f>
        <v>2</v>
      </c>
      <c r="G119" s="80">
        <f>INDEX(CaseData!$J$8:$J$12,MATCH("Client "&amp;$D119,CaseData!$I$8:$I$12,0))</f>
        <v>0.02</v>
      </c>
      <c r="H119" s="79"/>
      <c r="I119" s="82">
        <f>SUMIFS(CaseData!$E$8:$E$307,CaseData!$B$8:$B$307,I$5,CaseData!$C$8:$C$307,$D119,CaseData!$D$8:$D$307,$E119)</f>
        <v>516</v>
      </c>
      <c r="J119" s="82">
        <f>SUMIFS(CaseData!$E$8:$E$307,CaseData!$B$8:$B$307,J$5,CaseData!$C$8:$C$307,$D119,CaseData!$D$8:$D$307,$E119)</f>
        <v>1222</v>
      </c>
      <c r="K119" s="82">
        <f>SUMIFS(CaseData!$E$8:$E$307,CaseData!$B$8:$B$307,K$5,CaseData!$C$8:$C$307,$D119,CaseData!$D$8:$D$307,$E119)</f>
        <v>1110</v>
      </c>
      <c r="L119" s="82">
        <f>SUMIFS(CaseData!$E$8:$E$307,CaseData!$B$8:$B$307,L$5,CaseData!$C$8:$C$307,$D119,CaseData!$D$8:$D$307,$E119)</f>
        <v>1084</v>
      </c>
      <c r="M119" s="82">
        <f>SUMIFS(CaseData!$E$8:$E$307,CaseData!$B$8:$B$307,M$5,CaseData!$C$8:$C$307,$D119,CaseData!$D$8:$D$307,$E119)</f>
        <v>1264</v>
      </c>
      <c r="N119" s="82">
        <f>SUMIFS(CaseData!$E$8:$E$307,CaseData!$B$8:$B$307,N$5,CaseData!$C$8:$C$307,$D119,CaseData!$D$8:$D$307,$E119)</f>
        <v>606</v>
      </c>
      <c r="O119" s="82">
        <f>SUMIFS(CaseData!$E$8:$E$307,CaseData!$B$8:$B$307,O$5,CaseData!$C$8:$C$307,$D119,CaseData!$D$8:$D$307,$E119)</f>
        <v>930</v>
      </c>
      <c r="P119" s="82">
        <f>SUMIFS(CaseData!$E$8:$E$307,CaseData!$B$8:$B$307,P$5,CaseData!$C$8:$C$307,$D119,CaseData!$D$8:$D$307,$E119)</f>
        <v>760</v>
      </c>
      <c r="Q119" s="82">
        <f>SUMIFS(CaseData!$E$8:$E$307,CaseData!$B$8:$B$307,Q$5,CaseData!$C$8:$C$307,$D119,CaseData!$D$8:$D$307,$E119)</f>
        <v>1162</v>
      </c>
      <c r="R119" s="82">
        <f>SUMIFS(CaseData!$E$8:$E$307,CaseData!$B$8:$B$307,R$5,CaseData!$C$8:$C$307,$D119,CaseData!$D$8:$D$307,$E119)</f>
        <v>1212</v>
      </c>
      <c r="S119" s="82">
        <f>SUMIFS(CaseData!$E$8:$E$307,CaseData!$B$8:$B$307,S$5,CaseData!$C$8:$C$307,$D119,CaseData!$D$8:$D$307,$E119)</f>
        <v>1076</v>
      </c>
      <c r="T119" s="82">
        <f>SUMIFS(CaseData!$E$8:$E$307,CaseData!$B$8:$B$307,T$5,CaseData!$C$8:$C$307,$D119,CaseData!$D$8:$D$307,$E119)</f>
        <v>718</v>
      </c>
      <c r="U119" s="71">
        <f t="shared" si="17"/>
        <v>526.32000000000005</v>
      </c>
      <c r="V119" s="71">
        <f t="shared" si="17"/>
        <v>1246.44</v>
      </c>
      <c r="W119" s="71">
        <f t="shared" si="17"/>
        <v>1132.2</v>
      </c>
      <c r="X119" s="71">
        <f t="shared" si="17"/>
        <v>1105.68</v>
      </c>
      <c r="Y119" s="71">
        <f t="shared" si="17"/>
        <v>1289.28</v>
      </c>
      <c r="Z119" s="71">
        <f t="shared" si="17"/>
        <v>618.12</v>
      </c>
      <c r="AA119" s="71">
        <f t="shared" si="17"/>
        <v>948.6</v>
      </c>
      <c r="AB119" s="71">
        <f t="shared" si="17"/>
        <v>775.2</v>
      </c>
      <c r="AC119" s="71">
        <f t="shared" si="17"/>
        <v>1185.24</v>
      </c>
      <c r="AD119" s="71">
        <f t="shared" si="17"/>
        <v>1236.24</v>
      </c>
      <c r="AE119" s="71">
        <f t="shared" si="17"/>
        <v>1097.52</v>
      </c>
      <c r="AF119" s="71">
        <f t="shared" si="17"/>
        <v>732.36</v>
      </c>
    </row>
    <row r="120" spans="2:32" ht="14.4">
      <c r="D120" s="66">
        <f>D$10</f>
        <v>1</v>
      </c>
      <c r="E120" s="66">
        <f>E$10</f>
        <v>3</v>
      </c>
      <c r="G120" s="80">
        <f>INDEX(CaseData!$J$8:$J$12,MATCH("Client "&amp;$D120,CaseData!$I$8:$I$12,0))</f>
        <v>0.02</v>
      </c>
      <c r="H120" s="79"/>
      <c r="I120" s="82">
        <f>SUMIFS(CaseData!$E$8:$E$307,CaseData!$B$8:$B$307,I$5,CaseData!$C$8:$C$307,$D120,CaseData!$D$8:$D$307,$E120)</f>
        <v>24860</v>
      </c>
      <c r="J120" s="82">
        <f>SUMIFS(CaseData!$E$8:$E$307,CaseData!$B$8:$B$307,J$5,CaseData!$C$8:$C$307,$D120,CaseData!$D$8:$D$307,$E120)</f>
        <v>28698</v>
      </c>
      <c r="K120" s="82">
        <f>SUMIFS(CaseData!$E$8:$E$307,CaseData!$B$8:$B$307,K$5,CaseData!$C$8:$C$307,$D120,CaseData!$D$8:$D$307,$E120)</f>
        <v>17784</v>
      </c>
      <c r="L120" s="82">
        <f>SUMIFS(CaseData!$E$8:$E$307,CaseData!$B$8:$B$307,L$5,CaseData!$C$8:$C$307,$D120,CaseData!$D$8:$D$307,$E120)</f>
        <v>11722</v>
      </c>
      <c r="M120" s="82">
        <f>SUMIFS(CaseData!$E$8:$E$307,CaseData!$B$8:$B$307,M$5,CaseData!$C$8:$C$307,$D120,CaseData!$D$8:$D$307,$E120)</f>
        <v>30112</v>
      </c>
      <c r="N120" s="82">
        <f>SUMIFS(CaseData!$E$8:$E$307,CaseData!$B$8:$B$307,N$5,CaseData!$C$8:$C$307,$D120,CaseData!$D$8:$D$307,$E120)</f>
        <v>23444</v>
      </c>
      <c r="O120" s="82">
        <f>SUMIFS(CaseData!$E$8:$E$307,CaseData!$B$8:$B$307,O$5,CaseData!$C$8:$C$307,$D120,CaseData!$D$8:$D$307,$E120)</f>
        <v>10712</v>
      </c>
      <c r="P120" s="82">
        <f>SUMIFS(CaseData!$E$8:$E$307,CaseData!$B$8:$B$307,P$5,CaseData!$C$8:$C$307,$D120,CaseData!$D$8:$D$307,$E120)</f>
        <v>19200</v>
      </c>
      <c r="Q120" s="82">
        <f>SUMIFS(CaseData!$E$8:$E$307,CaseData!$B$8:$B$307,Q$5,CaseData!$C$8:$C$307,$D120,CaseData!$D$8:$D$307,$E120)</f>
        <v>24858</v>
      </c>
      <c r="R120" s="82">
        <f>SUMIFS(CaseData!$E$8:$E$307,CaseData!$B$8:$B$307,R$5,CaseData!$C$8:$C$307,$D120,CaseData!$D$8:$D$307,$E120)</f>
        <v>26274</v>
      </c>
      <c r="S120" s="82">
        <f>SUMIFS(CaseData!$E$8:$E$307,CaseData!$B$8:$B$307,S$5,CaseData!$C$8:$C$307,$D120,CaseData!$D$8:$D$307,$E120)</f>
        <v>27688</v>
      </c>
      <c r="T120" s="82">
        <f>SUMIFS(CaseData!$E$8:$E$307,CaseData!$B$8:$B$307,T$5,CaseData!$C$8:$C$307,$D120,CaseData!$D$8:$D$307,$E120)</f>
        <v>15966</v>
      </c>
      <c r="U120" s="71">
        <f t="shared" si="17"/>
        <v>25357.200000000001</v>
      </c>
      <c r="V120" s="71">
        <f t="shared" si="17"/>
        <v>29271.96</v>
      </c>
      <c r="W120" s="71">
        <f t="shared" si="17"/>
        <v>18139.68</v>
      </c>
      <c r="X120" s="71">
        <f t="shared" si="17"/>
        <v>11956.44</v>
      </c>
      <c r="Y120" s="71">
        <f t="shared" si="17"/>
        <v>30714.240000000002</v>
      </c>
      <c r="Z120" s="71">
        <f t="shared" si="17"/>
        <v>23912.880000000001</v>
      </c>
      <c r="AA120" s="71">
        <f t="shared" si="17"/>
        <v>10926.24</v>
      </c>
      <c r="AB120" s="71">
        <f t="shared" si="17"/>
        <v>19584</v>
      </c>
      <c r="AC120" s="71">
        <f t="shared" si="17"/>
        <v>25355.16</v>
      </c>
      <c r="AD120" s="71">
        <f t="shared" si="17"/>
        <v>26799.48</v>
      </c>
      <c r="AE120" s="71">
        <f t="shared" si="17"/>
        <v>28241.760000000002</v>
      </c>
      <c r="AF120" s="71">
        <f t="shared" si="17"/>
        <v>16285.32</v>
      </c>
    </row>
    <row r="121" spans="2:32" ht="14.4">
      <c r="D121" s="66">
        <f>D$11</f>
        <v>1</v>
      </c>
      <c r="E121" s="66">
        <f>E$11</f>
        <v>4</v>
      </c>
      <c r="G121" s="80">
        <f>INDEX(CaseData!$J$8:$J$12,MATCH("Client "&amp;$D121,CaseData!$I$8:$I$12,0))</f>
        <v>0.02</v>
      </c>
      <c r="H121" s="79"/>
      <c r="I121" s="82">
        <f>SUMIFS(CaseData!$E$8:$E$307,CaseData!$B$8:$B$307,I$5,CaseData!$C$8:$C$307,$D121,CaseData!$D$8:$D$307,$E121)</f>
        <v>17812</v>
      </c>
      <c r="J121" s="82">
        <f>SUMIFS(CaseData!$E$8:$E$307,CaseData!$B$8:$B$307,J$5,CaseData!$C$8:$C$307,$D121,CaseData!$D$8:$D$307,$E121)</f>
        <v>28146</v>
      </c>
      <c r="K121" s="82">
        <f>SUMIFS(CaseData!$E$8:$E$307,CaseData!$B$8:$B$307,K$5,CaseData!$C$8:$C$307,$D121,CaseData!$D$8:$D$307,$E121)</f>
        <v>37804</v>
      </c>
      <c r="L121" s="82">
        <f>SUMIFS(CaseData!$E$8:$E$307,CaseData!$B$8:$B$307,L$5,CaseData!$C$8:$C$307,$D121,CaseData!$D$8:$D$307,$E121)</f>
        <v>15728</v>
      </c>
      <c r="M121" s="82">
        <f>SUMIFS(CaseData!$E$8:$E$307,CaseData!$B$8:$B$307,M$5,CaseData!$C$8:$C$307,$D121,CaseData!$D$8:$D$307,$E121)</f>
        <v>25386</v>
      </c>
      <c r="N121" s="82">
        <f>SUMIFS(CaseData!$E$8:$E$307,CaseData!$B$8:$B$307,N$5,CaseData!$C$8:$C$307,$D121,CaseData!$D$8:$D$307,$E121)</f>
        <v>21248</v>
      </c>
      <c r="O121" s="82">
        <f>SUMIFS(CaseData!$E$8:$E$307,CaseData!$B$8:$B$307,O$5,CaseData!$C$8:$C$307,$D121,CaseData!$D$8:$D$307,$E121)</f>
        <v>32560</v>
      </c>
      <c r="P121" s="82">
        <f>SUMIFS(CaseData!$E$8:$E$307,CaseData!$B$8:$B$307,P$5,CaseData!$C$8:$C$307,$D121,CaseData!$D$8:$D$307,$E121)</f>
        <v>25662</v>
      </c>
      <c r="Q121" s="82">
        <f>SUMIFS(CaseData!$E$8:$E$307,CaseData!$B$8:$B$307,Q$5,CaseData!$C$8:$C$307,$D121,CaseData!$D$8:$D$307,$E121)</f>
        <v>23178</v>
      </c>
      <c r="R121" s="82">
        <f>SUMIFS(CaseData!$E$8:$E$307,CaseData!$B$8:$B$307,R$5,CaseData!$C$8:$C$307,$D121,CaseData!$D$8:$D$307,$E121)</f>
        <v>31734</v>
      </c>
      <c r="S121" s="82">
        <f>SUMIFS(CaseData!$E$8:$E$307,CaseData!$B$8:$B$307,S$5,CaseData!$C$8:$C$307,$D121,CaseData!$D$8:$D$307,$E121)</f>
        <v>14900</v>
      </c>
      <c r="T121" s="82">
        <f>SUMIFS(CaseData!$E$8:$E$307,CaseData!$B$8:$B$307,T$5,CaseData!$C$8:$C$307,$D121,CaseData!$D$8:$D$307,$E121)</f>
        <v>34768</v>
      </c>
      <c r="U121" s="71">
        <f t="shared" si="17"/>
        <v>18168.240000000002</v>
      </c>
      <c r="V121" s="71">
        <f t="shared" si="17"/>
        <v>28708.920000000002</v>
      </c>
      <c r="W121" s="71">
        <f t="shared" si="17"/>
        <v>38560.080000000002</v>
      </c>
      <c r="X121" s="71">
        <f t="shared" si="17"/>
        <v>16042.56</v>
      </c>
      <c r="Y121" s="71">
        <f t="shared" si="17"/>
        <v>25893.72</v>
      </c>
      <c r="Z121" s="71">
        <f t="shared" si="17"/>
        <v>21672.959999999999</v>
      </c>
      <c r="AA121" s="71">
        <f t="shared" si="17"/>
        <v>33211.199999999997</v>
      </c>
      <c r="AB121" s="71">
        <f t="shared" si="17"/>
        <v>26175.24</v>
      </c>
      <c r="AC121" s="71">
        <f t="shared" si="17"/>
        <v>23641.56</v>
      </c>
      <c r="AD121" s="71">
        <f t="shared" si="17"/>
        <v>32368.68</v>
      </c>
      <c r="AE121" s="71">
        <f t="shared" si="17"/>
        <v>15198</v>
      </c>
      <c r="AF121" s="71">
        <f t="shared" si="17"/>
        <v>35463.360000000001</v>
      </c>
    </row>
    <row r="122" spans="2:32" ht="14.4">
      <c r="D122" s="66">
        <f>D$12</f>
        <v>1</v>
      </c>
      <c r="E122" s="66">
        <f>E$12</f>
        <v>5</v>
      </c>
      <c r="G122" s="80">
        <f>INDEX(CaseData!$J$8:$J$12,MATCH("Client "&amp;$D122,CaseData!$I$8:$I$12,0))</f>
        <v>0.02</v>
      </c>
      <c r="H122" s="79"/>
      <c r="I122" s="82">
        <f>SUMIFS(CaseData!$E$8:$E$307,CaseData!$B$8:$B$307,I$5,CaseData!$C$8:$C$307,$D122,CaseData!$D$8:$D$307,$E122)</f>
        <v>8018</v>
      </c>
      <c r="J122" s="82">
        <f>SUMIFS(CaseData!$E$8:$E$307,CaseData!$B$8:$B$307,J$5,CaseData!$C$8:$C$307,$D122,CaseData!$D$8:$D$307,$E122)</f>
        <v>19306</v>
      </c>
      <c r="K122" s="82">
        <f>SUMIFS(CaseData!$E$8:$E$307,CaseData!$B$8:$B$307,K$5,CaseData!$C$8:$C$307,$D122,CaseData!$D$8:$D$307,$E122)</f>
        <v>14088</v>
      </c>
      <c r="L122" s="82">
        <f>SUMIFS(CaseData!$E$8:$E$307,CaseData!$B$8:$B$307,L$5,CaseData!$C$8:$C$307,$D122,CaseData!$D$8:$D$307,$E122)</f>
        <v>19436</v>
      </c>
      <c r="M122" s="82">
        <f>SUMIFS(CaseData!$E$8:$E$307,CaseData!$B$8:$B$307,M$5,CaseData!$C$8:$C$307,$D122,CaseData!$D$8:$D$307,$E122)</f>
        <v>8478</v>
      </c>
      <c r="N122" s="82">
        <f>SUMIFS(CaseData!$E$8:$E$307,CaseData!$B$8:$B$307,N$5,CaseData!$C$8:$C$307,$D122,CaseData!$D$8:$D$307,$E122)</f>
        <v>13566</v>
      </c>
      <c r="O122" s="82">
        <f>SUMIFS(CaseData!$E$8:$E$307,CaseData!$B$8:$B$307,O$5,CaseData!$C$8:$C$307,$D122,CaseData!$D$8:$D$307,$E122)</f>
        <v>11088</v>
      </c>
      <c r="P122" s="82">
        <f>SUMIFS(CaseData!$E$8:$E$307,CaseData!$B$8:$B$307,P$5,CaseData!$C$8:$C$307,$D122,CaseData!$D$8:$D$307,$E122)</f>
        <v>9000</v>
      </c>
      <c r="Q122" s="82">
        <f>SUMIFS(CaseData!$E$8:$E$307,CaseData!$B$8:$B$307,Q$5,CaseData!$C$8:$C$307,$D122,CaseData!$D$8:$D$307,$E122)</f>
        <v>10826</v>
      </c>
      <c r="R122" s="82">
        <f>SUMIFS(CaseData!$E$8:$E$307,CaseData!$B$8:$B$307,R$5,CaseData!$C$8:$C$307,$D122,CaseData!$D$8:$D$307,$E122)</f>
        <v>6914</v>
      </c>
      <c r="S122" s="82">
        <f>SUMIFS(CaseData!$E$8:$E$307,CaseData!$B$8:$B$307,S$5,CaseData!$C$8:$C$307,$D122,CaseData!$D$8:$D$307,$E122)</f>
        <v>12914</v>
      </c>
      <c r="T122" s="82">
        <f>SUMIFS(CaseData!$E$8:$E$307,CaseData!$B$8:$B$307,T$5,CaseData!$C$8:$C$307,$D122,CaseData!$D$8:$D$307,$E122)</f>
        <v>14088</v>
      </c>
      <c r="U122" s="71">
        <f t="shared" si="17"/>
        <v>8178.3600000000006</v>
      </c>
      <c r="V122" s="71">
        <f t="shared" si="17"/>
        <v>19692.12</v>
      </c>
      <c r="W122" s="71">
        <f t="shared" si="17"/>
        <v>14369.76</v>
      </c>
      <c r="X122" s="71">
        <f t="shared" si="17"/>
        <v>19824.72</v>
      </c>
      <c r="Y122" s="71">
        <f t="shared" si="17"/>
        <v>8647.56</v>
      </c>
      <c r="Z122" s="71">
        <f t="shared" si="17"/>
        <v>13837.32</v>
      </c>
      <c r="AA122" s="71">
        <f t="shared" si="17"/>
        <v>11309.76</v>
      </c>
      <c r="AB122" s="71">
        <f t="shared" si="17"/>
        <v>9180</v>
      </c>
      <c r="AC122" s="71">
        <f t="shared" si="17"/>
        <v>11042.52</v>
      </c>
      <c r="AD122" s="71">
        <f t="shared" si="17"/>
        <v>7052.28</v>
      </c>
      <c r="AE122" s="71">
        <f t="shared" si="17"/>
        <v>13172.28</v>
      </c>
      <c r="AF122" s="71">
        <f t="shared" si="17"/>
        <v>14369.76</v>
      </c>
    </row>
    <row r="123" spans="2:32" ht="14.4">
      <c r="D123" s="66">
        <f>D$13</f>
        <v>2</v>
      </c>
      <c r="E123" s="66">
        <f>E$13</f>
        <v>1</v>
      </c>
      <c r="G123" s="80">
        <f>INDEX(CaseData!$J$8:$J$12,MATCH("Client "&amp;$D123,CaseData!$I$8:$I$12,0))</f>
        <v>0.04</v>
      </c>
      <c r="H123" s="79"/>
      <c r="I123" s="82">
        <f>SUMIFS(CaseData!$E$8:$E$307,CaseData!$B$8:$B$307,I$5,CaseData!$C$8:$C$307,$D123,CaseData!$D$8:$D$307,$E123)</f>
        <v>1814</v>
      </c>
      <c r="J123" s="82">
        <f>SUMIFS(CaseData!$E$8:$E$307,CaseData!$B$8:$B$307,J$5,CaseData!$C$8:$C$307,$D123,CaseData!$D$8:$D$307,$E123)</f>
        <v>2570</v>
      </c>
      <c r="K123" s="82">
        <f>SUMIFS(CaseData!$E$8:$E$307,CaseData!$B$8:$B$307,K$5,CaseData!$C$8:$C$307,$D123,CaseData!$D$8:$D$307,$E123)</f>
        <v>3470</v>
      </c>
      <c r="L123" s="82">
        <f>SUMIFS(CaseData!$E$8:$E$307,CaseData!$B$8:$B$307,L$5,CaseData!$C$8:$C$307,$D123,CaseData!$D$8:$D$307,$E123)</f>
        <v>3098</v>
      </c>
      <c r="M123" s="82">
        <f>SUMIFS(CaseData!$E$8:$E$307,CaseData!$B$8:$B$307,M$5,CaseData!$C$8:$C$307,$D123,CaseData!$D$8:$D$307,$E123)</f>
        <v>4336</v>
      </c>
      <c r="N123" s="82">
        <f>SUMIFS(CaseData!$E$8:$E$307,CaseData!$B$8:$B$307,N$5,CaseData!$C$8:$C$307,$D123,CaseData!$D$8:$D$307,$E123)</f>
        <v>3066</v>
      </c>
      <c r="O123" s="82">
        <f>SUMIFS(CaseData!$E$8:$E$307,CaseData!$B$8:$B$307,O$5,CaseData!$C$8:$C$307,$D123,CaseData!$D$8:$D$307,$E123)</f>
        <v>1642</v>
      </c>
      <c r="P123" s="82">
        <f>SUMIFS(CaseData!$E$8:$E$307,CaseData!$B$8:$B$307,P$5,CaseData!$C$8:$C$307,$D123,CaseData!$D$8:$D$307,$E123)</f>
        <v>4368</v>
      </c>
      <c r="Q123" s="82">
        <f>SUMIFS(CaseData!$E$8:$E$307,CaseData!$B$8:$B$307,Q$5,CaseData!$C$8:$C$307,$D123,CaseData!$D$8:$D$307,$E123)</f>
        <v>1580</v>
      </c>
      <c r="R123" s="82">
        <f>SUMIFS(CaseData!$E$8:$E$307,CaseData!$B$8:$B$307,R$5,CaseData!$C$8:$C$307,$D123,CaseData!$D$8:$D$307,$E123)</f>
        <v>2540</v>
      </c>
      <c r="S123" s="82">
        <f>SUMIFS(CaseData!$E$8:$E$307,CaseData!$B$8:$B$307,S$5,CaseData!$C$8:$C$307,$D123,CaseData!$D$8:$D$307,$E123)</f>
        <v>4306</v>
      </c>
      <c r="T123" s="82">
        <f>SUMIFS(CaseData!$E$8:$E$307,CaseData!$B$8:$B$307,T$5,CaseData!$C$8:$C$307,$D123,CaseData!$D$8:$D$307,$E123)</f>
        <v>1828</v>
      </c>
      <c r="U123" s="71">
        <f t="shared" si="17"/>
        <v>1886.5600000000002</v>
      </c>
      <c r="V123" s="71">
        <f t="shared" si="17"/>
        <v>2672.8</v>
      </c>
      <c r="W123" s="71">
        <f t="shared" si="17"/>
        <v>3608.8</v>
      </c>
      <c r="X123" s="71">
        <f t="shared" si="17"/>
        <v>3221.92</v>
      </c>
      <c r="Y123" s="71">
        <f t="shared" si="17"/>
        <v>4509.4400000000005</v>
      </c>
      <c r="Z123" s="71">
        <f t="shared" si="17"/>
        <v>3188.6400000000003</v>
      </c>
      <c r="AA123" s="71">
        <f t="shared" si="17"/>
        <v>1707.68</v>
      </c>
      <c r="AB123" s="71">
        <f t="shared" si="17"/>
        <v>4542.72</v>
      </c>
      <c r="AC123" s="71">
        <f t="shared" si="17"/>
        <v>1643.2</v>
      </c>
      <c r="AD123" s="71">
        <f t="shared" si="17"/>
        <v>2641.6</v>
      </c>
      <c r="AE123" s="71">
        <f t="shared" si="17"/>
        <v>4478.24</v>
      </c>
      <c r="AF123" s="71">
        <f t="shared" si="17"/>
        <v>1901.1200000000001</v>
      </c>
    </row>
    <row r="124" spans="2:32" ht="14.4">
      <c r="D124" s="66">
        <f>D$14</f>
        <v>2</v>
      </c>
      <c r="E124" s="66">
        <f>E$14</f>
        <v>2</v>
      </c>
      <c r="G124" s="80">
        <f>INDEX(CaseData!$J$8:$J$12,MATCH("Client "&amp;$D124,CaseData!$I$8:$I$12,0))</f>
        <v>0.04</v>
      </c>
      <c r="H124" s="79"/>
      <c r="I124" s="82">
        <f>SUMIFS(CaseData!$E$8:$E$307,CaseData!$B$8:$B$307,I$5,CaseData!$C$8:$C$307,$D124,CaseData!$D$8:$D$307,$E124)</f>
        <v>1994</v>
      </c>
      <c r="J124" s="82">
        <f>SUMIFS(CaseData!$E$8:$E$307,CaseData!$B$8:$B$307,J$5,CaseData!$C$8:$C$307,$D124,CaseData!$D$8:$D$307,$E124)</f>
        <v>1480</v>
      </c>
      <c r="K124" s="82">
        <f>SUMIFS(CaseData!$E$8:$E$307,CaseData!$B$8:$B$307,K$5,CaseData!$C$8:$C$307,$D124,CaseData!$D$8:$D$307,$E124)</f>
        <v>1080</v>
      </c>
      <c r="L124" s="82">
        <f>SUMIFS(CaseData!$E$8:$E$307,CaseData!$B$8:$B$307,L$5,CaseData!$C$8:$C$307,$D124,CaseData!$D$8:$D$307,$E124)</f>
        <v>1376</v>
      </c>
      <c r="M124" s="82">
        <f>SUMIFS(CaseData!$E$8:$E$307,CaseData!$B$8:$B$307,M$5,CaseData!$C$8:$C$307,$D124,CaseData!$D$8:$D$307,$E124)</f>
        <v>1080</v>
      </c>
      <c r="N124" s="82">
        <f>SUMIFS(CaseData!$E$8:$E$307,CaseData!$B$8:$B$307,N$5,CaseData!$C$8:$C$307,$D124,CaseData!$D$8:$D$307,$E124)</f>
        <v>2544</v>
      </c>
      <c r="O124" s="82">
        <f>SUMIFS(CaseData!$E$8:$E$307,CaseData!$B$8:$B$307,O$5,CaseData!$C$8:$C$307,$D124,CaseData!$D$8:$D$307,$E124)</f>
        <v>1550</v>
      </c>
      <c r="P124" s="82">
        <f>SUMIFS(CaseData!$E$8:$E$307,CaseData!$B$8:$B$307,P$5,CaseData!$C$8:$C$307,$D124,CaseData!$D$8:$D$307,$E124)</f>
        <v>2352</v>
      </c>
      <c r="Q124" s="82">
        <f>SUMIFS(CaseData!$E$8:$E$307,CaseData!$B$8:$B$307,Q$5,CaseData!$C$8:$C$307,$D124,CaseData!$D$8:$D$307,$E124)</f>
        <v>1672</v>
      </c>
      <c r="R124" s="82">
        <f>SUMIFS(CaseData!$E$8:$E$307,CaseData!$B$8:$B$307,R$5,CaseData!$C$8:$C$307,$D124,CaseData!$D$8:$D$307,$E124)</f>
        <v>2194</v>
      </c>
      <c r="S124" s="82">
        <f>SUMIFS(CaseData!$E$8:$E$307,CaseData!$B$8:$B$307,S$5,CaseData!$C$8:$C$307,$D124,CaseData!$D$8:$D$307,$E124)</f>
        <v>1220</v>
      </c>
      <c r="T124" s="82">
        <f>SUMIFS(CaseData!$E$8:$E$307,CaseData!$B$8:$B$307,T$5,CaseData!$C$8:$C$307,$D124,CaseData!$D$8:$D$307,$E124)</f>
        <v>1532</v>
      </c>
      <c r="U124" s="71">
        <f t="shared" si="17"/>
        <v>2073.7600000000002</v>
      </c>
      <c r="V124" s="71">
        <f t="shared" si="17"/>
        <v>1539.2</v>
      </c>
      <c r="W124" s="71">
        <f t="shared" si="17"/>
        <v>1123.2</v>
      </c>
      <c r="X124" s="71">
        <f t="shared" si="17"/>
        <v>1431.04</v>
      </c>
      <c r="Y124" s="71">
        <f t="shared" si="17"/>
        <v>1123.2</v>
      </c>
      <c r="Z124" s="71">
        <f t="shared" si="17"/>
        <v>2645.76</v>
      </c>
      <c r="AA124" s="71">
        <f t="shared" si="17"/>
        <v>1612</v>
      </c>
      <c r="AB124" s="71">
        <f t="shared" si="17"/>
        <v>2446.08</v>
      </c>
      <c r="AC124" s="71">
        <f t="shared" si="17"/>
        <v>1738.88</v>
      </c>
      <c r="AD124" s="71">
        <f t="shared" si="17"/>
        <v>2281.7600000000002</v>
      </c>
      <c r="AE124" s="71">
        <f t="shared" si="17"/>
        <v>1268.8</v>
      </c>
      <c r="AF124" s="71">
        <f t="shared" si="17"/>
        <v>1593.28</v>
      </c>
    </row>
    <row r="125" spans="2:32" ht="14.4">
      <c r="D125" s="66">
        <f>D$15</f>
        <v>2</v>
      </c>
      <c r="E125" s="66">
        <f>E$15</f>
        <v>3</v>
      </c>
      <c r="G125" s="80">
        <f>INDEX(CaseData!$J$8:$J$12,MATCH("Client "&amp;$D125,CaseData!$I$8:$I$12,0))</f>
        <v>0.04</v>
      </c>
      <c r="H125" s="79"/>
      <c r="I125" s="82">
        <f>SUMIFS(CaseData!$E$8:$E$307,CaseData!$B$8:$B$307,I$5,CaseData!$C$8:$C$307,$D125,CaseData!$D$8:$D$307,$E125)</f>
        <v>32108</v>
      </c>
      <c r="J125" s="82">
        <f>SUMIFS(CaseData!$E$8:$E$307,CaseData!$B$8:$B$307,J$5,CaseData!$C$8:$C$307,$D125,CaseData!$D$8:$D$307,$E125)</f>
        <v>37392</v>
      </c>
      <c r="K125" s="82">
        <f>SUMIFS(CaseData!$E$8:$E$307,CaseData!$B$8:$B$307,K$5,CaseData!$C$8:$C$307,$D125,CaseData!$D$8:$D$307,$E125)</f>
        <v>20342</v>
      </c>
      <c r="L125" s="82">
        <f>SUMIFS(CaseData!$E$8:$E$307,CaseData!$B$8:$B$307,L$5,CaseData!$C$8:$C$307,$D125,CaseData!$D$8:$D$307,$E125)</f>
        <v>42778</v>
      </c>
      <c r="M125" s="82">
        <f>SUMIFS(CaseData!$E$8:$E$307,CaseData!$B$8:$B$307,M$5,CaseData!$C$8:$C$307,$D125,CaseData!$D$8:$D$307,$E125)</f>
        <v>22136</v>
      </c>
      <c r="N125" s="82">
        <f>SUMIFS(CaseData!$E$8:$E$307,CaseData!$B$8:$B$307,N$5,CaseData!$C$8:$C$307,$D125,CaseData!$D$8:$D$307,$E125)</f>
        <v>24230</v>
      </c>
      <c r="O125" s="82">
        <f>SUMIFS(CaseData!$E$8:$E$307,CaseData!$B$8:$B$307,O$5,CaseData!$C$8:$C$307,$D125,CaseData!$D$8:$D$307,$E125)</f>
        <v>24828</v>
      </c>
      <c r="P125" s="82">
        <f>SUMIFS(CaseData!$E$8:$E$307,CaseData!$B$8:$B$307,P$5,CaseData!$C$8:$C$307,$D125,CaseData!$D$8:$D$307,$E125)</f>
        <v>36496</v>
      </c>
      <c r="Q125" s="82">
        <f>SUMIFS(CaseData!$E$8:$E$307,CaseData!$B$8:$B$307,Q$5,CaseData!$C$8:$C$307,$D125,CaseData!$D$8:$D$307,$E125)</f>
        <v>21838</v>
      </c>
      <c r="R125" s="82">
        <f>SUMIFS(CaseData!$E$8:$E$307,CaseData!$B$8:$B$307,R$5,CaseData!$C$8:$C$307,$D125,CaseData!$D$8:$D$307,$E125)</f>
        <v>33204</v>
      </c>
      <c r="S125" s="82">
        <f>SUMIFS(CaseData!$E$8:$E$307,CaseData!$B$8:$B$307,S$5,CaseData!$C$8:$C$307,$D125,CaseData!$D$8:$D$307,$E125)</f>
        <v>41282</v>
      </c>
      <c r="T125" s="82">
        <f>SUMIFS(CaseData!$E$8:$E$307,CaseData!$B$8:$B$307,T$5,CaseData!$C$8:$C$307,$D125,CaseData!$D$8:$D$307,$E125)</f>
        <v>39786</v>
      </c>
      <c r="U125" s="71">
        <f t="shared" si="17"/>
        <v>33392.32</v>
      </c>
      <c r="V125" s="71">
        <f t="shared" si="17"/>
        <v>38887.68</v>
      </c>
      <c r="W125" s="71">
        <f t="shared" si="17"/>
        <v>21155.68</v>
      </c>
      <c r="X125" s="71">
        <f t="shared" si="17"/>
        <v>44489.120000000003</v>
      </c>
      <c r="Y125" s="71">
        <f t="shared" si="17"/>
        <v>23021.440000000002</v>
      </c>
      <c r="Z125" s="71">
        <f t="shared" si="17"/>
        <v>25199.200000000001</v>
      </c>
      <c r="AA125" s="71">
        <f t="shared" si="17"/>
        <v>25821.120000000003</v>
      </c>
      <c r="AB125" s="71">
        <f t="shared" si="17"/>
        <v>37955.840000000004</v>
      </c>
      <c r="AC125" s="71">
        <f t="shared" si="17"/>
        <v>22711.52</v>
      </c>
      <c r="AD125" s="71">
        <f t="shared" si="17"/>
        <v>34532.160000000003</v>
      </c>
      <c r="AE125" s="71">
        <f t="shared" si="17"/>
        <v>42933.279999999999</v>
      </c>
      <c r="AF125" s="71">
        <f t="shared" si="17"/>
        <v>41377.440000000002</v>
      </c>
    </row>
    <row r="126" spans="2:32" ht="14.4">
      <c r="D126" s="66">
        <f>D$16</f>
        <v>2</v>
      </c>
      <c r="E126" s="66">
        <f>E$16</f>
        <v>4</v>
      </c>
      <c r="G126" s="80">
        <f>INDEX(CaseData!$J$8:$J$12,MATCH("Client "&amp;$D126,CaseData!$I$8:$I$12,0))</f>
        <v>0.04</v>
      </c>
      <c r="H126" s="79"/>
      <c r="I126" s="82">
        <f>SUMIFS(CaseData!$E$8:$E$307,CaseData!$B$8:$B$307,I$5,CaseData!$C$8:$C$307,$D126,CaseData!$D$8:$D$307,$E126)</f>
        <v>11892</v>
      </c>
      <c r="J126" s="82">
        <f>SUMIFS(CaseData!$E$8:$E$307,CaseData!$B$8:$B$307,J$5,CaseData!$C$8:$C$307,$D126,CaseData!$D$8:$D$307,$E126)</f>
        <v>11464</v>
      </c>
      <c r="K126" s="82">
        <f>SUMIFS(CaseData!$E$8:$E$307,CaseData!$B$8:$B$307,K$5,CaseData!$C$8:$C$307,$D126,CaseData!$D$8:$D$307,$E126)</f>
        <v>10050</v>
      </c>
      <c r="L126" s="82">
        <f>SUMIFS(CaseData!$E$8:$E$307,CaseData!$B$8:$B$307,L$5,CaseData!$C$8:$C$307,$D126,CaseData!$D$8:$D$307,$E126)</f>
        <v>23556</v>
      </c>
      <c r="M126" s="82">
        <f>SUMIFS(CaseData!$E$8:$E$307,CaseData!$B$8:$B$307,M$5,CaseData!$C$8:$C$307,$D126,CaseData!$D$8:$D$307,$E126)</f>
        <v>9266</v>
      </c>
      <c r="N126" s="82">
        <f>SUMIFS(CaseData!$E$8:$E$307,CaseData!$B$8:$B$307,N$5,CaseData!$C$8:$C$307,$D126,CaseData!$D$8:$D$307,$E126)</f>
        <v>16804</v>
      </c>
      <c r="O126" s="82">
        <f>SUMIFS(CaseData!$E$8:$E$307,CaseData!$B$8:$B$307,O$5,CaseData!$C$8:$C$307,$D126,CaseData!$D$8:$D$307,$E126)</f>
        <v>10050</v>
      </c>
      <c r="P126" s="82">
        <f>SUMIFS(CaseData!$E$8:$E$307,CaseData!$B$8:$B$307,P$5,CaseData!$C$8:$C$307,$D126,CaseData!$D$8:$D$307,$E126)</f>
        <v>19002</v>
      </c>
      <c r="Q126" s="82">
        <f>SUMIFS(CaseData!$E$8:$E$307,CaseData!$B$8:$B$307,Q$5,CaseData!$C$8:$C$307,$D126,CaseData!$D$8:$D$307,$E126)</f>
        <v>10678</v>
      </c>
      <c r="R126" s="82">
        <f>SUMIFS(CaseData!$E$8:$E$307,CaseData!$B$8:$B$307,R$5,CaseData!$C$8:$C$307,$D126,CaseData!$D$8:$D$307,$E126)</f>
        <v>17118</v>
      </c>
      <c r="S126" s="82">
        <f>SUMIFS(CaseData!$E$8:$E$307,CaseData!$B$8:$B$307,S$5,CaseData!$C$8:$C$307,$D126,CaseData!$D$8:$D$307,$E126)</f>
        <v>18374</v>
      </c>
      <c r="T126" s="82">
        <f>SUMIFS(CaseData!$E$8:$E$307,CaseData!$B$8:$B$307,T$5,CaseData!$C$8:$C$307,$D126,CaseData!$D$8:$D$307,$E126)</f>
        <v>21358</v>
      </c>
      <c r="U126" s="71">
        <f t="shared" si="17"/>
        <v>12367.68</v>
      </c>
      <c r="V126" s="71">
        <f t="shared" si="17"/>
        <v>11922.560000000001</v>
      </c>
      <c r="W126" s="71">
        <f t="shared" si="17"/>
        <v>10452</v>
      </c>
      <c r="X126" s="71">
        <f t="shared" si="17"/>
        <v>24498.240000000002</v>
      </c>
      <c r="Y126" s="71">
        <f t="shared" si="17"/>
        <v>9636.6400000000012</v>
      </c>
      <c r="Z126" s="71">
        <f t="shared" si="17"/>
        <v>17476.16</v>
      </c>
      <c r="AA126" s="71">
        <f t="shared" si="17"/>
        <v>10452</v>
      </c>
      <c r="AB126" s="71">
        <f t="shared" si="17"/>
        <v>19762.080000000002</v>
      </c>
      <c r="AC126" s="71">
        <f t="shared" si="17"/>
        <v>11105.12</v>
      </c>
      <c r="AD126" s="71">
        <f t="shared" si="17"/>
        <v>17802.72</v>
      </c>
      <c r="AE126" s="71">
        <f t="shared" si="17"/>
        <v>19108.96</v>
      </c>
      <c r="AF126" s="71">
        <f t="shared" si="17"/>
        <v>22212.32</v>
      </c>
    </row>
    <row r="127" spans="2:32" ht="14.4">
      <c r="D127" s="66">
        <f>D$17</f>
        <v>2</v>
      </c>
      <c r="E127" s="66">
        <f>E$17</f>
        <v>5</v>
      </c>
      <c r="G127" s="80">
        <f>INDEX(CaseData!$J$8:$J$12,MATCH("Client "&amp;$D127,CaseData!$I$8:$I$12,0))</f>
        <v>0.04</v>
      </c>
      <c r="H127" s="79"/>
      <c r="I127" s="82">
        <f>SUMIFS(CaseData!$E$8:$E$307,CaseData!$B$8:$B$307,I$5,CaseData!$C$8:$C$307,$D127,CaseData!$D$8:$D$307,$E127)</f>
        <v>16336</v>
      </c>
      <c r="J127" s="82">
        <f>SUMIFS(CaseData!$E$8:$E$307,CaseData!$B$8:$B$307,J$5,CaseData!$C$8:$C$307,$D127,CaseData!$D$8:$D$307,$E127)</f>
        <v>7382</v>
      </c>
      <c r="K127" s="82">
        <f>SUMIFS(CaseData!$E$8:$E$307,CaseData!$B$8:$B$307,K$5,CaseData!$C$8:$C$307,$D127,CaseData!$D$8:$D$307,$E127)</f>
        <v>14616</v>
      </c>
      <c r="L127" s="82">
        <f>SUMIFS(CaseData!$E$8:$E$307,CaseData!$B$8:$B$307,L$5,CaseData!$C$8:$C$307,$D127,CaseData!$D$8:$D$307,$E127)</f>
        <v>14322</v>
      </c>
      <c r="M127" s="82">
        <f>SUMIFS(CaseData!$E$8:$E$307,CaseData!$B$8:$B$307,M$5,CaseData!$C$8:$C$307,$D127,CaseData!$D$8:$D$307,$E127)</f>
        <v>15354</v>
      </c>
      <c r="N127" s="82">
        <f>SUMIFS(CaseData!$E$8:$E$307,CaseData!$B$8:$B$307,N$5,CaseData!$C$8:$C$307,$D127,CaseData!$D$8:$D$307,$E127)</f>
        <v>17126</v>
      </c>
      <c r="O127" s="82">
        <f>SUMIFS(CaseData!$E$8:$E$307,CaseData!$B$8:$B$307,O$5,CaseData!$C$8:$C$307,$D127,CaseData!$D$8:$D$307,$E127)</f>
        <v>16388</v>
      </c>
      <c r="P127" s="82">
        <f>SUMIFS(CaseData!$E$8:$E$307,CaseData!$B$8:$B$307,P$5,CaseData!$C$8:$C$307,$D127,CaseData!$D$8:$D$307,$E127)</f>
        <v>15798</v>
      </c>
      <c r="Q127" s="82">
        <f>SUMIFS(CaseData!$E$8:$E$307,CaseData!$B$8:$B$307,Q$5,CaseData!$C$8:$C$307,$D127,CaseData!$D$8:$D$307,$E127)</f>
        <v>8564</v>
      </c>
      <c r="R127" s="82">
        <f>SUMIFS(CaseData!$E$8:$E$307,CaseData!$B$8:$B$307,R$5,CaseData!$C$8:$C$307,$D127,CaseData!$D$8:$D$307,$E127)</f>
        <v>12698</v>
      </c>
      <c r="S127" s="82">
        <f>SUMIFS(CaseData!$E$8:$E$307,CaseData!$B$8:$B$307,S$5,CaseData!$C$8:$C$307,$D127,CaseData!$D$8:$D$307,$E127)</f>
        <v>11812</v>
      </c>
      <c r="T127" s="82">
        <f>SUMIFS(CaseData!$E$8:$E$307,CaseData!$B$8:$B$307,T$5,CaseData!$C$8:$C$307,$D127,CaseData!$D$8:$D$307,$E127)</f>
        <v>21260</v>
      </c>
      <c r="U127" s="71">
        <f t="shared" si="17"/>
        <v>16989.440000000002</v>
      </c>
      <c r="V127" s="71">
        <f t="shared" si="17"/>
        <v>7677.2800000000007</v>
      </c>
      <c r="W127" s="71">
        <f t="shared" si="17"/>
        <v>15200.640000000001</v>
      </c>
      <c r="X127" s="71">
        <f t="shared" si="17"/>
        <v>14894.880000000001</v>
      </c>
      <c r="Y127" s="71">
        <f t="shared" si="17"/>
        <v>15968.16</v>
      </c>
      <c r="Z127" s="71">
        <f t="shared" si="17"/>
        <v>17811.04</v>
      </c>
      <c r="AA127" s="71">
        <f t="shared" si="17"/>
        <v>17043.52</v>
      </c>
      <c r="AB127" s="71">
        <f t="shared" si="17"/>
        <v>16429.920000000002</v>
      </c>
      <c r="AC127" s="71">
        <f t="shared" si="17"/>
        <v>8906.56</v>
      </c>
      <c r="AD127" s="71">
        <f t="shared" si="17"/>
        <v>13205.92</v>
      </c>
      <c r="AE127" s="71">
        <f t="shared" si="17"/>
        <v>12284.48</v>
      </c>
      <c r="AF127" s="71">
        <f t="shared" si="17"/>
        <v>22110.400000000001</v>
      </c>
    </row>
    <row r="128" spans="2:32" ht="14.4">
      <c r="D128" s="66">
        <f>D$18</f>
        <v>3</v>
      </c>
      <c r="E128" s="66">
        <f>E$18</f>
        <v>1</v>
      </c>
      <c r="G128" s="80">
        <f>INDEX(CaseData!$J$8:$J$12,MATCH("Client "&amp;$D128,CaseData!$I$8:$I$12,0))</f>
        <v>0.02</v>
      </c>
      <c r="H128" s="79"/>
      <c r="I128" s="82">
        <f>SUMIFS(CaseData!$E$8:$E$307,CaseData!$B$8:$B$307,I$5,CaseData!$C$8:$C$307,$D128,CaseData!$D$8:$D$307,$E128)</f>
        <v>3362</v>
      </c>
      <c r="J128" s="82">
        <f>SUMIFS(CaseData!$E$8:$E$307,CaseData!$B$8:$B$307,J$5,CaseData!$C$8:$C$307,$D128,CaseData!$D$8:$D$307,$E128)</f>
        <v>3144</v>
      </c>
      <c r="K128" s="82">
        <f>SUMIFS(CaseData!$E$8:$E$307,CaseData!$B$8:$B$307,K$5,CaseData!$C$8:$C$307,$D128,CaseData!$D$8:$D$307,$E128)</f>
        <v>3040</v>
      </c>
      <c r="L128" s="82">
        <f>SUMIFS(CaseData!$E$8:$E$307,CaseData!$B$8:$B$307,L$5,CaseData!$C$8:$C$307,$D128,CaseData!$D$8:$D$307,$E128)</f>
        <v>5112</v>
      </c>
      <c r="M128" s="82">
        <f>SUMIFS(CaseData!$E$8:$E$307,CaseData!$B$8:$B$307,M$5,CaseData!$C$8:$C$307,$D128,CaseData!$D$8:$D$307,$E128)</f>
        <v>4248</v>
      </c>
      <c r="N128" s="82">
        <f>SUMIFS(CaseData!$E$8:$E$307,CaseData!$B$8:$B$307,N$5,CaseData!$C$8:$C$307,$D128,CaseData!$D$8:$D$307,$E128)</f>
        <v>2452</v>
      </c>
      <c r="O128" s="82">
        <f>SUMIFS(CaseData!$E$8:$E$307,CaseData!$B$8:$B$307,O$5,CaseData!$C$8:$C$307,$D128,CaseData!$D$8:$D$307,$E128)</f>
        <v>4490</v>
      </c>
      <c r="P128" s="82">
        <f>SUMIFS(CaseData!$E$8:$E$307,CaseData!$B$8:$B$307,P$5,CaseData!$C$8:$C$307,$D128,CaseData!$D$8:$D$307,$E128)</f>
        <v>3074</v>
      </c>
      <c r="Q128" s="82">
        <f>SUMIFS(CaseData!$E$8:$E$307,CaseData!$B$8:$B$307,Q$5,CaseData!$C$8:$C$307,$D128,CaseData!$D$8:$D$307,$E128)</f>
        <v>5182</v>
      </c>
      <c r="R128" s="82">
        <f>SUMIFS(CaseData!$E$8:$E$307,CaseData!$B$8:$B$307,R$5,CaseData!$C$8:$C$307,$D128,CaseData!$D$8:$D$307,$E128)</f>
        <v>4904</v>
      </c>
      <c r="S128" s="82">
        <f>SUMIFS(CaseData!$E$8:$E$307,CaseData!$B$8:$B$307,S$5,CaseData!$C$8:$C$307,$D128,CaseData!$D$8:$D$307,$E128)</f>
        <v>1728</v>
      </c>
      <c r="T128" s="82">
        <f>SUMIFS(CaseData!$E$8:$E$307,CaseData!$B$8:$B$307,T$5,CaseData!$C$8:$C$307,$D128,CaseData!$D$8:$D$307,$E128)</f>
        <v>4214</v>
      </c>
      <c r="U128" s="71">
        <f t="shared" si="17"/>
        <v>3429.2400000000002</v>
      </c>
      <c r="V128" s="71">
        <f t="shared" si="17"/>
        <v>3206.88</v>
      </c>
      <c r="W128" s="71">
        <f t="shared" si="17"/>
        <v>3100.8</v>
      </c>
      <c r="X128" s="71">
        <f t="shared" si="17"/>
        <v>5214.24</v>
      </c>
      <c r="Y128" s="71">
        <f t="shared" si="17"/>
        <v>4332.96</v>
      </c>
      <c r="Z128" s="71">
        <f t="shared" si="17"/>
        <v>2501.04</v>
      </c>
      <c r="AA128" s="71">
        <f t="shared" si="17"/>
        <v>4579.8</v>
      </c>
      <c r="AB128" s="71">
        <f t="shared" si="17"/>
        <v>3135.48</v>
      </c>
      <c r="AC128" s="71">
        <f t="shared" si="17"/>
        <v>5285.64</v>
      </c>
      <c r="AD128" s="71">
        <f t="shared" si="17"/>
        <v>5002.08</v>
      </c>
      <c r="AE128" s="71">
        <f t="shared" si="17"/>
        <v>1762.56</v>
      </c>
      <c r="AF128" s="71">
        <f t="shared" si="17"/>
        <v>4298.28</v>
      </c>
    </row>
    <row r="129" spans="4:32" ht="14.4">
      <c r="D129" s="66">
        <f>D$19</f>
        <v>3</v>
      </c>
      <c r="E129" s="66">
        <f>E$19</f>
        <v>2</v>
      </c>
      <c r="G129" s="80">
        <f>INDEX(CaseData!$J$8:$J$12,MATCH("Client "&amp;$D129,CaseData!$I$8:$I$12,0))</f>
        <v>0.02</v>
      </c>
      <c r="H129" s="79"/>
      <c r="I129" s="82">
        <f>SUMIFS(CaseData!$E$8:$E$307,CaseData!$B$8:$B$307,I$5,CaseData!$C$8:$C$307,$D129,CaseData!$D$8:$D$307,$E129)</f>
        <v>25506</v>
      </c>
      <c r="J129" s="82">
        <f>SUMIFS(CaseData!$E$8:$E$307,CaseData!$B$8:$B$307,J$5,CaseData!$C$8:$C$307,$D129,CaseData!$D$8:$D$307,$E129)</f>
        <v>19082</v>
      </c>
      <c r="K129" s="82">
        <f>SUMIFS(CaseData!$E$8:$E$307,CaseData!$B$8:$B$307,K$5,CaseData!$C$8:$C$307,$D129,CaseData!$D$8:$D$307,$E129)</f>
        <v>24940</v>
      </c>
      <c r="L129" s="82">
        <f>SUMIFS(CaseData!$E$8:$E$307,CaseData!$B$8:$B$307,L$5,CaseData!$C$8:$C$307,$D129,CaseData!$D$8:$D$307,$E129)</f>
        <v>18516</v>
      </c>
      <c r="M129" s="82">
        <f>SUMIFS(CaseData!$E$8:$E$307,CaseData!$B$8:$B$307,M$5,CaseData!$C$8:$C$307,$D129,CaseData!$D$8:$D$307,$E129)</f>
        <v>28152</v>
      </c>
      <c r="N129" s="82">
        <f>SUMIFS(CaseData!$E$8:$E$307,CaseData!$B$8:$B$307,N$5,CaseData!$C$8:$C$307,$D129,CaseData!$D$8:$D$307,$E129)</f>
        <v>17194</v>
      </c>
      <c r="O129" s="82">
        <f>SUMIFS(CaseData!$E$8:$E$307,CaseData!$B$8:$B$307,O$5,CaseData!$C$8:$C$307,$D129,CaseData!$D$8:$D$307,$E129)</f>
        <v>10202</v>
      </c>
      <c r="P129" s="82">
        <f>SUMIFS(CaseData!$E$8:$E$307,CaseData!$B$8:$B$307,P$5,CaseData!$C$8:$C$307,$D129,CaseData!$D$8:$D$307,$E129)</f>
        <v>10202</v>
      </c>
      <c r="Q129" s="82">
        <f>SUMIFS(CaseData!$E$8:$E$307,CaseData!$B$8:$B$307,Q$5,CaseData!$C$8:$C$307,$D129,CaseData!$D$8:$D$307,$E129)</f>
        <v>16248</v>
      </c>
      <c r="R129" s="82">
        <f>SUMIFS(CaseData!$E$8:$E$307,CaseData!$B$8:$B$307,R$5,CaseData!$C$8:$C$307,$D129,CaseData!$D$8:$D$307,$E129)</f>
        <v>19650</v>
      </c>
      <c r="S129" s="82">
        <f>SUMIFS(CaseData!$E$8:$E$307,CaseData!$B$8:$B$307,S$5,CaseData!$C$8:$C$307,$D129,CaseData!$D$8:$D$307,$E129)</f>
        <v>13036</v>
      </c>
      <c r="T129" s="82">
        <f>SUMIFS(CaseData!$E$8:$E$307,CaseData!$B$8:$B$307,T$5,CaseData!$C$8:$C$307,$D129,CaseData!$D$8:$D$307,$E129)</f>
        <v>10958</v>
      </c>
      <c r="U129" s="71">
        <f t="shared" si="17"/>
        <v>26016.12</v>
      </c>
      <c r="V129" s="71">
        <f t="shared" si="17"/>
        <v>19463.64</v>
      </c>
      <c r="W129" s="71">
        <f t="shared" si="17"/>
        <v>25438.799999999999</v>
      </c>
      <c r="X129" s="71">
        <f t="shared" si="17"/>
        <v>18886.32</v>
      </c>
      <c r="Y129" s="71">
        <f t="shared" si="17"/>
        <v>28715.040000000001</v>
      </c>
      <c r="Z129" s="71">
        <f t="shared" si="17"/>
        <v>17537.88</v>
      </c>
      <c r="AA129" s="71">
        <f t="shared" si="17"/>
        <v>10406.040000000001</v>
      </c>
      <c r="AB129" s="71">
        <f t="shared" si="17"/>
        <v>10406.040000000001</v>
      </c>
      <c r="AC129" s="71">
        <f t="shared" si="17"/>
        <v>16572.96</v>
      </c>
      <c r="AD129" s="71">
        <f t="shared" si="17"/>
        <v>20043</v>
      </c>
      <c r="AE129" s="71">
        <f t="shared" si="17"/>
        <v>13296.72</v>
      </c>
      <c r="AF129" s="71">
        <f t="shared" si="17"/>
        <v>11177.16</v>
      </c>
    </row>
    <row r="130" spans="4:32" ht="14.4">
      <c r="D130" s="66">
        <f>D$20</f>
        <v>3</v>
      </c>
      <c r="E130" s="66">
        <f>E$20</f>
        <v>3</v>
      </c>
      <c r="G130" s="80">
        <f>INDEX(CaseData!$J$8:$J$12,MATCH("Client "&amp;$D130,CaseData!$I$8:$I$12,0))</f>
        <v>0.02</v>
      </c>
      <c r="H130" s="79"/>
      <c r="I130" s="82">
        <f>SUMIFS(CaseData!$E$8:$E$307,CaseData!$B$8:$B$307,I$5,CaseData!$C$8:$C$307,$D130,CaseData!$D$8:$D$307,$E130)</f>
        <v>2890</v>
      </c>
      <c r="J130" s="82">
        <f>SUMIFS(CaseData!$E$8:$E$307,CaseData!$B$8:$B$307,J$5,CaseData!$C$8:$C$307,$D130,CaseData!$D$8:$D$307,$E130)</f>
        <v>4186</v>
      </c>
      <c r="K130" s="82">
        <f>SUMIFS(CaseData!$E$8:$E$307,CaseData!$B$8:$B$307,K$5,CaseData!$C$8:$C$307,$D130,CaseData!$D$8:$D$307,$E130)</f>
        <v>3096</v>
      </c>
      <c r="L130" s="82">
        <f>SUMIFS(CaseData!$E$8:$E$307,CaseData!$B$8:$B$307,L$5,CaseData!$C$8:$C$307,$D130,CaseData!$D$8:$D$307,$E130)</f>
        <v>2564</v>
      </c>
      <c r="M130" s="82">
        <f>SUMIFS(CaseData!$E$8:$E$307,CaseData!$B$8:$B$307,M$5,CaseData!$C$8:$C$307,$D130,CaseData!$D$8:$D$307,$E130)</f>
        <v>3538</v>
      </c>
      <c r="N130" s="82">
        <f>SUMIFS(CaseData!$E$8:$E$307,CaseData!$B$8:$B$307,N$5,CaseData!$C$8:$C$307,$D130,CaseData!$D$8:$D$307,$E130)</f>
        <v>3066</v>
      </c>
      <c r="O130" s="82">
        <f>SUMIFS(CaseData!$E$8:$E$307,CaseData!$B$8:$B$307,O$5,CaseData!$C$8:$C$307,$D130,CaseData!$D$8:$D$307,$E130)</f>
        <v>4274</v>
      </c>
      <c r="P130" s="82">
        <f>SUMIFS(CaseData!$E$8:$E$307,CaseData!$B$8:$B$307,P$5,CaseData!$C$8:$C$307,$D130,CaseData!$D$8:$D$307,$E130)</f>
        <v>2034</v>
      </c>
      <c r="Q130" s="82">
        <f>SUMIFS(CaseData!$E$8:$E$307,CaseData!$B$8:$B$307,Q$5,CaseData!$C$8:$C$307,$D130,CaseData!$D$8:$D$307,$E130)</f>
        <v>3242</v>
      </c>
      <c r="R130" s="82">
        <f>SUMIFS(CaseData!$E$8:$E$307,CaseData!$B$8:$B$307,R$5,CaseData!$C$8:$C$307,$D130,CaseData!$D$8:$D$307,$E130)</f>
        <v>1946</v>
      </c>
      <c r="S130" s="82">
        <f>SUMIFS(CaseData!$E$8:$E$307,CaseData!$B$8:$B$307,S$5,CaseData!$C$8:$C$307,$D130,CaseData!$D$8:$D$307,$E130)</f>
        <v>2536</v>
      </c>
      <c r="T130" s="82">
        <f>SUMIFS(CaseData!$E$8:$E$307,CaseData!$B$8:$B$307,T$5,CaseData!$C$8:$C$307,$D130,CaseData!$D$8:$D$307,$E130)</f>
        <v>2654</v>
      </c>
      <c r="U130" s="71">
        <f t="shared" si="17"/>
        <v>2947.8</v>
      </c>
      <c r="V130" s="71">
        <f t="shared" si="17"/>
        <v>4269.72</v>
      </c>
      <c r="W130" s="71">
        <f t="shared" si="17"/>
        <v>3157.92</v>
      </c>
      <c r="X130" s="71">
        <f t="shared" si="17"/>
        <v>2615.2800000000002</v>
      </c>
      <c r="Y130" s="71">
        <f t="shared" si="17"/>
        <v>3608.76</v>
      </c>
      <c r="Z130" s="71">
        <f t="shared" si="17"/>
        <v>3127.32</v>
      </c>
      <c r="AA130" s="71">
        <f t="shared" si="17"/>
        <v>4359.4800000000005</v>
      </c>
      <c r="AB130" s="71">
        <f t="shared" si="17"/>
        <v>2074.6799999999998</v>
      </c>
      <c r="AC130" s="71">
        <f t="shared" si="17"/>
        <v>3306.84</v>
      </c>
      <c r="AD130" s="71">
        <f t="shared" si="17"/>
        <v>1984.92</v>
      </c>
      <c r="AE130" s="71">
        <f t="shared" si="17"/>
        <v>2586.7200000000003</v>
      </c>
      <c r="AF130" s="71">
        <f t="shared" si="17"/>
        <v>2707.08</v>
      </c>
    </row>
    <row r="131" spans="4:32" ht="14.4">
      <c r="D131" s="66">
        <f>D$21</f>
        <v>3</v>
      </c>
      <c r="E131" s="66">
        <f>E$21</f>
        <v>4</v>
      </c>
      <c r="G131" s="80">
        <f>INDEX(CaseData!$J$8:$J$12,MATCH("Client "&amp;$D131,CaseData!$I$8:$I$12,0))</f>
        <v>0.02</v>
      </c>
      <c r="H131" s="79"/>
      <c r="I131" s="82">
        <f>SUMIFS(CaseData!$E$8:$E$307,CaseData!$B$8:$B$307,I$5,CaseData!$C$8:$C$307,$D131,CaseData!$D$8:$D$307,$E131)</f>
        <v>20270</v>
      </c>
      <c r="J131" s="82">
        <f>SUMIFS(CaseData!$E$8:$E$307,CaseData!$B$8:$B$307,J$5,CaseData!$C$8:$C$307,$D131,CaseData!$D$8:$D$307,$E131)</f>
        <v>30296</v>
      </c>
      <c r="K131" s="82">
        <f>SUMIFS(CaseData!$E$8:$E$307,CaseData!$B$8:$B$307,K$5,CaseData!$C$8:$C$307,$D131,CaseData!$D$8:$D$307,$E131)</f>
        <v>24848</v>
      </c>
      <c r="L131" s="82">
        <f>SUMIFS(CaseData!$E$8:$E$307,CaseData!$B$8:$B$307,L$5,CaseData!$C$8:$C$307,$D131,CaseData!$D$8:$D$307,$E131)</f>
        <v>21360</v>
      </c>
      <c r="M131" s="82">
        <f>SUMIFS(CaseData!$E$8:$E$307,CaseData!$B$8:$B$307,M$5,CaseData!$C$8:$C$307,$D131,CaseData!$D$8:$D$307,$E131)</f>
        <v>21360</v>
      </c>
      <c r="N131" s="82">
        <f>SUMIFS(CaseData!$E$8:$E$307,CaseData!$B$8:$B$307,N$5,CaseData!$C$8:$C$307,$D131,CaseData!$D$8:$D$307,$E131)</f>
        <v>12206</v>
      </c>
      <c r="O131" s="82">
        <f>SUMIFS(CaseData!$E$8:$E$307,CaseData!$B$8:$B$307,O$5,CaseData!$C$8:$C$307,$D131,CaseData!$D$8:$D$307,$E131)</f>
        <v>28988</v>
      </c>
      <c r="P131" s="82">
        <f>SUMIFS(CaseData!$E$8:$E$307,CaseData!$B$8:$B$307,P$5,CaseData!$C$8:$C$307,$D131,CaseData!$D$8:$D$307,$E131)</f>
        <v>14604</v>
      </c>
      <c r="Q131" s="82">
        <f>SUMIFS(CaseData!$E$8:$E$307,CaseData!$B$8:$B$307,Q$5,CaseData!$C$8:$C$307,$D131,CaseData!$D$8:$D$307,$E131)</f>
        <v>29206</v>
      </c>
      <c r="R131" s="82">
        <f>SUMIFS(CaseData!$E$8:$E$307,CaseData!$B$8:$B$307,R$5,CaseData!$C$8:$C$307,$D131,CaseData!$D$8:$D$307,$E131)</f>
        <v>32040</v>
      </c>
      <c r="S131" s="82">
        <f>SUMIFS(CaseData!$E$8:$E$307,CaseData!$B$8:$B$307,S$5,CaseData!$C$8:$C$307,$D131,CaseData!$D$8:$D$307,$E131)</f>
        <v>16564</v>
      </c>
      <c r="T131" s="82">
        <f>SUMIFS(CaseData!$E$8:$E$307,CaseData!$B$8:$B$307,T$5,CaseData!$C$8:$C$307,$D131,CaseData!$D$8:$D$307,$E131)</f>
        <v>20706</v>
      </c>
      <c r="U131" s="71">
        <f t="shared" si="17"/>
        <v>20675.400000000001</v>
      </c>
      <c r="V131" s="71">
        <f t="shared" si="17"/>
        <v>30901.920000000002</v>
      </c>
      <c r="W131" s="71">
        <f t="shared" si="17"/>
        <v>25344.959999999999</v>
      </c>
      <c r="X131" s="71">
        <f t="shared" si="17"/>
        <v>21787.200000000001</v>
      </c>
      <c r="Y131" s="71">
        <f t="shared" si="17"/>
        <v>21787.200000000001</v>
      </c>
      <c r="Z131" s="71">
        <f t="shared" si="17"/>
        <v>12450.12</v>
      </c>
      <c r="AA131" s="71">
        <f t="shared" si="17"/>
        <v>29567.760000000002</v>
      </c>
      <c r="AB131" s="71">
        <f t="shared" si="17"/>
        <v>14896.08</v>
      </c>
      <c r="AC131" s="71">
        <f t="shared" si="17"/>
        <v>29790.12</v>
      </c>
      <c r="AD131" s="71">
        <f t="shared" si="17"/>
        <v>32680.799999999999</v>
      </c>
      <c r="AE131" s="71">
        <f t="shared" si="17"/>
        <v>16895.28</v>
      </c>
      <c r="AF131" s="71">
        <f t="shared" si="17"/>
        <v>21120.12</v>
      </c>
    </row>
    <row r="132" spans="4:32" ht="14.4">
      <c r="D132" s="66">
        <f>D$22</f>
        <v>3</v>
      </c>
      <c r="E132" s="66">
        <f>E$22</f>
        <v>5</v>
      </c>
      <c r="G132" s="80">
        <f>INDEX(CaseData!$J$8:$J$12,MATCH("Client "&amp;$D132,CaseData!$I$8:$I$12,0))</f>
        <v>0.02</v>
      </c>
      <c r="H132" s="79"/>
      <c r="I132" s="82">
        <f>SUMIFS(CaseData!$E$8:$E$307,CaseData!$B$8:$B$307,I$5,CaseData!$C$8:$C$307,$D132,CaseData!$D$8:$D$307,$E132)</f>
        <v>19262</v>
      </c>
      <c r="J132" s="82">
        <f>SUMIFS(CaseData!$E$8:$E$307,CaseData!$B$8:$B$307,J$5,CaseData!$C$8:$C$307,$D132,CaseData!$D$8:$D$307,$E132)</f>
        <v>35272</v>
      </c>
      <c r="K132" s="82">
        <f>SUMIFS(CaseData!$E$8:$E$307,CaseData!$B$8:$B$307,K$5,CaseData!$C$8:$C$307,$D132,CaseData!$D$8:$D$307,$E132)</f>
        <v>26768</v>
      </c>
      <c r="L132" s="82">
        <f>SUMIFS(CaseData!$E$8:$E$307,CaseData!$B$8:$B$307,L$5,CaseData!$C$8:$C$307,$D132,CaseData!$D$8:$D$307,$E132)</f>
        <v>21014</v>
      </c>
      <c r="M132" s="82">
        <f>SUMIFS(CaseData!$E$8:$E$307,CaseData!$B$8:$B$307,M$5,CaseData!$C$8:$C$307,$D132,CaseData!$D$8:$D$307,$E132)</f>
        <v>18512</v>
      </c>
      <c r="N132" s="82">
        <f>SUMIFS(CaseData!$E$8:$E$307,CaseData!$B$8:$B$307,N$5,CaseData!$C$8:$C$307,$D132,CaseData!$D$8:$D$307,$E132)</f>
        <v>27268</v>
      </c>
      <c r="O132" s="82">
        <f>SUMIFS(CaseData!$E$8:$E$307,CaseData!$B$8:$B$307,O$5,CaseData!$C$8:$C$307,$D132,CaseData!$D$8:$D$307,$E132)</f>
        <v>25266</v>
      </c>
      <c r="P132" s="82">
        <f>SUMIFS(CaseData!$E$8:$E$307,CaseData!$B$8:$B$307,P$5,CaseData!$C$8:$C$307,$D132,CaseData!$D$8:$D$307,$E132)</f>
        <v>21014</v>
      </c>
      <c r="Q132" s="82">
        <f>SUMIFS(CaseData!$E$8:$E$307,CaseData!$B$8:$B$307,Q$5,CaseData!$C$8:$C$307,$D132,CaseData!$D$8:$D$307,$E132)</f>
        <v>32520</v>
      </c>
      <c r="R132" s="82">
        <f>SUMIFS(CaseData!$E$8:$E$307,CaseData!$B$8:$B$307,R$5,CaseData!$C$8:$C$307,$D132,CaseData!$D$8:$D$307,$E132)</f>
        <v>32770</v>
      </c>
      <c r="S132" s="82">
        <f>SUMIFS(CaseData!$E$8:$E$307,CaseData!$B$8:$B$307,S$5,CaseData!$C$8:$C$307,$D132,CaseData!$D$8:$D$307,$E132)</f>
        <v>32020</v>
      </c>
      <c r="T132" s="82">
        <f>SUMIFS(CaseData!$E$8:$E$307,CaseData!$B$8:$B$307,T$5,CaseData!$C$8:$C$307,$D132,CaseData!$D$8:$D$307,$E132)</f>
        <v>26768</v>
      </c>
      <c r="U132" s="71">
        <f t="shared" si="17"/>
        <v>19647.240000000002</v>
      </c>
      <c r="V132" s="71">
        <f t="shared" si="17"/>
        <v>35977.440000000002</v>
      </c>
      <c r="W132" s="71">
        <f t="shared" si="17"/>
        <v>27303.360000000001</v>
      </c>
      <c r="X132" s="71">
        <f t="shared" si="17"/>
        <v>21434.28</v>
      </c>
      <c r="Y132" s="71">
        <f t="shared" si="17"/>
        <v>18882.240000000002</v>
      </c>
      <c r="Z132" s="71">
        <f t="shared" si="17"/>
        <v>27813.360000000001</v>
      </c>
      <c r="AA132" s="71">
        <f t="shared" si="17"/>
        <v>25771.32</v>
      </c>
      <c r="AB132" s="71">
        <f t="shared" si="17"/>
        <v>21434.28</v>
      </c>
      <c r="AC132" s="71">
        <f t="shared" si="17"/>
        <v>33170.400000000001</v>
      </c>
      <c r="AD132" s="71">
        <f t="shared" si="17"/>
        <v>33425.4</v>
      </c>
      <c r="AE132" s="71">
        <f t="shared" si="17"/>
        <v>32660.400000000001</v>
      </c>
      <c r="AF132" s="71">
        <f t="shared" si="17"/>
        <v>27303.360000000001</v>
      </c>
    </row>
    <row r="133" spans="4:32" ht="14.4">
      <c r="D133" s="66">
        <f>D$23</f>
        <v>4</v>
      </c>
      <c r="E133" s="66">
        <f>E$23</f>
        <v>1</v>
      </c>
      <c r="G133" s="80">
        <f>INDEX(CaseData!$J$8:$J$12,MATCH("Client "&amp;$D133,CaseData!$I$8:$I$12,0))</f>
        <v>0.05</v>
      </c>
      <c r="H133" s="79"/>
      <c r="I133" s="82">
        <f>SUMIFS(CaseData!$E$8:$E$307,CaseData!$B$8:$B$307,I$5,CaseData!$C$8:$C$307,$D133,CaseData!$D$8:$D$307,$E133)</f>
        <v>43200</v>
      </c>
      <c r="J133" s="82">
        <f>SUMIFS(CaseData!$E$8:$E$307,CaseData!$B$8:$B$307,J$5,CaseData!$C$8:$C$307,$D133,CaseData!$D$8:$D$307,$E133)</f>
        <v>30000</v>
      </c>
      <c r="K133" s="82">
        <f>SUMIFS(CaseData!$E$8:$E$307,CaseData!$B$8:$B$307,K$5,CaseData!$C$8:$C$307,$D133,CaseData!$D$8:$D$307,$E133)</f>
        <v>42400</v>
      </c>
      <c r="L133" s="82">
        <f>SUMIFS(CaseData!$E$8:$E$307,CaseData!$B$8:$B$307,L$5,CaseData!$C$8:$C$307,$D133,CaseData!$D$8:$D$307,$E133)</f>
        <v>55600</v>
      </c>
      <c r="M133" s="82">
        <f>SUMIFS(CaseData!$E$8:$E$307,CaseData!$B$8:$B$307,M$5,CaseData!$C$8:$C$307,$D133,CaseData!$D$8:$D$307,$E133)</f>
        <v>33200</v>
      </c>
      <c r="N133" s="82">
        <f>SUMIFS(CaseData!$E$8:$E$307,CaseData!$B$8:$B$307,N$5,CaseData!$C$8:$C$307,$D133,CaseData!$D$8:$D$307,$E133)</f>
        <v>34400</v>
      </c>
      <c r="O133" s="82">
        <f>SUMIFS(CaseData!$E$8:$E$307,CaseData!$B$8:$B$307,O$5,CaseData!$C$8:$C$307,$D133,CaseData!$D$8:$D$307,$E133)</f>
        <v>25200</v>
      </c>
      <c r="P133" s="82">
        <f>SUMIFS(CaseData!$E$8:$E$307,CaseData!$B$8:$B$307,P$5,CaseData!$C$8:$C$307,$D133,CaseData!$D$8:$D$307,$E133)</f>
        <v>46400</v>
      </c>
      <c r="Q133" s="82">
        <f>SUMIFS(CaseData!$E$8:$E$307,CaseData!$B$8:$B$307,Q$5,CaseData!$C$8:$C$307,$D133,CaseData!$D$8:$D$307,$E133)</f>
        <v>41600</v>
      </c>
      <c r="R133" s="82">
        <f>SUMIFS(CaseData!$E$8:$E$307,CaseData!$B$8:$B$307,R$5,CaseData!$C$8:$C$307,$D133,CaseData!$D$8:$D$307,$E133)</f>
        <v>51600</v>
      </c>
      <c r="S133" s="82">
        <f>SUMIFS(CaseData!$E$8:$E$307,CaseData!$B$8:$B$307,S$5,CaseData!$C$8:$C$307,$D133,CaseData!$D$8:$D$307,$E133)</f>
        <v>36800</v>
      </c>
      <c r="T133" s="82">
        <f>SUMIFS(CaseData!$E$8:$E$307,CaseData!$B$8:$B$307,T$5,CaseData!$C$8:$C$307,$D133,CaseData!$D$8:$D$307,$E133)</f>
        <v>24400</v>
      </c>
      <c r="U133" s="71">
        <f t="shared" si="17"/>
        <v>45360</v>
      </c>
      <c r="V133" s="71">
        <f t="shared" si="17"/>
        <v>31500</v>
      </c>
      <c r="W133" s="71">
        <f t="shared" si="17"/>
        <v>44520</v>
      </c>
      <c r="X133" s="71">
        <f t="shared" si="17"/>
        <v>58380</v>
      </c>
      <c r="Y133" s="71">
        <f t="shared" si="17"/>
        <v>34860</v>
      </c>
      <c r="Z133" s="71">
        <f t="shared" si="17"/>
        <v>36120</v>
      </c>
      <c r="AA133" s="71">
        <f t="shared" si="17"/>
        <v>26460</v>
      </c>
      <c r="AB133" s="71">
        <f t="shared" si="17"/>
        <v>48720</v>
      </c>
      <c r="AC133" s="71">
        <f t="shared" si="17"/>
        <v>43680</v>
      </c>
      <c r="AD133" s="71">
        <f t="shared" si="17"/>
        <v>54180</v>
      </c>
      <c r="AE133" s="71">
        <f t="shared" si="17"/>
        <v>38640</v>
      </c>
      <c r="AF133" s="71">
        <f t="shared" si="17"/>
        <v>25620</v>
      </c>
    </row>
    <row r="134" spans="4:32" ht="14.4">
      <c r="D134" s="66">
        <f>D$24</f>
        <v>4</v>
      </c>
      <c r="E134" s="66">
        <f>E$24</f>
        <v>2</v>
      </c>
      <c r="G134" s="80">
        <f>INDEX(CaseData!$J$8:$J$12,MATCH("Client "&amp;$D134,CaseData!$I$8:$I$12,0))</f>
        <v>0.05</v>
      </c>
      <c r="H134" s="79"/>
      <c r="I134" s="82">
        <f>SUMIFS(CaseData!$E$8:$E$307,CaseData!$B$8:$B$307,I$5,CaseData!$C$8:$C$307,$D134,CaseData!$D$8:$D$307,$E134)</f>
        <v>22290</v>
      </c>
      <c r="J134" s="82">
        <f>SUMIFS(CaseData!$E$8:$E$307,CaseData!$B$8:$B$307,J$5,CaseData!$C$8:$C$307,$D134,CaseData!$D$8:$D$307,$E134)</f>
        <v>25972</v>
      </c>
      <c r="K134" s="82">
        <f>SUMIFS(CaseData!$E$8:$E$307,CaseData!$B$8:$B$307,K$5,CaseData!$C$8:$C$307,$D134,CaseData!$D$8:$D$307,$E134)</f>
        <v>24808</v>
      </c>
      <c r="L134" s="82">
        <f>SUMIFS(CaseData!$E$8:$E$307,CaseData!$B$8:$B$307,L$5,CaseData!$C$8:$C$307,$D134,CaseData!$D$8:$D$307,$E134)</f>
        <v>27716</v>
      </c>
      <c r="M134" s="82">
        <f>SUMIFS(CaseData!$E$8:$E$307,CaseData!$B$8:$B$307,M$5,CaseData!$C$8:$C$307,$D134,CaseData!$D$8:$D$307,$E134)</f>
        <v>15118</v>
      </c>
      <c r="N134" s="82">
        <f>SUMIFS(CaseData!$E$8:$E$307,CaseData!$B$8:$B$307,N$5,CaseData!$C$8:$C$307,$D134,CaseData!$D$8:$D$307,$E134)</f>
        <v>9692</v>
      </c>
      <c r="O134" s="82">
        <f>SUMIFS(CaseData!$E$8:$E$307,CaseData!$B$8:$B$307,O$5,CaseData!$C$8:$C$307,$D134,CaseData!$D$8:$D$307,$E134)</f>
        <v>18606</v>
      </c>
      <c r="P134" s="82">
        <f>SUMIFS(CaseData!$E$8:$E$307,CaseData!$B$8:$B$307,P$5,CaseData!$C$8:$C$307,$D134,CaseData!$D$8:$D$307,$E134)</f>
        <v>21514</v>
      </c>
      <c r="Q134" s="82">
        <f>SUMIFS(CaseData!$E$8:$E$307,CaseData!$B$8:$B$307,Q$5,CaseData!$C$8:$C$307,$D134,CaseData!$D$8:$D$307,$E134)</f>
        <v>17444</v>
      </c>
      <c r="R134" s="82">
        <f>SUMIFS(CaseData!$E$8:$E$307,CaseData!$B$8:$B$307,R$5,CaseData!$C$8:$C$307,$D134,CaseData!$D$8:$D$307,$E134)</f>
        <v>23646</v>
      </c>
      <c r="S134" s="82">
        <f>SUMIFS(CaseData!$E$8:$E$307,CaseData!$B$8:$B$307,S$5,CaseData!$C$8:$C$307,$D134,CaseData!$D$8:$D$307,$E134)</f>
        <v>26940</v>
      </c>
      <c r="T134" s="82">
        <f>SUMIFS(CaseData!$E$8:$E$307,CaseData!$B$8:$B$307,T$5,CaseData!$C$8:$C$307,$D134,CaseData!$D$8:$D$307,$E134)</f>
        <v>28298</v>
      </c>
      <c r="U134" s="71">
        <f t="shared" si="17"/>
        <v>23404.5</v>
      </c>
      <c r="V134" s="71">
        <f t="shared" si="17"/>
        <v>27270.600000000002</v>
      </c>
      <c r="W134" s="71">
        <f t="shared" si="17"/>
        <v>26048.400000000001</v>
      </c>
      <c r="X134" s="71">
        <f t="shared" si="17"/>
        <v>29101.800000000003</v>
      </c>
      <c r="Y134" s="71">
        <f t="shared" si="17"/>
        <v>15873.900000000001</v>
      </c>
      <c r="Z134" s="71">
        <f t="shared" si="17"/>
        <v>10176.6</v>
      </c>
      <c r="AA134" s="71">
        <f t="shared" si="17"/>
        <v>19536.3</v>
      </c>
      <c r="AB134" s="71">
        <f t="shared" si="17"/>
        <v>22589.7</v>
      </c>
      <c r="AC134" s="71">
        <f t="shared" si="17"/>
        <v>18316.2</v>
      </c>
      <c r="AD134" s="71">
        <f t="shared" si="17"/>
        <v>24828.3</v>
      </c>
      <c r="AE134" s="71">
        <f t="shared" si="17"/>
        <v>28287</v>
      </c>
      <c r="AF134" s="71">
        <f t="shared" si="17"/>
        <v>29712.9</v>
      </c>
    </row>
    <row r="135" spans="4:32" ht="14.4">
      <c r="D135" s="66">
        <f>D$25</f>
        <v>4</v>
      </c>
      <c r="E135" s="66">
        <f>E$25</f>
        <v>3</v>
      </c>
      <c r="G135" s="80">
        <f>INDEX(CaseData!$J$8:$J$12,MATCH("Client "&amp;$D135,CaseData!$I$8:$I$12,0))</f>
        <v>0.05</v>
      </c>
      <c r="H135" s="79"/>
      <c r="I135" s="82">
        <f>SUMIFS(CaseData!$E$8:$E$307,CaseData!$B$8:$B$307,I$5,CaseData!$C$8:$C$307,$D135,CaseData!$D$8:$D$307,$E135)</f>
        <v>24338</v>
      </c>
      <c r="J135" s="82">
        <f>SUMIFS(CaseData!$E$8:$E$307,CaseData!$B$8:$B$307,J$5,CaseData!$C$8:$C$307,$D135,CaseData!$D$8:$D$307,$E135)</f>
        <v>16478</v>
      </c>
      <c r="K135" s="82">
        <f>SUMIFS(CaseData!$E$8:$E$307,CaseData!$B$8:$B$307,K$5,CaseData!$C$8:$C$307,$D135,CaseData!$D$8:$D$307,$E135)</f>
        <v>23070</v>
      </c>
      <c r="L135" s="82">
        <f>SUMIFS(CaseData!$E$8:$E$307,CaseData!$B$8:$B$307,L$5,CaseData!$C$8:$C$307,$D135,CaseData!$D$8:$D$307,$E135)</f>
        <v>36506</v>
      </c>
      <c r="M135" s="82">
        <f>SUMIFS(CaseData!$E$8:$E$307,CaseData!$B$8:$B$307,M$5,CaseData!$C$8:$C$307,$D135,CaseData!$D$8:$D$307,$E135)</f>
        <v>27126</v>
      </c>
      <c r="N135" s="82">
        <f>SUMIFS(CaseData!$E$8:$E$307,CaseData!$B$8:$B$307,N$5,CaseData!$C$8:$C$307,$D135,CaseData!$D$8:$D$307,$E135)</f>
        <v>16226</v>
      </c>
      <c r="O135" s="82">
        <f>SUMIFS(CaseData!$E$8:$E$307,CaseData!$B$8:$B$307,O$5,CaseData!$C$8:$C$307,$D135,CaseData!$D$8:$D$307,$E135)</f>
        <v>13944</v>
      </c>
      <c r="P135" s="82">
        <f>SUMIFS(CaseData!$E$8:$E$307,CaseData!$B$8:$B$307,P$5,CaseData!$C$8:$C$307,$D135,CaseData!$D$8:$D$307,$E135)</f>
        <v>16986</v>
      </c>
      <c r="Q135" s="82">
        <f>SUMIFS(CaseData!$E$8:$E$307,CaseData!$B$8:$B$307,Q$5,CaseData!$C$8:$C$307,$D135,CaseData!$D$8:$D$307,$E135)</f>
        <v>26620</v>
      </c>
      <c r="R135" s="82">
        <f>SUMIFS(CaseData!$E$8:$E$307,CaseData!$B$8:$B$307,R$5,CaseData!$C$8:$C$307,$D135,CaseData!$D$8:$D$307,$E135)</f>
        <v>20028</v>
      </c>
      <c r="S135" s="82">
        <f>SUMIFS(CaseData!$E$8:$E$307,CaseData!$B$8:$B$307,S$5,CaseData!$C$8:$C$307,$D135,CaseData!$D$8:$D$307,$E135)</f>
        <v>16986</v>
      </c>
      <c r="T135" s="82">
        <f>SUMIFS(CaseData!$E$8:$E$307,CaseData!$B$8:$B$307,T$5,CaseData!$C$8:$C$307,$D135,CaseData!$D$8:$D$307,$E135)</f>
        <v>19014</v>
      </c>
      <c r="U135" s="71">
        <f t="shared" si="17"/>
        <v>25554.9</v>
      </c>
      <c r="V135" s="71">
        <f t="shared" si="17"/>
        <v>17301.900000000001</v>
      </c>
      <c r="W135" s="71">
        <f t="shared" si="17"/>
        <v>24223.5</v>
      </c>
      <c r="X135" s="71">
        <f t="shared" si="17"/>
        <v>38331.300000000003</v>
      </c>
      <c r="Y135" s="71">
        <f t="shared" si="17"/>
        <v>28482.300000000003</v>
      </c>
      <c r="Z135" s="71">
        <f t="shared" si="17"/>
        <v>17037.3</v>
      </c>
      <c r="AA135" s="71">
        <f t="shared" si="17"/>
        <v>14641.2</v>
      </c>
      <c r="AB135" s="71">
        <f t="shared" si="17"/>
        <v>17835.3</v>
      </c>
      <c r="AC135" s="71">
        <f t="shared" si="17"/>
        <v>27951</v>
      </c>
      <c r="AD135" s="71">
        <f t="shared" si="17"/>
        <v>21029.4</v>
      </c>
      <c r="AE135" s="71">
        <f t="shared" si="17"/>
        <v>17835.3</v>
      </c>
      <c r="AF135" s="71">
        <f t="shared" si="17"/>
        <v>19964.7</v>
      </c>
    </row>
    <row r="136" spans="4:32" ht="14.4">
      <c r="D136" s="66">
        <f>D$26</f>
        <v>4</v>
      </c>
      <c r="E136" s="66">
        <f>E$26</f>
        <v>4</v>
      </c>
      <c r="G136" s="80">
        <f>INDEX(CaseData!$J$8:$J$12,MATCH("Client "&amp;$D136,CaseData!$I$8:$I$12,0))</f>
        <v>0.05</v>
      </c>
      <c r="H136" s="79"/>
      <c r="I136" s="82">
        <f>SUMIFS(CaseData!$E$8:$E$307,CaseData!$B$8:$B$307,I$5,CaseData!$C$8:$C$307,$D136,CaseData!$D$8:$D$307,$E136)</f>
        <v>552</v>
      </c>
      <c r="J136" s="82">
        <f>SUMIFS(CaseData!$E$8:$E$307,CaseData!$B$8:$B$307,J$5,CaseData!$C$8:$C$307,$D136,CaseData!$D$8:$D$307,$E136)</f>
        <v>1260</v>
      </c>
      <c r="K136" s="82">
        <f>SUMIFS(CaseData!$E$8:$E$307,CaseData!$B$8:$B$307,K$5,CaseData!$C$8:$C$307,$D136,CaseData!$D$8:$D$307,$E136)</f>
        <v>1240</v>
      </c>
      <c r="L136" s="82">
        <f>SUMIFS(CaseData!$E$8:$E$307,CaseData!$B$8:$B$307,L$5,CaseData!$C$8:$C$307,$D136,CaseData!$D$8:$D$307,$E136)</f>
        <v>912</v>
      </c>
      <c r="M136" s="82">
        <f>SUMIFS(CaseData!$E$8:$E$307,CaseData!$B$8:$B$307,M$5,CaseData!$C$8:$C$307,$D136,CaseData!$D$8:$D$307,$E136)</f>
        <v>1228</v>
      </c>
      <c r="N136" s="82">
        <f>SUMIFS(CaseData!$E$8:$E$307,CaseData!$B$8:$B$307,N$5,CaseData!$C$8:$C$307,$D136,CaseData!$D$8:$D$307,$E136)</f>
        <v>728</v>
      </c>
      <c r="O136" s="82">
        <f>SUMIFS(CaseData!$E$8:$E$307,CaseData!$B$8:$B$307,O$5,CaseData!$C$8:$C$307,$D136,CaseData!$D$8:$D$307,$E136)</f>
        <v>1424</v>
      </c>
      <c r="P136" s="82">
        <f>SUMIFS(CaseData!$E$8:$E$307,CaseData!$B$8:$B$307,P$5,CaseData!$C$8:$C$307,$D136,CaseData!$D$8:$D$307,$E136)</f>
        <v>1024</v>
      </c>
      <c r="Q136" s="82">
        <f>SUMIFS(CaseData!$E$8:$E$307,CaseData!$B$8:$B$307,Q$5,CaseData!$C$8:$C$307,$D136,CaseData!$D$8:$D$307,$E136)</f>
        <v>798</v>
      </c>
      <c r="R136" s="82">
        <f>SUMIFS(CaseData!$E$8:$E$307,CaseData!$B$8:$B$307,R$5,CaseData!$C$8:$C$307,$D136,CaseData!$D$8:$D$307,$E136)</f>
        <v>880</v>
      </c>
      <c r="S136" s="82">
        <f>SUMIFS(CaseData!$E$8:$E$307,CaseData!$B$8:$B$307,S$5,CaseData!$C$8:$C$307,$D136,CaseData!$D$8:$D$307,$E136)</f>
        <v>1372</v>
      </c>
      <c r="T136" s="82">
        <f>SUMIFS(CaseData!$E$8:$E$307,CaseData!$B$8:$B$307,T$5,CaseData!$C$8:$C$307,$D136,CaseData!$D$8:$D$307,$E136)</f>
        <v>1188</v>
      </c>
      <c r="U136" s="71">
        <f t="shared" si="17"/>
        <v>579.6</v>
      </c>
      <c r="V136" s="71">
        <f t="shared" si="17"/>
        <v>1323</v>
      </c>
      <c r="W136" s="71">
        <f t="shared" si="17"/>
        <v>1302</v>
      </c>
      <c r="X136" s="71">
        <f t="shared" si="17"/>
        <v>957.6</v>
      </c>
      <c r="Y136" s="71">
        <f t="shared" si="17"/>
        <v>1289.4000000000001</v>
      </c>
      <c r="Z136" s="71">
        <f t="shared" si="17"/>
        <v>764.4</v>
      </c>
      <c r="AA136" s="71">
        <f t="shared" si="17"/>
        <v>1495.2</v>
      </c>
      <c r="AB136" s="71">
        <f t="shared" si="17"/>
        <v>1075.2</v>
      </c>
      <c r="AC136" s="71">
        <f t="shared" si="17"/>
        <v>837.90000000000009</v>
      </c>
      <c r="AD136" s="71">
        <f t="shared" si="17"/>
        <v>924</v>
      </c>
      <c r="AE136" s="71">
        <f t="shared" si="17"/>
        <v>1440.6000000000001</v>
      </c>
      <c r="AF136" s="71">
        <f t="shared" si="17"/>
        <v>1247.4000000000001</v>
      </c>
    </row>
    <row r="137" spans="4:32" ht="14.4">
      <c r="D137" s="66">
        <f>D$27</f>
        <v>4</v>
      </c>
      <c r="E137" s="66">
        <f>E$27</f>
        <v>5</v>
      </c>
      <c r="G137" s="80">
        <f>INDEX(CaseData!$J$8:$J$12,MATCH("Client "&amp;$D137,CaseData!$I$8:$I$12,0))</f>
        <v>0.05</v>
      </c>
      <c r="H137" s="79"/>
      <c r="I137" s="82">
        <f>SUMIFS(CaseData!$E$8:$E$307,CaseData!$B$8:$B$307,I$5,CaseData!$C$8:$C$307,$D137,CaseData!$D$8:$D$307,$E137)</f>
        <v>11418</v>
      </c>
      <c r="J137" s="82">
        <f>SUMIFS(CaseData!$E$8:$E$307,CaseData!$B$8:$B$307,J$5,CaseData!$C$8:$C$307,$D137,CaseData!$D$8:$D$307,$E137)</f>
        <v>9216</v>
      </c>
      <c r="K137" s="82">
        <f>SUMIFS(CaseData!$E$8:$E$307,CaseData!$B$8:$B$307,K$5,CaseData!$C$8:$C$307,$D137,CaseData!$D$8:$D$307,$E137)</f>
        <v>9766</v>
      </c>
      <c r="L137" s="82">
        <f>SUMIFS(CaseData!$E$8:$E$307,CaseData!$B$8:$B$307,L$5,CaseData!$C$8:$C$307,$D137,CaseData!$D$8:$D$307,$E137)</f>
        <v>10042</v>
      </c>
      <c r="M137" s="82">
        <f>SUMIFS(CaseData!$E$8:$E$307,CaseData!$B$8:$B$307,M$5,CaseData!$C$8:$C$307,$D137,CaseData!$D$8:$D$307,$E137)</f>
        <v>20358</v>
      </c>
      <c r="N137" s="82">
        <f>SUMIFS(CaseData!$E$8:$E$307,CaseData!$B$8:$B$307,N$5,CaseData!$C$8:$C$307,$D137,CaseData!$D$8:$D$307,$E137)</f>
        <v>14582</v>
      </c>
      <c r="O137" s="82">
        <f>SUMIFS(CaseData!$E$8:$E$307,CaseData!$B$8:$B$307,O$5,CaseData!$C$8:$C$307,$D137,CaseData!$D$8:$D$307,$E137)</f>
        <v>10180</v>
      </c>
      <c r="P137" s="82">
        <f>SUMIFS(CaseData!$E$8:$E$307,CaseData!$B$8:$B$307,P$5,CaseData!$C$8:$C$307,$D137,CaseData!$D$8:$D$307,$E137)</f>
        <v>20634</v>
      </c>
      <c r="Q137" s="82">
        <f>SUMIFS(CaseData!$E$8:$E$307,CaseData!$B$8:$B$307,Q$5,CaseData!$C$8:$C$307,$D137,CaseData!$D$8:$D$307,$E137)</f>
        <v>14306</v>
      </c>
      <c r="R137" s="82">
        <f>SUMIFS(CaseData!$E$8:$E$307,CaseData!$B$8:$B$307,R$5,CaseData!$C$8:$C$307,$D137,CaseData!$D$8:$D$307,$E137)</f>
        <v>20496</v>
      </c>
      <c r="S137" s="82">
        <f>SUMIFS(CaseData!$E$8:$E$307,CaseData!$B$8:$B$307,S$5,CaseData!$C$8:$C$307,$D137,CaseData!$D$8:$D$307,$E137)</f>
        <v>18020</v>
      </c>
      <c r="T137" s="82">
        <f>SUMIFS(CaseData!$E$8:$E$307,CaseData!$B$8:$B$307,T$5,CaseData!$C$8:$C$307,$D137,CaseData!$D$8:$D$307,$E137)</f>
        <v>14306</v>
      </c>
      <c r="U137" s="71">
        <f t="shared" si="17"/>
        <v>11988.9</v>
      </c>
      <c r="V137" s="71">
        <f t="shared" si="17"/>
        <v>9676.8000000000011</v>
      </c>
      <c r="W137" s="71">
        <f t="shared" si="17"/>
        <v>10254.300000000001</v>
      </c>
      <c r="X137" s="71">
        <f t="shared" si="17"/>
        <v>10544.1</v>
      </c>
      <c r="Y137" s="71">
        <f t="shared" si="17"/>
        <v>21375.9</v>
      </c>
      <c r="Z137" s="71">
        <f t="shared" si="17"/>
        <v>15311.1</v>
      </c>
      <c r="AA137" s="71">
        <f t="shared" si="17"/>
        <v>10689</v>
      </c>
      <c r="AB137" s="71">
        <f t="shared" si="17"/>
        <v>21665.7</v>
      </c>
      <c r="AC137" s="71">
        <f t="shared" si="17"/>
        <v>15021.300000000001</v>
      </c>
      <c r="AD137" s="71">
        <f t="shared" si="17"/>
        <v>21520.799999999999</v>
      </c>
      <c r="AE137" s="71">
        <f t="shared" si="17"/>
        <v>18921</v>
      </c>
      <c r="AF137" s="71">
        <f t="shared" si="17"/>
        <v>15021.300000000001</v>
      </c>
    </row>
    <row r="138" spans="4:32" ht="14.4">
      <c r="D138" s="66">
        <f>D$28</f>
        <v>5</v>
      </c>
      <c r="E138" s="66">
        <f>E$28</f>
        <v>1</v>
      </c>
      <c r="G138" s="80">
        <f>INDEX(CaseData!$J$8:$J$12,MATCH("Client "&amp;$D138,CaseData!$I$8:$I$12,0))</f>
        <v>-0.02</v>
      </c>
      <c r="H138" s="79"/>
      <c r="I138" s="82">
        <f>SUMIFS(CaseData!$E$8:$E$307,CaseData!$B$8:$B$307,I$5,CaseData!$C$8:$C$307,$D138,CaseData!$D$8:$D$307,$E138)</f>
        <v>5098</v>
      </c>
      <c r="J138" s="82">
        <f>SUMIFS(CaseData!$E$8:$E$307,CaseData!$B$8:$B$307,J$5,CaseData!$C$8:$C$307,$D138,CaseData!$D$8:$D$307,$E138)</f>
        <v>8536</v>
      </c>
      <c r="K138" s="82">
        <f>SUMIFS(CaseData!$E$8:$E$307,CaseData!$B$8:$B$307,K$5,CaseData!$C$8:$C$307,$D138,CaseData!$D$8:$D$307,$E138)</f>
        <v>8536</v>
      </c>
      <c r="L138" s="82">
        <f>SUMIFS(CaseData!$E$8:$E$307,CaseData!$B$8:$B$307,L$5,CaseData!$C$8:$C$307,$D138,CaseData!$D$8:$D$307,$E138)</f>
        <v>7410</v>
      </c>
      <c r="M138" s="82">
        <f>SUMIFS(CaseData!$E$8:$E$307,CaseData!$B$8:$B$307,M$5,CaseData!$C$8:$C$307,$D138,CaseData!$D$8:$D$307,$E138)</f>
        <v>5808</v>
      </c>
      <c r="N138" s="82">
        <f>SUMIFS(CaseData!$E$8:$E$307,CaseData!$B$8:$B$307,N$5,CaseData!$C$8:$C$307,$D138,CaseData!$D$8:$D$307,$E138)</f>
        <v>6282</v>
      </c>
      <c r="O138" s="82">
        <f>SUMIFS(CaseData!$E$8:$E$307,CaseData!$B$8:$B$307,O$5,CaseData!$C$8:$C$307,$D138,CaseData!$D$8:$D$307,$E138)</f>
        <v>6046</v>
      </c>
      <c r="P138" s="82">
        <f>SUMIFS(CaseData!$E$8:$E$307,CaseData!$B$8:$B$307,P$5,CaseData!$C$8:$C$307,$D138,CaseData!$D$8:$D$307,$E138)</f>
        <v>3556</v>
      </c>
      <c r="Q138" s="82">
        <f>SUMIFS(CaseData!$E$8:$E$307,CaseData!$B$8:$B$307,Q$5,CaseData!$C$8:$C$307,$D138,CaseData!$D$8:$D$307,$E138)</f>
        <v>6460</v>
      </c>
      <c r="R138" s="82">
        <f>SUMIFS(CaseData!$E$8:$E$307,CaseData!$B$8:$B$307,R$5,CaseData!$C$8:$C$307,$D138,CaseData!$D$8:$D$307,$E138)</f>
        <v>2964</v>
      </c>
      <c r="S138" s="82">
        <f>SUMIFS(CaseData!$E$8:$E$307,CaseData!$B$8:$B$307,S$5,CaseData!$C$8:$C$307,$D138,CaseData!$D$8:$D$307,$E138)</f>
        <v>3616</v>
      </c>
      <c r="T138" s="82">
        <f>SUMIFS(CaseData!$E$8:$E$307,CaseData!$B$8:$B$307,T$5,CaseData!$C$8:$C$307,$D138,CaseData!$D$8:$D$307,$E138)</f>
        <v>3972</v>
      </c>
      <c r="U138" s="71">
        <f t="shared" si="17"/>
        <v>4996.04</v>
      </c>
      <c r="V138" s="71">
        <f t="shared" si="17"/>
        <v>8365.2800000000007</v>
      </c>
      <c r="W138" s="71">
        <f t="shared" si="17"/>
        <v>8365.2800000000007</v>
      </c>
      <c r="X138" s="71">
        <f t="shared" si="17"/>
        <v>7261.8</v>
      </c>
      <c r="Y138" s="71">
        <f t="shared" si="17"/>
        <v>5691.84</v>
      </c>
      <c r="Z138" s="71">
        <f t="shared" si="17"/>
        <v>6156.36</v>
      </c>
      <c r="AA138" s="71">
        <f t="shared" si="17"/>
        <v>5925.08</v>
      </c>
      <c r="AB138" s="71">
        <f t="shared" si="17"/>
        <v>3484.88</v>
      </c>
      <c r="AC138" s="71">
        <f t="shared" si="17"/>
        <v>6330.8</v>
      </c>
      <c r="AD138" s="71">
        <f t="shared" si="17"/>
        <v>2904.72</v>
      </c>
      <c r="AE138" s="71">
        <f t="shared" si="17"/>
        <v>3543.68</v>
      </c>
      <c r="AF138" s="71">
        <f t="shared" si="17"/>
        <v>3892.56</v>
      </c>
    </row>
    <row r="139" spans="4:32" ht="14.4">
      <c r="D139" s="66">
        <f>D$29</f>
        <v>5</v>
      </c>
      <c r="E139" s="66">
        <f>E$29</f>
        <v>2</v>
      </c>
      <c r="G139" s="80">
        <f>INDEX(CaseData!$J$8:$J$12,MATCH("Client "&amp;$D139,CaseData!$I$8:$I$12,0))</f>
        <v>-0.02</v>
      </c>
      <c r="H139" s="79"/>
      <c r="I139" s="82">
        <f>SUMIFS(CaseData!$E$8:$E$307,CaseData!$B$8:$B$307,I$5,CaseData!$C$8:$C$307,$D139,CaseData!$D$8:$D$307,$E139)</f>
        <v>36672</v>
      </c>
      <c r="J139" s="82">
        <f>SUMIFS(CaseData!$E$8:$E$307,CaseData!$B$8:$B$307,J$5,CaseData!$C$8:$C$307,$D139,CaseData!$D$8:$D$307,$E139)</f>
        <v>25182</v>
      </c>
      <c r="K139" s="82">
        <f>SUMIFS(CaseData!$E$8:$E$307,CaseData!$B$8:$B$307,K$5,CaseData!$C$8:$C$307,$D139,CaseData!$D$8:$D$307,$E139)</f>
        <v>14668</v>
      </c>
      <c r="L139" s="82">
        <f>SUMIFS(CaseData!$E$8:$E$307,CaseData!$B$8:$B$307,L$5,CaseData!$C$8:$C$307,$D139,CaseData!$D$8:$D$307,$E139)</f>
        <v>27626</v>
      </c>
      <c r="M139" s="82">
        <f>SUMIFS(CaseData!$E$8:$E$307,CaseData!$B$8:$B$307,M$5,CaseData!$C$8:$C$307,$D139,CaseData!$D$8:$D$307,$E139)</f>
        <v>28360</v>
      </c>
      <c r="N139" s="82">
        <f>SUMIFS(CaseData!$E$8:$E$307,CaseData!$B$8:$B$307,N$5,CaseData!$C$8:$C$307,$D139,CaseData!$D$8:$D$307,$E139)</f>
        <v>19802</v>
      </c>
      <c r="O139" s="82">
        <f>SUMIFS(CaseData!$E$8:$E$307,CaseData!$B$8:$B$307,O$5,CaseData!$C$8:$C$307,$D139,CaseData!$D$8:$D$307,$E139)</f>
        <v>22982</v>
      </c>
      <c r="P139" s="82">
        <f>SUMIFS(CaseData!$E$8:$E$307,CaseData!$B$8:$B$307,P$5,CaseData!$C$8:$C$307,$D139,CaseData!$D$8:$D$307,$E139)</f>
        <v>26648</v>
      </c>
      <c r="Q139" s="82">
        <f>SUMIFS(CaseData!$E$8:$E$307,CaseData!$B$8:$B$307,Q$5,CaseData!$C$8:$C$307,$D139,CaseData!$D$8:$D$307,$E139)</f>
        <v>28848</v>
      </c>
      <c r="R139" s="82">
        <f>SUMIFS(CaseData!$E$8:$E$307,CaseData!$B$8:$B$307,R$5,CaseData!$C$8:$C$307,$D139,CaseData!$D$8:$D$307,$E139)</f>
        <v>33004</v>
      </c>
      <c r="S139" s="82">
        <f>SUMIFS(CaseData!$E$8:$E$307,CaseData!$B$8:$B$307,S$5,CaseData!$C$8:$C$307,$D139,CaseData!$D$8:$D$307,$E139)</f>
        <v>29094</v>
      </c>
      <c r="T139" s="82">
        <f>SUMIFS(CaseData!$E$8:$E$307,CaseData!$B$8:$B$307,T$5,CaseData!$C$8:$C$307,$D139,CaseData!$D$8:$D$307,$E139)</f>
        <v>19558</v>
      </c>
      <c r="U139" s="71">
        <f t="shared" si="17"/>
        <v>35938.559999999998</v>
      </c>
      <c r="V139" s="71">
        <f t="shared" si="17"/>
        <v>24678.36</v>
      </c>
      <c r="W139" s="71">
        <f t="shared" si="17"/>
        <v>14374.64</v>
      </c>
      <c r="X139" s="71">
        <f t="shared" ref="X139:AF142" si="18">L139*(1+$G139)</f>
        <v>27073.48</v>
      </c>
      <c r="Y139" s="71">
        <f t="shared" si="18"/>
        <v>27792.799999999999</v>
      </c>
      <c r="Z139" s="71">
        <f t="shared" si="18"/>
        <v>19405.96</v>
      </c>
      <c r="AA139" s="71">
        <f t="shared" si="18"/>
        <v>22522.36</v>
      </c>
      <c r="AB139" s="71">
        <f t="shared" si="18"/>
        <v>26115.040000000001</v>
      </c>
      <c r="AC139" s="71">
        <f t="shared" si="18"/>
        <v>28271.040000000001</v>
      </c>
      <c r="AD139" s="71">
        <f t="shared" si="18"/>
        <v>32343.919999999998</v>
      </c>
      <c r="AE139" s="71">
        <f t="shared" si="18"/>
        <v>28512.12</v>
      </c>
      <c r="AF139" s="71">
        <f t="shared" si="18"/>
        <v>19166.84</v>
      </c>
    </row>
    <row r="140" spans="4:32" ht="14.4">
      <c r="D140" s="66">
        <f>D$30</f>
        <v>5</v>
      </c>
      <c r="E140" s="66">
        <f>E$30</f>
        <v>3</v>
      </c>
      <c r="G140" s="80">
        <f>INDEX(CaseData!$J$8:$J$12,MATCH("Client "&amp;$D140,CaseData!$I$8:$I$12,0))</f>
        <v>-0.02</v>
      </c>
      <c r="H140" s="79"/>
      <c r="I140" s="82">
        <f>SUMIFS(CaseData!$E$8:$E$307,CaseData!$B$8:$B$307,I$5,CaseData!$C$8:$C$307,$D140,CaseData!$D$8:$D$307,$E140)</f>
        <v>26512</v>
      </c>
      <c r="J140" s="82">
        <f>SUMIFS(CaseData!$E$8:$E$307,CaseData!$B$8:$B$307,J$5,CaseData!$C$8:$C$307,$D140,CaseData!$D$8:$D$307,$E140)</f>
        <v>12514</v>
      </c>
      <c r="K140" s="82">
        <f>SUMIFS(CaseData!$E$8:$E$307,CaseData!$B$8:$B$307,K$5,CaseData!$C$8:$C$307,$D140,CaseData!$D$8:$D$307,$E140)</f>
        <v>26936</v>
      </c>
      <c r="L140" s="82">
        <f>SUMIFS(CaseData!$E$8:$E$307,CaseData!$B$8:$B$307,L$5,CaseData!$C$8:$C$307,$D140,CaseData!$D$8:$D$307,$E140)</f>
        <v>22482</v>
      </c>
      <c r="M140" s="82">
        <f>SUMIFS(CaseData!$E$8:$E$307,CaseData!$B$8:$B$307,M$5,CaseData!$C$8:$C$307,$D140,CaseData!$D$8:$D$307,$E140)</f>
        <v>11242</v>
      </c>
      <c r="N140" s="82">
        <f>SUMIFS(CaseData!$E$8:$E$307,CaseData!$B$8:$B$307,N$5,CaseData!$C$8:$C$307,$D140,CaseData!$D$8:$D$307,$E140)</f>
        <v>13998</v>
      </c>
      <c r="O140" s="82">
        <f>SUMIFS(CaseData!$E$8:$E$307,CaseData!$B$8:$B$307,O$5,CaseData!$C$8:$C$307,$D140,CaseData!$D$8:$D$307,$E140)</f>
        <v>21422</v>
      </c>
      <c r="P140" s="82">
        <f>SUMIFS(CaseData!$E$8:$E$307,CaseData!$B$8:$B$307,P$5,CaseData!$C$8:$C$307,$D140,CaseData!$D$8:$D$307,$E140)</f>
        <v>19726</v>
      </c>
      <c r="Q140" s="82">
        <f>SUMIFS(CaseData!$E$8:$E$307,CaseData!$B$8:$B$307,Q$5,CaseData!$C$8:$C$307,$D140,CaseData!$D$8:$D$307,$E140)</f>
        <v>11666</v>
      </c>
      <c r="R140" s="82">
        <f>SUMIFS(CaseData!$E$8:$E$307,CaseData!$B$8:$B$307,R$5,CaseData!$C$8:$C$307,$D140,CaseData!$D$8:$D$307,$E140)</f>
        <v>16756</v>
      </c>
      <c r="S140" s="82">
        <f>SUMIFS(CaseData!$E$8:$E$307,CaseData!$B$8:$B$307,S$5,CaseData!$C$8:$C$307,$D140,CaseData!$D$8:$D$307,$E140)</f>
        <v>23332</v>
      </c>
      <c r="T140" s="82">
        <f>SUMIFS(CaseData!$E$8:$E$307,CaseData!$B$8:$B$307,T$5,CaseData!$C$8:$C$307,$D140,CaseData!$D$8:$D$307,$E140)</f>
        <v>11454</v>
      </c>
      <c r="U140" s="71">
        <f t="shared" ref="U140:W142" si="19">I140*(1+$G140)</f>
        <v>25981.759999999998</v>
      </c>
      <c r="V140" s="71">
        <f t="shared" si="19"/>
        <v>12263.72</v>
      </c>
      <c r="W140" s="71">
        <f t="shared" si="19"/>
        <v>26397.279999999999</v>
      </c>
      <c r="X140" s="71">
        <f t="shared" si="18"/>
        <v>22032.36</v>
      </c>
      <c r="Y140" s="71">
        <f t="shared" si="18"/>
        <v>11017.16</v>
      </c>
      <c r="Z140" s="71">
        <f t="shared" si="18"/>
        <v>13718.039999999999</v>
      </c>
      <c r="AA140" s="71">
        <f t="shared" si="18"/>
        <v>20993.56</v>
      </c>
      <c r="AB140" s="71">
        <f t="shared" si="18"/>
        <v>19331.48</v>
      </c>
      <c r="AC140" s="71">
        <f t="shared" si="18"/>
        <v>11432.68</v>
      </c>
      <c r="AD140" s="71">
        <f t="shared" si="18"/>
        <v>16420.88</v>
      </c>
      <c r="AE140" s="71">
        <f t="shared" si="18"/>
        <v>22865.360000000001</v>
      </c>
      <c r="AF140" s="71">
        <f t="shared" si="18"/>
        <v>11224.92</v>
      </c>
    </row>
    <row r="141" spans="4:32" ht="14.4">
      <c r="D141" s="66">
        <f>D$31</f>
        <v>5</v>
      </c>
      <c r="E141" s="66">
        <f>E$31</f>
        <v>4</v>
      </c>
      <c r="G141" s="80">
        <f>INDEX(CaseData!$J$8:$J$12,MATCH("Client "&amp;$D141,CaseData!$I$8:$I$12,0))</f>
        <v>-0.02</v>
      </c>
      <c r="H141" s="79"/>
      <c r="I141" s="82">
        <f>SUMIFS(CaseData!$E$8:$E$307,CaseData!$B$8:$B$307,I$5,CaseData!$C$8:$C$307,$D141,CaseData!$D$8:$D$307,$E141)</f>
        <v>7330</v>
      </c>
      <c r="J141" s="82">
        <f>SUMIFS(CaseData!$E$8:$E$307,CaseData!$B$8:$B$307,J$5,CaseData!$C$8:$C$307,$D141,CaseData!$D$8:$D$307,$E141)</f>
        <v>11188</v>
      </c>
      <c r="K141" s="82">
        <f>SUMIFS(CaseData!$E$8:$E$307,CaseData!$B$8:$B$307,K$5,CaseData!$C$8:$C$307,$D141,CaseData!$D$8:$D$307,$E141)</f>
        <v>8004</v>
      </c>
      <c r="L141" s="82">
        <f>SUMIFS(CaseData!$E$8:$E$307,CaseData!$B$8:$B$307,L$5,CaseData!$C$8:$C$307,$D141,CaseData!$D$8:$D$307,$E141)</f>
        <v>8968</v>
      </c>
      <c r="M141" s="82">
        <f>SUMIFS(CaseData!$E$8:$E$307,CaseData!$B$8:$B$307,M$5,CaseData!$C$8:$C$307,$D141,CaseData!$D$8:$D$307,$E141)</f>
        <v>9836</v>
      </c>
      <c r="N141" s="82">
        <f>SUMIFS(CaseData!$E$8:$E$307,CaseData!$B$8:$B$307,N$5,CaseData!$C$8:$C$307,$D141,CaseData!$D$8:$D$307,$E141)</f>
        <v>13984</v>
      </c>
      <c r="O141" s="82">
        <f>SUMIFS(CaseData!$E$8:$E$307,CaseData!$B$8:$B$307,O$5,CaseData!$C$8:$C$307,$D141,CaseData!$D$8:$D$307,$E141)</f>
        <v>6462</v>
      </c>
      <c r="P141" s="82">
        <f>SUMIFS(CaseData!$E$8:$E$307,CaseData!$B$8:$B$307,P$5,CaseData!$C$8:$C$307,$D141,CaseData!$D$8:$D$307,$E141)</f>
        <v>10802</v>
      </c>
      <c r="Q141" s="82">
        <f>SUMIFS(CaseData!$E$8:$E$307,CaseData!$B$8:$B$307,Q$5,CaseData!$C$8:$C$307,$D141,CaseData!$D$8:$D$307,$E141)</f>
        <v>8486</v>
      </c>
      <c r="R141" s="82">
        <f>SUMIFS(CaseData!$E$8:$E$307,CaseData!$B$8:$B$307,R$5,CaseData!$C$8:$C$307,$D141,CaseData!$D$8:$D$307,$E141)</f>
        <v>12248</v>
      </c>
      <c r="S141" s="82">
        <f>SUMIFS(CaseData!$E$8:$E$307,CaseData!$B$8:$B$307,S$5,CaseData!$C$8:$C$307,$D141,CaseData!$D$8:$D$307,$E141)</f>
        <v>8198</v>
      </c>
      <c r="T141" s="82">
        <f>SUMIFS(CaseData!$E$8:$E$307,CaseData!$B$8:$B$307,T$5,CaseData!$C$8:$C$307,$D141,CaseData!$D$8:$D$307,$E141)</f>
        <v>7618</v>
      </c>
      <c r="U141" s="71">
        <f t="shared" si="19"/>
        <v>7183.4</v>
      </c>
      <c r="V141" s="71">
        <f t="shared" si="19"/>
        <v>10964.24</v>
      </c>
      <c r="W141" s="71">
        <f t="shared" si="19"/>
        <v>7843.92</v>
      </c>
      <c r="X141" s="71">
        <f t="shared" si="18"/>
        <v>8788.64</v>
      </c>
      <c r="Y141" s="71">
        <f t="shared" si="18"/>
        <v>9639.2800000000007</v>
      </c>
      <c r="Z141" s="71">
        <f t="shared" si="18"/>
        <v>13704.32</v>
      </c>
      <c r="AA141" s="71">
        <f t="shared" si="18"/>
        <v>6332.76</v>
      </c>
      <c r="AB141" s="71">
        <f t="shared" si="18"/>
        <v>10585.96</v>
      </c>
      <c r="AC141" s="71">
        <f t="shared" si="18"/>
        <v>8316.2800000000007</v>
      </c>
      <c r="AD141" s="71">
        <f t="shared" si="18"/>
        <v>12003.039999999999</v>
      </c>
      <c r="AE141" s="71">
        <f t="shared" si="18"/>
        <v>8034.04</v>
      </c>
      <c r="AF141" s="71">
        <f t="shared" si="18"/>
        <v>7465.6399999999994</v>
      </c>
    </row>
    <row r="142" spans="4:32" ht="14.4">
      <c r="D142" s="66">
        <f>D$32</f>
        <v>5</v>
      </c>
      <c r="E142" s="66">
        <f>E$32</f>
        <v>5</v>
      </c>
      <c r="G142" s="80">
        <f>INDEX(CaseData!$J$8:$J$12,MATCH("Client "&amp;$D142,CaseData!$I$8:$I$12,0))</f>
        <v>-0.02</v>
      </c>
      <c r="H142" s="79"/>
      <c r="I142" s="82">
        <f>SUMIFS(CaseData!$E$8:$E$307,CaseData!$B$8:$B$307,I$5,CaseData!$C$8:$C$307,$D142,CaseData!$D$8:$D$307,$E142)</f>
        <v>16734</v>
      </c>
      <c r="J142" s="82">
        <f>SUMIFS(CaseData!$E$8:$E$307,CaseData!$B$8:$B$307,J$5,CaseData!$C$8:$C$307,$D142,CaseData!$D$8:$D$307,$E142)</f>
        <v>18670</v>
      </c>
      <c r="K142" s="82">
        <f>SUMIFS(CaseData!$E$8:$E$307,CaseData!$B$8:$B$307,K$5,CaseData!$C$8:$C$307,$D142,CaseData!$D$8:$D$307,$E142)</f>
        <v>10096</v>
      </c>
      <c r="L142" s="82">
        <f>SUMIFS(CaseData!$E$8:$E$307,CaseData!$B$8:$B$307,L$5,CaseData!$C$8:$C$307,$D142,CaseData!$D$8:$D$307,$E142)</f>
        <v>16458</v>
      </c>
      <c r="M142" s="82">
        <f>SUMIFS(CaseData!$E$8:$E$307,CaseData!$B$8:$B$307,M$5,CaseData!$C$8:$C$307,$D142,CaseData!$D$8:$D$307,$E142)</f>
        <v>13138</v>
      </c>
      <c r="N142" s="82">
        <f>SUMIFS(CaseData!$E$8:$E$307,CaseData!$B$8:$B$307,N$5,CaseData!$C$8:$C$307,$D142,CaseData!$D$8:$D$307,$E142)</f>
        <v>15628</v>
      </c>
      <c r="O142" s="82">
        <f>SUMIFS(CaseData!$E$8:$E$307,CaseData!$B$8:$B$307,O$5,CaseData!$C$8:$C$307,$D142,CaseData!$D$8:$D$307,$E142)</f>
        <v>9404</v>
      </c>
      <c r="P142" s="82">
        <f>SUMIFS(CaseData!$E$8:$E$307,CaseData!$B$8:$B$307,P$5,CaseData!$C$8:$C$307,$D142,CaseData!$D$8:$D$307,$E142)</f>
        <v>8022</v>
      </c>
      <c r="Q142" s="82">
        <f>SUMIFS(CaseData!$E$8:$E$307,CaseData!$B$8:$B$307,Q$5,CaseData!$C$8:$C$307,$D142,CaseData!$D$8:$D$307,$E142)</f>
        <v>6916</v>
      </c>
      <c r="R142" s="82">
        <f>SUMIFS(CaseData!$E$8:$E$307,CaseData!$B$8:$B$307,R$5,CaseData!$C$8:$C$307,$D142,CaseData!$D$8:$D$307,$E142)</f>
        <v>8436</v>
      </c>
      <c r="S142" s="82">
        <f>SUMIFS(CaseData!$E$8:$E$307,CaseData!$B$8:$B$307,S$5,CaseData!$C$8:$C$307,$D142,CaseData!$D$8:$D$307,$E142)</f>
        <v>18532</v>
      </c>
      <c r="T142" s="82">
        <f>SUMIFS(CaseData!$E$8:$E$307,CaseData!$B$8:$B$307,T$5,CaseData!$C$8:$C$307,$D142,CaseData!$D$8:$D$307,$E142)</f>
        <v>16042</v>
      </c>
      <c r="U142" s="71">
        <f t="shared" si="19"/>
        <v>16399.32</v>
      </c>
      <c r="V142" s="71">
        <f t="shared" si="19"/>
        <v>18296.599999999999</v>
      </c>
      <c r="W142" s="71">
        <f t="shared" si="19"/>
        <v>9894.08</v>
      </c>
      <c r="X142" s="71">
        <f t="shared" si="18"/>
        <v>16128.84</v>
      </c>
      <c r="Y142" s="71">
        <f t="shared" si="18"/>
        <v>12875.24</v>
      </c>
      <c r="Z142" s="71">
        <f t="shared" si="18"/>
        <v>15315.44</v>
      </c>
      <c r="AA142" s="71">
        <f t="shared" si="18"/>
        <v>9215.92</v>
      </c>
      <c r="AB142" s="71">
        <f t="shared" si="18"/>
        <v>7861.5599999999995</v>
      </c>
      <c r="AC142" s="71">
        <f t="shared" si="18"/>
        <v>6777.68</v>
      </c>
      <c r="AD142" s="71">
        <f t="shared" si="18"/>
        <v>8267.2800000000007</v>
      </c>
      <c r="AE142" s="71">
        <f t="shared" si="18"/>
        <v>18161.36</v>
      </c>
      <c r="AF142" s="71">
        <f t="shared" si="18"/>
        <v>15721.16</v>
      </c>
    </row>
    <row r="143" spans="4:32">
      <c r="D143" s="72" t="s">
        <v>1</v>
      </c>
      <c r="I143" s="73">
        <f>SUM(I118:I142)</f>
        <v>391222</v>
      </c>
      <c r="J143" s="73">
        <f t="shared" ref="J143:AF143" si="20">SUM(J118:J142)</f>
        <v>393616</v>
      </c>
      <c r="K143" s="73">
        <f t="shared" si="20"/>
        <v>377520</v>
      </c>
      <c r="L143" s="73">
        <f t="shared" si="20"/>
        <v>421306</v>
      </c>
      <c r="M143" s="73">
        <f t="shared" si="20"/>
        <v>363036</v>
      </c>
      <c r="N143" s="73">
        <f t="shared" si="20"/>
        <v>335262</v>
      </c>
      <c r="O143" s="73">
        <f t="shared" si="20"/>
        <v>324318</v>
      </c>
      <c r="P143" s="73">
        <f t="shared" si="20"/>
        <v>370798</v>
      </c>
      <c r="Q143" s="73">
        <f t="shared" si="20"/>
        <v>364778</v>
      </c>
      <c r="R143" s="73">
        <f t="shared" si="20"/>
        <v>419816</v>
      </c>
      <c r="S143" s="73">
        <f t="shared" si="20"/>
        <v>392906</v>
      </c>
      <c r="T143" s="73">
        <f t="shared" si="20"/>
        <v>374294</v>
      </c>
      <c r="U143" s="73">
        <f t="shared" si="20"/>
        <v>399689.42</v>
      </c>
      <c r="V143" s="73">
        <f t="shared" si="20"/>
        <v>402138.25999999995</v>
      </c>
      <c r="W143" s="73">
        <f t="shared" si="20"/>
        <v>386370.4800000001</v>
      </c>
      <c r="X143" s="73">
        <f t="shared" si="20"/>
        <v>432040.23999999993</v>
      </c>
      <c r="Y143" s="73">
        <f t="shared" si="20"/>
        <v>371515.70000000007</v>
      </c>
      <c r="Z143" s="73">
        <f t="shared" si="20"/>
        <v>342723.72</v>
      </c>
      <c r="AA143" s="73">
        <f t="shared" si="20"/>
        <v>331321.50000000006</v>
      </c>
      <c r="AB143" s="73">
        <f t="shared" si="20"/>
        <v>380220.86</v>
      </c>
      <c r="AC143" s="73">
        <f t="shared" si="20"/>
        <v>373488.19999999995</v>
      </c>
      <c r="AD143" s="73">
        <f t="shared" si="20"/>
        <v>430130.57999999996</v>
      </c>
      <c r="AE143" s="73">
        <f t="shared" si="20"/>
        <v>401996.65999999992</v>
      </c>
      <c r="AF143" s="73">
        <f t="shared" si="20"/>
        <v>383765.58</v>
      </c>
    </row>
    <row r="145" spans="2:32" ht="14.4">
      <c r="B145" s="68" t="s">
        <v>35</v>
      </c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</row>
    <row r="146" spans="2:32" ht="14.4">
      <c r="C146" t="s">
        <v>7</v>
      </c>
      <c r="G146" s="82">
        <f>CaseData!P7</f>
        <v>150000</v>
      </c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>
        <f t="shared" ref="U146:AF146" si="21">$G146</f>
        <v>150000</v>
      </c>
      <c r="V146" s="71">
        <f t="shared" si="21"/>
        <v>150000</v>
      </c>
      <c r="W146" s="71">
        <f t="shared" si="21"/>
        <v>150000</v>
      </c>
      <c r="X146" s="71">
        <f t="shared" si="21"/>
        <v>150000</v>
      </c>
      <c r="Y146" s="71">
        <f t="shared" si="21"/>
        <v>150000</v>
      </c>
      <c r="Z146" s="71">
        <f t="shared" si="21"/>
        <v>150000</v>
      </c>
      <c r="AA146" s="71">
        <f t="shared" si="21"/>
        <v>150000</v>
      </c>
      <c r="AB146" s="71">
        <f t="shared" si="21"/>
        <v>150000</v>
      </c>
      <c r="AC146" s="71">
        <f t="shared" si="21"/>
        <v>150000</v>
      </c>
      <c r="AD146" s="71">
        <f t="shared" si="21"/>
        <v>150000</v>
      </c>
      <c r="AE146" s="71">
        <f t="shared" si="21"/>
        <v>150000</v>
      </c>
      <c r="AF146" s="71">
        <f t="shared" si="21"/>
        <v>150000</v>
      </c>
    </row>
    <row r="147" spans="2:32" ht="14.4">
      <c r="G147" s="70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</row>
    <row r="148" spans="2:32">
      <c r="D148" s="66">
        <f>D$8</f>
        <v>1</v>
      </c>
      <c r="E148" s="66">
        <f>E$8</f>
        <v>1</v>
      </c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>
        <f t="shared" ref="U148:AF163" si="22">MAX(U$146-SUMIF(U$89:U$113,"&lt;"&amp;U89,U$118:U$142),0)</f>
        <v>104640</v>
      </c>
      <c r="V148" s="71">
        <f t="shared" si="22"/>
        <v>118500</v>
      </c>
      <c r="W148" s="71">
        <f t="shared" si="22"/>
        <v>105480</v>
      </c>
      <c r="X148" s="71">
        <f t="shared" si="22"/>
        <v>91620</v>
      </c>
      <c r="Y148" s="71">
        <f t="shared" si="22"/>
        <v>115140</v>
      </c>
      <c r="Z148" s="71">
        <f t="shared" si="22"/>
        <v>113880</v>
      </c>
      <c r="AA148" s="71">
        <f t="shared" si="22"/>
        <v>123540</v>
      </c>
      <c r="AB148" s="71">
        <f t="shared" si="22"/>
        <v>101280</v>
      </c>
      <c r="AC148" s="71">
        <f t="shared" si="22"/>
        <v>106320</v>
      </c>
      <c r="AD148" s="71">
        <f t="shared" si="22"/>
        <v>95820</v>
      </c>
      <c r="AE148" s="71">
        <f t="shared" si="22"/>
        <v>111360</v>
      </c>
      <c r="AF148" s="71">
        <f t="shared" si="22"/>
        <v>124380</v>
      </c>
    </row>
    <row r="149" spans="2:32">
      <c r="D149" s="66">
        <f>D$9</f>
        <v>1</v>
      </c>
      <c r="E149" s="66">
        <f>E$9</f>
        <v>2</v>
      </c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>
        <f t="shared" si="22"/>
        <v>36147.340000000011</v>
      </c>
      <c r="V149" s="71">
        <f t="shared" si="22"/>
        <v>55134.399999999994</v>
      </c>
      <c r="W149" s="71">
        <f t="shared" si="22"/>
        <v>37467.51999999999</v>
      </c>
      <c r="X149" s="71">
        <f t="shared" si="22"/>
        <v>25117.440000000002</v>
      </c>
      <c r="Y149" s="71">
        <f t="shared" si="22"/>
        <v>56038.260000000009</v>
      </c>
      <c r="Z149" s="71">
        <f t="shared" si="22"/>
        <v>72285.72</v>
      </c>
      <c r="AA149" s="71">
        <f t="shared" si="22"/>
        <v>77299.179999999993</v>
      </c>
      <c r="AB149" s="71">
        <f t="shared" si="22"/>
        <v>49505.5</v>
      </c>
      <c r="AC149" s="71">
        <f t="shared" si="22"/>
        <v>48716.800000000003</v>
      </c>
      <c r="AD149" s="71">
        <f t="shared" si="22"/>
        <v>38390.699999999997</v>
      </c>
      <c r="AE149" s="71">
        <f t="shared" si="22"/>
        <v>53698.840000000011</v>
      </c>
      <c r="AF149" s="71">
        <f t="shared" si="22"/>
        <v>63222.299999999988</v>
      </c>
    </row>
    <row r="150" spans="2:32">
      <c r="D150" s="66">
        <f>D$10</f>
        <v>1</v>
      </c>
      <c r="E150" s="66">
        <f>E$10</f>
        <v>3</v>
      </c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>
        <f t="shared" si="22"/>
        <v>0</v>
      </c>
      <c r="V150" s="71">
        <f t="shared" si="22"/>
        <v>0</v>
      </c>
      <c r="W150" s="71">
        <f t="shared" si="22"/>
        <v>0</v>
      </c>
      <c r="X150" s="71">
        <f t="shared" si="22"/>
        <v>0</v>
      </c>
      <c r="Y150" s="71">
        <f t="shared" si="22"/>
        <v>0</v>
      </c>
      <c r="Z150" s="71">
        <f t="shared" si="22"/>
        <v>0</v>
      </c>
      <c r="AA150" s="71">
        <f t="shared" si="22"/>
        <v>0</v>
      </c>
      <c r="AB150" s="71">
        <f t="shared" si="22"/>
        <v>0</v>
      </c>
      <c r="AC150" s="71">
        <f t="shared" si="22"/>
        <v>0</v>
      </c>
      <c r="AD150" s="71">
        <f t="shared" si="22"/>
        <v>0</v>
      </c>
      <c r="AE150" s="71">
        <f t="shared" si="22"/>
        <v>0</v>
      </c>
      <c r="AF150" s="71">
        <f t="shared" si="22"/>
        <v>0</v>
      </c>
    </row>
    <row r="151" spans="2:32">
      <c r="D151" s="66">
        <f>D$11</f>
        <v>1</v>
      </c>
      <c r="E151" s="66">
        <f>E$11</f>
        <v>4</v>
      </c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>
        <f t="shared" si="22"/>
        <v>0</v>
      </c>
      <c r="V151" s="71">
        <f t="shared" si="22"/>
        <v>0</v>
      </c>
      <c r="W151" s="71">
        <f t="shared" si="22"/>
        <v>0</v>
      </c>
      <c r="X151" s="71">
        <f t="shared" si="22"/>
        <v>0</v>
      </c>
      <c r="Y151" s="71">
        <f t="shared" si="22"/>
        <v>0</v>
      </c>
      <c r="Z151" s="71">
        <f t="shared" si="22"/>
        <v>0</v>
      </c>
      <c r="AA151" s="71">
        <f t="shared" si="22"/>
        <v>0</v>
      </c>
      <c r="AB151" s="71">
        <f t="shared" si="22"/>
        <v>0</v>
      </c>
      <c r="AC151" s="71">
        <f t="shared" si="22"/>
        <v>0</v>
      </c>
      <c r="AD151" s="71">
        <f t="shared" si="22"/>
        <v>0</v>
      </c>
      <c r="AE151" s="71">
        <f t="shared" si="22"/>
        <v>0</v>
      </c>
      <c r="AF151" s="71">
        <f t="shared" si="22"/>
        <v>0</v>
      </c>
    </row>
    <row r="152" spans="2:32">
      <c r="D152" s="66">
        <f>D$12</f>
        <v>1</v>
      </c>
      <c r="E152" s="66">
        <f>E$12</f>
        <v>5</v>
      </c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>
        <f t="shared" si="22"/>
        <v>0</v>
      </c>
      <c r="V152" s="71">
        <f t="shared" si="22"/>
        <v>0</v>
      </c>
      <c r="W152" s="71">
        <f t="shared" si="22"/>
        <v>0</v>
      </c>
      <c r="X152" s="71">
        <f t="shared" si="22"/>
        <v>0</v>
      </c>
      <c r="Y152" s="71">
        <f t="shared" si="22"/>
        <v>9236.5400000000081</v>
      </c>
      <c r="Z152" s="71">
        <f t="shared" si="22"/>
        <v>15527.720000000001</v>
      </c>
      <c r="AA152" s="71">
        <f t="shared" si="22"/>
        <v>20398.659999999989</v>
      </c>
      <c r="AB152" s="71">
        <f t="shared" si="22"/>
        <v>0</v>
      </c>
      <c r="AC152" s="71">
        <f t="shared" si="22"/>
        <v>0</v>
      </c>
      <c r="AD152" s="71">
        <f t="shared" si="22"/>
        <v>0</v>
      </c>
      <c r="AE152" s="71">
        <f t="shared" si="22"/>
        <v>0</v>
      </c>
      <c r="AF152" s="71">
        <f t="shared" si="22"/>
        <v>0</v>
      </c>
    </row>
    <row r="153" spans="2:32">
      <c r="D153" s="66">
        <f>D$13</f>
        <v>2</v>
      </c>
      <c r="E153" s="66">
        <f>E$13</f>
        <v>1</v>
      </c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>
        <f t="shared" si="22"/>
        <v>0</v>
      </c>
      <c r="V153" s="71">
        <f t="shared" si="22"/>
        <v>0</v>
      </c>
      <c r="W153" s="71">
        <f t="shared" si="22"/>
        <v>0</v>
      </c>
      <c r="X153" s="71">
        <f t="shared" si="22"/>
        <v>0</v>
      </c>
      <c r="Y153" s="71">
        <f t="shared" si="22"/>
        <v>0</v>
      </c>
      <c r="Z153" s="71">
        <f t="shared" si="22"/>
        <v>0</v>
      </c>
      <c r="AA153" s="71">
        <f t="shared" si="22"/>
        <v>7476.9000000000233</v>
      </c>
      <c r="AB153" s="71">
        <f t="shared" si="22"/>
        <v>0</v>
      </c>
      <c r="AC153" s="71">
        <f t="shared" si="22"/>
        <v>0</v>
      </c>
      <c r="AD153" s="71">
        <f t="shared" si="22"/>
        <v>0</v>
      </c>
      <c r="AE153" s="71">
        <f t="shared" si="22"/>
        <v>0</v>
      </c>
      <c r="AF153" s="71">
        <f t="shared" si="22"/>
        <v>0</v>
      </c>
    </row>
    <row r="154" spans="2:32">
      <c r="D154" s="66">
        <f>D$14</f>
        <v>2</v>
      </c>
      <c r="E154" s="66">
        <f>E$14</f>
        <v>2</v>
      </c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>
        <f t="shared" si="22"/>
        <v>0</v>
      </c>
      <c r="V154" s="71">
        <f t="shared" si="22"/>
        <v>0</v>
      </c>
      <c r="W154" s="71">
        <f t="shared" si="22"/>
        <v>0</v>
      </c>
      <c r="X154" s="71">
        <f t="shared" si="22"/>
        <v>0</v>
      </c>
      <c r="Y154" s="71">
        <f t="shared" si="22"/>
        <v>588.98000000001048</v>
      </c>
      <c r="Z154" s="71">
        <f t="shared" si="22"/>
        <v>1690.3999999999942</v>
      </c>
      <c r="AA154" s="71">
        <f t="shared" si="22"/>
        <v>9088.9000000000233</v>
      </c>
      <c r="AB154" s="71">
        <f t="shared" si="22"/>
        <v>0</v>
      </c>
      <c r="AC154" s="71">
        <f t="shared" si="22"/>
        <v>0</v>
      </c>
      <c r="AD154" s="71">
        <f t="shared" si="22"/>
        <v>0</v>
      </c>
      <c r="AE154" s="71">
        <f t="shared" si="22"/>
        <v>0</v>
      </c>
      <c r="AF154" s="71">
        <f t="shared" si="22"/>
        <v>0</v>
      </c>
    </row>
    <row r="155" spans="2:32">
      <c r="D155" s="66">
        <f>D$15</f>
        <v>2</v>
      </c>
      <c r="E155" s="66">
        <f>E$15</f>
        <v>3</v>
      </c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>
        <f t="shared" si="22"/>
        <v>13025.979999999981</v>
      </c>
      <c r="V155" s="71">
        <f t="shared" si="22"/>
        <v>13640.799999999988</v>
      </c>
      <c r="W155" s="71">
        <f t="shared" si="22"/>
        <v>5874.0400000000081</v>
      </c>
      <c r="X155" s="71">
        <f t="shared" si="22"/>
        <v>0</v>
      </c>
      <c r="Y155" s="71">
        <f t="shared" si="22"/>
        <v>32257.98000000001</v>
      </c>
      <c r="Z155" s="71">
        <f t="shared" si="22"/>
        <v>40726.92</v>
      </c>
      <c r="AA155" s="71">
        <f t="shared" si="22"/>
        <v>46219.78</v>
      </c>
      <c r="AB155" s="71">
        <f t="shared" si="22"/>
        <v>25221.339999999997</v>
      </c>
      <c r="AC155" s="71">
        <f t="shared" si="22"/>
        <v>11054.320000000007</v>
      </c>
      <c r="AD155" s="71">
        <f t="shared" si="22"/>
        <v>1744.140000000014</v>
      </c>
      <c r="AE155" s="71">
        <f t="shared" si="22"/>
        <v>17354.200000000012</v>
      </c>
      <c r="AF155" s="71">
        <f t="shared" si="22"/>
        <v>32479.5</v>
      </c>
    </row>
    <row r="156" spans="2:32">
      <c r="D156" s="66">
        <f>D$16</f>
        <v>2</v>
      </c>
      <c r="E156" s="66">
        <f>E$16</f>
        <v>4</v>
      </c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>
        <f t="shared" si="22"/>
        <v>0</v>
      </c>
      <c r="V156" s="71">
        <f t="shared" si="22"/>
        <v>0</v>
      </c>
      <c r="W156" s="71">
        <f t="shared" si="22"/>
        <v>0</v>
      </c>
      <c r="X156" s="71">
        <f t="shared" si="22"/>
        <v>0</v>
      </c>
      <c r="Y156" s="71">
        <f t="shared" si="22"/>
        <v>0</v>
      </c>
      <c r="Z156" s="71">
        <f t="shared" si="22"/>
        <v>0</v>
      </c>
      <c r="AA156" s="71">
        <f t="shared" si="22"/>
        <v>0</v>
      </c>
      <c r="AB156" s="71">
        <f t="shared" si="22"/>
        <v>0</v>
      </c>
      <c r="AC156" s="71">
        <f t="shared" si="22"/>
        <v>0</v>
      </c>
      <c r="AD156" s="71">
        <f t="shared" si="22"/>
        <v>0</v>
      </c>
      <c r="AE156" s="71">
        <f t="shared" si="22"/>
        <v>0</v>
      </c>
      <c r="AF156" s="71">
        <f t="shared" si="22"/>
        <v>0</v>
      </c>
    </row>
    <row r="157" spans="2:32">
      <c r="D157" s="66">
        <f>D$17</f>
        <v>2</v>
      </c>
      <c r="E157" s="66">
        <f>E$17</f>
        <v>5</v>
      </c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>
        <f t="shared" si="22"/>
        <v>0</v>
      </c>
      <c r="V157" s="71">
        <f t="shared" si="22"/>
        <v>0</v>
      </c>
      <c r="W157" s="71">
        <f t="shared" si="22"/>
        <v>0</v>
      </c>
      <c r="X157" s="71">
        <f t="shared" si="22"/>
        <v>0</v>
      </c>
      <c r="Y157" s="71">
        <f t="shared" si="22"/>
        <v>0</v>
      </c>
      <c r="Z157" s="71">
        <f t="shared" si="22"/>
        <v>0</v>
      </c>
      <c r="AA157" s="71">
        <f t="shared" si="22"/>
        <v>0</v>
      </c>
      <c r="AB157" s="71">
        <f t="shared" si="22"/>
        <v>0</v>
      </c>
      <c r="AC157" s="71">
        <f t="shared" si="22"/>
        <v>0</v>
      </c>
      <c r="AD157" s="71">
        <f t="shared" si="22"/>
        <v>0</v>
      </c>
      <c r="AE157" s="71">
        <f t="shared" si="22"/>
        <v>0</v>
      </c>
      <c r="AF157" s="71">
        <f t="shared" si="22"/>
        <v>0</v>
      </c>
    </row>
    <row r="158" spans="2:32">
      <c r="D158" s="66">
        <f>D$18</f>
        <v>3</v>
      </c>
      <c r="E158" s="66">
        <f>E$18</f>
        <v>1</v>
      </c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>
        <f t="shared" si="22"/>
        <v>93993.239999999991</v>
      </c>
      <c r="V158" s="71">
        <f t="shared" si="22"/>
        <v>113440.8</v>
      </c>
      <c r="W158" s="71">
        <f t="shared" si="22"/>
        <v>100420.8</v>
      </c>
      <c r="X158" s="71">
        <f t="shared" si="22"/>
        <v>85581.6</v>
      </c>
      <c r="Y158" s="71">
        <f t="shared" si="22"/>
        <v>110652</v>
      </c>
      <c r="Z158" s="71">
        <f t="shared" si="22"/>
        <v>108657.60000000001</v>
      </c>
      <c r="AA158" s="71">
        <f t="shared" si="22"/>
        <v>117746.4</v>
      </c>
      <c r="AB158" s="71">
        <f t="shared" si="22"/>
        <v>89121.600000000006</v>
      </c>
      <c r="AC158" s="71">
        <f t="shared" si="22"/>
        <v>95222.399999999994</v>
      </c>
      <c r="AD158" s="71">
        <f t="shared" si="22"/>
        <v>91168.8</v>
      </c>
      <c r="AE158" s="71">
        <f t="shared" si="22"/>
        <v>100588.8</v>
      </c>
      <c r="AF158" s="71">
        <f t="shared" si="22"/>
        <v>112303.2</v>
      </c>
    </row>
    <row r="159" spans="2:32">
      <c r="D159" s="66">
        <f>D$19</f>
        <v>3</v>
      </c>
      <c r="E159" s="66">
        <f>E$19</f>
        <v>2</v>
      </c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>
        <f t="shared" si="22"/>
        <v>85567.959999999992</v>
      </c>
      <c r="V159" s="71">
        <f t="shared" si="22"/>
        <v>101868.64</v>
      </c>
      <c r="W159" s="71">
        <f t="shared" si="22"/>
        <v>88954.72</v>
      </c>
      <c r="X159" s="71">
        <f t="shared" si="22"/>
        <v>73105.56</v>
      </c>
      <c r="Y159" s="71">
        <f t="shared" si="22"/>
        <v>100627.2</v>
      </c>
      <c r="Z159" s="71">
        <f t="shared" si="22"/>
        <v>100000.2</v>
      </c>
      <c r="AA159" s="71">
        <f t="shared" si="22"/>
        <v>107241.51999999999</v>
      </c>
      <c r="AB159" s="71">
        <f t="shared" si="22"/>
        <v>82501.240000000005</v>
      </c>
      <c r="AC159" s="71">
        <f t="shared" si="22"/>
        <v>83605.959999999992</v>
      </c>
      <c r="AD159" s="71">
        <f t="shared" si="22"/>
        <v>83262</v>
      </c>
      <c r="AE159" s="71">
        <f t="shared" si="22"/>
        <v>95282.559999999998</v>
      </c>
      <c r="AF159" s="71">
        <f t="shared" si="22"/>
        <v>104112.36</v>
      </c>
    </row>
    <row r="160" spans="2:32">
      <c r="D160" s="66">
        <f>D$20</f>
        <v>3</v>
      </c>
      <c r="E160" s="66">
        <f>E$20</f>
        <v>3</v>
      </c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>
        <f t="shared" si="22"/>
        <v>35621.020000000004</v>
      </c>
      <c r="V160" s="71">
        <f t="shared" si="22"/>
        <v>53887.959999999992</v>
      </c>
      <c r="W160" s="71">
        <f t="shared" si="22"/>
        <v>36335.320000000007</v>
      </c>
      <c r="X160" s="71">
        <f t="shared" si="22"/>
        <v>24011.759999999995</v>
      </c>
      <c r="Y160" s="71">
        <f t="shared" si="22"/>
        <v>54748.98000000001</v>
      </c>
      <c r="Z160" s="71">
        <f t="shared" si="22"/>
        <v>71667.599999999991</v>
      </c>
      <c r="AA160" s="71">
        <f t="shared" si="22"/>
        <v>76350.58</v>
      </c>
      <c r="AB160" s="71">
        <f t="shared" si="22"/>
        <v>48730.3</v>
      </c>
      <c r="AC160" s="71">
        <f t="shared" si="22"/>
        <v>47531.56</v>
      </c>
      <c r="AD160" s="71">
        <f t="shared" si="22"/>
        <v>37154.459999999992</v>
      </c>
      <c r="AE160" s="71">
        <f t="shared" si="22"/>
        <v>52601.320000000007</v>
      </c>
      <c r="AF160" s="71">
        <f t="shared" si="22"/>
        <v>62489.94</v>
      </c>
    </row>
    <row r="161" spans="2:32">
      <c r="D161" s="66">
        <f>D$21</f>
        <v>3</v>
      </c>
      <c r="E161" s="66">
        <f>E$21</f>
        <v>4</v>
      </c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>
        <f t="shared" si="22"/>
        <v>0</v>
      </c>
      <c r="V161" s="71">
        <f t="shared" si="22"/>
        <v>0</v>
      </c>
      <c r="W161" s="71">
        <f t="shared" si="22"/>
        <v>0</v>
      </c>
      <c r="X161" s="71">
        <f t="shared" si="22"/>
        <v>0</v>
      </c>
      <c r="Y161" s="71">
        <f t="shared" si="22"/>
        <v>0</v>
      </c>
      <c r="Z161" s="71">
        <f t="shared" si="22"/>
        <v>0</v>
      </c>
      <c r="AA161" s="71">
        <f t="shared" si="22"/>
        <v>0</v>
      </c>
      <c r="AB161" s="71">
        <f t="shared" si="22"/>
        <v>0</v>
      </c>
      <c r="AC161" s="71">
        <f t="shared" si="22"/>
        <v>0</v>
      </c>
      <c r="AD161" s="71">
        <f t="shared" si="22"/>
        <v>0</v>
      </c>
      <c r="AE161" s="71">
        <f t="shared" si="22"/>
        <v>0</v>
      </c>
      <c r="AF161" s="71">
        <f t="shared" si="22"/>
        <v>0</v>
      </c>
    </row>
    <row r="162" spans="2:32">
      <c r="D162" s="66">
        <f>D$22</f>
        <v>3</v>
      </c>
      <c r="E162" s="66">
        <f>E$22</f>
        <v>5</v>
      </c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>
        <f t="shared" si="22"/>
        <v>32673.22</v>
      </c>
      <c r="V162" s="71">
        <f t="shared" si="22"/>
        <v>49618.240000000005</v>
      </c>
      <c r="W162" s="71">
        <f t="shared" si="22"/>
        <v>33177.399999999994</v>
      </c>
      <c r="X162" s="71">
        <f t="shared" si="22"/>
        <v>21396.479999999996</v>
      </c>
      <c r="Y162" s="71">
        <f t="shared" si="22"/>
        <v>51140.22</v>
      </c>
      <c r="Z162" s="71">
        <f t="shared" si="22"/>
        <v>68540.28</v>
      </c>
      <c r="AA162" s="71">
        <f t="shared" si="22"/>
        <v>71991.099999999991</v>
      </c>
      <c r="AB162" s="71">
        <f t="shared" si="22"/>
        <v>46655.619999999995</v>
      </c>
      <c r="AC162" s="71">
        <f t="shared" si="22"/>
        <v>44224.72</v>
      </c>
      <c r="AD162" s="71">
        <f t="shared" si="22"/>
        <v>35169.539999999994</v>
      </c>
      <c r="AE162" s="71">
        <f t="shared" si="22"/>
        <v>50014.600000000006</v>
      </c>
      <c r="AF162" s="71">
        <f t="shared" si="22"/>
        <v>59782.86</v>
      </c>
    </row>
    <row r="163" spans="2:32">
      <c r="D163" s="66">
        <f>D$23</f>
        <v>4</v>
      </c>
      <c r="E163" s="66">
        <f>E$23</f>
        <v>1</v>
      </c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>
        <f t="shared" si="22"/>
        <v>150000</v>
      </c>
      <c r="V163" s="71">
        <f t="shared" si="22"/>
        <v>150000</v>
      </c>
      <c r="W163" s="71">
        <f t="shared" si="22"/>
        <v>150000</v>
      </c>
      <c r="X163" s="71">
        <f t="shared" si="22"/>
        <v>150000</v>
      </c>
      <c r="Y163" s="71">
        <f t="shared" si="22"/>
        <v>150000</v>
      </c>
      <c r="Z163" s="71">
        <f t="shared" si="22"/>
        <v>150000</v>
      </c>
      <c r="AA163" s="71">
        <f t="shared" si="22"/>
        <v>150000</v>
      </c>
      <c r="AB163" s="71">
        <f t="shared" si="22"/>
        <v>150000</v>
      </c>
      <c r="AC163" s="71">
        <f t="shared" si="22"/>
        <v>150000</v>
      </c>
      <c r="AD163" s="71">
        <f t="shared" si="22"/>
        <v>150000</v>
      </c>
      <c r="AE163" s="71">
        <f t="shared" si="22"/>
        <v>150000</v>
      </c>
      <c r="AF163" s="71">
        <f t="shared" si="22"/>
        <v>150000</v>
      </c>
    </row>
    <row r="164" spans="2:32">
      <c r="D164" s="66">
        <f>D$24</f>
        <v>4</v>
      </c>
      <c r="E164" s="66">
        <f>E$24</f>
        <v>2</v>
      </c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>
        <f t="shared" ref="U164:AF172" si="23">MAX(U$146-SUMIF(U$89:U$113,"&lt;"&amp;U105,U$118:U$142),0)</f>
        <v>59551.840000000011</v>
      </c>
      <c r="V164" s="71">
        <f t="shared" si="23"/>
        <v>82405</v>
      </c>
      <c r="W164" s="71">
        <f t="shared" si="23"/>
        <v>63515.92</v>
      </c>
      <c r="X164" s="71">
        <f t="shared" si="23"/>
        <v>54219.240000000005</v>
      </c>
      <c r="Y164" s="71">
        <f t="shared" si="23"/>
        <v>71912.160000000003</v>
      </c>
      <c r="Z164" s="71">
        <f t="shared" si="23"/>
        <v>82462.320000000007</v>
      </c>
      <c r="AA164" s="71">
        <f t="shared" si="23"/>
        <v>96835.48</v>
      </c>
      <c r="AB164" s="71">
        <f t="shared" si="23"/>
        <v>72095.199999999997</v>
      </c>
      <c r="AC164" s="71">
        <f t="shared" si="23"/>
        <v>67033</v>
      </c>
      <c r="AD164" s="71">
        <f t="shared" si="23"/>
        <v>63219</v>
      </c>
      <c r="AE164" s="71">
        <f t="shared" si="23"/>
        <v>81985.840000000011</v>
      </c>
      <c r="AF164" s="71">
        <f t="shared" si="23"/>
        <v>92935.2</v>
      </c>
    </row>
    <row r="165" spans="2:32">
      <c r="D165" s="66">
        <f>D$25</f>
        <v>4</v>
      </c>
      <c r="E165" s="66">
        <f>E$25</f>
        <v>3</v>
      </c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>
        <f t="shared" si="23"/>
        <v>0</v>
      </c>
      <c r="V165" s="71">
        <f t="shared" si="23"/>
        <v>0</v>
      </c>
      <c r="W165" s="71">
        <f t="shared" si="23"/>
        <v>0</v>
      </c>
      <c r="X165" s="71">
        <f t="shared" si="23"/>
        <v>0</v>
      </c>
      <c r="Y165" s="71">
        <f t="shared" si="23"/>
        <v>0</v>
      </c>
      <c r="Z165" s="71">
        <f t="shared" si="23"/>
        <v>0</v>
      </c>
      <c r="AA165" s="71">
        <f t="shared" si="23"/>
        <v>5769.2200000000303</v>
      </c>
      <c r="AB165" s="71">
        <f t="shared" si="23"/>
        <v>0</v>
      </c>
      <c r="AC165" s="71">
        <f t="shared" si="23"/>
        <v>0</v>
      </c>
      <c r="AD165" s="71">
        <f t="shared" si="23"/>
        <v>0</v>
      </c>
      <c r="AE165" s="71">
        <f t="shared" si="23"/>
        <v>0</v>
      </c>
      <c r="AF165" s="71">
        <f t="shared" si="23"/>
        <v>0</v>
      </c>
    </row>
    <row r="166" spans="2:32">
      <c r="D166" s="66">
        <f>D$26</f>
        <v>4</v>
      </c>
      <c r="E166" s="66">
        <f>E$26</f>
        <v>4</v>
      </c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>
        <f t="shared" si="23"/>
        <v>0</v>
      </c>
      <c r="V166" s="71">
        <f t="shared" si="23"/>
        <v>0</v>
      </c>
      <c r="W166" s="71">
        <f t="shared" si="23"/>
        <v>0</v>
      </c>
      <c r="X166" s="71">
        <f t="shared" si="23"/>
        <v>0</v>
      </c>
      <c r="Y166" s="71">
        <f t="shared" si="23"/>
        <v>0</v>
      </c>
      <c r="Z166" s="71">
        <f t="shared" si="23"/>
        <v>0</v>
      </c>
      <c r="AA166" s="71">
        <f t="shared" si="23"/>
        <v>0</v>
      </c>
      <c r="AB166" s="71">
        <f t="shared" si="23"/>
        <v>0</v>
      </c>
      <c r="AC166" s="71">
        <f t="shared" si="23"/>
        <v>0</v>
      </c>
      <c r="AD166" s="71">
        <f t="shared" si="23"/>
        <v>0</v>
      </c>
      <c r="AE166" s="71">
        <f t="shared" si="23"/>
        <v>0</v>
      </c>
      <c r="AF166" s="71">
        <f t="shared" si="23"/>
        <v>0</v>
      </c>
    </row>
    <row r="167" spans="2:32">
      <c r="D167" s="66">
        <f>D$27</f>
        <v>4</v>
      </c>
      <c r="E167" s="66">
        <f>E$27</f>
        <v>5</v>
      </c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>
        <f t="shared" si="23"/>
        <v>0</v>
      </c>
      <c r="V167" s="71">
        <f t="shared" si="23"/>
        <v>0</v>
      </c>
      <c r="W167" s="71">
        <f t="shared" si="23"/>
        <v>0</v>
      </c>
      <c r="X167" s="71">
        <f t="shared" si="23"/>
        <v>0</v>
      </c>
      <c r="Y167" s="71">
        <f t="shared" si="23"/>
        <v>0</v>
      </c>
      <c r="Z167" s="71">
        <f t="shared" si="23"/>
        <v>0</v>
      </c>
      <c r="AA167" s="71">
        <f t="shared" si="23"/>
        <v>0</v>
      </c>
      <c r="AB167" s="71">
        <f t="shared" si="23"/>
        <v>0</v>
      </c>
      <c r="AC167" s="71">
        <f t="shared" si="23"/>
        <v>0</v>
      </c>
      <c r="AD167" s="71">
        <f t="shared" si="23"/>
        <v>0</v>
      </c>
      <c r="AE167" s="71">
        <f t="shared" si="23"/>
        <v>0</v>
      </c>
      <c r="AF167" s="71">
        <f t="shared" si="23"/>
        <v>0</v>
      </c>
    </row>
    <row r="168" spans="2:32">
      <c r="D168" s="66">
        <f>D$28</f>
        <v>5</v>
      </c>
      <c r="E168" s="66">
        <f>E$28</f>
        <v>1</v>
      </c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>
        <f t="shared" si="23"/>
        <v>90564</v>
      </c>
      <c r="V168" s="71">
        <f t="shared" si="23"/>
        <v>110233.92</v>
      </c>
      <c r="W168" s="71">
        <f t="shared" si="23"/>
        <v>97320</v>
      </c>
      <c r="X168" s="71">
        <f t="shared" si="23"/>
        <v>80367.360000000001</v>
      </c>
      <c r="Y168" s="71">
        <f t="shared" si="23"/>
        <v>106319.04000000001</v>
      </c>
      <c r="Z168" s="71">
        <f t="shared" si="23"/>
        <v>106156.56</v>
      </c>
      <c r="AA168" s="71">
        <f t="shared" si="23"/>
        <v>113166.6</v>
      </c>
      <c r="AB168" s="71">
        <f t="shared" si="23"/>
        <v>85986.12</v>
      </c>
      <c r="AC168" s="71">
        <f t="shared" si="23"/>
        <v>89936.76</v>
      </c>
      <c r="AD168" s="71">
        <f t="shared" si="23"/>
        <v>86166.720000000001</v>
      </c>
      <c r="AE168" s="71">
        <f t="shared" si="23"/>
        <v>98826.239999999991</v>
      </c>
      <c r="AF168" s="71">
        <f t="shared" si="23"/>
        <v>108004.92</v>
      </c>
    </row>
    <row r="169" spans="2:32">
      <c r="D169" s="66">
        <f>D$29</f>
        <v>5</v>
      </c>
      <c r="E169" s="66">
        <f>E$29</f>
        <v>2</v>
      </c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>
        <f t="shared" si="23"/>
        <v>0</v>
      </c>
      <c r="V169" s="71">
        <f t="shared" si="23"/>
        <v>0</v>
      </c>
      <c r="W169" s="71">
        <f t="shared" si="23"/>
        <v>0</v>
      </c>
      <c r="X169" s="71">
        <f t="shared" si="23"/>
        <v>0</v>
      </c>
      <c r="Y169" s="71">
        <f t="shared" si="23"/>
        <v>0</v>
      </c>
      <c r="Z169" s="71">
        <f t="shared" si="23"/>
        <v>0</v>
      </c>
      <c r="AA169" s="71">
        <f t="shared" si="23"/>
        <v>0</v>
      </c>
      <c r="AB169" s="71">
        <f t="shared" si="23"/>
        <v>0</v>
      </c>
      <c r="AC169" s="71">
        <f t="shared" si="23"/>
        <v>0</v>
      </c>
      <c r="AD169" s="71">
        <f t="shared" si="23"/>
        <v>0</v>
      </c>
      <c r="AE169" s="71">
        <f t="shared" si="23"/>
        <v>0</v>
      </c>
      <c r="AF169" s="71">
        <f t="shared" si="23"/>
        <v>0</v>
      </c>
    </row>
    <row r="170" spans="2:32">
      <c r="D170" s="66">
        <f>D$30</f>
        <v>5</v>
      </c>
      <c r="E170" s="66">
        <f>E$30</f>
        <v>3</v>
      </c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>
        <f t="shared" si="23"/>
        <v>0</v>
      </c>
      <c r="V170" s="71">
        <f t="shared" si="23"/>
        <v>0</v>
      </c>
      <c r="W170" s="71">
        <f t="shared" si="23"/>
        <v>0</v>
      </c>
      <c r="X170" s="71">
        <f t="shared" si="23"/>
        <v>0</v>
      </c>
      <c r="Y170" s="71">
        <f t="shared" si="23"/>
        <v>0</v>
      </c>
      <c r="Z170" s="71">
        <f t="shared" si="23"/>
        <v>0</v>
      </c>
      <c r="AA170" s="71">
        <f t="shared" si="23"/>
        <v>0</v>
      </c>
      <c r="AB170" s="71">
        <f t="shared" si="23"/>
        <v>0</v>
      </c>
      <c r="AC170" s="71">
        <f t="shared" si="23"/>
        <v>0</v>
      </c>
      <c r="AD170" s="71">
        <f t="shared" si="23"/>
        <v>0</v>
      </c>
      <c r="AE170" s="71">
        <f t="shared" si="23"/>
        <v>0</v>
      </c>
      <c r="AF170" s="71">
        <f t="shared" si="23"/>
        <v>0</v>
      </c>
    </row>
    <row r="171" spans="2:32">
      <c r="D171" s="66">
        <f>D$31</f>
        <v>5</v>
      </c>
      <c r="E171" s="66">
        <f>E$31</f>
        <v>4</v>
      </c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>
        <f t="shared" si="23"/>
        <v>0</v>
      </c>
      <c r="V171" s="71">
        <f t="shared" si="23"/>
        <v>0</v>
      </c>
      <c r="W171" s="71">
        <f t="shared" si="23"/>
        <v>0</v>
      </c>
      <c r="X171" s="71">
        <f t="shared" si="23"/>
        <v>0</v>
      </c>
      <c r="Y171" s="71">
        <f t="shared" si="23"/>
        <v>0</v>
      </c>
      <c r="Z171" s="71">
        <f t="shared" si="23"/>
        <v>0</v>
      </c>
      <c r="AA171" s="71">
        <f t="shared" si="23"/>
        <v>0</v>
      </c>
      <c r="AB171" s="71">
        <f t="shared" si="23"/>
        <v>0</v>
      </c>
      <c r="AC171" s="71">
        <f t="shared" si="23"/>
        <v>0</v>
      </c>
      <c r="AD171" s="71">
        <f t="shared" si="23"/>
        <v>0</v>
      </c>
      <c r="AE171" s="71">
        <f t="shared" si="23"/>
        <v>0</v>
      </c>
      <c r="AF171" s="71">
        <f t="shared" si="23"/>
        <v>0</v>
      </c>
    </row>
    <row r="172" spans="2:32">
      <c r="D172" s="66">
        <f>D$32</f>
        <v>5</v>
      </c>
      <c r="E172" s="66">
        <f>E$32</f>
        <v>5</v>
      </c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>
        <f t="shared" si="23"/>
        <v>0</v>
      </c>
      <c r="V172" s="71">
        <f t="shared" si="23"/>
        <v>0</v>
      </c>
      <c r="W172" s="71">
        <f t="shared" si="23"/>
        <v>0</v>
      </c>
      <c r="X172" s="71">
        <f t="shared" si="23"/>
        <v>0</v>
      </c>
      <c r="Y172" s="71">
        <f t="shared" si="23"/>
        <v>0</v>
      </c>
      <c r="Z172" s="71">
        <f t="shared" si="23"/>
        <v>0</v>
      </c>
      <c r="AA172" s="71">
        <f t="shared" si="23"/>
        <v>0</v>
      </c>
      <c r="AB172" s="71">
        <f t="shared" si="23"/>
        <v>0</v>
      </c>
      <c r="AC172" s="71">
        <f t="shared" si="23"/>
        <v>0</v>
      </c>
      <c r="AD172" s="71">
        <f t="shared" si="23"/>
        <v>0</v>
      </c>
      <c r="AE172" s="71">
        <f t="shared" si="23"/>
        <v>0</v>
      </c>
      <c r="AF172" s="71">
        <f t="shared" si="23"/>
        <v>0</v>
      </c>
    </row>
    <row r="174" spans="2:32" ht="14.4">
      <c r="B174" s="68" t="s">
        <v>36</v>
      </c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</row>
    <row r="175" spans="2:32">
      <c r="D175" s="66">
        <f>D$8</f>
        <v>1</v>
      </c>
      <c r="E175" s="66">
        <f>E$8</f>
        <v>1</v>
      </c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>
        <f t="shared" ref="U175:AF190" si="24">MIN(U118,U148)</f>
        <v>10646.76</v>
      </c>
      <c r="V175" s="71">
        <f t="shared" si="24"/>
        <v>5059.2</v>
      </c>
      <c r="W175" s="71">
        <f t="shared" si="24"/>
        <v>5059.2</v>
      </c>
      <c r="X175" s="71">
        <f t="shared" si="24"/>
        <v>6038.4000000000005</v>
      </c>
      <c r="Y175" s="71">
        <f t="shared" si="24"/>
        <v>4488</v>
      </c>
      <c r="Z175" s="71">
        <f t="shared" si="24"/>
        <v>5222.3999999999996</v>
      </c>
      <c r="AA175" s="71">
        <f t="shared" si="24"/>
        <v>5793.6</v>
      </c>
      <c r="AB175" s="71">
        <f t="shared" si="24"/>
        <v>12158.4</v>
      </c>
      <c r="AC175" s="71">
        <f t="shared" si="24"/>
        <v>11097.6</v>
      </c>
      <c r="AD175" s="71">
        <f t="shared" si="24"/>
        <v>4651.2</v>
      </c>
      <c r="AE175" s="71">
        <f t="shared" si="24"/>
        <v>10771.2</v>
      </c>
      <c r="AF175" s="71">
        <f t="shared" si="24"/>
        <v>12076.800000000001</v>
      </c>
    </row>
    <row r="176" spans="2:32">
      <c r="D176" s="66">
        <f>D$9</f>
        <v>1</v>
      </c>
      <c r="E176" s="66">
        <f>E$9</f>
        <v>2</v>
      </c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>
        <f t="shared" si="24"/>
        <v>526.32000000000005</v>
      </c>
      <c r="V176" s="71">
        <f t="shared" si="24"/>
        <v>1246.44</v>
      </c>
      <c r="W176" s="71">
        <f t="shared" si="24"/>
        <v>1132.2</v>
      </c>
      <c r="X176" s="71">
        <f t="shared" si="24"/>
        <v>1105.68</v>
      </c>
      <c r="Y176" s="71">
        <f t="shared" si="24"/>
        <v>1289.28</v>
      </c>
      <c r="Z176" s="71">
        <f t="shared" si="24"/>
        <v>618.12</v>
      </c>
      <c r="AA176" s="71">
        <f t="shared" si="24"/>
        <v>948.6</v>
      </c>
      <c r="AB176" s="71">
        <f t="shared" si="24"/>
        <v>775.2</v>
      </c>
      <c r="AC176" s="71">
        <f t="shared" si="24"/>
        <v>1185.24</v>
      </c>
      <c r="AD176" s="71">
        <f t="shared" si="24"/>
        <v>1236.24</v>
      </c>
      <c r="AE176" s="71">
        <f t="shared" si="24"/>
        <v>1097.52</v>
      </c>
      <c r="AF176" s="71">
        <f t="shared" si="24"/>
        <v>732.36</v>
      </c>
    </row>
    <row r="177" spans="4:32">
      <c r="D177" s="66">
        <f>D$10</f>
        <v>1</v>
      </c>
      <c r="E177" s="66">
        <f>E$10</f>
        <v>3</v>
      </c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>
        <f t="shared" si="24"/>
        <v>0</v>
      </c>
      <c r="V177" s="71">
        <f t="shared" si="24"/>
        <v>0</v>
      </c>
      <c r="W177" s="71">
        <f t="shared" si="24"/>
        <v>0</v>
      </c>
      <c r="X177" s="71">
        <f t="shared" si="24"/>
        <v>0</v>
      </c>
      <c r="Y177" s="71">
        <f t="shared" si="24"/>
        <v>0</v>
      </c>
      <c r="Z177" s="71">
        <f t="shared" si="24"/>
        <v>0</v>
      </c>
      <c r="AA177" s="71">
        <f t="shared" si="24"/>
        <v>0</v>
      </c>
      <c r="AB177" s="71">
        <f t="shared" si="24"/>
        <v>0</v>
      </c>
      <c r="AC177" s="71">
        <f t="shared" si="24"/>
        <v>0</v>
      </c>
      <c r="AD177" s="71">
        <f t="shared" si="24"/>
        <v>0</v>
      </c>
      <c r="AE177" s="71">
        <f t="shared" si="24"/>
        <v>0</v>
      </c>
      <c r="AF177" s="71">
        <f t="shared" si="24"/>
        <v>0</v>
      </c>
    </row>
    <row r="178" spans="4:32">
      <c r="D178" s="66">
        <f>D$11</f>
        <v>1</v>
      </c>
      <c r="E178" s="66">
        <f>E$11</f>
        <v>4</v>
      </c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>
        <f t="shared" si="24"/>
        <v>0</v>
      </c>
      <c r="V178" s="71">
        <f t="shared" si="24"/>
        <v>0</v>
      </c>
      <c r="W178" s="71">
        <f t="shared" si="24"/>
        <v>0</v>
      </c>
      <c r="X178" s="71">
        <f t="shared" si="24"/>
        <v>0</v>
      </c>
      <c r="Y178" s="71">
        <f t="shared" si="24"/>
        <v>0</v>
      </c>
      <c r="Z178" s="71">
        <f t="shared" si="24"/>
        <v>0</v>
      </c>
      <c r="AA178" s="71">
        <f t="shared" si="24"/>
        <v>0</v>
      </c>
      <c r="AB178" s="71">
        <f t="shared" si="24"/>
        <v>0</v>
      </c>
      <c r="AC178" s="71">
        <f t="shared" si="24"/>
        <v>0</v>
      </c>
      <c r="AD178" s="71">
        <f t="shared" si="24"/>
        <v>0</v>
      </c>
      <c r="AE178" s="71">
        <f t="shared" si="24"/>
        <v>0</v>
      </c>
      <c r="AF178" s="71">
        <f t="shared" si="24"/>
        <v>0</v>
      </c>
    </row>
    <row r="179" spans="4:32">
      <c r="D179" s="66">
        <f>D$12</f>
        <v>1</v>
      </c>
      <c r="E179" s="66">
        <f>E$12</f>
        <v>5</v>
      </c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>
        <f t="shared" si="24"/>
        <v>0</v>
      </c>
      <c r="V179" s="71">
        <f t="shared" si="24"/>
        <v>0</v>
      </c>
      <c r="W179" s="71">
        <f t="shared" si="24"/>
        <v>0</v>
      </c>
      <c r="X179" s="71">
        <f t="shared" si="24"/>
        <v>0</v>
      </c>
      <c r="Y179" s="71">
        <f t="shared" si="24"/>
        <v>8647.56</v>
      </c>
      <c r="Z179" s="71">
        <f t="shared" si="24"/>
        <v>13837.32</v>
      </c>
      <c r="AA179" s="71">
        <f t="shared" si="24"/>
        <v>11309.76</v>
      </c>
      <c r="AB179" s="71">
        <f t="shared" si="24"/>
        <v>0</v>
      </c>
      <c r="AC179" s="71">
        <f t="shared" si="24"/>
        <v>0</v>
      </c>
      <c r="AD179" s="71">
        <f t="shared" si="24"/>
        <v>0</v>
      </c>
      <c r="AE179" s="71">
        <f t="shared" si="24"/>
        <v>0</v>
      </c>
      <c r="AF179" s="71">
        <f t="shared" si="24"/>
        <v>0</v>
      </c>
    </row>
    <row r="180" spans="4:32">
      <c r="D180" s="66">
        <f>D$13</f>
        <v>2</v>
      </c>
      <c r="E180" s="66">
        <f>E$13</f>
        <v>1</v>
      </c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>
        <f t="shared" si="24"/>
        <v>0</v>
      </c>
      <c r="V180" s="71">
        <f t="shared" si="24"/>
        <v>0</v>
      </c>
      <c r="W180" s="71">
        <f t="shared" si="24"/>
        <v>0</v>
      </c>
      <c r="X180" s="71">
        <f t="shared" si="24"/>
        <v>0</v>
      </c>
      <c r="Y180" s="71">
        <f t="shared" si="24"/>
        <v>0</v>
      </c>
      <c r="Z180" s="71">
        <f t="shared" si="24"/>
        <v>0</v>
      </c>
      <c r="AA180" s="71">
        <f t="shared" si="24"/>
        <v>1707.68</v>
      </c>
      <c r="AB180" s="71">
        <f t="shared" si="24"/>
        <v>0</v>
      </c>
      <c r="AC180" s="71">
        <f t="shared" si="24"/>
        <v>0</v>
      </c>
      <c r="AD180" s="71">
        <f t="shared" si="24"/>
        <v>0</v>
      </c>
      <c r="AE180" s="71">
        <f t="shared" si="24"/>
        <v>0</v>
      </c>
      <c r="AF180" s="71">
        <f t="shared" si="24"/>
        <v>0</v>
      </c>
    </row>
    <row r="181" spans="4:32">
      <c r="D181" s="66">
        <f>D$14</f>
        <v>2</v>
      </c>
      <c r="E181" s="66">
        <f>E$14</f>
        <v>2</v>
      </c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>
        <f t="shared" si="24"/>
        <v>0</v>
      </c>
      <c r="V181" s="71">
        <f t="shared" si="24"/>
        <v>0</v>
      </c>
      <c r="W181" s="71">
        <f t="shared" si="24"/>
        <v>0</v>
      </c>
      <c r="X181" s="71">
        <f t="shared" si="24"/>
        <v>0</v>
      </c>
      <c r="Y181" s="71">
        <f t="shared" si="24"/>
        <v>588.98000000001048</v>
      </c>
      <c r="Z181" s="71">
        <f t="shared" si="24"/>
        <v>1690.3999999999942</v>
      </c>
      <c r="AA181" s="71">
        <f t="shared" si="24"/>
        <v>1612</v>
      </c>
      <c r="AB181" s="71">
        <f t="shared" si="24"/>
        <v>0</v>
      </c>
      <c r="AC181" s="71">
        <f t="shared" si="24"/>
        <v>0</v>
      </c>
      <c r="AD181" s="71">
        <f t="shared" si="24"/>
        <v>0</v>
      </c>
      <c r="AE181" s="71">
        <f t="shared" si="24"/>
        <v>0</v>
      </c>
      <c r="AF181" s="71">
        <f t="shared" si="24"/>
        <v>0</v>
      </c>
    </row>
    <row r="182" spans="4:32">
      <c r="D182" s="66">
        <f>D$15</f>
        <v>2</v>
      </c>
      <c r="E182" s="66">
        <f>E$15</f>
        <v>3</v>
      </c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>
        <f t="shared" si="24"/>
        <v>13025.979999999981</v>
      </c>
      <c r="V182" s="71">
        <f t="shared" si="24"/>
        <v>13640.799999999988</v>
      </c>
      <c r="W182" s="71">
        <f t="shared" si="24"/>
        <v>5874.0400000000081</v>
      </c>
      <c r="X182" s="71">
        <f t="shared" si="24"/>
        <v>0</v>
      </c>
      <c r="Y182" s="71">
        <f t="shared" si="24"/>
        <v>23021.440000000002</v>
      </c>
      <c r="Z182" s="71">
        <f t="shared" si="24"/>
        <v>25199.200000000001</v>
      </c>
      <c r="AA182" s="71">
        <f t="shared" si="24"/>
        <v>25821.120000000003</v>
      </c>
      <c r="AB182" s="71">
        <f t="shared" si="24"/>
        <v>25221.339999999997</v>
      </c>
      <c r="AC182" s="71">
        <f t="shared" si="24"/>
        <v>11054.320000000007</v>
      </c>
      <c r="AD182" s="71">
        <f t="shared" si="24"/>
        <v>1744.140000000014</v>
      </c>
      <c r="AE182" s="71">
        <f t="shared" si="24"/>
        <v>17354.200000000012</v>
      </c>
      <c r="AF182" s="71">
        <f t="shared" si="24"/>
        <v>32479.5</v>
      </c>
    </row>
    <row r="183" spans="4:32">
      <c r="D183" s="66">
        <f>D$16</f>
        <v>2</v>
      </c>
      <c r="E183" s="66">
        <f>E$16</f>
        <v>4</v>
      </c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>
        <f t="shared" si="24"/>
        <v>0</v>
      </c>
      <c r="V183" s="71">
        <f t="shared" si="24"/>
        <v>0</v>
      </c>
      <c r="W183" s="71">
        <f t="shared" si="24"/>
        <v>0</v>
      </c>
      <c r="X183" s="71">
        <f t="shared" si="24"/>
        <v>0</v>
      </c>
      <c r="Y183" s="71">
        <f t="shared" si="24"/>
        <v>0</v>
      </c>
      <c r="Z183" s="71">
        <f t="shared" si="24"/>
        <v>0</v>
      </c>
      <c r="AA183" s="71">
        <f t="shared" si="24"/>
        <v>0</v>
      </c>
      <c r="AB183" s="71">
        <f t="shared" si="24"/>
        <v>0</v>
      </c>
      <c r="AC183" s="71">
        <f t="shared" si="24"/>
        <v>0</v>
      </c>
      <c r="AD183" s="71">
        <f t="shared" si="24"/>
        <v>0</v>
      </c>
      <c r="AE183" s="71">
        <f t="shared" si="24"/>
        <v>0</v>
      </c>
      <c r="AF183" s="71">
        <f t="shared" si="24"/>
        <v>0</v>
      </c>
    </row>
    <row r="184" spans="4:32">
      <c r="D184" s="66">
        <f>D$17</f>
        <v>2</v>
      </c>
      <c r="E184" s="66">
        <f>E$17</f>
        <v>5</v>
      </c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>
        <f t="shared" si="24"/>
        <v>0</v>
      </c>
      <c r="V184" s="71">
        <f t="shared" si="24"/>
        <v>0</v>
      </c>
      <c r="W184" s="71">
        <f t="shared" si="24"/>
        <v>0</v>
      </c>
      <c r="X184" s="71">
        <f t="shared" si="24"/>
        <v>0</v>
      </c>
      <c r="Y184" s="71">
        <f t="shared" si="24"/>
        <v>0</v>
      </c>
      <c r="Z184" s="71">
        <f t="shared" si="24"/>
        <v>0</v>
      </c>
      <c r="AA184" s="71">
        <f t="shared" si="24"/>
        <v>0</v>
      </c>
      <c r="AB184" s="71">
        <f t="shared" si="24"/>
        <v>0</v>
      </c>
      <c r="AC184" s="71">
        <f t="shared" si="24"/>
        <v>0</v>
      </c>
      <c r="AD184" s="71">
        <f t="shared" si="24"/>
        <v>0</v>
      </c>
      <c r="AE184" s="71">
        <f t="shared" si="24"/>
        <v>0</v>
      </c>
      <c r="AF184" s="71">
        <f t="shared" si="24"/>
        <v>0</v>
      </c>
    </row>
    <row r="185" spans="4:32">
      <c r="D185" s="66">
        <f>D$18</f>
        <v>3</v>
      </c>
      <c r="E185" s="66">
        <f>E$18</f>
        <v>1</v>
      </c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>
        <f t="shared" si="24"/>
        <v>3429.2400000000002</v>
      </c>
      <c r="V185" s="71">
        <f t="shared" si="24"/>
        <v>3206.88</v>
      </c>
      <c r="W185" s="71">
        <f t="shared" si="24"/>
        <v>3100.8</v>
      </c>
      <c r="X185" s="71">
        <f t="shared" si="24"/>
        <v>5214.24</v>
      </c>
      <c r="Y185" s="71">
        <f t="shared" si="24"/>
        <v>4332.96</v>
      </c>
      <c r="Z185" s="71">
        <f t="shared" si="24"/>
        <v>2501.04</v>
      </c>
      <c r="AA185" s="71">
        <f t="shared" si="24"/>
        <v>4579.8</v>
      </c>
      <c r="AB185" s="71">
        <f t="shared" si="24"/>
        <v>3135.48</v>
      </c>
      <c r="AC185" s="71">
        <f t="shared" si="24"/>
        <v>5285.64</v>
      </c>
      <c r="AD185" s="71">
        <f t="shared" si="24"/>
        <v>5002.08</v>
      </c>
      <c r="AE185" s="71">
        <f t="shared" si="24"/>
        <v>1762.56</v>
      </c>
      <c r="AF185" s="71">
        <f t="shared" si="24"/>
        <v>4298.28</v>
      </c>
    </row>
    <row r="186" spans="4:32">
      <c r="D186" s="66">
        <f>D$19</f>
        <v>3</v>
      </c>
      <c r="E186" s="66">
        <f>E$19</f>
        <v>2</v>
      </c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>
        <f t="shared" si="24"/>
        <v>26016.12</v>
      </c>
      <c r="V186" s="71">
        <f t="shared" si="24"/>
        <v>19463.64</v>
      </c>
      <c r="W186" s="71">
        <f t="shared" si="24"/>
        <v>25438.799999999999</v>
      </c>
      <c r="X186" s="71">
        <f t="shared" si="24"/>
        <v>18886.32</v>
      </c>
      <c r="Y186" s="71">
        <f t="shared" si="24"/>
        <v>28715.040000000001</v>
      </c>
      <c r="Z186" s="71">
        <f t="shared" si="24"/>
        <v>17537.88</v>
      </c>
      <c r="AA186" s="71">
        <f t="shared" si="24"/>
        <v>10406.040000000001</v>
      </c>
      <c r="AB186" s="71">
        <f t="shared" si="24"/>
        <v>10406.040000000001</v>
      </c>
      <c r="AC186" s="71">
        <f t="shared" si="24"/>
        <v>16572.96</v>
      </c>
      <c r="AD186" s="71">
        <f t="shared" si="24"/>
        <v>20043</v>
      </c>
      <c r="AE186" s="71">
        <f t="shared" si="24"/>
        <v>13296.72</v>
      </c>
      <c r="AF186" s="71">
        <f t="shared" si="24"/>
        <v>11177.16</v>
      </c>
    </row>
    <row r="187" spans="4:32">
      <c r="D187" s="66">
        <f>D$20</f>
        <v>3</v>
      </c>
      <c r="E187" s="66">
        <f>E$20</f>
        <v>3</v>
      </c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>
        <f t="shared" si="24"/>
        <v>2947.8</v>
      </c>
      <c r="V187" s="71">
        <f t="shared" si="24"/>
        <v>4269.72</v>
      </c>
      <c r="W187" s="71">
        <f t="shared" si="24"/>
        <v>3157.92</v>
      </c>
      <c r="X187" s="71">
        <f t="shared" si="24"/>
        <v>2615.2800000000002</v>
      </c>
      <c r="Y187" s="71">
        <f t="shared" si="24"/>
        <v>3608.76</v>
      </c>
      <c r="Z187" s="71">
        <f t="shared" si="24"/>
        <v>3127.32</v>
      </c>
      <c r="AA187" s="71">
        <f t="shared" si="24"/>
        <v>4359.4800000000005</v>
      </c>
      <c r="AB187" s="71">
        <f t="shared" si="24"/>
        <v>2074.6799999999998</v>
      </c>
      <c r="AC187" s="71">
        <f t="shared" si="24"/>
        <v>3306.84</v>
      </c>
      <c r="AD187" s="71">
        <f t="shared" si="24"/>
        <v>1984.92</v>
      </c>
      <c r="AE187" s="71">
        <f t="shared" si="24"/>
        <v>2586.7200000000003</v>
      </c>
      <c r="AF187" s="71">
        <f t="shared" si="24"/>
        <v>2707.08</v>
      </c>
    </row>
    <row r="188" spans="4:32">
      <c r="D188" s="66">
        <f>D$21</f>
        <v>3</v>
      </c>
      <c r="E188" s="66">
        <f>E$21</f>
        <v>4</v>
      </c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>
        <f t="shared" si="24"/>
        <v>0</v>
      </c>
      <c r="V188" s="71">
        <f t="shared" si="24"/>
        <v>0</v>
      </c>
      <c r="W188" s="71">
        <f t="shared" si="24"/>
        <v>0</v>
      </c>
      <c r="X188" s="71">
        <f t="shared" si="24"/>
        <v>0</v>
      </c>
      <c r="Y188" s="71">
        <f t="shared" si="24"/>
        <v>0</v>
      </c>
      <c r="Z188" s="71">
        <f t="shared" si="24"/>
        <v>0</v>
      </c>
      <c r="AA188" s="71">
        <f t="shared" si="24"/>
        <v>0</v>
      </c>
      <c r="AB188" s="71">
        <f t="shared" si="24"/>
        <v>0</v>
      </c>
      <c r="AC188" s="71">
        <f t="shared" si="24"/>
        <v>0</v>
      </c>
      <c r="AD188" s="71">
        <f t="shared" si="24"/>
        <v>0</v>
      </c>
      <c r="AE188" s="71">
        <f t="shared" si="24"/>
        <v>0</v>
      </c>
      <c r="AF188" s="71">
        <f t="shared" si="24"/>
        <v>0</v>
      </c>
    </row>
    <row r="189" spans="4:32">
      <c r="D189" s="66">
        <f>D$22</f>
        <v>3</v>
      </c>
      <c r="E189" s="66">
        <f>E$22</f>
        <v>5</v>
      </c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>
        <f t="shared" si="24"/>
        <v>19647.240000000002</v>
      </c>
      <c r="V189" s="71">
        <f t="shared" si="24"/>
        <v>35977.440000000002</v>
      </c>
      <c r="W189" s="71">
        <f t="shared" si="24"/>
        <v>27303.360000000001</v>
      </c>
      <c r="X189" s="71">
        <f t="shared" si="24"/>
        <v>21396.479999999996</v>
      </c>
      <c r="Y189" s="71">
        <f t="shared" si="24"/>
        <v>18882.240000000002</v>
      </c>
      <c r="Z189" s="71">
        <f t="shared" si="24"/>
        <v>27813.360000000001</v>
      </c>
      <c r="AA189" s="71">
        <f t="shared" si="24"/>
        <v>25771.32</v>
      </c>
      <c r="AB189" s="71">
        <f t="shared" si="24"/>
        <v>21434.28</v>
      </c>
      <c r="AC189" s="71">
        <f t="shared" si="24"/>
        <v>33170.400000000001</v>
      </c>
      <c r="AD189" s="71">
        <f t="shared" si="24"/>
        <v>33425.4</v>
      </c>
      <c r="AE189" s="71">
        <f t="shared" si="24"/>
        <v>32660.400000000001</v>
      </c>
      <c r="AF189" s="71">
        <f t="shared" si="24"/>
        <v>27303.360000000001</v>
      </c>
    </row>
    <row r="190" spans="4:32">
      <c r="D190" s="66">
        <f>D$23</f>
        <v>4</v>
      </c>
      <c r="E190" s="66">
        <f>E$23</f>
        <v>1</v>
      </c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>
        <f t="shared" si="24"/>
        <v>45360</v>
      </c>
      <c r="V190" s="71">
        <f t="shared" si="24"/>
        <v>31500</v>
      </c>
      <c r="W190" s="71">
        <f t="shared" si="24"/>
        <v>44520</v>
      </c>
      <c r="X190" s="71">
        <f t="shared" si="24"/>
        <v>58380</v>
      </c>
      <c r="Y190" s="71">
        <f t="shared" si="24"/>
        <v>34860</v>
      </c>
      <c r="Z190" s="71">
        <f t="shared" si="24"/>
        <v>36120</v>
      </c>
      <c r="AA190" s="71">
        <f t="shared" si="24"/>
        <v>26460</v>
      </c>
      <c r="AB190" s="71">
        <f t="shared" si="24"/>
        <v>48720</v>
      </c>
      <c r="AC190" s="71">
        <f t="shared" si="24"/>
        <v>43680</v>
      </c>
      <c r="AD190" s="71">
        <f t="shared" si="24"/>
        <v>54180</v>
      </c>
      <c r="AE190" s="71">
        <f t="shared" si="24"/>
        <v>38640</v>
      </c>
      <c r="AF190" s="71">
        <f t="shared" si="24"/>
        <v>25620</v>
      </c>
    </row>
    <row r="191" spans="4:32">
      <c r="D191" s="66">
        <f>D$24</f>
        <v>4</v>
      </c>
      <c r="E191" s="66">
        <f>E$24</f>
        <v>2</v>
      </c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>
        <f t="shared" ref="U191:AF199" si="25">MIN(U134,U164)</f>
        <v>23404.5</v>
      </c>
      <c r="V191" s="71">
        <f t="shared" si="25"/>
        <v>27270.600000000002</v>
      </c>
      <c r="W191" s="71">
        <f t="shared" si="25"/>
        <v>26048.400000000001</v>
      </c>
      <c r="X191" s="71">
        <f t="shared" si="25"/>
        <v>29101.800000000003</v>
      </c>
      <c r="Y191" s="71">
        <f t="shared" si="25"/>
        <v>15873.900000000001</v>
      </c>
      <c r="Z191" s="71">
        <f t="shared" si="25"/>
        <v>10176.6</v>
      </c>
      <c r="AA191" s="71">
        <f t="shared" si="25"/>
        <v>19536.3</v>
      </c>
      <c r="AB191" s="71">
        <f t="shared" si="25"/>
        <v>22589.7</v>
      </c>
      <c r="AC191" s="71">
        <f t="shared" si="25"/>
        <v>18316.2</v>
      </c>
      <c r="AD191" s="71">
        <f t="shared" si="25"/>
        <v>24828.3</v>
      </c>
      <c r="AE191" s="71">
        <f t="shared" si="25"/>
        <v>28287</v>
      </c>
      <c r="AF191" s="71">
        <f t="shared" si="25"/>
        <v>29712.9</v>
      </c>
    </row>
    <row r="192" spans="4:32">
      <c r="D192" s="66">
        <f>D$25</f>
        <v>4</v>
      </c>
      <c r="E192" s="66">
        <f>E$25</f>
        <v>3</v>
      </c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>
        <f t="shared" si="25"/>
        <v>0</v>
      </c>
      <c r="V192" s="71">
        <f t="shared" si="25"/>
        <v>0</v>
      </c>
      <c r="W192" s="71">
        <f t="shared" si="25"/>
        <v>0</v>
      </c>
      <c r="X192" s="71">
        <f t="shared" si="25"/>
        <v>0</v>
      </c>
      <c r="Y192" s="71">
        <f t="shared" si="25"/>
        <v>0</v>
      </c>
      <c r="Z192" s="71">
        <f t="shared" si="25"/>
        <v>0</v>
      </c>
      <c r="AA192" s="71">
        <f t="shared" si="25"/>
        <v>5769.2200000000303</v>
      </c>
      <c r="AB192" s="71">
        <f t="shared" si="25"/>
        <v>0</v>
      </c>
      <c r="AC192" s="71">
        <f t="shared" si="25"/>
        <v>0</v>
      </c>
      <c r="AD192" s="71">
        <f t="shared" si="25"/>
        <v>0</v>
      </c>
      <c r="AE192" s="71">
        <f t="shared" si="25"/>
        <v>0</v>
      </c>
      <c r="AF192" s="71">
        <f t="shared" si="25"/>
        <v>0</v>
      </c>
    </row>
    <row r="193" spans="2:32">
      <c r="D193" s="66">
        <f>D$26</f>
        <v>4</v>
      </c>
      <c r="E193" s="66">
        <f>E$26</f>
        <v>4</v>
      </c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>
        <f t="shared" si="25"/>
        <v>0</v>
      </c>
      <c r="V193" s="71">
        <f t="shared" si="25"/>
        <v>0</v>
      </c>
      <c r="W193" s="71">
        <f t="shared" si="25"/>
        <v>0</v>
      </c>
      <c r="X193" s="71">
        <f t="shared" si="25"/>
        <v>0</v>
      </c>
      <c r="Y193" s="71">
        <f t="shared" si="25"/>
        <v>0</v>
      </c>
      <c r="Z193" s="71">
        <f t="shared" si="25"/>
        <v>0</v>
      </c>
      <c r="AA193" s="71">
        <f t="shared" si="25"/>
        <v>0</v>
      </c>
      <c r="AB193" s="71">
        <f t="shared" si="25"/>
        <v>0</v>
      </c>
      <c r="AC193" s="71">
        <f t="shared" si="25"/>
        <v>0</v>
      </c>
      <c r="AD193" s="71">
        <f t="shared" si="25"/>
        <v>0</v>
      </c>
      <c r="AE193" s="71">
        <f t="shared" si="25"/>
        <v>0</v>
      </c>
      <c r="AF193" s="71">
        <f t="shared" si="25"/>
        <v>0</v>
      </c>
    </row>
    <row r="194" spans="2:32">
      <c r="D194" s="66">
        <f>D$27</f>
        <v>4</v>
      </c>
      <c r="E194" s="66">
        <f>E$27</f>
        <v>5</v>
      </c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>
        <f t="shared" si="25"/>
        <v>0</v>
      </c>
      <c r="V194" s="71">
        <f t="shared" si="25"/>
        <v>0</v>
      </c>
      <c r="W194" s="71">
        <f t="shared" si="25"/>
        <v>0</v>
      </c>
      <c r="X194" s="71">
        <f t="shared" si="25"/>
        <v>0</v>
      </c>
      <c r="Y194" s="71">
        <f t="shared" si="25"/>
        <v>0</v>
      </c>
      <c r="Z194" s="71">
        <f t="shared" si="25"/>
        <v>0</v>
      </c>
      <c r="AA194" s="71">
        <f t="shared" si="25"/>
        <v>0</v>
      </c>
      <c r="AB194" s="71">
        <f t="shared" si="25"/>
        <v>0</v>
      </c>
      <c r="AC194" s="71">
        <f t="shared" si="25"/>
        <v>0</v>
      </c>
      <c r="AD194" s="71">
        <f t="shared" si="25"/>
        <v>0</v>
      </c>
      <c r="AE194" s="71">
        <f t="shared" si="25"/>
        <v>0</v>
      </c>
      <c r="AF194" s="71">
        <f t="shared" si="25"/>
        <v>0</v>
      </c>
    </row>
    <row r="195" spans="2:32">
      <c r="D195" s="66">
        <f>D$28</f>
        <v>5</v>
      </c>
      <c r="E195" s="66">
        <f>E$28</f>
        <v>1</v>
      </c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>
        <f t="shared" si="25"/>
        <v>4996.04</v>
      </c>
      <c r="V195" s="71">
        <f t="shared" si="25"/>
        <v>8365.2800000000007</v>
      </c>
      <c r="W195" s="71">
        <f t="shared" si="25"/>
        <v>8365.2800000000007</v>
      </c>
      <c r="X195" s="71">
        <f t="shared" si="25"/>
        <v>7261.8</v>
      </c>
      <c r="Y195" s="71">
        <f t="shared" si="25"/>
        <v>5691.84</v>
      </c>
      <c r="Z195" s="71">
        <f t="shared" si="25"/>
        <v>6156.36</v>
      </c>
      <c r="AA195" s="71">
        <f t="shared" si="25"/>
        <v>5925.08</v>
      </c>
      <c r="AB195" s="71">
        <f t="shared" si="25"/>
        <v>3484.88</v>
      </c>
      <c r="AC195" s="71">
        <f t="shared" si="25"/>
        <v>6330.8</v>
      </c>
      <c r="AD195" s="71">
        <f t="shared" si="25"/>
        <v>2904.72</v>
      </c>
      <c r="AE195" s="71">
        <f t="shared" si="25"/>
        <v>3543.68</v>
      </c>
      <c r="AF195" s="71">
        <f t="shared" si="25"/>
        <v>3892.56</v>
      </c>
    </row>
    <row r="196" spans="2:32">
      <c r="D196" s="66">
        <f>D$29</f>
        <v>5</v>
      </c>
      <c r="E196" s="66">
        <f>E$29</f>
        <v>2</v>
      </c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>
        <f t="shared" si="25"/>
        <v>0</v>
      </c>
      <c r="V196" s="71">
        <f t="shared" si="25"/>
        <v>0</v>
      </c>
      <c r="W196" s="71">
        <f t="shared" si="25"/>
        <v>0</v>
      </c>
      <c r="X196" s="71">
        <f t="shared" si="25"/>
        <v>0</v>
      </c>
      <c r="Y196" s="71">
        <f t="shared" si="25"/>
        <v>0</v>
      </c>
      <c r="Z196" s="71">
        <f t="shared" si="25"/>
        <v>0</v>
      </c>
      <c r="AA196" s="71">
        <f t="shared" si="25"/>
        <v>0</v>
      </c>
      <c r="AB196" s="71">
        <f t="shared" si="25"/>
        <v>0</v>
      </c>
      <c r="AC196" s="71">
        <f t="shared" si="25"/>
        <v>0</v>
      </c>
      <c r="AD196" s="71">
        <f t="shared" si="25"/>
        <v>0</v>
      </c>
      <c r="AE196" s="71">
        <f t="shared" si="25"/>
        <v>0</v>
      </c>
      <c r="AF196" s="71">
        <f t="shared" si="25"/>
        <v>0</v>
      </c>
    </row>
    <row r="197" spans="2:32">
      <c r="D197" s="66">
        <f>D$30</f>
        <v>5</v>
      </c>
      <c r="E197" s="66">
        <f>E$30</f>
        <v>3</v>
      </c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>
        <f t="shared" si="25"/>
        <v>0</v>
      </c>
      <c r="V197" s="71">
        <f t="shared" si="25"/>
        <v>0</v>
      </c>
      <c r="W197" s="71">
        <f t="shared" si="25"/>
        <v>0</v>
      </c>
      <c r="X197" s="71">
        <f t="shared" si="25"/>
        <v>0</v>
      </c>
      <c r="Y197" s="71">
        <f t="shared" si="25"/>
        <v>0</v>
      </c>
      <c r="Z197" s="71">
        <f t="shared" si="25"/>
        <v>0</v>
      </c>
      <c r="AA197" s="71">
        <f t="shared" si="25"/>
        <v>0</v>
      </c>
      <c r="AB197" s="71">
        <f t="shared" si="25"/>
        <v>0</v>
      </c>
      <c r="AC197" s="71">
        <f t="shared" si="25"/>
        <v>0</v>
      </c>
      <c r="AD197" s="71">
        <f t="shared" si="25"/>
        <v>0</v>
      </c>
      <c r="AE197" s="71">
        <f t="shared" si="25"/>
        <v>0</v>
      </c>
      <c r="AF197" s="71">
        <f t="shared" si="25"/>
        <v>0</v>
      </c>
    </row>
    <row r="198" spans="2:32">
      <c r="D198" s="66">
        <f>D$31</f>
        <v>5</v>
      </c>
      <c r="E198" s="66">
        <f>E$31</f>
        <v>4</v>
      </c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>
        <f t="shared" si="25"/>
        <v>0</v>
      </c>
      <c r="V198" s="71">
        <f t="shared" si="25"/>
        <v>0</v>
      </c>
      <c r="W198" s="71">
        <f t="shared" si="25"/>
        <v>0</v>
      </c>
      <c r="X198" s="71">
        <f t="shared" si="25"/>
        <v>0</v>
      </c>
      <c r="Y198" s="71">
        <f t="shared" si="25"/>
        <v>0</v>
      </c>
      <c r="Z198" s="71">
        <f t="shared" si="25"/>
        <v>0</v>
      </c>
      <c r="AA198" s="71">
        <f t="shared" si="25"/>
        <v>0</v>
      </c>
      <c r="AB198" s="71">
        <f t="shared" si="25"/>
        <v>0</v>
      </c>
      <c r="AC198" s="71">
        <f t="shared" si="25"/>
        <v>0</v>
      </c>
      <c r="AD198" s="71">
        <f t="shared" si="25"/>
        <v>0</v>
      </c>
      <c r="AE198" s="71">
        <f t="shared" si="25"/>
        <v>0</v>
      </c>
      <c r="AF198" s="71">
        <f t="shared" si="25"/>
        <v>0</v>
      </c>
    </row>
    <row r="199" spans="2:32">
      <c r="D199" s="66">
        <f>D$32</f>
        <v>5</v>
      </c>
      <c r="E199" s="66">
        <f>E$32</f>
        <v>5</v>
      </c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>
        <f t="shared" si="25"/>
        <v>0</v>
      </c>
      <c r="V199" s="71">
        <f t="shared" si="25"/>
        <v>0</v>
      </c>
      <c r="W199" s="71">
        <f t="shared" si="25"/>
        <v>0</v>
      </c>
      <c r="X199" s="71">
        <f t="shared" si="25"/>
        <v>0</v>
      </c>
      <c r="Y199" s="71">
        <f t="shared" si="25"/>
        <v>0</v>
      </c>
      <c r="Z199" s="71">
        <f t="shared" si="25"/>
        <v>0</v>
      </c>
      <c r="AA199" s="71">
        <f t="shared" si="25"/>
        <v>0</v>
      </c>
      <c r="AB199" s="71">
        <f t="shared" si="25"/>
        <v>0</v>
      </c>
      <c r="AC199" s="71">
        <f t="shared" si="25"/>
        <v>0</v>
      </c>
      <c r="AD199" s="71">
        <f t="shared" si="25"/>
        <v>0</v>
      </c>
      <c r="AE199" s="71">
        <f t="shared" si="25"/>
        <v>0</v>
      </c>
      <c r="AF199" s="71">
        <f t="shared" si="25"/>
        <v>0</v>
      </c>
    </row>
    <row r="200" spans="2:32"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>
        <f>SUM(U175:U199)</f>
        <v>150000</v>
      </c>
      <c r="V200" s="73">
        <f t="shared" ref="V200:AF200" si="26">SUM(V175:V199)</f>
        <v>150000</v>
      </c>
      <c r="W200" s="73">
        <f t="shared" si="26"/>
        <v>150000</v>
      </c>
      <c r="X200" s="73">
        <f t="shared" si="26"/>
        <v>150000</v>
      </c>
      <c r="Y200" s="73">
        <f t="shared" si="26"/>
        <v>150000</v>
      </c>
      <c r="Z200" s="73">
        <f t="shared" si="26"/>
        <v>150000</v>
      </c>
      <c r="AA200" s="73">
        <f t="shared" si="26"/>
        <v>150000</v>
      </c>
      <c r="AB200" s="73">
        <f t="shared" si="26"/>
        <v>150000</v>
      </c>
      <c r="AC200" s="73">
        <f t="shared" si="26"/>
        <v>150000</v>
      </c>
      <c r="AD200" s="73">
        <f t="shared" si="26"/>
        <v>150000</v>
      </c>
      <c r="AE200" s="73">
        <f t="shared" si="26"/>
        <v>150000</v>
      </c>
      <c r="AF200" s="73">
        <f t="shared" si="26"/>
        <v>150000</v>
      </c>
    </row>
    <row r="201" spans="2:32" ht="14.4">
      <c r="C201" t="s">
        <v>3</v>
      </c>
      <c r="E201" s="74">
        <f>MAX(U201:AF201,ABS(MIN(U201:AF201)))</f>
        <v>0</v>
      </c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4">
        <f>U200-U$146</f>
        <v>0</v>
      </c>
      <c r="V201" s="74">
        <f t="shared" ref="V201:AF201" si="27">V200-V$146</f>
        <v>0</v>
      </c>
      <c r="W201" s="74">
        <f t="shared" si="27"/>
        <v>0</v>
      </c>
      <c r="X201" s="74">
        <f t="shared" si="27"/>
        <v>0</v>
      </c>
      <c r="Y201" s="74">
        <f t="shared" si="27"/>
        <v>0</v>
      </c>
      <c r="Z201" s="74">
        <f t="shared" si="27"/>
        <v>0</v>
      </c>
      <c r="AA201" s="74">
        <f t="shared" si="27"/>
        <v>0</v>
      </c>
      <c r="AB201" s="74">
        <f t="shared" si="27"/>
        <v>0</v>
      </c>
      <c r="AC201" s="74">
        <f t="shared" si="27"/>
        <v>0</v>
      </c>
      <c r="AD201" s="74">
        <f t="shared" si="27"/>
        <v>0</v>
      </c>
      <c r="AE201" s="74">
        <f t="shared" si="27"/>
        <v>0</v>
      </c>
      <c r="AF201" s="74">
        <f t="shared" si="27"/>
        <v>0</v>
      </c>
    </row>
    <row r="202" spans="2:32" ht="14.4">
      <c r="B202" s="3" t="s">
        <v>37</v>
      </c>
    </row>
    <row r="203" spans="2:32" ht="14.4">
      <c r="B203" s="68" t="s">
        <v>38</v>
      </c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</row>
    <row r="204" spans="2:32">
      <c r="D204" s="66">
        <f>D$8</f>
        <v>1</v>
      </c>
      <c r="E204" s="66">
        <f>E$8</f>
        <v>1</v>
      </c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>
        <f t="shared" ref="U204:AF219" si="28">U118-U175</f>
        <v>0</v>
      </c>
      <c r="V204" s="71">
        <f t="shared" si="28"/>
        <v>0</v>
      </c>
      <c r="W204" s="71">
        <f t="shared" si="28"/>
        <v>0</v>
      </c>
      <c r="X204" s="71">
        <f t="shared" si="28"/>
        <v>0</v>
      </c>
      <c r="Y204" s="71">
        <f t="shared" si="28"/>
        <v>0</v>
      </c>
      <c r="Z204" s="71">
        <f t="shared" si="28"/>
        <v>0</v>
      </c>
      <c r="AA204" s="71">
        <f t="shared" si="28"/>
        <v>0</v>
      </c>
      <c r="AB204" s="71">
        <f t="shared" si="28"/>
        <v>0</v>
      </c>
      <c r="AC204" s="71">
        <f t="shared" si="28"/>
        <v>0</v>
      </c>
      <c r="AD204" s="71">
        <f t="shared" si="28"/>
        <v>0</v>
      </c>
      <c r="AE204" s="71">
        <f t="shared" si="28"/>
        <v>0</v>
      </c>
      <c r="AF204" s="71">
        <f t="shared" si="28"/>
        <v>0</v>
      </c>
    </row>
    <row r="205" spans="2:32">
      <c r="D205" s="66">
        <f>D$9</f>
        <v>1</v>
      </c>
      <c r="E205" s="66">
        <f>E$9</f>
        <v>2</v>
      </c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>
        <f t="shared" si="28"/>
        <v>0</v>
      </c>
      <c r="V205" s="71">
        <f t="shared" si="28"/>
        <v>0</v>
      </c>
      <c r="W205" s="71">
        <f t="shared" si="28"/>
        <v>0</v>
      </c>
      <c r="X205" s="71">
        <f t="shared" si="28"/>
        <v>0</v>
      </c>
      <c r="Y205" s="71">
        <f t="shared" si="28"/>
        <v>0</v>
      </c>
      <c r="Z205" s="71">
        <f t="shared" si="28"/>
        <v>0</v>
      </c>
      <c r="AA205" s="71">
        <f t="shared" si="28"/>
        <v>0</v>
      </c>
      <c r="AB205" s="71">
        <f t="shared" si="28"/>
        <v>0</v>
      </c>
      <c r="AC205" s="71">
        <f t="shared" si="28"/>
        <v>0</v>
      </c>
      <c r="AD205" s="71">
        <f t="shared" si="28"/>
        <v>0</v>
      </c>
      <c r="AE205" s="71">
        <f t="shared" si="28"/>
        <v>0</v>
      </c>
      <c r="AF205" s="71">
        <f t="shared" si="28"/>
        <v>0</v>
      </c>
    </row>
    <row r="206" spans="2:32">
      <c r="D206" s="66">
        <f>D$10</f>
        <v>1</v>
      </c>
      <c r="E206" s="66">
        <f>E$10</f>
        <v>3</v>
      </c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>
        <f t="shared" si="28"/>
        <v>25357.200000000001</v>
      </c>
      <c r="V206" s="71">
        <f t="shared" si="28"/>
        <v>29271.96</v>
      </c>
      <c r="W206" s="71">
        <f t="shared" si="28"/>
        <v>18139.68</v>
      </c>
      <c r="X206" s="71">
        <f t="shared" si="28"/>
        <v>11956.44</v>
      </c>
      <c r="Y206" s="71">
        <f t="shared" si="28"/>
        <v>30714.240000000002</v>
      </c>
      <c r="Z206" s="71">
        <f t="shared" si="28"/>
        <v>23912.880000000001</v>
      </c>
      <c r="AA206" s="71">
        <f t="shared" si="28"/>
        <v>10926.24</v>
      </c>
      <c r="AB206" s="71">
        <f t="shared" si="28"/>
        <v>19584</v>
      </c>
      <c r="AC206" s="71">
        <f t="shared" si="28"/>
        <v>25355.16</v>
      </c>
      <c r="AD206" s="71">
        <f t="shared" si="28"/>
        <v>26799.48</v>
      </c>
      <c r="AE206" s="71">
        <f t="shared" si="28"/>
        <v>28241.760000000002</v>
      </c>
      <c r="AF206" s="71">
        <f t="shared" si="28"/>
        <v>16285.32</v>
      </c>
    </row>
    <row r="207" spans="2:32">
      <c r="D207" s="66">
        <f>D$11</f>
        <v>1</v>
      </c>
      <c r="E207" s="66">
        <f>E$11</f>
        <v>4</v>
      </c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>
        <f t="shared" si="28"/>
        <v>18168.240000000002</v>
      </c>
      <c r="V207" s="71">
        <f t="shared" si="28"/>
        <v>28708.920000000002</v>
      </c>
      <c r="W207" s="71">
        <f t="shared" si="28"/>
        <v>38560.080000000002</v>
      </c>
      <c r="X207" s="71">
        <f t="shared" si="28"/>
        <v>16042.56</v>
      </c>
      <c r="Y207" s="71">
        <f t="shared" si="28"/>
        <v>25893.72</v>
      </c>
      <c r="Z207" s="71">
        <f t="shared" si="28"/>
        <v>21672.959999999999</v>
      </c>
      <c r="AA207" s="71">
        <f t="shared" si="28"/>
        <v>33211.199999999997</v>
      </c>
      <c r="AB207" s="71">
        <f t="shared" si="28"/>
        <v>26175.24</v>
      </c>
      <c r="AC207" s="71">
        <f t="shared" si="28"/>
        <v>23641.56</v>
      </c>
      <c r="AD207" s="71">
        <f t="shared" si="28"/>
        <v>32368.68</v>
      </c>
      <c r="AE207" s="71">
        <f t="shared" si="28"/>
        <v>15198</v>
      </c>
      <c r="AF207" s="71">
        <f t="shared" si="28"/>
        <v>35463.360000000001</v>
      </c>
    </row>
    <row r="208" spans="2:32">
      <c r="D208" s="66">
        <f>D$12</f>
        <v>1</v>
      </c>
      <c r="E208" s="66">
        <f>E$12</f>
        <v>5</v>
      </c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>
        <f t="shared" si="28"/>
        <v>8178.3600000000006</v>
      </c>
      <c r="V208" s="71">
        <f t="shared" si="28"/>
        <v>19692.12</v>
      </c>
      <c r="W208" s="71">
        <f t="shared" si="28"/>
        <v>14369.76</v>
      </c>
      <c r="X208" s="71">
        <f t="shared" si="28"/>
        <v>19824.72</v>
      </c>
      <c r="Y208" s="71">
        <f t="shared" si="28"/>
        <v>0</v>
      </c>
      <c r="Z208" s="71">
        <f t="shared" si="28"/>
        <v>0</v>
      </c>
      <c r="AA208" s="71">
        <f t="shared" si="28"/>
        <v>0</v>
      </c>
      <c r="AB208" s="71">
        <f t="shared" si="28"/>
        <v>9180</v>
      </c>
      <c r="AC208" s="71">
        <f t="shared" si="28"/>
        <v>11042.52</v>
      </c>
      <c r="AD208" s="71">
        <f t="shared" si="28"/>
        <v>7052.28</v>
      </c>
      <c r="AE208" s="71">
        <f t="shared" si="28"/>
        <v>13172.28</v>
      </c>
      <c r="AF208" s="71">
        <f t="shared" si="28"/>
        <v>14369.76</v>
      </c>
    </row>
    <row r="209" spans="4:32">
      <c r="D209" s="66">
        <f>D$13</f>
        <v>2</v>
      </c>
      <c r="E209" s="66">
        <f>E$13</f>
        <v>1</v>
      </c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>
        <f t="shared" si="28"/>
        <v>1886.5600000000002</v>
      </c>
      <c r="V209" s="71">
        <f t="shared" si="28"/>
        <v>2672.8</v>
      </c>
      <c r="W209" s="71">
        <f t="shared" si="28"/>
        <v>3608.8</v>
      </c>
      <c r="X209" s="71">
        <f t="shared" si="28"/>
        <v>3221.92</v>
      </c>
      <c r="Y209" s="71">
        <f t="shared" si="28"/>
        <v>4509.4400000000005</v>
      </c>
      <c r="Z209" s="71">
        <f t="shared" si="28"/>
        <v>3188.6400000000003</v>
      </c>
      <c r="AA209" s="71">
        <f t="shared" si="28"/>
        <v>0</v>
      </c>
      <c r="AB209" s="71">
        <f t="shared" si="28"/>
        <v>4542.72</v>
      </c>
      <c r="AC209" s="71">
        <f t="shared" si="28"/>
        <v>1643.2</v>
      </c>
      <c r="AD209" s="71">
        <f t="shared" si="28"/>
        <v>2641.6</v>
      </c>
      <c r="AE209" s="71">
        <f t="shared" si="28"/>
        <v>4478.24</v>
      </c>
      <c r="AF209" s="71">
        <f t="shared" si="28"/>
        <v>1901.1200000000001</v>
      </c>
    </row>
    <row r="210" spans="4:32">
      <c r="D210" s="66">
        <f>D$14</f>
        <v>2</v>
      </c>
      <c r="E210" s="66">
        <f>E$14</f>
        <v>2</v>
      </c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>
        <f t="shared" si="28"/>
        <v>2073.7600000000002</v>
      </c>
      <c r="V210" s="71">
        <f t="shared" si="28"/>
        <v>1539.2</v>
      </c>
      <c r="W210" s="71">
        <f t="shared" si="28"/>
        <v>1123.2</v>
      </c>
      <c r="X210" s="71">
        <f t="shared" si="28"/>
        <v>1431.04</v>
      </c>
      <c r="Y210" s="71">
        <f t="shared" si="28"/>
        <v>534.21999999998957</v>
      </c>
      <c r="Z210" s="71">
        <f t="shared" si="28"/>
        <v>955.36000000000604</v>
      </c>
      <c r="AA210" s="71">
        <f t="shared" si="28"/>
        <v>0</v>
      </c>
      <c r="AB210" s="71">
        <f t="shared" si="28"/>
        <v>2446.08</v>
      </c>
      <c r="AC210" s="71">
        <f t="shared" si="28"/>
        <v>1738.88</v>
      </c>
      <c r="AD210" s="71">
        <f t="shared" si="28"/>
        <v>2281.7600000000002</v>
      </c>
      <c r="AE210" s="71">
        <f t="shared" si="28"/>
        <v>1268.8</v>
      </c>
      <c r="AF210" s="71">
        <f t="shared" si="28"/>
        <v>1593.28</v>
      </c>
    </row>
    <row r="211" spans="4:32">
      <c r="D211" s="66">
        <f>D$15</f>
        <v>2</v>
      </c>
      <c r="E211" s="66">
        <f>E$15</f>
        <v>3</v>
      </c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>
        <f t="shared" si="28"/>
        <v>20366.340000000018</v>
      </c>
      <c r="V211" s="71">
        <f t="shared" si="28"/>
        <v>25246.880000000012</v>
      </c>
      <c r="W211" s="71">
        <f t="shared" si="28"/>
        <v>15281.639999999992</v>
      </c>
      <c r="X211" s="71">
        <f t="shared" si="28"/>
        <v>44489.120000000003</v>
      </c>
      <c r="Y211" s="71">
        <f t="shared" si="28"/>
        <v>0</v>
      </c>
      <c r="Z211" s="71">
        <f t="shared" si="28"/>
        <v>0</v>
      </c>
      <c r="AA211" s="71">
        <f t="shared" si="28"/>
        <v>0</v>
      </c>
      <c r="AB211" s="71">
        <f t="shared" si="28"/>
        <v>12734.500000000007</v>
      </c>
      <c r="AC211" s="71">
        <f t="shared" si="28"/>
        <v>11657.199999999993</v>
      </c>
      <c r="AD211" s="71">
        <f t="shared" si="28"/>
        <v>32788.01999999999</v>
      </c>
      <c r="AE211" s="71">
        <f t="shared" si="28"/>
        <v>25579.079999999987</v>
      </c>
      <c r="AF211" s="71">
        <f t="shared" si="28"/>
        <v>8897.9400000000023</v>
      </c>
    </row>
    <row r="212" spans="4:32">
      <c r="D212" s="66">
        <f>D$16</f>
        <v>2</v>
      </c>
      <c r="E212" s="66">
        <f>E$16</f>
        <v>4</v>
      </c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>
        <f t="shared" si="28"/>
        <v>12367.68</v>
      </c>
      <c r="V212" s="71">
        <f t="shared" si="28"/>
        <v>11922.560000000001</v>
      </c>
      <c r="W212" s="71">
        <f t="shared" si="28"/>
        <v>10452</v>
      </c>
      <c r="X212" s="71">
        <f t="shared" si="28"/>
        <v>24498.240000000002</v>
      </c>
      <c r="Y212" s="71">
        <f t="shared" si="28"/>
        <v>9636.6400000000012</v>
      </c>
      <c r="Z212" s="71">
        <f t="shared" si="28"/>
        <v>17476.16</v>
      </c>
      <c r="AA212" s="71">
        <f t="shared" si="28"/>
        <v>10452</v>
      </c>
      <c r="AB212" s="71">
        <f t="shared" si="28"/>
        <v>19762.080000000002</v>
      </c>
      <c r="AC212" s="71">
        <f t="shared" si="28"/>
        <v>11105.12</v>
      </c>
      <c r="AD212" s="71">
        <f t="shared" si="28"/>
        <v>17802.72</v>
      </c>
      <c r="AE212" s="71">
        <f t="shared" si="28"/>
        <v>19108.96</v>
      </c>
      <c r="AF212" s="71">
        <f t="shared" si="28"/>
        <v>22212.32</v>
      </c>
    </row>
    <row r="213" spans="4:32">
      <c r="D213" s="66">
        <f>D$17</f>
        <v>2</v>
      </c>
      <c r="E213" s="66">
        <f>E$17</f>
        <v>5</v>
      </c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>
        <f t="shared" si="28"/>
        <v>16989.440000000002</v>
      </c>
      <c r="V213" s="71">
        <f t="shared" si="28"/>
        <v>7677.2800000000007</v>
      </c>
      <c r="W213" s="71">
        <f t="shared" si="28"/>
        <v>15200.640000000001</v>
      </c>
      <c r="X213" s="71">
        <f t="shared" si="28"/>
        <v>14894.880000000001</v>
      </c>
      <c r="Y213" s="71">
        <f t="shared" si="28"/>
        <v>15968.16</v>
      </c>
      <c r="Z213" s="71">
        <f t="shared" si="28"/>
        <v>17811.04</v>
      </c>
      <c r="AA213" s="71">
        <f t="shared" si="28"/>
        <v>17043.52</v>
      </c>
      <c r="AB213" s="71">
        <f t="shared" si="28"/>
        <v>16429.920000000002</v>
      </c>
      <c r="AC213" s="71">
        <f t="shared" si="28"/>
        <v>8906.56</v>
      </c>
      <c r="AD213" s="71">
        <f t="shared" si="28"/>
        <v>13205.92</v>
      </c>
      <c r="AE213" s="71">
        <f t="shared" si="28"/>
        <v>12284.48</v>
      </c>
      <c r="AF213" s="71">
        <f t="shared" si="28"/>
        <v>22110.400000000001</v>
      </c>
    </row>
    <row r="214" spans="4:32">
      <c r="D214" s="66">
        <f>D$18</f>
        <v>3</v>
      </c>
      <c r="E214" s="66">
        <f>E$18</f>
        <v>1</v>
      </c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>
        <f t="shared" si="28"/>
        <v>0</v>
      </c>
      <c r="V214" s="71">
        <f t="shared" si="28"/>
        <v>0</v>
      </c>
      <c r="W214" s="71">
        <f t="shared" si="28"/>
        <v>0</v>
      </c>
      <c r="X214" s="71">
        <f t="shared" si="28"/>
        <v>0</v>
      </c>
      <c r="Y214" s="71">
        <f t="shared" si="28"/>
        <v>0</v>
      </c>
      <c r="Z214" s="71">
        <f t="shared" si="28"/>
        <v>0</v>
      </c>
      <c r="AA214" s="71">
        <f t="shared" si="28"/>
        <v>0</v>
      </c>
      <c r="AB214" s="71">
        <f t="shared" si="28"/>
        <v>0</v>
      </c>
      <c r="AC214" s="71">
        <f t="shared" si="28"/>
        <v>0</v>
      </c>
      <c r="AD214" s="71">
        <f t="shared" si="28"/>
        <v>0</v>
      </c>
      <c r="AE214" s="71">
        <f t="shared" si="28"/>
        <v>0</v>
      </c>
      <c r="AF214" s="71">
        <f t="shared" si="28"/>
        <v>0</v>
      </c>
    </row>
    <row r="215" spans="4:32">
      <c r="D215" s="66">
        <f>D$19</f>
        <v>3</v>
      </c>
      <c r="E215" s="66">
        <f>E$19</f>
        <v>2</v>
      </c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>
        <f t="shared" si="28"/>
        <v>0</v>
      </c>
      <c r="V215" s="71">
        <f t="shared" si="28"/>
        <v>0</v>
      </c>
      <c r="W215" s="71">
        <f t="shared" si="28"/>
        <v>0</v>
      </c>
      <c r="X215" s="71">
        <f t="shared" si="28"/>
        <v>0</v>
      </c>
      <c r="Y215" s="71">
        <f t="shared" si="28"/>
        <v>0</v>
      </c>
      <c r="Z215" s="71">
        <f t="shared" si="28"/>
        <v>0</v>
      </c>
      <c r="AA215" s="71">
        <f t="shared" si="28"/>
        <v>0</v>
      </c>
      <c r="AB215" s="71">
        <f t="shared" si="28"/>
        <v>0</v>
      </c>
      <c r="AC215" s="71">
        <f t="shared" si="28"/>
        <v>0</v>
      </c>
      <c r="AD215" s="71">
        <f t="shared" si="28"/>
        <v>0</v>
      </c>
      <c r="AE215" s="71">
        <f t="shared" si="28"/>
        <v>0</v>
      </c>
      <c r="AF215" s="71">
        <f t="shared" si="28"/>
        <v>0</v>
      </c>
    </row>
    <row r="216" spans="4:32">
      <c r="D216" s="66">
        <f>D$20</f>
        <v>3</v>
      </c>
      <c r="E216" s="66">
        <f>E$20</f>
        <v>3</v>
      </c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>
        <f t="shared" si="28"/>
        <v>0</v>
      </c>
      <c r="V216" s="71">
        <f t="shared" si="28"/>
        <v>0</v>
      </c>
      <c r="W216" s="71">
        <f t="shared" si="28"/>
        <v>0</v>
      </c>
      <c r="X216" s="71">
        <f t="shared" si="28"/>
        <v>0</v>
      </c>
      <c r="Y216" s="71">
        <f t="shared" si="28"/>
        <v>0</v>
      </c>
      <c r="Z216" s="71">
        <f t="shared" si="28"/>
        <v>0</v>
      </c>
      <c r="AA216" s="71">
        <f t="shared" si="28"/>
        <v>0</v>
      </c>
      <c r="AB216" s="71">
        <f t="shared" si="28"/>
        <v>0</v>
      </c>
      <c r="AC216" s="71">
        <f t="shared" si="28"/>
        <v>0</v>
      </c>
      <c r="AD216" s="71">
        <f t="shared" si="28"/>
        <v>0</v>
      </c>
      <c r="AE216" s="71">
        <f t="shared" si="28"/>
        <v>0</v>
      </c>
      <c r="AF216" s="71">
        <f t="shared" si="28"/>
        <v>0</v>
      </c>
    </row>
    <row r="217" spans="4:32">
      <c r="D217" s="66">
        <f>D$21</f>
        <v>3</v>
      </c>
      <c r="E217" s="66">
        <f>E$21</f>
        <v>4</v>
      </c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>
        <f t="shared" si="28"/>
        <v>20675.400000000001</v>
      </c>
      <c r="V217" s="71">
        <f t="shared" si="28"/>
        <v>30901.920000000002</v>
      </c>
      <c r="W217" s="71">
        <f t="shared" si="28"/>
        <v>25344.959999999999</v>
      </c>
      <c r="X217" s="71">
        <f t="shared" si="28"/>
        <v>21787.200000000001</v>
      </c>
      <c r="Y217" s="71">
        <f t="shared" si="28"/>
        <v>21787.200000000001</v>
      </c>
      <c r="Z217" s="71">
        <f t="shared" si="28"/>
        <v>12450.12</v>
      </c>
      <c r="AA217" s="71">
        <f t="shared" si="28"/>
        <v>29567.760000000002</v>
      </c>
      <c r="AB217" s="71">
        <f t="shared" si="28"/>
        <v>14896.08</v>
      </c>
      <c r="AC217" s="71">
        <f t="shared" si="28"/>
        <v>29790.12</v>
      </c>
      <c r="AD217" s="71">
        <f t="shared" si="28"/>
        <v>32680.799999999999</v>
      </c>
      <c r="AE217" s="71">
        <f t="shared" si="28"/>
        <v>16895.28</v>
      </c>
      <c r="AF217" s="71">
        <f t="shared" si="28"/>
        <v>21120.12</v>
      </c>
    </row>
    <row r="218" spans="4:32">
      <c r="D218" s="66">
        <f>D$22</f>
        <v>3</v>
      </c>
      <c r="E218" s="66">
        <f>E$22</f>
        <v>5</v>
      </c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>
        <f t="shared" si="28"/>
        <v>0</v>
      </c>
      <c r="V218" s="71">
        <f t="shared" si="28"/>
        <v>0</v>
      </c>
      <c r="W218" s="71">
        <f t="shared" si="28"/>
        <v>0</v>
      </c>
      <c r="X218" s="71">
        <f t="shared" si="28"/>
        <v>37.80000000000291</v>
      </c>
      <c r="Y218" s="71">
        <f t="shared" si="28"/>
        <v>0</v>
      </c>
      <c r="Z218" s="71">
        <f t="shared" si="28"/>
        <v>0</v>
      </c>
      <c r="AA218" s="71">
        <f t="shared" si="28"/>
        <v>0</v>
      </c>
      <c r="AB218" s="71">
        <f t="shared" si="28"/>
        <v>0</v>
      </c>
      <c r="AC218" s="71">
        <f t="shared" si="28"/>
        <v>0</v>
      </c>
      <c r="AD218" s="71">
        <f t="shared" si="28"/>
        <v>0</v>
      </c>
      <c r="AE218" s="71">
        <f t="shared" si="28"/>
        <v>0</v>
      </c>
      <c r="AF218" s="71">
        <f t="shared" si="28"/>
        <v>0</v>
      </c>
    </row>
    <row r="219" spans="4:32">
      <c r="D219" s="66">
        <f>D$23</f>
        <v>4</v>
      </c>
      <c r="E219" s="66">
        <f>E$23</f>
        <v>1</v>
      </c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>
        <f t="shared" si="28"/>
        <v>0</v>
      </c>
      <c r="V219" s="71">
        <f t="shared" si="28"/>
        <v>0</v>
      </c>
      <c r="W219" s="71">
        <f t="shared" si="28"/>
        <v>0</v>
      </c>
      <c r="X219" s="71">
        <f t="shared" si="28"/>
        <v>0</v>
      </c>
      <c r="Y219" s="71">
        <f t="shared" si="28"/>
        <v>0</v>
      </c>
      <c r="Z219" s="71">
        <f t="shared" si="28"/>
        <v>0</v>
      </c>
      <c r="AA219" s="71">
        <f t="shared" si="28"/>
        <v>0</v>
      </c>
      <c r="AB219" s="71">
        <f t="shared" si="28"/>
        <v>0</v>
      </c>
      <c r="AC219" s="71">
        <f t="shared" si="28"/>
        <v>0</v>
      </c>
      <c r="AD219" s="71">
        <f t="shared" si="28"/>
        <v>0</v>
      </c>
      <c r="AE219" s="71">
        <f t="shared" si="28"/>
        <v>0</v>
      </c>
      <c r="AF219" s="71">
        <f t="shared" si="28"/>
        <v>0</v>
      </c>
    </row>
    <row r="220" spans="4:32">
      <c r="D220" s="66">
        <f>D$24</f>
        <v>4</v>
      </c>
      <c r="E220" s="66">
        <f>E$24</f>
        <v>2</v>
      </c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>
        <f t="shared" ref="U220:AF228" si="29">U134-U191</f>
        <v>0</v>
      </c>
      <c r="V220" s="71">
        <f t="shared" si="29"/>
        <v>0</v>
      </c>
      <c r="W220" s="71">
        <f t="shared" si="29"/>
        <v>0</v>
      </c>
      <c r="X220" s="71">
        <f t="shared" si="29"/>
        <v>0</v>
      </c>
      <c r="Y220" s="71">
        <f t="shared" si="29"/>
        <v>0</v>
      </c>
      <c r="Z220" s="71">
        <f t="shared" si="29"/>
        <v>0</v>
      </c>
      <c r="AA220" s="71">
        <f t="shared" si="29"/>
        <v>0</v>
      </c>
      <c r="AB220" s="71">
        <f t="shared" si="29"/>
        <v>0</v>
      </c>
      <c r="AC220" s="71">
        <f t="shared" si="29"/>
        <v>0</v>
      </c>
      <c r="AD220" s="71">
        <f t="shared" si="29"/>
        <v>0</v>
      </c>
      <c r="AE220" s="71">
        <f t="shared" si="29"/>
        <v>0</v>
      </c>
      <c r="AF220" s="71">
        <f t="shared" si="29"/>
        <v>0</v>
      </c>
    </row>
    <row r="221" spans="4:32">
      <c r="D221" s="66">
        <f>D$25</f>
        <v>4</v>
      </c>
      <c r="E221" s="66">
        <f>E$25</f>
        <v>3</v>
      </c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>
        <f t="shared" si="29"/>
        <v>25554.9</v>
      </c>
      <c r="V221" s="71">
        <f t="shared" si="29"/>
        <v>17301.900000000001</v>
      </c>
      <c r="W221" s="71">
        <f t="shared" si="29"/>
        <v>24223.5</v>
      </c>
      <c r="X221" s="71">
        <f t="shared" si="29"/>
        <v>38331.300000000003</v>
      </c>
      <c r="Y221" s="71">
        <f t="shared" si="29"/>
        <v>28482.300000000003</v>
      </c>
      <c r="Z221" s="71">
        <f t="shared" si="29"/>
        <v>17037.3</v>
      </c>
      <c r="AA221" s="71">
        <f t="shared" si="29"/>
        <v>8871.9799999999705</v>
      </c>
      <c r="AB221" s="71">
        <f t="shared" si="29"/>
        <v>17835.3</v>
      </c>
      <c r="AC221" s="71">
        <f t="shared" si="29"/>
        <v>27951</v>
      </c>
      <c r="AD221" s="71">
        <f t="shared" si="29"/>
        <v>21029.4</v>
      </c>
      <c r="AE221" s="71">
        <f t="shared" si="29"/>
        <v>17835.3</v>
      </c>
      <c r="AF221" s="71">
        <f t="shared" si="29"/>
        <v>19964.7</v>
      </c>
    </row>
    <row r="222" spans="4:32">
      <c r="D222" s="66">
        <f>D$26</f>
        <v>4</v>
      </c>
      <c r="E222" s="66">
        <f>E$26</f>
        <v>4</v>
      </c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>
        <f t="shared" si="29"/>
        <v>579.6</v>
      </c>
      <c r="V222" s="71">
        <f t="shared" si="29"/>
        <v>1323</v>
      </c>
      <c r="W222" s="71">
        <f t="shared" si="29"/>
        <v>1302</v>
      </c>
      <c r="X222" s="71">
        <f t="shared" si="29"/>
        <v>957.6</v>
      </c>
      <c r="Y222" s="71">
        <f t="shared" si="29"/>
        <v>1289.4000000000001</v>
      </c>
      <c r="Z222" s="71">
        <f t="shared" si="29"/>
        <v>764.4</v>
      </c>
      <c r="AA222" s="71">
        <f t="shared" si="29"/>
        <v>1495.2</v>
      </c>
      <c r="AB222" s="71">
        <f t="shared" si="29"/>
        <v>1075.2</v>
      </c>
      <c r="AC222" s="71">
        <f t="shared" si="29"/>
        <v>837.90000000000009</v>
      </c>
      <c r="AD222" s="71">
        <f t="shared" si="29"/>
        <v>924</v>
      </c>
      <c r="AE222" s="71">
        <f t="shared" si="29"/>
        <v>1440.6000000000001</v>
      </c>
      <c r="AF222" s="71">
        <f t="shared" si="29"/>
        <v>1247.4000000000001</v>
      </c>
    </row>
    <row r="223" spans="4:32">
      <c r="D223" s="66">
        <f>D$27</f>
        <v>4</v>
      </c>
      <c r="E223" s="66">
        <f>E$27</f>
        <v>5</v>
      </c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>
        <f t="shared" si="29"/>
        <v>11988.9</v>
      </c>
      <c r="V223" s="71">
        <f t="shared" si="29"/>
        <v>9676.8000000000011</v>
      </c>
      <c r="W223" s="71">
        <f t="shared" si="29"/>
        <v>10254.300000000001</v>
      </c>
      <c r="X223" s="71">
        <f t="shared" si="29"/>
        <v>10544.1</v>
      </c>
      <c r="Y223" s="71">
        <f t="shared" si="29"/>
        <v>21375.9</v>
      </c>
      <c r="Z223" s="71">
        <f t="shared" si="29"/>
        <v>15311.1</v>
      </c>
      <c r="AA223" s="71">
        <f t="shared" si="29"/>
        <v>10689</v>
      </c>
      <c r="AB223" s="71">
        <f t="shared" si="29"/>
        <v>21665.7</v>
      </c>
      <c r="AC223" s="71">
        <f t="shared" si="29"/>
        <v>15021.300000000001</v>
      </c>
      <c r="AD223" s="71">
        <f t="shared" si="29"/>
        <v>21520.799999999999</v>
      </c>
      <c r="AE223" s="71">
        <f t="shared" si="29"/>
        <v>18921</v>
      </c>
      <c r="AF223" s="71">
        <f t="shared" si="29"/>
        <v>15021.300000000001</v>
      </c>
    </row>
    <row r="224" spans="4:32">
      <c r="D224" s="66">
        <f>D$28</f>
        <v>5</v>
      </c>
      <c r="E224" s="66">
        <f>E$28</f>
        <v>1</v>
      </c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>
        <f t="shared" si="29"/>
        <v>0</v>
      </c>
      <c r="V224" s="71">
        <f t="shared" si="29"/>
        <v>0</v>
      </c>
      <c r="W224" s="71">
        <f t="shared" si="29"/>
        <v>0</v>
      </c>
      <c r="X224" s="71">
        <f t="shared" si="29"/>
        <v>0</v>
      </c>
      <c r="Y224" s="71">
        <f t="shared" si="29"/>
        <v>0</v>
      </c>
      <c r="Z224" s="71">
        <f t="shared" si="29"/>
        <v>0</v>
      </c>
      <c r="AA224" s="71">
        <f t="shared" si="29"/>
        <v>0</v>
      </c>
      <c r="AB224" s="71">
        <f t="shared" si="29"/>
        <v>0</v>
      </c>
      <c r="AC224" s="71">
        <f t="shared" si="29"/>
        <v>0</v>
      </c>
      <c r="AD224" s="71">
        <f t="shared" si="29"/>
        <v>0</v>
      </c>
      <c r="AE224" s="71">
        <f t="shared" si="29"/>
        <v>0</v>
      </c>
      <c r="AF224" s="71">
        <f t="shared" si="29"/>
        <v>0</v>
      </c>
    </row>
    <row r="225" spans="2:32">
      <c r="D225" s="66">
        <f>D$29</f>
        <v>5</v>
      </c>
      <c r="E225" s="66">
        <f>E$29</f>
        <v>2</v>
      </c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>
        <f t="shared" si="29"/>
        <v>35938.559999999998</v>
      </c>
      <c r="V225" s="71">
        <f t="shared" si="29"/>
        <v>24678.36</v>
      </c>
      <c r="W225" s="71">
        <f t="shared" si="29"/>
        <v>14374.64</v>
      </c>
      <c r="X225" s="71">
        <f t="shared" si="29"/>
        <v>27073.48</v>
      </c>
      <c r="Y225" s="71">
        <f t="shared" si="29"/>
        <v>27792.799999999999</v>
      </c>
      <c r="Z225" s="71">
        <f t="shared" si="29"/>
        <v>19405.96</v>
      </c>
      <c r="AA225" s="71">
        <f t="shared" si="29"/>
        <v>22522.36</v>
      </c>
      <c r="AB225" s="71">
        <f t="shared" si="29"/>
        <v>26115.040000000001</v>
      </c>
      <c r="AC225" s="71">
        <f t="shared" si="29"/>
        <v>28271.040000000001</v>
      </c>
      <c r="AD225" s="71">
        <f t="shared" si="29"/>
        <v>32343.919999999998</v>
      </c>
      <c r="AE225" s="71">
        <f t="shared" si="29"/>
        <v>28512.12</v>
      </c>
      <c r="AF225" s="71">
        <f t="shared" si="29"/>
        <v>19166.84</v>
      </c>
    </row>
    <row r="226" spans="2:32">
      <c r="D226" s="66">
        <f>D$30</f>
        <v>5</v>
      </c>
      <c r="E226" s="66">
        <f>E$30</f>
        <v>3</v>
      </c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>
        <f t="shared" si="29"/>
        <v>25981.759999999998</v>
      </c>
      <c r="V226" s="71">
        <f t="shared" si="29"/>
        <v>12263.72</v>
      </c>
      <c r="W226" s="71">
        <f t="shared" si="29"/>
        <v>26397.279999999999</v>
      </c>
      <c r="X226" s="71">
        <f t="shared" si="29"/>
        <v>22032.36</v>
      </c>
      <c r="Y226" s="71">
        <f t="shared" si="29"/>
        <v>11017.16</v>
      </c>
      <c r="Z226" s="71">
        <f t="shared" si="29"/>
        <v>13718.039999999999</v>
      </c>
      <c r="AA226" s="71">
        <f t="shared" si="29"/>
        <v>20993.56</v>
      </c>
      <c r="AB226" s="71">
        <f t="shared" si="29"/>
        <v>19331.48</v>
      </c>
      <c r="AC226" s="71">
        <f t="shared" si="29"/>
        <v>11432.68</v>
      </c>
      <c r="AD226" s="71">
        <f t="shared" si="29"/>
        <v>16420.88</v>
      </c>
      <c r="AE226" s="71">
        <f t="shared" si="29"/>
        <v>22865.360000000001</v>
      </c>
      <c r="AF226" s="71">
        <f t="shared" si="29"/>
        <v>11224.92</v>
      </c>
    </row>
    <row r="227" spans="2:32">
      <c r="D227" s="66">
        <f>D$31</f>
        <v>5</v>
      </c>
      <c r="E227" s="66">
        <f>E$31</f>
        <v>4</v>
      </c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>
        <f t="shared" si="29"/>
        <v>7183.4</v>
      </c>
      <c r="V227" s="71">
        <f t="shared" si="29"/>
        <v>10964.24</v>
      </c>
      <c r="W227" s="71">
        <f t="shared" si="29"/>
        <v>7843.92</v>
      </c>
      <c r="X227" s="71">
        <f t="shared" si="29"/>
        <v>8788.64</v>
      </c>
      <c r="Y227" s="71">
        <f t="shared" si="29"/>
        <v>9639.2800000000007</v>
      </c>
      <c r="Z227" s="71">
        <f t="shared" si="29"/>
        <v>13704.32</v>
      </c>
      <c r="AA227" s="71">
        <f t="shared" si="29"/>
        <v>6332.76</v>
      </c>
      <c r="AB227" s="71">
        <f t="shared" si="29"/>
        <v>10585.96</v>
      </c>
      <c r="AC227" s="71">
        <f t="shared" si="29"/>
        <v>8316.2800000000007</v>
      </c>
      <c r="AD227" s="71">
        <f t="shared" si="29"/>
        <v>12003.039999999999</v>
      </c>
      <c r="AE227" s="71">
        <f t="shared" si="29"/>
        <v>8034.04</v>
      </c>
      <c r="AF227" s="71">
        <f t="shared" si="29"/>
        <v>7465.6399999999994</v>
      </c>
    </row>
    <row r="228" spans="2:32">
      <c r="D228" s="66">
        <f>D$32</f>
        <v>5</v>
      </c>
      <c r="E228" s="66">
        <f>E$32</f>
        <v>5</v>
      </c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>
        <f t="shared" si="29"/>
        <v>16399.32</v>
      </c>
      <c r="V228" s="71">
        <f t="shared" si="29"/>
        <v>18296.599999999999</v>
      </c>
      <c r="W228" s="71">
        <f t="shared" si="29"/>
        <v>9894.08</v>
      </c>
      <c r="X228" s="71">
        <f t="shared" si="29"/>
        <v>16128.84</v>
      </c>
      <c r="Y228" s="71">
        <f t="shared" si="29"/>
        <v>12875.24</v>
      </c>
      <c r="Z228" s="71">
        <f t="shared" si="29"/>
        <v>15315.44</v>
      </c>
      <c r="AA228" s="71">
        <f t="shared" si="29"/>
        <v>9215.92</v>
      </c>
      <c r="AB228" s="71">
        <f t="shared" si="29"/>
        <v>7861.5599999999995</v>
      </c>
      <c r="AC228" s="71">
        <f t="shared" si="29"/>
        <v>6777.68</v>
      </c>
      <c r="AD228" s="71">
        <f t="shared" si="29"/>
        <v>8267.2800000000007</v>
      </c>
      <c r="AE228" s="71">
        <f t="shared" si="29"/>
        <v>18161.36</v>
      </c>
      <c r="AF228" s="71">
        <f t="shared" si="29"/>
        <v>15721.16</v>
      </c>
    </row>
    <row r="229" spans="2:32"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>
        <f>SUM(U204:U228)</f>
        <v>249689.42</v>
      </c>
      <c r="V229" s="73">
        <f t="shared" ref="V229:AF229" si="30">SUM(V204:V228)</f>
        <v>252138.26</v>
      </c>
      <c r="W229" s="73">
        <f t="shared" si="30"/>
        <v>236370.48</v>
      </c>
      <c r="X229" s="73">
        <f t="shared" si="30"/>
        <v>282040.24000000011</v>
      </c>
      <c r="Y229" s="73">
        <f t="shared" si="30"/>
        <v>221515.69999999995</v>
      </c>
      <c r="Z229" s="73">
        <f t="shared" si="30"/>
        <v>192723.72000000003</v>
      </c>
      <c r="AA229" s="73">
        <f t="shared" si="30"/>
        <v>181321.49999999997</v>
      </c>
      <c r="AB229" s="73">
        <f t="shared" si="30"/>
        <v>230220.86000000004</v>
      </c>
      <c r="AC229" s="73">
        <f t="shared" si="30"/>
        <v>223488.19999999995</v>
      </c>
      <c r="AD229" s="73">
        <f t="shared" si="30"/>
        <v>280130.57999999996</v>
      </c>
      <c r="AE229" s="73">
        <f t="shared" si="30"/>
        <v>251996.66000000003</v>
      </c>
      <c r="AF229" s="73">
        <f t="shared" si="30"/>
        <v>233765.58</v>
      </c>
    </row>
    <row r="230" spans="2:32" ht="14.4">
      <c r="C230" t="s">
        <v>3</v>
      </c>
      <c r="E230" s="74">
        <f>MAX(U230:AF230,ABS(MIN(U230:AF230)))</f>
        <v>0</v>
      </c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4">
        <f>U229-(U$143-U$146)</f>
        <v>0</v>
      </c>
      <c r="V230" s="74">
        <f t="shared" ref="V230:AF230" si="31">V229-(V$143-V$146)</f>
        <v>0</v>
      </c>
      <c r="W230" s="74">
        <f t="shared" si="31"/>
        <v>0</v>
      </c>
      <c r="X230" s="74">
        <f t="shared" si="31"/>
        <v>0</v>
      </c>
      <c r="Y230" s="74">
        <f t="shared" si="31"/>
        <v>0</v>
      </c>
      <c r="Z230" s="74">
        <f t="shared" si="31"/>
        <v>0</v>
      </c>
      <c r="AA230" s="74">
        <f t="shared" si="31"/>
        <v>0</v>
      </c>
      <c r="AB230" s="74">
        <f t="shared" si="31"/>
        <v>0</v>
      </c>
      <c r="AC230" s="74">
        <f t="shared" si="31"/>
        <v>0</v>
      </c>
      <c r="AD230" s="74">
        <f t="shared" si="31"/>
        <v>0</v>
      </c>
      <c r="AE230" s="74">
        <f t="shared" si="31"/>
        <v>0</v>
      </c>
      <c r="AF230" s="74">
        <f t="shared" si="31"/>
        <v>0</v>
      </c>
    </row>
    <row r="232" spans="2:32" ht="14.4">
      <c r="B232" s="62" t="s">
        <v>2</v>
      </c>
      <c r="C232" s="62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</row>
    <row r="233" spans="2:32">
      <c r="D233" s="66">
        <f>D$8</f>
        <v>1</v>
      </c>
      <c r="E233" s="66">
        <f>E$8</f>
        <v>1</v>
      </c>
      <c r="U233" s="71">
        <f t="shared" ref="U233:AF248" si="32">U175*U8</f>
        <v>455681.32800000004</v>
      </c>
      <c r="V233" s="71">
        <f t="shared" si="32"/>
        <v>216533.76000000001</v>
      </c>
      <c r="W233" s="71">
        <f t="shared" si="32"/>
        <v>216533.76000000001</v>
      </c>
      <c r="X233" s="71">
        <f t="shared" si="32"/>
        <v>258443.52000000005</v>
      </c>
      <c r="Y233" s="71">
        <f t="shared" si="32"/>
        <v>192086.40000000002</v>
      </c>
      <c r="Z233" s="71">
        <f t="shared" si="32"/>
        <v>223518.72</v>
      </c>
      <c r="AA233" s="71">
        <f t="shared" si="32"/>
        <v>247966.08000000005</v>
      </c>
      <c r="AB233" s="71">
        <f t="shared" si="32"/>
        <v>520379.52</v>
      </c>
      <c r="AC233" s="71">
        <f t="shared" si="32"/>
        <v>474977.28000000009</v>
      </c>
      <c r="AD233" s="71">
        <f t="shared" si="32"/>
        <v>199071.36000000002</v>
      </c>
      <c r="AE233" s="71">
        <f t="shared" si="32"/>
        <v>461007.3600000001</v>
      </c>
      <c r="AF233" s="71">
        <f t="shared" si="32"/>
        <v>516887.0400000001</v>
      </c>
    </row>
    <row r="234" spans="2:32">
      <c r="D234" s="66">
        <f>D$9</f>
        <v>1</v>
      </c>
      <c r="E234" s="66">
        <f>E$9</f>
        <v>2</v>
      </c>
      <c r="U234" s="71">
        <f t="shared" si="32"/>
        <v>9573.7608000000018</v>
      </c>
      <c r="V234" s="71">
        <f t="shared" si="32"/>
        <v>22672.743600000002</v>
      </c>
      <c r="W234" s="71">
        <f t="shared" si="32"/>
        <v>20594.718000000001</v>
      </c>
      <c r="X234" s="71">
        <f t="shared" si="32"/>
        <v>20112.319200000002</v>
      </c>
      <c r="Y234" s="71">
        <f t="shared" si="32"/>
        <v>23452.003200000003</v>
      </c>
      <c r="Z234" s="71">
        <f t="shared" si="32"/>
        <v>11243.602800000001</v>
      </c>
      <c r="AA234" s="71">
        <f t="shared" si="32"/>
        <v>17255.034000000003</v>
      </c>
      <c r="AB234" s="71">
        <f t="shared" si="32"/>
        <v>14100.888000000003</v>
      </c>
      <c r="AC234" s="71">
        <f t="shared" si="32"/>
        <v>21559.515600000002</v>
      </c>
      <c r="AD234" s="71">
        <f t="shared" si="32"/>
        <v>22487.205600000001</v>
      </c>
      <c r="AE234" s="71">
        <f t="shared" si="32"/>
        <v>19963.888800000001</v>
      </c>
      <c r="AF234" s="71">
        <f t="shared" si="32"/>
        <v>13321.628400000001</v>
      </c>
    </row>
    <row r="235" spans="2:32">
      <c r="D235" s="66">
        <f>D$10</f>
        <v>1</v>
      </c>
      <c r="E235" s="66">
        <f>E$10</f>
        <v>3</v>
      </c>
      <c r="U235" s="71">
        <f t="shared" si="32"/>
        <v>0</v>
      </c>
      <c r="V235" s="71">
        <f t="shared" si="32"/>
        <v>0</v>
      </c>
      <c r="W235" s="71">
        <f t="shared" si="32"/>
        <v>0</v>
      </c>
      <c r="X235" s="71">
        <f t="shared" si="32"/>
        <v>0</v>
      </c>
      <c r="Y235" s="71">
        <f t="shared" si="32"/>
        <v>0</v>
      </c>
      <c r="Z235" s="71">
        <f t="shared" si="32"/>
        <v>0</v>
      </c>
      <c r="AA235" s="71">
        <f t="shared" si="32"/>
        <v>0</v>
      </c>
      <c r="AB235" s="71">
        <f t="shared" si="32"/>
        <v>0</v>
      </c>
      <c r="AC235" s="71">
        <f t="shared" si="32"/>
        <v>0</v>
      </c>
      <c r="AD235" s="71">
        <f t="shared" si="32"/>
        <v>0</v>
      </c>
      <c r="AE235" s="71">
        <f t="shared" si="32"/>
        <v>0</v>
      </c>
      <c r="AF235" s="71">
        <f t="shared" si="32"/>
        <v>0</v>
      </c>
    </row>
    <row r="236" spans="2:32">
      <c r="D236" s="66">
        <f>D$11</f>
        <v>1</v>
      </c>
      <c r="E236" s="66">
        <f>E$11</f>
        <v>4</v>
      </c>
      <c r="U236" s="71">
        <f t="shared" si="32"/>
        <v>0</v>
      </c>
      <c r="V236" s="71">
        <f t="shared" si="32"/>
        <v>0</v>
      </c>
      <c r="W236" s="71">
        <f t="shared" si="32"/>
        <v>0</v>
      </c>
      <c r="X236" s="71">
        <f t="shared" si="32"/>
        <v>0</v>
      </c>
      <c r="Y236" s="71">
        <f t="shared" si="32"/>
        <v>0</v>
      </c>
      <c r="Z236" s="71">
        <f t="shared" si="32"/>
        <v>0</v>
      </c>
      <c r="AA236" s="71">
        <f t="shared" si="32"/>
        <v>0</v>
      </c>
      <c r="AB236" s="71">
        <f t="shared" si="32"/>
        <v>0</v>
      </c>
      <c r="AC236" s="71">
        <f t="shared" si="32"/>
        <v>0</v>
      </c>
      <c r="AD236" s="71">
        <f t="shared" si="32"/>
        <v>0</v>
      </c>
      <c r="AE236" s="71">
        <f t="shared" si="32"/>
        <v>0</v>
      </c>
      <c r="AF236" s="71">
        <f t="shared" si="32"/>
        <v>0</v>
      </c>
    </row>
    <row r="237" spans="2:32">
      <c r="D237" s="66">
        <f>D$12</f>
        <v>1</v>
      </c>
      <c r="E237" s="66">
        <f>E$12</f>
        <v>5</v>
      </c>
      <c r="U237" s="71">
        <f t="shared" si="32"/>
        <v>0</v>
      </c>
      <c r="V237" s="71">
        <f t="shared" si="32"/>
        <v>0</v>
      </c>
      <c r="W237" s="71">
        <f t="shared" si="32"/>
        <v>0</v>
      </c>
      <c r="X237" s="71">
        <f t="shared" si="32"/>
        <v>0</v>
      </c>
      <c r="Y237" s="71">
        <f t="shared" si="32"/>
        <v>137868.04908</v>
      </c>
      <c r="Z237" s="71">
        <f t="shared" si="32"/>
        <v>220608.39276000002</v>
      </c>
      <c r="AA237" s="71">
        <f t="shared" si="32"/>
        <v>180311.50368000002</v>
      </c>
      <c r="AB237" s="71">
        <f t="shared" si="32"/>
        <v>0</v>
      </c>
      <c r="AC237" s="71">
        <f t="shared" si="32"/>
        <v>0</v>
      </c>
      <c r="AD237" s="71">
        <f t="shared" si="32"/>
        <v>0</v>
      </c>
      <c r="AE237" s="71">
        <f t="shared" si="32"/>
        <v>0</v>
      </c>
      <c r="AF237" s="71">
        <f t="shared" si="32"/>
        <v>0</v>
      </c>
    </row>
    <row r="238" spans="2:32">
      <c r="D238" s="66">
        <f>D$13</f>
        <v>2</v>
      </c>
      <c r="E238" s="66">
        <f>E$13</f>
        <v>1</v>
      </c>
      <c r="U238" s="71">
        <f t="shared" si="32"/>
        <v>0</v>
      </c>
      <c r="V238" s="71">
        <f t="shared" si="32"/>
        <v>0</v>
      </c>
      <c r="W238" s="71">
        <f t="shared" si="32"/>
        <v>0</v>
      </c>
      <c r="X238" s="71">
        <f t="shared" si="32"/>
        <v>0</v>
      </c>
      <c r="Y238" s="71">
        <f t="shared" si="32"/>
        <v>0</v>
      </c>
      <c r="Z238" s="71">
        <f t="shared" si="32"/>
        <v>0</v>
      </c>
      <c r="AA238" s="71">
        <f t="shared" si="32"/>
        <v>61544.787199999999</v>
      </c>
      <c r="AB238" s="71">
        <f t="shared" si="32"/>
        <v>0</v>
      </c>
      <c r="AC238" s="71">
        <f t="shared" si="32"/>
        <v>0</v>
      </c>
      <c r="AD238" s="71">
        <f t="shared" si="32"/>
        <v>0</v>
      </c>
      <c r="AE238" s="71">
        <f t="shared" si="32"/>
        <v>0</v>
      </c>
      <c r="AF238" s="71">
        <f t="shared" si="32"/>
        <v>0</v>
      </c>
    </row>
    <row r="239" spans="2:32">
      <c r="D239" s="66">
        <f>D$14</f>
        <v>2</v>
      </c>
      <c r="E239" s="66">
        <f>E$14</f>
        <v>2</v>
      </c>
      <c r="U239" s="71">
        <f t="shared" si="32"/>
        <v>0</v>
      </c>
      <c r="V239" s="71">
        <f t="shared" si="32"/>
        <v>0</v>
      </c>
      <c r="W239" s="71">
        <f t="shared" si="32"/>
        <v>0</v>
      </c>
      <c r="X239" s="71">
        <f t="shared" si="32"/>
        <v>0</v>
      </c>
      <c r="Y239" s="71">
        <f t="shared" si="32"/>
        <v>10188.882816000183</v>
      </c>
      <c r="Z239" s="71">
        <f t="shared" si="32"/>
        <v>29242.567679999902</v>
      </c>
      <c r="AA239" s="71">
        <f t="shared" si="32"/>
        <v>27886.310400000006</v>
      </c>
      <c r="AB239" s="71">
        <f t="shared" si="32"/>
        <v>0</v>
      </c>
      <c r="AC239" s="71">
        <f t="shared" si="32"/>
        <v>0</v>
      </c>
      <c r="AD239" s="71">
        <f t="shared" si="32"/>
        <v>0</v>
      </c>
      <c r="AE239" s="71">
        <f t="shared" si="32"/>
        <v>0</v>
      </c>
      <c r="AF239" s="71">
        <f t="shared" si="32"/>
        <v>0</v>
      </c>
    </row>
    <row r="240" spans="2:32">
      <c r="D240" s="66">
        <f>D$15</f>
        <v>2</v>
      </c>
      <c r="E240" s="66">
        <f>E$15</f>
        <v>3</v>
      </c>
      <c r="U240" s="71">
        <f t="shared" si="32"/>
        <v>196205.12634799973</v>
      </c>
      <c r="V240" s="71">
        <f t="shared" si="32"/>
        <v>205465.91407999984</v>
      </c>
      <c r="W240" s="71">
        <f t="shared" si="32"/>
        <v>88478.31490400013</v>
      </c>
      <c r="X240" s="71">
        <f t="shared" si="32"/>
        <v>0</v>
      </c>
      <c r="Y240" s="71">
        <f t="shared" si="32"/>
        <v>346762.74214400008</v>
      </c>
      <c r="Z240" s="71">
        <f t="shared" si="32"/>
        <v>379565.46992000006</v>
      </c>
      <c r="AA240" s="71">
        <f t="shared" si="32"/>
        <v>388933.20211200009</v>
      </c>
      <c r="AB240" s="71">
        <f t="shared" si="32"/>
        <v>379898.955884</v>
      </c>
      <c r="AC240" s="71">
        <f t="shared" si="32"/>
        <v>166506.80043200013</v>
      </c>
      <c r="AD240" s="71">
        <f t="shared" si="32"/>
        <v>26271.283164000211</v>
      </c>
      <c r="AE240" s="71">
        <f t="shared" si="32"/>
        <v>261399.3729200002</v>
      </c>
      <c r="AF240" s="71">
        <f t="shared" si="32"/>
        <v>489225.71670000005</v>
      </c>
    </row>
    <row r="241" spans="4:32">
      <c r="D241" s="66">
        <f>D$16</f>
        <v>2</v>
      </c>
      <c r="E241" s="66">
        <f>E$16</f>
        <v>4</v>
      </c>
      <c r="U241" s="71">
        <f t="shared" si="32"/>
        <v>0</v>
      </c>
      <c r="V241" s="71">
        <f t="shared" si="32"/>
        <v>0</v>
      </c>
      <c r="W241" s="71">
        <f t="shared" si="32"/>
        <v>0</v>
      </c>
      <c r="X241" s="71">
        <f t="shared" si="32"/>
        <v>0</v>
      </c>
      <c r="Y241" s="71">
        <f t="shared" si="32"/>
        <v>0</v>
      </c>
      <c r="Z241" s="71">
        <f t="shared" si="32"/>
        <v>0</v>
      </c>
      <c r="AA241" s="71">
        <f t="shared" si="32"/>
        <v>0</v>
      </c>
      <c r="AB241" s="71">
        <f t="shared" si="32"/>
        <v>0</v>
      </c>
      <c r="AC241" s="71">
        <f t="shared" si="32"/>
        <v>0</v>
      </c>
      <c r="AD241" s="71">
        <f t="shared" si="32"/>
        <v>0</v>
      </c>
      <c r="AE241" s="71">
        <f t="shared" si="32"/>
        <v>0</v>
      </c>
      <c r="AF241" s="71">
        <f t="shared" si="32"/>
        <v>0</v>
      </c>
    </row>
    <row r="242" spans="4:32">
      <c r="D242" s="66">
        <f>D$17</f>
        <v>2</v>
      </c>
      <c r="E242" s="66">
        <f>E$17</f>
        <v>5</v>
      </c>
      <c r="U242" s="71">
        <f t="shared" si="32"/>
        <v>0</v>
      </c>
      <c r="V242" s="71">
        <f t="shared" si="32"/>
        <v>0</v>
      </c>
      <c r="W242" s="71">
        <f t="shared" si="32"/>
        <v>0</v>
      </c>
      <c r="X242" s="71">
        <f t="shared" si="32"/>
        <v>0</v>
      </c>
      <c r="Y242" s="71">
        <f t="shared" si="32"/>
        <v>0</v>
      </c>
      <c r="Z242" s="71">
        <f t="shared" si="32"/>
        <v>0</v>
      </c>
      <c r="AA242" s="71">
        <f t="shared" si="32"/>
        <v>0</v>
      </c>
      <c r="AB242" s="71">
        <f t="shared" si="32"/>
        <v>0</v>
      </c>
      <c r="AC242" s="71">
        <f t="shared" si="32"/>
        <v>0</v>
      </c>
      <c r="AD242" s="71">
        <f t="shared" si="32"/>
        <v>0</v>
      </c>
      <c r="AE242" s="71">
        <f t="shared" si="32"/>
        <v>0</v>
      </c>
      <c r="AF242" s="71">
        <f t="shared" si="32"/>
        <v>0</v>
      </c>
    </row>
    <row r="243" spans="4:32">
      <c r="D243" s="66">
        <f>D$18</f>
        <v>3</v>
      </c>
      <c r="E243" s="66">
        <f>E$18</f>
        <v>1</v>
      </c>
      <c r="U243" s="71">
        <f t="shared" si="32"/>
        <v>143945.77824000004</v>
      </c>
      <c r="V243" s="71">
        <f t="shared" si="32"/>
        <v>134611.99488000001</v>
      </c>
      <c r="W243" s="71">
        <f t="shared" si="32"/>
        <v>130159.18080000003</v>
      </c>
      <c r="X243" s="71">
        <f t="shared" si="32"/>
        <v>218872.93824000002</v>
      </c>
      <c r="Y243" s="71">
        <f t="shared" si="32"/>
        <v>181880.32896000004</v>
      </c>
      <c r="Z243" s="71">
        <f t="shared" si="32"/>
        <v>104983.65504000001</v>
      </c>
      <c r="AA243" s="71">
        <f t="shared" si="32"/>
        <v>192241.68480000005</v>
      </c>
      <c r="AB243" s="71">
        <f t="shared" si="32"/>
        <v>131614.90848000001</v>
      </c>
      <c r="AC243" s="71">
        <f t="shared" si="32"/>
        <v>221870.02464000005</v>
      </c>
      <c r="AD243" s="71">
        <f t="shared" si="32"/>
        <v>209967.31008000002</v>
      </c>
      <c r="AE243" s="71">
        <f t="shared" si="32"/>
        <v>73985.218560000008</v>
      </c>
      <c r="AF243" s="71">
        <f t="shared" si="32"/>
        <v>180424.60128</v>
      </c>
    </row>
    <row r="244" spans="4:32">
      <c r="D244" s="66">
        <f>D$19</f>
        <v>3</v>
      </c>
      <c r="E244" s="66">
        <f>E$19</f>
        <v>2</v>
      </c>
      <c r="U244" s="71">
        <f t="shared" si="32"/>
        <v>492251.00652000005</v>
      </c>
      <c r="V244" s="71">
        <f t="shared" si="32"/>
        <v>368271.53244000004</v>
      </c>
      <c r="W244" s="71">
        <f t="shared" si="32"/>
        <v>481327.53480000008</v>
      </c>
      <c r="X244" s="71">
        <f t="shared" si="32"/>
        <v>357348.06072000007</v>
      </c>
      <c r="Y244" s="71">
        <f t="shared" si="32"/>
        <v>543317.27184000006</v>
      </c>
      <c r="Z244" s="71">
        <f t="shared" si="32"/>
        <v>331834.22748000006</v>
      </c>
      <c r="AA244" s="71">
        <f t="shared" si="32"/>
        <v>196892.68284000005</v>
      </c>
      <c r="AB244" s="71">
        <f t="shared" si="32"/>
        <v>196892.68284000005</v>
      </c>
      <c r="AC244" s="71">
        <f t="shared" si="32"/>
        <v>313576.97616000002</v>
      </c>
      <c r="AD244" s="71">
        <f t="shared" si="32"/>
        <v>379233.60300000006</v>
      </c>
      <c r="AE244" s="71">
        <f t="shared" si="32"/>
        <v>251587.23912000001</v>
      </c>
      <c r="AF244" s="71">
        <f t="shared" si="32"/>
        <v>211483.04436000003</v>
      </c>
    </row>
    <row r="245" spans="4:32">
      <c r="D245" s="66">
        <f>D$20</f>
        <v>3</v>
      </c>
      <c r="E245" s="66">
        <f>E$20</f>
        <v>3</v>
      </c>
      <c r="U245" s="71">
        <f t="shared" si="32"/>
        <v>45995.112960000006</v>
      </c>
      <c r="V245" s="71">
        <f t="shared" si="32"/>
        <v>66621.295104000004</v>
      </c>
      <c r="W245" s="71">
        <f t="shared" si="32"/>
        <v>49273.657344000007</v>
      </c>
      <c r="X245" s="71">
        <f t="shared" si="32"/>
        <v>40806.736896000009</v>
      </c>
      <c r="Y245" s="71">
        <f t="shared" si="32"/>
        <v>56308.204032000009</v>
      </c>
      <c r="Z245" s="71">
        <f t="shared" si="32"/>
        <v>48796.199424000006</v>
      </c>
      <c r="AA245" s="71">
        <f t="shared" si="32"/>
        <v>68021.838336000015</v>
      </c>
      <c r="AB245" s="71">
        <f t="shared" si="32"/>
        <v>32371.646976</v>
      </c>
      <c r="AC245" s="71">
        <f t="shared" si="32"/>
        <v>51597.285888000006</v>
      </c>
      <c r="AD245" s="71">
        <f t="shared" si="32"/>
        <v>30971.103744000004</v>
      </c>
      <c r="AE245" s="71">
        <f t="shared" si="32"/>
        <v>40361.109504000007</v>
      </c>
      <c r="AF245" s="71">
        <f t="shared" si="32"/>
        <v>42239.110656000004</v>
      </c>
    </row>
    <row r="246" spans="4:32">
      <c r="D246" s="66">
        <f>D$21</f>
        <v>3</v>
      </c>
      <c r="E246" s="66">
        <f>E$21</f>
        <v>4</v>
      </c>
      <c r="U246" s="71">
        <f t="shared" si="32"/>
        <v>0</v>
      </c>
      <c r="V246" s="71">
        <f t="shared" si="32"/>
        <v>0</v>
      </c>
      <c r="W246" s="71">
        <f t="shared" si="32"/>
        <v>0</v>
      </c>
      <c r="X246" s="71">
        <f t="shared" si="32"/>
        <v>0</v>
      </c>
      <c r="Y246" s="71">
        <f t="shared" si="32"/>
        <v>0</v>
      </c>
      <c r="Z246" s="71">
        <f t="shared" si="32"/>
        <v>0</v>
      </c>
      <c r="AA246" s="71">
        <f t="shared" si="32"/>
        <v>0</v>
      </c>
      <c r="AB246" s="71">
        <f t="shared" si="32"/>
        <v>0</v>
      </c>
      <c r="AC246" s="71">
        <f t="shared" si="32"/>
        <v>0</v>
      </c>
      <c r="AD246" s="71">
        <f t="shared" si="32"/>
        <v>0</v>
      </c>
      <c r="AE246" s="71">
        <f t="shared" si="32"/>
        <v>0</v>
      </c>
      <c r="AF246" s="71">
        <f t="shared" si="32"/>
        <v>0</v>
      </c>
    </row>
    <row r="247" spans="4:32">
      <c r="D247" s="66">
        <f>D$22</f>
        <v>3</v>
      </c>
      <c r="E247" s="66">
        <f>E$22</f>
        <v>5</v>
      </c>
      <c r="U247" s="71">
        <f t="shared" si="32"/>
        <v>325928.06436000008</v>
      </c>
      <c r="V247" s="71">
        <f t="shared" si="32"/>
        <v>596829.75216000015</v>
      </c>
      <c r="W247" s="71">
        <f t="shared" si="32"/>
        <v>452935.43904000008</v>
      </c>
      <c r="X247" s="71">
        <f t="shared" si="32"/>
        <v>354946.20671999996</v>
      </c>
      <c r="Y247" s="71">
        <f t="shared" si="32"/>
        <v>313237.47936000006</v>
      </c>
      <c r="Z247" s="71">
        <f t="shared" si="32"/>
        <v>461395.8290400001</v>
      </c>
      <c r="AA247" s="71">
        <f t="shared" si="32"/>
        <v>427520.42748000007</v>
      </c>
      <c r="AB247" s="71">
        <f t="shared" si="32"/>
        <v>355573.27092000004</v>
      </c>
      <c r="AC247" s="71">
        <f t="shared" si="32"/>
        <v>550263.76560000004</v>
      </c>
      <c r="AD247" s="71">
        <f t="shared" si="32"/>
        <v>554493.96060000011</v>
      </c>
      <c r="AE247" s="71">
        <f t="shared" si="32"/>
        <v>541803.37560000014</v>
      </c>
      <c r="AF247" s="71">
        <f t="shared" si="32"/>
        <v>452935.43904000008</v>
      </c>
    </row>
    <row r="248" spans="4:32">
      <c r="D248" s="66">
        <f>D$23</f>
        <v>4</v>
      </c>
      <c r="E248" s="66">
        <f>E$23</f>
        <v>1</v>
      </c>
      <c r="U248" s="71">
        <f t="shared" si="32"/>
        <v>2175102.7199999997</v>
      </c>
      <c r="V248" s="71">
        <f t="shared" si="32"/>
        <v>1510488</v>
      </c>
      <c r="W248" s="71">
        <f t="shared" si="32"/>
        <v>2134823.04</v>
      </c>
      <c r="X248" s="71">
        <f t="shared" si="32"/>
        <v>2799437.76</v>
      </c>
      <c r="Y248" s="71">
        <f t="shared" si="32"/>
        <v>1671606.72</v>
      </c>
      <c r="Z248" s="71">
        <f t="shared" si="32"/>
        <v>1732026.24</v>
      </c>
      <c r="AA248" s="71">
        <f t="shared" si="32"/>
        <v>1268809.92</v>
      </c>
      <c r="AB248" s="71">
        <f t="shared" si="32"/>
        <v>2336221.44</v>
      </c>
      <c r="AC248" s="71">
        <f t="shared" si="32"/>
        <v>2094543.3599999999</v>
      </c>
      <c r="AD248" s="71">
        <f t="shared" si="32"/>
        <v>2598039.36</v>
      </c>
      <c r="AE248" s="71">
        <f t="shared" si="32"/>
        <v>1852865.28</v>
      </c>
      <c r="AF248" s="71">
        <f t="shared" si="32"/>
        <v>1228530.24</v>
      </c>
    </row>
    <row r="249" spans="4:32">
      <c r="D249" s="66">
        <f>D$24</f>
        <v>4</v>
      </c>
      <c r="E249" s="66">
        <f>E$24</f>
        <v>2</v>
      </c>
      <c r="U249" s="71">
        <f t="shared" ref="U249:AF257" si="33">U191*U24</f>
        <v>434003.68620000005</v>
      </c>
      <c r="V249" s="71">
        <f t="shared" si="33"/>
        <v>505695.09816000005</v>
      </c>
      <c r="W249" s="71">
        <f t="shared" si="33"/>
        <v>483031.11024000007</v>
      </c>
      <c r="X249" s="71">
        <f t="shared" si="33"/>
        <v>539652.13848000008</v>
      </c>
      <c r="Y249" s="71">
        <f t="shared" si="33"/>
        <v>294359.25204000005</v>
      </c>
      <c r="Z249" s="71">
        <f t="shared" si="33"/>
        <v>188710.79976000002</v>
      </c>
      <c r="AA249" s="71">
        <f t="shared" si="33"/>
        <v>362273.33267999999</v>
      </c>
      <c r="AB249" s="71">
        <f t="shared" si="33"/>
        <v>418894.36092000006</v>
      </c>
      <c r="AC249" s="71">
        <f t="shared" si="33"/>
        <v>339648.28632000001</v>
      </c>
      <c r="AD249" s="71">
        <f t="shared" si="33"/>
        <v>460406.06388000003</v>
      </c>
      <c r="AE249" s="71">
        <f t="shared" si="33"/>
        <v>524542.81320000009</v>
      </c>
      <c r="AF249" s="71">
        <f t="shared" si="33"/>
        <v>550984.13244000007</v>
      </c>
    </row>
    <row r="250" spans="4:32">
      <c r="D250" s="66">
        <f>D$25</f>
        <v>4</v>
      </c>
      <c r="E250" s="66">
        <f>E$25</f>
        <v>3</v>
      </c>
      <c r="U250" s="71">
        <f t="shared" si="33"/>
        <v>0</v>
      </c>
      <c r="V250" s="71">
        <f t="shared" si="33"/>
        <v>0</v>
      </c>
      <c r="W250" s="71">
        <f t="shared" si="33"/>
        <v>0</v>
      </c>
      <c r="X250" s="71">
        <f t="shared" si="33"/>
        <v>0</v>
      </c>
      <c r="Y250" s="71">
        <f t="shared" si="33"/>
        <v>0</v>
      </c>
      <c r="Z250" s="71">
        <f t="shared" si="33"/>
        <v>0</v>
      </c>
      <c r="AA250" s="71">
        <f t="shared" si="33"/>
        <v>84551.380632000451</v>
      </c>
      <c r="AB250" s="71">
        <f t="shared" si="33"/>
        <v>0</v>
      </c>
      <c r="AC250" s="71">
        <f t="shared" si="33"/>
        <v>0</v>
      </c>
      <c r="AD250" s="71">
        <f t="shared" si="33"/>
        <v>0</v>
      </c>
      <c r="AE250" s="71">
        <f t="shared" si="33"/>
        <v>0</v>
      </c>
      <c r="AF250" s="71">
        <f t="shared" si="33"/>
        <v>0</v>
      </c>
    </row>
    <row r="251" spans="4:32">
      <c r="D251" s="66">
        <f>D$26</f>
        <v>4</v>
      </c>
      <c r="E251" s="66">
        <f>E$26</f>
        <v>4</v>
      </c>
      <c r="U251" s="71">
        <f t="shared" si="33"/>
        <v>0</v>
      </c>
      <c r="V251" s="71">
        <f t="shared" si="33"/>
        <v>0</v>
      </c>
      <c r="W251" s="71">
        <f t="shared" si="33"/>
        <v>0</v>
      </c>
      <c r="X251" s="71">
        <f t="shared" si="33"/>
        <v>0</v>
      </c>
      <c r="Y251" s="71">
        <f t="shared" si="33"/>
        <v>0</v>
      </c>
      <c r="Z251" s="71">
        <f t="shared" si="33"/>
        <v>0</v>
      </c>
      <c r="AA251" s="71">
        <f t="shared" si="33"/>
        <v>0</v>
      </c>
      <c r="AB251" s="71">
        <f t="shared" si="33"/>
        <v>0</v>
      </c>
      <c r="AC251" s="71">
        <f t="shared" si="33"/>
        <v>0</v>
      </c>
      <c r="AD251" s="71">
        <f t="shared" si="33"/>
        <v>0</v>
      </c>
      <c r="AE251" s="71">
        <f t="shared" si="33"/>
        <v>0</v>
      </c>
      <c r="AF251" s="71">
        <f t="shared" si="33"/>
        <v>0</v>
      </c>
    </row>
    <row r="252" spans="4:32">
      <c r="D252" s="66">
        <f>D$27</f>
        <v>4</v>
      </c>
      <c r="E252" s="66">
        <f>E$27</f>
        <v>5</v>
      </c>
      <c r="U252" s="71">
        <f t="shared" si="33"/>
        <v>0</v>
      </c>
      <c r="V252" s="71">
        <f t="shared" si="33"/>
        <v>0</v>
      </c>
      <c r="W252" s="71">
        <f t="shared" si="33"/>
        <v>0</v>
      </c>
      <c r="X252" s="71">
        <f t="shared" si="33"/>
        <v>0</v>
      </c>
      <c r="Y252" s="71">
        <f t="shared" si="33"/>
        <v>0</v>
      </c>
      <c r="Z252" s="71">
        <f t="shared" si="33"/>
        <v>0</v>
      </c>
      <c r="AA252" s="71">
        <f t="shared" si="33"/>
        <v>0</v>
      </c>
      <c r="AB252" s="71">
        <f t="shared" si="33"/>
        <v>0</v>
      </c>
      <c r="AC252" s="71">
        <f t="shared" si="33"/>
        <v>0</v>
      </c>
      <c r="AD252" s="71">
        <f t="shared" si="33"/>
        <v>0</v>
      </c>
      <c r="AE252" s="71">
        <f t="shared" si="33"/>
        <v>0</v>
      </c>
      <c r="AF252" s="71">
        <f t="shared" si="33"/>
        <v>0</v>
      </c>
    </row>
    <row r="253" spans="4:32">
      <c r="D253" s="66">
        <f>D$28</f>
        <v>5</v>
      </c>
      <c r="E253" s="66">
        <f>E$28</f>
        <v>1</v>
      </c>
      <c r="U253" s="71">
        <f t="shared" si="33"/>
        <v>201000.68128000002</v>
      </c>
      <c r="V253" s="71">
        <f t="shared" si="33"/>
        <v>336551.94496000005</v>
      </c>
      <c r="W253" s="71">
        <f t="shared" si="33"/>
        <v>336551.94496000005</v>
      </c>
      <c r="X253" s="71">
        <f t="shared" si="33"/>
        <v>292156.73760000005</v>
      </c>
      <c r="Y253" s="71">
        <f t="shared" si="33"/>
        <v>228994.10688000004</v>
      </c>
      <c r="Z253" s="71">
        <f t="shared" si="33"/>
        <v>247682.67552000002</v>
      </c>
      <c r="AA253" s="71">
        <f t="shared" si="33"/>
        <v>238377.81856000004</v>
      </c>
      <c r="AB253" s="71">
        <f t="shared" si="33"/>
        <v>140203.69216000004</v>
      </c>
      <c r="AC253" s="71">
        <f t="shared" si="33"/>
        <v>254700.74560000005</v>
      </c>
      <c r="AD253" s="71">
        <f t="shared" si="33"/>
        <v>116862.69504000001</v>
      </c>
      <c r="AE253" s="71">
        <f t="shared" si="33"/>
        <v>142569.33376000001</v>
      </c>
      <c r="AF253" s="71">
        <f t="shared" si="33"/>
        <v>156605.47392000002</v>
      </c>
    </row>
    <row r="254" spans="4:32">
      <c r="D254" s="66">
        <f>D$29</f>
        <v>5</v>
      </c>
      <c r="E254" s="66">
        <f>E$29</f>
        <v>2</v>
      </c>
      <c r="U254" s="71">
        <f t="shared" si="33"/>
        <v>0</v>
      </c>
      <c r="V254" s="71">
        <f t="shared" si="33"/>
        <v>0</v>
      </c>
      <c r="W254" s="71">
        <f t="shared" si="33"/>
        <v>0</v>
      </c>
      <c r="X254" s="71">
        <f t="shared" si="33"/>
        <v>0</v>
      </c>
      <c r="Y254" s="71">
        <f t="shared" si="33"/>
        <v>0</v>
      </c>
      <c r="Z254" s="71">
        <f t="shared" si="33"/>
        <v>0</v>
      </c>
      <c r="AA254" s="71">
        <f t="shared" si="33"/>
        <v>0</v>
      </c>
      <c r="AB254" s="71">
        <f t="shared" si="33"/>
        <v>0</v>
      </c>
      <c r="AC254" s="71">
        <f t="shared" si="33"/>
        <v>0</v>
      </c>
      <c r="AD254" s="71">
        <f t="shared" si="33"/>
        <v>0</v>
      </c>
      <c r="AE254" s="71">
        <f t="shared" si="33"/>
        <v>0</v>
      </c>
      <c r="AF254" s="71">
        <f t="shared" si="33"/>
        <v>0</v>
      </c>
    </row>
    <row r="255" spans="4:32">
      <c r="D255" s="66">
        <f>D$30</f>
        <v>5</v>
      </c>
      <c r="E255" s="66">
        <f>E$30</f>
        <v>3</v>
      </c>
      <c r="U255" s="71">
        <f t="shared" si="33"/>
        <v>0</v>
      </c>
      <c r="V255" s="71">
        <f t="shared" si="33"/>
        <v>0</v>
      </c>
      <c r="W255" s="71">
        <f t="shared" si="33"/>
        <v>0</v>
      </c>
      <c r="X255" s="71">
        <f t="shared" si="33"/>
        <v>0</v>
      </c>
      <c r="Y255" s="71">
        <f t="shared" si="33"/>
        <v>0</v>
      </c>
      <c r="Z255" s="71">
        <f t="shared" si="33"/>
        <v>0</v>
      </c>
      <c r="AA255" s="71">
        <f t="shared" si="33"/>
        <v>0</v>
      </c>
      <c r="AB255" s="71">
        <f t="shared" si="33"/>
        <v>0</v>
      </c>
      <c r="AC255" s="71">
        <f t="shared" si="33"/>
        <v>0</v>
      </c>
      <c r="AD255" s="71">
        <f t="shared" si="33"/>
        <v>0</v>
      </c>
      <c r="AE255" s="71">
        <f t="shared" si="33"/>
        <v>0</v>
      </c>
      <c r="AF255" s="71">
        <f t="shared" si="33"/>
        <v>0</v>
      </c>
    </row>
    <row r="256" spans="4:32">
      <c r="D256" s="66">
        <f>D$31</f>
        <v>5</v>
      </c>
      <c r="E256" s="66">
        <f>E$31</f>
        <v>4</v>
      </c>
      <c r="U256" s="71">
        <f t="shared" si="33"/>
        <v>0</v>
      </c>
      <c r="V256" s="71">
        <f t="shared" si="33"/>
        <v>0</v>
      </c>
      <c r="W256" s="71">
        <f t="shared" si="33"/>
        <v>0</v>
      </c>
      <c r="X256" s="71">
        <f t="shared" si="33"/>
        <v>0</v>
      </c>
      <c r="Y256" s="71">
        <f t="shared" si="33"/>
        <v>0</v>
      </c>
      <c r="Z256" s="71">
        <f t="shared" si="33"/>
        <v>0</v>
      </c>
      <c r="AA256" s="71">
        <f t="shared" si="33"/>
        <v>0</v>
      </c>
      <c r="AB256" s="71">
        <f t="shared" si="33"/>
        <v>0</v>
      </c>
      <c r="AC256" s="71">
        <f t="shared" si="33"/>
        <v>0</v>
      </c>
      <c r="AD256" s="71">
        <f t="shared" si="33"/>
        <v>0</v>
      </c>
      <c r="AE256" s="71">
        <f t="shared" si="33"/>
        <v>0</v>
      </c>
      <c r="AF256" s="71">
        <f t="shared" si="33"/>
        <v>0</v>
      </c>
    </row>
    <row r="257" spans="2:32">
      <c r="D257" s="66">
        <f>D$32</f>
        <v>5</v>
      </c>
      <c r="E257" s="66">
        <f>E$32</f>
        <v>5</v>
      </c>
      <c r="U257" s="71">
        <f t="shared" si="33"/>
        <v>0</v>
      </c>
      <c r="V257" s="71">
        <f t="shared" si="33"/>
        <v>0</v>
      </c>
      <c r="W257" s="71">
        <f t="shared" si="33"/>
        <v>0</v>
      </c>
      <c r="X257" s="71">
        <f t="shared" si="33"/>
        <v>0</v>
      </c>
      <c r="Y257" s="71">
        <f t="shared" si="33"/>
        <v>0</v>
      </c>
      <c r="Z257" s="71">
        <f t="shared" si="33"/>
        <v>0</v>
      </c>
      <c r="AA257" s="71">
        <f t="shared" si="33"/>
        <v>0</v>
      </c>
      <c r="AB257" s="71">
        <f t="shared" si="33"/>
        <v>0</v>
      </c>
      <c r="AC257" s="71">
        <f t="shared" si="33"/>
        <v>0</v>
      </c>
      <c r="AD257" s="71">
        <f t="shared" si="33"/>
        <v>0</v>
      </c>
      <c r="AE257" s="71">
        <f t="shared" si="33"/>
        <v>0</v>
      </c>
      <c r="AF257" s="71">
        <f t="shared" si="33"/>
        <v>0</v>
      </c>
    </row>
    <row r="258" spans="2:32">
      <c r="U258" s="73">
        <f>SUM(U233:U257)</f>
        <v>4479687.2647080002</v>
      </c>
      <c r="V258" s="73">
        <f t="shared" ref="V258:AF258" si="34">SUM(V233:V257)</f>
        <v>3963742.0353839998</v>
      </c>
      <c r="W258" s="73">
        <f t="shared" si="34"/>
        <v>4393708.7000880009</v>
      </c>
      <c r="X258" s="73">
        <f t="shared" si="34"/>
        <v>4881776.4178559994</v>
      </c>
      <c r="Y258" s="73">
        <f t="shared" si="34"/>
        <v>4000061.4403520003</v>
      </c>
      <c r="Z258" s="73">
        <f t="shared" si="34"/>
        <v>3979608.3794240002</v>
      </c>
      <c r="AA258" s="73">
        <f t="shared" si="34"/>
        <v>3762586.0027200012</v>
      </c>
      <c r="AB258" s="73">
        <f t="shared" si="34"/>
        <v>4526151.3661799999</v>
      </c>
      <c r="AC258" s="73">
        <f t="shared" si="34"/>
        <v>4489244.04024</v>
      </c>
      <c r="AD258" s="73">
        <f t="shared" si="34"/>
        <v>4597803.9451080002</v>
      </c>
      <c r="AE258" s="73">
        <f t="shared" si="34"/>
        <v>4170084.9914640007</v>
      </c>
      <c r="AF258" s="73">
        <f t="shared" si="34"/>
        <v>3842636.4267959995</v>
      </c>
    </row>
    <row r="260" spans="2:32" ht="14.4">
      <c r="B260" s="62" t="s">
        <v>39</v>
      </c>
      <c r="C260" s="62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</row>
    <row r="261" spans="2:32">
      <c r="D261" s="66">
        <f>D$8</f>
        <v>1</v>
      </c>
      <c r="E261" s="66">
        <f>E$8</f>
        <v>1</v>
      </c>
      <c r="U261" s="71">
        <f t="shared" ref="U261:AF276" si="35">U175*U35</f>
        <v>284800.83</v>
      </c>
      <c r="V261" s="71">
        <f t="shared" si="35"/>
        <v>135333.6</v>
      </c>
      <c r="W261" s="71">
        <f t="shared" si="35"/>
        <v>135333.6</v>
      </c>
      <c r="X261" s="71">
        <f t="shared" si="35"/>
        <v>161527.20000000001</v>
      </c>
      <c r="Y261" s="71">
        <f t="shared" si="35"/>
        <v>120054</v>
      </c>
      <c r="Z261" s="71">
        <f t="shared" si="35"/>
        <v>139699.19999999998</v>
      </c>
      <c r="AA261" s="71">
        <f t="shared" si="35"/>
        <v>154978.80000000002</v>
      </c>
      <c r="AB261" s="71">
        <f t="shared" si="35"/>
        <v>325237.2</v>
      </c>
      <c r="AC261" s="71">
        <f t="shared" si="35"/>
        <v>296860.79999999999</v>
      </c>
      <c r="AD261" s="71">
        <f t="shared" si="35"/>
        <v>124419.59999999999</v>
      </c>
      <c r="AE261" s="71">
        <f t="shared" si="35"/>
        <v>288129.60000000003</v>
      </c>
      <c r="AF261" s="71">
        <f t="shared" si="35"/>
        <v>323054.40000000002</v>
      </c>
    </row>
    <row r="262" spans="2:32">
      <c r="D262" s="66">
        <f>D$9</f>
        <v>1</v>
      </c>
      <c r="E262" s="66">
        <f>E$9</f>
        <v>2</v>
      </c>
      <c r="U262" s="71">
        <f t="shared" si="35"/>
        <v>4193.6651280000005</v>
      </c>
      <c r="V262" s="71">
        <f t="shared" si="35"/>
        <v>9931.5092760000007</v>
      </c>
      <c r="W262" s="71">
        <f t="shared" si="35"/>
        <v>9021.2563800000007</v>
      </c>
      <c r="X262" s="71">
        <f t="shared" si="35"/>
        <v>8809.9476720000002</v>
      </c>
      <c r="Y262" s="71">
        <f t="shared" si="35"/>
        <v>10272.854112000001</v>
      </c>
      <c r="Z262" s="71">
        <f t="shared" si="35"/>
        <v>4925.118348</v>
      </c>
      <c r="AA262" s="71">
        <f t="shared" si="35"/>
        <v>7558.3499400000001</v>
      </c>
      <c r="AB262" s="71">
        <f t="shared" si="35"/>
        <v>6176.7160800000001</v>
      </c>
      <c r="AC262" s="71">
        <f t="shared" si="35"/>
        <v>9443.8737959999999</v>
      </c>
      <c r="AD262" s="71">
        <f t="shared" si="35"/>
        <v>9850.2366959999999</v>
      </c>
      <c r="AE262" s="71">
        <f t="shared" si="35"/>
        <v>8744.9296080000004</v>
      </c>
      <c r="AF262" s="71">
        <f t="shared" si="35"/>
        <v>5835.3712439999999</v>
      </c>
    </row>
    <row r="263" spans="2:32">
      <c r="D263" s="66">
        <f>D$10</f>
        <v>1</v>
      </c>
      <c r="E263" s="66">
        <f>E$10</f>
        <v>3</v>
      </c>
      <c r="U263" s="71">
        <f t="shared" si="35"/>
        <v>0</v>
      </c>
      <c r="V263" s="71">
        <f t="shared" si="35"/>
        <v>0</v>
      </c>
      <c r="W263" s="71">
        <f t="shared" si="35"/>
        <v>0</v>
      </c>
      <c r="X263" s="71">
        <f t="shared" si="35"/>
        <v>0</v>
      </c>
      <c r="Y263" s="71">
        <f t="shared" si="35"/>
        <v>0</v>
      </c>
      <c r="Z263" s="71">
        <f t="shared" si="35"/>
        <v>0</v>
      </c>
      <c r="AA263" s="71">
        <f t="shared" si="35"/>
        <v>0</v>
      </c>
      <c r="AB263" s="71">
        <f t="shared" si="35"/>
        <v>0</v>
      </c>
      <c r="AC263" s="71">
        <f t="shared" si="35"/>
        <v>0</v>
      </c>
      <c r="AD263" s="71">
        <f t="shared" si="35"/>
        <v>0</v>
      </c>
      <c r="AE263" s="71">
        <f t="shared" si="35"/>
        <v>0</v>
      </c>
      <c r="AF263" s="71">
        <f t="shared" si="35"/>
        <v>0</v>
      </c>
    </row>
    <row r="264" spans="2:32">
      <c r="D264" s="66">
        <f>D$11</f>
        <v>1</v>
      </c>
      <c r="E264" s="66">
        <f>E$11</f>
        <v>4</v>
      </c>
      <c r="U264" s="71">
        <f t="shared" si="35"/>
        <v>0</v>
      </c>
      <c r="V264" s="71">
        <f t="shared" si="35"/>
        <v>0</v>
      </c>
      <c r="W264" s="71">
        <f t="shared" si="35"/>
        <v>0</v>
      </c>
      <c r="X264" s="71">
        <f t="shared" si="35"/>
        <v>0</v>
      </c>
      <c r="Y264" s="71">
        <f t="shared" si="35"/>
        <v>0</v>
      </c>
      <c r="Z264" s="71">
        <f t="shared" si="35"/>
        <v>0</v>
      </c>
      <c r="AA264" s="71">
        <f t="shared" si="35"/>
        <v>0</v>
      </c>
      <c r="AB264" s="71">
        <f t="shared" si="35"/>
        <v>0</v>
      </c>
      <c r="AC264" s="71">
        <f t="shared" si="35"/>
        <v>0</v>
      </c>
      <c r="AD264" s="71">
        <f t="shared" si="35"/>
        <v>0</v>
      </c>
      <c r="AE264" s="71">
        <f t="shared" si="35"/>
        <v>0</v>
      </c>
      <c r="AF264" s="71">
        <f t="shared" si="35"/>
        <v>0</v>
      </c>
    </row>
    <row r="265" spans="2:32">
      <c r="D265" s="66">
        <f>D$12</f>
        <v>1</v>
      </c>
      <c r="E265" s="66">
        <f>E$12</f>
        <v>5</v>
      </c>
      <c r="U265" s="71">
        <f t="shared" si="35"/>
        <v>0</v>
      </c>
      <c r="V265" s="71">
        <f t="shared" si="35"/>
        <v>0</v>
      </c>
      <c r="W265" s="71">
        <f t="shared" si="35"/>
        <v>0</v>
      </c>
      <c r="X265" s="71">
        <f t="shared" si="35"/>
        <v>0</v>
      </c>
      <c r="Y265" s="71">
        <f t="shared" si="35"/>
        <v>56840.41188</v>
      </c>
      <c r="Z265" s="71">
        <f t="shared" si="35"/>
        <v>90952.704360000003</v>
      </c>
      <c r="AA265" s="71">
        <f t="shared" si="35"/>
        <v>74339.052480000013</v>
      </c>
      <c r="AB265" s="71">
        <f t="shared" si="35"/>
        <v>0</v>
      </c>
      <c r="AC265" s="71">
        <f t="shared" si="35"/>
        <v>0</v>
      </c>
      <c r="AD265" s="71">
        <f t="shared" si="35"/>
        <v>0</v>
      </c>
      <c r="AE265" s="71">
        <f t="shared" si="35"/>
        <v>0</v>
      </c>
      <c r="AF265" s="71">
        <f t="shared" si="35"/>
        <v>0</v>
      </c>
    </row>
    <row r="266" spans="2:32">
      <c r="D266" s="66">
        <f>D$13</f>
        <v>2</v>
      </c>
      <c r="E266" s="66">
        <f>E$13</f>
        <v>1</v>
      </c>
      <c r="U266" s="71">
        <f t="shared" si="35"/>
        <v>0</v>
      </c>
      <c r="V266" s="71">
        <f t="shared" si="35"/>
        <v>0</v>
      </c>
      <c r="W266" s="71">
        <f t="shared" si="35"/>
        <v>0</v>
      </c>
      <c r="X266" s="71">
        <f t="shared" si="35"/>
        <v>0</v>
      </c>
      <c r="Y266" s="71">
        <f t="shared" si="35"/>
        <v>0</v>
      </c>
      <c r="Z266" s="71">
        <f t="shared" si="35"/>
        <v>0</v>
      </c>
      <c r="AA266" s="71">
        <f t="shared" si="35"/>
        <v>45680.44</v>
      </c>
      <c r="AB266" s="71">
        <f t="shared" si="35"/>
        <v>0</v>
      </c>
      <c r="AC266" s="71">
        <f t="shared" si="35"/>
        <v>0</v>
      </c>
      <c r="AD266" s="71">
        <f t="shared" si="35"/>
        <v>0</v>
      </c>
      <c r="AE266" s="71">
        <f t="shared" si="35"/>
        <v>0</v>
      </c>
      <c r="AF266" s="71">
        <f t="shared" si="35"/>
        <v>0</v>
      </c>
    </row>
    <row r="267" spans="2:32">
      <c r="D267" s="66">
        <f>D$14</f>
        <v>2</v>
      </c>
      <c r="E267" s="66">
        <f>E$14</f>
        <v>2</v>
      </c>
      <c r="U267" s="71">
        <f t="shared" si="35"/>
        <v>0</v>
      </c>
      <c r="V267" s="71">
        <f t="shared" si="35"/>
        <v>0</v>
      </c>
      <c r="W267" s="71">
        <f t="shared" si="35"/>
        <v>0</v>
      </c>
      <c r="X267" s="71">
        <f t="shared" si="35"/>
        <v>0</v>
      </c>
      <c r="Y267" s="71">
        <f t="shared" si="35"/>
        <v>4692.9337420000838</v>
      </c>
      <c r="Z267" s="71">
        <f t="shared" si="35"/>
        <v>13468.938159999954</v>
      </c>
      <c r="AA267" s="71">
        <f t="shared" si="35"/>
        <v>12844.254800000001</v>
      </c>
      <c r="AB267" s="71">
        <f t="shared" si="35"/>
        <v>0</v>
      </c>
      <c r="AC267" s="71">
        <f t="shared" si="35"/>
        <v>0</v>
      </c>
      <c r="AD267" s="71">
        <f t="shared" si="35"/>
        <v>0</v>
      </c>
      <c r="AE267" s="71">
        <f t="shared" si="35"/>
        <v>0</v>
      </c>
      <c r="AF267" s="71">
        <f t="shared" si="35"/>
        <v>0</v>
      </c>
    </row>
    <row r="268" spans="2:32">
      <c r="D268" s="66">
        <f>D$15</f>
        <v>2</v>
      </c>
      <c r="E268" s="66">
        <f>E$15</f>
        <v>3</v>
      </c>
      <c r="U268" s="71">
        <f t="shared" si="35"/>
        <v>72028.459007999903</v>
      </c>
      <c r="V268" s="71">
        <f t="shared" si="35"/>
        <v>75428.16767999994</v>
      </c>
      <c r="W268" s="71">
        <f t="shared" si="35"/>
        <v>32481.091584000045</v>
      </c>
      <c r="X268" s="71">
        <f t="shared" si="35"/>
        <v>0</v>
      </c>
      <c r="Y268" s="71">
        <f t="shared" si="35"/>
        <v>127299.35462400001</v>
      </c>
      <c r="Z268" s="71">
        <f t="shared" si="35"/>
        <v>139341.49632000001</v>
      </c>
      <c r="AA268" s="71">
        <f t="shared" si="35"/>
        <v>142780.46515200002</v>
      </c>
      <c r="AB268" s="71">
        <f t="shared" si="35"/>
        <v>139463.92166399999</v>
      </c>
      <c r="AC268" s="71">
        <f t="shared" si="35"/>
        <v>61125.967872000045</v>
      </c>
      <c r="AD268" s="71">
        <f t="shared" si="35"/>
        <v>9644.3965440000775</v>
      </c>
      <c r="AE268" s="71">
        <f t="shared" si="35"/>
        <v>95961.784320000064</v>
      </c>
      <c r="AF268" s="71">
        <f t="shared" si="35"/>
        <v>179598.64320000002</v>
      </c>
    </row>
    <row r="269" spans="2:32">
      <c r="D269" s="66">
        <f>D$16</f>
        <v>2</v>
      </c>
      <c r="E269" s="66">
        <f>E$16</f>
        <v>4</v>
      </c>
      <c r="U269" s="71">
        <f t="shared" si="35"/>
        <v>0</v>
      </c>
      <c r="V269" s="71">
        <f t="shared" si="35"/>
        <v>0</v>
      </c>
      <c r="W269" s="71">
        <f t="shared" si="35"/>
        <v>0</v>
      </c>
      <c r="X269" s="71">
        <f t="shared" si="35"/>
        <v>0</v>
      </c>
      <c r="Y269" s="71">
        <f t="shared" si="35"/>
        <v>0</v>
      </c>
      <c r="Z269" s="71">
        <f t="shared" si="35"/>
        <v>0</v>
      </c>
      <c r="AA269" s="71">
        <f t="shared" si="35"/>
        <v>0</v>
      </c>
      <c r="AB269" s="71">
        <f t="shared" si="35"/>
        <v>0</v>
      </c>
      <c r="AC269" s="71">
        <f t="shared" si="35"/>
        <v>0</v>
      </c>
      <c r="AD269" s="71">
        <f t="shared" si="35"/>
        <v>0</v>
      </c>
      <c r="AE269" s="71">
        <f t="shared" si="35"/>
        <v>0</v>
      </c>
      <c r="AF269" s="71">
        <f t="shared" si="35"/>
        <v>0</v>
      </c>
    </row>
    <row r="270" spans="2:32">
      <c r="D270" s="66">
        <f>D$17</f>
        <v>2</v>
      </c>
      <c r="E270" s="66">
        <f>E$17</f>
        <v>5</v>
      </c>
      <c r="U270" s="71">
        <f t="shared" si="35"/>
        <v>0</v>
      </c>
      <c r="V270" s="71">
        <f t="shared" si="35"/>
        <v>0</v>
      </c>
      <c r="W270" s="71">
        <f t="shared" si="35"/>
        <v>0</v>
      </c>
      <c r="X270" s="71">
        <f t="shared" si="35"/>
        <v>0</v>
      </c>
      <c r="Y270" s="71">
        <f t="shared" si="35"/>
        <v>0</v>
      </c>
      <c r="Z270" s="71">
        <f t="shared" si="35"/>
        <v>0</v>
      </c>
      <c r="AA270" s="71">
        <f t="shared" si="35"/>
        <v>0</v>
      </c>
      <c r="AB270" s="71">
        <f t="shared" si="35"/>
        <v>0</v>
      </c>
      <c r="AC270" s="71">
        <f t="shared" si="35"/>
        <v>0</v>
      </c>
      <c r="AD270" s="71">
        <f t="shared" si="35"/>
        <v>0</v>
      </c>
      <c r="AE270" s="71">
        <f t="shared" si="35"/>
        <v>0</v>
      </c>
      <c r="AF270" s="71">
        <f t="shared" si="35"/>
        <v>0</v>
      </c>
    </row>
    <row r="271" spans="2:32">
      <c r="D271" s="66">
        <f>D$18</f>
        <v>3</v>
      </c>
      <c r="E271" s="66">
        <f>E$18</f>
        <v>1</v>
      </c>
      <c r="U271" s="71">
        <f t="shared" si="35"/>
        <v>91732.170000000013</v>
      </c>
      <c r="V271" s="71">
        <f t="shared" si="35"/>
        <v>85784.040000000008</v>
      </c>
      <c r="W271" s="71">
        <f t="shared" si="35"/>
        <v>82946.400000000009</v>
      </c>
      <c r="X271" s="71">
        <f t="shared" si="35"/>
        <v>139480.91999999998</v>
      </c>
      <c r="Y271" s="71">
        <f t="shared" si="35"/>
        <v>115906.68000000001</v>
      </c>
      <c r="Z271" s="71">
        <f t="shared" si="35"/>
        <v>66902.819999999992</v>
      </c>
      <c r="AA271" s="71">
        <f t="shared" si="35"/>
        <v>122509.65000000001</v>
      </c>
      <c r="AB271" s="71">
        <f t="shared" si="35"/>
        <v>83874.09</v>
      </c>
      <c r="AC271" s="71">
        <f t="shared" si="35"/>
        <v>141390.87</v>
      </c>
      <c r="AD271" s="71">
        <f t="shared" si="35"/>
        <v>133805.63999999998</v>
      </c>
      <c r="AE271" s="71">
        <f t="shared" si="35"/>
        <v>47148.479999999996</v>
      </c>
      <c r="AF271" s="71">
        <f t="shared" si="35"/>
        <v>114978.98999999999</v>
      </c>
    </row>
    <row r="272" spans="2:32">
      <c r="D272" s="66">
        <f>D$19</f>
        <v>3</v>
      </c>
      <c r="E272" s="66">
        <f>E$19</f>
        <v>2</v>
      </c>
      <c r="U272" s="71">
        <f t="shared" si="35"/>
        <v>207293.84254799999</v>
      </c>
      <c r="V272" s="71">
        <f t="shared" si="35"/>
        <v>155084.33715599999</v>
      </c>
      <c r="W272" s="71">
        <f t="shared" si="35"/>
        <v>202693.81451999999</v>
      </c>
      <c r="X272" s="71">
        <f t="shared" si="35"/>
        <v>150484.30912799999</v>
      </c>
      <c r="Y272" s="71">
        <f t="shared" si="35"/>
        <v>228798.56721600002</v>
      </c>
      <c r="Z272" s="71">
        <f t="shared" si="35"/>
        <v>139740.07405200001</v>
      </c>
      <c r="AA272" s="71">
        <f t="shared" si="35"/>
        <v>82914.286116000003</v>
      </c>
      <c r="AB272" s="71">
        <f t="shared" si="35"/>
        <v>82914.286116000003</v>
      </c>
      <c r="AC272" s="71">
        <f t="shared" si="35"/>
        <v>132051.68798399999</v>
      </c>
      <c r="AD272" s="71">
        <f t="shared" si="35"/>
        <v>159700.61970000001</v>
      </c>
      <c r="AE272" s="71">
        <f t="shared" si="35"/>
        <v>105946.93528799999</v>
      </c>
      <c r="AF272" s="71">
        <f t="shared" si="35"/>
        <v>89058.493164</v>
      </c>
    </row>
    <row r="273" spans="2:32">
      <c r="D273" s="66">
        <f>D$20</f>
        <v>3</v>
      </c>
      <c r="E273" s="66">
        <f>E$20</f>
        <v>3</v>
      </c>
      <c r="U273" s="71">
        <f t="shared" si="35"/>
        <v>16300.154880000002</v>
      </c>
      <c r="V273" s="71">
        <f t="shared" si="35"/>
        <v>23609.843712000002</v>
      </c>
      <c r="W273" s="71">
        <f t="shared" si="35"/>
        <v>17462.034432</v>
      </c>
      <c r="X273" s="71">
        <f t="shared" si="35"/>
        <v>14461.452288000002</v>
      </c>
      <c r="Y273" s="71">
        <f t="shared" si="35"/>
        <v>19954.999296000002</v>
      </c>
      <c r="Z273" s="71">
        <f t="shared" si="35"/>
        <v>17292.828672000003</v>
      </c>
      <c r="AA273" s="71">
        <f t="shared" si="35"/>
        <v>24106.180608000002</v>
      </c>
      <c r="AB273" s="71">
        <f t="shared" si="35"/>
        <v>11472.150528</v>
      </c>
      <c r="AC273" s="71">
        <f t="shared" si="35"/>
        <v>18285.502464000001</v>
      </c>
      <c r="AD273" s="71">
        <f t="shared" si="35"/>
        <v>10975.813632000001</v>
      </c>
      <c r="AE273" s="71">
        <f t="shared" si="35"/>
        <v>14303.526912000003</v>
      </c>
      <c r="AF273" s="71">
        <f t="shared" si="35"/>
        <v>14969.069568000001</v>
      </c>
    </row>
    <row r="274" spans="2:32">
      <c r="D274" s="66">
        <f>D$21</f>
        <v>3</v>
      </c>
      <c r="E274" s="66">
        <f>E$21</f>
        <v>4</v>
      </c>
      <c r="U274" s="71">
        <f t="shared" si="35"/>
        <v>0</v>
      </c>
      <c r="V274" s="71">
        <f t="shared" si="35"/>
        <v>0</v>
      </c>
      <c r="W274" s="71">
        <f t="shared" si="35"/>
        <v>0</v>
      </c>
      <c r="X274" s="71">
        <f t="shared" si="35"/>
        <v>0</v>
      </c>
      <c r="Y274" s="71">
        <f t="shared" si="35"/>
        <v>0</v>
      </c>
      <c r="Z274" s="71">
        <f t="shared" si="35"/>
        <v>0</v>
      </c>
      <c r="AA274" s="71">
        <f t="shared" si="35"/>
        <v>0</v>
      </c>
      <c r="AB274" s="71">
        <f t="shared" si="35"/>
        <v>0</v>
      </c>
      <c r="AC274" s="71">
        <f t="shared" si="35"/>
        <v>0</v>
      </c>
      <c r="AD274" s="71">
        <f t="shared" si="35"/>
        <v>0</v>
      </c>
      <c r="AE274" s="71">
        <f t="shared" si="35"/>
        <v>0</v>
      </c>
      <c r="AF274" s="71">
        <f t="shared" si="35"/>
        <v>0</v>
      </c>
    </row>
    <row r="275" spans="2:32">
      <c r="D275" s="66">
        <f>D$22</f>
        <v>3</v>
      </c>
      <c r="E275" s="66">
        <f>E$22</f>
        <v>5</v>
      </c>
      <c r="U275" s="71">
        <f t="shared" si="35"/>
        <v>129141.30852000002</v>
      </c>
      <c r="V275" s="71">
        <f t="shared" si="35"/>
        <v>236479.71312000003</v>
      </c>
      <c r="W275" s="71">
        <f t="shared" si="35"/>
        <v>179464.98528000002</v>
      </c>
      <c r="X275" s="71">
        <f t="shared" si="35"/>
        <v>140639.06303999998</v>
      </c>
      <c r="Y275" s="71">
        <f t="shared" si="35"/>
        <v>124112.96352000002</v>
      </c>
      <c r="Z275" s="71">
        <f t="shared" si="35"/>
        <v>182817.21528</v>
      </c>
      <c r="AA275" s="71">
        <f t="shared" si="35"/>
        <v>169394.88636</v>
      </c>
      <c r="AB275" s="71">
        <f t="shared" si="35"/>
        <v>140887.52244</v>
      </c>
      <c r="AC275" s="71">
        <f t="shared" si="35"/>
        <v>218029.03920000003</v>
      </c>
      <c r="AD275" s="71">
        <f t="shared" si="35"/>
        <v>219705.15420000002</v>
      </c>
      <c r="AE275" s="71">
        <f t="shared" si="35"/>
        <v>214676.80920000002</v>
      </c>
      <c r="AF275" s="71">
        <f t="shared" si="35"/>
        <v>179464.98528000002</v>
      </c>
    </row>
    <row r="276" spans="2:32">
      <c r="D276" s="66">
        <f>D$23</f>
        <v>4</v>
      </c>
      <c r="E276" s="66">
        <f>E$23</f>
        <v>1</v>
      </c>
      <c r="U276" s="71">
        <f t="shared" si="35"/>
        <v>1213380</v>
      </c>
      <c r="V276" s="71">
        <f t="shared" si="35"/>
        <v>842625</v>
      </c>
      <c r="W276" s="71">
        <f t="shared" si="35"/>
        <v>1190910</v>
      </c>
      <c r="X276" s="71">
        <f t="shared" si="35"/>
        <v>1561665</v>
      </c>
      <c r="Y276" s="71">
        <f t="shared" si="35"/>
        <v>932505</v>
      </c>
      <c r="Z276" s="71">
        <f t="shared" si="35"/>
        <v>966210</v>
      </c>
      <c r="AA276" s="71">
        <f t="shared" si="35"/>
        <v>707805</v>
      </c>
      <c r="AB276" s="71">
        <f t="shared" si="35"/>
        <v>1303260</v>
      </c>
      <c r="AC276" s="71">
        <f t="shared" si="35"/>
        <v>1168440</v>
      </c>
      <c r="AD276" s="71">
        <f t="shared" si="35"/>
        <v>1449315</v>
      </c>
      <c r="AE276" s="71">
        <f t="shared" si="35"/>
        <v>1033620</v>
      </c>
      <c r="AF276" s="71">
        <f t="shared" si="35"/>
        <v>685335</v>
      </c>
    </row>
    <row r="277" spans="2:32">
      <c r="D277" s="66">
        <f>D$24</f>
        <v>4</v>
      </c>
      <c r="E277" s="66">
        <f>E$24</f>
        <v>2</v>
      </c>
      <c r="U277" s="71">
        <f t="shared" ref="U277:AF285" si="36">U191*U51</f>
        <v>186484.71554999999</v>
      </c>
      <c r="V277" s="71">
        <f t="shared" si="36"/>
        <v>217289.41374000002</v>
      </c>
      <c r="W277" s="71">
        <f t="shared" si="36"/>
        <v>207551.04636000001</v>
      </c>
      <c r="X277" s="71">
        <f t="shared" si="36"/>
        <v>231880.23222000003</v>
      </c>
      <c r="Y277" s="71">
        <f t="shared" si="36"/>
        <v>126481.64781000001</v>
      </c>
      <c r="Z277" s="71">
        <f t="shared" si="36"/>
        <v>81086.131140000012</v>
      </c>
      <c r="AA277" s="71">
        <f t="shared" si="36"/>
        <v>155663.28477</v>
      </c>
      <c r="AB277" s="71">
        <f t="shared" si="36"/>
        <v>179992.47063</v>
      </c>
      <c r="AC277" s="71">
        <f t="shared" si="36"/>
        <v>145941.64998000002</v>
      </c>
      <c r="AD277" s="71">
        <f t="shared" si="36"/>
        <v>197829.41157</v>
      </c>
      <c r="AE277" s="71">
        <f t="shared" si="36"/>
        <v>225387.98730000001</v>
      </c>
      <c r="AF277" s="71">
        <f t="shared" si="36"/>
        <v>236749.41591000001</v>
      </c>
    </row>
    <row r="278" spans="2:32">
      <c r="D278" s="66">
        <f>D$25</f>
        <v>4</v>
      </c>
      <c r="E278" s="66">
        <f>E$25</f>
        <v>3</v>
      </c>
      <c r="U278" s="71">
        <f t="shared" si="36"/>
        <v>0</v>
      </c>
      <c r="V278" s="71">
        <f t="shared" si="36"/>
        <v>0</v>
      </c>
      <c r="W278" s="71">
        <f t="shared" si="36"/>
        <v>0</v>
      </c>
      <c r="X278" s="71">
        <f t="shared" si="36"/>
        <v>0</v>
      </c>
      <c r="Y278" s="71">
        <f t="shared" si="36"/>
        <v>0</v>
      </c>
      <c r="Z278" s="71">
        <f t="shared" si="36"/>
        <v>0</v>
      </c>
      <c r="AA278" s="71">
        <f t="shared" si="36"/>
        <v>31901.47891200017</v>
      </c>
      <c r="AB278" s="71">
        <f t="shared" si="36"/>
        <v>0</v>
      </c>
      <c r="AC278" s="71">
        <f t="shared" si="36"/>
        <v>0</v>
      </c>
      <c r="AD278" s="71">
        <f t="shared" si="36"/>
        <v>0</v>
      </c>
      <c r="AE278" s="71">
        <f t="shared" si="36"/>
        <v>0</v>
      </c>
      <c r="AF278" s="71">
        <f t="shared" si="36"/>
        <v>0</v>
      </c>
    </row>
    <row r="279" spans="2:32">
      <c r="D279" s="66">
        <f>D$26</f>
        <v>4</v>
      </c>
      <c r="E279" s="66">
        <f>E$26</f>
        <v>4</v>
      </c>
      <c r="U279" s="71">
        <f t="shared" si="36"/>
        <v>0</v>
      </c>
      <c r="V279" s="71">
        <f t="shared" si="36"/>
        <v>0</v>
      </c>
      <c r="W279" s="71">
        <f t="shared" si="36"/>
        <v>0</v>
      </c>
      <c r="X279" s="71">
        <f t="shared" si="36"/>
        <v>0</v>
      </c>
      <c r="Y279" s="71">
        <f t="shared" si="36"/>
        <v>0</v>
      </c>
      <c r="Z279" s="71">
        <f t="shared" si="36"/>
        <v>0</v>
      </c>
      <c r="AA279" s="71">
        <f t="shared" si="36"/>
        <v>0</v>
      </c>
      <c r="AB279" s="71">
        <f t="shared" si="36"/>
        <v>0</v>
      </c>
      <c r="AC279" s="71">
        <f t="shared" si="36"/>
        <v>0</v>
      </c>
      <c r="AD279" s="71">
        <f t="shared" si="36"/>
        <v>0</v>
      </c>
      <c r="AE279" s="71">
        <f t="shared" si="36"/>
        <v>0</v>
      </c>
      <c r="AF279" s="71">
        <f t="shared" si="36"/>
        <v>0</v>
      </c>
    </row>
    <row r="280" spans="2:32">
      <c r="D280" s="66">
        <f>D$27</f>
        <v>4</v>
      </c>
      <c r="E280" s="66">
        <f>E$27</f>
        <v>5</v>
      </c>
      <c r="U280" s="71">
        <f t="shared" si="36"/>
        <v>0</v>
      </c>
      <c r="V280" s="71">
        <f t="shared" si="36"/>
        <v>0</v>
      </c>
      <c r="W280" s="71">
        <f t="shared" si="36"/>
        <v>0</v>
      </c>
      <c r="X280" s="71">
        <f t="shared" si="36"/>
        <v>0</v>
      </c>
      <c r="Y280" s="71">
        <f t="shared" si="36"/>
        <v>0</v>
      </c>
      <c r="Z280" s="71">
        <f t="shared" si="36"/>
        <v>0</v>
      </c>
      <c r="AA280" s="71">
        <f t="shared" si="36"/>
        <v>0</v>
      </c>
      <c r="AB280" s="71">
        <f t="shared" si="36"/>
        <v>0</v>
      </c>
      <c r="AC280" s="71">
        <f t="shared" si="36"/>
        <v>0</v>
      </c>
      <c r="AD280" s="71">
        <f t="shared" si="36"/>
        <v>0</v>
      </c>
      <c r="AE280" s="71">
        <f t="shared" si="36"/>
        <v>0</v>
      </c>
      <c r="AF280" s="71">
        <f t="shared" si="36"/>
        <v>0</v>
      </c>
    </row>
    <row r="281" spans="2:32">
      <c r="D281" s="66">
        <f>D$28</f>
        <v>5</v>
      </c>
      <c r="E281" s="66">
        <f>E$28</f>
        <v>1</v>
      </c>
      <c r="U281" s="71">
        <f t="shared" si="36"/>
        <v>133644.07</v>
      </c>
      <c r="V281" s="71">
        <f t="shared" si="36"/>
        <v>223771.24000000002</v>
      </c>
      <c r="W281" s="71">
        <f t="shared" si="36"/>
        <v>223771.24000000002</v>
      </c>
      <c r="X281" s="71">
        <f t="shared" si="36"/>
        <v>194253.15</v>
      </c>
      <c r="Y281" s="71">
        <f t="shared" si="36"/>
        <v>152256.72</v>
      </c>
      <c r="Z281" s="71">
        <f t="shared" si="36"/>
        <v>164682.63</v>
      </c>
      <c r="AA281" s="71">
        <f t="shared" si="36"/>
        <v>158495.88999999998</v>
      </c>
      <c r="AB281" s="71">
        <f t="shared" si="36"/>
        <v>93220.540000000008</v>
      </c>
      <c r="AC281" s="71">
        <f t="shared" si="36"/>
        <v>169348.9</v>
      </c>
      <c r="AD281" s="71">
        <f t="shared" si="36"/>
        <v>77701.259999999995</v>
      </c>
      <c r="AE281" s="71">
        <f t="shared" si="36"/>
        <v>94793.44</v>
      </c>
      <c r="AF281" s="71">
        <f t="shared" si="36"/>
        <v>104125.98</v>
      </c>
    </row>
    <row r="282" spans="2:32">
      <c r="D282" s="66">
        <f>D$29</f>
        <v>5</v>
      </c>
      <c r="E282" s="66">
        <f>E$29</f>
        <v>2</v>
      </c>
      <c r="U282" s="71">
        <f t="shared" si="36"/>
        <v>0</v>
      </c>
      <c r="V282" s="71">
        <f t="shared" si="36"/>
        <v>0</v>
      </c>
      <c r="W282" s="71">
        <f t="shared" si="36"/>
        <v>0</v>
      </c>
      <c r="X282" s="71">
        <f t="shared" si="36"/>
        <v>0</v>
      </c>
      <c r="Y282" s="71">
        <f t="shared" si="36"/>
        <v>0</v>
      </c>
      <c r="Z282" s="71">
        <f t="shared" si="36"/>
        <v>0</v>
      </c>
      <c r="AA282" s="71">
        <f t="shared" si="36"/>
        <v>0</v>
      </c>
      <c r="AB282" s="71">
        <f t="shared" si="36"/>
        <v>0</v>
      </c>
      <c r="AC282" s="71">
        <f t="shared" si="36"/>
        <v>0</v>
      </c>
      <c r="AD282" s="71">
        <f t="shared" si="36"/>
        <v>0</v>
      </c>
      <c r="AE282" s="71">
        <f t="shared" si="36"/>
        <v>0</v>
      </c>
      <c r="AF282" s="71">
        <f t="shared" si="36"/>
        <v>0</v>
      </c>
    </row>
    <row r="283" spans="2:32">
      <c r="D283" s="66">
        <f>D$30</f>
        <v>5</v>
      </c>
      <c r="E283" s="66">
        <f>E$30</f>
        <v>3</v>
      </c>
      <c r="U283" s="71">
        <f t="shared" si="36"/>
        <v>0</v>
      </c>
      <c r="V283" s="71">
        <f t="shared" si="36"/>
        <v>0</v>
      </c>
      <c r="W283" s="71">
        <f t="shared" si="36"/>
        <v>0</v>
      </c>
      <c r="X283" s="71">
        <f t="shared" si="36"/>
        <v>0</v>
      </c>
      <c r="Y283" s="71">
        <f t="shared" si="36"/>
        <v>0</v>
      </c>
      <c r="Z283" s="71">
        <f t="shared" si="36"/>
        <v>0</v>
      </c>
      <c r="AA283" s="71">
        <f t="shared" si="36"/>
        <v>0</v>
      </c>
      <c r="AB283" s="71">
        <f t="shared" si="36"/>
        <v>0</v>
      </c>
      <c r="AC283" s="71">
        <f t="shared" si="36"/>
        <v>0</v>
      </c>
      <c r="AD283" s="71">
        <f t="shared" si="36"/>
        <v>0</v>
      </c>
      <c r="AE283" s="71">
        <f t="shared" si="36"/>
        <v>0</v>
      </c>
      <c r="AF283" s="71">
        <f t="shared" si="36"/>
        <v>0</v>
      </c>
    </row>
    <row r="284" spans="2:32">
      <c r="D284" s="66">
        <f>D$31</f>
        <v>5</v>
      </c>
      <c r="E284" s="66">
        <f>E$31</f>
        <v>4</v>
      </c>
      <c r="U284" s="71">
        <f t="shared" si="36"/>
        <v>0</v>
      </c>
      <c r="V284" s="71">
        <f t="shared" si="36"/>
        <v>0</v>
      </c>
      <c r="W284" s="71">
        <f t="shared" si="36"/>
        <v>0</v>
      </c>
      <c r="X284" s="71">
        <f t="shared" si="36"/>
        <v>0</v>
      </c>
      <c r="Y284" s="71">
        <f t="shared" si="36"/>
        <v>0</v>
      </c>
      <c r="Z284" s="71">
        <f t="shared" si="36"/>
        <v>0</v>
      </c>
      <c r="AA284" s="71">
        <f t="shared" si="36"/>
        <v>0</v>
      </c>
      <c r="AB284" s="71">
        <f t="shared" si="36"/>
        <v>0</v>
      </c>
      <c r="AC284" s="71">
        <f t="shared" si="36"/>
        <v>0</v>
      </c>
      <c r="AD284" s="71">
        <f t="shared" si="36"/>
        <v>0</v>
      </c>
      <c r="AE284" s="71">
        <f t="shared" si="36"/>
        <v>0</v>
      </c>
      <c r="AF284" s="71">
        <f t="shared" si="36"/>
        <v>0</v>
      </c>
    </row>
    <row r="285" spans="2:32">
      <c r="D285" s="66">
        <f>D$32</f>
        <v>5</v>
      </c>
      <c r="E285" s="66">
        <f>E$32</f>
        <v>5</v>
      </c>
      <c r="U285" s="71">
        <f t="shared" si="36"/>
        <v>0</v>
      </c>
      <c r="V285" s="71">
        <f t="shared" si="36"/>
        <v>0</v>
      </c>
      <c r="W285" s="71">
        <f t="shared" si="36"/>
        <v>0</v>
      </c>
      <c r="X285" s="71">
        <f t="shared" si="36"/>
        <v>0</v>
      </c>
      <c r="Y285" s="71">
        <f t="shared" si="36"/>
        <v>0</v>
      </c>
      <c r="Z285" s="71">
        <f t="shared" si="36"/>
        <v>0</v>
      </c>
      <c r="AA285" s="71">
        <f t="shared" si="36"/>
        <v>0</v>
      </c>
      <c r="AB285" s="71">
        <f t="shared" si="36"/>
        <v>0</v>
      </c>
      <c r="AC285" s="71">
        <f t="shared" si="36"/>
        <v>0</v>
      </c>
      <c r="AD285" s="71">
        <f t="shared" si="36"/>
        <v>0</v>
      </c>
      <c r="AE285" s="71">
        <f t="shared" si="36"/>
        <v>0</v>
      </c>
      <c r="AF285" s="71">
        <f t="shared" si="36"/>
        <v>0</v>
      </c>
    </row>
    <row r="286" spans="2:32">
      <c r="U286" s="73">
        <f>SUM(U261:U285)</f>
        <v>2338999.2156339996</v>
      </c>
      <c r="V286" s="73">
        <f t="shared" ref="V286:AF286" si="37">SUM(V261:V285)</f>
        <v>2005336.8646839999</v>
      </c>
      <c r="W286" s="73">
        <f t="shared" si="37"/>
        <v>2281635.4685560004</v>
      </c>
      <c r="X286" s="73">
        <f t="shared" si="37"/>
        <v>2603201.2743480001</v>
      </c>
      <c r="Y286" s="73">
        <f t="shared" si="37"/>
        <v>2019176.1322000001</v>
      </c>
      <c r="Z286" s="73">
        <f t="shared" si="37"/>
        <v>2007119.1563320002</v>
      </c>
      <c r="AA286" s="73">
        <f t="shared" si="37"/>
        <v>1890972.019138</v>
      </c>
      <c r="AB286" s="73">
        <f t="shared" si="37"/>
        <v>2366498.8974580001</v>
      </c>
      <c r="AC286" s="73">
        <f t="shared" si="37"/>
        <v>2360918.2912960001</v>
      </c>
      <c r="AD286" s="73">
        <f t="shared" si="37"/>
        <v>2392947.132342</v>
      </c>
      <c r="AE286" s="73">
        <f t="shared" si="37"/>
        <v>2128713.4926280002</v>
      </c>
      <c r="AF286" s="73">
        <f t="shared" si="37"/>
        <v>1933170.348366</v>
      </c>
    </row>
    <row r="288" spans="2:32" ht="14.4">
      <c r="B288" s="62" t="s">
        <v>40</v>
      </c>
      <c r="C288" s="62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</row>
    <row r="289" spans="4:32">
      <c r="D289" s="66">
        <f>D$8</f>
        <v>1</v>
      </c>
      <c r="E289" s="66">
        <f>E$8</f>
        <v>1</v>
      </c>
      <c r="U289" s="71">
        <f>U233-U261</f>
        <v>170880.49800000002</v>
      </c>
      <c r="V289" s="71">
        <f t="shared" ref="V289:AF289" si="38">V233-V261</f>
        <v>81200.160000000003</v>
      </c>
      <c r="W289" s="71">
        <f t="shared" si="38"/>
        <v>81200.160000000003</v>
      </c>
      <c r="X289" s="71">
        <f t="shared" si="38"/>
        <v>96916.320000000036</v>
      </c>
      <c r="Y289" s="71">
        <f t="shared" si="38"/>
        <v>72032.400000000023</v>
      </c>
      <c r="Z289" s="71">
        <f t="shared" si="38"/>
        <v>83819.520000000019</v>
      </c>
      <c r="AA289" s="71">
        <f t="shared" si="38"/>
        <v>92987.280000000028</v>
      </c>
      <c r="AB289" s="71">
        <f t="shared" si="38"/>
        <v>195142.32</v>
      </c>
      <c r="AC289" s="71">
        <f t="shared" si="38"/>
        <v>178116.4800000001</v>
      </c>
      <c r="AD289" s="71">
        <f t="shared" si="38"/>
        <v>74651.760000000024</v>
      </c>
      <c r="AE289" s="71">
        <f t="shared" si="38"/>
        <v>172877.76000000007</v>
      </c>
      <c r="AF289" s="71">
        <f t="shared" si="38"/>
        <v>193832.64000000007</v>
      </c>
    </row>
    <row r="290" spans="4:32">
      <c r="D290" s="66">
        <f>D$9</f>
        <v>1</v>
      </c>
      <c r="E290" s="66">
        <f>E$9</f>
        <v>2</v>
      </c>
      <c r="U290" s="71">
        <f t="shared" ref="U290:AF305" si="39">U234-U262</f>
        <v>5380.0956720000013</v>
      </c>
      <c r="V290" s="71">
        <f t="shared" si="39"/>
        <v>12741.234324000001</v>
      </c>
      <c r="W290" s="71">
        <f t="shared" si="39"/>
        <v>11573.46162</v>
      </c>
      <c r="X290" s="71">
        <f t="shared" si="39"/>
        <v>11302.371528000001</v>
      </c>
      <c r="Y290" s="71">
        <f t="shared" si="39"/>
        <v>13179.149088000002</v>
      </c>
      <c r="Z290" s="71">
        <f t="shared" si="39"/>
        <v>6318.4844520000006</v>
      </c>
      <c r="AA290" s="71">
        <f t="shared" si="39"/>
        <v>9696.6840600000032</v>
      </c>
      <c r="AB290" s="71">
        <f t="shared" si="39"/>
        <v>7924.1719200000025</v>
      </c>
      <c r="AC290" s="71">
        <f t="shared" si="39"/>
        <v>12115.641804000003</v>
      </c>
      <c r="AD290" s="71">
        <f t="shared" si="39"/>
        <v>12636.968904000001</v>
      </c>
      <c r="AE290" s="71">
        <f t="shared" si="39"/>
        <v>11218.959192</v>
      </c>
      <c r="AF290" s="71">
        <f t="shared" si="39"/>
        <v>7486.2571560000015</v>
      </c>
    </row>
    <row r="291" spans="4:32">
      <c r="D291" s="66">
        <f>D$10</f>
        <v>1</v>
      </c>
      <c r="E291" s="66">
        <f>E$10</f>
        <v>3</v>
      </c>
      <c r="U291" s="71">
        <f t="shared" si="39"/>
        <v>0</v>
      </c>
      <c r="V291" s="71">
        <f t="shared" si="39"/>
        <v>0</v>
      </c>
      <c r="W291" s="71">
        <f t="shared" si="39"/>
        <v>0</v>
      </c>
      <c r="X291" s="71">
        <f t="shared" si="39"/>
        <v>0</v>
      </c>
      <c r="Y291" s="71">
        <f t="shared" si="39"/>
        <v>0</v>
      </c>
      <c r="Z291" s="71">
        <f t="shared" si="39"/>
        <v>0</v>
      </c>
      <c r="AA291" s="71">
        <f t="shared" si="39"/>
        <v>0</v>
      </c>
      <c r="AB291" s="71">
        <f t="shared" si="39"/>
        <v>0</v>
      </c>
      <c r="AC291" s="71">
        <f t="shared" si="39"/>
        <v>0</v>
      </c>
      <c r="AD291" s="71">
        <f t="shared" si="39"/>
        <v>0</v>
      </c>
      <c r="AE291" s="71">
        <f t="shared" si="39"/>
        <v>0</v>
      </c>
      <c r="AF291" s="71">
        <f t="shared" si="39"/>
        <v>0</v>
      </c>
    </row>
    <row r="292" spans="4:32">
      <c r="D292" s="66">
        <f>D$11</f>
        <v>1</v>
      </c>
      <c r="E292" s="66">
        <f>E$11</f>
        <v>4</v>
      </c>
      <c r="U292" s="71">
        <f t="shared" si="39"/>
        <v>0</v>
      </c>
      <c r="V292" s="71">
        <f t="shared" si="39"/>
        <v>0</v>
      </c>
      <c r="W292" s="71">
        <f t="shared" si="39"/>
        <v>0</v>
      </c>
      <c r="X292" s="71">
        <f t="shared" si="39"/>
        <v>0</v>
      </c>
      <c r="Y292" s="71">
        <f t="shared" si="39"/>
        <v>0</v>
      </c>
      <c r="Z292" s="71">
        <f t="shared" si="39"/>
        <v>0</v>
      </c>
      <c r="AA292" s="71">
        <f t="shared" si="39"/>
        <v>0</v>
      </c>
      <c r="AB292" s="71">
        <f t="shared" si="39"/>
        <v>0</v>
      </c>
      <c r="AC292" s="71">
        <f t="shared" si="39"/>
        <v>0</v>
      </c>
      <c r="AD292" s="71">
        <f t="shared" si="39"/>
        <v>0</v>
      </c>
      <c r="AE292" s="71">
        <f t="shared" si="39"/>
        <v>0</v>
      </c>
      <c r="AF292" s="71">
        <f t="shared" si="39"/>
        <v>0</v>
      </c>
    </row>
    <row r="293" spans="4:32">
      <c r="D293" s="66">
        <f>D$12</f>
        <v>1</v>
      </c>
      <c r="E293" s="66">
        <f>E$12</f>
        <v>5</v>
      </c>
      <c r="U293" s="71">
        <f t="shared" si="39"/>
        <v>0</v>
      </c>
      <c r="V293" s="71">
        <f t="shared" si="39"/>
        <v>0</v>
      </c>
      <c r="W293" s="71">
        <f t="shared" si="39"/>
        <v>0</v>
      </c>
      <c r="X293" s="71">
        <f t="shared" si="39"/>
        <v>0</v>
      </c>
      <c r="Y293" s="71">
        <f t="shared" si="39"/>
        <v>81027.637199999997</v>
      </c>
      <c r="Z293" s="71">
        <f t="shared" si="39"/>
        <v>129655.68840000001</v>
      </c>
      <c r="AA293" s="71">
        <f t="shared" si="39"/>
        <v>105972.45120000001</v>
      </c>
      <c r="AB293" s="71">
        <f t="shared" si="39"/>
        <v>0</v>
      </c>
      <c r="AC293" s="71">
        <f t="shared" si="39"/>
        <v>0</v>
      </c>
      <c r="AD293" s="71">
        <f t="shared" si="39"/>
        <v>0</v>
      </c>
      <c r="AE293" s="71">
        <f t="shared" si="39"/>
        <v>0</v>
      </c>
      <c r="AF293" s="71">
        <f t="shared" si="39"/>
        <v>0</v>
      </c>
    </row>
    <row r="294" spans="4:32">
      <c r="D294" s="66">
        <f>D$13</f>
        <v>2</v>
      </c>
      <c r="E294" s="66">
        <f>E$13</f>
        <v>1</v>
      </c>
      <c r="U294" s="71">
        <f t="shared" si="39"/>
        <v>0</v>
      </c>
      <c r="V294" s="71">
        <f t="shared" si="39"/>
        <v>0</v>
      </c>
      <c r="W294" s="71">
        <f t="shared" si="39"/>
        <v>0</v>
      </c>
      <c r="X294" s="71">
        <f t="shared" si="39"/>
        <v>0</v>
      </c>
      <c r="Y294" s="71">
        <f t="shared" si="39"/>
        <v>0</v>
      </c>
      <c r="Z294" s="71">
        <f t="shared" si="39"/>
        <v>0</v>
      </c>
      <c r="AA294" s="71">
        <f t="shared" si="39"/>
        <v>15864.347199999997</v>
      </c>
      <c r="AB294" s="71">
        <f t="shared" si="39"/>
        <v>0</v>
      </c>
      <c r="AC294" s="71">
        <f t="shared" si="39"/>
        <v>0</v>
      </c>
      <c r="AD294" s="71">
        <f t="shared" si="39"/>
        <v>0</v>
      </c>
      <c r="AE294" s="71">
        <f t="shared" si="39"/>
        <v>0</v>
      </c>
      <c r="AF294" s="71">
        <f t="shared" si="39"/>
        <v>0</v>
      </c>
    </row>
    <row r="295" spans="4:32">
      <c r="D295" s="66">
        <f>D$14</f>
        <v>2</v>
      </c>
      <c r="E295" s="66">
        <f>E$14</f>
        <v>2</v>
      </c>
      <c r="U295" s="71">
        <f t="shared" si="39"/>
        <v>0</v>
      </c>
      <c r="V295" s="71">
        <f t="shared" si="39"/>
        <v>0</v>
      </c>
      <c r="W295" s="71">
        <f t="shared" si="39"/>
        <v>0</v>
      </c>
      <c r="X295" s="71">
        <f t="shared" si="39"/>
        <v>0</v>
      </c>
      <c r="Y295" s="71">
        <f t="shared" si="39"/>
        <v>5495.9490740000992</v>
      </c>
      <c r="Z295" s="71">
        <f t="shared" si="39"/>
        <v>15773.629519999948</v>
      </c>
      <c r="AA295" s="71">
        <f t="shared" si="39"/>
        <v>15042.055600000005</v>
      </c>
      <c r="AB295" s="71">
        <f t="shared" si="39"/>
        <v>0</v>
      </c>
      <c r="AC295" s="71">
        <f t="shared" si="39"/>
        <v>0</v>
      </c>
      <c r="AD295" s="71">
        <f t="shared" si="39"/>
        <v>0</v>
      </c>
      <c r="AE295" s="71">
        <f t="shared" si="39"/>
        <v>0</v>
      </c>
      <c r="AF295" s="71">
        <f t="shared" si="39"/>
        <v>0</v>
      </c>
    </row>
    <row r="296" spans="4:32">
      <c r="D296" s="66">
        <f>D$15</f>
        <v>2</v>
      </c>
      <c r="E296" s="66">
        <f>E$15</f>
        <v>3</v>
      </c>
      <c r="U296" s="71">
        <f t="shared" si="39"/>
        <v>124176.66733999983</v>
      </c>
      <c r="V296" s="71">
        <f t="shared" si="39"/>
        <v>130037.7463999999</v>
      </c>
      <c r="W296" s="71">
        <f t="shared" si="39"/>
        <v>55997.223320000085</v>
      </c>
      <c r="X296" s="71">
        <f t="shared" si="39"/>
        <v>0</v>
      </c>
      <c r="Y296" s="71">
        <f t="shared" si="39"/>
        <v>219463.38752000005</v>
      </c>
      <c r="Z296" s="71">
        <f t="shared" si="39"/>
        <v>240223.97360000006</v>
      </c>
      <c r="AA296" s="71">
        <f t="shared" si="39"/>
        <v>246152.73696000007</v>
      </c>
      <c r="AB296" s="71">
        <f t="shared" si="39"/>
        <v>240435.03422</v>
      </c>
      <c r="AC296" s="71">
        <f t="shared" si="39"/>
        <v>105380.8325600001</v>
      </c>
      <c r="AD296" s="71">
        <f t="shared" si="39"/>
        <v>16626.886620000136</v>
      </c>
      <c r="AE296" s="71">
        <f t="shared" si="39"/>
        <v>165437.58860000013</v>
      </c>
      <c r="AF296" s="71">
        <f t="shared" si="39"/>
        <v>309627.07350000006</v>
      </c>
    </row>
    <row r="297" spans="4:32">
      <c r="D297" s="66">
        <f>D$16</f>
        <v>2</v>
      </c>
      <c r="E297" s="66">
        <f>E$16</f>
        <v>4</v>
      </c>
      <c r="U297" s="71">
        <f t="shared" si="39"/>
        <v>0</v>
      </c>
      <c r="V297" s="71">
        <f t="shared" si="39"/>
        <v>0</v>
      </c>
      <c r="W297" s="71">
        <f t="shared" si="39"/>
        <v>0</v>
      </c>
      <c r="X297" s="71">
        <f t="shared" si="39"/>
        <v>0</v>
      </c>
      <c r="Y297" s="71">
        <f t="shared" si="39"/>
        <v>0</v>
      </c>
      <c r="Z297" s="71">
        <f t="shared" si="39"/>
        <v>0</v>
      </c>
      <c r="AA297" s="71">
        <f t="shared" si="39"/>
        <v>0</v>
      </c>
      <c r="AB297" s="71">
        <f t="shared" si="39"/>
        <v>0</v>
      </c>
      <c r="AC297" s="71">
        <f t="shared" si="39"/>
        <v>0</v>
      </c>
      <c r="AD297" s="71">
        <f t="shared" si="39"/>
        <v>0</v>
      </c>
      <c r="AE297" s="71">
        <f t="shared" si="39"/>
        <v>0</v>
      </c>
      <c r="AF297" s="71">
        <f t="shared" si="39"/>
        <v>0</v>
      </c>
    </row>
    <row r="298" spans="4:32">
      <c r="D298" s="66">
        <f>D$17</f>
        <v>2</v>
      </c>
      <c r="E298" s="66">
        <f>E$17</f>
        <v>5</v>
      </c>
      <c r="U298" s="71">
        <f t="shared" si="39"/>
        <v>0</v>
      </c>
      <c r="V298" s="71">
        <f t="shared" si="39"/>
        <v>0</v>
      </c>
      <c r="W298" s="71">
        <f t="shared" si="39"/>
        <v>0</v>
      </c>
      <c r="X298" s="71">
        <f t="shared" si="39"/>
        <v>0</v>
      </c>
      <c r="Y298" s="71">
        <f t="shared" si="39"/>
        <v>0</v>
      </c>
      <c r="Z298" s="71">
        <f t="shared" si="39"/>
        <v>0</v>
      </c>
      <c r="AA298" s="71">
        <f t="shared" si="39"/>
        <v>0</v>
      </c>
      <c r="AB298" s="71">
        <f t="shared" si="39"/>
        <v>0</v>
      </c>
      <c r="AC298" s="71">
        <f t="shared" si="39"/>
        <v>0</v>
      </c>
      <c r="AD298" s="71">
        <f t="shared" si="39"/>
        <v>0</v>
      </c>
      <c r="AE298" s="71">
        <f t="shared" si="39"/>
        <v>0</v>
      </c>
      <c r="AF298" s="71">
        <f t="shared" si="39"/>
        <v>0</v>
      </c>
    </row>
    <row r="299" spans="4:32">
      <c r="D299" s="66">
        <f>D$18</f>
        <v>3</v>
      </c>
      <c r="E299" s="66">
        <f>E$18</f>
        <v>1</v>
      </c>
      <c r="U299" s="71">
        <f t="shared" si="39"/>
        <v>52213.60824000003</v>
      </c>
      <c r="V299" s="71">
        <f t="shared" si="39"/>
        <v>48827.954880000005</v>
      </c>
      <c r="W299" s="71">
        <f t="shared" si="39"/>
        <v>47212.780800000022</v>
      </c>
      <c r="X299" s="71">
        <f t="shared" si="39"/>
        <v>79392.018240000034</v>
      </c>
      <c r="Y299" s="71">
        <f t="shared" si="39"/>
        <v>65973.648960000035</v>
      </c>
      <c r="Z299" s="71">
        <f t="shared" si="39"/>
        <v>38080.83504000002</v>
      </c>
      <c r="AA299" s="71">
        <f t="shared" si="39"/>
        <v>69732.034800000038</v>
      </c>
      <c r="AB299" s="71">
        <f t="shared" si="39"/>
        <v>47740.818480000016</v>
      </c>
      <c r="AC299" s="71">
        <f t="shared" si="39"/>
        <v>80479.154640000052</v>
      </c>
      <c r="AD299" s="71">
        <f t="shared" si="39"/>
        <v>76161.67008000004</v>
      </c>
      <c r="AE299" s="71">
        <f t="shared" si="39"/>
        <v>26836.738560000013</v>
      </c>
      <c r="AF299" s="71">
        <f t="shared" si="39"/>
        <v>65445.611280000012</v>
      </c>
    </row>
    <row r="300" spans="4:32">
      <c r="D300" s="66">
        <f>D$19</f>
        <v>3</v>
      </c>
      <c r="E300" s="66">
        <f>E$19</f>
        <v>2</v>
      </c>
      <c r="U300" s="71">
        <f t="shared" si="39"/>
        <v>284957.16397200007</v>
      </c>
      <c r="V300" s="71">
        <f t="shared" si="39"/>
        <v>213187.19528400004</v>
      </c>
      <c r="W300" s="71">
        <f t="shared" si="39"/>
        <v>278633.72028000013</v>
      </c>
      <c r="X300" s="71">
        <f t="shared" si="39"/>
        <v>206863.75159200007</v>
      </c>
      <c r="Y300" s="71">
        <f t="shared" si="39"/>
        <v>314518.70462400001</v>
      </c>
      <c r="Z300" s="71">
        <f t="shared" si="39"/>
        <v>192094.15342800005</v>
      </c>
      <c r="AA300" s="71">
        <f t="shared" si="39"/>
        <v>113978.39672400005</v>
      </c>
      <c r="AB300" s="71">
        <f t="shared" si="39"/>
        <v>113978.39672400005</v>
      </c>
      <c r="AC300" s="71">
        <f t="shared" si="39"/>
        <v>181525.28817600003</v>
      </c>
      <c r="AD300" s="71">
        <f t="shared" si="39"/>
        <v>219532.98330000005</v>
      </c>
      <c r="AE300" s="71">
        <f t="shared" si="39"/>
        <v>145640.30383200001</v>
      </c>
      <c r="AF300" s="71">
        <f t="shared" si="39"/>
        <v>122424.55119600003</v>
      </c>
    </row>
    <row r="301" spans="4:32">
      <c r="D301" s="66">
        <f>D$20</f>
        <v>3</v>
      </c>
      <c r="E301" s="66">
        <f>E$20</f>
        <v>3</v>
      </c>
      <c r="U301" s="71">
        <f t="shared" si="39"/>
        <v>29694.958080000004</v>
      </c>
      <c r="V301" s="71">
        <f t="shared" si="39"/>
        <v>43011.451392000003</v>
      </c>
      <c r="W301" s="71">
        <f t="shared" si="39"/>
        <v>31811.622912000006</v>
      </c>
      <c r="X301" s="71">
        <f t="shared" si="39"/>
        <v>26345.284608000009</v>
      </c>
      <c r="Y301" s="71">
        <f t="shared" si="39"/>
        <v>36353.204736000007</v>
      </c>
      <c r="Z301" s="71">
        <f t="shared" si="39"/>
        <v>31503.370752000003</v>
      </c>
      <c r="AA301" s="71">
        <f t="shared" si="39"/>
        <v>43915.657728000013</v>
      </c>
      <c r="AB301" s="71">
        <f t="shared" si="39"/>
        <v>20899.496447999998</v>
      </c>
      <c r="AC301" s="71">
        <f t="shared" si="39"/>
        <v>33311.783424000008</v>
      </c>
      <c r="AD301" s="71">
        <f t="shared" si="39"/>
        <v>19995.290112000002</v>
      </c>
      <c r="AE301" s="71">
        <f t="shared" si="39"/>
        <v>26057.582592000006</v>
      </c>
      <c r="AF301" s="71">
        <f t="shared" si="39"/>
        <v>27270.041088000005</v>
      </c>
    </row>
    <row r="302" spans="4:32">
      <c r="D302" s="66">
        <f>D$21</f>
        <v>3</v>
      </c>
      <c r="E302" s="66">
        <f>E$21</f>
        <v>4</v>
      </c>
      <c r="U302" s="71">
        <f t="shared" si="39"/>
        <v>0</v>
      </c>
      <c r="V302" s="71">
        <f t="shared" si="39"/>
        <v>0</v>
      </c>
      <c r="W302" s="71">
        <f t="shared" si="39"/>
        <v>0</v>
      </c>
      <c r="X302" s="71">
        <f t="shared" si="39"/>
        <v>0</v>
      </c>
      <c r="Y302" s="71">
        <f t="shared" si="39"/>
        <v>0</v>
      </c>
      <c r="Z302" s="71">
        <f t="shared" si="39"/>
        <v>0</v>
      </c>
      <c r="AA302" s="71">
        <f t="shared" si="39"/>
        <v>0</v>
      </c>
      <c r="AB302" s="71">
        <f t="shared" si="39"/>
        <v>0</v>
      </c>
      <c r="AC302" s="71">
        <f t="shared" si="39"/>
        <v>0</v>
      </c>
      <c r="AD302" s="71">
        <f t="shared" si="39"/>
        <v>0</v>
      </c>
      <c r="AE302" s="71">
        <f t="shared" si="39"/>
        <v>0</v>
      </c>
      <c r="AF302" s="71">
        <f t="shared" si="39"/>
        <v>0</v>
      </c>
    </row>
    <row r="303" spans="4:32">
      <c r="D303" s="66">
        <f>D$22</f>
        <v>3</v>
      </c>
      <c r="E303" s="66">
        <f>E$22</f>
        <v>5</v>
      </c>
      <c r="U303" s="71">
        <f t="shared" si="39"/>
        <v>196786.75584000006</v>
      </c>
      <c r="V303" s="71">
        <f t="shared" si="39"/>
        <v>360350.03904000012</v>
      </c>
      <c r="W303" s="71">
        <f t="shared" si="39"/>
        <v>273470.45376000006</v>
      </c>
      <c r="X303" s="71">
        <f t="shared" si="39"/>
        <v>214307.14367999998</v>
      </c>
      <c r="Y303" s="71">
        <f t="shared" si="39"/>
        <v>189124.51584000004</v>
      </c>
      <c r="Z303" s="71">
        <f t="shared" si="39"/>
        <v>278578.61376000009</v>
      </c>
      <c r="AA303" s="71">
        <f t="shared" si="39"/>
        <v>258125.54112000007</v>
      </c>
      <c r="AB303" s="71">
        <f t="shared" si="39"/>
        <v>214685.74848000004</v>
      </c>
      <c r="AC303" s="71">
        <f t="shared" si="39"/>
        <v>332234.72640000004</v>
      </c>
      <c r="AD303" s="71">
        <f t="shared" si="39"/>
        <v>334788.80640000012</v>
      </c>
      <c r="AE303" s="71">
        <f t="shared" si="39"/>
        <v>327126.56640000013</v>
      </c>
      <c r="AF303" s="71">
        <f t="shared" si="39"/>
        <v>273470.45376000006</v>
      </c>
    </row>
    <row r="304" spans="4:32">
      <c r="D304" s="66">
        <f>D$23</f>
        <v>4</v>
      </c>
      <c r="E304" s="66">
        <f>E$23</f>
        <v>1</v>
      </c>
      <c r="U304" s="71">
        <f t="shared" si="39"/>
        <v>961722.71999999974</v>
      </c>
      <c r="V304" s="71">
        <f t="shared" si="39"/>
        <v>667863</v>
      </c>
      <c r="W304" s="71">
        <f t="shared" si="39"/>
        <v>943913.04</v>
      </c>
      <c r="X304" s="71">
        <f t="shared" si="39"/>
        <v>1237772.7599999998</v>
      </c>
      <c r="Y304" s="71">
        <f t="shared" si="39"/>
        <v>739101.72</v>
      </c>
      <c r="Z304" s="71">
        <f t="shared" si="39"/>
        <v>765816.24</v>
      </c>
      <c r="AA304" s="71">
        <f t="shared" si="39"/>
        <v>561004.91999999993</v>
      </c>
      <c r="AB304" s="71">
        <f t="shared" si="39"/>
        <v>1032961.44</v>
      </c>
      <c r="AC304" s="71">
        <f t="shared" si="39"/>
        <v>926103.35999999987</v>
      </c>
      <c r="AD304" s="71">
        <f t="shared" si="39"/>
        <v>1148724.3599999999</v>
      </c>
      <c r="AE304" s="71">
        <f t="shared" si="39"/>
        <v>819245.28</v>
      </c>
      <c r="AF304" s="71">
        <f t="shared" si="39"/>
        <v>543195.24</v>
      </c>
    </row>
    <row r="305" spans="4:32">
      <c r="D305" s="66">
        <f>D$24</f>
        <v>4</v>
      </c>
      <c r="E305" s="66">
        <f>E$24</f>
        <v>2</v>
      </c>
      <c r="U305" s="71">
        <f t="shared" si="39"/>
        <v>247518.97065000006</v>
      </c>
      <c r="V305" s="71">
        <f t="shared" si="39"/>
        <v>288405.68442000006</v>
      </c>
      <c r="W305" s="71">
        <f t="shared" si="39"/>
        <v>275480.06388000003</v>
      </c>
      <c r="X305" s="71">
        <f t="shared" si="39"/>
        <v>307771.90626000008</v>
      </c>
      <c r="Y305" s="71">
        <f t="shared" si="39"/>
        <v>167877.60423000006</v>
      </c>
      <c r="Z305" s="71">
        <f t="shared" si="39"/>
        <v>107624.66862000001</v>
      </c>
      <c r="AA305" s="71">
        <f t="shared" si="39"/>
        <v>206610.04790999999</v>
      </c>
      <c r="AB305" s="71">
        <f t="shared" si="39"/>
        <v>238901.89029000007</v>
      </c>
      <c r="AC305" s="71">
        <f t="shared" si="39"/>
        <v>193706.63634</v>
      </c>
      <c r="AD305" s="71">
        <f t="shared" si="39"/>
        <v>262576.65231000003</v>
      </c>
      <c r="AE305" s="71">
        <f t="shared" si="39"/>
        <v>299154.82590000005</v>
      </c>
      <c r="AF305" s="71">
        <f t="shared" si="39"/>
        <v>314234.71653000009</v>
      </c>
    </row>
    <row r="306" spans="4:32">
      <c r="D306" s="66">
        <f>D$25</f>
        <v>4</v>
      </c>
      <c r="E306" s="66">
        <f>E$25</f>
        <v>3</v>
      </c>
      <c r="U306" s="71">
        <f t="shared" ref="U306:AF313" si="40">U250-U278</f>
        <v>0</v>
      </c>
      <c r="V306" s="71">
        <f t="shared" si="40"/>
        <v>0</v>
      </c>
      <c r="W306" s="71">
        <f t="shared" si="40"/>
        <v>0</v>
      </c>
      <c r="X306" s="71">
        <f t="shared" si="40"/>
        <v>0</v>
      </c>
      <c r="Y306" s="71">
        <f t="shared" si="40"/>
        <v>0</v>
      </c>
      <c r="Z306" s="71">
        <f t="shared" si="40"/>
        <v>0</v>
      </c>
      <c r="AA306" s="71">
        <f t="shared" si="40"/>
        <v>52649.901720000285</v>
      </c>
      <c r="AB306" s="71">
        <f t="shared" si="40"/>
        <v>0</v>
      </c>
      <c r="AC306" s="71">
        <f t="shared" si="40"/>
        <v>0</v>
      </c>
      <c r="AD306" s="71">
        <f t="shared" si="40"/>
        <v>0</v>
      </c>
      <c r="AE306" s="71">
        <f t="shared" si="40"/>
        <v>0</v>
      </c>
      <c r="AF306" s="71">
        <f t="shared" si="40"/>
        <v>0</v>
      </c>
    </row>
    <row r="307" spans="4:32">
      <c r="D307" s="66">
        <f>D$26</f>
        <v>4</v>
      </c>
      <c r="E307" s="66">
        <f>E$26</f>
        <v>4</v>
      </c>
      <c r="U307" s="71">
        <f t="shared" si="40"/>
        <v>0</v>
      </c>
      <c r="V307" s="71">
        <f t="shared" si="40"/>
        <v>0</v>
      </c>
      <c r="W307" s="71">
        <f t="shared" si="40"/>
        <v>0</v>
      </c>
      <c r="X307" s="71">
        <f t="shared" si="40"/>
        <v>0</v>
      </c>
      <c r="Y307" s="71">
        <f t="shared" si="40"/>
        <v>0</v>
      </c>
      <c r="Z307" s="71">
        <f t="shared" si="40"/>
        <v>0</v>
      </c>
      <c r="AA307" s="71">
        <f t="shared" si="40"/>
        <v>0</v>
      </c>
      <c r="AB307" s="71">
        <f t="shared" si="40"/>
        <v>0</v>
      </c>
      <c r="AC307" s="71">
        <f t="shared" si="40"/>
        <v>0</v>
      </c>
      <c r="AD307" s="71">
        <f t="shared" si="40"/>
        <v>0</v>
      </c>
      <c r="AE307" s="71">
        <f t="shared" si="40"/>
        <v>0</v>
      </c>
      <c r="AF307" s="71">
        <f t="shared" si="40"/>
        <v>0</v>
      </c>
    </row>
    <row r="308" spans="4:32">
      <c r="D308" s="66">
        <f>D$27</f>
        <v>4</v>
      </c>
      <c r="E308" s="66">
        <f>E$27</f>
        <v>5</v>
      </c>
      <c r="U308" s="71">
        <f t="shared" si="40"/>
        <v>0</v>
      </c>
      <c r="V308" s="71">
        <f t="shared" si="40"/>
        <v>0</v>
      </c>
      <c r="W308" s="71">
        <f t="shared" si="40"/>
        <v>0</v>
      </c>
      <c r="X308" s="71">
        <f t="shared" si="40"/>
        <v>0</v>
      </c>
      <c r="Y308" s="71">
        <f t="shared" si="40"/>
        <v>0</v>
      </c>
      <c r="Z308" s="71">
        <f t="shared" si="40"/>
        <v>0</v>
      </c>
      <c r="AA308" s="71">
        <f t="shared" si="40"/>
        <v>0</v>
      </c>
      <c r="AB308" s="71">
        <f t="shared" si="40"/>
        <v>0</v>
      </c>
      <c r="AC308" s="71">
        <f t="shared" si="40"/>
        <v>0</v>
      </c>
      <c r="AD308" s="71">
        <f t="shared" si="40"/>
        <v>0</v>
      </c>
      <c r="AE308" s="71">
        <f t="shared" si="40"/>
        <v>0</v>
      </c>
      <c r="AF308" s="71">
        <f t="shared" si="40"/>
        <v>0</v>
      </c>
    </row>
    <row r="309" spans="4:32">
      <c r="D309" s="66">
        <f>D$28</f>
        <v>5</v>
      </c>
      <c r="E309" s="66">
        <f>E$28</f>
        <v>1</v>
      </c>
      <c r="U309" s="71">
        <f t="shared" si="40"/>
        <v>67356.611280000012</v>
      </c>
      <c r="V309" s="71">
        <f t="shared" si="40"/>
        <v>112780.70496000003</v>
      </c>
      <c r="W309" s="71">
        <f t="shared" si="40"/>
        <v>112780.70496000003</v>
      </c>
      <c r="X309" s="71">
        <f t="shared" si="40"/>
        <v>97903.587600000057</v>
      </c>
      <c r="Y309" s="71">
        <f t="shared" si="40"/>
        <v>76737.386880000035</v>
      </c>
      <c r="Z309" s="71">
        <f t="shared" si="40"/>
        <v>83000.045520000014</v>
      </c>
      <c r="AA309" s="71">
        <f t="shared" si="40"/>
        <v>79881.928560000058</v>
      </c>
      <c r="AB309" s="71">
        <f t="shared" si="40"/>
        <v>46983.152160000027</v>
      </c>
      <c r="AC309" s="71">
        <f t="shared" si="40"/>
        <v>85351.845600000059</v>
      </c>
      <c r="AD309" s="71">
        <f t="shared" si="40"/>
        <v>39161.435040000011</v>
      </c>
      <c r="AE309" s="71">
        <f t="shared" si="40"/>
        <v>47775.893760000006</v>
      </c>
      <c r="AF309" s="71">
        <f t="shared" si="40"/>
        <v>52479.493920000023</v>
      </c>
    </row>
    <row r="310" spans="4:32">
      <c r="D310" s="66">
        <f>D$29</f>
        <v>5</v>
      </c>
      <c r="E310" s="66">
        <f>E$29</f>
        <v>2</v>
      </c>
      <c r="U310" s="71">
        <f t="shared" si="40"/>
        <v>0</v>
      </c>
      <c r="V310" s="71">
        <f t="shared" si="40"/>
        <v>0</v>
      </c>
      <c r="W310" s="71">
        <f t="shared" si="40"/>
        <v>0</v>
      </c>
      <c r="X310" s="71">
        <f t="shared" si="40"/>
        <v>0</v>
      </c>
      <c r="Y310" s="71">
        <f t="shared" si="40"/>
        <v>0</v>
      </c>
      <c r="Z310" s="71">
        <f t="shared" si="40"/>
        <v>0</v>
      </c>
      <c r="AA310" s="71">
        <f t="shared" si="40"/>
        <v>0</v>
      </c>
      <c r="AB310" s="71">
        <f t="shared" si="40"/>
        <v>0</v>
      </c>
      <c r="AC310" s="71">
        <f t="shared" si="40"/>
        <v>0</v>
      </c>
      <c r="AD310" s="71">
        <f t="shared" si="40"/>
        <v>0</v>
      </c>
      <c r="AE310" s="71">
        <f t="shared" si="40"/>
        <v>0</v>
      </c>
      <c r="AF310" s="71">
        <f t="shared" si="40"/>
        <v>0</v>
      </c>
    </row>
    <row r="311" spans="4:32">
      <c r="D311" s="66">
        <f>D$30</f>
        <v>5</v>
      </c>
      <c r="E311" s="66">
        <f>E$30</f>
        <v>3</v>
      </c>
      <c r="U311" s="71">
        <f t="shared" si="40"/>
        <v>0</v>
      </c>
      <c r="V311" s="71">
        <f t="shared" si="40"/>
        <v>0</v>
      </c>
      <c r="W311" s="71">
        <f t="shared" si="40"/>
        <v>0</v>
      </c>
      <c r="X311" s="71">
        <f t="shared" si="40"/>
        <v>0</v>
      </c>
      <c r="Y311" s="71">
        <f t="shared" si="40"/>
        <v>0</v>
      </c>
      <c r="Z311" s="71">
        <f t="shared" si="40"/>
        <v>0</v>
      </c>
      <c r="AA311" s="71">
        <f t="shared" si="40"/>
        <v>0</v>
      </c>
      <c r="AB311" s="71">
        <f t="shared" si="40"/>
        <v>0</v>
      </c>
      <c r="AC311" s="71">
        <f t="shared" si="40"/>
        <v>0</v>
      </c>
      <c r="AD311" s="71">
        <f t="shared" si="40"/>
        <v>0</v>
      </c>
      <c r="AE311" s="71">
        <f t="shared" si="40"/>
        <v>0</v>
      </c>
      <c r="AF311" s="71">
        <f t="shared" si="40"/>
        <v>0</v>
      </c>
    </row>
    <row r="312" spans="4:32">
      <c r="D312" s="66">
        <f>D$31</f>
        <v>5</v>
      </c>
      <c r="E312" s="66">
        <f>E$31</f>
        <v>4</v>
      </c>
      <c r="U312" s="71">
        <f t="shared" si="40"/>
        <v>0</v>
      </c>
      <c r="V312" s="71">
        <f t="shared" si="40"/>
        <v>0</v>
      </c>
      <c r="W312" s="71">
        <f t="shared" si="40"/>
        <v>0</v>
      </c>
      <c r="X312" s="71">
        <f t="shared" si="40"/>
        <v>0</v>
      </c>
      <c r="Y312" s="71">
        <f t="shared" si="40"/>
        <v>0</v>
      </c>
      <c r="Z312" s="71">
        <f t="shared" si="40"/>
        <v>0</v>
      </c>
      <c r="AA312" s="71">
        <f t="shared" si="40"/>
        <v>0</v>
      </c>
      <c r="AB312" s="71">
        <f t="shared" si="40"/>
        <v>0</v>
      </c>
      <c r="AC312" s="71">
        <f t="shared" si="40"/>
        <v>0</v>
      </c>
      <c r="AD312" s="71">
        <f t="shared" si="40"/>
        <v>0</v>
      </c>
      <c r="AE312" s="71">
        <f t="shared" si="40"/>
        <v>0</v>
      </c>
      <c r="AF312" s="71">
        <f t="shared" si="40"/>
        <v>0</v>
      </c>
    </row>
    <row r="313" spans="4:32">
      <c r="D313" s="66">
        <f>D$32</f>
        <v>5</v>
      </c>
      <c r="E313" s="66">
        <f>E$32</f>
        <v>5</v>
      </c>
      <c r="U313" s="71">
        <f t="shared" si="40"/>
        <v>0</v>
      </c>
      <c r="V313" s="71">
        <f t="shared" si="40"/>
        <v>0</v>
      </c>
      <c r="W313" s="71">
        <f t="shared" si="40"/>
        <v>0</v>
      </c>
      <c r="X313" s="71">
        <f t="shared" si="40"/>
        <v>0</v>
      </c>
      <c r="Y313" s="71">
        <f t="shared" si="40"/>
        <v>0</v>
      </c>
      <c r="Z313" s="71">
        <f t="shared" si="40"/>
        <v>0</v>
      </c>
      <c r="AA313" s="71">
        <f t="shared" si="40"/>
        <v>0</v>
      </c>
      <c r="AB313" s="71">
        <f t="shared" si="40"/>
        <v>0</v>
      </c>
      <c r="AC313" s="71">
        <f t="shared" si="40"/>
        <v>0</v>
      </c>
      <c r="AD313" s="71">
        <f t="shared" si="40"/>
        <v>0</v>
      </c>
      <c r="AE313" s="71">
        <f t="shared" si="40"/>
        <v>0</v>
      </c>
      <c r="AF313" s="71">
        <f t="shared" si="40"/>
        <v>0</v>
      </c>
    </row>
    <row r="314" spans="4:32">
      <c r="U314" s="73">
        <f>SUM(U289:U313)</f>
        <v>2140688.0490739997</v>
      </c>
      <c r="V314" s="73">
        <f t="shared" ref="V314:AF314" si="41">SUM(V289:V313)</f>
        <v>1958405.1707000001</v>
      </c>
      <c r="W314" s="73">
        <f t="shared" si="41"/>
        <v>2112073.2315320005</v>
      </c>
      <c r="X314" s="73">
        <f t="shared" si="41"/>
        <v>2278575.1435080003</v>
      </c>
      <c r="Y314" s="73">
        <f t="shared" si="41"/>
        <v>1980885.3081520004</v>
      </c>
      <c r="Z314" s="73">
        <f t="shared" si="41"/>
        <v>1972489.2230920002</v>
      </c>
      <c r="AA314" s="73">
        <f t="shared" si="41"/>
        <v>1871613.9835820005</v>
      </c>
      <c r="AB314" s="73">
        <f t="shared" si="41"/>
        <v>2159652.4687220003</v>
      </c>
      <c r="AC314" s="73">
        <f t="shared" si="41"/>
        <v>2128325.7489440003</v>
      </c>
      <c r="AD314" s="73">
        <f t="shared" si="41"/>
        <v>2204856.8127660002</v>
      </c>
      <c r="AE314" s="73">
        <f t="shared" si="41"/>
        <v>2041371.4988360004</v>
      </c>
      <c r="AF314" s="73">
        <f t="shared" si="41"/>
        <v>1909466.0784300005</v>
      </c>
    </row>
  </sheetData>
  <conditionalFormatting sqref="U204:AF228">
    <cfRule type="expression" dxfId="0" priority="1">
      <formula>AND(U204&gt;0,U175&gt;0)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5CC1-7D9C-47C5-A027-FC08277496A2}">
  <sheetPr>
    <tabColor theme="4" tint="-0.249977111117893"/>
  </sheetPr>
  <dimension ref="B2:S56"/>
  <sheetViews>
    <sheetView showGridLines="0" zoomScale="80" zoomScaleNormal="80" workbookViewId="0">
      <pane xSplit="3" ySplit="5" topLeftCell="D17" activePane="bottomRight" state="frozen"/>
      <selection pane="topRight"/>
      <selection pane="bottomLeft"/>
      <selection pane="bottomRight" activeCell="E43" sqref="E43"/>
    </sheetView>
  </sheetViews>
  <sheetFormatPr defaultRowHeight="13.8"/>
  <cols>
    <col min="1" max="1" width="2.296875" customWidth="1"/>
    <col min="2" max="2" width="1.5" customWidth="1"/>
    <col min="5" max="18" width="12.5" customWidth="1"/>
  </cols>
  <sheetData>
    <row r="2" spans="2:19" ht="23.4">
      <c r="B2" s="59" t="str">
        <f>CaseData!B2</f>
        <v>Big Fish Co.</v>
      </c>
    </row>
    <row r="3" spans="2:19" ht="18">
      <c r="B3" s="1" t="s">
        <v>8</v>
      </c>
    </row>
    <row r="5" spans="2:19" ht="14.4">
      <c r="E5" s="61">
        <f>'CaseSolution - Calculations'!U5</f>
        <v>43861</v>
      </c>
      <c r="F5" s="61">
        <f>'CaseSolution - Calculations'!V5</f>
        <v>43890</v>
      </c>
      <c r="G5" s="61">
        <f>'CaseSolution - Calculations'!W5</f>
        <v>43921</v>
      </c>
      <c r="H5" s="61">
        <f>'CaseSolution - Calculations'!X5</f>
        <v>43951</v>
      </c>
      <c r="I5" s="61">
        <f>'CaseSolution - Calculations'!Y5</f>
        <v>43982</v>
      </c>
      <c r="J5" s="61">
        <f>'CaseSolution - Calculations'!Z5</f>
        <v>44012</v>
      </c>
      <c r="K5" s="61">
        <f>'CaseSolution - Calculations'!AA5</f>
        <v>44043</v>
      </c>
      <c r="L5" s="61">
        <f>'CaseSolution - Calculations'!AB5</f>
        <v>44074</v>
      </c>
      <c r="M5" s="61">
        <f>'CaseSolution - Calculations'!AC5</f>
        <v>44104</v>
      </c>
      <c r="N5" s="61">
        <f>'CaseSolution - Calculations'!AD5</f>
        <v>44135</v>
      </c>
      <c r="O5" s="61">
        <f>'CaseSolution - Calculations'!AE5</f>
        <v>44165</v>
      </c>
      <c r="P5" s="61">
        <f>'CaseSolution - Calculations'!AF5</f>
        <v>44196</v>
      </c>
      <c r="Q5" s="60" t="s">
        <v>1</v>
      </c>
      <c r="R5" s="60" t="s">
        <v>41</v>
      </c>
    </row>
    <row r="7" spans="2:19" ht="14.4">
      <c r="B7" s="75" t="s">
        <v>42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9" spans="2:19" ht="14.4">
      <c r="B9" s="66">
        <v>1</v>
      </c>
      <c r="C9" t="str">
        <f>"Client "&amp;B9</f>
        <v>Client 1</v>
      </c>
      <c r="E9" s="82">
        <f>SUMIF('CaseSolution - Calculations'!$D$233:$D$257,$B9,'CaseSolution - Calculations'!U$233:U$257)</f>
        <v>465255.08880000003</v>
      </c>
      <c r="F9" s="82">
        <f>SUMIF('CaseSolution - Calculations'!$D$233:$D$257,$B9,'CaseSolution - Calculations'!V$233:V$257)</f>
        <v>239206.5036</v>
      </c>
      <c r="G9" s="82">
        <f>SUMIF('CaseSolution - Calculations'!$D$233:$D$257,$B9,'CaseSolution - Calculations'!W$233:W$257)</f>
        <v>237128.478</v>
      </c>
      <c r="H9" s="82">
        <f>SUMIF('CaseSolution - Calculations'!$D$233:$D$257,$B9,'CaseSolution - Calculations'!X$233:X$257)</f>
        <v>278555.83920000005</v>
      </c>
      <c r="I9" s="82">
        <f>SUMIF('CaseSolution - Calculations'!$D$233:$D$257,$B9,'CaseSolution - Calculations'!Y$233:Y$257)</f>
        <v>353406.45228000003</v>
      </c>
      <c r="J9" s="82">
        <f>SUMIF('CaseSolution - Calculations'!$D$233:$D$257,$B9,'CaseSolution - Calculations'!Z$233:Z$257)</f>
        <v>455370.71556000004</v>
      </c>
      <c r="K9" s="82">
        <f>SUMIF('CaseSolution - Calculations'!$D$233:$D$257,$B9,'CaseSolution - Calculations'!AA$233:AA$257)</f>
        <v>445532.61768000008</v>
      </c>
      <c r="L9" s="82">
        <f>SUMIF('CaseSolution - Calculations'!$D$233:$D$257,$B9,'CaseSolution - Calculations'!AB$233:AB$257)</f>
        <v>534480.40800000005</v>
      </c>
      <c r="M9" s="82">
        <f>SUMIF('CaseSolution - Calculations'!$D$233:$D$257,$B9,'CaseSolution - Calculations'!AC$233:AC$257)</f>
        <v>496536.79560000007</v>
      </c>
      <c r="N9" s="82">
        <f>SUMIF('CaseSolution - Calculations'!$D$233:$D$257,$B9,'CaseSolution - Calculations'!AD$233:AD$257)</f>
        <v>221558.56560000003</v>
      </c>
      <c r="O9" s="82">
        <f>SUMIF('CaseSolution - Calculations'!$D$233:$D$257,$B9,'CaseSolution - Calculations'!AE$233:AE$257)</f>
        <v>480971.24880000012</v>
      </c>
      <c r="P9" s="82">
        <f>SUMIF('CaseSolution - Calculations'!$D$233:$D$257,$B9,'CaseSolution - Calculations'!AF$233:AF$257)</f>
        <v>530208.66840000008</v>
      </c>
      <c r="Q9" s="71">
        <f>SUM(E9:P9)</f>
        <v>4738211.3815199994</v>
      </c>
      <c r="R9" s="71">
        <f>RANK(Q9,$Q$9:$Q$13)+COUNTIF(Q$9:Q9, Q9)-1</f>
        <v>3</v>
      </c>
      <c r="S9" s="83" t="s">
        <v>46</v>
      </c>
    </row>
    <row r="10" spans="2:19" ht="14.4">
      <c r="B10" s="66">
        <v>2</v>
      </c>
      <c r="C10" t="str">
        <f>"Client "&amp;B10</f>
        <v>Client 2</v>
      </c>
      <c r="E10" s="82">
        <f>SUMIF('CaseSolution - Calculations'!$D$233:$D$257,$B10,'CaseSolution - Calculations'!U$233:U$257)</f>
        <v>196205.12634799973</v>
      </c>
      <c r="F10" s="82">
        <f>SUMIF('CaseSolution - Calculations'!$D$233:$D$257,$B10,'CaseSolution - Calculations'!V$233:V$257)</f>
        <v>205465.91407999984</v>
      </c>
      <c r="G10" s="82">
        <f>SUMIF('CaseSolution - Calculations'!$D$233:$D$257,$B10,'CaseSolution - Calculations'!W$233:W$257)</f>
        <v>88478.31490400013</v>
      </c>
      <c r="H10" s="82">
        <f>SUMIF('CaseSolution - Calculations'!$D$233:$D$257,$B10,'CaseSolution - Calculations'!X$233:X$257)</f>
        <v>0</v>
      </c>
      <c r="I10" s="82">
        <f>SUMIF('CaseSolution - Calculations'!$D$233:$D$257,$B10,'CaseSolution - Calculations'!Y$233:Y$257)</f>
        <v>356951.62496000028</v>
      </c>
      <c r="J10" s="82">
        <f>SUMIF('CaseSolution - Calculations'!$D$233:$D$257,$B10,'CaseSolution - Calculations'!Z$233:Z$257)</f>
        <v>408808.03759999998</v>
      </c>
      <c r="K10" s="82">
        <f>SUMIF('CaseSolution - Calculations'!$D$233:$D$257,$B10,'CaseSolution - Calculations'!AA$233:AA$257)</f>
        <v>478364.29971200007</v>
      </c>
      <c r="L10" s="82">
        <f>SUMIF('CaseSolution - Calculations'!$D$233:$D$257,$B10,'CaseSolution - Calculations'!AB$233:AB$257)</f>
        <v>379898.955884</v>
      </c>
      <c r="M10" s="82">
        <f>SUMIF('CaseSolution - Calculations'!$D$233:$D$257,$B10,'CaseSolution - Calculations'!AC$233:AC$257)</f>
        <v>166506.80043200013</v>
      </c>
      <c r="N10" s="82">
        <f>SUMIF('CaseSolution - Calculations'!$D$233:$D$257,$B10,'CaseSolution - Calculations'!AD$233:AD$257)</f>
        <v>26271.283164000211</v>
      </c>
      <c r="O10" s="82">
        <f>SUMIF('CaseSolution - Calculations'!$D$233:$D$257,$B10,'CaseSolution - Calculations'!AE$233:AE$257)</f>
        <v>261399.3729200002</v>
      </c>
      <c r="P10" s="82">
        <f>SUMIF('CaseSolution - Calculations'!$D$233:$D$257,$B10,'CaseSolution - Calculations'!AF$233:AF$257)</f>
        <v>489225.71670000005</v>
      </c>
      <c r="Q10" s="71">
        <f t="shared" ref="Q10:Q13" si="0">SUM(E10:P10)</f>
        <v>3057575.4467040007</v>
      </c>
      <c r="R10" s="71">
        <f>RANK(Q10,$Q$9:$Q$13)+COUNTIF(Q$9:Q10, Q10)-1</f>
        <v>4</v>
      </c>
    </row>
    <row r="11" spans="2:19" ht="14.4">
      <c r="B11" s="66">
        <v>3</v>
      </c>
      <c r="C11" t="str">
        <f>"Client "&amp;B11</f>
        <v>Client 3</v>
      </c>
      <c r="E11" s="82">
        <f>SUMIF('CaseSolution - Calculations'!$D$233:$D$257,$B11,'CaseSolution - Calculations'!U$233:U$257)</f>
        <v>1008119.9620800002</v>
      </c>
      <c r="F11" s="82">
        <f>SUMIF('CaseSolution - Calculations'!$D$233:$D$257,$B11,'CaseSolution - Calculations'!V$233:V$257)</f>
        <v>1166334.5745840003</v>
      </c>
      <c r="G11" s="82">
        <f>SUMIF('CaseSolution - Calculations'!$D$233:$D$257,$B11,'CaseSolution - Calculations'!W$233:W$257)</f>
        <v>1113695.8119840003</v>
      </c>
      <c r="H11" s="82">
        <f>SUMIF('CaseSolution - Calculations'!$D$233:$D$257,$B11,'CaseSolution - Calculations'!X$233:X$257)</f>
        <v>971973.942576</v>
      </c>
      <c r="I11" s="82">
        <f>SUMIF('CaseSolution - Calculations'!$D$233:$D$257,$B11,'CaseSolution - Calculations'!Y$233:Y$257)</f>
        <v>1094743.2841920003</v>
      </c>
      <c r="J11" s="82">
        <f>SUMIF('CaseSolution - Calculations'!$D$233:$D$257,$B11,'CaseSolution - Calculations'!Z$233:Z$257)</f>
        <v>947009.91098400019</v>
      </c>
      <c r="K11" s="82">
        <f>SUMIF('CaseSolution - Calculations'!$D$233:$D$257,$B11,'CaseSolution - Calculations'!AA$233:AA$257)</f>
        <v>884676.63345600013</v>
      </c>
      <c r="L11" s="82">
        <f>SUMIF('CaseSolution - Calculations'!$D$233:$D$257,$B11,'CaseSolution - Calculations'!AB$233:AB$257)</f>
        <v>716452.50921600009</v>
      </c>
      <c r="M11" s="82">
        <f>SUMIF('CaseSolution - Calculations'!$D$233:$D$257,$B11,'CaseSolution - Calculations'!AC$233:AC$257)</f>
        <v>1137308.052288</v>
      </c>
      <c r="N11" s="82">
        <f>SUMIF('CaseSolution - Calculations'!$D$233:$D$257,$B11,'CaseSolution - Calculations'!AD$233:AD$257)</f>
        <v>1174665.9774240002</v>
      </c>
      <c r="O11" s="82">
        <f>SUMIF('CaseSolution - Calculations'!$D$233:$D$257,$B11,'CaseSolution - Calculations'!AE$233:AE$257)</f>
        <v>907736.94278400019</v>
      </c>
      <c r="P11" s="82">
        <f>SUMIF('CaseSolution - Calculations'!$D$233:$D$257,$B11,'CaseSolution - Calculations'!AF$233:AF$257)</f>
        <v>887082.19533600006</v>
      </c>
      <c r="Q11" s="71">
        <f t="shared" si="0"/>
        <v>12009799.796904001</v>
      </c>
      <c r="R11" s="71">
        <f>RANK(Q11,$Q$9:$Q$13)+COUNTIF(Q$9:Q11, Q11)-1</f>
        <v>2</v>
      </c>
    </row>
    <row r="12" spans="2:19" ht="14.4">
      <c r="B12" s="66">
        <v>4</v>
      </c>
      <c r="C12" t="str">
        <f>"Client "&amp;B12</f>
        <v>Client 4</v>
      </c>
      <c r="E12" s="82">
        <f>SUMIF('CaseSolution - Calculations'!$D$233:$D$257,$B12,'CaseSolution - Calculations'!U$233:U$257)</f>
        <v>2609106.4061999996</v>
      </c>
      <c r="F12" s="82">
        <f>SUMIF('CaseSolution - Calculations'!$D$233:$D$257,$B12,'CaseSolution - Calculations'!V$233:V$257)</f>
        <v>2016183.0981600001</v>
      </c>
      <c r="G12" s="82">
        <f>SUMIF('CaseSolution - Calculations'!$D$233:$D$257,$B12,'CaseSolution - Calculations'!W$233:W$257)</f>
        <v>2617854.1502400003</v>
      </c>
      <c r="H12" s="82">
        <f>SUMIF('CaseSolution - Calculations'!$D$233:$D$257,$B12,'CaseSolution - Calculations'!X$233:X$257)</f>
        <v>3339089.89848</v>
      </c>
      <c r="I12" s="82">
        <f>SUMIF('CaseSolution - Calculations'!$D$233:$D$257,$B12,'CaseSolution - Calculations'!Y$233:Y$257)</f>
        <v>1965965.9720399999</v>
      </c>
      <c r="J12" s="82">
        <f>SUMIF('CaseSolution - Calculations'!$D$233:$D$257,$B12,'CaseSolution - Calculations'!Z$233:Z$257)</f>
        <v>1920737.0397600001</v>
      </c>
      <c r="K12" s="82">
        <f>SUMIF('CaseSolution - Calculations'!$D$233:$D$257,$B12,'CaseSolution - Calculations'!AA$233:AA$257)</f>
        <v>1715634.6333120004</v>
      </c>
      <c r="L12" s="82">
        <f>SUMIF('CaseSolution - Calculations'!$D$233:$D$257,$B12,'CaseSolution - Calculations'!AB$233:AB$257)</f>
        <v>2755115.8009199998</v>
      </c>
      <c r="M12" s="82">
        <f>SUMIF('CaseSolution - Calculations'!$D$233:$D$257,$B12,'CaseSolution - Calculations'!AC$233:AC$257)</f>
        <v>2434191.6463199998</v>
      </c>
      <c r="N12" s="82">
        <f>SUMIF('CaseSolution - Calculations'!$D$233:$D$257,$B12,'CaseSolution - Calculations'!AD$233:AD$257)</f>
        <v>3058445.4238799997</v>
      </c>
      <c r="O12" s="82">
        <f>SUMIF('CaseSolution - Calculations'!$D$233:$D$257,$B12,'CaseSolution - Calculations'!AE$233:AE$257)</f>
        <v>2377408.0932</v>
      </c>
      <c r="P12" s="82">
        <f>SUMIF('CaseSolution - Calculations'!$D$233:$D$257,$B12,'CaseSolution - Calculations'!AF$233:AF$257)</f>
        <v>1779514.3724400001</v>
      </c>
      <c r="Q12" s="71">
        <f t="shared" si="0"/>
        <v>28589246.534951996</v>
      </c>
      <c r="R12" s="71">
        <f>RANK(Q12,$Q$9:$Q$13)+COUNTIF(Q$9:Q12, Q12)-1</f>
        <v>1</v>
      </c>
    </row>
    <row r="13" spans="2:19" ht="14.4">
      <c r="B13" s="66">
        <v>5</v>
      </c>
      <c r="C13" t="str">
        <f>"Client "&amp;B13</f>
        <v>Client 5</v>
      </c>
      <c r="E13" s="82">
        <f>SUMIF('CaseSolution - Calculations'!$D$233:$D$257,$B13,'CaseSolution - Calculations'!U$233:U$257)</f>
        <v>201000.68128000002</v>
      </c>
      <c r="F13" s="82">
        <f>SUMIF('CaseSolution - Calculations'!$D$233:$D$257,$B13,'CaseSolution - Calculations'!V$233:V$257)</f>
        <v>336551.94496000005</v>
      </c>
      <c r="G13" s="82">
        <f>SUMIF('CaseSolution - Calculations'!$D$233:$D$257,$B13,'CaseSolution - Calculations'!W$233:W$257)</f>
        <v>336551.94496000005</v>
      </c>
      <c r="H13" s="82">
        <f>SUMIF('CaseSolution - Calculations'!$D$233:$D$257,$B13,'CaseSolution - Calculations'!X$233:X$257)</f>
        <v>292156.73760000005</v>
      </c>
      <c r="I13" s="82">
        <f>SUMIF('CaseSolution - Calculations'!$D$233:$D$257,$B13,'CaseSolution - Calculations'!Y$233:Y$257)</f>
        <v>228994.10688000004</v>
      </c>
      <c r="J13" s="82">
        <f>SUMIF('CaseSolution - Calculations'!$D$233:$D$257,$B13,'CaseSolution - Calculations'!Z$233:Z$257)</f>
        <v>247682.67552000002</v>
      </c>
      <c r="K13" s="82">
        <f>SUMIF('CaseSolution - Calculations'!$D$233:$D$257,$B13,'CaseSolution - Calculations'!AA$233:AA$257)</f>
        <v>238377.81856000004</v>
      </c>
      <c r="L13" s="82">
        <f>SUMIF('CaseSolution - Calculations'!$D$233:$D$257,$B13,'CaseSolution - Calculations'!AB$233:AB$257)</f>
        <v>140203.69216000004</v>
      </c>
      <c r="M13" s="82">
        <f>SUMIF('CaseSolution - Calculations'!$D$233:$D$257,$B13,'CaseSolution - Calculations'!AC$233:AC$257)</f>
        <v>254700.74560000005</v>
      </c>
      <c r="N13" s="82">
        <f>SUMIF('CaseSolution - Calculations'!$D$233:$D$257,$B13,'CaseSolution - Calculations'!AD$233:AD$257)</f>
        <v>116862.69504000001</v>
      </c>
      <c r="O13" s="82">
        <f>SUMIF('CaseSolution - Calculations'!$D$233:$D$257,$B13,'CaseSolution - Calculations'!AE$233:AE$257)</f>
        <v>142569.33376000001</v>
      </c>
      <c r="P13" s="82">
        <f>SUMIF('CaseSolution - Calculations'!$D$233:$D$257,$B13,'CaseSolution - Calculations'!AF$233:AF$257)</f>
        <v>156605.47392000002</v>
      </c>
      <c r="Q13" s="71">
        <f t="shared" si="0"/>
        <v>2692257.8502400005</v>
      </c>
      <c r="R13" s="71">
        <f>RANK(Q13,$Q$9:$Q$13)+COUNTIF(Q$9:Q13, Q13)-1</f>
        <v>5</v>
      </c>
    </row>
    <row r="14" spans="2:19" ht="14.4">
      <c r="C14" s="2" t="s">
        <v>1</v>
      </c>
      <c r="E14" s="77">
        <f>SUM(E9:E13)</f>
        <v>4479687.2647079993</v>
      </c>
      <c r="F14" s="77">
        <f t="shared" ref="F14:Q14" si="1">SUM(F9:F13)</f>
        <v>3963742.0353840003</v>
      </c>
      <c r="G14" s="77">
        <f t="shared" si="1"/>
        <v>4393708.7000880009</v>
      </c>
      <c r="H14" s="77">
        <f t="shared" si="1"/>
        <v>4881776.4178559994</v>
      </c>
      <c r="I14" s="77">
        <f t="shared" si="1"/>
        <v>4000061.4403520003</v>
      </c>
      <c r="J14" s="77">
        <f t="shared" si="1"/>
        <v>3979608.3794240002</v>
      </c>
      <c r="K14" s="77">
        <f t="shared" si="1"/>
        <v>3762586.0027200007</v>
      </c>
      <c r="L14" s="77">
        <f t="shared" si="1"/>
        <v>4526151.3661799999</v>
      </c>
      <c r="M14" s="77">
        <f t="shared" si="1"/>
        <v>4489244.04024</v>
      </c>
      <c r="N14" s="77">
        <f t="shared" si="1"/>
        <v>4597803.9451079993</v>
      </c>
      <c r="O14" s="77">
        <f t="shared" si="1"/>
        <v>4170084.9914640002</v>
      </c>
      <c r="P14" s="77">
        <f t="shared" si="1"/>
        <v>3842636.4267960005</v>
      </c>
      <c r="Q14" s="77">
        <f t="shared" si="1"/>
        <v>51087091.01032</v>
      </c>
    </row>
    <row r="16" spans="2:19" ht="14.4">
      <c r="B16" s="2" t="s">
        <v>43</v>
      </c>
    </row>
    <row r="17" spans="2:18">
      <c r="B17" s="66">
        <v>1</v>
      </c>
      <c r="C17" t="str">
        <f>INDEX(C$9:C$13,MATCH($B17,$R$9:$R$13,0))</f>
        <v>Client 4</v>
      </c>
      <c r="E17" s="71">
        <f t="shared" ref="E17:P21" si="2">INDEX(E$9:E$13,MATCH($B17,$R$9:$R$13,0))</f>
        <v>2609106.4061999996</v>
      </c>
      <c r="F17" s="71">
        <f t="shared" si="2"/>
        <v>2016183.0981600001</v>
      </c>
      <c r="G17" s="71">
        <f t="shared" si="2"/>
        <v>2617854.1502400003</v>
      </c>
      <c r="H17" s="71">
        <f t="shared" si="2"/>
        <v>3339089.89848</v>
      </c>
      <c r="I17" s="71">
        <f t="shared" si="2"/>
        <v>1965965.9720399999</v>
      </c>
      <c r="J17" s="71">
        <f t="shared" si="2"/>
        <v>1920737.0397600001</v>
      </c>
      <c r="K17" s="71">
        <f t="shared" si="2"/>
        <v>1715634.6333120004</v>
      </c>
      <c r="L17" s="71">
        <f t="shared" si="2"/>
        <v>2755115.8009199998</v>
      </c>
      <c r="M17" s="71">
        <f t="shared" si="2"/>
        <v>2434191.6463199998</v>
      </c>
      <c r="N17" s="71">
        <f t="shared" si="2"/>
        <v>3058445.4238799997</v>
      </c>
      <c r="O17" s="71">
        <f t="shared" si="2"/>
        <v>2377408.0932</v>
      </c>
      <c r="P17" s="71">
        <f t="shared" si="2"/>
        <v>1779514.3724400001</v>
      </c>
      <c r="Q17" s="71">
        <f>SUM(E17:P17)</f>
        <v>28589246.534951996</v>
      </c>
    </row>
    <row r="18" spans="2:18">
      <c r="B18" s="66">
        <v>2</v>
      </c>
      <c r="C18" t="str">
        <f>INDEX(C$9:C$13,MATCH($B18,$R$9:$R$13,0))</f>
        <v>Client 3</v>
      </c>
      <c r="E18" s="71">
        <f t="shared" si="2"/>
        <v>1008119.9620800002</v>
      </c>
      <c r="F18" s="71">
        <f t="shared" si="2"/>
        <v>1166334.5745840003</v>
      </c>
      <c r="G18" s="71">
        <f t="shared" si="2"/>
        <v>1113695.8119840003</v>
      </c>
      <c r="H18" s="71">
        <f t="shared" si="2"/>
        <v>971973.942576</v>
      </c>
      <c r="I18" s="71">
        <f t="shared" si="2"/>
        <v>1094743.2841920003</v>
      </c>
      <c r="J18" s="71">
        <f t="shared" si="2"/>
        <v>947009.91098400019</v>
      </c>
      <c r="K18" s="71">
        <f t="shared" si="2"/>
        <v>884676.63345600013</v>
      </c>
      <c r="L18" s="71">
        <f t="shared" si="2"/>
        <v>716452.50921600009</v>
      </c>
      <c r="M18" s="71">
        <f t="shared" si="2"/>
        <v>1137308.052288</v>
      </c>
      <c r="N18" s="71">
        <f t="shared" si="2"/>
        <v>1174665.9774240002</v>
      </c>
      <c r="O18" s="71">
        <f t="shared" si="2"/>
        <v>907736.94278400019</v>
      </c>
      <c r="P18" s="71">
        <f t="shared" si="2"/>
        <v>887082.19533600006</v>
      </c>
      <c r="Q18" s="71">
        <f t="shared" ref="Q18:Q21" si="3">SUM(E18:P18)</f>
        <v>12009799.796904001</v>
      </c>
    </row>
    <row r="19" spans="2:18">
      <c r="B19" s="66">
        <v>3</v>
      </c>
      <c r="C19" t="str">
        <f>INDEX(C$9:C$13,MATCH($B19,$R$9:$R$13,0))</f>
        <v>Client 1</v>
      </c>
      <c r="E19" s="71">
        <f t="shared" si="2"/>
        <v>465255.08880000003</v>
      </c>
      <c r="F19" s="71">
        <f t="shared" si="2"/>
        <v>239206.5036</v>
      </c>
      <c r="G19" s="71">
        <f t="shared" si="2"/>
        <v>237128.478</v>
      </c>
      <c r="H19" s="71">
        <f t="shared" si="2"/>
        <v>278555.83920000005</v>
      </c>
      <c r="I19" s="71">
        <f t="shared" si="2"/>
        <v>353406.45228000003</v>
      </c>
      <c r="J19" s="71">
        <f t="shared" si="2"/>
        <v>455370.71556000004</v>
      </c>
      <c r="K19" s="71">
        <f t="shared" si="2"/>
        <v>445532.61768000008</v>
      </c>
      <c r="L19" s="71">
        <f t="shared" si="2"/>
        <v>534480.40800000005</v>
      </c>
      <c r="M19" s="71">
        <f t="shared" si="2"/>
        <v>496536.79560000007</v>
      </c>
      <c r="N19" s="71">
        <f t="shared" si="2"/>
        <v>221558.56560000003</v>
      </c>
      <c r="O19" s="71">
        <f t="shared" si="2"/>
        <v>480971.24880000012</v>
      </c>
      <c r="P19" s="71">
        <f t="shared" si="2"/>
        <v>530208.66840000008</v>
      </c>
      <c r="Q19" s="71">
        <f t="shared" si="3"/>
        <v>4738211.3815199994</v>
      </c>
    </row>
    <row r="20" spans="2:18">
      <c r="B20" s="66">
        <v>4</v>
      </c>
      <c r="C20" t="str">
        <f>INDEX(C$9:C$13,MATCH($B20,$R$9:$R$13,0))</f>
        <v>Client 2</v>
      </c>
      <c r="E20" s="71">
        <f t="shared" si="2"/>
        <v>196205.12634799973</v>
      </c>
      <c r="F20" s="71">
        <f t="shared" si="2"/>
        <v>205465.91407999984</v>
      </c>
      <c r="G20" s="71">
        <f t="shared" si="2"/>
        <v>88478.31490400013</v>
      </c>
      <c r="H20" s="71">
        <f t="shared" si="2"/>
        <v>0</v>
      </c>
      <c r="I20" s="71">
        <f t="shared" si="2"/>
        <v>356951.62496000028</v>
      </c>
      <c r="J20" s="71">
        <f t="shared" si="2"/>
        <v>408808.03759999998</v>
      </c>
      <c r="K20" s="71">
        <f t="shared" si="2"/>
        <v>478364.29971200007</v>
      </c>
      <c r="L20" s="71">
        <f t="shared" si="2"/>
        <v>379898.955884</v>
      </c>
      <c r="M20" s="71">
        <f t="shared" si="2"/>
        <v>166506.80043200013</v>
      </c>
      <c r="N20" s="71">
        <f t="shared" si="2"/>
        <v>26271.283164000211</v>
      </c>
      <c r="O20" s="71">
        <f t="shared" si="2"/>
        <v>261399.3729200002</v>
      </c>
      <c r="P20" s="71">
        <f t="shared" si="2"/>
        <v>489225.71670000005</v>
      </c>
      <c r="Q20" s="71">
        <f t="shared" si="3"/>
        <v>3057575.4467040007</v>
      </c>
    </row>
    <row r="21" spans="2:18">
      <c r="B21" s="66">
        <v>5</v>
      </c>
      <c r="C21" t="str">
        <f>INDEX(C$9:C$13,MATCH($B21,$R$9:$R$13,0))</f>
        <v>Client 5</v>
      </c>
      <c r="E21" s="71">
        <f t="shared" si="2"/>
        <v>201000.68128000002</v>
      </c>
      <c r="F21" s="71">
        <f t="shared" si="2"/>
        <v>336551.94496000005</v>
      </c>
      <c r="G21" s="71">
        <f t="shared" si="2"/>
        <v>336551.94496000005</v>
      </c>
      <c r="H21" s="71">
        <f t="shared" si="2"/>
        <v>292156.73760000005</v>
      </c>
      <c r="I21" s="71">
        <f t="shared" si="2"/>
        <v>228994.10688000004</v>
      </c>
      <c r="J21" s="71">
        <f t="shared" si="2"/>
        <v>247682.67552000002</v>
      </c>
      <c r="K21" s="71">
        <f t="shared" si="2"/>
        <v>238377.81856000004</v>
      </c>
      <c r="L21" s="71">
        <f t="shared" si="2"/>
        <v>140203.69216000004</v>
      </c>
      <c r="M21" s="71">
        <f t="shared" si="2"/>
        <v>254700.74560000005</v>
      </c>
      <c r="N21" s="71">
        <f t="shared" si="2"/>
        <v>116862.69504000001</v>
      </c>
      <c r="O21" s="71">
        <f t="shared" si="2"/>
        <v>142569.33376000001</v>
      </c>
      <c r="P21" s="71">
        <f t="shared" si="2"/>
        <v>156605.47392000002</v>
      </c>
      <c r="Q21" s="71">
        <f t="shared" si="3"/>
        <v>2692257.8502400005</v>
      </c>
    </row>
    <row r="22" spans="2:18" ht="14.4">
      <c r="C22" s="2" t="s">
        <v>1</v>
      </c>
      <c r="E22" s="77">
        <f>SUM(E17:E21)</f>
        <v>4479687.2647080002</v>
      </c>
      <c r="F22" s="77">
        <f t="shared" ref="F22:Q22" si="4">SUM(F17:F21)</f>
        <v>3963742.0353840003</v>
      </c>
      <c r="G22" s="77">
        <f t="shared" si="4"/>
        <v>4393708.7000880009</v>
      </c>
      <c r="H22" s="77">
        <f t="shared" si="4"/>
        <v>4881776.4178560004</v>
      </c>
      <c r="I22" s="77">
        <f t="shared" si="4"/>
        <v>4000061.4403519998</v>
      </c>
      <c r="J22" s="77">
        <f t="shared" si="4"/>
        <v>3979608.3794240002</v>
      </c>
      <c r="K22" s="77">
        <f t="shared" si="4"/>
        <v>3762586.0027200007</v>
      </c>
      <c r="L22" s="77">
        <f t="shared" si="4"/>
        <v>4526151.3661799999</v>
      </c>
      <c r="M22" s="77">
        <f t="shared" si="4"/>
        <v>4489244.04024</v>
      </c>
      <c r="N22" s="77">
        <f t="shared" si="4"/>
        <v>4597803.9451080002</v>
      </c>
      <c r="O22" s="77">
        <f t="shared" si="4"/>
        <v>4170084.9914640002</v>
      </c>
      <c r="P22" s="77">
        <f t="shared" si="4"/>
        <v>3842636.4267960005</v>
      </c>
      <c r="Q22" s="77">
        <f t="shared" si="4"/>
        <v>51087091.01032</v>
      </c>
    </row>
    <row r="24" spans="2:18" ht="14.4">
      <c r="B24" s="75" t="s">
        <v>44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</row>
    <row r="26" spans="2:18" ht="14.4">
      <c r="B26" s="66">
        <v>1</v>
      </c>
      <c r="C26" t="str">
        <f>"Product "&amp;B26</f>
        <v>Product 1</v>
      </c>
      <c r="E26" s="82">
        <f>SUMIF('CaseSolution - Calculations'!$E$261:$E$285,$B26,'CaseSolution - Calculations'!U$261:U$285)</f>
        <v>1723557.07</v>
      </c>
      <c r="F26" s="82">
        <f>SUMIF('CaseSolution - Calculations'!$E$261:$E$285,$B26,'CaseSolution - Calculations'!V$261:V$285)</f>
        <v>1287513.8800000001</v>
      </c>
      <c r="G26" s="82">
        <f>SUMIF('CaseSolution - Calculations'!$E$261:$E$285,$B26,'CaseSolution - Calculations'!W$261:W$285)</f>
        <v>1632961.24</v>
      </c>
      <c r="H26" s="82">
        <f>SUMIF('CaseSolution - Calculations'!$E$261:$E$285,$B26,'CaseSolution - Calculations'!X$261:X$285)</f>
        <v>2056926.27</v>
      </c>
      <c r="I26" s="82">
        <f>SUMIF('CaseSolution - Calculations'!$E$261:$E$285,$B26,'CaseSolution - Calculations'!Y$261:Y$285)</f>
        <v>1320722.3999999999</v>
      </c>
      <c r="J26" s="82">
        <f>SUMIF('CaseSolution - Calculations'!$E$261:$E$285,$B26,'CaseSolution - Calculations'!Z$261:Z$285)</f>
        <v>1337494.6499999999</v>
      </c>
      <c r="K26" s="82">
        <f>SUMIF('CaseSolution - Calculations'!$E$261:$E$285,$B26,'CaseSolution - Calculations'!AA$261:AA$285)</f>
        <v>1189469.78</v>
      </c>
      <c r="L26" s="82">
        <f>SUMIF('CaseSolution - Calculations'!$E$261:$E$285,$B26,'CaseSolution - Calculations'!AB$261:AB$285)</f>
        <v>1805591.83</v>
      </c>
      <c r="M26" s="82">
        <f>SUMIF('CaseSolution - Calculations'!$E$261:$E$285,$B26,'CaseSolution - Calculations'!AC$261:AC$285)</f>
        <v>1776040.5699999998</v>
      </c>
      <c r="N26" s="82">
        <f>SUMIF('CaseSolution - Calculations'!$E$261:$E$285,$B26,'CaseSolution - Calculations'!AD$261:AD$285)</f>
        <v>1785241.5</v>
      </c>
      <c r="O26" s="82">
        <f>SUMIF('CaseSolution - Calculations'!$E$261:$E$285,$B26,'CaseSolution - Calculations'!AE$261:AE$285)</f>
        <v>1463691.52</v>
      </c>
      <c r="P26" s="82">
        <f>SUMIF('CaseSolution - Calculations'!$E$261:$E$285,$B26,'CaseSolution - Calculations'!AF$261:AF$285)</f>
        <v>1227494.3700000001</v>
      </c>
      <c r="Q26" s="71">
        <f>SUM(E26:P26)</f>
        <v>18606705.080000002</v>
      </c>
      <c r="R26" s="71">
        <f>RANK(Q26,$Q$26:$Q$30)+COUNTIF(Q$26:Q26, Q26)-1</f>
        <v>1</v>
      </c>
    </row>
    <row r="27" spans="2:18" ht="14.4">
      <c r="B27" s="66">
        <v>2</v>
      </c>
      <c r="C27" t="str">
        <f>"Product "&amp;B27</f>
        <v>Product 2</v>
      </c>
      <c r="E27" s="82">
        <f>SUMIF('CaseSolution - Calculations'!$E$261:$E$285,$B27,'CaseSolution - Calculations'!U$261:U$285)</f>
        <v>397972.22322599997</v>
      </c>
      <c r="F27" s="82">
        <f>SUMIF('CaseSolution - Calculations'!$E$261:$E$285,$B27,'CaseSolution - Calculations'!V$261:V$285)</f>
        <v>382305.26017200004</v>
      </c>
      <c r="G27" s="82">
        <f>SUMIF('CaseSolution - Calculations'!$E$261:$E$285,$B27,'CaseSolution - Calculations'!W$261:W$285)</f>
        <v>419266.11725999997</v>
      </c>
      <c r="H27" s="82">
        <f>SUMIF('CaseSolution - Calculations'!$E$261:$E$285,$B27,'CaseSolution - Calculations'!X$261:X$285)</f>
        <v>391174.48902000004</v>
      </c>
      <c r="I27" s="82">
        <f>SUMIF('CaseSolution - Calculations'!$E$261:$E$285,$B27,'CaseSolution - Calculations'!Y$261:Y$285)</f>
        <v>370246.0028800001</v>
      </c>
      <c r="J27" s="82">
        <f>SUMIF('CaseSolution - Calculations'!$E$261:$E$285,$B27,'CaseSolution - Calculations'!Z$261:Z$285)</f>
        <v>239220.26169999997</v>
      </c>
      <c r="K27" s="82">
        <f>SUMIF('CaseSolution - Calculations'!$E$261:$E$285,$B27,'CaseSolution - Calculations'!AA$261:AA$285)</f>
        <v>258980.17562600001</v>
      </c>
      <c r="L27" s="82">
        <f>SUMIF('CaseSolution - Calculations'!$E$261:$E$285,$B27,'CaseSolution - Calculations'!AB$261:AB$285)</f>
        <v>269083.47282600001</v>
      </c>
      <c r="M27" s="82">
        <f>SUMIF('CaseSolution - Calculations'!$E$261:$E$285,$B27,'CaseSolution - Calculations'!AC$261:AC$285)</f>
        <v>287437.21175999998</v>
      </c>
      <c r="N27" s="82">
        <f>SUMIF('CaseSolution - Calculations'!$E$261:$E$285,$B27,'CaseSolution - Calculations'!AD$261:AD$285)</f>
        <v>367380.26796600001</v>
      </c>
      <c r="O27" s="82">
        <f>SUMIF('CaseSolution - Calculations'!$E$261:$E$285,$B27,'CaseSolution - Calculations'!AE$261:AE$285)</f>
        <v>340079.85219599999</v>
      </c>
      <c r="P27" s="82">
        <f>SUMIF('CaseSolution - Calculations'!$E$261:$E$285,$B27,'CaseSolution - Calculations'!AF$261:AF$285)</f>
        <v>331643.280318</v>
      </c>
      <c r="Q27" s="71">
        <f t="shared" ref="Q27:Q30" si="5">SUM(E27:P27)</f>
        <v>4054788.6149499994</v>
      </c>
      <c r="R27" s="71">
        <f>RANK(Q27,$Q$26:$Q$30)+COUNTIF(Q$26:Q27, Q27)-1</f>
        <v>2</v>
      </c>
    </row>
    <row r="28" spans="2:18" ht="14.4">
      <c r="B28" s="66">
        <v>3</v>
      </c>
      <c r="C28" t="str">
        <f>"Product "&amp;B28</f>
        <v>Product 3</v>
      </c>
      <c r="E28" s="82">
        <f>SUMIF('CaseSolution - Calculations'!$E$261:$E$285,$B28,'CaseSolution - Calculations'!U$261:U$285)</f>
        <v>88328.613887999905</v>
      </c>
      <c r="F28" s="82">
        <f>SUMIF('CaseSolution - Calculations'!$E$261:$E$285,$B28,'CaseSolution - Calculations'!V$261:V$285)</f>
        <v>99038.011391999942</v>
      </c>
      <c r="G28" s="82">
        <f>SUMIF('CaseSolution - Calculations'!$E$261:$E$285,$B28,'CaseSolution - Calculations'!W$261:W$285)</f>
        <v>49943.126016000046</v>
      </c>
      <c r="H28" s="82">
        <f>SUMIF('CaseSolution - Calculations'!$E$261:$E$285,$B28,'CaseSolution - Calculations'!X$261:X$285)</f>
        <v>14461.452288000002</v>
      </c>
      <c r="I28" s="82">
        <f>SUMIF('CaseSolution - Calculations'!$E$261:$E$285,$B28,'CaseSolution - Calculations'!Y$261:Y$285)</f>
        <v>147254.35392000002</v>
      </c>
      <c r="J28" s="82">
        <f>SUMIF('CaseSolution - Calculations'!$E$261:$E$285,$B28,'CaseSolution - Calculations'!Z$261:Z$285)</f>
        <v>156634.32499200001</v>
      </c>
      <c r="K28" s="82">
        <f>SUMIF('CaseSolution - Calculations'!$E$261:$E$285,$B28,'CaseSolution - Calculations'!AA$261:AA$285)</f>
        <v>198788.12467200018</v>
      </c>
      <c r="L28" s="82">
        <f>SUMIF('CaseSolution - Calculations'!$E$261:$E$285,$B28,'CaseSolution - Calculations'!AB$261:AB$285)</f>
        <v>150936.07219199999</v>
      </c>
      <c r="M28" s="82">
        <f>SUMIF('CaseSolution - Calculations'!$E$261:$E$285,$B28,'CaseSolution - Calculations'!AC$261:AC$285)</f>
        <v>79411.470336000042</v>
      </c>
      <c r="N28" s="82">
        <f>SUMIF('CaseSolution - Calculations'!$E$261:$E$285,$B28,'CaseSolution - Calculations'!AD$261:AD$285)</f>
        <v>20620.210176000081</v>
      </c>
      <c r="O28" s="82">
        <f>SUMIF('CaseSolution - Calculations'!$E$261:$E$285,$B28,'CaseSolution - Calculations'!AE$261:AE$285)</f>
        <v>110265.31123200007</v>
      </c>
      <c r="P28" s="82">
        <f>SUMIF('CaseSolution - Calculations'!$E$261:$E$285,$B28,'CaseSolution - Calculations'!AF$261:AF$285)</f>
        <v>194567.71276800003</v>
      </c>
      <c r="Q28" s="71">
        <f t="shared" si="5"/>
        <v>1310248.7838720004</v>
      </c>
      <c r="R28" s="71">
        <f>RANK(Q28,$Q$26:$Q$30)+COUNTIF(Q$26:Q28, Q28)-1</f>
        <v>4</v>
      </c>
    </row>
    <row r="29" spans="2:18" ht="14.4">
      <c r="B29" s="66">
        <v>4</v>
      </c>
      <c r="C29" t="str">
        <f>"Product "&amp;B29</f>
        <v>Product 4</v>
      </c>
      <c r="E29" s="82">
        <f>SUMIF('CaseSolution - Calculations'!$E$261:$E$285,$B29,'CaseSolution - Calculations'!U$261:U$285)</f>
        <v>0</v>
      </c>
      <c r="F29" s="82">
        <f>SUMIF('CaseSolution - Calculations'!$E$261:$E$285,$B29,'CaseSolution - Calculations'!V$261:V$285)</f>
        <v>0</v>
      </c>
      <c r="G29" s="82">
        <f>SUMIF('CaseSolution - Calculations'!$E$261:$E$285,$B29,'CaseSolution - Calculations'!W$261:W$285)</f>
        <v>0</v>
      </c>
      <c r="H29" s="82">
        <f>SUMIF('CaseSolution - Calculations'!$E$261:$E$285,$B29,'CaseSolution - Calculations'!X$261:X$285)</f>
        <v>0</v>
      </c>
      <c r="I29" s="82">
        <f>SUMIF('CaseSolution - Calculations'!$E$261:$E$285,$B29,'CaseSolution - Calculations'!Y$261:Y$285)</f>
        <v>0</v>
      </c>
      <c r="J29" s="82">
        <f>SUMIF('CaseSolution - Calculations'!$E$261:$E$285,$B29,'CaseSolution - Calculations'!Z$261:Z$285)</f>
        <v>0</v>
      </c>
      <c r="K29" s="82">
        <f>SUMIF('CaseSolution - Calculations'!$E$261:$E$285,$B29,'CaseSolution - Calculations'!AA$261:AA$285)</f>
        <v>0</v>
      </c>
      <c r="L29" s="82">
        <f>SUMIF('CaseSolution - Calculations'!$E$261:$E$285,$B29,'CaseSolution - Calculations'!AB$261:AB$285)</f>
        <v>0</v>
      </c>
      <c r="M29" s="82">
        <f>SUMIF('CaseSolution - Calculations'!$E$261:$E$285,$B29,'CaseSolution - Calculations'!AC$261:AC$285)</f>
        <v>0</v>
      </c>
      <c r="N29" s="82">
        <f>SUMIF('CaseSolution - Calculations'!$E$261:$E$285,$B29,'CaseSolution - Calculations'!AD$261:AD$285)</f>
        <v>0</v>
      </c>
      <c r="O29" s="82">
        <f>SUMIF('CaseSolution - Calculations'!$E$261:$E$285,$B29,'CaseSolution - Calculations'!AE$261:AE$285)</f>
        <v>0</v>
      </c>
      <c r="P29" s="82">
        <f>SUMIF('CaseSolution - Calculations'!$E$261:$E$285,$B29,'CaseSolution - Calculations'!AF$261:AF$285)</f>
        <v>0</v>
      </c>
      <c r="Q29" s="71">
        <f t="shared" si="5"/>
        <v>0</v>
      </c>
      <c r="R29" s="71">
        <f>RANK(Q29,$Q$26:$Q$30)+COUNTIF(Q$26:Q29, Q29)-1</f>
        <v>5</v>
      </c>
    </row>
    <row r="30" spans="2:18" ht="14.4">
      <c r="B30" s="66">
        <v>5</v>
      </c>
      <c r="C30" t="str">
        <f>"Product "&amp;B30</f>
        <v>Product 5</v>
      </c>
      <c r="E30" s="82">
        <f>SUMIF('CaseSolution - Calculations'!$E$261:$E$285,$B30,'CaseSolution - Calculations'!U$261:U$285)</f>
        <v>129141.30852000002</v>
      </c>
      <c r="F30" s="82">
        <f>SUMIF('CaseSolution - Calculations'!$E$261:$E$285,$B30,'CaseSolution - Calculations'!V$261:V$285)</f>
        <v>236479.71312000003</v>
      </c>
      <c r="G30" s="82">
        <f>SUMIF('CaseSolution - Calculations'!$E$261:$E$285,$B30,'CaseSolution - Calculations'!W$261:W$285)</f>
        <v>179464.98528000002</v>
      </c>
      <c r="H30" s="82">
        <f>SUMIF('CaseSolution - Calculations'!$E$261:$E$285,$B30,'CaseSolution - Calculations'!X$261:X$285)</f>
        <v>140639.06303999998</v>
      </c>
      <c r="I30" s="82">
        <f>SUMIF('CaseSolution - Calculations'!$E$261:$E$285,$B30,'CaseSolution - Calculations'!Y$261:Y$285)</f>
        <v>180953.37540000002</v>
      </c>
      <c r="J30" s="82">
        <f>SUMIF('CaseSolution - Calculations'!$E$261:$E$285,$B30,'CaseSolution - Calculations'!Z$261:Z$285)</f>
        <v>273769.91963999998</v>
      </c>
      <c r="K30" s="82">
        <f>SUMIF('CaseSolution - Calculations'!$E$261:$E$285,$B30,'CaseSolution - Calculations'!AA$261:AA$285)</f>
        <v>243733.93884000002</v>
      </c>
      <c r="L30" s="82">
        <f>SUMIF('CaseSolution - Calculations'!$E$261:$E$285,$B30,'CaseSolution - Calculations'!AB$261:AB$285)</f>
        <v>140887.52244</v>
      </c>
      <c r="M30" s="82">
        <f>SUMIF('CaseSolution - Calculations'!$E$261:$E$285,$B30,'CaseSolution - Calculations'!AC$261:AC$285)</f>
        <v>218029.03920000003</v>
      </c>
      <c r="N30" s="82">
        <f>SUMIF('CaseSolution - Calculations'!$E$261:$E$285,$B30,'CaseSolution - Calculations'!AD$261:AD$285)</f>
        <v>219705.15420000002</v>
      </c>
      <c r="O30" s="82">
        <f>SUMIF('CaseSolution - Calculations'!$E$261:$E$285,$B30,'CaseSolution - Calculations'!AE$261:AE$285)</f>
        <v>214676.80920000002</v>
      </c>
      <c r="P30" s="82">
        <f>SUMIF('CaseSolution - Calculations'!$E$261:$E$285,$B30,'CaseSolution - Calculations'!AF$261:AF$285)</f>
        <v>179464.98528000002</v>
      </c>
      <c r="Q30" s="71">
        <f t="shared" si="5"/>
        <v>2356945.8141600001</v>
      </c>
      <c r="R30" s="71">
        <f>RANK(Q30,$Q$26:$Q$30)+COUNTIF(Q$26:Q30, Q30)-1</f>
        <v>3</v>
      </c>
    </row>
    <row r="31" spans="2:18" ht="14.4">
      <c r="C31" s="2" t="s">
        <v>1</v>
      </c>
      <c r="E31" s="77">
        <f>SUM(E26:E30)</f>
        <v>2338999.215634</v>
      </c>
      <c r="F31" s="77">
        <f t="shared" ref="F31:Q31" si="6">SUM(F26:F30)</f>
        <v>2005336.8646839999</v>
      </c>
      <c r="G31" s="77">
        <f t="shared" si="6"/>
        <v>2281635.4685559999</v>
      </c>
      <c r="H31" s="77">
        <f t="shared" si="6"/>
        <v>2603201.2743480001</v>
      </c>
      <c r="I31" s="77">
        <f t="shared" si="6"/>
        <v>2019176.1322000001</v>
      </c>
      <c r="J31" s="77">
        <f t="shared" si="6"/>
        <v>2007119.1563319997</v>
      </c>
      <c r="K31" s="77">
        <f t="shared" si="6"/>
        <v>1890972.019138</v>
      </c>
      <c r="L31" s="77">
        <f t="shared" si="6"/>
        <v>2366498.8974580001</v>
      </c>
      <c r="M31" s="77">
        <f t="shared" si="6"/>
        <v>2360918.2912959997</v>
      </c>
      <c r="N31" s="77">
        <f t="shared" si="6"/>
        <v>2392947.132342</v>
      </c>
      <c r="O31" s="77">
        <f t="shared" si="6"/>
        <v>2128713.4926280002</v>
      </c>
      <c r="P31" s="77">
        <f t="shared" si="6"/>
        <v>1933170.3483660002</v>
      </c>
      <c r="Q31" s="77">
        <f t="shared" si="6"/>
        <v>26328688.292982001</v>
      </c>
    </row>
    <row r="33" spans="2:18" ht="14.4">
      <c r="B33" s="2" t="s">
        <v>43</v>
      </c>
    </row>
    <row r="34" spans="2:18">
      <c r="B34" s="66">
        <v>1</v>
      </c>
      <c r="C34" t="str">
        <f>INDEX(C$26:C$30,MATCH($B34,$R$26:$R$30,0))</f>
        <v>Product 1</v>
      </c>
      <c r="E34" s="71">
        <f>INDEX(E$26:E$30,MATCH($B34,$R$26:$R$30,0))</f>
        <v>1723557.07</v>
      </c>
      <c r="F34" s="71">
        <f t="shared" ref="E34:P38" si="7">INDEX(F$26:F$30,MATCH($B34,$R$26:$R$30,0))</f>
        <v>1287513.8800000001</v>
      </c>
      <c r="G34" s="71">
        <f t="shared" si="7"/>
        <v>1632961.24</v>
      </c>
      <c r="H34" s="71">
        <f t="shared" si="7"/>
        <v>2056926.27</v>
      </c>
      <c r="I34" s="71">
        <f t="shared" si="7"/>
        <v>1320722.3999999999</v>
      </c>
      <c r="J34" s="71">
        <f t="shared" si="7"/>
        <v>1337494.6499999999</v>
      </c>
      <c r="K34" s="71">
        <f t="shared" si="7"/>
        <v>1189469.78</v>
      </c>
      <c r="L34" s="71">
        <f t="shared" si="7"/>
        <v>1805591.83</v>
      </c>
      <c r="M34" s="71">
        <f t="shared" si="7"/>
        <v>1776040.5699999998</v>
      </c>
      <c r="N34" s="71">
        <f t="shared" si="7"/>
        <v>1785241.5</v>
      </c>
      <c r="O34" s="71">
        <f t="shared" si="7"/>
        <v>1463691.52</v>
      </c>
      <c r="P34" s="71">
        <f t="shared" si="7"/>
        <v>1227494.3700000001</v>
      </c>
      <c r="Q34" s="71">
        <f>SUM(E34:P34)</f>
        <v>18606705.080000002</v>
      </c>
    </row>
    <row r="35" spans="2:18">
      <c r="B35" s="66">
        <v>2</v>
      </c>
      <c r="C35" t="str">
        <f>INDEX(C$26:C$30,MATCH($B35,$R$26:$R$30,0))</f>
        <v>Product 2</v>
      </c>
      <c r="E35" s="71">
        <f t="shared" si="7"/>
        <v>397972.22322599997</v>
      </c>
      <c r="F35" s="71">
        <f t="shared" si="7"/>
        <v>382305.26017200004</v>
      </c>
      <c r="G35" s="71">
        <f t="shared" si="7"/>
        <v>419266.11725999997</v>
      </c>
      <c r="H35" s="71">
        <f t="shared" si="7"/>
        <v>391174.48902000004</v>
      </c>
      <c r="I35" s="71">
        <f t="shared" si="7"/>
        <v>370246.0028800001</v>
      </c>
      <c r="J35" s="71">
        <f t="shared" si="7"/>
        <v>239220.26169999997</v>
      </c>
      <c r="K35" s="71">
        <f t="shared" si="7"/>
        <v>258980.17562600001</v>
      </c>
      <c r="L35" s="71">
        <f t="shared" si="7"/>
        <v>269083.47282600001</v>
      </c>
      <c r="M35" s="71">
        <f t="shared" si="7"/>
        <v>287437.21175999998</v>
      </c>
      <c r="N35" s="71">
        <f t="shared" si="7"/>
        <v>367380.26796600001</v>
      </c>
      <c r="O35" s="71">
        <f t="shared" si="7"/>
        <v>340079.85219599999</v>
      </c>
      <c r="P35" s="71">
        <f t="shared" si="7"/>
        <v>331643.280318</v>
      </c>
      <c r="Q35" s="71">
        <f t="shared" ref="Q35:Q38" si="8">SUM(E35:P35)</f>
        <v>4054788.6149499994</v>
      </c>
    </row>
    <row r="36" spans="2:18">
      <c r="B36" s="66">
        <v>3</v>
      </c>
      <c r="C36" t="str">
        <f>INDEX(C$26:C$30,MATCH($B36,$R$26:$R$30,0))</f>
        <v>Product 5</v>
      </c>
      <c r="E36" s="71">
        <f t="shared" si="7"/>
        <v>129141.30852000002</v>
      </c>
      <c r="F36" s="71">
        <f t="shared" si="7"/>
        <v>236479.71312000003</v>
      </c>
      <c r="G36" s="71">
        <f t="shared" si="7"/>
        <v>179464.98528000002</v>
      </c>
      <c r="H36" s="71">
        <f t="shared" si="7"/>
        <v>140639.06303999998</v>
      </c>
      <c r="I36" s="71">
        <f t="shared" si="7"/>
        <v>180953.37540000002</v>
      </c>
      <c r="J36" s="71">
        <f t="shared" si="7"/>
        <v>273769.91963999998</v>
      </c>
      <c r="K36" s="71">
        <f t="shared" si="7"/>
        <v>243733.93884000002</v>
      </c>
      <c r="L36" s="71">
        <f t="shared" si="7"/>
        <v>140887.52244</v>
      </c>
      <c r="M36" s="71">
        <f t="shared" si="7"/>
        <v>218029.03920000003</v>
      </c>
      <c r="N36" s="71">
        <f t="shared" si="7"/>
        <v>219705.15420000002</v>
      </c>
      <c r="O36" s="71">
        <f t="shared" si="7"/>
        <v>214676.80920000002</v>
      </c>
      <c r="P36" s="71">
        <f t="shared" si="7"/>
        <v>179464.98528000002</v>
      </c>
      <c r="Q36" s="71">
        <f t="shared" si="8"/>
        <v>2356945.8141600001</v>
      </c>
    </row>
    <row r="37" spans="2:18">
      <c r="B37" s="66">
        <v>4</v>
      </c>
      <c r="C37" t="str">
        <f>INDEX(C$26:C$30,MATCH($B37,$R$26:$R$30,0))</f>
        <v>Product 3</v>
      </c>
      <c r="E37" s="71">
        <f t="shared" si="7"/>
        <v>88328.613887999905</v>
      </c>
      <c r="F37" s="71">
        <f t="shared" si="7"/>
        <v>99038.011391999942</v>
      </c>
      <c r="G37" s="71">
        <f t="shared" si="7"/>
        <v>49943.126016000046</v>
      </c>
      <c r="H37" s="71">
        <f t="shared" si="7"/>
        <v>14461.452288000002</v>
      </c>
      <c r="I37" s="71">
        <f t="shared" si="7"/>
        <v>147254.35392000002</v>
      </c>
      <c r="J37" s="71">
        <f t="shared" si="7"/>
        <v>156634.32499200001</v>
      </c>
      <c r="K37" s="71">
        <f t="shared" si="7"/>
        <v>198788.12467200018</v>
      </c>
      <c r="L37" s="71">
        <f t="shared" si="7"/>
        <v>150936.07219199999</v>
      </c>
      <c r="M37" s="71">
        <f t="shared" si="7"/>
        <v>79411.470336000042</v>
      </c>
      <c r="N37" s="71">
        <f t="shared" si="7"/>
        <v>20620.210176000081</v>
      </c>
      <c r="O37" s="71">
        <f t="shared" si="7"/>
        <v>110265.31123200007</v>
      </c>
      <c r="P37" s="71">
        <f t="shared" si="7"/>
        <v>194567.71276800003</v>
      </c>
      <c r="Q37" s="71">
        <f t="shared" si="8"/>
        <v>1310248.7838720004</v>
      </c>
    </row>
    <row r="38" spans="2:18">
      <c r="B38" s="66">
        <v>5</v>
      </c>
      <c r="C38" t="str">
        <f>INDEX(C$26:C$30,MATCH($B38,$R$26:$R$30,0))</f>
        <v>Product 4</v>
      </c>
      <c r="E38" s="71">
        <f t="shared" si="7"/>
        <v>0</v>
      </c>
      <c r="F38" s="71">
        <f t="shared" si="7"/>
        <v>0</v>
      </c>
      <c r="G38" s="71">
        <f t="shared" si="7"/>
        <v>0</v>
      </c>
      <c r="H38" s="71">
        <f t="shared" si="7"/>
        <v>0</v>
      </c>
      <c r="I38" s="71">
        <f t="shared" si="7"/>
        <v>0</v>
      </c>
      <c r="J38" s="71">
        <f t="shared" si="7"/>
        <v>0</v>
      </c>
      <c r="K38" s="71">
        <f t="shared" si="7"/>
        <v>0</v>
      </c>
      <c r="L38" s="71">
        <f t="shared" si="7"/>
        <v>0</v>
      </c>
      <c r="M38" s="71">
        <f t="shared" si="7"/>
        <v>0</v>
      </c>
      <c r="N38" s="71">
        <f t="shared" si="7"/>
        <v>0</v>
      </c>
      <c r="O38" s="71">
        <f t="shared" si="7"/>
        <v>0</v>
      </c>
      <c r="P38" s="71">
        <f t="shared" si="7"/>
        <v>0</v>
      </c>
      <c r="Q38" s="71">
        <f t="shared" si="8"/>
        <v>0</v>
      </c>
    </row>
    <row r="39" spans="2:18" ht="14.4">
      <c r="C39" s="2" t="s">
        <v>1</v>
      </c>
      <c r="E39" s="77">
        <f>SUM(E34:E38)</f>
        <v>2338999.2156339996</v>
      </c>
      <c r="F39" s="77">
        <f t="shared" ref="F39:Q39" si="9">SUM(F34:F38)</f>
        <v>2005336.8646839999</v>
      </c>
      <c r="G39" s="77">
        <f t="shared" si="9"/>
        <v>2281635.4685559999</v>
      </c>
      <c r="H39" s="77">
        <f t="shared" si="9"/>
        <v>2603201.2743480001</v>
      </c>
      <c r="I39" s="77">
        <f t="shared" si="9"/>
        <v>2019176.1321999999</v>
      </c>
      <c r="J39" s="77">
        <f t="shared" si="9"/>
        <v>2007119.1563319997</v>
      </c>
      <c r="K39" s="77">
        <f t="shared" si="9"/>
        <v>1890972.019138</v>
      </c>
      <c r="L39" s="77">
        <f t="shared" si="9"/>
        <v>2366498.8974580001</v>
      </c>
      <c r="M39" s="77">
        <f t="shared" si="9"/>
        <v>2360918.2912959997</v>
      </c>
      <c r="N39" s="77">
        <f t="shared" si="9"/>
        <v>2392947.132342</v>
      </c>
      <c r="O39" s="77">
        <f t="shared" si="9"/>
        <v>2128713.4926280002</v>
      </c>
      <c r="P39" s="77">
        <f t="shared" si="9"/>
        <v>1933170.3483660002</v>
      </c>
      <c r="Q39" s="77">
        <f t="shared" si="9"/>
        <v>26328688.292982001</v>
      </c>
    </row>
    <row r="41" spans="2:18" ht="14.4">
      <c r="B41" s="75" t="s">
        <v>45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</row>
    <row r="43" spans="2:18" ht="14.4">
      <c r="B43" s="66">
        <v>1</v>
      </c>
      <c r="C43" t="str">
        <f>"Product "&amp;B43</f>
        <v>Product 1</v>
      </c>
      <c r="E43" s="82">
        <f>SUMIF('CaseSolution - Calculations'!$E$175:$E$199,$B43,'CaseSolution - Calculations'!U$175:U$199)</f>
        <v>64432.04</v>
      </c>
      <c r="F43" s="82">
        <f>SUMIF('CaseSolution - Calculations'!$E$175:$E$199,$B43,'CaseSolution - Calculations'!V$175:V$199)</f>
        <v>48131.360000000001</v>
      </c>
      <c r="G43" s="82">
        <f>SUMIF('CaseSolution - Calculations'!$E$175:$E$199,$B43,'CaseSolution - Calculations'!W$175:W$199)</f>
        <v>61045.279999999999</v>
      </c>
      <c r="H43" s="82">
        <f>SUMIF('CaseSolution - Calculations'!$E$175:$E$199,$B43,'CaseSolution - Calculations'!X$175:X$199)</f>
        <v>76894.44</v>
      </c>
      <c r="I43" s="82">
        <f>SUMIF('CaseSolution - Calculations'!$E$175:$E$199,$B43,'CaseSolution - Calculations'!Y$175:Y$199)</f>
        <v>49372.800000000003</v>
      </c>
      <c r="J43" s="82">
        <f>SUMIF('CaseSolution - Calculations'!$E$175:$E$199,$B43,'CaseSolution - Calculations'!Z$175:Z$199)</f>
        <v>49999.8</v>
      </c>
      <c r="K43" s="82">
        <f>SUMIF('CaseSolution - Calculations'!$E$175:$E$199,$B43,'CaseSolution - Calculations'!AA$175:AA$199)</f>
        <v>44466.16</v>
      </c>
      <c r="L43" s="82">
        <f>SUMIF('CaseSolution - Calculations'!$E$175:$E$199,$B43,'CaseSolution - Calculations'!AB$175:AB$199)</f>
        <v>67498.759999999995</v>
      </c>
      <c r="M43" s="82">
        <f>SUMIF('CaseSolution - Calculations'!$E$175:$E$199,$B43,'CaseSolution - Calculations'!AC$175:AC$199)</f>
        <v>66394.040000000008</v>
      </c>
      <c r="N43" s="82">
        <f>SUMIF('CaseSolution - Calculations'!$E$175:$E$199,$B43,'CaseSolution - Calculations'!AD$175:AD$199)</f>
        <v>66738</v>
      </c>
      <c r="O43" s="82">
        <f>SUMIF('CaseSolution - Calculations'!$E$175:$E$199,$B43,'CaseSolution - Calculations'!AE$175:AE$199)</f>
        <v>54717.440000000002</v>
      </c>
      <c r="P43" s="82">
        <f>SUMIF('CaseSolution - Calculations'!$E$175:$E$199,$B43,'CaseSolution - Calculations'!AF$175:AF$199)</f>
        <v>45887.64</v>
      </c>
      <c r="Q43" s="71">
        <f>SUM(E43:P43)</f>
        <v>695577.76000000013</v>
      </c>
      <c r="R43" s="71">
        <f>RANK(Q43,$Q$43:$Q$47)+COUNTIF(Q$43:Q43, Q43)-1</f>
        <v>1</v>
      </c>
    </row>
    <row r="44" spans="2:18" ht="14.4">
      <c r="B44" s="66">
        <v>2</v>
      </c>
      <c r="C44" t="str">
        <f>"Product "&amp;B44</f>
        <v>Product 2</v>
      </c>
      <c r="E44" s="82">
        <f>SUMIF('CaseSolution - Calculations'!$E$175:$E$199,$B44,'CaseSolution - Calculations'!U$175:U$199)</f>
        <v>49946.94</v>
      </c>
      <c r="F44" s="82">
        <f>SUMIF('CaseSolution - Calculations'!$E$175:$E$199,$B44,'CaseSolution - Calculations'!V$175:V$199)</f>
        <v>47980.68</v>
      </c>
      <c r="G44" s="82">
        <f>SUMIF('CaseSolution - Calculations'!$E$175:$E$199,$B44,'CaseSolution - Calculations'!W$175:W$199)</f>
        <v>52619.4</v>
      </c>
      <c r="H44" s="82">
        <f>SUMIF('CaseSolution - Calculations'!$E$175:$E$199,$B44,'CaseSolution - Calculations'!X$175:X$199)</f>
        <v>49093.8</v>
      </c>
      <c r="I44" s="82">
        <f>SUMIF('CaseSolution - Calculations'!$E$175:$E$199,$B44,'CaseSolution - Calculations'!Y$175:Y$199)</f>
        <v>46467.200000000012</v>
      </c>
      <c r="J44" s="82">
        <f>SUMIF('CaseSolution - Calculations'!$E$175:$E$199,$B44,'CaseSolution - Calculations'!Z$175:Z$199)</f>
        <v>30022.999999999993</v>
      </c>
      <c r="K44" s="82">
        <f>SUMIF('CaseSolution - Calculations'!$E$175:$E$199,$B44,'CaseSolution - Calculations'!AA$175:AA$199)</f>
        <v>32502.940000000002</v>
      </c>
      <c r="L44" s="82">
        <f>SUMIF('CaseSolution - Calculations'!$E$175:$E$199,$B44,'CaseSolution - Calculations'!AB$175:AB$199)</f>
        <v>33770.94</v>
      </c>
      <c r="M44" s="82">
        <f>SUMIF('CaseSolution - Calculations'!$E$175:$E$199,$B44,'CaseSolution - Calculations'!AC$175:AC$199)</f>
        <v>36074.400000000001</v>
      </c>
      <c r="N44" s="82">
        <f>SUMIF('CaseSolution - Calculations'!$E$175:$E$199,$B44,'CaseSolution - Calculations'!AD$175:AD$199)</f>
        <v>46107.54</v>
      </c>
      <c r="O44" s="82">
        <f>SUMIF('CaseSolution - Calculations'!$E$175:$E$199,$B44,'CaseSolution - Calculations'!AE$175:AE$199)</f>
        <v>42681.24</v>
      </c>
      <c r="P44" s="82">
        <f>SUMIF('CaseSolution - Calculations'!$E$175:$E$199,$B44,'CaseSolution - Calculations'!AF$175:AF$199)</f>
        <v>41622.42</v>
      </c>
      <c r="Q44" s="71">
        <f t="shared" ref="Q44:Q47" si="10">SUM(E44:P44)</f>
        <v>508890.5</v>
      </c>
      <c r="R44" s="71">
        <f>RANK(Q44,$Q$43:$Q$47)+COUNTIF(Q$43:Q44, Q44)-1</f>
        <v>2</v>
      </c>
    </row>
    <row r="45" spans="2:18" ht="14.4">
      <c r="B45" s="66">
        <v>3</v>
      </c>
      <c r="C45" t="str">
        <f>"Product "&amp;B45</f>
        <v>Product 3</v>
      </c>
      <c r="E45" s="82">
        <f>SUMIF('CaseSolution - Calculations'!$E$175:$E$199,$B45,'CaseSolution - Calculations'!U$175:U$199)</f>
        <v>15973.779999999981</v>
      </c>
      <c r="F45" s="82">
        <f>SUMIF('CaseSolution - Calculations'!$E$175:$E$199,$B45,'CaseSolution - Calculations'!V$175:V$199)</f>
        <v>17910.51999999999</v>
      </c>
      <c r="G45" s="82">
        <f>SUMIF('CaseSolution - Calculations'!$E$175:$E$199,$B45,'CaseSolution - Calculations'!W$175:W$199)</f>
        <v>9031.9600000000082</v>
      </c>
      <c r="H45" s="82">
        <f>SUMIF('CaseSolution - Calculations'!$E$175:$E$199,$B45,'CaseSolution - Calculations'!X$175:X$199)</f>
        <v>2615.2800000000002</v>
      </c>
      <c r="I45" s="82">
        <f>SUMIF('CaseSolution - Calculations'!$E$175:$E$199,$B45,'CaseSolution - Calculations'!Y$175:Y$199)</f>
        <v>26630.200000000004</v>
      </c>
      <c r="J45" s="82">
        <f>SUMIF('CaseSolution - Calculations'!$E$175:$E$199,$B45,'CaseSolution - Calculations'!Z$175:Z$199)</f>
        <v>28326.52</v>
      </c>
      <c r="K45" s="82">
        <f>SUMIF('CaseSolution - Calculations'!$E$175:$E$199,$B45,'CaseSolution - Calculations'!AA$175:AA$199)</f>
        <v>35949.820000000036</v>
      </c>
      <c r="L45" s="82">
        <f>SUMIF('CaseSolution - Calculations'!$E$175:$E$199,$B45,'CaseSolution - Calculations'!AB$175:AB$199)</f>
        <v>27296.019999999997</v>
      </c>
      <c r="M45" s="82">
        <f>SUMIF('CaseSolution - Calculations'!$E$175:$E$199,$B45,'CaseSolution - Calculations'!AC$175:AC$199)</f>
        <v>14361.160000000007</v>
      </c>
      <c r="N45" s="82">
        <f>SUMIF('CaseSolution - Calculations'!$E$175:$E$199,$B45,'CaseSolution - Calculations'!AD$175:AD$199)</f>
        <v>3729.060000000014</v>
      </c>
      <c r="O45" s="82">
        <f>SUMIF('CaseSolution - Calculations'!$E$175:$E$199,$B45,'CaseSolution - Calculations'!AE$175:AE$199)</f>
        <v>19940.920000000013</v>
      </c>
      <c r="P45" s="82">
        <f>SUMIF('CaseSolution - Calculations'!$E$175:$E$199,$B45,'CaseSolution - Calculations'!AF$175:AF$199)</f>
        <v>35186.58</v>
      </c>
      <c r="Q45" s="71">
        <f t="shared" si="10"/>
        <v>236951.82000000007</v>
      </c>
      <c r="R45" s="71">
        <f>RANK(Q45,$Q$43:$Q$47)+COUNTIF(Q$43:Q45, Q45)-1</f>
        <v>4</v>
      </c>
    </row>
    <row r="46" spans="2:18" ht="14.4">
      <c r="B46" s="66">
        <v>4</v>
      </c>
      <c r="C46" t="str">
        <f>"Product "&amp;B46</f>
        <v>Product 4</v>
      </c>
      <c r="E46" s="82">
        <f>SUMIF('CaseSolution - Calculations'!$E$175:$E$199,$B46,'CaseSolution - Calculations'!U$175:U$199)</f>
        <v>0</v>
      </c>
      <c r="F46" s="82">
        <f>SUMIF('CaseSolution - Calculations'!$E$175:$E$199,$B46,'CaseSolution - Calculations'!V$175:V$199)</f>
        <v>0</v>
      </c>
      <c r="G46" s="82">
        <f>SUMIF('CaseSolution - Calculations'!$E$175:$E$199,$B46,'CaseSolution - Calculations'!W$175:W$199)</f>
        <v>0</v>
      </c>
      <c r="H46" s="82">
        <f>SUMIF('CaseSolution - Calculations'!$E$175:$E$199,$B46,'CaseSolution - Calculations'!X$175:X$199)</f>
        <v>0</v>
      </c>
      <c r="I46" s="82">
        <f>SUMIF('CaseSolution - Calculations'!$E$175:$E$199,$B46,'CaseSolution - Calculations'!Y$175:Y$199)</f>
        <v>0</v>
      </c>
      <c r="J46" s="82">
        <f>SUMIF('CaseSolution - Calculations'!$E$175:$E$199,$B46,'CaseSolution - Calculations'!Z$175:Z$199)</f>
        <v>0</v>
      </c>
      <c r="K46" s="82">
        <f>SUMIF('CaseSolution - Calculations'!$E$175:$E$199,$B46,'CaseSolution - Calculations'!AA$175:AA$199)</f>
        <v>0</v>
      </c>
      <c r="L46" s="82">
        <f>SUMIF('CaseSolution - Calculations'!$E$175:$E$199,$B46,'CaseSolution - Calculations'!AB$175:AB$199)</f>
        <v>0</v>
      </c>
      <c r="M46" s="82">
        <f>SUMIF('CaseSolution - Calculations'!$E$175:$E$199,$B46,'CaseSolution - Calculations'!AC$175:AC$199)</f>
        <v>0</v>
      </c>
      <c r="N46" s="82">
        <f>SUMIF('CaseSolution - Calculations'!$E$175:$E$199,$B46,'CaseSolution - Calculations'!AD$175:AD$199)</f>
        <v>0</v>
      </c>
      <c r="O46" s="82">
        <f>SUMIF('CaseSolution - Calculations'!$E$175:$E$199,$B46,'CaseSolution - Calculations'!AE$175:AE$199)</f>
        <v>0</v>
      </c>
      <c r="P46" s="82">
        <f>SUMIF('CaseSolution - Calculations'!$E$175:$E$199,$B46,'CaseSolution - Calculations'!AF$175:AF$199)</f>
        <v>0</v>
      </c>
      <c r="Q46" s="71">
        <f t="shared" si="10"/>
        <v>0</v>
      </c>
      <c r="R46" s="71">
        <f>RANK(Q46,$Q$43:$Q$47)+COUNTIF(Q$43:Q46, Q46)-1</f>
        <v>5</v>
      </c>
    </row>
    <row r="47" spans="2:18" ht="14.4">
      <c r="B47" s="66">
        <v>5</v>
      </c>
      <c r="C47" t="str">
        <f>"Product "&amp;B47</f>
        <v>Product 5</v>
      </c>
      <c r="E47" s="82">
        <f>SUMIF('CaseSolution - Calculations'!$E$175:$E$199,$B47,'CaseSolution - Calculations'!U$175:U$199)</f>
        <v>19647.240000000002</v>
      </c>
      <c r="F47" s="82">
        <f>SUMIF('CaseSolution - Calculations'!$E$175:$E$199,$B47,'CaseSolution - Calculations'!V$175:V$199)</f>
        <v>35977.440000000002</v>
      </c>
      <c r="G47" s="82">
        <f>SUMIF('CaseSolution - Calculations'!$E$175:$E$199,$B47,'CaseSolution - Calculations'!W$175:W$199)</f>
        <v>27303.360000000001</v>
      </c>
      <c r="H47" s="82">
        <f>SUMIF('CaseSolution - Calculations'!$E$175:$E$199,$B47,'CaseSolution - Calculations'!X$175:X$199)</f>
        <v>21396.479999999996</v>
      </c>
      <c r="I47" s="82">
        <f>SUMIF('CaseSolution - Calculations'!$E$175:$E$199,$B47,'CaseSolution - Calculations'!Y$175:Y$199)</f>
        <v>27529.800000000003</v>
      </c>
      <c r="J47" s="82">
        <f>SUMIF('CaseSolution - Calculations'!$E$175:$E$199,$B47,'CaseSolution - Calculations'!Z$175:Z$199)</f>
        <v>41650.68</v>
      </c>
      <c r="K47" s="82">
        <f>SUMIF('CaseSolution - Calculations'!$E$175:$E$199,$B47,'CaseSolution - Calculations'!AA$175:AA$199)</f>
        <v>37081.08</v>
      </c>
      <c r="L47" s="82">
        <f>SUMIF('CaseSolution - Calculations'!$E$175:$E$199,$B47,'CaseSolution - Calculations'!AB$175:AB$199)</f>
        <v>21434.28</v>
      </c>
      <c r="M47" s="82">
        <f>SUMIF('CaseSolution - Calculations'!$E$175:$E$199,$B47,'CaseSolution - Calculations'!AC$175:AC$199)</f>
        <v>33170.400000000001</v>
      </c>
      <c r="N47" s="82">
        <f>SUMIF('CaseSolution - Calculations'!$E$175:$E$199,$B47,'CaseSolution - Calculations'!AD$175:AD$199)</f>
        <v>33425.4</v>
      </c>
      <c r="O47" s="82">
        <f>SUMIF('CaseSolution - Calculations'!$E$175:$E$199,$B47,'CaseSolution - Calculations'!AE$175:AE$199)</f>
        <v>32660.400000000001</v>
      </c>
      <c r="P47" s="82">
        <f>SUMIF('CaseSolution - Calculations'!$E$175:$E$199,$B47,'CaseSolution - Calculations'!AF$175:AF$199)</f>
        <v>27303.360000000001</v>
      </c>
      <c r="Q47" s="71">
        <f t="shared" si="10"/>
        <v>358579.92000000004</v>
      </c>
      <c r="R47" s="71">
        <f>RANK(Q47,$Q$43:$Q$47)+COUNTIF(Q$43:Q47, Q47)-1</f>
        <v>3</v>
      </c>
    </row>
    <row r="48" spans="2:18" ht="14.4">
      <c r="C48" s="2" t="s">
        <v>1</v>
      </c>
      <c r="E48" s="77">
        <f>SUM(E43:E47)</f>
        <v>150000</v>
      </c>
      <c r="F48" s="77">
        <f t="shared" ref="F48:Q48" si="11">SUM(F43:F47)</f>
        <v>150000</v>
      </c>
      <c r="G48" s="77">
        <f t="shared" si="11"/>
        <v>150000</v>
      </c>
      <c r="H48" s="77">
        <f t="shared" si="11"/>
        <v>150000</v>
      </c>
      <c r="I48" s="77">
        <f t="shared" si="11"/>
        <v>150000</v>
      </c>
      <c r="J48" s="77">
        <f t="shared" si="11"/>
        <v>150000</v>
      </c>
      <c r="K48" s="77">
        <f t="shared" si="11"/>
        <v>150000.00000000006</v>
      </c>
      <c r="L48" s="77">
        <f t="shared" si="11"/>
        <v>150000</v>
      </c>
      <c r="M48" s="77">
        <f t="shared" si="11"/>
        <v>150000</v>
      </c>
      <c r="N48" s="77">
        <f t="shared" si="11"/>
        <v>150000.00000000003</v>
      </c>
      <c r="O48" s="77">
        <f t="shared" si="11"/>
        <v>150000</v>
      </c>
      <c r="P48" s="77">
        <f t="shared" si="11"/>
        <v>150000</v>
      </c>
      <c r="Q48" s="77">
        <f t="shared" si="11"/>
        <v>1800000.0000000005</v>
      </c>
    </row>
    <row r="50" spans="2:17" ht="14.4">
      <c r="B50" s="2" t="s">
        <v>43</v>
      </c>
    </row>
    <row r="51" spans="2:17">
      <c r="B51" s="66">
        <v>1</v>
      </c>
      <c r="C51" t="str">
        <f>INDEX(C$43:C$47,MATCH($B51,$R$43:$R$47,0))</f>
        <v>Product 1</v>
      </c>
      <c r="E51" s="71">
        <f t="shared" ref="E51:P55" si="12">INDEX(E$43:E$47,MATCH($B51,$R$43:$R$47,0))</f>
        <v>64432.04</v>
      </c>
      <c r="F51" s="71">
        <f t="shared" si="12"/>
        <v>48131.360000000001</v>
      </c>
      <c r="G51" s="71">
        <f t="shared" si="12"/>
        <v>61045.279999999999</v>
      </c>
      <c r="H51" s="71">
        <f t="shared" si="12"/>
        <v>76894.44</v>
      </c>
      <c r="I51" s="71">
        <f t="shared" si="12"/>
        <v>49372.800000000003</v>
      </c>
      <c r="J51" s="71">
        <f t="shared" si="12"/>
        <v>49999.8</v>
      </c>
      <c r="K51" s="71">
        <f t="shared" si="12"/>
        <v>44466.16</v>
      </c>
      <c r="L51" s="71">
        <f t="shared" si="12"/>
        <v>67498.759999999995</v>
      </c>
      <c r="M51" s="71">
        <f t="shared" si="12"/>
        <v>66394.040000000008</v>
      </c>
      <c r="N51" s="71">
        <f t="shared" si="12"/>
        <v>66738</v>
      </c>
      <c r="O51" s="71">
        <f t="shared" si="12"/>
        <v>54717.440000000002</v>
      </c>
      <c r="P51" s="71">
        <f t="shared" si="12"/>
        <v>45887.64</v>
      </c>
      <c r="Q51" s="71">
        <f>SUM(E51:P51)</f>
        <v>695577.76000000013</v>
      </c>
    </row>
    <row r="52" spans="2:17">
      <c r="B52" s="66">
        <v>2</v>
      </c>
      <c r="C52" t="str">
        <f>INDEX(C$43:C$47,MATCH($B52,$R$43:$R$47,0))</f>
        <v>Product 2</v>
      </c>
      <c r="E52" s="71">
        <f t="shared" si="12"/>
        <v>49946.94</v>
      </c>
      <c r="F52" s="71">
        <f t="shared" si="12"/>
        <v>47980.68</v>
      </c>
      <c r="G52" s="71">
        <f t="shared" si="12"/>
        <v>52619.4</v>
      </c>
      <c r="H52" s="71">
        <f t="shared" si="12"/>
        <v>49093.8</v>
      </c>
      <c r="I52" s="71">
        <f t="shared" si="12"/>
        <v>46467.200000000012</v>
      </c>
      <c r="J52" s="71">
        <f t="shared" si="12"/>
        <v>30022.999999999993</v>
      </c>
      <c r="K52" s="71">
        <f t="shared" si="12"/>
        <v>32502.940000000002</v>
      </c>
      <c r="L52" s="71">
        <f t="shared" si="12"/>
        <v>33770.94</v>
      </c>
      <c r="M52" s="71">
        <f t="shared" si="12"/>
        <v>36074.400000000001</v>
      </c>
      <c r="N52" s="71">
        <f t="shared" si="12"/>
        <v>46107.54</v>
      </c>
      <c r="O52" s="71">
        <f t="shared" si="12"/>
        <v>42681.24</v>
      </c>
      <c r="P52" s="71">
        <f t="shared" si="12"/>
        <v>41622.42</v>
      </c>
      <c r="Q52" s="71">
        <f t="shared" ref="Q52:Q55" si="13">SUM(E52:P52)</f>
        <v>508890.5</v>
      </c>
    </row>
    <row r="53" spans="2:17">
      <c r="B53" s="66">
        <v>3</v>
      </c>
      <c r="C53" t="str">
        <f>INDEX(C$43:C$47,MATCH($B53,$R$43:$R$47,0))</f>
        <v>Product 5</v>
      </c>
      <c r="E53" s="71">
        <f t="shared" si="12"/>
        <v>19647.240000000002</v>
      </c>
      <c r="F53" s="71">
        <f t="shared" si="12"/>
        <v>35977.440000000002</v>
      </c>
      <c r="G53" s="71">
        <f t="shared" si="12"/>
        <v>27303.360000000001</v>
      </c>
      <c r="H53" s="71">
        <f t="shared" si="12"/>
        <v>21396.479999999996</v>
      </c>
      <c r="I53" s="71">
        <f t="shared" si="12"/>
        <v>27529.800000000003</v>
      </c>
      <c r="J53" s="71">
        <f t="shared" si="12"/>
        <v>41650.68</v>
      </c>
      <c r="K53" s="71">
        <f t="shared" si="12"/>
        <v>37081.08</v>
      </c>
      <c r="L53" s="71">
        <f t="shared" si="12"/>
        <v>21434.28</v>
      </c>
      <c r="M53" s="71">
        <f t="shared" si="12"/>
        <v>33170.400000000001</v>
      </c>
      <c r="N53" s="71">
        <f t="shared" si="12"/>
        <v>33425.4</v>
      </c>
      <c r="O53" s="71">
        <f t="shared" si="12"/>
        <v>32660.400000000001</v>
      </c>
      <c r="P53" s="71">
        <f t="shared" si="12"/>
        <v>27303.360000000001</v>
      </c>
      <c r="Q53" s="71">
        <f t="shared" si="13"/>
        <v>358579.92000000004</v>
      </c>
    </row>
    <row r="54" spans="2:17">
      <c r="B54" s="66">
        <v>4</v>
      </c>
      <c r="C54" t="str">
        <f>INDEX(C$43:C$47,MATCH($B54,$R$43:$R$47,0))</f>
        <v>Product 3</v>
      </c>
      <c r="E54" s="71">
        <f t="shared" si="12"/>
        <v>15973.779999999981</v>
      </c>
      <c r="F54" s="71">
        <f t="shared" si="12"/>
        <v>17910.51999999999</v>
      </c>
      <c r="G54" s="71">
        <f t="shared" si="12"/>
        <v>9031.9600000000082</v>
      </c>
      <c r="H54" s="71">
        <f t="shared" si="12"/>
        <v>2615.2800000000002</v>
      </c>
      <c r="I54" s="71">
        <f t="shared" si="12"/>
        <v>26630.200000000004</v>
      </c>
      <c r="J54" s="71">
        <f t="shared" si="12"/>
        <v>28326.52</v>
      </c>
      <c r="K54" s="71">
        <f t="shared" si="12"/>
        <v>35949.820000000036</v>
      </c>
      <c r="L54" s="71">
        <f t="shared" si="12"/>
        <v>27296.019999999997</v>
      </c>
      <c r="M54" s="71">
        <f t="shared" si="12"/>
        <v>14361.160000000007</v>
      </c>
      <c r="N54" s="71">
        <f t="shared" si="12"/>
        <v>3729.060000000014</v>
      </c>
      <c r="O54" s="71">
        <f t="shared" si="12"/>
        <v>19940.920000000013</v>
      </c>
      <c r="P54" s="71">
        <f t="shared" si="12"/>
        <v>35186.58</v>
      </c>
      <c r="Q54" s="71">
        <f t="shared" si="13"/>
        <v>236951.82000000007</v>
      </c>
    </row>
    <row r="55" spans="2:17">
      <c r="B55" s="66">
        <v>5</v>
      </c>
      <c r="C55" t="str">
        <f>INDEX(C$43:C$47,MATCH($B55,$R$43:$R$47,0))</f>
        <v>Product 4</v>
      </c>
      <c r="E55" s="71">
        <f t="shared" si="12"/>
        <v>0</v>
      </c>
      <c r="F55" s="71">
        <f t="shared" si="12"/>
        <v>0</v>
      </c>
      <c r="G55" s="71">
        <f t="shared" si="12"/>
        <v>0</v>
      </c>
      <c r="H55" s="71">
        <f t="shared" si="12"/>
        <v>0</v>
      </c>
      <c r="I55" s="71">
        <f t="shared" si="12"/>
        <v>0</v>
      </c>
      <c r="J55" s="71">
        <f t="shared" si="12"/>
        <v>0</v>
      </c>
      <c r="K55" s="71">
        <f t="shared" si="12"/>
        <v>0</v>
      </c>
      <c r="L55" s="71">
        <f t="shared" si="12"/>
        <v>0</v>
      </c>
      <c r="M55" s="71">
        <f t="shared" si="12"/>
        <v>0</v>
      </c>
      <c r="N55" s="71">
        <f t="shared" si="12"/>
        <v>0</v>
      </c>
      <c r="O55" s="71">
        <f t="shared" si="12"/>
        <v>0</v>
      </c>
      <c r="P55" s="71">
        <f t="shared" si="12"/>
        <v>0</v>
      </c>
      <c r="Q55" s="71">
        <f t="shared" si="13"/>
        <v>0</v>
      </c>
    </row>
    <row r="56" spans="2:17" ht="14.4">
      <c r="C56" s="2" t="s">
        <v>1</v>
      </c>
      <c r="E56" s="77">
        <f>SUM(E51:E55)</f>
        <v>149999.99999999997</v>
      </c>
      <c r="F56" s="77">
        <f t="shared" ref="F56:Q56" si="14">SUM(F51:F55)</f>
        <v>150000</v>
      </c>
      <c r="G56" s="77">
        <f t="shared" si="14"/>
        <v>150000</v>
      </c>
      <c r="H56" s="77">
        <f t="shared" si="14"/>
        <v>150000</v>
      </c>
      <c r="I56" s="77">
        <f t="shared" si="14"/>
        <v>150000.00000000003</v>
      </c>
      <c r="J56" s="77">
        <f t="shared" si="14"/>
        <v>149999.99999999997</v>
      </c>
      <c r="K56" s="77">
        <f t="shared" si="14"/>
        <v>150000.00000000006</v>
      </c>
      <c r="L56" s="77">
        <f t="shared" si="14"/>
        <v>150000</v>
      </c>
      <c r="M56" s="77">
        <f t="shared" si="14"/>
        <v>150000</v>
      </c>
      <c r="N56" s="77">
        <f t="shared" si="14"/>
        <v>150000.00000000003</v>
      </c>
      <c r="O56" s="77">
        <f t="shared" si="14"/>
        <v>150000</v>
      </c>
      <c r="P56" s="77">
        <f t="shared" si="14"/>
        <v>150000</v>
      </c>
      <c r="Q56" s="77">
        <f t="shared" si="14"/>
        <v>1800000.0000000002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AC76-13C1-449F-BD18-2A6B484DC08C}">
  <sheetPr>
    <pageSetUpPr fitToPage="1"/>
  </sheetPr>
  <dimension ref="A1:AG40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P14" sqref="P14"/>
    </sheetView>
  </sheetViews>
  <sheetFormatPr defaultRowHeight="13.8"/>
  <cols>
    <col min="1" max="1" width="1.69921875" style="89" customWidth="1"/>
    <col min="2" max="4" width="1.59765625" customWidth="1"/>
    <col min="5" max="5" width="32.19921875" customWidth="1"/>
    <col min="6" max="8" width="8"/>
    <col min="9" max="9" width="1.59765625" customWidth="1"/>
    <col min="10" max="10" width="11.69921875" bestFit="1" customWidth="1"/>
    <col min="11" max="11" width="11.796875" bestFit="1" customWidth="1"/>
    <col min="12" max="12" width="11.8984375" bestFit="1" customWidth="1"/>
    <col min="13" max="13" width="11.59765625" bestFit="1" customWidth="1"/>
    <col min="14" max="14" width="12.09765625" bestFit="1" customWidth="1"/>
    <col min="15" max="15" width="11.69921875" bestFit="1" customWidth="1"/>
    <col min="16" max="16" width="11.09765625" bestFit="1" customWidth="1"/>
    <col min="17" max="17" width="12" bestFit="1" customWidth="1"/>
    <col min="18" max="18" width="12.5" bestFit="1" customWidth="1"/>
    <col min="19" max="19" width="11.59765625" bestFit="1" customWidth="1"/>
    <col min="20" max="20" width="12" bestFit="1" customWidth="1"/>
    <col min="21" max="21" width="11.8984375" bestFit="1" customWidth="1"/>
  </cols>
  <sheetData>
    <row r="1" spans="1:33" s="86" customFormat="1">
      <c r="A1" s="86" t="str">
        <f>company</f>
        <v>Big Fish Co.</v>
      </c>
    </row>
    <row r="2" spans="1:33" s="86" customFormat="1">
      <c r="A2" s="86" t="str" cm="1">
        <f t="array" ref="A2">topic</f>
        <v>CFM Topic: Costs</v>
      </c>
    </row>
    <row r="3" spans="1:33" s="86" customFormat="1">
      <c r="A3" s="86" t="s">
        <v>48</v>
      </c>
      <c r="J3" s="102" cm="1">
        <f t="array" ref="J3:AG3">EOMONTH( start_date, _xlfn.SEQUENCE( 1, periods, 1, 1 ) - 1 )</f>
        <v>43496</v>
      </c>
      <c r="K3" s="102">
        <v>43524</v>
      </c>
      <c r="L3" s="102">
        <v>43555</v>
      </c>
      <c r="M3" s="102">
        <v>43585</v>
      </c>
      <c r="N3" s="102">
        <v>43616</v>
      </c>
      <c r="O3" s="102">
        <v>43646</v>
      </c>
      <c r="P3" s="102">
        <v>43677</v>
      </c>
      <c r="Q3" s="102">
        <v>43708</v>
      </c>
      <c r="R3" s="102">
        <v>43738</v>
      </c>
      <c r="S3" s="102">
        <v>43769</v>
      </c>
      <c r="T3" s="102">
        <v>43799</v>
      </c>
      <c r="U3" s="102">
        <v>43830</v>
      </c>
      <c r="V3" s="86">
        <v>43861</v>
      </c>
      <c r="W3" s="86">
        <v>43890</v>
      </c>
      <c r="X3" s="86">
        <v>43921</v>
      </c>
      <c r="Y3" s="86">
        <v>43951</v>
      </c>
      <c r="Z3" s="86">
        <v>43982</v>
      </c>
      <c r="AA3" s="86">
        <v>44012</v>
      </c>
      <c r="AB3" s="86">
        <v>44043</v>
      </c>
      <c r="AC3" s="86">
        <v>44074</v>
      </c>
      <c r="AD3" s="86">
        <v>44104</v>
      </c>
      <c r="AE3" s="86">
        <v>44135</v>
      </c>
      <c r="AF3" s="86">
        <v>44165</v>
      </c>
      <c r="AG3" s="86">
        <v>44196</v>
      </c>
    </row>
    <row r="40" spans="1:1" s="87" customFormat="1">
      <c r="A40" s="88" t="s">
        <v>47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0" fitToHeight="0" orientation="landscape" r:id="rId1"/>
  <headerFooter>
    <oddFooter>&amp;LFinancial Modeling Institute
CFM October 2026&amp;CPage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Summary</vt:lpstr>
      <vt:lpstr>Calculations</vt:lpstr>
      <vt:lpstr>CaseData</vt:lpstr>
      <vt:lpstr>CaseSolution - Calculations</vt:lpstr>
      <vt:lpstr>CaseSolution - Summary</vt:lpstr>
      <vt:lpstr>Tmp</vt:lpstr>
      <vt:lpstr>company</vt:lpstr>
      <vt:lpstr>periods</vt:lpstr>
      <vt:lpstr>Calculations!Print_Area</vt:lpstr>
      <vt:lpstr>Calculations!Print_Titles</vt:lpstr>
      <vt:lpstr>Summary!Print_Titles</vt:lpstr>
      <vt:lpstr>Tmp!Print_Titles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2026-08-12T07:13:05Z</dcterms:modified>
</cp:coreProperties>
</file>