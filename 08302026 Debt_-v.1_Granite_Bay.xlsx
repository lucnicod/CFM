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1326" documentId="13_ncr:1_{F3EC5CC5-6E6C-44B7-BFBE-1D42EE427829}" xr6:coauthVersionLast="47" xr6:coauthVersionMax="47" xr10:uidLastSave="{12BB9D35-9300-430C-9780-DD4FBD37D492}"/>
  <bookViews>
    <workbookView xWindow="-120" yWindow="-120" windowWidth="25440" windowHeight="15990" tabRatio="711" xr2:uid="{00000000-000D-0000-FFFF-FFFF00000000}"/>
  </bookViews>
  <sheets>
    <sheet name="Debt" sheetId="13" r:id="rId1"/>
    <sheet name="CaseData" sheetId="12" r:id="rId2"/>
    <sheet name="CaseSolution" sheetId="1" r:id="rId3"/>
  </sheets>
  <definedNames>
    <definedName name="company">LEFT(CaseData!$B$2, 28 )</definedName>
    <definedName name="_xlnm.Print_Area" localSheetId="0">Debt!$A$1:$S$251</definedName>
    <definedName name="_xlnm.Print_Titles" localSheetId="0">Debt!$1:$4</definedName>
    <definedName name="topic">"CFM Topic: " &amp; PROPER( MID(CaseData!$B$2, 32,5) )</definedName>
  </definedNames>
  <calcPr calcId="191029" iterate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8" i="13" l="1"/>
  <c r="H238" i="13"/>
  <c r="G238" i="13"/>
  <c r="F238" i="13"/>
  <c r="E238" i="13"/>
  <c r="I78" i="13"/>
  <c r="H78" i="13"/>
  <c r="G78" i="13"/>
  <c r="F78" i="13"/>
  <c r="E78" i="13"/>
  <c r="I77" i="13"/>
  <c r="H77" i="13"/>
  <c r="G77" i="13"/>
  <c r="F77" i="13"/>
  <c r="E77" i="13"/>
  <c r="F41" i="13"/>
  <c r="I45" i="13"/>
  <c r="J43" i="13"/>
  <c r="F48" i="13"/>
  <c r="I76" i="13"/>
  <c r="H76" i="13"/>
  <c r="G76" i="13"/>
  <c r="F76" i="13"/>
  <c r="E76" i="13"/>
  <c r="F54" i="13"/>
  <c r="I58" i="13"/>
  <c r="J56" i="13"/>
  <c r="F65" i="13"/>
  <c r="I69" i="13"/>
  <c r="J67" i="13"/>
  <c r="F71" i="13"/>
  <c r="I33" i="13"/>
  <c r="H33" i="13"/>
  <c r="G33" i="13"/>
  <c r="F33" i="13"/>
  <c r="E33" i="13"/>
  <c r="F173" i="13"/>
  <c r="I182" i="13"/>
  <c r="J175" i="13"/>
  <c r="F194" i="13"/>
  <c r="I203" i="13"/>
  <c r="J196" i="13"/>
  <c r="F214" i="13"/>
  <c r="I223" i="13"/>
  <c r="J216" i="13"/>
  <c r="J246" i="13"/>
  <c r="I249" i="13"/>
  <c r="G32" i="13"/>
  <c r="J256" i="13"/>
  <c r="K256" i="13"/>
  <c r="L256" i="13"/>
  <c r="M256" i="13"/>
  <c r="N256" i="13"/>
  <c r="O256" i="13"/>
  <c r="P256" i="13"/>
  <c r="Q256" i="13"/>
  <c r="R256" i="13"/>
  <c r="S256" i="13"/>
  <c r="S257" i="13"/>
  <c r="R257" i="13"/>
  <c r="Q257" i="13"/>
  <c r="P257" i="13"/>
  <c r="O257" i="13"/>
  <c r="N257" i="13"/>
  <c r="M257" i="13"/>
  <c r="L257" i="13"/>
  <c r="K257" i="13"/>
  <c r="J257" i="13"/>
  <c r="F254" i="13"/>
  <c r="J259" i="13"/>
  <c r="K259" i="13"/>
  <c r="L259" i="13"/>
  <c r="M259" i="13"/>
  <c r="N259" i="13"/>
  <c r="O259" i="13"/>
  <c r="P259" i="13"/>
  <c r="Q259" i="13"/>
  <c r="R259" i="13"/>
  <c r="S259" i="13"/>
  <c r="S3" i="13"/>
  <c r="F103" i="13"/>
  <c r="S110" i="13"/>
  <c r="S8" i="13"/>
  <c r="F86" i="13"/>
  <c r="F87" i="13"/>
  <c r="F90" i="13"/>
  <c r="S91" i="13"/>
  <c r="J3" i="13"/>
  <c r="J95" i="13"/>
  <c r="K3" i="13"/>
  <c r="K95" i="13"/>
  <c r="L3" i="13"/>
  <c r="F93" i="13"/>
  <c r="L95" i="13"/>
  <c r="M3" i="13"/>
  <c r="M95" i="13"/>
  <c r="F94" i="13"/>
  <c r="S95" i="13"/>
  <c r="R3" i="13"/>
  <c r="R95" i="13"/>
  <c r="Q3" i="13"/>
  <c r="Q95" i="13"/>
  <c r="P3" i="13"/>
  <c r="P95" i="13"/>
  <c r="O3" i="13"/>
  <c r="O95" i="13"/>
  <c r="N3" i="13"/>
  <c r="N95" i="13"/>
  <c r="J96" i="13" a="1"/>
  <c r="S98" i="13"/>
  <c r="S9" i="13"/>
  <c r="S10" i="13"/>
  <c r="F146" i="13"/>
  <c r="F147" i="13"/>
  <c r="S153" i="13"/>
  <c r="S12" i="13"/>
  <c r="S13" i="13"/>
  <c r="S14" i="13"/>
  <c r="S16" i="13"/>
  <c r="S19" i="13"/>
  <c r="I139" i="13"/>
  <c r="J137" i="13"/>
  <c r="F106" i="13"/>
  <c r="F114" i="13"/>
  <c r="F107" i="13"/>
  <c r="I111" i="13"/>
  <c r="J109" i="13"/>
  <c r="F104" i="13"/>
  <c r="J110" i="13"/>
  <c r="J111" i="13"/>
  <c r="J115" i="13"/>
  <c r="J116" i="13"/>
  <c r="J119" i="13"/>
  <c r="F125" i="13"/>
  <c r="J138" i="13"/>
  <c r="J139" i="13"/>
  <c r="K137" i="13"/>
  <c r="F124" i="13"/>
  <c r="F126" i="13"/>
  <c r="F127" i="13"/>
  <c r="K130" i="13"/>
  <c r="K131" i="13"/>
  <c r="K132" i="13"/>
  <c r="K138" i="13"/>
  <c r="K139" i="13"/>
  <c r="L137" i="13"/>
  <c r="L130" i="13"/>
  <c r="L131" i="13"/>
  <c r="L132" i="13"/>
  <c r="L138" i="13"/>
  <c r="L139" i="13"/>
  <c r="M137" i="13"/>
  <c r="M130" i="13"/>
  <c r="M131" i="13"/>
  <c r="M132" i="13"/>
  <c r="M138" i="13"/>
  <c r="M139" i="13"/>
  <c r="N137" i="13"/>
  <c r="N130" i="13"/>
  <c r="N131" i="13"/>
  <c r="N132" i="13"/>
  <c r="N138" i="13"/>
  <c r="N139" i="13"/>
  <c r="O137" i="13"/>
  <c r="O130" i="13"/>
  <c r="O131" i="13"/>
  <c r="O132" i="13"/>
  <c r="O138" i="13"/>
  <c r="O139" i="13"/>
  <c r="P137" i="13"/>
  <c r="P130" i="13"/>
  <c r="P131" i="13"/>
  <c r="P132" i="13"/>
  <c r="P138" i="13"/>
  <c r="P139" i="13"/>
  <c r="Q137" i="13"/>
  <c r="Q130" i="13"/>
  <c r="Q131" i="13"/>
  <c r="Q132" i="13"/>
  <c r="Q138" i="13"/>
  <c r="Q139" i="13"/>
  <c r="R137" i="13"/>
  <c r="R130" i="13"/>
  <c r="R131" i="13"/>
  <c r="R132" i="13"/>
  <c r="R138" i="13"/>
  <c r="R139" i="13"/>
  <c r="S137" i="13"/>
  <c r="S131" i="13"/>
  <c r="I217" i="13"/>
  <c r="J217" i="13"/>
  <c r="J218" i="13"/>
  <c r="K217" i="13"/>
  <c r="L217" i="13"/>
  <c r="M217" i="13"/>
  <c r="N217" i="13"/>
  <c r="O217" i="13"/>
  <c r="P217" i="13"/>
  <c r="Q217" i="13"/>
  <c r="R217" i="13"/>
  <c r="S217" i="13"/>
  <c r="F226" i="13"/>
  <c r="S21" i="13"/>
  <c r="S119" i="13"/>
  <c r="S162" i="13"/>
  <c r="S22" i="13"/>
  <c r="S130" i="13"/>
  <c r="S132" i="13"/>
  <c r="S24" i="13"/>
  <c r="S23" i="13"/>
  <c r="R110" i="13"/>
  <c r="R8" i="13"/>
  <c r="R91" i="13"/>
  <c r="R98" i="13"/>
  <c r="R9" i="13"/>
  <c r="R10" i="13"/>
  <c r="R153" i="13"/>
  <c r="R12" i="13"/>
  <c r="R13" i="13"/>
  <c r="R14" i="13"/>
  <c r="R16" i="13"/>
  <c r="R19" i="13"/>
  <c r="R21" i="13"/>
  <c r="R119" i="13"/>
  <c r="R162" i="13"/>
  <c r="R22" i="13"/>
  <c r="R24" i="13"/>
  <c r="R23" i="13"/>
  <c r="Q110" i="13"/>
  <c r="Q8" i="13"/>
  <c r="Q91" i="13"/>
  <c r="Q98" i="13"/>
  <c r="Q9" i="13"/>
  <c r="Q10" i="13"/>
  <c r="Q153" i="13"/>
  <c r="Q12" i="13"/>
  <c r="Q13" i="13"/>
  <c r="Q14" i="13"/>
  <c r="Q16" i="13"/>
  <c r="Q19" i="13"/>
  <c r="Q21" i="13"/>
  <c r="Q119" i="13"/>
  <c r="Q162" i="13"/>
  <c r="Q22" i="13"/>
  <c r="Q24" i="13"/>
  <c r="Q23" i="13"/>
  <c r="P110" i="13"/>
  <c r="P8" i="13"/>
  <c r="P91" i="13"/>
  <c r="P98" i="13"/>
  <c r="P9" i="13"/>
  <c r="P10" i="13"/>
  <c r="P153" i="13"/>
  <c r="P12" i="13"/>
  <c r="P13" i="13"/>
  <c r="P14" i="13"/>
  <c r="P16" i="13"/>
  <c r="P19" i="13"/>
  <c r="P21" i="13"/>
  <c r="P119" i="13"/>
  <c r="P162" i="13"/>
  <c r="P22" i="13"/>
  <c r="P24" i="13"/>
  <c r="P23" i="13"/>
  <c r="O110" i="13"/>
  <c r="O8" i="13"/>
  <c r="O91" i="13"/>
  <c r="O98" i="13"/>
  <c r="O9" i="13"/>
  <c r="O10" i="13"/>
  <c r="O153" i="13"/>
  <c r="O12" i="13"/>
  <c r="O13" i="13"/>
  <c r="O14" i="13"/>
  <c r="O16" i="13"/>
  <c r="O19" i="13"/>
  <c r="O21" i="13"/>
  <c r="O119" i="13"/>
  <c r="O162" i="13"/>
  <c r="O22" i="13"/>
  <c r="O24" i="13"/>
  <c r="O23" i="13"/>
  <c r="N110" i="13"/>
  <c r="N8" i="13"/>
  <c r="N91" i="13"/>
  <c r="N98" i="13"/>
  <c r="N9" i="13"/>
  <c r="N10" i="13"/>
  <c r="N153" i="13"/>
  <c r="N12" i="13"/>
  <c r="N13" i="13"/>
  <c r="N14" i="13"/>
  <c r="N16" i="13"/>
  <c r="N19" i="13"/>
  <c r="N21" i="13"/>
  <c r="N119" i="13"/>
  <c r="N162" i="13"/>
  <c r="N22" i="13"/>
  <c r="N24" i="13"/>
  <c r="N23" i="13"/>
  <c r="M110" i="13"/>
  <c r="M8" i="13"/>
  <c r="M91" i="13"/>
  <c r="M98" i="13"/>
  <c r="M9" i="13"/>
  <c r="M10" i="13"/>
  <c r="F148" i="13"/>
  <c r="M153" i="13"/>
  <c r="M12" i="13"/>
  <c r="M13" i="13"/>
  <c r="M14" i="13"/>
  <c r="M16" i="13"/>
  <c r="M19" i="13"/>
  <c r="M21" i="13"/>
  <c r="M119" i="13"/>
  <c r="J152" i="13"/>
  <c r="J153" i="13"/>
  <c r="J154" i="13"/>
  <c r="F157" i="13"/>
  <c r="J158" i="13"/>
  <c r="J159" i="13"/>
  <c r="K152" i="13"/>
  <c r="K153" i="13"/>
  <c r="K154" i="13"/>
  <c r="K158" i="13"/>
  <c r="K159" i="13"/>
  <c r="L152" i="13"/>
  <c r="L153" i="13"/>
  <c r="L154" i="13"/>
  <c r="L158" i="13"/>
  <c r="L159" i="13"/>
  <c r="M152" i="13"/>
  <c r="M154" i="13"/>
  <c r="M158" i="13"/>
  <c r="M159" i="13"/>
  <c r="M162" i="13"/>
  <c r="M22" i="13"/>
  <c r="M24" i="13"/>
  <c r="M23" i="13"/>
  <c r="L110" i="13"/>
  <c r="L8" i="13"/>
  <c r="L91" i="13"/>
  <c r="L98" i="13"/>
  <c r="L9" i="13"/>
  <c r="L10" i="13"/>
  <c r="L12" i="13"/>
  <c r="L13" i="13"/>
  <c r="L14" i="13"/>
  <c r="L16" i="13"/>
  <c r="L19" i="13"/>
  <c r="L21" i="13"/>
  <c r="L119" i="13"/>
  <c r="L162" i="13"/>
  <c r="L22" i="13"/>
  <c r="L24" i="13"/>
  <c r="L23" i="13"/>
  <c r="K110" i="13"/>
  <c r="K8" i="13"/>
  <c r="F89" i="13"/>
  <c r="K91" i="13"/>
  <c r="K98" i="13"/>
  <c r="K9" i="13"/>
  <c r="K10" i="13"/>
  <c r="K12" i="13"/>
  <c r="K13" i="13"/>
  <c r="K14" i="13"/>
  <c r="K16" i="13"/>
  <c r="K19" i="13"/>
  <c r="K21" i="13"/>
  <c r="K119" i="13"/>
  <c r="K162" i="13"/>
  <c r="K22" i="13"/>
  <c r="K24" i="13"/>
  <c r="K23" i="13"/>
  <c r="J8" i="13"/>
  <c r="J98" i="13"/>
  <c r="J9" i="13"/>
  <c r="J10" i="13"/>
  <c r="J12" i="13"/>
  <c r="J13" i="13"/>
  <c r="J14" i="13"/>
  <c r="J16" i="13"/>
  <c r="J19" i="13"/>
  <c r="J131" i="13"/>
  <c r="J21" i="13"/>
  <c r="J162" i="13"/>
  <c r="J22" i="13"/>
  <c r="J130" i="13"/>
  <c r="J132" i="13"/>
  <c r="J24" i="13"/>
  <c r="J23" i="13"/>
  <c r="I28" i="13"/>
  <c r="G28" i="13"/>
  <c r="E28" i="13"/>
  <c r="F61" i="13"/>
  <c r="E61" i="13"/>
  <c r="E21" i="13"/>
  <c r="E22" i="13"/>
  <c r="E23" i="13"/>
  <c r="E24" i="13"/>
  <c r="I19" i="13"/>
  <c r="G19" i="13"/>
  <c r="E19" i="13"/>
  <c r="E48" i="13"/>
  <c r="I12" i="13"/>
  <c r="G12" i="13"/>
  <c r="E12" i="13"/>
  <c r="G8" i="13"/>
  <c r="E8" i="13"/>
  <c r="I9" i="13"/>
  <c r="G9" i="13"/>
  <c r="E9" i="13"/>
  <c r="G217" i="13"/>
  <c r="E217" i="13"/>
  <c r="F206" i="13"/>
  <c r="I197" i="13"/>
  <c r="G197" i="13"/>
  <c r="E197" i="13"/>
  <c r="F185" i="13"/>
  <c r="I176" i="13"/>
  <c r="G176" i="13"/>
  <c r="E176" i="13"/>
  <c r="S115" i="13"/>
  <c r="S152" i="13"/>
  <c r="S154" i="13"/>
  <c r="S158" i="13"/>
  <c r="S232" i="13"/>
  <c r="S236" i="13"/>
  <c r="R115" i="13"/>
  <c r="R152" i="13"/>
  <c r="R154" i="13"/>
  <c r="R158" i="13"/>
  <c r="R232" i="13"/>
  <c r="R236" i="13"/>
  <c r="Q115" i="13"/>
  <c r="Q152" i="13"/>
  <c r="Q154" i="13"/>
  <c r="Q158" i="13"/>
  <c r="Q232" i="13"/>
  <c r="Q236" i="13"/>
  <c r="P115" i="13"/>
  <c r="P152" i="13"/>
  <c r="P154" i="13"/>
  <c r="P158" i="13"/>
  <c r="P232" i="13"/>
  <c r="P236" i="13"/>
  <c r="O115" i="13"/>
  <c r="O152" i="13"/>
  <c r="O154" i="13"/>
  <c r="O158" i="13"/>
  <c r="O232" i="13"/>
  <c r="O236" i="13"/>
  <c r="N115" i="13"/>
  <c r="N152" i="13"/>
  <c r="N154" i="13"/>
  <c r="N158" i="13"/>
  <c r="N232" i="13"/>
  <c r="N236" i="13"/>
  <c r="M115" i="13"/>
  <c r="M232" i="13"/>
  <c r="M236" i="13"/>
  <c r="L115" i="13"/>
  <c r="L232" i="13"/>
  <c r="L236" i="13"/>
  <c r="K115" i="13"/>
  <c r="K232" i="13"/>
  <c r="K236" i="13"/>
  <c r="J232" i="13"/>
  <c r="J236" i="13"/>
  <c r="S109" i="13"/>
  <c r="S111" i="13"/>
  <c r="S116" i="13"/>
  <c r="S120" i="13"/>
  <c r="R109" i="13"/>
  <c r="R111" i="13"/>
  <c r="R116" i="13"/>
  <c r="R120" i="13"/>
  <c r="Q109" i="13"/>
  <c r="Q111" i="13"/>
  <c r="Q116" i="13"/>
  <c r="Q120" i="13"/>
  <c r="P109" i="13"/>
  <c r="P111" i="13"/>
  <c r="P116" i="13"/>
  <c r="P120" i="13"/>
  <c r="O109" i="13"/>
  <c r="O111" i="13"/>
  <c r="O116" i="13"/>
  <c r="O120" i="13"/>
  <c r="N109" i="13"/>
  <c r="N111" i="13"/>
  <c r="N116" i="13"/>
  <c r="N120" i="13"/>
  <c r="M109" i="13"/>
  <c r="M111" i="13"/>
  <c r="M116" i="13"/>
  <c r="M120" i="13"/>
  <c r="L109" i="13"/>
  <c r="L111" i="13"/>
  <c r="L116" i="13"/>
  <c r="L120" i="13"/>
  <c r="K109" i="13"/>
  <c r="K111" i="13"/>
  <c r="K116" i="13"/>
  <c r="K120" i="13"/>
  <c r="J120" i="13"/>
  <c r="E103" i="13"/>
  <c r="S159" i="13"/>
  <c r="S163" i="13"/>
  <c r="R159" i="13"/>
  <c r="R163" i="13"/>
  <c r="Q159" i="13"/>
  <c r="Q163" i="13"/>
  <c r="P159" i="13"/>
  <c r="P163" i="13"/>
  <c r="O159" i="13"/>
  <c r="O163" i="13"/>
  <c r="N159" i="13"/>
  <c r="N163" i="13"/>
  <c r="M163" i="13"/>
  <c r="L163" i="13"/>
  <c r="K163" i="13"/>
  <c r="J163" i="13"/>
  <c r="F150" i="13"/>
  <c r="I159" i="13"/>
  <c r="I154" i="13"/>
  <c r="E157" i="13"/>
  <c r="E147" i="13"/>
  <c r="E146" i="13"/>
  <c r="B3" i="12"/>
  <c r="F102" i="13"/>
  <c r="E94" i="13"/>
  <c r="E93" i="13"/>
  <c r="E90" i="13"/>
  <c r="E89" i="13"/>
  <c r="E87" i="13"/>
  <c r="E86" i="13"/>
  <c r="A2" i="13" a="1"/>
  <c r="A1" i="13" a="1"/>
  <c r="C6" i="1"/>
  <c r="C29" i="1"/>
  <c r="C30" i="1"/>
  <c r="I204" i="1"/>
  <c r="J314" i="1"/>
  <c r="J259" i="1"/>
  <c r="I245" i="1"/>
  <c r="J222" i="1"/>
  <c r="I189" i="1"/>
  <c r="C174" i="1"/>
  <c r="C173" i="1"/>
  <c r="C172" i="1"/>
  <c r="C171" i="1"/>
  <c r="C170" i="1"/>
  <c r="J167" i="1"/>
  <c r="J141" i="1"/>
  <c r="C135" i="1"/>
  <c r="C134" i="1"/>
  <c r="C132" i="1"/>
  <c r="C136" i="1"/>
  <c r="C145" i="1"/>
  <c r="S94" i="1"/>
  <c r="Q94" i="1"/>
  <c r="O94" i="1"/>
  <c r="J94" i="1"/>
  <c r="S93" i="1"/>
  <c r="Q93" i="1"/>
  <c r="O93" i="1"/>
  <c r="J93" i="1"/>
  <c r="G93" i="1"/>
  <c r="G131" i="1"/>
  <c r="C93" i="1"/>
  <c r="S92" i="1"/>
  <c r="Q92" i="1"/>
  <c r="O92" i="1"/>
  <c r="J92" i="1"/>
  <c r="C92" i="1"/>
  <c r="S91" i="1"/>
  <c r="Q91" i="1"/>
  <c r="O91" i="1"/>
  <c r="J91" i="1"/>
  <c r="C91" i="1"/>
  <c r="S90" i="1"/>
  <c r="Q90" i="1"/>
  <c r="O90" i="1"/>
  <c r="F125" i="1"/>
  <c r="G90" i="1"/>
  <c r="C90" i="1"/>
  <c r="S89" i="1"/>
  <c r="Q89" i="1"/>
  <c r="G130" i="1"/>
  <c r="O89" i="1"/>
  <c r="G125" i="1"/>
  <c r="J89" i="1"/>
  <c r="S88" i="1"/>
  <c r="Q88" i="1"/>
  <c r="G115" i="1"/>
  <c r="O88" i="1"/>
  <c r="G111" i="1"/>
  <c r="J88" i="1"/>
  <c r="G88" i="1"/>
  <c r="C88" i="1"/>
  <c r="Q87" i="1"/>
  <c r="G114" i="1"/>
  <c r="O87" i="1"/>
  <c r="J87" i="1"/>
  <c r="C87" i="1"/>
  <c r="S86" i="1"/>
  <c r="C188" i="1"/>
  <c r="Q86" i="1"/>
  <c r="C202" i="1"/>
  <c r="O86" i="1"/>
  <c r="C176" i="1"/>
  <c r="G86" i="1"/>
  <c r="C86" i="1"/>
  <c r="J85" i="1"/>
  <c r="B85" i="1"/>
  <c r="Q81" i="1"/>
  <c r="O81" i="1"/>
  <c r="J81" i="1"/>
  <c r="Q80" i="1"/>
  <c r="O80" i="1"/>
  <c r="J80" i="1"/>
  <c r="G80" i="1"/>
  <c r="G121" i="1"/>
  <c r="Q79" i="1"/>
  <c r="O79" i="1"/>
  <c r="J79" i="1"/>
  <c r="G79" i="1"/>
  <c r="F121" i="1"/>
  <c r="F79" i="1"/>
  <c r="Q78" i="1"/>
  <c r="G248" i="1"/>
  <c r="O78" i="1"/>
  <c r="J78" i="1"/>
  <c r="G78" i="1"/>
  <c r="G120" i="1"/>
  <c r="Q77" i="1"/>
  <c r="G237" i="1"/>
  <c r="O77" i="1"/>
  <c r="G230" i="1"/>
  <c r="J77" i="1"/>
  <c r="G77" i="1"/>
  <c r="F120" i="1"/>
  <c r="F77" i="1"/>
  <c r="Q76" i="1"/>
  <c r="C48" i="1"/>
  <c r="O76" i="1"/>
  <c r="J76" i="1"/>
  <c r="G76" i="1"/>
  <c r="G119" i="1"/>
  <c r="C76" i="1"/>
  <c r="Q75" i="1"/>
  <c r="G233" i="1"/>
  <c r="O75" i="1"/>
  <c r="G226" i="1"/>
  <c r="C75" i="1"/>
  <c r="Q74" i="1"/>
  <c r="O74" i="1"/>
  <c r="G74" i="1"/>
  <c r="J73" i="1"/>
  <c r="B73" i="1"/>
  <c r="S69" i="1"/>
  <c r="Q69" i="1"/>
  <c r="O69" i="1"/>
  <c r="J69" i="1"/>
  <c r="S68" i="1"/>
  <c r="Q68" i="1"/>
  <c r="O68" i="1"/>
  <c r="J68" i="1"/>
  <c r="S67" i="1"/>
  <c r="Q67" i="1"/>
  <c r="O67" i="1"/>
  <c r="J67" i="1"/>
  <c r="S66" i="1"/>
  <c r="Q66" i="1"/>
  <c r="O66" i="1"/>
  <c r="J66" i="1"/>
  <c r="G66" i="1"/>
  <c r="C66" i="1"/>
  <c r="S65" i="1"/>
  <c r="Q65" i="1"/>
  <c r="O65" i="1"/>
  <c r="G65" i="1"/>
  <c r="J104" i="1"/>
  <c r="C65" i="1"/>
  <c r="S64" i="1"/>
  <c r="C290" i="1"/>
  <c r="C19" i="1"/>
  <c r="Q64" i="1"/>
  <c r="C277" i="1"/>
  <c r="C18" i="1"/>
  <c r="O64" i="1"/>
  <c r="C264" i="1"/>
  <c r="C17" i="1"/>
  <c r="G64" i="1"/>
  <c r="J63" i="1"/>
  <c r="B63" i="1"/>
  <c r="B61" i="1"/>
  <c r="J49" i="1"/>
  <c r="C31" i="1"/>
  <c r="J26" i="1"/>
  <c r="J14" i="1"/>
  <c r="G241" i="1"/>
  <c r="G240" i="1"/>
  <c r="G194" i="1"/>
  <c r="G177" i="1"/>
  <c r="J106" i="1"/>
  <c r="G106" i="1"/>
  <c r="J50" i="1"/>
  <c r="G198" i="1"/>
  <c r="I198" i="1"/>
  <c r="J115" i="1"/>
  <c r="J174" i="1"/>
  <c r="J27" i="1"/>
  <c r="J114" i="1"/>
  <c r="J173" i="1"/>
  <c r="G173" i="1"/>
  <c r="G109" i="1"/>
  <c r="G265" i="1"/>
  <c r="G203" i="1"/>
  <c r="G207" i="1"/>
  <c r="G210" i="1"/>
  <c r="G170" i="1"/>
  <c r="J111" i="1"/>
  <c r="J170" i="1"/>
  <c r="G279" i="1"/>
  <c r="G278" i="1"/>
  <c r="G292" i="1"/>
  <c r="J223" i="1"/>
  <c r="J260" i="1"/>
  <c r="J315" i="1"/>
  <c r="J168" i="1"/>
  <c r="J142" i="1"/>
  <c r="K104" i="1"/>
  <c r="K111" i="1"/>
  <c r="K170" i="1"/>
  <c r="J109" i="1"/>
  <c r="J15" i="1"/>
  <c r="G126" i="1"/>
  <c r="I104" i="1"/>
  <c r="I115" i="1"/>
  <c r="I174" i="1"/>
  <c r="G174" i="1"/>
  <c r="G181" i="1"/>
  <c r="G184" i="1"/>
  <c r="G266" i="1"/>
  <c r="G291" i="1"/>
  <c r="I216" i="1"/>
  <c r="K114" i="1"/>
  <c r="K173" i="1"/>
  <c r="K260" i="1"/>
  <c r="K315" i="1"/>
  <c r="K223" i="1"/>
  <c r="K168" i="1"/>
  <c r="K203" i="1"/>
  <c r="K142" i="1"/>
  <c r="L104" i="1"/>
  <c r="K109" i="1"/>
  <c r="K106" i="1"/>
  <c r="K15" i="1"/>
  <c r="K27" i="1"/>
  <c r="K50" i="1"/>
  <c r="I315" i="1"/>
  <c r="I223" i="1"/>
  <c r="I260" i="1"/>
  <c r="I106" i="1"/>
  <c r="I168" i="1"/>
  <c r="I203" i="1"/>
  <c r="I142" i="1"/>
  <c r="I109" i="1"/>
  <c r="I15" i="1"/>
  <c r="I27" i="1"/>
  <c r="I125" i="1"/>
  <c r="I178" i="1"/>
  <c r="I50" i="1"/>
  <c r="K115" i="1"/>
  <c r="K174" i="1"/>
  <c r="I111" i="1"/>
  <c r="I170" i="1"/>
  <c r="I114" i="1"/>
  <c r="I173" i="1"/>
  <c r="I205" i="1"/>
  <c r="I207" i="1"/>
  <c r="I177" i="1"/>
  <c r="I228" i="1"/>
  <c r="I235" i="1"/>
  <c r="I242" i="1"/>
  <c r="L260" i="1"/>
  <c r="L315" i="1"/>
  <c r="L168" i="1"/>
  <c r="L142" i="1"/>
  <c r="M104" i="1"/>
  <c r="L109" i="1"/>
  <c r="L223" i="1"/>
  <c r="L50" i="1"/>
  <c r="L115" i="1"/>
  <c r="L174" i="1"/>
  <c r="L106" i="1"/>
  <c r="L15" i="1"/>
  <c r="L27" i="1"/>
  <c r="L111" i="1"/>
  <c r="L170" i="1"/>
  <c r="L114" i="1"/>
  <c r="L173" i="1"/>
  <c r="I293" i="1"/>
  <c r="I296" i="1"/>
  <c r="I298" i="1"/>
  <c r="I280" i="1"/>
  <c r="I283" i="1"/>
  <c r="I285" i="1"/>
  <c r="I267" i="1"/>
  <c r="I270" i="1"/>
  <c r="I272" i="1"/>
  <c r="G19" i="12"/>
  <c r="G75" i="1"/>
  <c r="G36" i="12"/>
  <c r="G92" i="1"/>
  <c r="G116" i="1"/>
  <c r="L116" i="1"/>
  <c r="L131" i="1"/>
  <c r="G35" i="12"/>
  <c r="G91" i="1"/>
  <c r="J34" i="12"/>
  <c r="J90" i="1"/>
  <c r="G108" i="1"/>
  <c r="K121" i="1"/>
  <c r="J226" i="1"/>
  <c r="I230" i="1"/>
  <c r="J116" i="1"/>
  <c r="J131" i="1"/>
  <c r="I116" i="1"/>
  <c r="K116" i="1"/>
  <c r="K131" i="1"/>
  <c r="J233" i="1"/>
  <c r="I237" i="1"/>
  <c r="I208" i="1"/>
  <c r="I210" i="1"/>
  <c r="I179" i="1"/>
  <c r="I181" i="1"/>
  <c r="I305" i="1"/>
  <c r="I162" i="1"/>
  <c r="J265" i="1"/>
  <c r="I246" i="1"/>
  <c r="I248" i="1"/>
  <c r="J240" i="1"/>
  <c r="M260" i="1"/>
  <c r="M168" i="1"/>
  <c r="M315" i="1"/>
  <c r="M223" i="1"/>
  <c r="M109" i="1"/>
  <c r="M50" i="1"/>
  <c r="M106" i="1"/>
  <c r="M142" i="1"/>
  <c r="M15" i="1"/>
  <c r="M27" i="1"/>
  <c r="N104" i="1"/>
  <c r="M114" i="1"/>
  <c r="M173" i="1"/>
  <c r="M111" i="1"/>
  <c r="M170" i="1"/>
  <c r="M115" i="1"/>
  <c r="M174" i="1"/>
  <c r="M116" i="1"/>
  <c r="M131" i="1"/>
  <c r="J278" i="1"/>
  <c r="J291" i="1"/>
  <c r="S31" i="12"/>
  <c r="S87" i="1"/>
  <c r="M107" i="1"/>
  <c r="M172" i="1"/>
  <c r="C22" i="12"/>
  <c r="C78" i="1"/>
  <c r="C21" i="12"/>
  <c r="C77" i="1"/>
  <c r="G112" i="1"/>
  <c r="N112" i="1"/>
  <c r="N171" i="1"/>
  <c r="J107" i="1"/>
  <c r="J172" i="1"/>
  <c r="G107" i="1"/>
  <c r="G172" i="1"/>
  <c r="F190" i="1"/>
  <c r="I107" i="1"/>
  <c r="I172" i="1"/>
  <c r="K107" i="1"/>
  <c r="K172" i="1"/>
  <c r="L107" i="1"/>
  <c r="L172" i="1"/>
  <c r="I215" i="1"/>
  <c r="I182" i="1"/>
  <c r="I184" i="1"/>
  <c r="I211" i="1"/>
  <c r="J302" i="1"/>
  <c r="J245" i="1"/>
  <c r="J293" i="1"/>
  <c r="N260" i="1"/>
  <c r="N315" i="1"/>
  <c r="N223" i="1"/>
  <c r="N50" i="1"/>
  <c r="N106" i="1"/>
  <c r="N142" i="1"/>
  <c r="N15" i="1"/>
  <c r="N168" i="1"/>
  <c r="N107" i="1"/>
  <c r="N172" i="1"/>
  <c r="N27" i="1"/>
  <c r="O104" i="1"/>
  <c r="N109" i="1"/>
  <c r="N116" i="1"/>
  <c r="N131" i="1"/>
  <c r="N111" i="1"/>
  <c r="N170" i="1"/>
  <c r="N114" i="1"/>
  <c r="N173" i="1"/>
  <c r="N115" i="1"/>
  <c r="N174" i="1"/>
  <c r="G31" i="12"/>
  <c r="G87" i="1"/>
  <c r="G113" i="1"/>
  <c r="N113" i="1"/>
  <c r="C24" i="12"/>
  <c r="C80" i="1"/>
  <c r="C23" i="12"/>
  <c r="C79" i="1"/>
  <c r="J19" i="12"/>
  <c r="J75" i="1"/>
  <c r="J9" i="12"/>
  <c r="J65" i="1"/>
  <c r="N108" i="1"/>
  <c r="N119" i="1"/>
  <c r="J113" i="1"/>
  <c r="J108" i="1"/>
  <c r="I108" i="1"/>
  <c r="I113" i="1"/>
  <c r="K108" i="1"/>
  <c r="K113" i="1"/>
  <c r="L113" i="1"/>
  <c r="L108" i="1"/>
  <c r="M108" i="1"/>
  <c r="M113" i="1"/>
  <c r="G171" i="1"/>
  <c r="J112" i="1"/>
  <c r="J171" i="1"/>
  <c r="K112" i="1"/>
  <c r="K171" i="1"/>
  <c r="I112" i="1"/>
  <c r="I171" i="1"/>
  <c r="L112" i="1"/>
  <c r="L171" i="1"/>
  <c r="M112" i="1"/>
  <c r="M171" i="1"/>
  <c r="J203" i="1"/>
  <c r="O315" i="1"/>
  <c r="O223" i="1"/>
  <c r="O168" i="1"/>
  <c r="O142" i="1"/>
  <c r="O108" i="1"/>
  <c r="O119" i="1"/>
  <c r="O106" i="1"/>
  <c r="P104" i="1"/>
  <c r="O107" i="1"/>
  <c r="O172" i="1"/>
  <c r="O27" i="1"/>
  <c r="O50" i="1"/>
  <c r="O260" i="1"/>
  <c r="O109" i="1"/>
  <c r="O15" i="1"/>
  <c r="O112" i="1"/>
  <c r="O171" i="1"/>
  <c r="O111" i="1"/>
  <c r="O170" i="1"/>
  <c r="O115" i="1"/>
  <c r="O174" i="1"/>
  <c r="O114" i="1"/>
  <c r="O173" i="1"/>
  <c r="O116" i="1"/>
  <c r="O131" i="1"/>
  <c r="O113" i="1"/>
  <c r="N121" i="1"/>
  <c r="N120" i="1"/>
  <c r="I119" i="1"/>
  <c r="I121" i="1"/>
  <c r="I122" i="1"/>
  <c r="I120" i="1"/>
  <c r="K119" i="1"/>
  <c r="K120" i="1"/>
  <c r="J119" i="1"/>
  <c r="J120" i="1"/>
  <c r="J121" i="1"/>
  <c r="M119" i="1"/>
  <c r="M120" i="1"/>
  <c r="M121" i="1"/>
  <c r="L119" i="1"/>
  <c r="L120" i="1"/>
  <c r="L121" i="1"/>
  <c r="O120" i="1"/>
  <c r="O121" i="1"/>
  <c r="P260" i="1"/>
  <c r="P315" i="1"/>
  <c r="P108" i="1"/>
  <c r="P119" i="1"/>
  <c r="P106" i="1"/>
  <c r="P223" i="1"/>
  <c r="P27" i="1"/>
  <c r="P168" i="1"/>
  <c r="P107" i="1"/>
  <c r="P172" i="1"/>
  <c r="P50" i="1"/>
  <c r="Q104" i="1"/>
  <c r="P109" i="1"/>
  <c r="P15" i="1"/>
  <c r="P142" i="1"/>
  <c r="P115" i="1"/>
  <c r="P174" i="1"/>
  <c r="P113" i="1"/>
  <c r="P114" i="1"/>
  <c r="P173" i="1"/>
  <c r="P112" i="1"/>
  <c r="P171" i="1"/>
  <c r="P111" i="1"/>
  <c r="P170" i="1"/>
  <c r="P116" i="1"/>
  <c r="P131" i="1"/>
  <c r="J122" i="1"/>
  <c r="K122" i="1"/>
  <c r="L122" i="1"/>
  <c r="L126" i="1"/>
  <c r="P121" i="1"/>
  <c r="P120" i="1"/>
  <c r="Q315" i="1"/>
  <c r="Q223" i="1"/>
  <c r="Q260" i="1"/>
  <c r="Q108" i="1"/>
  <c r="Q119" i="1"/>
  <c r="Q106" i="1"/>
  <c r="R104" i="1"/>
  <c r="Q168" i="1"/>
  <c r="Q107" i="1"/>
  <c r="Q172" i="1"/>
  <c r="Q50" i="1"/>
  <c r="Q27" i="1"/>
  <c r="Q109" i="1"/>
  <c r="Q15" i="1"/>
  <c r="Q142" i="1"/>
  <c r="Q111" i="1"/>
  <c r="Q170" i="1"/>
  <c r="Q112" i="1"/>
  <c r="Q171" i="1"/>
  <c r="Q114" i="1"/>
  <c r="Q173" i="1"/>
  <c r="Q115" i="1"/>
  <c r="Q174" i="1"/>
  <c r="Q113" i="1"/>
  <c r="Q116" i="1"/>
  <c r="Q131" i="1"/>
  <c r="J126" i="1"/>
  <c r="K126" i="1"/>
  <c r="M122" i="1"/>
  <c r="Q120" i="1"/>
  <c r="R168" i="1"/>
  <c r="R142" i="1"/>
  <c r="R223" i="1"/>
  <c r="S104" i="1"/>
  <c r="R109" i="1"/>
  <c r="R107" i="1"/>
  <c r="R172" i="1"/>
  <c r="R15" i="1"/>
  <c r="R315" i="1"/>
  <c r="R50" i="1"/>
  <c r="R27" i="1"/>
  <c r="R260" i="1"/>
  <c r="R108" i="1"/>
  <c r="R119" i="1"/>
  <c r="R115" i="1"/>
  <c r="R174" i="1"/>
  <c r="R111" i="1"/>
  <c r="R170" i="1"/>
  <c r="R106" i="1"/>
  <c r="R113" i="1"/>
  <c r="R114" i="1"/>
  <c r="R173" i="1"/>
  <c r="R116" i="1"/>
  <c r="R131" i="1"/>
  <c r="R112" i="1"/>
  <c r="R171" i="1"/>
  <c r="Q121" i="1"/>
  <c r="N122" i="1"/>
  <c r="M126" i="1"/>
  <c r="R121" i="1"/>
  <c r="S260" i="1"/>
  <c r="S315" i="1"/>
  <c r="S223" i="1"/>
  <c r="S109" i="1"/>
  <c r="S107" i="1"/>
  <c r="S172" i="1"/>
  <c r="S142" i="1"/>
  <c r="S168" i="1"/>
  <c r="S27" i="1"/>
  <c r="S108" i="1"/>
  <c r="S119" i="1"/>
  <c r="S15" i="1"/>
  <c r="S106" i="1"/>
  <c r="S50" i="1"/>
  <c r="S111" i="1"/>
  <c r="S170" i="1"/>
  <c r="S116" i="1"/>
  <c r="S131" i="1"/>
  <c r="S113" i="1"/>
  <c r="S115" i="1"/>
  <c r="S174" i="1"/>
  <c r="S112" i="1"/>
  <c r="S171" i="1"/>
  <c r="S114" i="1"/>
  <c r="S173" i="1"/>
  <c r="R120" i="1"/>
  <c r="S120" i="1"/>
  <c r="C41" i="1"/>
  <c r="N126" i="1"/>
  <c r="O122" i="1"/>
  <c r="S121" i="1"/>
  <c r="J125" i="1"/>
  <c r="K125" i="1"/>
  <c r="L125" i="1"/>
  <c r="P125" i="1"/>
  <c r="M125" i="1"/>
  <c r="O125" i="1"/>
  <c r="Q125" i="1"/>
  <c r="N125" i="1"/>
  <c r="S130" i="1"/>
  <c r="J130" i="1"/>
  <c r="L130" i="1"/>
  <c r="K130" i="1"/>
  <c r="M130" i="1"/>
  <c r="N130" i="1"/>
  <c r="Q130" i="1"/>
  <c r="O130" i="1"/>
  <c r="P130" i="1"/>
  <c r="R125" i="1"/>
  <c r="S125" i="1"/>
  <c r="S178" i="1"/>
  <c r="R130" i="1"/>
  <c r="O126" i="1"/>
  <c r="O127" i="1"/>
  <c r="O134" i="1"/>
  <c r="P122" i="1"/>
  <c r="K132" i="1"/>
  <c r="K135" i="1"/>
  <c r="K204" i="1"/>
  <c r="L132" i="1"/>
  <c r="L135" i="1"/>
  <c r="L204" i="1"/>
  <c r="J132" i="1"/>
  <c r="J135" i="1"/>
  <c r="J204" i="1"/>
  <c r="S132" i="1"/>
  <c r="S135" i="1"/>
  <c r="S204" i="1"/>
  <c r="S147" i="1"/>
  <c r="M132" i="1"/>
  <c r="M135" i="1"/>
  <c r="M204" i="1"/>
  <c r="P132" i="1"/>
  <c r="P135" i="1"/>
  <c r="P204" i="1"/>
  <c r="O132" i="1"/>
  <c r="O135" i="1"/>
  <c r="O204" i="1"/>
  <c r="Q132" i="1"/>
  <c r="Q135" i="1"/>
  <c r="Q204" i="1"/>
  <c r="R132" i="1"/>
  <c r="R135" i="1"/>
  <c r="R204" i="1"/>
  <c r="N132" i="1"/>
  <c r="N135" i="1"/>
  <c r="N204" i="1"/>
  <c r="M127" i="1"/>
  <c r="M134" i="1"/>
  <c r="M178" i="1"/>
  <c r="M147" i="1"/>
  <c r="L127" i="1"/>
  <c r="L134" i="1"/>
  <c r="L178" i="1"/>
  <c r="P178" i="1"/>
  <c r="K127" i="1"/>
  <c r="K134" i="1"/>
  <c r="K178" i="1"/>
  <c r="J127" i="1"/>
  <c r="J134" i="1"/>
  <c r="J136" i="1"/>
  <c r="J145" i="1"/>
  <c r="J178" i="1"/>
  <c r="O178" i="1"/>
  <c r="R178" i="1"/>
  <c r="R147" i="1"/>
  <c r="N127" i="1"/>
  <c r="N134" i="1"/>
  <c r="N178" i="1"/>
  <c r="Q178" i="1"/>
  <c r="N136" i="1"/>
  <c r="N145" i="1"/>
  <c r="J147" i="1"/>
  <c r="Q147" i="1"/>
  <c r="K147" i="1"/>
  <c r="N147" i="1"/>
  <c r="P126" i="1"/>
  <c r="P127" i="1"/>
  <c r="P134" i="1"/>
  <c r="P136" i="1"/>
  <c r="P145" i="1"/>
  <c r="Q122" i="1"/>
  <c r="P147" i="1"/>
  <c r="O147" i="1"/>
  <c r="L147" i="1"/>
  <c r="O136" i="1"/>
  <c r="O145" i="1"/>
  <c r="M136" i="1"/>
  <c r="M145" i="1"/>
  <c r="K136" i="1"/>
  <c r="K145" i="1"/>
  <c r="K205" i="1"/>
  <c r="J205" i="1"/>
  <c r="L136" i="1"/>
  <c r="L145" i="1"/>
  <c r="Q126" i="1"/>
  <c r="Q127" i="1"/>
  <c r="Q134" i="1"/>
  <c r="Q136" i="1"/>
  <c r="Q145" i="1"/>
  <c r="R122" i="1"/>
  <c r="J207" i="1"/>
  <c r="J208" i="1"/>
  <c r="J210" i="1"/>
  <c r="K207" i="1"/>
  <c r="K208" i="1"/>
  <c r="K210" i="1"/>
  <c r="R126" i="1"/>
  <c r="R127" i="1"/>
  <c r="R134" i="1"/>
  <c r="R136" i="1"/>
  <c r="R145" i="1"/>
  <c r="S122" i="1"/>
  <c r="S126" i="1"/>
  <c r="S127" i="1"/>
  <c r="S134" i="1"/>
  <c r="S136" i="1"/>
  <c r="S145" i="1"/>
  <c r="J211" i="1"/>
  <c r="K211" i="1"/>
  <c r="L203" i="1"/>
  <c r="L205" i="1"/>
  <c r="L207" i="1"/>
  <c r="L208" i="1"/>
  <c r="L210" i="1"/>
  <c r="L211" i="1"/>
  <c r="M203" i="1"/>
  <c r="M205" i="1"/>
  <c r="M207" i="1"/>
  <c r="M208" i="1"/>
  <c r="M210" i="1"/>
  <c r="M211" i="1"/>
  <c r="N203" i="1"/>
  <c r="N205" i="1"/>
  <c r="I185" i="1"/>
  <c r="J177" i="1"/>
  <c r="I217" i="1"/>
  <c r="N207" i="1"/>
  <c r="J179" i="1"/>
  <c r="J181" i="1"/>
  <c r="J215" i="1"/>
  <c r="N208" i="1"/>
  <c r="N210" i="1"/>
  <c r="J182" i="1"/>
  <c r="N211" i="1"/>
  <c r="O203" i="1"/>
  <c r="O205" i="1"/>
  <c r="J184" i="1"/>
  <c r="J148" i="1"/>
  <c r="O207" i="1"/>
  <c r="J185" i="1"/>
  <c r="K177" i="1"/>
  <c r="O208" i="1"/>
  <c r="K179" i="1"/>
  <c r="K181" i="1"/>
  <c r="K215" i="1"/>
  <c r="O210" i="1"/>
  <c r="K182" i="1"/>
  <c r="O211" i="1"/>
  <c r="P203" i="1"/>
  <c r="P205" i="1"/>
  <c r="P207" i="1"/>
  <c r="K184" i="1"/>
  <c r="K185" i="1"/>
  <c r="L177" i="1"/>
  <c r="L179" i="1"/>
  <c r="L181" i="1"/>
  <c r="L215" i="1"/>
  <c r="K148" i="1"/>
  <c r="P208" i="1"/>
  <c r="P210" i="1"/>
  <c r="P211" i="1"/>
  <c r="Q203" i="1"/>
  <c r="L182" i="1"/>
  <c r="Q205" i="1"/>
  <c r="Q207" i="1"/>
  <c r="L184" i="1"/>
  <c r="L148" i="1"/>
  <c r="Q208" i="1"/>
  <c r="L185" i="1"/>
  <c r="M177" i="1"/>
  <c r="M179" i="1"/>
  <c r="M181" i="1"/>
  <c r="M215" i="1"/>
  <c r="Q210" i="1"/>
  <c r="Q211" i="1"/>
  <c r="R203" i="1"/>
  <c r="M182" i="1"/>
  <c r="R205" i="1"/>
  <c r="R207" i="1"/>
  <c r="M184" i="1"/>
  <c r="M148" i="1"/>
  <c r="R208" i="1"/>
  <c r="M185" i="1"/>
  <c r="N177" i="1"/>
  <c r="N179" i="1"/>
  <c r="N181" i="1"/>
  <c r="N215" i="1"/>
  <c r="R210" i="1"/>
  <c r="N182" i="1"/>
  <c r="R211" i="1"/>
  <c r="S203" i="1"/>
  <c r="N184" i="1"/>
  <c r="N148" i="1"/>
  <c r="S205" i="1"/>
  <c r="S207" i="1"/>
  <c r="N185" i="1"/>
  <c r="O177" i="1"/>
  <c r="O179" i="1"/>
  <c r="O181" i="1"/>
  <c r="O215" i="1"/>
  <c r="S208" i="1"/>
  <c r="O182" i="1"/>
  <c r="S210" i="1"/>
  <c r="O184" i="1"/>
  <c r="O148" i="1"/>
  <c r="S211" i="1"/>
  <c r="C43" i="1"/>
  <c r="C42" i="1"/>
  <c r="O185" i="1"/>
  <c r="P177" i="1"/>
  <c r="P179" i="1"/>
  <c r="P181" i="1"/>
  <c r="P215" i="1"/>
  <c r="P182" i="1"/>
  <c r="P184" i="1"/>
  <c r="P148" i="1"/>
  <c r="P185" i="1"/>
  <c r="Q177" i="1"/>
  <c r="Q179" i="1"/>
  <c r="Q181" i="1"/>
  <c r="Q215" i="1"/>
  <c r="Q182" i="1"/>
  <c r="Q184" i="1"/>
  <c r="Q148" i="1"/>
  <c r="Q185" i="1"/>
  <c r="R177" i="1"/>
  <c r="R179" i="1"/>
  <c r="R181" i="1"/>
  <c r="R215" i="1"/>
  <c r="R182" i="1"/>
  <c r="R184" i="1"/>
  <c r="R148" i="1"/>
  <c r="R185" i="1"/>
  <c r="S177" i="1"/>
  <c r="S179" i="1"/>
  <c r="S181" i="1"/>
  <c r="S215" i="1"/>
  <c r="S182" i="1"/>
  <c r="S184" i="1"/>
  <c r="C36" i="1"/>
  <c r="S185" i="1"/>
  <c r="G189" i="1"/>
  <c r="S148" i="1"/>
  <c r="Q199" i="1"/>
  <c r="N199" i="1"/>
  <c r="J199" i="1"/>
  <c r="I199" i="1"/>
  <c r="I197" i="1"/>
  <c r="I191" i="1"/>
  <c r="K199" i="1"/>
  <c r="S199" i="1"/>
  <c r="G190" i="1"/>
  <c r="M199" i="1"/>
  <c r="R199" i="1"/>
  <c r="P199" i="1"/>
  <c r="L199" i="1"/>
  <c r="O199" i="1"/>
  <c r="L190" i="1"/>
  <c r="L149" i="1"/>
  <c r="K190" i="1"/>
  <c r="K149" i="1"/>
  <c r="I190" i="1"/>
  <c r="I192" i="1"/>
  <c r="I195" i="1"/>
  <c r="J189" i="1"/>
  <c r="J190" i="1"/>
  <c r="J149" i="1"/>
  <c r="N190" i="1"/>
  <c r="N149" i="1"/>
  <c r="S190" i="1"/>
  <c r="S149" i="1"/>
  <c r="M190" i="1"/>
  <c r="M149" i="1"/>
  <c r="Q190" i="1"/>
  <c r="Q149" i="1"/>
  <c r="O190" i="1"/>
  <c r="O149" i="1"/>
  <c r="R190" i="1"/>
  <c r="R149" i="1"/>
  <c r="P190" i="1"/>
  <c r="P149" i="1"/>
  <c r="J198" i="1"/>
  <c r="J216" i="1"/>
  <c r="J217" i="1"/>
  <c r="J197" i="1"/>
  <c r="J191" i="1"/>
  <c r="J150" i="1"/>
  <c r="J192" i="1"/>
  <c r="J195" i="1"/>
  <c r="K189" i="1"/>
  <c r="K198" i="1"/>
  <c r="K216" i="1"/>
  <c r="K197" i="1"/>
  <c r="K191" i="1"/>
  <c r="K217" i="1"/>
  <c r="K150" i="1"/>
  <c r="K192" i="1"/>
  <c r="K195" i="1"/>
  <c r="L189" i="1"/>
  <c r="L198" i="1"/>
  <c r="L216" i="1"/>
  <c r="L217" i="1"/>
  <c r="L197" i="1"/>
  <c r="L191" i="1"/>
  <c r="L150" i="1"/>
  <c r="L192" i="1"/>
  <c r="L195" i="1"/>
  <c r="M189" i="1"/>
  <c r="M198" i="1"/>
  <c r="M216" i="1"/>
  <c r="M217" i="1"/>
  <c r="M197" i="1"/>
  <c r="M191" i="1"/>
  <c r="M150" i="1"/>
  <c r="M192" i="1"/>
  <c r="M195" i="1"/>
  <c r="N189" i="1"/>
  <c r="N198" i="1"/>
  <c r="N216" i="1"/>
  <c r="N217" i="1"/>
  <c r="N197" i="1"/>
  <c r="N191" i="1"/>
  <c r="N150" i="1"/>
  <c r="N192" i="1"/>
  <c r="N195" i="1"/>
  <c r="O189" i="1"/>
  <c r="O198" i="1"/>
  <c r="O216" i="1"/>
  <c r="O197" i="1"/>
  <c r="O191" i="1"/>
  <c r="O217" i="1"/>
  <c r="O150" i="1"/>
  <c r="O192" i="1"/>
  <c r="O195" i="1"/>
  <c r="P189" i="1"/>
  <c r="P198" i="1"/>
  <c r="P216" i="1"/>
  <c r="P197" i="1"/>
  <c r="P191" i="1"/>
  <c r="P217" i="1"/>
  <c r="P150" i="1"/>
  <c r="P192" i="1"/>
  <c r="P195" i="1"/>
  <c r="Q189" i="1"/>
  <c r="Q198" i="1"/>
  <c r="Q216" i="1"/>
  <c r="Q217" i="1"/>
  <c r="Q197" i="1"/>
  <c r="Q191" i="1"/>
  <c r="Q150" i="1"/>
  <c r="Q192" i="1"/>
  <c r="Q195" i="1"/>
  <c r="R189" i="1"/>
  <c r="R198" i="1"/>
  <c r="R216" i="1"/>
  <c r="R217" i="1"/>
  <c r="R197" i="1"/>
  <c r="R191" i="1"/>
  <c r="R150" i="1"/>
  <c r="R192" i="1"/>
  <c r="R195" i="1"/>
  <c r="S189" i="1"/>
  <c r="S198" i="1"/>
  <c r="S216" i="1"/>
  <c r="S197" i="1"/>
  <c r="S191" i="1"/>
  <c r="S217" i="1"/>
  <c r="S150" i="1"/>
  <c r="S192" i="1"/>
  <c r="S195" i="1"/>
  <c r="J91" i="13"/>
  <c r="J133" i="13"/>
  <c r="S138" i="13"/>
  <c r="K133" i="13"/>
  <c r="L133" i="13"/>
  <c r="M133" i="13"/>
  <c r="N133" i="13"/>
  <c r="O133" i="13"/>
  <c r="P133" i="13"/>
  <c r="Q133" i="13"/>
  <c r="R133" i="13"/>
  <c r="S133" i="13"/>
  <c r="S139" i="13"/>
  <c r="C11" i="1"/>
  <c r="C12" i="1"/>
  <c r="C13" i="1"/>
  <c r="C14" i="1"/>
  <c r="J17" i="1"/>
  <c r="K17" i="1"/>
  <c r="L17" i="1"/>
  <c r="M17" i="1"/>
  <c r="N17" i="1"/>
  <c r="O17" i="1"/>
  <c r="P17" i="1"/>
  <c r="Q17" i="1"/>
  <c r="R17" i="1"/>
  <c r="S17" i="1"/>
  <c r="J18" i="1"/>
  <c r="K18" i="1"/>
  <c r="L18" i="1"/>
  <c r="M18" i="1"/>
  <c r="N18" i="1"/>
  <c r="O18" i="1"/>
  <c r="P18" i="1"/>
  <c r="Q18" i="1"/>
  <c r="R18" i="1"/>
  <c r="S18" i="1"/>
  <c r="J19" i="1"/>
  <c r="K19" i="1"/>
  <c r="L19" i="1"/>
  <c r="M19" i="1"/>
  <c r="N19" i="1"/>
  <c r="O19" i="1"/>
  <c r="P19" i="1"/>
  <c r="Q19" i="1"/>
  <c r="R19" i="1"/>
  <c r="S19" i="1"/>
  <c r="J20" i="1"/>
  <c r="K20" i="1"/>
  <c r="L20" i="1"/>
  <c r="M20" i="1"/>
  <c r="N20" i="1"/>
  <c r="O20" i="1"/>
  <c r="P20" i="1"/>
  <c r="Q20" i="1"/>
  <c r="R20" i="1"/>
  <c r="S20" i="1"/>
  <c r="C25" i="1"/>
  <c r="C26" i="1"/>
  <c r="J29" i="1"/>
  <c r="K29" i="1"/>
  <c r="L29" i="1"/>
  <c r="M29" i="1"/>
  <c r="N29" i="1"/>
  <c r="O29" i="1"/>
  <c r="P29" i="1"/>
  <c r="Q29" i="1"/>
  <c r="R29" i="1"/>
  <c r="S29" i="1"/>
  <c r="J30" i="1"/>
  <c r="K30" i="1"/>
  <c r="L30" i="1"/>
  <c r="M30" i="1"/>
  <c r="N30" i="1"/>
  <c r="O30" i="1"/>
  <c r="P30" i="1"/>
  <c r="Q30" i="1"/>
  <c r="R30" i="1"/>
  <c r="S30" i="1"/>
  <c r="J31" i="1"/>
  <c r="K31" i="1"/>
  <c r="L31" i="1"/>
  <c r="M31" i="1"/>
  <c r="N31" i="1"/>
  <c r="O31" i="1"/>
  <c r="P31" i="1"/>
  <c r="Q31" i="1"/>
  <c r="R31" i="1"/>
  <c r="S31" i="1"/>
  <c r="C49" i="1"/>
  <c r="J52" i="1"/>
  <c r="K52" i="1"/>
  <c r="L52" i="1"/>
  <c r="M52" i="1"/>
  <c r="N52" i="1"/>
  <c r="O52" i="1"/>
  <c r="P52" i="1"/>
  <c r="Q52" i="1"/>
  <c r="R52" i="1"/>
  <c r="S52" i="1"/>
  <c r="J53" i="1"/>
  <c r="K53" i="1"/>
  <c r="L53" i="1"/>
  <c r="M53" i="1"/>
  <c r="N53" i="1"/>
  <c r="O53" i="1"/>
  <c r="P53" i="1"/>
  <c r="Q53" i="1"/>
  <c r="R53" i="1"/>
  <c r="S53" i="1"/>
  <c r="J54" i="1"/>
  <c r="K54" i="1"/>
  <c r="L54" i="1"/>
  <c r="M54" i="1"/>
  <c r="N54" i="1"/>
  <c r="O54" i="1"/>
  <c r="P54" i="1"/>
  <c r="Q54" i="1"/>
  <c r="R54" i="1"/>
  <c r="S54" i="1"/>
  <c r="J146" i="1"/>
  <c r="K146" i="1"/>
  <c r="L146" i="1"/>
  <c r="M146" i="1"/>
  <c r="N146" i="1"/>
  <c r="O146" i="1"/>
  <c r="P146" i="1"/>
  <c r="Q146" i="1"/>
  <c r="R146" i="1"/>
  <c r="S146" i="1"/>
  <c r="J151" i="1"/>
  <c r="K151" i="1"/>
  <c r="L151" i="1"/>
  <c r="M151" i="1"/>
  <c r="N151" i="1"/>
  <c r="O151" i="1"/>
  <c r="P151" i="1"/>
  <c r="Q151" i="1"/>
  <c r="R151" i="1"/>
  <c r="S151" i="1"/>
  <c r="J153" i="1"/>
  <c r="K153" i="1"/>
  <c r="L153" i="1"/>
  <c r="M153" i="1"/>
  <c r="N153" i="1"/>
  <c r="O153" i="1"/>
  <c r="P153" i="1"/>
  <c r="Q153" i="1"/>
  <c r="R153" i="1"/>
  <c r="S153" i="1"/>
  <c r="J156" i="1"/>
  <c r="K156" i="1"/>
  <c r="L156" i="1"/>
  <c r="M156" i="1"/>
  <c r="N156" i="1"/>
  <c r="O156" i="1"/>
  <c r="P156" i="1"/>
  <c r="Q156" i="1"/>
  <c r="R156" i="1"/>
  <c r="S156" i="1"/>
  <c r="J157" i="1"/>
  <c r="K157" i="1"/>
  <c r="L157" i="1"/>
  <c r="M157" i="1"/>
  <c r="N157" i="1"/>
  <c r="O157" i="1"/>
  <c r="P157" i="1"/>
  <c r="Q157" i="1"/>
  <c r="R157" i="1"/>
  <c r="S157" i="1"/>
  <c r="J158" i="1"/>
  <c r="K158" i="1"/>
  <c r="L158" i="1"/>
  <c r="M158" i="1"/>
  <c r="N158" i="1"/>
  <c r="O158" i="1"/>
  <c r="P158" i="1"/>
  <c r="Q158" i="1"/>
  <c r="R158" i="1"/>
  <c r="S158" i="1"/>
  <c r="J160" i="1"/>
  <c r="K160" i="1"/>
  <c r="L160" i="1"/>
  <c r="M160" i="1"/>
  <c r="N160" i="1"/>
  <c r="O160" i="1"/>
  <c r="P160" i="1"/>
  <c r="Q160" i="1"/>
  <c r="R160" i="1"/>
  <c r="S160" i="1"/>
  <c r="J162" i="1"/>
  <c r="K162" i="1"/>
  <c r="L162" i="1"/>
  <c r="M162" i="1"/>
  <c r="N162" i="1"/>
  <c r="O162" i="1"/>
  <c r="P162" i="1"/>
  <c r="Q162" i="1"/>
  <c r="R162" i="1"/>
  <c r="S162" i="1"/>
  <c r="K226" i="1"/>
  <c r="L226" i="1"/>
  <c r="M226" i="1"/>
  <c r="N226" i="1"/>
  <c r="O226" i="1"/>
  <c r="P226" i="1"/>
  <c r="Q226" i="1"/>
  <c r="R226" i="1"/>
  <c r="S226" i="1"/>
  <c r="J227" i="1"/>
  <c r="K227" i="1"/>
  <c r="L227" i="1"/>
  <c r="M227" i="1"/>
  <c r="N227" i="1"/>
  <c r="O227" i="1"/>
  <c r="P227" i="1"/>
  <c r="Q227" i="1"/>
  <c r="R227" i="1"/>
  <c r="S227" i="1"/>
  <c r="J228" i="1"/>
  <c r="K228" i="1"/>
  <c r="L228" i="1"/>
  <c r="M228" i="1"/>
  <c r="N228" i="1"/>
  <c r="O228" i="1"/>
  <c r="P228" i="1"/>
  <c r="Q228" i="1"/>
  <c r="R228" i="1"/>
  <c r="S228" i="1"/>
  <c r="J230" i="1"/>
  <c r="K230" i="1"/>
  <c r="L230" i="1"/>
  <c r="M230" i="1"/>
  <c r="N230" i="1"/>
  <c r="O230" i="1"/>
  <c r="P230" i="1"/>
  <c r="Q230" i="1"/>
  <c r="R230" i="1"/>
  <c r="S230" i="1"/>
  <c r="K233" i="1"/>
  <c r="L233" i="1"/>
  <c r="M233" i="1"/>
  <c r="N233" i="1"/>
  <c r="O233" i="1"/>
  <c r="P233" i="1"/>
  <c r="Q233" i="1"/>
  <c r="R233" i="1"/>
  <c r="S233" i="1"/>
  <c r="J234" i="1"/>
  <c r="K234" i="1"/>
  <c r="L234" i="1"/>
  <c r="M234" i="1"/>
  <c r="N234" i="1"/>
  <c r="O234" i="1"/>
  <c r="P234" i="1"/>
  <c r="Q234" i="1"/>
  <c r="R234" i="1"/>
  <c r="S234" i="1"/>
  <c r="J235" i="1"/>
  <c r="K235" i="1"/>
  <c r="L235" i="1"/>
  <c r="M235" i="1"/>
  <c r="N235" i="1"/>
  <c r="O235" i="1"/>
  <c r="P235" i="1"/>
  <c r="Q235" i="1"/>
  <c r="R235" i="1"/>
  <c r="S235" i="1"/>
  <c r="J237" i="1"/>
  <c r="K237" i="1"/>
  <c r="L237" i="1"/>
  <c r="M237" i="1"/>
  <c r="N237" i="1"/>
  <c r="O237" i="1"/>
  <c r="P237" i="1"/>
  <c r="Q237" i="1"/>
  <c r="R237" i="1"/>
  <c r="S237" i="1"/>
  <c r="K240" i="1"/>
  <c r="L240" i="1"/>
  <c r="M240" i="1"/>
  <c r="N240" i="1"/>
  <c r="O240" i="1"/>
  <c r="P240" i="1"/>
  <c r="Q240" i="1"/>
  <c r="R240" i="1"/>
  <c r="S240" i="1"/>
  <c r="J241" i="1"/>
  <c r="K241" i="1"/>
  <c r="L241" i="1"/>
  <c r="M241" i="1"/>
  <c r="N241" i="1"/>
  <c r="O241" i="1"/>
  <c r="P241" i="1"/>
  <c r="Q241" i="1"/>
  <c r="R241" i="1"/>
  <c r="S241" i="1"/>
  <c r="J242" i="1"/>
  <c r="K242" i="1"/>
  <c r="L242" i="1"/>
  <c r="M242" i="1"/>
  <c r="N242" i="1"/>
  <c r="O242" i="1"/>
  <c r="P242" i="1"/>
  <c r="Q242" i="1"/>
  <c r="R242" i="1"/>
  <c r="S242" i="1"/>
  <c r="K245" i="1"/>
  <c r="L245" i="1"/>
  <c r="M245" i="1"/>
  <c r="N245" i="1"/>
  <c r="O245" i="1"/>
  <c r="P245" i="1"/>
  <c r="Q245" i="1"/>
  <c r="R245" i="1"/>
  <c r="S245" i="1"/>
  <c r="J246" i="1"/>
  <c r="K246" i="1"/>
  <c r="L246" i="1"/>
  <c r="M246" i="1"/>
  <c r="N246" i="1"/>
  <c r="O246" i="1"/>
  <c r="P246" i="1"/>
  <c r="Q246" i="1"/>
  <c r="R246" i="1"/>
  <c r="S246" i="1"/>
  <c r="J248" i="1"/>
  <c r="K248" i="1"/>
  <c r="L248" i="1"/>
  <c r="M248" i="1"/>
  <c r="N248" i="1"/>
  <c r="O248" i="1"/>
  <c r="P248" i="1"/>
  <c r="Q248" i="1"/>
  <c r="R248" i="1"/>
  <c r="S248" i="1"/>
  <c r="J253" i="1"/>
  <c r="K253" i="1"/>
  <c r="L253" i="1"/>
  <c r="M253" i="1"/>
  <c r="N253" i="1"/>
  <c r="O253" i="1"/>
  <c r="P253" i="1"/>
  <c r="Q253" i="1"/>
  <c r="R253" i="1"/>
  <c r="S253" i="1"/>
  <c r="J254" i="1"/>
  <c r="K254" i="1"/>
  <c r="L254" i="1"/>
  <c r="M254" i="1"/>
  <c r="N254" i="1"/>
  <c r="O254" i="1"/>
  <c r="P254" i="1"/>
  <c r="Q254" i="1"/>
  <c r="R254" i="1"/>
  <c r="S254" i="1"/>
  <c r="J262" i="1"/>
  <c r="K262" i="1"/>
  <c r="L262" i="1"/>
  <c r="M262" i="1"/>
  <c r="N262" i="1"/>
  <c r="O262" i="1"/>
  <c r="P262" i="1"/>
  <c r="Q262" i="1"/>
  <c r="R262" i="1"/>
  <c r="S262" i="1"/>
  <c r="K265" i="1"/>
  <c r="L265" i="1"/>
  <c r="M265" i="1"/>
  <c r="N265" i="1"/>
  <c r="O265" i="1"/>
  <c r="P265" i="1"/>
  <c r="Q265" i="1"/>
  <c r="R265" i="1"/>
  <c r="S265" i="1"/>
  <c r="J266" i="1"/>
  <c r="K266" i="1"/>
  <c r="L266" i="1"/>
  <c r="M266" i="1"/>
  <c r="N266" i="1"/>
  <c r="O266" i="1"/>
  <c r="P266" i="1"/>
  <c r="Q266" i="1"/>
  <c r="R266" i="1"/>
  <c r="S266" i="1"/>
  <c r="J267" i="1"/>
  <c r="K267" i="1"/>
  <c r="L267" i="1"/>
  <c r="M267" i="1"/>
  <c r="N267" i="1"/>
  <c r="O267" i="1"/>
  <c r="P267" i="1"/>
  <c r="Q267" i="1"/>
  <c r="R267" i="1"/>
  <c r="S267" i="1"/>
  <c r="J269" i="1"/>
  <c r="K269" i="1"/>
  <c r="L269" i="1"/>
  <c r="M269" i="1"/>
  <c r="N269" i="1"/>
  <c r="O269" i="1"/>
  <c r="P269" i="1"/>
  <c r="Q269" i="1"/>
  <c r="R269" i="1"/>
  <c r="S269" i="1"/>
  <c r="J270" i="1"/>
  <c r="K270" i="1"/>
  <c r="L270" i="1"/>
  <c r="M270" i="1"/>
  <c r="N270" i="1"/>
  <c r="O270" i="1"/>
  <c r="P270" i="1"/>
  <c r="Q270" i="1"/>
  <c r="R270" i="1"/>
  <c r="S270" i="1"/>
  <c r="J272" i="1"/>
  <c r="K272" i="1"/>
  <c r="L272" i="1"/>
  <c r="M272" i="1"/>
  <c r="N272" i="1"/>
  <c r="O272" i="1"/>
  <c r="P272" i="1"/>
  <c r="Q272" i="1"/>
  <c r="R272" i="1"/>
  <c r="S272" i="1"/>
  <c r="J275" i="1"/>
  <c r="K275" i="1"/>
  <c r="L275" i="1"/>
  <c r="M275" i="1"/>
  <c r="N275" i="1"/>
  <c r="O275" i="1"/>
  <c r="P275" i="1"/>
  <c r="Q275" i="1"/>
  <c r="R275" i="1"/>
  <c r="S275" i="1"/>
  <c r="K278" i="1"/>
  <c r="L278" i="1"/>
  <c r="M278" i="1"/>
  <c r="N278" i="1"/>
  <c r="O278" i="1"/>
  <c r="P278" i="1"/>
  <c r="Q278" i="1"/>
  <c r="R278" i="1"/>
  <c r="S278" i="1"/>
  <c r="J279" i="1"/>
  <c r="K279" i="1"/>
  <c r="L279" i="1"/>
  <c r="M279" i="1"/>
  <c r="N279" i="1"/>
  <c r="O279" i="1"/>
  <c r="P279" i="1"/>
  <c r="Q279" i="1"/>
  <c r="R279" i="1"/>
  <c r="S279" i="1"/>
  <c r="J280" i="1"/>
  <c r="K280" i="1"/>
  <c r="L280" i="1"/>
  <c r="M280" i="1"/>
  <c r="N280" i="1"/>
  <c r="O280" i="1"/>
  <c r="P280" i="1"/>
  <c r="Q280" i="1"/>
  <c r="R280" i="1"/>
  <c r="S280" i="1"/>
  <c r="J282" i="1"/>
  <c r="K282" i="1"/>
  <c r="L282" i="1"/>
  <c r="M282" i="1"/>
  <c r="N282" i="1"/>
  <c r="O282" i="1"/>
  <c r="P282" i="1"/>
  <c r="Q282" i="1"/>
  <c r="R282" i="1"/>
  <c r="S282" i="1"/>
  <c r="J283" i="1"/>
  <c r="K283" i="1"/>
  <c r="L283" i="1"/>
  <c r="M283" i="1"/>
  <c r="N283" i="1"/>
  <c r="O283" i="1"/>
  <c r="P283" i="1"/>
  <c r="Q283" i="1"/>
  <c r="R283" i="1"/>
  <c r="S283" i="1"/>
  <c r="J285" i="1"/>
  <c r="K285" i="1"/>
  <c r="L285" i="1"/>
  <c r="M285" i="1"/>
  <c r="N285" i="1"/>
  <c r="O285" i="1"/>
  <c r="P285" i="1"/>
  <c r="Q285" i="1"/>
  <c r="R285" i="1"/>
  <c r="S285" i="1"/>
  <c r="J288" i="1"/>
  <c r="K288" i="1"/>
  <c r="L288" i="1"/>
  <c r="M288" i="1"/>
  <c r="N288" i="1"/>
  <c r="O288" i="1"/>
  <c r="P288" i="1"/>
  <c r="Q288" i="1"/>
  <c r="R288" i="1"/>
  <c r="S288" i="1"/>
  <c r="K291" i="1"/>
  <c r="L291" i="1"/>
  <c r="M291" i="1"/>
  <c r="N291" i="1"/>
  <c r="O291" i="1"/>
  <c r="P291" i="1"/>
  <c r="Q291" i="1"/>
  <c r="R291" i="1"/>
  <c r="S291" i="1"/>
  <c r="K293" i="1"/>
  <c r="L293" i="1"/>
  <c r="M293" i="1"/>
  <c r="N293" i="1"/>
  <c r="O293" i="1"/>
  <c r="P293" i="1"/>
  <c r="Q293" i="1"/>
  <c r="R293" i="1"/>
  <c r="S293" i="1"/>
  <c r="J295" i="1"/>
  <c r="K295" i="1"/>
  <c r="L295" i="1"/>
  <c r="M295" i="1"/>
  <c r="N295" i="1"/>
  <c r="O295" i="1"/>
  <c r="P295" i="1"/>
  <c r="Q295" i="1"/>
  <c r="R295" i="1"/>
  <c r="S295" i="1"/>
  <c r="J296" i="1"/>
  <c r="K296" i="1"/>
  <c r="L296" i="1"/>
  <c r="M296" i="1"/>
  <c r="N296" i="1"/>
  <c r="O296" i="1"/>
  <c r="P296" i="1"/>
  <c r="Q296" i="1"/>
  <c r="R296" i="1"/>
  <c r="S296" i="1"/>
  <c r="J298" i="1"/>
  <c r="K298" i="1"/>
  <c r="L298" i="1"/>
  <c r="M298" i="1"/>
  <c r="N298" i="1"/>
  <c r="O298" i="1"/>
  <c r="P298" i="1"/>
  <c r="Q298" i="1"/>
  <c r="R298" i="1"/>
  <c r="S298" i="1"/>
  <c r="K302" i="1"/>
  <c r="L302" i="1"/>
  <c r="M302" i="1"/>
  <c r="N302" i="1"/>
  <c r="O302" i="1"/>
  <c r="P302" i="1"/>
  <c r="Q302" i="1"/>
  <c r="R302" i="1"/>
  <c r="S302" i="1"/>
  <c r="J303" i="1"/>
  <c r="K303" i="1"/>
  <c r="L303" i="1"/>
  <c r="M303" i="1"/>
  <c r="N303" i="1"/>
  <c r="O303" i="1"/>
  <c r="P303" i="1"/>
  <c r="Q303" i="1"/>
  <c r="R303" i="1"/>
  <c r="S303" i="1"/>
  <c r="J304" i="1"/>
  <c r="K304" i="1"/>
  <c r="L304" i="1"/>
  <c r="M304" i="1"/>
  <c r="N304" i="1"/>
  <c r="O304" i="1"/>
  <c r="P304" i="1"/>
  <c r="Q304" i="1"/>
  <c r="R304" i="1"/>
  <c r="S304" i="1"/>
  <c r="J305" i="1"/>
  <c r="K305" i="1"/>
  <c r="L305" i="1"/>
  <c r="M305" i="1"/>
  <c r="N305" i="1"/>
  <c r="O305" i="1"/>
  <c r="P305" i="1"/>
  <c r="Q305" i="1"/>
  <c r="R305" i="1"/>
  <c r="S305" i="1"/>
  <c r="J307" i="1"/>
  <c r="K307" i="1"/>
  <c r="L307" i="1"/>
  <c r="M307" i="1"/>
  <c r="N307" i="1"/>
  <c r="O307" i="1"/>
  <c r="P307" i="1"/>
  <c r="Q307" i="1"/>
  <c r="R307" i="1"/>
  <c r="S307" i="1"/>
  <c r="J308" i="1"/>
  <c r="K308" i="1"/>
  <c r="L308" i="1"/>
  <c r="M308" i="1"/>
  <c r="N308" i="1"/>
  <c r="O308" i="1"/>
  <c r="P308" i="1"/>
  <c r="Q308" i="1"/>
  <c r="R308" i="1"/>
  <c r="S308" i="1"/>
  <c r="J309" i="1"/>
  <c r="K309" i="1"/>
  <c r="L309" i="1"/>
  <c r="M309" i="1"/>
  <c r="N309" i="1"/>
  <c r="O309" i="1"/>
  <c r="P309" i="1"/>
  <c r="Q309" i="1"/>
  <c r="R309" i="1"/>
  <c r="S309" i="1"/>
  <c r="J317" i="1"/>
  <c r="K317" i="1"/>
  <c r="L317" i="1"/>
  <c r="M317" i="1"/>
  <c r="N317" i="1"/>
  <c r="O317" i="1"/>
  <c r="P317" i="1"/>
  <c r="Q317" i="1"/>
  <c r="R317" i="1"/>
  <c r="S317" i="1"/>
  <c r="J318" i="1"/>
  <c r="K318" i="1"/>
  <c r="L318" i="1"/>
  <c r="M318" i="1"/>
  <c r="N318" i="1"/>
  <c r="O318" i="1"/>
  <c r="P318" i="1"/>
  <c r="Q318" i="1"/>
  <c r="R318" i="1"/>
  <c r="S318" i="1"/>
  <c r="J319" i="1"/>
  <c r="K319" i="1"/>
  <c r="L319" i="1"/>
  <c r="M319" i="1"/>
  <c r="N319" i="1"/>
  <c r="O319" i="1"/>
  <c r="P319" i="1"/>
  <c r="Q319" i="1"/>
  <c r="R319" i="1"/>
  <c r="S319" i="1"/>
  <c r="J20" i="13"/>
  <c r="K20" i="13"/>
  <c r="L20" i="13"/>
  <c r="M20" i="13"/>
  <c r="N20" i="13"/>
  <c r="O20" i="13"/>
  <c r="P20" i="13"/>
  <c r="Q20" i="13"/>
  <c r="R20" i="13"/>
  <c r="S20" i="13"/>
  <c r="J26" i="13"/>
  <c r="K26" i="13"/>
  <c r="L26" i="13"/>
  <c r="M26" i="13"/>
  <c r="N26" i="13"/>
  <c r="O26" i="13"/>
  <c r="P26" i="13"/>
  <c r="Q26" i="13"/>
  <c r="R26" i="13"/>
  <c r="S26" i="13"/>
  <c r="J28" i="13"/>
  <c r="K28" i="13"/>
  <c r="L28" i="13"/>
  <c r="M28" i="13"/>
  <c r="N28" i="13"/>
  <c r="O28" i="13"/>
  <c r="P28" i="13"/>
  <c r="Q28" i="13"/>
  <c r="R28" i="13"/>
  <c r="S28" i="13"/>
  <c r="J32" i="13"/>
  <c r="K32" i="13"/>
  <c r="L32" i="13"/>
  <c r="M32" i="13"/>
  <c r="N32" i="13"/>
  <c r="O32" i="13"/>
  <c r="P32" i="13"/>
  <c r="Q32" i="13"/>
  <c r="R32" i="13"/>
  <c r="S32" i="13"/>
  <c r="J33" i="13"/>
  <c r="K33" i="13"/>
  <c r="L33" i="13"/>
  <c r="M33" i="13"/>
  <c r="N33" i="13"/>
  <c r="O33" i="13"/>
  <c r="P33" i="13"/>
  <c r="Q33" i="13"/>
  <c r="R33" i="13"/>
  <c r="S33" i="13"/>
  <c r="J34" i="13"/>
  <c r="K34" i="13"/>
  <c r="L34" i="13"/>
  <c r="M34" i="13"/>
  <c r="N34" i="13"/>
  <c r="O34" i="13"/>
  <c r="P34" i="13"/>
  <c r="Q34" i="13"/>
  <c r="R34" i="13"/>
  <c r="S34" i="13"/>
  <c r="K43" i="13"/>
  <c r="L43" i="13"/>
  <c r="M43" i="13"/>
  <c r="N43" i="13"/>
  <c r="O43" i="13"/>
  <c r="P43" i="13"/>
  <c r="Q43" i="13"/>
  <c r="R43" i="13"/>
  <c r="S43" i="13"/>
  <c r="J44" i="13"/>
  <c r="K44" i="13"/>
  <c r="L44" i="13"/>
  <c r="M44" i="13"/>
  <c r="N44" i="13"/>
  <c r="O44" i="13"/>
  <c r="P44" i="13"/>
  <c r="Q44" i="13"/>
  <c r="R44" i="13"/>
  <c r="S44" i="13"/>
  <c r="J45" i="13"/>
  <c r="K45" i="13"/>
  <c r="L45" i="13"/>
  <c r="M45" i="13"/>
  <c r="N45" i="13"/>
  <c r="O45" i="13"/>
  <c r="P45" i="13"/>
  <c r="Q45" i="13"/>
  <c r="R45" i="13"/>
  <c r="S45" i="13"/>
  <c r="J49" i="13"/>
  <c r="K49" i="13"/>
  <c r="L49" i="13"/>
  <c r="M49" i="13"/>
  <c r="N49" i="13"/>
  <c r="O49" i="13"/>
  <c r="P49" i="13"/>
  <c r="Q49" i="13"/>
  <c r="R49" i="13"/>
  <c r="S49" i="13"/>
  <c r="K56" i="13"/>
  <c r="L56" i="13"/>
  <c r="M56" i="13"/>
  <c r="N56" i="13"/>
  <c r="O56" i="13"/>
  <c r="P56" i="13"/>
  <c r="Q56" i="13"/>
  <c r="R56" i="13"/>
  <c r="S56" i="13"/>
  <c r="J57" i="13"/>
  <c r="K57" i="13"/>
  <c r="L57" i="13"/>
  <c r="M57" i="13"/>
  <c r="N57" i="13"/>
  <c r="O57" i="13"/>
  <c r="P57" i="13"/>
  <c r="Q57" i="13"/>
  <c r="R57" i="13"/>
  <c r="S57" i="13"/>
  <c r="J58" i="13"/>
  <c r="K58" i="13"/>
  <c r="L58" i="13"/>
  <c r="M58" i="13"/>
  <c r="N58" i="13"/>
  <c r="O58" i="13"/>
  <c r="P58" i="13"/>
  <c r="Q58" i="13"/>
  <c r="R58" i="13"/>
  <c r="S58" i="13"/>
  <c r="J62" i="13"/>
  <c r="K62" i="13"/>
  <c r="L62" i="13"/>
  <c r="M62" i="13"/>
  <c r="N62" i="13"/>
  <c r="O62" i="13"/>
  <c r="P62" i="13"/>
  <c r="Q62" i="13"/>
  <c r="R62" i="13"/>
  <c r="S62" i="13"/>
  <c r="K67" i="13"/>
  <c r="L67" i="13"/>
  <c r="M67" i="13"/>
  <c r="N67" i="13"/>
  <c r="O67" i="13"/>
  <c r="P67" i="13"/>
  <c r="Q67" i="13"/>
  <c r="R67" i="13"/>
  <c r="S67" i="13"/>
  <c r="J68" i="13"/>
  <c r="K68" i="13"/>
  <c r="L68" i="13"/>
  <c r="M68" i="13"/>
  <c r="N68" i="13"/>
  <c r="O68" i="13"/>
  <c r="P68" i="13"/>
  <c r="Q68" i="13"/>
  <c r="R68" i="13"/>
  <c r="S68" i="13"/>
  <c r="J69" i="13"/>
  <c r="K69" i="13"/>
  <c r="L69" i="13"/>
  <c r="M69" i="13"/>
  <c r="N69" i="13"/>
  <c r="O69" i="13"/>
  <c r="P69" i="13"/>
  <c r="Q69" i="13"/>
  <c r="R69" i="13"/>
  <c r="S69" i="13"/>
  <c r="J72" i="13"/>
  <c r="K72" i="13"/>
  <c r="L72" i="13"/>
  <c r="M72" i="13"/>
  <c r="N72" i="13"/>
  <c r="O72" i="13"/>
  <c r="P72" i="13"/>
  <c r="Q72" i="13"/>
  <c r="R72" i="13"/>
  <c r="S72" i="13"/>
  <c r="J76" i="13"/>
  <c r="K76" i="13"/>
  <c r="L76" i="13"/>
  <c r="M76" i="13"/>
  <c r="N76" i="13"/>
  <c r="O76" i="13"/>
  <c r="P76" i="13"/>
  <c r="Q76" i="13"/>
  <c r="R76" i="13"/>
  <c r="S76" i="13"/>
  <c r="J77" i="13"/>
  <c r="K77" i="13"/>
  <c r="L77" i="13"/>
  <c r="M77" i="13"/>
  <c r="N77" i="13"/>
  <c r="O77" i="13"/>
  <c r="P77" i="13"/>
  <c r="Q77" i="13"/>
  <c r="R77" i="13"/>
  <c r="S77" i="13"/>
  <c r="J78" i="13"/>
  <c r="K78" i="13"/>
  <c r="L78" i="13"/>
  <c r="M78" i="13"/>
  <c r="N78" i="13"/>
  <c r="O78" i="13"/>
  <c r="P78" i="13"/>
  <c r="Q78" i="13"/>
  <c r="R78" i="13"/>
  <c r="S78" i="13"/>
  <c r="J79" i="13"/>
  <c r="K79" i="13"/>
  <c r="L79" i="13"/>
  <c r="M79" i="13"/>
  <c r="N79" i="13"/>
  <c r="O79" i="13"/>
  <c r="P79" i="13"/>
  <c r="Q79" i="13"/>
  <c r="R79" i="13"/>
  <c r="S79" i="13"/>
  <c r="J169" i="13"/>
  <c r="K169" i="13"/>
  <c r="L169" i="13"/>
  <c r="M169" i="13"/>
  <c r="N169" i="13"/>
  <c r="O169" i="13"/>
  <c r="P169" i="13"/>
  <c r="Q169" i="13"/>
  <c r="R169" i="13"/>
  <c r="S169" i="13"/>
  <c r="K175" i="13"/>
  <c r="L175" i="13"/>
  <c r="M175" i="13"/>
  <c r="N175" i="13"/>
  <c r="O175" i="13"/>
  <c r="P175" i="13"/>
  <c r="Q175" i="13"/>
  <c r="R175" i="13"/>
  <c r="S175" i="13"/>
  <c r="J176" i="13"/>
  <c r="K176" i="13"/>
  <c r="L176" i="13"/>
  <c r="M176" i="13"/>
  <c r="N176" i="13"/>
  <c r="O176" i="13"/>
  <c r="P176" i="13"/>
  <c r="Q176" i="13"/>
  <c r="R176" i="13"/>
  <c r="S176" i="13"/>
  <c r="J177" i="13"/>
  <c r="K177" i="13"/>
  <c r="L177" i="13"/>
  <c r="M177" i="13"/>
  <c r="N177" i="13"/>
  <c r="O177" i="13"/>
  <c r="P177" i="13"/>
  <c r="Q177" i="13"/>
  <c r="R177" i="13"/>
  <c r="S177" i="13"/>
  <c r="J181" i="13"/>
  <c r="K181" i="13"/>
  <c r="L181" i="13"/>
  <c r="M181" i="13"/>
  <c r="N181" i="13"/>
  <c r="O181" i="13"/>
  <c r="P181" i="13"/>
  <c r="Q181" i="13"/>
  <c r="R181" i="13"/>
  <c r="S181" i="13"/>
  <c r="J182" i="13"/>
  <c r="K182" i="13"/>
  <c r="L182" i="13"/>
  <c r="M182" i="13"/>
  <c r="N182" i="13"/>
  <c r="O182" i="13"/>
  <c r="P182" i="13"/>
  <c r="Q182" i="13"/>
  <c r="R182" i="13"/>
  <c r="S182" i="13"/>
  <c r="J186" i="13"/>
  <c r="K186" i="13"/>
  <c r="L186" i="13"/>
  <c r="M186" i="13"/>
  <c r="N186" i="13"/>
  <c r="O186" i="13"/>
  <c r="P186" i="13"/>
  <c r="Q186" i="13"/>
  <c r="R186" i="13"/>
  <c r="S186" i="13"/>
  <c r="J190" i="13"/>
  <c r="K190" i="13"/>
  <c r="L190" i="13"/>
  <c r="M190" i="13"/>
  <c r="N190" i="13"/>
  <c r="O190" i="13"/>
  <c r="P190" i="13"/>
  <c r="Q190" i="13"/>
  <c r="R190" i="13"/>
  <c r="S190" i="13"/>
  <c r="K196" i="13"/>
  <c r="L196" i="13"/>
  <c r="M196" i="13"/>
  <c r="N196" i="13"/>
  <c r="O196" i="13"/>
  <c r="P196" i="13"/>
  <c r="Q196" i="13"/>
  <c r="R196" i="13"/>
  <c r="S196" i="13"/>
  <c r="J197" i="13"/>
  <c r="K197" i="13"/>
  <c r="L197" i="13"/>
  <c r="M197" i="13"/>
  <c r="N197" i="13"/>
  <c r="O197" i="13"/>
  <c r="P197" i="13"/>
  <c r="Q197" i="13"/>
  <c r="R197" i="13"/>
  <c r="S197" i="13"/>
  <c r="J198" i="13"/>
  <c r="K198" i="13"/>
  <c r="L198" i="13"/>
  <c r="M198" i="13"/>
  <c r="N198" i="13"/>
  <c r="O198" i="13"/>
  <c r="P198" i="13"/>
  <c r="Q198" i="13"/>
  <c r="R198" i="13"/>
  <c r="S198" i="13"/>
  <c r="J202" i="13"/>
  <c r="K202" i="13"/>
  <c r="L202" i="13"/>
  <c r="M202" i="13"/>
  <c r="N202" i="13"/>
  <c r="O202" i="13"/>
  <c r="P202" i="13"/>
  <c r="Q202" i="13"/>
  <c r="R202" i="13"/>
  <c r="S202" i="13"/>
  <c r="J203" i="13"/>
  <c r="K203" i="13"/>
  <c r="L203" i="13"/>
  <c r="M203" i="13"/>
  <c r="N203" i="13"/>
  <c r="O203" i="13"/>
  <c r="P203" i="13"/>
  <c r="Q203" i="13"/>
  <c r="R203" i="13"/>
  <c r="S203" i="13"/>
  <c r="J207" i="13"/>
  <c r="K207" i="13"/>
  <c r="L207" i="13"/>
  <c r="M207" i="13"/>
  <c r="N207" i="13"/>
  <c r="O207" i="13"/>
  <c r="P207" i="13"/>
  <c r="Q207" i="13"/>
  <c r="R207" i="13"/>
  <c r="S207" i="13"/>
  <c r="J210" i="13"/>
  <c r="K210" i="13"/>
  <c r="L210" i="13"/>
  <c r="M210" i="13"/>
  <c r="N210" i="13"/>
  <c r="O210" i="13"/>
  <c r="P210" i="13"/>
  <c r="Q210" i="13"/>
  <c r="R210" i="13"/>
  <c r="S210" i="13"/>
  <c r="K216" i="13"/>
  <c r="L216" i="13"/>
  <c r="M216" i="13"/>
  <c r="N216" i="13"/>
  <c r="O216" i="13"/>
  <c r="P216" i="13"/>
  <c r="Q216" i="13"/>
  <c r="R216" i="13"/>
  <c r="S216" i="13"/>
  <c r="K218" i="13"/>
  <c r="L218" i="13"/>
  <c r="M218" i="13"/>
  <c r="N218" i="13"/>
  <c r="O218" i="13"/>
  <c r="P218" i="13"/>
  <c r="Q218" i="13"/>
  <c r="R218" i="13"/>
  <c r="S218" i="13"/>
  <c r="J222" i="13"/>
  <c r="K222" i="13"/>
  <c r="L222" i="13"/>
  <c r="M222" i="13"/>
  <c r="N222" i="13"/>
  <c r="O222" i="13"/>
  <c r="P222" i="13"/>
  <c r="Q222" i="13"/>
  <c r="R222" i="13"/>
  <c r="S222" i="13"/>
  <c r="J223" i="13"/>
  <c r="K223" i="13"/>
  <c r="L223" i="13"/>
  <c r="M223" i="13"/>
  <c r="N223" i="13"/>
  <c r="O223" i="13"/>
  <c r="P223" i="13"/>
  <c r="Q223" i="13"/>
  <c r="R223" i="13"/>
  <c r="S223" i="13"/>
  <c r="J227" i="13"/>
  <c r="K227" i="13"/>
  <c r="L227" i="13"/>
  <c r="M227" i="13"/>
  <c r="N227" i="13"/>
  <c r="O227" i="13"/>
  <c r="P227" i="13"/>
  <c r="Q227" i="13"/>
  <c r="R227" i="13"/>
  <c r="S227" i="13"/>
  <c r="J233" i="13"/>
  <c r="K233" i="13"/>
  <c r="L233" i="13"/>
  <c r="M233" i="13"/>
  <c r="N233" i="13"/>
  <c r="O233" i="13"/>
  <c r="P233" i="13"/>
  <c r="Q233" i="13"/>
  <c r="R233" i="13"/>
  <c r="S233" i="13"/>
  <c r="J234" i="13"/>
  <c r="K234" i="13"/>
  <c r="L234" i="13"/>
  <c r="M234" i="13"/>
  <c r="N234" i="13"/>
  <c r="O234" i="13"/>
  <c r="P234" i="13"/>
  <c r="Q234" i="13"/>
  <c r="R234" i="13"/>
  <c r="S234" i="13"/>
  <c r="J237" i="13"/>
  <c r="K237" i="13"/>
  <c r="L237" i="13"/>
  <c r="M237" i="13"/>
  <c r="N237" i="13"/>
  <c r="O237" i="13"/>
  <c r="P237" i="13"/>
  <c r="Q237" i="13"/>
  <c r="R237" i="13"/>
  <c r="S237" i="13"/>
  <c r="J238" i="13"/>
  <c r="K238" i="13"/>
  <c r="L238" i="13"/>
  <c r="M238" i="13"/>
  <c r="N238" i="13"/>
  <c r="O238" i="13"/>
  <c r="P238" i="13"/>
  <c r="Q238" i="13"/>
  <c r="R238" i="13"/>
  <c r="S238" i="13"/>
  <c r="J239" i="13"/>
  <c r="K239" i="13"/>
  <c r="L239" i="13"/>
  <c r="M239" i="13"/>
  <c r="N239" i="13"/>
  <c r="O239" i="13"/>
  <c r="P239" i="13"/>
  <c r="Q239" i="13"/>
  <c r="R239" i="13"/>
  <c r="S239" i="13"/>
  <c r="K246" i="13"/>
  <c r="L246" i="13"/>
  <c r="M246" i="13"/>
  <c r="N246" i="13"/>
  <c r="O246" i="13"/>
  <c r="P246" i="13"/>
  <c r="Q246" i="13"/>
  <c r="R246" i="13"/>
  <c r="S246" i="13"/>
  <c r="J247" i="13"/>
  <c r="K247" i="13"/>
  <c r="L247" i="13"/>
  <c r="M247" i="13"/>
  <c r="N247" i="13"/>
  <c r="O247" i="13"/>
  <c r="P247" i="13"/>
  <c r="Q247" i="13"/>
  <c r="R247" i="13"/>
  <c r="S247" i="13"/>
  <c r="J248" i="13"/>
  <c r="K248" i="13"/>
  <c r="L248" i="13"/>
  <c r="M248" i="13"/>
  <c r="N248" i="13"/>
  <c r="O248" i="13"/>
  <c r="P248" i="13"/>
  <c r="Q248" i="13"/>
  <c r="R248" i="13"/>
  <c r="S248" i="13"/>
  <c r="J249" i="13"/>
  <c r="K249" i="13"/>
  <c r="L249" i="13"/>
  <c r="M249" i="13"/>
  <c r="N249" i="13"/>
  <c r="O249" i="13"/>
  <c r="P249" i="13"/>
  <c r="Q249" i="13"/>
  <c r="R249" i="13"/>
  <c r="S249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<sst xmlns="http://schemas.openxmlformats.org/spreadsheetml/2006/main" count="484" uniqueCount="244">
  <si>
    <t>Start Year</t>
  </si>
  <si>
    <t>TIMING</t>
  </si>
  <si>
    <t>Periodicity</t>
  </si>
  <si>
    <t>Forecast</t>
  </si>
  <si>
    <t>ASSUMPTIONS</t>
  </si>
  <si>
    <t>MODEL</t>
  </si>
  <si>
    <t>Annual</t>
  </si>
  <si>
    <t>EXISTING DEBT</t>
  </si>
  <si>
    <t>Interest Rate</t>
  </si>
  <si>
    <t>Interest Only</t>
  </si>
  <si>
    <t>Annual Payment</t>
  </si>
  <si>
    <t>Cash</t>
  </si>
  <si>
    <t>Interest Payment Type</t>
  </si>
  <si>
    <t>Pay Down First</t>
  </si>
  <si>
    <t>Pay Down Second</t>
  </si>
  <si>
    <t>Pay Down Third</t>
  </si>
  <si>
    <t>CASH BALANCE AND REVOLVER</t>
  </si>
  <si>
    <t>Revolver</t>
  </si>
  <si>
    <t>Principal + Interest</t>
  </si>
  <si>
    <t>N/A</t>
  </si>
  <si>
    <t>Construction Loan I</t>
  </si>
  <si>
    <t>Construction Loan II</t>
  </si>
  <si>
    <t>Mortgage Loan</t>
  </si>
  <si>
    <t>Issuance</t>
  </si>
  <si>
    <t>Amount</t>
  </si>
  <si>
    <t>Payment / Term</t>
  </si>
  <si>
    <t>Information</t>
  </si>
  <si>
    <t>Year Sold</t>
  </si>
  <si>
    <t>PROPERTY DETAILS</t>
  </si>
  <si>
    <t>Property II</t>
  </si>
  <si>
    <t>Property I</t>
  </si>
  <si>
    <t>Start Renting</t>
  </si>
  <si>
    <t>See box above</t>
  </si>
  <si>
    <t>Property II Sold In</t>
  </si>
  <si>
    <t>Property II Construction Period</t>
  </si>
  <si>
    <t>Property I Construction Period</t>
  </si>
  <si>
    <t>Property I Operations Period</t>
  </si>
  <si>
    <t>Property I Growth Rate</t>
  </si>
  <si>
    <t>Property I Growth Rate Factor</t>
  </si>
  <si>
    <t>Non-Cash Interest</t>
  </si>
  <si>
    <t>Amount Outstanding - Beginning</t>
  </si>
  <si>
    <t>Amount Outstanding - Before Retirement</t>
  </si>
  <si>
    <t>Retirement</t>
  </si>
  <si>
    <t>Amount Outstanding - Ending</t>
  </si>
  <si>
    <t>Cash Interest</t>
  </si>
  <si>
    <t>Summary</t>
  </si>
  <si>
    <t>Total Interest</t>
  </si>
  <si>
    <t>Proceeds</t>
  </si>
  <si>
    <t>Property I Construction Ends / Payment</t>
  </si>
  <si>
    <t>Property II Construction Begins / Issuance</t>
  </si>
  <si>
    <t>Property II Construction Ends / Payment</t>
  </si>
  <si>
    <t>Scheduled Amortization</t>
  </si>
  <si>
    <t>Principal Paid</t>
  </si>
  <si>
    <t>Mortgage Payments</t>
  </si>
  <si>
    <t>FREE CASH FLOW SCHEDULE</t>
  </si>
  <si>
    <t>FCF BEFORE REVOLVER ISSUANCE / (REPAYMENT)</t>
  </si>
  <si>
    <t>Cash Interest Payments</t>
  </si>
  <si>
    <t>Construction Debt Issuance (excl . Interest)</t>
  </si>
  <si>
    <t>Construction Debt Retirement</t>
  </si>
  <si>
    <t>Mortgage Issuance</t>
  </si>
  <si>
    <t>FCF Before Use of Cash or Revolver</t>
  </si>
  <si>
    <t>Less: Revolver (Repayments) / Additions</t>
  </si>
  <si>
    <t>EXISTING DEBT REPAYMENTS</t>
  </si>
  <si>
    <t>Net Change</t>
  </si>
  <si>
    <t>Net Change in Cash</t>
  </si>
  <si>
    <t>Amount of Existing Remaining</t>
  </si>
  <si>
    <t>Amount of Existing Debt Paid</t>
  </si>
  <si>
    <t>Mortgage Principal Payment</t>
  </si>
  <si>
    <t>Construction Costs</t>
  </si>
  <si>
    <t>Operations</t>
  </si>
  <si>
    <t>Selling Proceeds</t>
  </si>
  <si>
    <t>Total Debt Retirement</t>
  </si>
  <si>
    <t>Cash and Cash Equivalents</t>
  </si>
  <si>
    <t>Revolver (Drawn Amount)</t>
  </si>
  <si>
    <t>Revolver (Undrawn Amount)</t>
  </si>
  <si>
    <t>Maximum Amount</t>
  </si>
  <si>
    <t>Cash Available to Pay Existing Debt</t>
  </si>
  <si>
    <t>Overdrawn by:</t>
  </si>
  <si>
    <t>Tripped?</t>
  </si>
  <si>
    <t>Existing Debt Summary</t>
  </si>
  <si>
    <t>Total</t>
  </si>
  <si>
    <t>Interest Summary</t>
  </si>
  <si>
    <t>DEBT AND INTEREST SCHEDULE - PART II (CASH &amp; CASH EQUIVALENTS, REVOLVER (DRAWN &amp; UNDRAWN))</t>
  </si>
  <si>
    <t>DEBT AND INTEREST SCHEDULE - PART III (THREE PIECES OF EXISTING DEBT)</t>
  </si>
  <si>
    <t>DEBT AND INTEREST SCHEDULE - PART IV (SUMMARY)</t>
  </si>
  <si>
    <t>Competion of Construction</t>
  </si>
  <si>
    <t>Final Payment</t>
  </si>
  <si>
    <t>N/A (Annual Amortization)</t>
  </si>
  <si>
    <t>Existing Debt I</t>
  </si>
  <si>
    <t>Existing Debt II</t>
  </si>
  <si>
    <t>Existing Debt III</t>
  </si>
  <si>
    <t>Cash Account</t>
  </si>
  <si>
    <t>End Value of Constr. Loan I</t>
  </si>
  <si>
    <t>Interest Calculation</t>
  </si>
  <si>
    <t>Repayment Priority</t>
  </si>
  <si>
    <t>FREE CASH FLOW BEFORE DEBT SERVICE</t>
  </si>
  <si>
    <t>Free Cash Flow Before Debt Service</t>
  </si>
  <si>
    <t>NEW DEBT</t>
  </si>
  <si>
    <t>Construction Start</t>
  </si>
  <si>
    <t>Non-Cash / Accrued</t>
  </si>
  <si>
    <t>Cash Sweep</t>
  </si>
  <si>
    <t>Free Cash Flow Before Debt Service Information</t>
  </si>
  <si>
    <t>Property I FCF Before Debt Service (before Growth)</t>
  </si>
  <si>
    <t>Property I - FCF Before Debt Service</t>
  </si>
  <si>
    <t>Property II  - FCF Before Debt Service</t>
  </si>
  <si>
    <t>Total FCF Before Debt Service</t>
  </si>
  <si>
    <t>TIMING AND FREE CASH FLOW BEFORE DEBT SERVICE SCHEDULE</t>
  </si>
  <si>
    <t xml:space="preserve"> </t>
  </si>
  <si>
    <t>(i) BUILD AN ANNUAL MODEL OF THE COMPANY FOR THE TWO PROPERTIES OVER THE NEXT TEN YEARS (I.E., 2024 – 2033).</t>
  </si>
  <si>
    <t>(ii) CREATE A SUMMARY TABLE OUTLINING THE ENDING BALANCE FOR EACH OF THE THREE EXISTING PIECES OF DEBT. WHEN DOES EACH PIECE OF DEBT GET PAID OFF?</t>
  </si>
  <si>
    <t>(iii) CREATE A SUMMARY TABLE CONTAINING THE TOTAL AMOUNT OF INTEREST EACH YEAR, BROKEN DOWN INTO CASH INTEREST AND NON-CASH INTEREST.</t>
  </si>
  <si>
    <t>(iv) WHAT IS THE AMOUNT OF THE MORTGAGE TAKE-OUT FINANCING FOR PROPERTY I?</t>
  </si>
  <si>
    <t>(v) WHAT IS THE PROFIT FROM SELLING PROPERTY II?</t>
  </si>
  <si>
    <t>(vi) DOES THE REVOLVER EVER GET TRIPPED (I.E., THE BALANCE EXCEEDS THE MAXIMUM AMOUNT)? IF SO, IN WHICH YEAR(S) AND BY HOW MUCH?</t>
  </si>
  <si>
    <t>GRANITE BAY REAL ESTATE INC. - DEBT ANSWER KEY</t>
  </si>
  <si>
    <t>GRANITE BAY REAL ESTATE INC. - DEBT QUESTION</t>
  </si>
  <si>
    <t>GRANITE BAY REAL ESTATE INC. - DEBT ANSWER</t>
  </si>
  <si>
    <t>Property I Occupancy Rate</t>
  </si>
  <si>
    <t>DEBT AND INTEREST SCHEDULE - PART I (CONSTRUCTION LOAN I, MORTGAGE, &amp; CONSTRUCTION LOAN II)</t>
  </si>
  <si>
    <t>Mortgage Loan Begins</t>
  </si>
  <si>
    <t>Property I Operations Begins</t>
  </si>
  <si>
    <t>Additions</t>
  </si>
  <si>
    <t>Amount Outstanding - Before Non-Cash Interest and Retirement</t>
  </si>
  <si>
    <t>Additions / (Repayments)</t>
  </si>
  <si>
    <t>Cash Available to Repay Existing Debt I</t>
  </si>
  <si>
    <t>Cash Available to Repay Existing Debt II</t>
  </si>
  <si>
    <t>Cash Available to Repay Existing Debt III</t>
  </si>
  <si>
    <t>Principal Repayment Priority (After Revolver)</t>
  </si>
  <si>
    <t>Standby Fee Rate</t>
  </si>
  <si>
    <t>DEBT SCHEDULE</t>
  </si>
  <si>
    <t>Constant</t>
  </si>
  <si>
    <t>Unit</t>
  </si>
  <si>
    <t>Model timeline</t>
  </si>
  <si>
    <t>USD</t>
  </si>
  <si>
    <t>Model start date</t>
  </si>
  <si>
    <t>year</t>
  </si>
  <si>
    <t>Number of model periods</t>
  </si>
  <si>
    <t>years</t>
  </si>
  <si>
    <t>date</t>
  </si>
  <si>
    <t>Model period counter</t>
  </si>
  <si>
    <t>counter</t>
  </si>
  <si>
    <t>Model first period flag</t>
  </si>
  <si>
    <t>flag</t>
  </si>
  <si>
    <t>%</t>
  </si>
  <si>
    <t>Occupancy rate</t>
  </si>
  <si>
    <t>Nominal growth rates</t>
  </si>
  <si>
    <t>factor</t>
  </si>
  <si>
    <t>Compound growth rates (yoy)</t>
  </si>
  <si>
    <t>Free Cash Flow before Debt Service - Property I</t>
  </si>
  <si>
    <t>Free cash flow before Debt Service - Property I</t>
  </si>
  <si>
    <t>ok</t>
  </si>
  <si>
    <t>Construction Loan - Property I</t>
  </si>
  <si>
    <t>Construction Loan I opening balance</t>
  </si>
  <si>
    <t>Loan amount</t>
  </si>
  <si>
    <t>Accrued interest</t>
  </si>
  <si>
    <t>Amount drawn in 2023</t>
  </si>
  <si>
    <t>Accrued interest in 2023</t>
  </si>
  <si>
    <t>Interest rate</t>
  </si>
  <si>
    <t>Construction Loan I drawdown</t>
  </si>
  <si>
    <t>Mortgage Loan - Property I</t>
  </si>
  <si>
    <t>Mortgage loan amount</t>
  </si>
  <si>
    <t>Term</t>
  </si>
  <si>
    <t>Issuance date</t>
  </si>
  <si>
    <t>Annual payment</t>
  </si>
  <si>
    <t>Mortgage Loan annual payment</t>
  </si>
  <si>
    <t>Mortgage Loan initial balance from assumptions</t>
  </si>
  <si>
    <t>Mortgage Loan opening balance</t>
  </si>
  <si>
    <t>Mortgage Loan addition / (repayment)</t>
  </si>
  <si>
    <t>Mortgage Loan closing balance</t>
  </si>
  <si>
    <t>of which interest paid</t>
  </si>
  <si>
    <t>of which principal paid</t>
  </si>
  <si>
    <t>Check</t>
  </si>
  <si>
    <t>Construction Loan - Property II</t>
  </si>
  <si>
    <t>Construction Loan - Property II repayment</t>
  </si>
  <si>
    <t>Accrued interest expenses</t>
  </si>
  <si>
    <t>Existing Debt</t>
  </si>
  <si>
    <t>Existing Debt I initial balance from assumptions</t>
  </si>
  <si>
    <t>Existing Debt I opening balance</t>
  </si>
  <si>
    <t>Cash Flow Waterfall</t>
  </si>
  <si>
    <t>Construction Loan - Property II amount outstanding before retirement</t>
  </si>
  <si>
    <t>Construction Loan - Property I amount outstanding before servicing</t>
  </si>
  <si>
    <t>Construction Loan - Property I amount outstanding before retirement</t>
  </si>
  <si>
    <t>Construction Loan - Property I repayment</t>
  </si>
  <si>
    <t>Construction Loan - Property I amount outstanding after retirement</t>
  </si>
  <si>
    <t>Construction Loan - Property II closing balance after retirement</t>
  </si>
  <si>
    <t>Interest paid</t>
  </si>
  <si>
    <t>Existing Debt I amount outstanding before servicing</t>
  </si>
  <si>
    <t>Existing Debt I amount outstanding before retirement</t>
  </si>
  <si>
    <t>Existing Debt I closing balance after retirement</t>
  </si>
  <si>
    <t>Cash Available to repay Existing Debt I</t>
  </si>
  <si>
    <t>Existing Debt I - retirement</t>
  </si>
  <si>
    <t>Existing Debt II initial balance from assumptions</t>
  </si>
  <si>
    <t>Existing Debt II opening balance</t>
  </si>
  <si>
    <t>Existing Debt II amount outstanding before servicing</t>
  </si>
  <si>
    <t>Existing Debt II - retirement</t>
  </si>
  <si>
    <t>Existing Debt II closing balance after retirement</t>
  </si>
  <si>
    <t>Cash Available to repay Existing Debt II</t>
  </si>
  <si>
    <t>Cash Available to repay Existing Debt III</t>
  </si>
  <si>
    <t>Existing Debt III initial balance from assumptions</t>
  </si>
  <si>
    <t>Existing Debt III opening balance</t>
  </si>
  <si>
    <t>Existing Debt III amount outstanding before servicing</t>
  </si>
  <si>
    <t>Existing Debt III - retirement</t>
  </si>
  <si>
    <t>Existing Debt III closing balance after retirement</t>
  </si>
  <si>
    <t>FCF before Debt Service - Property I</t>
  </si>
  <si>
    <t>FCF before Debt Service - Property II</t>
  </si>
  <si>
    <t>Construction Loan II drawdown</t>
  </si>
  <si>
    <t>Construction Loan II opening balance</t>
  </si>
  <si>
    <t>Construction Loan II initial balance from assumptions</t>
  </si>
  <si>
    <t>Construction Loan II amount outstanding before servicing</t>
  </si>
  <si>
    <t>Proceeds from sale of Property II</t>
  </si>
  <si>
    <t>FCF before Debt Service</t>
  </si>
  <si>
    <t>Interest paid on Construction Loans</t>
  </si>
  <si>
    <t>Cash and Revolver</t>
  </si>
  <si>
    <t>Cash and Cash equivalents initial balance from assumptions</t>
  </si>
  <si>
    <t>Cash and Cash equivalents opening balance</t>
  </si>
  <si>
    <t>Cash and Cash equivalents closing balance</t>
  </si>
  <si>
    <t>Interest earned on cash balance</t>
  </si>
  <si>
    <t>Cash and Cash equivalents</t>
  </si>
  <si>
    <t>Free Cash Flow before Debt Service</t>
  </si>
  <si>
    <t>Free Cash Flow before the Use of Cash and Revolver</t>
  </si>
  <si>
    <t>Accrued interest expenses on Existing Debt</t>
  </si>
  <si>
    <t>Accrued interest expenses on Construction Loan</t>
  </si>
  <si>
    <t>Interest paid on Existing Debt</t>
  </si>
  <si>
    <t>Interest expenses</t>
  </si>
  <si>
    <t>Revolver initial balance from assumptions</t>
  </si>
  <si>
    <t>Revolver opening balance</t>
  </si>
  <si>
    <t>Revolver addition / (repayment)</t>
  </si>
  <si>
    <t>Revolver closing balance</t>
  </si>
  <si>
    <t>Interest expenses on revolver</t>
  </si>
  <si>
    <t>Existing Debt Repayment</t>
  </si>
  <si>
    <t>Debt retirement</t>
  </si>
  <si>
    <t>Existing Debt initial balance from assumptions</t>
  </si>
  <si>
    <t>Existing Debt opening balance</t>
  </si>
  <si>
    <t>Existing Debt closing balance</t>
  </si>
  <si>
    <t>Accrued interest on existing debt</t>
  </si>
  <si>
    <t>Net change in cash</t>
  </si>
  <si>
    <t>Stand-by fee</t>
  </si>
  <si>
    <t>Undrawn revolver amount initial balance from assumptions</t>
  </si>
  <si>
    <t>Undrawn revolver amount opening balance</t>
  </si>
  <si>
    <t>Undrawn revolver amount closing balance</t>
  </si>
  <si>
    <t>Drawn amount</t>
  </si>
  <si>
    <t>Stand-by fee on undrawn amount</t>
  </si>
  <si>
    <t>Stand-by fee rate</t>
  </si>
  <si>
    <t>Net interest expenses on revolver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</si>
</sst>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_);[Red]\(&quot;$&quot;#,##0\)"/>
    <numFmt numFmtId="165" formatCode="&quot;$&quot;#,##0;[Red]\-&quot;$&quot;#,##0"/>
    <numFmt numFmtId="166" formatCode="0;[Red]0"/>
    <numFmt numFmtId="167" formatCode="0.000;[Red]0.000"/>
    <numFmt numFmtId="168" formatCode="&quot;$&quot;#,##0;[Red]&quot;$&quot;#,##0"/>
    <numFmt numFmtId="169" formatCode="\&gt;\=#,##0;[Red]#,##0"/>
    <numFmt numFmtId="170" formatCode="[=1]&quot;YES&quot;;[=0]&quot;NO&quot;;"/>
    <numFmt numFmtId="171" formatCode="0\ &quot;years&quot;"/>
    <numFmt numFmtId="172" formatCode="&quot;$&quot;#,##0_);\(&quot;$&quot;#,##0\);\-_);General_)"/>
    <numFmt numFmtId="173" formatCode="#,##0_);\(#,##0\);&quot;-  &quot;;&quot; &quot;@"/>
    <numFmt numFmtId="174" formatCode="0.00%\ ;\-0.00%\ _);&quot;-  &quot;;&quot; &quot;@&quot; &quot;"/>
    <numFmt numFmtId="175" formatCode="#,##0.0000_);\(#,##0.0000\);&quot;-  &quot;;&quot; &quot;@&quot; &quot;"/>
    <numFmt numFmtId="176" formatCode="dd\ mmm\ yyyy_);\(###0\);&quot;-  &quot;;&quot; &quot;@&quot; &quot;"/>
    <numFmt numFmtId="177" formatCode="dd\ mmm\ yy_);\(###0\);&quot;-  &quot;;&quot; &quot;@&quot; &quot;"/>
    <numFmt numFmtId="178" formatCode="###0_);\(###0\);&quot;-  &quot;;&quot; &quot;@&quot; &quot;"/>
    <numFmt numFmtId="179" formatCode="#,##0.000_);\(#,##0.000\);&quot;-  &quot;;&quot; &quot;@"/>
  </numFmts>
  <fonts count="32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8"/>
      <color rgb="FF0000FF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sz val="11"/>
      <color theme="1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i/>
      <sz val="8"/>
      <color rgb="FF0000FF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u/>
      <sz val="11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7">
    <xf numFmtId="173" fontId="0" fillId="0" borderId="0" applyFont="0" applyFill="0" applyBorder="0" applyProtection="0">
      <alignment vertical="top"/>
    </xf>
    <xf numFmtId="0" fontId="22" fillId="0" borderId="0"/>
    <xf numFmtId="174" fontId="22" fillId="0" borderId="0" applyFont="0" applyFill="0" applyBorder="0" applyProtection="0">
      <alignment vertical="top"/>
    </xf>
    <xf numFmtId="175" fontId="22" fillId="0" borderId="0" applyFont="0" applyFill="0" applyBorder="0" applyProtection="0">
      <alignment vertical="top"/>
    </xf>
    <xf numFmtId="176" fontId="22" fillId="0" borderId="0" applyFont="0" applyFill="0" applyBorder="0" applyProtection="0">
      <alignment vertical="top"/>
    </xf>
    <xf numFmtId="177" fontId="22" fillId="0" borderId="0" applyFont="0" applyFill="0" applyBorder="0" applyProtection="0">
      <alignment vertical="top"/>
    </xf>
    <xf numFmtId="178" fontId="22" fillId="0" borderId="0" applyFont="0" applyFill="0" applyBorder="0" applyProtection="0">
      <alignment vertical="top"/>
    </xf>
  </cellStyleXfs>
  <cellXfs count="216">
    <xf numFmtId="173" fontId="0" fillId="0" borderId="0" xfId="0">
      <alignment vertical="top"/>
    </xf>
    <xf numFmtId="173" fontId="2" fillId="2" borderId="2" xfId="0" applyFont="1" applyFill="1" applyBorder="1">
      <alignment vertical="top"/>
    </xf>
    <xf numFmtId="173" fontId="2" fillId="2" borderId="3" xfId="0" applyFont="1" applyFill="1" applyBorder="1">
      <alignment vertical="top"/>
    </xf>
    <xf numFmtId="173" fontId="7" fillId="2" borderId="1" xfId="0" applyFont="1" applyFill="1" applyBorder="1">
      <alignment vertical="top"/>
    </xf>
    <xf numFmtId="173" fontId="3" fillId="0" borderId="4" xfId="0" applyFont="1" applyBorder="1">
      <alignment vertical="top"/>
    </xf>
    <xf numFmtId="173" fontId="3" fillId="0" borderId="6" xfId="0" applyFont="1" applyBorder="1">
      <alignment vertical="top"/>
    </xf>
    <xf numFmtId="173" fontId="0" fillId="0" borderId="7" xfId="0" applyBorder="1">
      <alignment vertical="top"/>
    </xf>
    <xf numFmtId="173" fontId="0" fillId="0" borderId="9" xfId="0" applyBorder="1">
      <alignment vertical="top"/>
    </xf>
    <xf numFmtId="173" fontId="7" fillId="2" borderId="2" xfId="0" applyFont="1" applyFill="1" applyBorder="1">
      <alignment vertical="top"/>
    </xf>
    <xf numFmtId="173" fontId="3" fillId="0" borderId="0" xfId="0" applyFont="1">
      <alignment vertical="top"/>
    </xf>
    <xf numFmtId="166" fontId="5" fillId="0" borderId="0" xfId="0" applyNumberFormat="1" applyFont="1">
      <alignment vertical="top"/>
    </xf>
    <xf numFmtId="166" fontId="5" fillId="0" borderId="7" xfId="0" applyNumberFormat="1" applyFont="1" applyBorder="1">
      <alignment vertical="top"/>
    </xf>
    <xf numFmtId="166" fontId="9" fillId="0" borderId="0" xfId="0" applyNumberFormat="1" applyFont="1">
      <alignment vertical="top"/>
    </xf>
    <xf numFmtId="173" fontId="10" fillId="0" borderId="0" xfId="0" applyFont="1">
      <alignment vertical="top"/>
    </xf>
    <xf numFmtId="173" fontId="0" fillId="0" borderId="11" xfId="0" applyBorder="1">
      <alignment vertical="top"/>
    </xf>
    <xf numFmtId="173" fontId="0" fillId="0" borderId="5" xfId="0" applyBorder="1">
      <alignment vertical="top"/>
    </xf>
    <xf numFmtId="173" fontId="0" fillId="0" borderId="8" xfId="0" applyBorder="1">
      <alignment vertical="top"/>
    </xf>
    <xf numFmtId="173" fontId="0" fillId="0" borderId="20" xfId="0" applyBorder="1">
      <alignment vertical="top"/>
    </xf>
    <xf numFmtId="173" fontId="0" fillId="0" borderId="10" xfId="0" applyBorder="1">
      <alignment vertical="top"/>
    </xf>
    <xf numFmtId="166" fontId="9" fillId="0" borderId="5" xfId="0" applyNumberFormat="1" applyFont="1" applyBorder="1">
      <alignment vertical="top"/>
    </xf>
    <xf numFmtId="173" fontId="6" fillId="0" borderId="0" xfId="0" applyFont="1">
      <alignment vertical="top"/>
    </xf>
    <xf numFmtId="168" fontId="9" fillId="0" borderId="9" xfId="0" applyNumberFormat="1" applyFont="1" applyBorder="1">
      <alignment vertical="top"/>
    </xf>
    <xf numFmtId="168" fontId="0" fillId="0" borderId="0" xfId="0" applyNumberFormat="1">
      <alignment vertical="top"/>
    </xf>
    <xf numFmtId="168" fontId="5" fillId="0" borderId="0" xfId="0" applyNumberFormat="1" applyFont="1">
      <alignment vertical="top"/>
    </xf>
    <xf numFmtId="173" fontId="0" fillId="0" borderId="4" xfId="0" applyBorder="1">
      <alignment vertical="top"/>
    </xf>
    <xf numFmtId="173" fontId="0" fillId="0" borderId="6" xfId="0" applyBorder="1">
      <alignment vertical="top"/>
    </xf>
    <xf numFmtId="169" fontId="5" fillId="0" borderId="7" xfId="0" applyNumberFormat="1" applyFont="1" applyBorder="1">
      <alignment vertical="top"/>
    </xf>
    <xf numFmtId="166" fontId="3" fillId="0" borderId="6" xfId="0" applyNumberFormat="1" applyFont="1" applyBorder="1">
      <alignment vertical="top"/>
    </xf>
    <xf numFmtId="168" fontId="8" fillId="0" borderId="0" xfId="0" applyNumberFormat="1" applyFont="1">
      <alignment vertical="top"/>
    </xf>
    <xf numFmtId="166" fontId="9" fillId="0" borderId="21" xfId="0" applyNumberFormat="1" applyFont="1" applyBorder="1">
      <alignment vertical="top"/>
    </xf>
    <xf numFmtId="166" fontId="9" fillId="0" borderId="22" xfId="0" applyNumberFormat="1" applyFont="1" applyBorder="1">
      <alignment vertical="top"/>
    </xf>
    <xf numFmtId="173" fontId="11" fillId="0" borderId="0" xfId="0" applyFont="1" applyAlignment="1">
      <alignment horizontal="centerContinuous"/>
    </xf>
    <xf numFmtId="173" fontId="12" fillId="0" borderId="0" xfId="0" applyFont="1" applyAlignment="1">
      <alignment horizontal="centerContinuous"/>
    </xf>
    <xf numFmtId="173" fontId="6" fillId="0" borderId="20" xfId="0" applyFont="1" applyBorder="1">
      <alignment vertical="top"/>
    </xf>
    <xf numFmtId="166" fontId="3" fillId="0" borderId="0" xfId="0" applyNumberFormat="1" applyFont="1">
      <alignment vertical="top"/>
    </xf>
    <xf numFmtId="166" fontId="8" fillId="0" borderId="0" xfId="0" applyNumberFormat="1" applyFont="1">
      <alignment vertical="top"/>
    </xf>
    <xf numFmtId="173" fontId="10" fillId="0" borderId="9" xfId="0" applyFont="1" applyBorder="1" applyAlignment="1">
      <alignment horizontal="right"/>
    </xf>
    <xf numFmtId="173" fontId="7" fillId="2" borderId="9" xfId="0" applyFont="1" applyFill="1" applyBorder="1">
      <alignment vertical="top"/>
    </xf>
    <xf numFmtId="173" fontId="2" fillId="2" borderId="9" xfId="0" applyFont="1" applyFill="1" applyBorder="1">
      <alignment vertical="top"/>
    </xf>
    <xf numFmtId="168" fontId="5" fillId="0" borderId="7" xfId="0" applyNumberFormat="1" applyFont="1" applyBorder="1">
      <alignment vertical="top"/>
    </xf>
    <xf numFmtId="173" fontId="0" fillId="0" borderId="13" xfId="0" applyBorder="1">
      <alignment vertical="top"/>
    </xf>
    <xf numFmtId="173" fontId="7" fillId="2" borderId="10" xfId="0" applyFont="1" applyFill="1" applyBorder="1">
      <alignment vertical="top"/>
    </xf>
    <xf numFmtId="173" fontId="2" fillId="2" borderId="11" xfId="0" applyFont="1" applyFill="1" applyBorder="1">
      <alignment vertical="top"/>
    </xf>
    <xf numFmtId="166" fontId="8" fillId="0" borderId="7" xfId="0" applyNumberFormat="1" applyFont="1" applyBorder="1" applyAlignment="1">
      <alignment horizontal="right"/>
    </xf>
    <xf numFmtId="164" fontId="5" fillId="0" borderId="7" xfId="0" applyNumberFormat="1" applyFont="1" applyBorder="1">
      <alignment vertical="top"/>
    </xf>
    <xf numFmtId="164" fontId="5" fillId="0" borderId="8" xfId="0" applyNumberFormat="1" applyFont="1" applyBorder="1">
      <alignment vertical="top"/>
    </xf>
    <xf numFmtId="173" fontId="3" fillId="0" borderId="7" xfId="0" applyFont="1" applyBorder="1">
      <alignment vertical="top"/>
    </xf>
    <xf numFmtId="14" fontId="4" fillId="0" borderId="0" xfId="0" applyNumberFormat="1" applyFont="1">
      <alignment vertical="top"/>
    </xf>
    <xf numFmtId="173" fontId="6" fillId="0" borderId="4" xfId="0" applyFont="1" applyBorder="1">
      <alignment vertical="top"/>
    </xf>
    <xf numFmtId="173" fontId="3" fillId="0" borderId="4" xfId="0" applyFont="1" applyBorder="1" applyAlignment="1">
      <alignment horizontal="left" indent="1"/>
    </xf>
    <xf numFmtId="173" fontId="4" fillId="0" borderId="0" xfId="0" applyFont="1">
      <alignment vertical="top"/>
    </xf>
    <xf numFmtId="173" fontId="13" fillId="2" borderId="10" xfId="0" applyFont="1" applyFill="1" applyBorder="1" applyAlignment="1">
      <alignment vertical="center"/>
    </xf>
    <xf numFmtId="167" fontId="8" fillId="0" borderId="0" xfId="0" applyNumberFormat="1" applyFont="1">
      <alignment vertical="top"/>
    </xf>
    <xf numFmtId="38" fontId="5" fillId="0" borderId="5" xfId="0" applyNumberFormat="1" applyFont="1" applyBorder="1">
      <alignment vertical="top"/>
    </xf>
    <xf numFmtId="168" fontId="5" fillId="0" borderId="5" xfId="0" applyNumberFormat="1" applyFont="1" applyBorder="1">
      <alignment vertical="top"/>
    </xf>
    <xf numFmtId="166" fontId="5" fillId="0" borderId="0" xfId="0" applyNumberFormat="1" applyFont="1" applyAlignment="1">
      <alignment horizontal="right"/>
    </xf>
    <xf numFmtId="168" fontId="9" fillId="0" borderId="0" xfId="0" applyNumberFormat="1" applyFont="1">
      <alignment vertical="top"/>
    </xf>
    <xf numFmtId="10" fontId="15" fillId="0" borderId="0" xfId="0" applyNumberFormat="1" applyFont="1">
      <alignment vertical="top"/>
    </xf>
    <xf numFmtId="168" fontId="8" fillId="0" borderId="10" xfId="0" applyNumberFormat="1" applyFont="1" applyBorder="1">
      <alignment vertical="top"/>
    </xf>
    <xf numFmtId="168" fontId="8" fillId="0" borderId="9" xfId="0" applyNumberFormat="1" applyFont="1" applyBorder="1">
      <alignment vertical="top"/>
    </xf>
    <xf numFmtId="168" fontId="8" fillId="0" borderId="11" xfId="0" applyNumberFormat="1" applyFont="1" applyBorder="1">
      <alignment vertical="top"/>
    </xf>
    <xf numFmtId="168" fontId="8" fillId="0" borderId="4" xfId="0" applyNumberFormat="1" applyFont="1" applyBorder="1">
      <alignment vertical="top"/>
    </xf>
    <xf numFmtId="168" fontId="8" fillId="0" borderId="5" xfId="0" applyNumberFormat="1" applyFont="1" applyBorder="1">
      <alignment vertical="top"/>
    </xf>
    <xf numFmtId="168" fontId="8" fillId="0" borderId="6" xfId="0" applyNumberFormat="1" applyFont="1" applyBorder="1">
      <alignment vertical="top"/>
    </xf>
    <xf numFmtId="168" fontId="8" fillId="0" borderId="7" xfId="0" applyNumberFormat="1" applyFont="1" applyBorder="1">
      <alignment vertical="top"/>
    </xf>
    <xf numFmtId="168" fontId="8" fillId="0" borderId="8" xfId="0" applyNumberFormat="1" applyFont="1" applyBorder="1">
      <alignment vertical="top"/>
    </xf>
    <xf numFmtId="173" fontId="10" fillId="0" borderId="0" xfId="0" applyFont="1" applyAlignment="1">
      <alignment horizontal="right"/>
    </xf>
    <xf numFmtId="173" fontId="3" fillId="0" borderId="10" xfId="0" applyFont="1" applyBorder="1" applyAlignment="1">
      <alignment horizontal="left" indent="1"/>
    </xf>
    <xf numFmtId="173" fontId="0" fillId="0" borderId="9" xfId="0" applyBorder="1" applyAlignment="1">
      <alignment horizontal="right"/>
    </xf>
    <xf numFmtId="166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173" fontId="3" fillId="0" borderId="12" xfId="0" applyFont="1" applyBorder="1">
      <alignment vertical="top"/>
    </xf>
    <xf numFmtId="166" fontId="8" fillId="0" borderId="13" xfId="0" applyNumberFormat="1" applyFont="1" applyBorder="1">
      <alignment vertical="top"/>
    </xf>
    <xf numFmtId="170" fontId="8" fillId="0" borderId="13" xfId="0" applyNumberFormat="1" applyFont="1" applyBorder="1" applyAlignment="1">
      <alignment horizontal="right"/>
    </xf>
    <xf numFmtId="170" fontId="8" fillId="0" borderId="14" xfId="0" applyNumberFormat="1" applyFont="1" applyBorder="1" applyAlignment="1">
      <alignment horizontal="right"/>
    </xf>
    <xf numFmtId="173" fontId="3" fillId="0" borderId="15" xfId="0" applyFont="1" applyBorder="1">
      <alignment vertical="top"/>
    </xf>
    <xf numFmtId="170" fontId="8" fillId="0" borderId="16" xfId="0" applyNumberFormat="1" applyFont="1" applyBorder="1" applyAlignment="1">
      <alignment horizontal="right"/>
    </xf>
    <xf numFmtId="173" fontId="3" fillId="0" borderId="17" xfId="0" applyFont="1" applyBorder="1">
      <alignment vertical="top"/>
    </xf>
    <xf numFmtId="173" fontId="0" fillId="0" borderId="18" xfId="0" applyBorder="1">
      <alignment vertical="top"/>
    </xf>
    <xf numFmtId="166" fontId="8" fillId="0" borderId="18" xfId="0" applyNumberFormat="1" applyFont="1" applyBorder="1">
      <alignment vertical="top"/>
    </xf>
    <xf numFmtId="170" fontId="8" fillId="0" borderId="18" xfId="0" applyNumberFormat="1" applyFont="1" applyBorder="1" applyAlignment="1">
      <alignment horizontal="right"/>
    </xf>
    <xf numFmtId="170" fontId="8" fillId="0" borderId="19" xfId="0" applyNumberFormat="1" applyFont="1" applyBorder="1" applyAlignment="1">
      <alignment horizontal="right"/>
    </xf>
    <xf numFmtId="173" fontId="18" fillId="0" borderId="0" xfId="0" applyFont="1">
      <alignment vertical="top"/>
    </xf>
    <xf numFmtId="173" fontId="19" fillId="0" borderId="0" xfId="0" applyFont="1">
      <alignment vertical="top"/>
    </xf>
    <xf numFmtId="10" fontId="15" fillId="0" borderId="16" xfId="0" applyNumberFormat="1" applyFont="1" applyBorder="1">
      <alignment vertical="top"/>
    </xf>
    <xf numFmtId="10" fontId="15" fillId="0" borderId="18" xfId="0" applyNumberFormat="1" applyFont="1" applyBorder="1">
      <alignment vertical="top"/>
    </xf>
    <xf numFmtId="167" fontId="8" fillId="0" borderId="18" xfId="0" applyNumberFormat="1" applyFont="1" applyBorder="1">
      <alignment vertical="top"/>
    </xf>
    <xf numFmtId="167" fontId="8" fillId="0" borderId="19" xfId="0" applyNumberFormat="1" applyFont="1" applyBorder="1">
      <alignment vertical="top"/>
    </xf>
    <xf numFmtId="167" fontId="5" fillId="0" borderId="18" xfId="0" applyNumberFormat="1" applyFont="1" applyBorder="1">
      <alignment vertical="top"/>
    </xf>
    <xf numFmtId="166" fontId="8" fillId="0" borderId="5" xfId="0" applyNumberFormat="1" applyFont="1" applyBorder="1">
      <alignment vertical="top"/>
    </xf>
    <xf numFmtId="171" fontId="8" fillId="0" borderId="0" xfId="0" applyNumberFormat="1" applyFont="1">
      <alignment vertical="top"/>
    </xf>
    <xf numFmtId="173" fontId="3" fillId="0" borderId="23" xfId="0" applyFont="1" applyBorder="1">
      <alignment vertical="top"/>
    </xf>
    <xf numFmtId="173" fontId="14" fillId="0" borderId="0" xfId="0" applyFont="1">
      <alignment vertical="top"/>
    </xf>
    <xf numFmtId="168" fontId="4" fillId="0" borderId="0" xfId="0" applyNumberFormat="1" applyFont="1">
      <alignment vertical="top"/>
    </xf>
    <xf numFmtId="10" fontId="17" fillId="0" borderId="0" xfId="0" applyNumberFormat="1" applyFont="1">
      <alignment vertical="top"/>
    </xf>
    <xf numFmtId="173" fontId="21" fillId="0" borderId="0" xfId="0" applyFont="1">
      <alignment vertical="top"/>
    </xf>
    <xf numFmtId="166" fontId="23" fillId="0" borderId="0" xfId="0" applyNumberFormat="1" applyFont="1">
      <alignment vertical="top"/>
    </xf>
    <xf numFmtId="165" fontId="8" fillId="0" borderId="0" xfId="0" applyNumberFormat="1" applyFont="1">
      <alignment vertical="top"/>
    </xf>
    <xf numFmtId="165" fontId="19" fillId="0" borderId="0" xfId="0" applyNumberFormat="1" applyFont="1">
      <alignment vertical="top"/>
    </xf>
    <xf numFmtId="165" fontId="15" fillId="0" borderId="0" xfId="0" applyNumberFormat="1" applyFont="1">
      <alignment vertical="top"/>
    </xf>
    <xf numFmtId="165" fontId="9" fillId="0" borderId="0" xfId="0" applyNumberFormat="1" applyFont="1">
      <alignment vertical="top"/>
    </xf>
    <xf numFmtId="165" fontId="16" fillId="0" borderId="0" xfId="0" applyNumberFormat="1" applyFont="1">
      <alignment vertical="top"/>
    </xf>
    <xf numFmtId="165" fontId="20" fillId="0" borderId="0" xfId="0" applyNumberFormat="1" applyFont="1">
      <alignment vertical="top"/>
    </xf>
    <xf numFmtId="165" fontId="8" fillId="0" borderId="0" xfId="0" applyNumberFormat="1" applyFont="1" applyAlignment="1">
      <alignment horizontal="right"/>
    </xf>
    <xf numFmtId="173" fontId="24" fillId="0" borderId="9" xfId="0" applyFont="1" applyBorder="1" applyAlignment="1">
      <alignment horizontal="right"/>
    </xf>
    <xf numFmtId="166" fontId="23" fillId="0" borderId="0" xfId="0" applyNumberFormat="1" applyFont="1" applyAlignment="1">
      <alignment horizontal="right"/>
    </xf>
    <xf numFmtId="10" fontId="25" fillId="0" borderId="0" xfId="0" applyNumberFormat="1" applyFont="1">
      <alignment vertical="top"/>
    </xf>
    <xf numFmtId="10" fontId="23" fillId="0" borderId="0" xfId="0" applyNumberFormat="1" applyFont="1" applyAlignment="1">
      <alignment horizontal="right"/>
    </xf>
    <xf numFmtId="10" fontId="23" fillId="0" borderId="0" xfId="0" applyNumberFormat="1" applyFont="1">
      <alignment vertical="top"/>
    </xf>
    <xf numFmtId="173" fontId="26" fillId="0" borderId="0" xfId="0" applyFont="1">
      <alignment vertical="top"/>
    </xf>
    <xf numFmtId="171" fontId="23" fillId="0" borderId="0" xfId="0" applyNumberFormat="1" applyFont="1">
      <alignment vertical="top"/>
    </xf>
    <xf numFmtId="168" fontId="23" fillId="0" borderId="0" xfId="0" applyNumberFormat="1" applyFont="1" applyAlignment="1">
      <alignment horizontal="right"/>
    </xf>
    <xf numFmtId="173" fontId="24" fillId="0" borderId="0" xfId="0" applyFont="1" applyAlignment="1">
      <alignment horizontal="right"/>
    </xf>
    <xf numFmtId="10" fontId="8" fillId="0" borderId="0" xfId="0" applyNumberFormat="1" applyFont="1" applyAlignment="1">
      <alignment horizontal="right"/>
    </xf>
    <xf numFmtId="171" fontId="5" fillId="0" borderId="0" xfId="0" applyNumberFormat="1" applyFont="1">
      <alignment vertical="top"/>
    </xf>
    <xf numFmtId="168" fontId="8" fillId="0" borderId="0" xfId="0" applyNumberFormat="1" applyFont="1" applyAlignment="1">
      <alignment horizontal="right"/>
    </xf>
    <xf numFmtId="10" fontId="5" fillId="0" borderId="0" xfId="0" applyNumberFormat="1" applyFont="1">
      <alignment vertical="top"/>
    </xf>
    <xf numFmtId="172" fontId="23" fillId="0" borderId="0" xfId="0" applyNumberFormat="1" applyFont="1">
      <alignment vertical="top"/>
    </xf>
    <xf numFmtId="172" fontId="0" fillId="0" borderId="0" xfId="0" applyNumberFormat="1">
      <alignment vertical="top"/>
    </xf>
    <xf numFmtId="172" fontId="5" fillId="0" borderId="0" xfId="0" applyNumberFormat="1" applyFont="1">
      <alignment vertical="top"/>
    </xf>
    <xf numFmtId="172" fontId="8" fillId="0" borderId="13" xfId="0" applyNumberFormat="1" applyFont="1" applyBorder="1">
      <alignment vertical="top"/>
    </xf>
    <xf numFmtId="172" fontId="8" fillId="0" borderId="14" xfId="0" applyNumberFormat="1" applyFont="1" applyBorder="1">
      <alignment vertical="top"/>
    </xf>
    <xf numFmtId="172" fontId="8" fillId="0" borderId="0" xfId="0" applyNumberFormat="1" applyFont="1">
      <alignment vertical="top"/>
    </xf>
    <xf numFmtId="172" fontId="9" fillId="0" borderId="0" xfId="0" applyNumberFormat="1" applyFont="1">
      <alignment vertical="top"/>
    </xf>
    <xf numFmtId="172" fontId="9" fillId="0" borderId="9" xfId="0" applyNumberFormat="1" applyFont="1" applyBorder="1">
      <alignment vertical="top"/>
    </xf>
    <xf numFmtId="172" fontId="8" fillId="0" borderId="9" xfId="0" applyNumberFormat="1" applyFont="1" applyBorder="1">
      <alignment vertical="top"/>
    </xf>
    <xf numFmtId="172" fontId="8" fillId="0" borderId="20" xfId="0" applyNumberFormat="1" applyFont="1" applyBorder="1">
      <alignment vertical="top"/>
    </xf>
    <xf numFmtId="172" fontId="8" fillId="0" borderId="24" xfId="0" applyNumberFormat="1" applyFont="1" applyBorder="1">
      <alignment vertical="top"/>
    </xf>
    <xf numFmtId="172" fontId="8" fillId="0" borderId="0" xfId="0" applyNumberFormat="1" applyFont="1" applyAlignment="1">
      <alignment horizontal="right"/>
    </xf>
    <xf numFmtId="172" fontId="4" fillId="0" borderId="0" xfId="0" applyNumberFormat="1" applyFont="1">
      <alignment vertical="top"/>
    </xf>
    <xf numFmtId="172" fontId="9" fillId="0" borderId="0" xfId="0" applyNumberFormat="1" applyFont="1" applyAlignment="1">
      <alignment horizontal="right"/>
    </xf>
    <xf numFmtId="172" fontId="0" fillId="0" borderId="20" xfId="0" applyNumberFormat="1" applyBorder="1">
      <alignment vertical="top"/>
    </xf>
    <xf numFmtId="173" fontId="3" fillId="0" borderId="0" xfId="0" applyFont="1" applyAlignment="1">
      <alignment horizontal="center"/>
    </xf>
    <xf numFmtId="166" fontId="8" fillId="0" borderId="13" xfId="0" applyNumberFormat="1" applyFont="1" applyBorder="1" applyAlignment="1">
      <alignment horizontal="right"/>
    </xf>
    <xf numFmtId="166" fontId="8" fillId="0" borderId="18" xfId="0" applyNumberFormat="1" applyFont="1" applyBorder="1" applyAlignment="1">
      <alignment horizontal="right"/>
    </xf>
    <xf numFmtId="165" fontId="5" fillId="0" borderId="0" xfId="0" applyNumberFormat="1" applyFont="1">
      <alignment vertical="top"/>
    </xf>
    <xf numFmtId="173" fontId="27" fillId="2" borderId="0" xfId="0" applyFont="1" applyFill="1">
      <alignment vertical="top"/>
    </xf>
    <xf numFmtId="173" fontId="0" fillId="3" borderId="0" xfId="0" applyFill="1">
      <alignment vertical="top"/>
    </xf>
    <xf numFmtId="173" fontId="6" fillId="3" borderId="0" xfId="0" applyFont="1" applyFill="1">
      <alignment vertical="top"/>
    </xf>
    <xf numFmtId="173" fontId="28" fillId="0" borderId="0" xfId="0" applyFont="1">
      <alignment vertical="top"/>
    </xf>
    <xf numFmtId="178" fontId="0" fillId="0" borderId="0" xfId="6" applyFont="1">
      <alignment vertical="top"/>
    </xf>
    <xf numFmtId="173" fontId="0" fillId="0" borderId="0" xfId="0" applyBorder="1">
      <alignment vertical="top"/>
    </xf>
    <xf numFmtId="173" fontId="0" fillId="0" borderId="25" xfId="0" applyBorder="1">
      <alignment vertical="top"/>
    </xf>
    <xf numFmtId="173" fontId="28" fillId="0" borderId="25" xfId="0" applyFont="1" applyBorder="1">
      <alignment vertical="top"/>
    </xf>
    <xf numFmtId="173" fontId="0" fillId="0" borderId="26" xfId="0" applyBorder="1">
      <alignment vertical="top"/>
    </xf>
    <xf numFmtId="173" fontId="0" fillId="3" borderId="26" xfId="0" applyFill="1" applyBorder="1">
      <alignment vertical="top"/>
    </xf>
    <xf numFmtId="178" fontId="28" fillId="0" borderId="0" xfId="6" applyFont="1">
      <alignment vertical="top"/>
    </xf>
    <xf numFmtId="178" fontId="27" fillId="2" borderId="0" xfId="6" applyFont="1" applyFill="1">
      <alignment vertical="top"/>
    </xf>
    <xf numFmtId="174" fontId="0" fillId="0" borderId="0" xfId="2" applyFont="1">
      <alignment vertical="top"/>
    </xf>
    <xf numFmtId="174" fontId="28" fillId="0" borderId="0" xfId="2" applyFont="1">
      <alignment vertical="top"/>
    </xf>
    <xf numFmtId="178" fontId="29" fillId="3" borderId="0" xfId="6" applyFont="1" applyFill="1">
      <alignment vertical="top"/>
    </xf>
    <xf numFmtId="178" fontId="29" fillId="0" borderId="0" xfId="6" applyFont="1">
      <alignment vertical="top"/>
    </xf>
    <xf numFmtId="178" fontId="29" fillId="0" borderId="0" xfId="6" applyFont="1" applyFill="1">
      <alignment vertical="top"/>
    </xf>
    <xf numFmtId="179" fontId="0" fillId="0" borderId="0" xfId="0" applyNumberFormat="1" applyFont="1">
      <alignment vertical="top"/>
    </xf>
    <xf numFmtId="173" fontId="0" fillId="0" borderId="0" xfId="0" applyFill="1">
      <alignment vertical="top"/>
    </xf>
    <xf numFmtId="173" fontId="30" fillId="0" borderId="0" xfId="0" applyFont="1">
      <alignment vertical="top"/>
    </xf>
    <xf numFmtId="175" fontId="0" fillId="0" borderId="0" xfId="3" applyFont="1" applyFill="1">
      <alignment vertical="top"/>
    </xf>
    <xf numFmtId="175" fontId="0" fillId="0" borderId="0" xfId="3" applyFont="1">
      <alignment vertical="top"/>
    </xf>
    <xf numFmtId="173" fontId="0" fillId="0" borderId="0" xfId="0" applyFont="1" applyBorder="1">
      <alignment vertical="top"/>
    </xf>
    <xf numFmtId="173" fontId="0" fillId="0" borderId="0" xfId="0" applyFont="1">
      <alignment vertical="top"/>
    </xf>
    <xf numFmtId="173" fontId="26" fillId="0" borderId="25" xfId="0" applyFont="1" applyBorder="1">
      <alignment vertical="top"/>
    </xf>
    <xf numFmtId="173" fontId="0" fillId="0" borderId="0" xfId="0" applyFill="1" applyBorder="1">
      <alignment vertical="top"/>
    </xf>
    <xf numFmtId="173" fontId="0" fillId="0" borderId="0" xfId="0" applyFont="1" applyFill="1" applyBorder="1">
      <alignment vertical="top"/>
    </xf>
    <xf numFmtId="173" fontId="0" fillId="0" borderId="26" xfId="0" applyFont="1" applyFill="1" applyBorder="1">
      <alignment vertical="top"/>
    </xf>
    <xf numFmtId="173" fontId="28" fillId="0" borderId="0" xfId="0" applyFont="1" applyFill="1">
      <alignment vertical="top"/>
    </xf>
    <xf numFmtId="173" fontId="1" fillId="0" borderId="0" xfId="0" applyFont="1">
      <alignment vertical="top"/>
    </xf>
    <xf numFmtId="173" fontId="1" fillId="0" borderId="7" xfId="0" applyFont="1" applyBorder="1">
      <alignment vertical="top"/>
    </xf>
    <xf numFmtId="173" fontId="1" fillId="0" borderId="0" xfId="0" applyFont="1" applyFill="1">
      <alignment vertical="top"/>
    </xf>
    <xf numFmtId="173" fontId="1" fillId="0" borderId="7" xfId="0" applyFont="1" applyFill="1" applyBorder="1">
      <alignment vertical="top"/>
    </xf>
    <xf numFmtId="173" fontId="0" fillId="0" borderId="26" xfId="0" applyFont="1" applyBorder="1">
      <alignment vertical="top"/>
    </xf>
    <xf numFmtId="173" fontId="26" fillId="0" borderId="0" xfId="0" applyFont="1" applyFill="1" applyBorder="1">
      <alignment vertical="top"/>
    </xf>
    <xf numFmtId="173" fontId="6" fillId="0" borderId="9" xfId="0" applyFont="1" applyBorder="1">
      <alignment vertical="top"/>
    </xf>
    <xf numFmtId="174" fontId="28" fillId="0" borderId="0" xfId="2" applyFont="1" applyBorder="1">
      <alignment vertical="top"/>
    </xf>
    <xf numFmtId="173" fontId="0" fillId="0" borderId="26" xfId="0" applyFill="1" applyBorder="1">
      <alignment vertical="top"/>
    </xf>
    <xf numFmtId="0" fontId="27" fillId="2" borderId="0" xfId="0" applyNumberFormat="1" applyFont="1" applyFill="1">
      <alignment vertical="top"/>
    </xf>
    <xf numFmtId="0" fontId="0" fillId="3" borderId="0" xfId="0" applyNumberFormat="1" applyFill="1">
      <alignment vertical="top"/>
    </xf>
    <xf numFmtId="0" fontId="0" fillId="0" borderId="25" xfId="0" applyNumberFormat="1" applyBorder="1">
      <alignment vertical="top"/>
    </xf>
    <xf numFmtId="0" fontId="0" fillId="0" borderId="0" xfId="0" applyNumberFormat="1" applyBorder="1">
      <alignment vertical="top"/>
    </xf>
    <xf numFmtId="0" fontId="0" fillId="0" borderId="0" xfId="0" applyNumberFormat="1" applyBorder="1" applyAlignment="1">
      <alignment horizontal="left" indent="1"/>
    </xf>
    <xf numFmtId="0" fontId="0" fillId="0" borderId="26" xfId="0" applyNumberFormat="1" applyBorder="1">
      <alignment vertical="top"/>
    </xf>
    <xf numFmtId="0" fontId="0" fillId="0" borderId="0" xfId="0" applyNumberFormat="1">
      <alignment vertical="top"/>
    </xf>
    <xf numFmtId="0" fontId="6" fillId="0" borderId="9" xfId="0" applyNumberFormat="1" applyFont="1" applyBorder="1">
      <alignment vertical="top"/>
    </xf>
    <xf numFmtId="0" fontId="0" fillId="0" borderId="0" xfId="0" applyNumberFormat="1" applyFont="1" applyBorder="1">
      <alignment vertical="top"/>
    </xf>
    <xf numFmtId="0" fontId="0" fillId="0" borderId="0" xfId="0" applyNumberFormat="1" applyFill="1">
      <alignment vertical="top"/>
    </xf>
    <xf numFmtId="0" fontId="0" fillId="0" borderId="0" xfId="6" applyNumberFormat="1" applyFont="1">
      <alignment vertical="top"/>
    </xf>
    <xf numFmtId="0" fontId="31" fillId="0" borderId="0" xfId="0" applyNumberFormat="1" applyFont="1" applyAlignment="1">
      <alignment horizontal="left" vertical="top" indent="1"/>
    </xf>
    <xf numFmtId="0" fontId="31" fillId="0" borderId="7" xfId="0" applyNumberFormat="1" applyFont="1" applyBorder="1" applyAlignment="1">
      <alignment horizontal="left" vertical="top" indent="1"/>
    </xf>
    <xf numFmtId="0" fontId="0" fillId="0" borderId="7" xfId="0" applyNumberFormat="1" applyBorder="1">
      <alignment vertical="top"/>
    </xf>
    <xf numFmtId="0" fontId="0" fillId="0" borderId="0" xfId="0" applyNumberFormat="1" applyBorder="1" applyAlignment="1">
      <alignment horizontal="left"/>
    </xf>
    <xf numFmtId="0" fontId="0" fillId="0" borderId="9" xfId="0" applyNumberFormat="1" applyBorder="1">
      <alignment vertical="top"/>
    </xf>
    <xf numFmtId="173" fontId="6" fillId="0" borderId="0" xfId="0" applyFont="1" applyFill="1">
      <alignment vertical="top"/>
    </xf>
    <xf numFmtId="0" fontId="0" fillId="0" borderId="0" xfId="0" applyNumberFormat="1" applyFill="1" applyBorder="1">
      <alignment vertical="top"/>
    </xf>
    <xf numFmtId="173" fontId="26" fillId="3" borderId="26" xfId="0" applyFont="1" applyFill="1" applyBorder="1">
      <alignment vertical="top"/>
    </xf>
    <xf numFmtId="173" fontId="0" fillId="3" borderId="0" xfId="0" applyFont="1" applyFill="1">
      <alignment vertical="top"/>
    </xf>
    <xf numFmtId="0" fontId="0" fillId="3" borderId="0" xfId="0" applyNumberFormat="1" applyFont="1" applyFill="1" applyBorder="1">
      <alignment vertical="top"/>
    </xf>
    <xf numFmtId="173" fontId="0" fillId="3" borderId="0" xfId="0" applyFont="1" applyFill="1" applyBorder="1">
      <alignment vertical="top"/>
    </xf>
    <xf numFmtId="0" fontId="0" fillId="0" borderId="25" xfId="0" applyNumberFormat="1" applyFill="1" applyBorder="1">
      <alignment vertical="top"/>
    </xf>
    <xf numFmtId="173" fontId="28" fillId="0" borderId="25" xfId="0" applyFont="1" applyFill="1" applyBorder="1">
      <alignment vertical="top"/>
    </xf>
    <xf numFmtId="173" fontId="0" fillId="0" borderId="25" xfId="0" applyFill="1" applyBorder="1">
      <alignment vertical="top"/>
    </xf>
    <xf numFmtId="0" fontId="0" fillId="0" borderId="0" xfId="0" applyNumberFormat="1" applyFill="1" applyBorder="1" applyAlignment="1">
      <alignment horizontal="left" indent="1"/>
    </xf>
    <xf numFmtId="0" fontId="0" fillId="0" borderId="26" xfId="0" applyNumberFormat="1" applyFill="1" applyBorder="1">
      <alignment vertical="top"/>
    </xf>
    <xf numFmtId="0" fontId="0" fillId="0" borderId="0" xfId="0" applyNumberFormat="1" applyFill="1" applyBorder="1" applyAlignment="1">
      <alignment horizontal="left" vertical="top" indent="1"/>
    </xf>
    <xf numFmtId="0" fontId="0" fillId="0" borderId="0" xfId="0" applyNumberFormat="1" applyFont="1" applyFill="1" applyBorder="1">
      <alignment vertical="top"/>
    </xf>
    <xf numFmtId="175" fontId="0" fillId="0" borderId="0" xfId="3" applyFont="1" applyBorder="1">
      <alignment vertical="top"/>
    </xf>
    <xf numFmtId="173" fontId="0" fillId="0" borderId="7" xfId="0" applyFont="1" applyBorder="1">
      <alignment vertical="top"/>
    </xf>
    <xf numFmtId="0" fontId="6" fillId="0" borderId="0" xfId="0" applyNumberFormat="1" applyFont="1" applyBorder="1">
      <alignment vertical="top"/>
    </xf>
    <xf numFmtId="173" fontId="6" fillId="0" borderId="0" xfId="0" applyFont="1" applyBorder="1">
      <alignment vertical="top"/>
    </xf>
    <xf numFmtId="0" fontId="6" fillId="0" borderId="0" xfId="0" applyNumberFormat="1" applyFont="1">
      <alignment vertical="top"/>
    </xf>
    <xf numFmtId="0" fontId="0" fillId="0" borderId="0" xfId="0" applyNumberFormat="1" applyFont="1">
      <alignment vertical="top"/>
    </xf>
    <xf numFmtId="0" fontId="0" fillId="0" borderId="0" xfId="3" applyNumberFormat="1" applyFont="1" applyBorder="1">
      <alignment vertical="top"/>
    </xf>
    <xf numFmtId="0" fontId="0" fillId="0" borderId="7" xfId="0" applyNumberFormat="1" applyFont="1" applyBorder="1">
      <alignment vertical="top"/>
    </xf>
    <xf numFmtId="0" fontId="0" fillId="0" borderId="0" xfId="0" applyNumberFormat="1" applyFont="1" applyBorder="1" applyAlignment="1">
      <alignment horizontal="left" vertical="top" indent="1"/>
    </xf>
    <xf numFmtId="0" fontId="6" fillId="0" borderId="7" xfId="0" applyNumberFormat="1" applyFont="1" applyFill="1" applyBorder="1">
      <alignment vertical="top"/>
    </xf>
    <xf numFmtId="173" fontId="6" fillId="0" borderId="7" xfId="0" applyFont="1" applyFill="1" applyBorder="1">
      <alignment vertical="top"/>
    </xf>
    <xf numFmtId="173" fontId="6" fillId="0" borderId="7" xfId="0" applyFont="1" applyBorder="1">
      <alignment vertical="top"/>
    </xf>
    <xf numFmtId="173" fontId="0" fillId="3" borderId="0" xfId="0" applyFill="1" applyBorder="1">
      <alignment vertical="top"/>
    </xf>
  </cellXfs>
  <cellStyles count="7">
    <cellStyle name="DateLong" xfId="4" xr:uid="{A23423B5-875A-482A-B29B-BB7F7AB09ADD}"/>
    <cellStyle name="DateShort" xfId="5" xr:uid="{1CB1A6CA-BAC5-4085-85D6-70334FF3F4CE}"/>
    <cellStyle name="Factor" xfId="3" xr:uid="{DC179704-66D3-4BCC-AA55-C6DB0353F043}"/>
    <cellStyle name="Normal" xfId="0" builtinId="0" customBuiltin="1"/>
    <cellStyle name="Normal 15 2" xfId="1" xr:uid="{F809F5E0-61A1-4C7A-9CBF-B5763F9C20DC}"/>
    <cellStyle name="Percent" xfId="2" builtinId="5" customBuiltin="1"/>
    <cellStyle name="Year" xfId="6" xr:uid="{1E7F357C-3D0F-4A38-BF46-2666F4E601B0}"/>
  </cellStyles>
  <dxfs count="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350519-7DF9-4BDE-BF17-63FFE6F194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4374bf6-5856-4066-bacd-c8d2537339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965E-0BF0-4D1A-BAB0-926FBA150AA9}">
  <sheetPr>
    <pageSetUpPr autoPageBreaks="0" fitToPage="1"/>
  </sheetPr>
  <dimension ref="A1:S259"/>
  <sheetViews>
    <sheetView showGridLines="0" tabSelected="1" zoomScale="85" zoomScaleNormal="85" workbookViewId="0">
      <pane xSplit="9" ySplit="3" topLeftCell="J227" activePane="bottomRight" state="frozen"/>
      <selection pane="topRight" activeCell="J1" sqref="J1"/>
      <selection pane="bottomLeft" activeCell="A4" sqref="A4"/>
      <selection pane="bottomRight" activeCell="E250" sqref="E250"/>
    </sheetView>
  </sheetViews>
  <sheetFormatPr defaultColWidth="0" defaultRowHeight="14.25" x14ac:dyDescent="0.2"/>
  <cols>
    <col min="1" max="4" width="1.625" customWidth="1"/>
    <col min="5" max="5" width="55.625" style="180" customWidth="1"/>
    <col min="6" max="6" width="11.625" customWidth="1"/>
    <col min="7" max="8" width="10.625" customWidth="1"/>
    <col min="9" max="9" width="1.625" customWidth="1"/>
    <col min="10" max="19" width="11.75" customWidth="1"/>
    <col min="20" max="16384" width="8.75" hidden="1"/>
  </cols>
  <sheetData>
    <row r="1" spans="1:19" s="136" customFormat="1" ht="15" x14ac:dyDescent="0.2">
      <c r="A1" s="136" t="str" cm="1">
        <f t="array" ref="A1">company</f>
        <v>GRANITE BAY REAL ESTATE INC.</v>
      </c>
      <c r="E1" s="174"/>
    </row>
    <row r="2" spans="1:19" s="136" customFormat="1" ht="15" x14ac:dyDescent="0.2">
      <c r="A2" s="136" t="str" cm="1">
        <f t="array" ref="A2">topic</f>
        <v xml:space="preserve">CFM Topic: Debt </v>
      </c>
      <c r="E2" s="174"/>
    </row>
    <row r="3" spans="1:19" s="136" customFormat="1" ht="15" x14ac:dyDescent="0.2">
      <c r="A3" s="136" t="s">
        <v>129</v>
      </c>
      <c r="E3" s="174"/>
      <c r="F3" s="136" t="s">
        <v>130</v>
      </c>
      <c r="G3" s="136" t="s">
        <v>131</v>
      </c>
      <c r="H3" s="136" t="s">
        <v>80</v>
      </c>
      <c r="J3" s="147">
        <f>J$259</f>
        <v>2024</v>
      </c>
      <c r="K3" s="147">
        <f>K$259</f>
        <v>2025</v>
      </c>
      <c r="L3" s="147">
        <f>L$259</f>
        <v>2026</v>
      </c>
      <c r="M3" s="147">
        <f>M$259</f>
        <v>2027</v>
      </c>
      <c r="N3" s="147">
        <f>N$259</f>
        <v>2028</v>
      </c>
      <c r="O3" s="147">
        <f>O$259</f>
        <v>2029</v>
      </c>
      <c r="P3" s="147">
        <f>P$259</f>
        <v>2030</v>
      </c>
      <c r="Q3" s="147">
        <f>Q$259</f>
        <v>2031</v>
      </c>
      <c r="R3" s="147">
        <f>R$259</f>
        <v>2032</v>
      </c>
      <c r="S3" s="147">
        <f>S$259</f>
        <v>2033</v>
      </c>
    </row>
    <row r="5" spans="1:19" s="137" customFormat="1" ht="15" x14ac:dyDescent="0.2">
      <c r="A5" s="138" t="s">
        <v>178</v>
      </c>
      <c r="E5" s="175"/>
    </row>
    <row r="7" spans="1:19" x14ac:dyDescent="0.2">
      <c r="C7" s="155" t="s">
        <v>218</v>
      </c>
    </row>
    <row r="8" spans="1:19" x14ac:dyDescent="0.2">
      <c r="E8" s="180" t="str">
        <f>E$110</f>
        <v>Construction Loan I drawdown</v>
      </c>
      <c r="G8" t="str">
        <f>G$110</f>
        <v>USD</v>
      </c>
      <c r="J8">
        <f>J$110 * -1</f>
        <v>-3500000</v>
      </c>
      <c r="K8">
        <f t="shared" ref="K8:S8" si="0">K$110 * -1</f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</row>
    <row r="9" spans="1:19" x14ac:dyDescent="0.2">
      <c r="E9" s="180" t="str">
        <f>E$98</f>
        <v>Free Cash Flow before Debt Service - Property I</v>
      </c>
      <c r="G9" t="str">
        <f>G$98</f>
        <v>USD</v>
      </c>
      <c r="I9">
        <f t="shared" ref="I9:S9" si="1">I$98</f>
        <v>0</v>
      </c>
      <c r="J9">
        <f t="shared" si="1"/>
        <v>0</v>
      </c>
      <c r="K9">
        <f t="shared" si="1"/>
        <v>625000</v>
      </c>
      <c r="L9">
        <f t="shared" si="1"/>
        <v>1312500</v>
      </c>
      <c r="M9">
        <f t="shared" si="1"/>
        <v>1378125</v>
      </c>
      <c r="N9">
        <f t="shared" si="1"/>
        <v>1447031.2500000002</v>
      </c>
      <c r="O9">
        <f t="shared" si="1"/>
        <v>1483207.03125</v>
      </c>
      <c r="P9">
        <f t="shared" si="1"/>
        <v>1520287.20703125</v>
      </c>
      <c r="Q9">
        <f t="shared" si="1"/>
        <v>1558294.3872070313</v>
      </c>
      <c r="R9">
        <f t="shared" si="1"/>
        <v>1597251.7468872068</v>
      </c>
      <c r="S9">
        <f t="shared" si="1"/>
        <v>1637183.0405593868</v>
      </c>
    </row>
    <row r="10" spans="1:19" x14ac:dyDescent="0.2">
      <c r="E10" s="189" t="s">
        <v>203</v>
      </c>
      <c r="F10" s="7"/>
      <c r="G10" s="7" t="s">
        <v>133</v>
      </c>
      <c r="H10" s="7"/>
      <c r="I10" s="7"/>
      <c r="J10" s="7">
        <f>SUM(J8:J9)</f>
        <v>-3500000</v>
      </c>
      <c r="K10" s="7">
        <f t="shared" ref="K10:S10" si="2">SUM(K8:K9)</f>
        <v>625000</v>
      </c>
      <c r="L10" s="7">
        <f t="shared" si="2"/>
        <v>1312500</v>
      </c>
      <c r="M10" s="7">
        <f t="shared" si="2"/>
        <v>1378125</v>
      </c>
      <c r="N10" s="7">
        <f t="shared" si="2"/>
        <v>1447031.2500000002</v>
      </c>
      <c r="O10" s="7">
        <f t="shared" si="2"/>
        <v>1483207.03125</v>
      </c>
      <c r="P10" s="7">
        <f t="shared" si="2"/>
        <v>1520287.20703125</v>
      </c>
      <c r="Q10" s="7">
        <f t="shared" si="2"/>
        <v>1558294.3872070313</v>
      </c>
      <c r="R10" s="7">
        <f t="shared" si="2"/>
        <v>1597251.7468872068</v>
      </c>
      <c r="S10" s="7">
        <f t="shared" si="2"/>
        <v>1637183.0405593868</v>
      </c>
    </row>
    <row r="12" spans="1:19" x14ac:dyDescent="0.2">
      <c r="E12" s="180" t="str">
        <f>E$153</f>
        <v>Construction Loan II drawdown</v>
      </c>
      <c r="G12" t="str">
        <f t="shared" ref="G12:I12" si="3">G$153</f>
        <v>USD</v>
      </c>
      <c r="I12">
        <f t="shared" si="3"/>
        <v>0</v>
      </c>
      <c r="J12">
        <f>J$153 * - 1</f>
        <v>0</v>
      </c>
      <c r="K12">
        <f t="shared" ref="K12:S12" si="4">K$153 * - 1</f>
        <v>-4166666.6666666665</v>
      </c>
      <c r="L12">
        <f t="shared" si="4"/>
        <v>-4166666.6666666665</v>
      </c>
      <c r="M12">
        <f t="shared" si="4"/>
        <v>-4166666.6666666665</v>
      </c>
      <c r="N12">
        <f t="shared" si="4"/>
        <v>0</v>
      </c>
      <c r="O12">
        <f t="shared" si="4"/>
        <v>0</v>
      </c>
      <c r="P12">
        <f t="shared" si="4"/>
        <v>0</v>
      </c>
      <c r="Q12">
        <f t="shared" si="4"/>
        <v>0</v>
      </c>
      <c r="R12">
        <f t="shared" si="4"/>
        <v>0</v>
      </c>
      <c r="S12">
        <f t="shared" si="4"/>
        <v>0</v>
      </c>
    </row>
    <row r="13" spans="1:19" x14ac:dyDescent="0.2">
      <c r="E13" s="180" t="s">
        <v>209</v>
      </c>
      <c r="G13" t="s">
        <v>133</v>
      </c>
      <c r="J13">
        <f xml:space="preserve"> IF( J3 = CaseData!$G$36, CaseData!$G$37, 0 )</f>
        <v>0</v>
      </c>
      <c r="K13">
        <f xml:space="preserve"> IF( K3 = CaseData!$G$36, CaseData!$G$37, 0 )</f>
        <v>0</v>
      </c>
      <c r="L13">
        <f xml:space="preserve"> IF( L3 = CaseData!$G$36, CaseData!$G$37, 0 )</f>
        <v>0</v>
      </c>
      <c r="M13">
        <f xml:space="preserve"> IF( M3 = CaseData!$G$36, CaseData!$G$37, 0 )</f>
        <v>18750000</v>
      </c>
      <c r="N13">
        <f xml:space="preserve"> IF( N3 = CaseData!$G$36, CaseData!$G$37, 0 )</f>
        <v>0</v>
      </c>
      <c r="O13">
        <f xml:space="preserve"> IF( O3 = CaseData!$G$36, CaseData!$G$37, 0 )</f>
        <v>0</v>
      </c>
      <c r="P13">
        <f xml:space="preserve"> IF( P3 = CaseData!$G$36, CaseData!$G$37, 0 )</f>
        <v>0</v>
      </c>
      <c r="Q13">
        <f xml:space="preserve"> IF( Q3 = CaseData!$G$36, CaseData!$G$37, 0 )</f>
        <v>0</v>
      </c>
      <c r="R13">
        <f xml:space="preserve"> IF( R3 = CaseData!$G$36, CaseData!$G$37, 0 )</f>
        <v>0</v>
      </c>
      <c r="S13">
        <f xml:space="preserve"> IF( S3 = CaseData!$G$36, CaseData!$G$37, 0 )</f>
        <v>0</v>
      </c>
    </row>
    <row r="14" spans="1:19" x14ac:dyDescent="0.2">
      <c r="E14" s="189" t="s">
        <v>204</v>
      </c>
      <c r="F14" s="7"/>
      <c r="G14" s="7" t="s">
        <v>133</v>
      </c>
      <c r="H14" s="7"/>
      <c r="I14" s="7"/>
      <c r="J14" s="7">
        <f>SUM(J12:J13)</f>
        <v>0</v>
      </c>
      <c r="K14" s="7">
        <f t="shared" ref="K14:S14" si="5">SUM(K12:K13)</f>
        <v>-4166666.6666666665</v>
      </c>
      <c r="L14" s="7">
        <f t="shared" si="5"/>
        <v>-4166666.6666666665</v>
      </c>
      <c r="M14" s="7">
        <f t="shared" si="5"/>
        <v>14583333.333333334</v>
      </c>
      <c r="N14" s="7">
        <f t="shared" si="5"/>
        <v>0</v>
      </c>
      <c r="O14" s="7">
        <f t="shared" si="5"/>
        <v>0</v>
      </c>
      <c r="P14" s="7">
        <f t="shared" si="5"/>
        <v>0</v>
      </c>
      <c r="Q14" s="7">
        <f t="shared" si="5"/>
        <v>0</v>
      </c>
      <c r="R14" s="7">
        <f t="shared" si="5"/>
        <v>0</v>
      </c>
      <c r="S14" s="7">
        <f t="shared" si="5"/>
        <v>0</v>
      </c>
    </row>
    <row r="16" spans="1:19" ht="15" x14ac:dyDescent="0.2">
      <c r="E16" s="207" t="s">
        <v>210</v>
      </c>
      <c r="F16" s="20"/>
      <c r="G16" s="20" t="s">
        <v>133</v>
      </c>
      <c r="H16" s="20"/>
      <c r="I16" s="20"/>
      <c r="J16" s="20">
        <f t="shared" ref="J16:S16" si="6">SUM( J10, J14)</f>
        <v>-3500000</v>
      </c>
      <c r="K16" s="20">
        <f t="shared" si="6"/>
        <v>-3541666.6666666665</v>
      </c>
      <c r="L16" s="20">
        <f t="shared" si="6"/>
        <v>-2854166.6666666665</v>
      </c>
      <c r="M16" s="20">
        <f t="shared" si="6"/>
        <v>15961458.333333334</v>
      </c>
      <c r="N16" s="20">
        <f t="shared" si="6"/>
        <v>1447031.2500000002</v>
      </c>
      <c r="O16" s="20">
        <f t="shared" si="6"/>
        <v>1483207.03125</v>
      </c>
      <c r="P16" s="20">
        <f t="shared" si="6"/>
        <v>1520287.20703125</v>
      </c>
      <c r="Q16" s="20">
        <f t="shared" si="6"/>
        <v>1558294.3872070313</v>
      </c>
      <c r="R16" s="20">
        <f t="shared" si="6"/>
        <v>1597251.7468872068</v>
      </c>
      <c r="S16" s="20">
        <f t="shared" si="6"/>
        <v>1637183.0405593868</v>
      </c>
    </row>
    <row r="17" spans="3:19" ht="15" x14ac:dyDescent="0.2">
      <c r="E17" s="207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3:19" ht="15" x14ac:dyDescent="0.2">
      <c r="C18" s="155" t="s">
        <v>219</v>
      </c>
      <c r="E18" s="207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3:19" x14ac:dyDescent="0.2">
      <c r="E19" s="208" t="str">
        <f>E$16</f>
        <v>FCF before Debt Service</v>
      </c>
      <c r="F19" s="159"/>
      <c r="G19" s="159" t="str">
        <f t="shared" ref="G19:S19" si="7">G$16</f>
        <v>USD</v>
      </c>
      <c r="H19" s="159"/>
      <c r="I19" s="159">
        <f t="shared" si="7"/>
        <v>0</v>
      </c>
      <c r="J19" s="159">
        <f t="shared" si="7"/>
        <v>-3500000</v>
      </c>
      <c r="K19" s="159">
        <f t="shared" si="7"/>
        <v>-3541666.6666666665</v>
      </c>
      <c r="L19" s="159">
        <f t="shared" si="7"/>
        <v>-2854166.6666666665</v>
      </c>
      <c r="M19" s="159">
        <f t="shared" si="7"/>
        <v>15961458.333333334</v>
      </c>
      <c r="N19" s="159">
        <f t="shared" si="7"/>
        <v>1447031.2500000002</v>
      </c>
      <c r="O19" s="159">
        <f t="shared" si="7"/>
        <v>1483207.03125</v>
      </c>
      <c r="P19" s="159">
        <f t="shared" si="7"/>
        <v>1520287.20703125</v>
      </c>
      <c r="Q19" s="159">
        <f t="shared" si="7"/>
        <v>1558294.3872070313</v>
      </c>
      <c r="R19" s="159">
        <f t="shared" si="7"/>
        <v>1597251.7468872068</v>
      </c>
      <c r="S19" s="159">
        <f t="shared" si="7"/>
        <v>1637183.0405593868</v>
      </c>
    </row>
    <row r="20" spans="3:19" s="159" customFormat="1" x14ac:dyDescent="0.2">
      <c r="E20" s="208" t="s">
        <v>185</v>
      </c>
      <c r="G20" s="159" t="s">
        <v>133</v>
      </c>
      <c r="J20" s="159">
        <f ca="1" xml:space="preserve"> J$239 * - 1</f>
        <v>-188873.23943661971</v>
      </c>
      <c r="K20" s="159">
        <f t="shared" ref="K20:S20" ca="1" si="8" xml:space="preserve"> K$239 * - 1</f>
        <v>-378321.39151776768</v>
      </c>
      <c r="L20" s="159">
        <f t="shared" ca="1" si="8"/>
        <v>-368400.35776958877</v>
      </c>
      <c r="M20" s="159">
        <f t="shared" ca="1" si="8"/>
        <v>-327594.14885508385</v>
      </c>
      <c r="N20" s="159">
        <f t="shared" ca="1" si="8"/>
        <v>-252253.51338066685</v>
      </c>
      <c r="O20" s="159">
        <f t="shared" ca="1" si="8"/>
        <v>-185014.07355545205</v>
      </c>
      <c r="P20" s="159">
        <f t="shared" ca="1" si="8"/>
        <v>-147362.02463646981</v>
      </c>
      <c r="Q20" s="159">
        <f t="shared" ca="1" si="8"/>
        <v>-123893.38512816394</v>
      </c>
      <c r="R20" s="159">
        <f t="shared" ca="1" si="8"/>
        <v>-99427.661519441855</v>
      </c>
      <c r="S20" s="159">
        <f t="shared" ca="1" si="8"/>
        <v>-73933.724670825264</v>
      </c>
    </row>
    <row r="21" spans="3:19" s="159" customFormat="1" x14ac:dyDescent="0.2">
      <c r="E21" s="208" t="str">
        <f>CaseSolution!C147</f>
        <v>Construction Debt Issuance (excl . Interest)</v>
      </c>
      <c r="G21" s="159" t="s">
        <v>133</v>
      </c>
      <c r="J21" s="159">
        <f>SUM( J$110, J$153 )</f>
        <v>3500000</v>
      </c>
      <c r="K21" s="159">
        <f>SUM( K$110, K$153 )</f>
        <v>4166666.6666666665</v>
      </c>
      <c r="L21" s="159">
        <f>SUM( L$110, L$153 )</f>
        <v>4166666.6666666665</v>
      </c>
      <c r="M21" s="159">
        <f>SUM( M$110, M$153 )</f>
        <v>4166666.6666666665</v>
      </c>
      <c r="N21" s="159">
        <f>SUM( N$110, N$153 )</f>
        <v>0</v>
      </c>
      <c r="O21" s="159">
        <f>SUM( O$110, O$153 )</f>
        <v>0</v>
      </c>
      <c r="P21" s="159">
        <f>SUM( P$110, P$153 )</f>
        <v>0</v>
      </c>
      <c r="Q21" s="159">
        <f>SUM( Q$110, Q$153 )</f>
        <v>0</v>
      </c>
      <c r="R21" s="159">
        <f>SUM( R$110, R$153 )</f>
        <v>0</v>
      </c>
      <c r="S21" s="159">
        <f>SUM( S$110, S$153 )</f>
        <v>0</v>
      </c>
    </row>
    <row r="22" spans="3:19" s="159" customFormat="1" x14ac:dyDescent="0.2">
      <c r="E22" s="208" t="str">
        <f>CaseSolution!C148</f>
        <v>Construction Debt Retirement</v>
      </c>
      <c r="G22" s="159" t="s">
        <v>133</v>
      </c>
      <c r="J22" s="159">
        <f>SUM( J$119, J$162 )</f>
        <v>-7426300</v>
      </c>
      <c r="K22" s="159">
        <f>SUM( K$119, K$162 )</f>
        <v>0</v>
      </c>
      <c r="L22" s="159">
        <f>SUM( L$119, L$162 )</f>
        <v>0</v>
      </c>
      <c r="M22" s="159">
        <f>SUM( M$119, M$162 )</f>
        <v>-13563107.03125</v>
      </c>
      <c r="N22" s="159">
        <f>SUM( N$119, N$162 )</f>
        <v>0</v>
      </c>
      <c r="O22" s="159">
        <f>SUM( O$119, O$162 )</f>
        <v>0</v>
      </c>
      <c r="P22" s="159">
        <f>SUM( P$119, P$162 )</f>
        <v>0</v>
      </c>
      <c r="Q22" s="159">
        <f>SUM( Q$119, Q$162 )</f>
        <v>0</v>
      </c>
      <c r="R22" s="159">
        <f>SUM( R$119, R$162 )</f>
        <v>0</v>
      </c>
      <c r="S22" s="159">
        <f>SUM( S$119, S$162 )</f>
        <v>0</v>
      </c>
    </row>
    <row r="23" spans="3:19" s="159" customFormat="1" x14ac:dyDescent="0.2">
      <c r="E23" s="208" t="str">
        <f>CaseSolution!C149</f>
        <v>Mortgage Issuance</v>
      </c>
      <c r="G23" s="159" t="s">
        <v>133</v>
      </c>
      <c r="J23" s="159">
        <f xml:space="preserve"> IF( J3 = $F$124, $F$125, 0 )</f>
        <v>7426300</v>
      </c>
      <c r="K23" s="159">
        <f xml:space="preserve"> IF( K3 = $F$124, $F$125, 0 )</f>
        <v>0</v>
      </c>
      <c r="L23" s="159">
        <f xml:space="preserve"> IF( L3 = $F$124, $F$125, 0 )</f>
        <v>0</v>
      </c>
      <c r="M23" s="159">
        <f xml:space="preserve"> IF( M3 = $F$124, $F$125, 0 )</f>
        <v>0</v>
      </c>
      <c r="N23" s="159">
        <f xml:space="preserve"> IF( N3 = $F$124, $F$125, 0 )</f>
        <v>0</v>
      </c>
      <c r="O23" s="159">
        <f xml:space="preserve"> IF( O3 = $F$124, $F$125, 0 )</f>
        <v>0</v>
      </c>
      <c r="P23" s="159">
        <f xml:space="preserve"> IF( P3 = $F$124, $F$125, 0 )</f>
        <v>0</v>
      </c>
      <c r="Q23" s="159">
        <f xml:space="preserve"> IF( Q3 = $F$124, $F$125, 0 )</f>
        <v>0</v>
      </c>
      <c r="R23" s="159">
        <f xml:space="preserve"> IF( R3 = $F$124, $F$125, 0 )</f>
        <v>0</v>
      </c>
      <c r="S23" s="159">
        <f xml:space="preserve"> IF( S3 = $F$124, $F$125, 0 )</f>
        <v>0</v>
      </c>
    </row>
    <row r="24" spans="3:19" s="159" customFormat="1" x14ac:dyDescent="0.2">
      <c r="E24" s="208" t="str">
        <f>CaseSolution!C150</f>
        <v>Mortgage Principal Payment</v>
      </c>
      <c r="G24" s="159" t="s">
        <v>133</v>
      </c>
      <c r="J24" s="159">
        <f xml:space="preserve"> J$132 * - 1</f>
        <v>0</v>
      </c>
      <c r="K24" s="159">
        <f t="shared" ref="K24:S24" si="9" xml:space="preserve"> K$132 * - 1</f>
        <v>-217411.77246236964</v>
      </c>
      <c r="L24" s="159">
        <f t="shared" si="9"/>
        <v>-222847.06677392888</v>
      </c>
      <c r="M24" s="159">
        <f t="shared" si="9"/>
        <v>-228418.24344327708</v>
      </c>
      <c r="N24" s="159">
        <f t="shared" si="9"/>
        <v>-234128.699529359</v>
      </c>
      <c r="O24" s="159">
        <f t="shared" si="9"/>
        <v>-239981.91701759299</v>
      </c>
      <c r="P24" s="159">
        <f t="shared" si="9"/>
        <v>-245981.46494303283</v>
      </c>
      <c r="Q24" s="159">
        <f t="shared" si="9"/>
        <v>-252131.00156660864</v>
      </c>
      <c r="R24" s="159">
        <f t="shared" si="9"/>
        <v>-258434.27660577386</v>
      </c>
      <c r="S24" s="159">
        <f t="shared" si="9"/>
        <v>-264895.1335209182</v>
      </c>
    </row>
    <row r="25" spans="3:19" s="159" customFormat="1" x14ac:dyDescent="0.2">
      <c r="E25" s="208"/>
    </row>
    <row r="26" spans="3:19" s="159" customFormat="1" ht="15" x14ac:dyDescent="0.2">
      <c r="E26" s="207" t="s">
        <v>219</v>
      </c>
      <c r="F26" s="20"/>
      <c r="G26" s="20" t="s">
        <v>133</v>
      </c>
      <c r="H26" s="20"/>
      <c r="I26" s="20"/>
      <c r="J26" s="20">
        <f ca="1">SUM(J19:J24)</f>
        <v>-188873.23943661992</v>
      </c>
      <c r="K26" s="20">
        <f t="shared" ref="K26:S26" ca="1" si="10">SUM(K19:K24)</f>
        <v>29266.836019862676</v>
      </c>
      <c r="L26" s="20">
        <f t="shared" ca="1" si="10"/>
        <v>721252.57545648213</v>
      </c>
      <c r="M26" s="20">
        <f t="shared" ca="1" si="10"/>
        <v>6009005.5764516406</v>
      </c>
      <c r="N26" s="20">
        <f t="shared" ca="1" si="10"/>
        <v>960649.03708997427</v>
      </c>
      <c r="O26" s="20">
        <f t="shared" ca="1" si="10"/>
        <v>1058211.0406769549</v>
      </c>
      <c r="P26" s="20">
        <f t="shared" ca="1" si="10"/>
        <v>1126943.7174517475</v>
      </c>
      <c r="Q26" s="20">
        <f t="shared" ca="1" si="10"/>
        <v>1182270.0005122586</v>
      </c>
      <c r="R26" s="20">
        <f t="shared" ca="1" si="10"/>
        <v>1239389.8087619911</v>
      </c>
      <c r="S26" s="20">
        <f t="shared" ca="1" si="10"/>
        <v>1298354.1823676433</v>
      </c>
    </row>
    <row r="27" spans="3:19" s="159" customFormat="1" x14ac:dyDescent="0.2">
      <c r="E27" s="208"/>
    </row>
    <row r="28" spans="3:19" s="159" customFormat="1" x14ac:dyDescent="0.2">
      <c r="E28" s="208" t="str">
        <f>E$57</f>
        <v>Revolver addition / (repayment)</v>
      </c>
      <c r="G28" s="159" t="str">
        <f>G$57</f>
        <v>USD</v>
      </c>
      <c r="I28" s="159">
        <f>I$57</f>
        <v>0</v>
      </c>
      <c r="J28" s="159">
        <f ca="1">J$57</f>
        <v>188873.23943661992</v>
      </c>
      <c r="K28" s="159">
        <f ca="1">K$57</f>
        <v>-29266.836019862676</v>
      </c>
      <c r="L28" s="159">
        <f ca="1">L$57</f>
        <v>-159606.40341675724</v>
      </c>
      <c r="M28" s="159">
        <f ca="1">M$57</f>
        <v>0</v>
      </c>
      <c r="N28" s="159">
        <f ca="1">N$57</f>
        <v>0</v>
      </c>
      <c r="O28" s="159">
        <f ca="1">O$57</f>
        <v>0</v>
      </c>
      <c r="P28" s="159">
        <f ca="1">P$57</f>
        <v>0</v>
      </c>
      <c r="Q28" s="159">
        <f ca="1">Q$57</f>
        <v>0</v>
      </c>
      <c r="R28" s="159">
        <f ca="1">R$57</f>
        <v>0</v>
      </c>
      <c r="S28" s="159">
        <f ca="1">S$57</f>
        <v>0</v>
      </c>
    </row>
    <row r="29" spans="3:19" s="159" customFormat="1" x14ac:dyDescent="0.2">
      <c r="E29" s="208"/>
    </row>
    <row r="30" spans="3:19" s="159" customFormat="1" x14ac:dyDescent="0.2">
      <c r="C30" s="155" t="s">
        <v>229</v>
      </c>
      <c r="E30" s="208"/>
    </row>
    <row r="31" spans="3:19" s="159" customFormat="1" x14ac:dyDescent="0.2">
      <c r="E31" s="208"/>
    </row>
    <row r="32" spans="3:19" s="159" customFormat="1" x14ac:dyDescent="0.2">
      <c r="E32" s="208" t="s">
        <v>76</v>
      </c>
      <c r="G32" s="159" t="str">
        <f t="shared" ref="G32" si="11">G$57</f>
        <v>USD</v>
      </c>
      <c r="J32" s="159">
        <f ca="1" xml:space="preserve"> J26 + J28</f>
        <v>0</v>
      </c>
      <c r="K32" s="159">
        <f t="shared" ref="K32:S32" ca="1" si="12" xml:space="preserve"> K26 + K28</f>
        <v>0</v>
      </c>
      <c r="L32" s="159">
        <f t="shared" ca="1" si="12"/>
        <v>561646.17203972489</v>
      </c>
      <c r="M32" s="159">
        <f t="shared" ca="1" si="12"/>
        <v>6009005.5764516406</v>
      </c>
      <c r="N32" s="159">
        <f t="shared" ca="1" si="12"/>
        <v>960649.03708997427</v>
      </c>
      <c r="O32" s="159">
        <f t="shared" ca="1" si="12"/>
        <v>1058211.0406769549</v>
      </c>
      <c r="P32" s="159">
        <f t="shared" ca="1" si="12"/>
        <v>1126943.7174517475</v>
      </c>
      <c r="Q32" s="159">
        <f t="shared" ca="1" si="12"/>
        <v>1182270.0005122586</v>
      </c>
      <c r="R32" s="159">
        <f t="shared" ca="1" si="12"/>
        <v>1239389.8087619911</v>
      </c>
      <c r="S32" s="159">
        <f t="shared" ca="1" si="12"/>
        <v>1298354.1823676433</v>
      </c>
    </row>
    <row r="33" spans="1:19" s="159" customFormat="1" x14ac:dyDescent="0.2">
      <c r="E33" s="208" t="str">
        <f>E$248</f>
        <v>Existing Debt Repayment</v>
      </c>
      <c r="F33" s="159">
        <f t="shared" ref="F33:S33" si="13">F$248</f>
        <v>0</v>
      </c>
      <c r="G33" s="159" t="str">
        <f t="shared" si="13"/>
        <v>USD</v>
      </c>
      <c r="H33" s="159">
        <f t="shared" si="13"/>
        <v>0</v>
      </c>
      <c r="I33" s="159">
        <f t="shared" si="13"/>
        <v>0</v>
      </c>
      <c r="J33" s="159">
        <f t="shared" ca="1" si="13"/>
        <v>0</v>
      </c>
      <c r="K33" s="159">
        <f t="shared" ca="1" si="13"/>
        <v>0</v>
      </c>
      <c r="L33" s="159">
        <f t="shared" ca="1" si="13"/>
        <v>-561646.17203972489</v>
      </c>
      <c r="M33" s="159">
        <f t="shared" ca="1" si="13"/>
        <v>-6009005.5764516406</v>
      </c>
      <c r="N33" s="159">
        <f t="shared" ca="1" si="13"/>
        <v>-960649.03708997427</v>
      </c>
      <c r="O33" s="159">
        <f t="shared" ca="1" si="13"/>
        <v>-473297.37387836131</v>
      </c>
      <c r="P33" s="159">
        <f t="shared" ca="1" si="13"/>
        <v>0</v>
      </c>
      <c r="Q33" s="159">
        <f t="shared" ca="1" si="13"/>
        <v>0</v>
      </c>
      <c r="R33" s="159">
        <f t="shared" ca="1" si="13"/>
        <v>0</v>
      </c>
      <c r="S33" s="159">
        <f t="shared" ca="1" si="13"/>
        <v>0</v>
      </c>
    </row>
    <row r="34" spans="1:19" s="159" customFormat="1" ht="15" x14ac:dyDescent="0.2">
      <c r="E34" s="181" t="s">
        <v>235</v>
      </c>
      <c r="F34" s="171"/>
      <c r="G34" s="171" t="s">
        <v>133</v>
      </c>
      <c r="H34" s="171"/>
      <c r="I34" s="171"/>
      <c r="J34" s="171">
        <f ca="1">SUM(J32:J33)</f>
        <v>0</v>
      </c>
      <c r="K34" s="171">
        <f t="shared" ref="K34:S34" ca="1" si="14">SUM(K32:K33)</f>
        <v>0</v>
      </c>
      <c r="L34" s="171">
        <f t="shared" ca="1" si="14"/>
        <v>0</v>
      </c>
      <c r="M34" s="171">
        <f t="shared" ca="1" si="14"/>
        <v>0</v>
      </c>
      <c r="N34" s="171">
        <f t="shared" ca="1" si="14"/>
        <v>0</v>
      </c>
      <c r="O34" s="171">
        <f t="shared" ca="1" si="14"/>
        <v>584913.66679859359</v>
      </c>
      <c r="P34" s="171">
        <f t="shared" ca="1" si="14"/>
        <v>1126943.7174517475</v>
      </c>
      <c r="Q34" s="171">
        <f t="shared" ca="1" si="14"/>
        <v>1182270.0005122586</v>
      </c>
      <c r="R34" s="171">
        <f t="shared" ca="1" si="14"/>
        <v>1239389.8087619911</v>
      </c>
      <c r="S34" s="171">
        <f t="shared" ca="1" si="14"/>
        <v>1298354.1823676433</v>
      </c>
    </row>
    <row r="35" spans="1:19" s="159" customFormat="1" ht="15" x14ac:dyDescent="0.2">
      <c r="E35" s="205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</row>
    <row r="36" spans="1:19" s="159" customFormat="1" x14ac:dyDescent="0.2">
      <c r="E36" s="208"/>
    </row>
    <row r="37" spans="1:19" s="193" customFormat="1" ht="15" x14ac:dyDescent="0.2">
      <c r="A37" s="138" t="s">
        <v>212</v>
      </c>
      <c r="E37" s="194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</row>
    <row r="38" spans="1:19" s="159" customFormat="1" x14ac:dyDescent="0.2">
      <c r="E38" s="182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</row>
    <row r="39" spans="1:19" s="159" customFormat="1" x14ac:dyDescent="0.2">
      <c r="C39" s="155" t="s">
        <v>217</v>
      </c>
      <c r="E39" s="182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</row>
    <row r="40" spans="1:19" s="159" customFormat="1" x14ac:dyDescent="0.2">
      <c r="E40" s="182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</row>
    <row r="41" spans="1:19" x14ac:dyDescent="0.2">
      <c r="E41" s="196" t="s">
        <v>213</v>
      </c>
      <c r="F41" s="197">
        <f>CaseData!$O$19</f>
        <v>0</v>
      </c>
      <c r="G41" s="198" t="s">
        <v>133</v>
      </c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</row>
    <row r="42" spans="1:19" x14ac:dyDescent="0.2">
      <c r="E42" s="191"/>
      <c r="F42" s="161"/>
      <c r="G42" s="161"/>
      <c r="H42" s="161"/>
      <c r="I42" s="161"/>
      <c r="J42" s="154"/>
      <c r="K42" s="154"/>
      <c r="L42" s="154"/>
      <c r="M42" s="154"/>
      <c r="N42" s="154"/>
      <c r="O42" s="154"/>
      <c r="P42" s="154"/>
      <c r="Q42" s="154"/>
      <c r="R42" s="154"/>
      <c r="S42" s="154"/>
    </row>
    <row r="43" spans="1:19" x14ac:dyDescent="0.2">
      <c r="E43" s="191" t="s">
        <v>214</v>
      </c>
      <c r="F43" s="161"/>
      <c r="G43" s="161" t="s">
        <v>133</v>
      </c>
      <c r="H43" s="161"/>
      <c r="I43" s="161"/>
      <c r="J43" s="162">
        <f xml:space="preserve"> I45</f>
        <v>0</v>
      </c>
      <c r="K43" s="162">
        <f t="shared" ref="K43:S43" ca="1" si="15" xml:space="preserve"> J45</f>
        <v>0</v>
      </c>
      <c r="L43" s="162">
        <f t="shared" ca="1" si="15"/>
        <v>0</v>
      </c>
      <c r="M43" s="162">
        <f t="shared" ca="1" si="15"/>
        <v>0</v>
      </c>
      <c r="N43" s="162">
        <f t="shared" ca="1" si="15"/>
        <v>0</v>
      </c>
      <c r="O43" s="162">
        <f t="shared" ca="1" si="15"/>
        <v>0</v>
      </c>
      <c r="P43" s="162">
        <f t="shared" ca="1" si="15"/>
        <v>584913.66679859359</v>
      </c>
      <c r="Q43" s="162">
        <f t="shared" ca="1" si="15"/>
        <v>1711857.384250341</v>
      </c>
      <c r="R43" s="162">
        <f t="shared" ca="1" si="15"/>
        <v>2894127.3847625996</v>
      </c>
      <c r="S43" s="162">
        <f t="shared" ca="1" si="15"/>
        <v>4133517.1935245907</v>
      </c>
    </row>
    <row r="44" spans="1:19" x14ac:dyDescent="0.2">
      <c r="E44" s="199" t="s">
        <v>64</v>
      </c>
      <c r="F44" s="161"/>
      <c r="G44" s="161" t="s">
        <v>133</v>
      </c>
      <c r="H44" s="161"/>
      <c r="I44" s="161"/>
      <c r="J44" s="161">
        <f ca="1" xml:space="preserve"> J$34</f>
        <v>0</v>
      </c>
      <c r="K44" s="161">
        <f t="shared" ref="K44:S44" ca="1" si="16" xml:space="preserve"> K$34</f>
        <v>0</v>
      </c>
      <c r="L44" s="161">
        <f t="shared" ca="1" si="16"/>
        <v>0</v>
      </c>
      <c r="M44" s="161">
        <f t="shared" ca="1" si="16"/>
        <v>0</v>
      </c>
      <c r="N44" s="161">
        <f t="shared" ca="1" si="16"/>
        <v>0</v>
      </c>
      <c r="O44" s="161">
        <f t="shared" ca="1" si="16"/>
        <v>584913.66679859359</v>
      </c>
      <c r="P44" s="161">
        <f t="shared" ca="1" si="16"/>
        <v>1126943.7174517475</v>
      </c>
      <c r="Q44" s="161">
        <f t="shared" ca="1" si="16"/>
        <v>1182270.0005122586</v>
      </c>
      <c r="R44" s="161">
        <f t="shared" ca="1" si="16"/>
        <v>1239389.8087619911</v>
      </c>
      <c r="S44" s="161">
        <f t="shared" ca="1" si="16"/>
        <v>1298354.1823676433</v>
      </c>
    </row>
    <row r="45" spans="1:19" x14ac:dyDescent="0.2">
      <c r="E45" s="200" t="s">
        <v>215</v>
      </c>
      <c r="F45" s="173"/>
      <c r="G45" s="173" t="s">
        <v>133</v>
      </c>
      <c r="H45" s="173"/>
      <c r="I45" s="145">
        <f>F41</f>
        <v>0</v>
      </c>
      <c r="J45" s="173">
        <f t="shared" ref="J45:S45" ca="1" si="17">SUM(J43:J44)</f>
        <v>0</v>
      </c>
      <c r="K45" s="173">
        <f t="shared" ca="1" si="17"/>
        <v>0</v>
      </c>
      <c r="L45" s="173">
        <f t="shared" ca="1" si="17"/>
        <v>0</v>
      </c>
      <c r="M45" s="173">
        <f t="shared" ca="1" si="17"/>
        <v>0</v>
      </c>
      <c r="N45" s="173">
        <f t="shared" ca="1" si="17"/>
        <v>0</v>
      </c>
      <c r="O45" s="173">
        <f t="shared" ca="1" si="17"/>
        <v>584913.66679859359</v>
      </c>
      <c r="P45" s="173">
        <f t="shared" ca="1" si="17"/>
        <v>1711857.384250341</v>
      </c>
      <c r="Q45" s="173">
        <f t="shared" ca="1" si="17"/>
        <v>2894127.3847625996</v>
      </c>
      <c r="R45" s="173">
        <f t="shared" ca="1" si="17"/>
        <v>4133517.1935245907</v>
      </c>
      <c r="S45" s="173">
        <f t="shared" ca="1" si="17"/>
        <v>5431871.375892234</v>
      </c>
    </row>
    <row r="46" spans="1:19" s="159" customFormat="1" x14ac:dyDescent="0.2">
      <c r="E46" s="182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</row>
    <row r="47" spans="1:19" s="159" customFormat="1" ht="15" x14ac:dyDescent="0.2">
      <c r="D47" s="20" t="s">
        <v>216</v>
      </c>
      <c r="E47" s="182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</row>
    <row r="48" spans="1:19" s="159" customFormat="1" x14ac:dyDescent="0.2">
      <c r="E48" s="182" t="str">
        <f>CaseData!J$21</f>
        <v>Interest Rate</v>
      </c>
      <c r="F48" s="172">
        <f>CaseData!O$21</f>
        <v>1.4999999999999999E-2</v>
      </c>
      <c r="G48" s="182" t="s">
        <v>143</v>
      </c>
      <c r="H48" s="182"/>
      <c r="I48" s="182"/>
      <c r="K48" s="182"/>
      <c r="L48" s="182"/>
      <c r="M48" s="182"/>
      <c r="N48" s="182"/>
      <c r="O48" s="158"/>
      <c r="P48" s="158"/>
      <c r="Q48" s="158"/>
      <c r="R48" s="158"/>
      <c r="S48" s="158"/>
    </row>
    <row r="49" spans="3:19" s="159" customFormat="1" x14ac:dyDescent="0.2">
      <c r="E49" s="182" t="s">
        <v>216</v>
      </c>
      <c r="F49" s="158"/>
      <c r="G49" s="158" t="s">
        <v>133</v>
      </c>
      <c r="H49" s="158"/>
      <c r="I49" s="158"/>
      <c r="J49" s="158">
        <f ca="1">AVERAGE( J$43, J$45 ) * $F$48</f>
        <v>0</v>
      </c>
      <c r="K49" s="158">
        <f t="shared" ref="K49:S49" ca="1" si="18">AVERAGE( K$43, K$45 ) * $F$48</f>
        <v>0</v>
      </c>
      <c r="L49" s="158">
        <f t="shared" ca="1" si="18"/>
        <v>0</v>
      </c>
      <c r="M49" s="158">
        <f t="shared" ca="1" si="18"/>
        <v>0</v>
      </c>
      <c r="N49" s="158">
        <f t="shared" ca="1" si="18"/>
        <v>0</v>
      </c>
      <c r="O49" s="158">
        <f t="shared" ca="1" si="18"/>
        <v>4386.852500989452</v>
      </c>
      <c r="P49" s="158">
        <f t="shared" ca="1" si="18"/>
        <v>17225.782882867006</v>
      </c>
      <c r="Q49" s="158">
        <f t="shared" ca="1" si="18"/>
        <v>34544.885767597058</v>
      </c>
      <c r="R49" s="158">
        <f t="shared" ca="1" si="18"/>
        <v>52707.334337153923</v>
      </c>
      <c r="S49" s="158">
        <f t="shared" ca="1" si="18"/>
        <v>71740.414270626177</v>
      </c>
    </row>
    <row r="50" spans="3:19" s="159" customFormat="1" x14ac:dyDescent="0.2">
      <c r="E50" s="182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</row>
    <row r="51" spans="3:19" s="159" customFormat="1" x14ac:dyDescent="0.2">
      <c r="E51" s="182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</row>
    <row r="52" spans="3:19" s="159" customFormat="1" x14ac:dyDescent="0.2">
      <c r="C52" s="155" t="s">
        <v>17</v>
      </c>
      <c r="E52" s="182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</row>
    <row r="53" spans="3:19" s="159" customFormat="1" x14ac:dyDescent="0.2">
      <c r="C53" s="155"/>
      <c r="E53" s="182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</row>
    <row r="54" spans="3:19" x14ac:dyDescent="0.2">
      <c r="E54" s="196" t="s">
        <v>224</v>
      </c>
      <c r="F54" s="197">
        <f>CaseData!$Q$19</f>
        <v>0</v>
      </c>
      <c r="G54" s="198" t="s">
        <v>133</v>
      </c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</row>
    <row r="55" spans="3:19" x14ac:dyDescent="0.2">
      <c r="E55" s="191"/>
      <c r="F55" s="161"/>
      <c r="G55" s="161"/>
      <c r="H55" s="161"/>
      <c r="I55" s="161"/>
      <c r="J55" s="154"/>
      <c r="K55" s="154"/>
      <c r="L55" s="154"/>
      <c r="M55" s="154"/>
      <c r="N55" s="154"/>
      <c r="O55" s="154"/>
      <c r="P55" s="154"/>
      <c r="Q55" s="154"/>
      <c r="R55" s="154"/>
      <c r="S55" s="154"/>
    </row>
    <row r="56" spans="3:19" x14ac:dyDescent="0.2">
      <c r="E56" s="191" t="s">
        <v>225</v>
      </c>
      <c r="F56" s="161"/>
      <c r="G56" s="161" t="s">
        <v>133</v>
      </c>
      <c r="H56" s="161"/>
      <c r="I56" s="161"/>
      <c r="J56" s="162">
        <f xml:space="preserve"> I$58</f>
        <v>0</v>
      </c>
      <c r="K56" s="162">
        <f t="shared" ref="K56:S56" ca="1" si="19" xml:space="preserve"> J$58</f>
        <v>188873.23943661992</v>
      </c>
      <c r="L56" s="162">
        <f t="shared" ca="1" si="19"/>
        <v>159606.40341675724</v>
      </c>
      <c r="M56" s="162">
        <f t="shared" ca="1" si="19"/>
        <v>0</v>
      </c>
      <c r="N56" s="162">
        <f t="shared" ca="1" si="19"/>
        <v>0</v>
      </c>
      <c r="O56" s="162">
        <f t="shared" ca="1" si="19"/>
        <v>0</v>
      </c>
      <c r="P56" s="162">
        <f t="shared" ca="1" si="19"/>
        <v>0</v>
      </c>
      <c r="Q56" s="162">
        <f t="shared" ca="1" si="19"/>
        <v>0</v>
      </c>
      <c r="R56" s="162">
        <f t="shared" ca="1" si="19"/>
        <v>0</v>
      </c>
      <c r="S56" s="162">
        <f t="shared" ca="1" si="19"/>
        <v>0</v>
      </c>
    </row>
    <row r="57" spans="3:19" x14ac:dyDescent="0.2">
      <c r="E57" s="199" t="s">
        <v>226</v>
      </c>
      <c r="F57" s="161"/>
      <c r="G57" s="161" t="s">
        <v>133</v>
      </c>
      <c r="H57" s="161"/>
      <c r="I57" s="161"/>
      <c r="J57" s="161">
        <f ca="1" xml:space="preserve"> MAX( - MIN( SUM( J26, J43 ), J56 ), - J$67 )</f>
        <v>188873.23943661992</v>
      </c>
      <c r="K57" s="161">
        <f t="shared" ref="K57:S57" ca="1" si="20" xml:space="preserve"> MAX( - MIN( SUM( K26, K43 ), K56 ), - K$67 )</f>
        <v>-29266.836019862676</v>
      </c>
      <c r="L57" s="161">
        <f t="shared" ca="1" si="20"/>
        <v>-159606.40341675724</v>
      </c>
      <c r="M57" s="161">
        <f t="shared" ca="1" si="20"/>
        <v>0</v>
      </c>
      <c r="N57" s="161">
        <f t="shared" ca="1" si="20"/>
        <v>0</v>
      </c>
      <c r="O57" s="161">
        <f t="shared" ca="1" si="20"/>
        <v>0</v>
      </c>
      <c r="P57" s="161">
        <f t="shared" ca="1" si="20"/>
        <v>0</v>
      </c>
      <c r="Q57" s="161">
        <f t="shared" ca="1" si="20"/>
        <v>0</v>
      </c>
      <c r="R57" s="161">
        <f t="shared" ca="1" si="20"/>
        <v>0</v>
      </c>
      <c r="S57" s="161">
        <f t="shared" ca="1" si="20"/>
        <v>0</v>
      </c>
    </row>
    <row r="58" spans="3:19" x14ac:dyDescent="0.2">
      <c r="E58" s="200" t="s">
        <v>227</v>
      </c>
      <c r="F58" s="173"/>
      <c r="G58" s="173" t="s">
        <v>133</v>
      </c>
      <c r="H58" s="173"/>
      <c r="I58" s="145">
        <f xml:space="preserve"> F54</f>
        <v>0</v>
      </c>
      <c r="J58" s="173">
        <f t="shared" ref="J58:S58" ca="1" si="21">SUM(J56:J57)</f>
        <v>188873.23943661992</v>
      </c>
      <c r="K58" s="173">
        <f t="shared" ca="1" si="21"/>
        <v>159606.40341675724</v>
      </c>
      <c r="L58" s="173">
        <f t="shared" ca="1" si="21"/>
        <v>0</v>
      </c>
      <c r="M58" s="173">
        <f t="shared" ca="1" si="21"/>
        <v>0</v>
      </c>
      <c r="N58" s="173">
        <f t="shared" ca="1" si="21"/>
        <v>0</v>
      </c>
      <c r="O58" s="173">
        <f t="shared" ca="1" si="21"/>
        <v>0</v>
      </c>
      <c r="P58" s="173">
        <f t="shared" ca="1" si="21"/>
        <v>0</v>
      </c>
      <c r="Q58" s="173">
        <f t="shared" ca="1" si="21"/>
        <v>0</v>
      </c>
      <c r="R58" s="173">
        <f t="shared" ca="1" si="21"/>
        <v>0</v>
      </c>
      <c r="S58" s="173">
        <f t="shared" ca="1" si="21"/>
        <v>0</v>
      </c>
    </row>
    <row r="59" spans="3:19" s="159" customFormat="1" x14ac:dyDescent="0.2">
      <c r="C59" s="155"/>
      <c r="E59" s="182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</row>
    <row r="60" spans="3:19" s="159" customFormat="1" ht="15" x14ac:dyDescent="0.2">
      <c r="D60" s="20" t="s">
        <v>228</v>
      </c>
      <c r="E60" s="182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</row>
    <row r="61" spans="3:19" s="159" customFormat="1" x14ac:dyDescent="0.2">
      <c r="E61" s="182" t="str">
        <f>CaseData!J$21</f>
        <v>Interest Rate</v>
      </c>
      <c r="F61" s="172">
        <f>CaseData!$Q$21</f>
        <v>5.5E-2</v>
      </c>
      <c r="G61" s="182" t="s">
        <v>143</v>
      </c>
      <c r="H61" s="182"/>
      <c r="I61" s="182"/>
      <c r="K61" s="182"/>
      <c r="L61" s="182"/>
      <c r="M61" s="182"/>
      <c r="N61" s="182"/>
      <c r="O61" s="158"/>
      <c r="P61" s="158"/>
      <c r="Q61" s="158"/>
      <c r="R61" s="158"/>
      <c r="S61" s="158"/>
    </row>
    <row r="62" spans="3:19" s="159" customFormat="1" x14ac:dyDescent="0.2">
      <c r="E62" s="182" t="s">
        <v>228</v>
      </c>
      <c r="F62" s="158"/>
      <c r="G62" s="158" t="s">
        <v>133</v>
      </c>
      <c r="H62" s="158"/>
      <c r="I62" s="158"/>
      <c r="J62" s="158">
        <f ca="1">AVERAGE( J56,J58 ) * $F$61</f>
        <v>5194.0140845070473</v>
      </c>
      <c r="K62" s="158">
        <f t="shared" ref="K62:S62" ca="1" si="22">AVERAGE( K56,K58 ) * $F$61</f>
        <v>9583.1901784678721</v>
      </c>
      <c r="L62" s="158">
        <f t="shared" ca="1" si="22"/>
        <v>4389.1760939608239</v>
      </c>
      <c r="M62" s="158">
        <f t="shared" ca="1" si="22"/>
        <v>0</v>
      </c>
      <c r="N62" s="158">
        <f t="shared" ca="1" si="22"/>
        <v>0</v>
      </c>
      <c r="O62" s="158">
        <f t="shared" ca="1" si="22"/>
        <v>0</v>
      </c>
      <c r="P62" s="158">
        <f t="shared" ca="1" si="22"/>
        <v>0</v>
      </c>
      <c r="Q62" s="158">
        <f t="shared" ca="1" si="22"/>
        <v>0</v>
      </c>
      <c r="R62" s="158">
        <f t="shared" ca="1" si="22"/>
        <v>0</v>
      </c>
      <c r="S62" s="158">
        <f t="shared" ca="1" si="22"/>
        <v>0</v>
      </c>
    </row>
    <row r="63" spans="3:19" s="159" customFormat="1" x14ac:dyDescent="0.2">
      <c r="C63" s="155"/>
      <c r="E63" s="182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</row>
    <row r="64" spans="3:19" s="159" customFormat="1" ht="15" x14ac:dyDescent="0.2">
      <c r="C64" s="155"/>
      <c r="D64" s="20" t="s">
        <v>236</v>
      </c>
      <c r="E64" s="182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</row>
    <row r="65" spans="3:19" x14ac:dyDescent="0.2">
      <c r="E65" s="196" t="s">
        <v>237</v>
      </c>
      <c r="F65" s="197">
        <f>CaseData!$Q$20</f>
        <v>1000000</v>
      </c>
      <c r="G65" s="198" t="s">
        <v>133</v>
      </c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</row>
    <row r="66" spans="3:19" x14ac:dyDescent="0.2">
      <c r="E66" s="191"/>
      <c r="F66" s="161"/>
      <c r="G66" s="161"/>
      <c r="H66" s="161"/>
      <c r="I66" s="161"/>
      <c r="J66" s="154"/>
      <c r="K66" s="154"/>
      <c r="L66" s="154"/>
      <c r="M66" s="154"/>
      <c r="N66" s="154"/>
      <c r="O66" s="154"/>
      <c r="P66" s="154"/>
      <c r="Q66" s="154"/>
      <c r="R66" s="154"/>
      <c r="S66" s="154"/>
    </row>
    <row r="67" spans="3:19" x14ac:dyDescent="0.2">
      <c r="E67" s="191" t="s">
        <v>238</v>
      </c>
      <c r="F67" s="161"/>
      <c r="G67" s="161" t="s">
        <v>133</v>
      </c>
      <c r="H67" s="161"/>
      <c r="I67" s="161"/>
      <c r="J67" s="162">
        <f xml:space="preserve"> I$69</f>
        <v>1000000</v>
      </c>
      <c r="K67" s="162">
        <f t="shared" ref="K67:S67" ca="1" si="23" xml:space="preserve"> J$69</f>
        <v>811126.76056338008</v>
      </c>
      <c r="L67" s="162">
        <f t="shared" ca="1" si="23"/>
        <v>840393.59658324276</v>
      </c>
      <c r="M67" s="162">
        <f t="shared" ca="1" si="23"/>
        <v>1000000</v>
      </c>
      <c r="N67" s="162">
        <f t="shared" ca="1" si="23"/>
        <v>1000000</v>
      </c>
      <c r="O67" s="162">
        <f t="shared" ca="1" si="23"/>
        <v>1000000</v>
      </c>
      <c r="P67" s="162">
        <f t="shared" ca="1" si="23"/>
        <v>1000000</v>
      </c>
      <c r="Q67" s="162">
        <f t="shared" ca="1" si="23"/>
        <v>1000000</v>
      </c>
      <c r="R67" s="162">
        <f t="shared" ca="1" si="23"/>
        <v>1000000</v>
      </c>
      <c r="S67" s="162">
        <f t="shared" ca="1" si="23"/>
        <v>1000000</v>
      </c>
    </row>
    <row r="68" spans="3:19" x14ac:dyDescent="0.2">
      <c r="E68" s="199" t="s">
        <v>240</v>
      </c>
      <c r="F68" s="161"/>
      <c r="G68" s="161" t="s">
        <v>133</v>
      </c>
      <c r="H68" s="161"/>
      <c r="I68" s="161"/>
      <c r="J68" s="161">
        <f ca="1" xml:space="preserve"> - J57</f>
        <v>-188873.23943661992</v>
      </c>
      <c r="K68" s="161">
        <f t="shared" ref="K68:S68" ca="1" si="24" xml:space="preserve"> - K57</f>
        <v>29266.836019862676</v>
      </c>
      <c r="L68" s="161">
        <f t="shared" ca="1" si="24"/>
        <v>159606.40341675724</v>
      </c>
      <c r="M68" s="161">
        <f t="shared" ca="1" si="24"/>
        <v>0</v>
      </c>
      <c r="N68" s="161">
        <f t="shared" ca="1" si="24"/>
        <v>0</v>
      </c>
      <c r="O68" s="161">
        <f t="shared" ca="1" si="24"/>
        <v>0</v>
      </c>
      <c r="P68" s="161">
        <f t="shared" ca="1" si="24"/>
        <v>0</v>
      </c>
      <c r="Q68" s="161">
        <f t="shared" ca="1" si="24"/>
        <v>0</v>
      </c>
      <c r="R68" s="161">
        <f t="shared" ca="1" si="24"/>
        <v>0</v>
      </c>
      <c r="S68" s="161">
        <f t="shared" ca="1" si="24"/>
        <v>0</v>
      </c>
    </row>
    <row r="69" spans="3:19" x14ac:dyDescent="0.2">
      <c r="E69" s="200" t="s">
        <v>239</v>
      </c>
      <c r="F69" s="173"/>
      <c r="G69" s="173" t="s">
        <v>133</v>
      </c>
      <c r="H69" s="173"/>
      <c r="I69" s="173">
        <f>F65</f>
        <v>1000000</v>
      </c>
      <c r="J69" s="173">
        <f t="shared" ref="J69:S69" ca="1" si="25">SUM(J67:J68)</f>
        <v>811126.76056338008</v>
      </c>
      <c r="K69" s="173">
        <f t="shared" ca="1" si="25"/>
        <v>840393.59658324276</v>
      </c>
      <c r="L69" s="173">
        <f t="shared" ca="1" si="25"/>
        <v>1000000</v>
      </c>
      <c r="M69" s="173">
        <f t="shared" ca="1" si="25"/>
        <v>1000000</v>
      </c>
      <c r="N69" s="173">
        <f t="shared" ca="1" si="25"/>
        <v>1000000</v>
      </c>
      <c r="O69" s="173">
        <f t="shared" ca="1" si="25"/>
        <v>1000000</v>
      </c>
      <c r="P69" s="173">
        <f t="shared" ca="1" si="25"/>
        <v>1000000</v>
      </c>
      <c r="Q69" s="173">
        <f t="shared" ca="1" si="25"/>
        <v>1000000</v>
      </c>
      <c r="R69" s="173">
        <f t="shared" ca="1" si="25"/>
        <v>1000000</v>
      </c>
      <c r="S69" s="173">
        <f t="shared" ca="1" si="25"/>
        <v>1000000</v>
      </c>
    </row>
    <row r="70" spans="3:19" s="159" customFormat="1" x14ac:dyDescent="0.2">
      <c r="C70" s="155"/>
      <c r="E70" s="182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</row>
    <row r="71" spans="3:19" s="159" customFormat="1" x14ac:dyDescent="0.2">
      <c r="C71" s="155"/>
      <c r="E71" s="202" t="s">
        <v>242</v>
      </c>
      <c r="F71" s="172">
        <f>CaseData!Q$22</f>
        <v>7.4999999999999997E-3</v>
      </c>
      <c r="G71" s="162" t="s">
        <v>143</v>
      </c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</row>
    <row r="72" spans="3:19" s="159" customFormat="1" x14ac:dyDescent="0.2">
      <c r="C72" s="155"/>
      <c r="E72" s="202" t="s">
        <v>241</v>
      </c>
      <c r="F72" s="158"/>
      <c r="G72" s="162" t="s">
        <v>133</v>
      </c>
      <c r="H72" s="158"/>
      <c r="I72" s="158"/>
      <c r="J72" s="158">
        <f ca="1" xml:space="preserve"> AVERAGE( J67, J69 ) * $F$71</f>
        <v>6791.725352112675</v>
      </c>
      <c r="K72" s="158">
        <f t="shared" ref="K72:S72" ca="1" si="26" xml:space="preserve"> AVERAGE( K67, K69 ) * $F$71</f>
        <v>6193.2013392998351</v>
      </c>
      <c r="L72" s="158">
        <f t="shared" ca="1" si="26"/>
        <v>6901.4759871871602</v>
      </c>
      <c r="M72" s="158">
        <f t="shared" ca="1" si="26"/>
        <v>7500</v>
      </c>
      <c r="N72" s="158">
        <f t="shared" ca="1" si="26"/>
        <v>7500</v>
      </c>
      <c r="O72" s="158">
        <f t="shared" ca="1" si="26"/>
        <v>7500</v>
      </c>
      <c r="P72" s="158">
        <f t="shared" ca="1" si="26"/>
        <v>7500</v>
      </c>
      <c r="Q72" s="158">
        <f t="shared" ca="1" si="26"/>
        <v>7500</v>
      </c>
      <c r="R72" s="158">
        <f t="shared" ca="1" si="26"/>
        <v>7500</v>
      </c>
      <c r="S72" s="158">
        <f t="shared" ca="1" si="26"/>
        <v>7500</v>
      </c>
    </row>
    <row r="73" spans="3:19" s="159" customFormat="1" x14ac:dyDescent="0.2">
      <c r="C73" s="155"/>
      <c r="E73" s="182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</row>
    <row r="74" spans="3:19" s="159" customFormat="1" x14ac:dyDescent="0.2">
      <c r="C74" s="155"/>
      <c r="E74" s="182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</row>
    <row r="75" spans="3:19" s="159" customFormat="1" x14ac:dyDescent="0.2">
      <c r="C75" s="155" t="s">
        <v>223</v>
      </c>
      <c r="E75" s="182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</row>
    <row r="76" spans="3:19" s="159" customFormat="1" x14ac:dyDescent="0.2">
      <c r="C76" s="155"/>
      <c r="E76" s="182" t="str">
        <f>E$49</f>
        <v>Interest earned on cash balance</v>
      </c>
      <c r="F76" s="158">
        <f t="shared" ref="F76:S76" si="27">F$49</f>
        <v>0</v>
      </c>
      <c r="G76" s="158" t="str">
        <f t="shared" si="27"/>
        <v>USD</v>
      </c>
      <c r="H76" s="158">
        <f t="shared" si="27"/>
        <v>0</v>
      </c>
      <c r="I76" s="158">
        <f t="shared" si="27"/>
        <v>0</v>
      </c>
      <c r="J76" s="158">
        <f ca="1">J$49 * - 1</f>
        <v>0</v>
      </c>
      <c r="K76" s="158">
        <f t="shared" ref="K76:S76" ca="1" si="28">K$49 * - 1</f>
        <v>0</v>
      </c>
      <c r="L76" s="158">
        <f t="shared" ca="1" si="28"/>
        <v>0</v>
      </c>
      <c r="M76" s="158">
        <f t="shared" ca="1" si="28"/>
        <v>0</v>
      </c>
      <c r="N76" s="158">
        <f t="shared" ca="1" si="28"/>
        <v>0</v>
      </c>
      <c r="O76" s="158">
        <f t="shared" ca="1" si="28"/>
        <v>-4386.852500989452</v>
      </c>
      <c r="P76" s="158">
        <f t="shared" ca="1" si="28"/>
        <v>-17225.782882867006</v>
      </c>
      <c r="Q76" s="158">
        <f t="shared" ca="1" si="28"/>
        <v>-34544.885767597058</v>
      </c>
      <c r="R76" s="158">
        <f t="shared" ca="1" si="28"/>
        <v>-52707.334337153923</v>
      </c>
      <c r="S76" s="158">
        <f t="shared" ca="1" si="28"/>
        <v>-71740.414270626177</v>
      </c>
    </row>
    <row r="77" spans="3:19" s="159" customFormat="1" x14ac:dyDescent="0.2">
      <c r="C77" s="155"/>
      <c r="E77" s="209" t="str">
        <f>E$62</f>
        <v>Interest expenses on revolver</v>
      </c>
      <c r="F77" s="203">
        <f t="shared" ref="F77:S77" si="29">F$62</f>
        <v>0</v>
      </c>
      <c r="G77" s="203" t="str">
        <f t="shared" si="29"/>
        <v>USD</v>
      </c>
      <c r="H77" s="203">
        <f t="shared" si="29"/>
        <v>0</v>
      </c>
      <c r="I77" s="203">
        <f t="shared" si="29"/>
        <v>0</v>
      </c>
      <c r="J77" s="158">
        <f t="shared" ca="1" si="29"/>
        <v>5194.0140845070473</v>
      </c>
      <c r="K77" s="158">
        <f t="shared" ca="1" si="29"/>
        <v>9583.1901784678721</v>
      </c>
      <c r="L77" s="158">
        <f t="shared" ca="1" si="29"/>
        <v>4389.1760939608239</v>
      </c>
      <c r="M77" s="158">
        <f t="shared" ca="1" si="29"/>
        <v>0</v>
      </c>
      <c r="N77" s="158">
        <f t="shared" ca="1" si="29"/>
        <v>0</v>
      </c>
      <c r="O77" s="158">
        <f t="shared" ca="1" si="29"/>
        <v>0</v>
      </c>
      <c r="P77" s="158">
        <f t="shared" ca="1" si="29"/>
        <v>0</v>
      </c>
      <c r="Q77" s="158">
        <f t="shared" ca="1" si="29"/>
        <v>0</v>
      </c>
      <c r="R77" s="158">
        <f t="shared" ca="1" si="29"/>
        <v>0</v>
      </c>
      <c r="S77" s="158">
        <f t="shared" ca="1" si="29"/>
        <v>0</v>
      </c>
    </row>
    <row r="78" spans="3:19" s="159" customFormat="1" x14ac:dyDescent="0.2">
      <c r="E78" s="210" t="str">
        <f>E$72</f>
        <v>Stand-by fee on undrawn amount</v>
      </c>
      <c r="F78" s="204">
        <f t="shared" ref="F78:S78" si="30">F$72</f>
        <v>0</v>
      </c>
      <c r="G78" s="204" t="str">
        <f t="shared" si="30"/>
        <v>USD</v>
      </c>
      <c r="H78" s="204">
        <f t="shared" si="30"/>
        <v>0</v>
      </c>
      <c r="I78" s="204">
        <f t="shared" si="30"/>
        <v>0</v>
      </c>
      <c r="J78" s="204">
        <f t="shared" ca="1" si="30"/>
        <v>6791.725352112675</v>
      </c>
      <c r="K78" s="204">
        <f t="shared" ca="1" si="30"/>
        <v>6193.2013392998351</v>
      </c>
      <c r="L78" s="204">
        <f t="shared" ca="1" si="30"/>
        <v>6901.4759871871602</v>
      </c>
      <c r="M78" s="204">
        <f t="shared" ca="1" si="30"/>
        <v>7500</v>
      </c>
      <c r="N78" s="204">
        <f t="shared" ca="1" si="30"/>
        <v>7500</v>
      </c>
      <c r="O78" s="204">
        <f t="shared" ca="1" si="30"/>
        <v>7500</v>
      </c>
      <c r="P78" s="204">
        <f t="shared" ca="1" si="30"/>
        <v>7500</v>
      </c>
      <c r="Q78" s="204">
        <f t="shared" ca="1" si="30"/>
        <v>7500</v>
      </c>
      <c r="R78" s="204">
        <f t="shared" ca="1" si="30"/>
        <v>7500</v>
      </c>
      <c r="S78" s="204">
        <f t="shared" ca="1" si="30"/>
        <v>7500</v>
      </c>
    </row>
    <row r="79" spans="3:19" s="159" customFormat="1" ht="15" x14ac:dyDescent="0.2">
      <c r="E79" s="205" t="s">
        <v>243</v>
      </c>
      <c r="F79" s="206"/>
      <c r="G79" s="206" t="s">
        <v>133</v>
      </c>
      <c r="H79" s="206"/>
      <c r="I79" s="206"/>
      <c r="J79" s="206">
        <f ca="1">SUM(J76:J78)</f>
        <v>11985.739436619722</v>
      </c>
      <c r="K79" s="206">
        <f t="shared" ref="K79:S79" ca="1" si="31">SUM(K76:K78)</f>
        <v>15776.391517767708</v>
      </c>
      <c r="L79" s="206">
        <f t="shared" ca="1" si="31"/>
        <v>11290.652081147984</v>
      </c>
      <c r="M79" s="206">
        <f t="shared" ca="1" si="31"/>
        <v>7500</v>
      </c>
      <c r="N79" s="206">
        <f t="shared" ca="1" si="31"/>
        <v>7500</v>
      </c>
      <c r="O79" s="206">
        <f t="shared" ca="1" si="31"/>
        <v>3113.147499010548</v>
      </c>
      <c r="P79" s="206">
        <f t="shared" ca="1" si="31"/>
        <v>-9725.7828828670063</v>
      </c>
      <c r="Q79" s="206">
        <f t="shared" ca="1" si="31"/>
        <v>-27044.885767597058</v>
      </c>
      <c r="R79" s="206">
        <f t="shared" ca="1" si="31"/>
        <v>-45207.334337153923</v>
      </c>
      <c r="S79" s="206">
        <f t="shared" ca="1" si="31"/>
        <v>-64240.414270626177</v>
      </c>
    </row>
    <row r="80" spans="3:19" s="159" customFormat="1" ht="15" x14ac:dyDescent="0.2">
      <c r="E80" s="205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</row>
    <row r="81" spans="1:19" s="159" customFormat="1" x14ac:dyDescent="0.2">
      <c r="E81" s="182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</row>
    <row r="82" spans="1:19" s="137" customFormat="1" ht="15" x14ac:dyDescent="0.2">
      <c r="A82" s="138" t="s">
        <v>30</v>
      </c>
      <c r="E82" s="175"/>
    </row>
    <row r="85" spans="1:19" x14ac:dyDescent="0.2">
      <c r="C85" s="155" t="s">
        <v>149</v>
      </c>
    </row>
    <row r="86" spans="1:19" x14ac:dyDescent="0.2">
      <c r="E86" s="180" t="str">
        <f>CaseData!C$19</f>
        <v>Start Year</v>
      </c>
      <c r="F86" s="146">
        <f>CaseData!$G$19</f>
        <v>2025</v>
      </c>
      <c r="G86" t="s">
        <v>135</v>
      </c>
    </row>
    <row r="87" spans="1:19" x14ac:dyDescent="0.2">
      <c r="E87" s="180" t="str">
        <f>CaseData!C$20</f>
        <v>Free Cash Flow Before Debt Service</v>
      </c>
      <c r="F87" s="139">
        <f>CaseData!G$20</f>
        <v>1250000</v>
      </c>
      <c r="G87" t="s">
        <v>133</v>
      </c>
    </row>
    <row r="89" spans="1:19" x14ac:dyDescent="0.2">
      <c r="E89" s="180" t="str">
        <f>CaseData!C$21</f>
        <v>Occupancy Rate (2025 - 2025)</v>
      </c>
      <c r="F89" s="149">
        <f>CaseData!$G$21</f>
        <v>0.5</v>
      </c>
      <c r="G89" t="s">
        <v>143</v>
      </c>
      <c r="I89" s="150">
        <v>2025</v>
      </c>
    </row>
    <row r="90" spans="1:19" x14ac:dyDescent="0.2">
      <c r="E90" s="180" t="str">
        <f>CaseData!C$22</f>
        <v>Occupancy Rate in 2026 and Beyond</v>
      </c>
      <c r="F90" s="149">
        <f>CaseData!G$22</f>
        <v>1</v>
      </c>
      <c r="G90" t="s">
        <v>143</v>
      </c>
      <c r="I90" s="150">
        <v>2026</v>
      </c>
    </row>
    <row r="91" spans="1:19" x14ac:dyDescent="0.2">
      <c r="D91" s="151"/>
      <c r="E91" s="180" t="s">
        <v>144</v>
      </c>
      <c r="F91" s="149"/>
      <c r="G91" t="s">
        <v>143</v>
      </c>
      <c r="J91" s="148">
        <f xml:space="preserve"> _xlfn.XLOOKUP( J$3, $I$89:$I$90, $F$89:$F$90, 0, - 1 )</f>
        <v>0</v>
      </c>
      <c r="K91" s="148">
        <f xml:space="preserve"> _xlfn.XLOOKUP( K$3, $I$89:$I$90, $F$89:$F$90, 0, - 1 )</f>
        <v>0.5</v>
      </c>
      <c r="L91" s="148">
        <f xml:space="preserve"> _xlfn.XLOOKUP( L$3, $I$89:$I$90, $F$89:$F$90, 0, - 1 )</f>
        <v>1</v>
      </c>
      <c r="M91" s="148">
        <f xml:space="preserve"> _xlfn.XLOOKUP( M$3, $I$89:$I$90, $F$89:$F$90, 0, - 1 )</f>
        <v>1</v>
      </c>
      <c r="N91" s="148">
        <f xml:space="preserve"> _xlfn.XLOOKUP( N$3, $I$89:$I$90, $F$89:$F$90, 0, - 1 )</f>
        <v>1</v>
      </c>
      <c r="O91" s="148">
        <f xml:space="preserve"> _xlfn.XLOOKUP( O$3, $I$89:$I$90, $F$89:$F$90, 0, - 1 )</f>
        <v>1</v>
      </c>
      <c r="P91" s="148">
        <f xml:space="preserve"> _xlfn.XLOOKUP( P$3, $I$89:$I$90, $F$89:$F$90, 0, - 1 )</f>
        <v>1</v>
      </c>
      <c r="Q91" s="148">
        <f xml:space="preserve"> _xlfn.XLOOKUP( Q$3, $I$89:$I$90, $F$89:$F$90, 0, - 1 )</f>
        <v>1</v>
      </c>
      <c r="R91" s="148">
        <f xml:space="preserve"> _xlfn.XLOOKUP( R$3, $I$89:$I$90, $F$89:$F$90, 0, - 1 )</f>
        <v>1</v>
      </c>
      <c r="S91" s="148">
        <f xml:space="preserve"> _xlfn.XLOOKUP( S$3, $I$89:$I$90, $F$89:$F$90, 0, - 1 )</f>
        <v>1</v>
      </c>
    </row>
    <row r="92" spans="1:19" x14ac:dyDescent="0.2">
      <c r="D92" s="151"/>
      <c r="F92" s="149"/>
    </row>
    <row r="93" spans="1:19" x14ac:dyDescent="0.2">
      <c r="E93" s="180" t="str">
        <f>CaseData!C$23</f>
        <v>Growth Rate (2026 - 2028)</v>
      </c>
      <c r="F93" s="149">
        <f>CaseData!$G$23</f>
        <v>0.05</v>
      </c>
      <c r="G93" t="s">
        <v>143</v>
      </c>
      <c r="I93" s="150">
        <v>2026</v>
      </c>
    </row>
    <row r="94" spans="1:19" x14ac:dyDescent="0.2">
      <c r="E94" s="180" t="str">
        <f>CaseData!C$24</f>
        <v>Growth Rate 2029 and Beyond</v>
      </c>
      <c r="F94" s="149">
        <f>CaseData!$G$24</f>
        <v>2.5000000000000001E-2</v>
      </c>
      <c r="G94" t="s">
        <v>143</v>
      </c>
      <c r="I94" s="150">
        <v>2029</v>
      </c>
    </row>
    <row r="95" spans="1:19" x14ac:dyDescent="0.2">
      <c r="D95" s="152"/>
      <c r="E95" s="180" t="s">
        <v>145</v>
      </c>
      <c r="F95" s="149"/>
      <c r="G95" t="s">
        <v>146</v>
      </c>
      <c r="J95" s="153">
        <f xml:space="preserve"> _xlfn.XLOOKUP( J$3, $I$93:$I$94, $F$93:$F$94, 0, - 1 )</f>
        <v>0</v>
      </c>
      <c r="K95" s="153">
        <f xml:space="preserve"> _xlfn.XLOOKUP( K$3, $I$93:$I$94, $F$93:$F$94, 0, - 1 )</f>
        <v>0</v>
      </c>
      <c r="L95" s="153">
        <f xml:space="preserve"> _xlfn.XLOOKUP( L$3, $I$93:$I$94, $F$93:$F$94, 0, - 1 )</f>
        <v>0.05</v>
      </c>
      <c r="M95" s="153">
        <f xml:space="preserve"> _xlfn.XLOOKUP( M$3, $I$93:$I$94, $F$93:$F$94, 0, - 1 )</f>
        <v>0.05</v>
      </c>
      <c r="N95" s="153">
        <f xml:space="preserve"> _xlfn.XLOOKUP( N$3, $I$93:$I$94, $F$93:$F$94, 0, - 1 )</f>
        <v>0.05</v>
      </c>
      <c r="O95" s="153">
        <f xml:space="preserve"> _xlfn.XLOOKUP( O$3, $I$93:$I$94, $F$93:$F$94, 0, - 1 )</f>
        <v>2.5000000000000001E-2</v>
      </c>
      <c r="P95" s="153">
        <f xml:space="preserve"> _xlfn.XLOOKUP( P$3, $I$93:$I$94, $F$93:$F$94, 0, - 1 )</f>
        <v>2.5000000000000001E-2</v>
      </c>
      <c r="Q95" s="153">
        <f xml:space="preserve"> _xlfn.XLOOKUP( Q$3, $I$93:$I$94, $F$93:$F$94, 0, - 1 )</f>
        <v>2.5000000000000001E-2</v>
      </c>
      <c r="R95" s="153">
        <f xml:space="preserve"> _xlfn.XLOOKUP( R$3, $I$93:$I$94, $F$93:$F$94, 0, - 1 )</f>
        <v>2.5000000000000001E-2</v>
      </c>
      <c r="S95" s="153">
        <f xml:space="preserve"> _xlfn.XLOOKUP( S$3, $I$93:$I$94, $F$93:$F$94, 0, - 1 )</f>
        <v>2.5000000000000001E-2</v>
      </c>
    </row>
    <row r="96" spans="1:19" x14ac:dyDescent="0.2">
      <c r="D96" s="152"/>
      <c r="E96" s="180" t="s">
        <v>147</v>
      </c>
      <c r="F96" s="149"/>
      <c r="G96" t="s">
        <v>146</v>
      </c>
      <c r="J96" s="153" cm="1">
        <f t="array" ref="J96:S96" xml:space="preserve"> _xlfn.LET(
      _xlpm.rates,    $J$95:$S$95,
      _xlfn.MAKEARRAY( ROWS( 1 ), COLUMNS( _xlpm.rates ),
         _xlfn.LAMBDA(_xlpm.i,_xlpm.j, INDEX( _xlfn.SCAN( 1, INDEX( _xlpm.rates, _xlpm.i, 0 ), _xlfn.LAMBDA(_xlpm.s,_xlpm.c, _xlpm.s * ( 1 + _xlpm.c ) ) ), _xlpm.j ) ) ) )</f>
        <v>1</v>
      </c>
      <c r="K96" s="153">
        <v>1</v>
      </c>
      <c r="L96" s="153">
        <v>1.05</v>
      </c>
      <c r="M96" s="153">
        <v>1.1025</v>
      </c>
      <c r="N96" s="153">
        <v>1.1576250000000001</v>
      </c>
      <c r="O96" s="153">
        <v>1.1865656250000001</v>
      </c>
      <c r="P96" s="153">
        <v>1.2162297656250001</v>
      </c>
      <c r="Q96" s="153">
        <v>1.246635509765625</v>
      </c>
      <c r="R96" s="153">
        <v>1.2778013975097655</v>
      </c>
      <c r="S96" s="153">
        <v>1.3097464324475094</v>
      </c>
    </row>
    <row r="97" spans="3:19" x14ac:dyDescent="0.2">
      <c r="D97" s="152"/>
      <c r="F97" s="149"/>
      <c r="J97" s="153"/>
      <c r="K97" s="153"/>
      <c r="L97" s="153"/>
      <c r="M97" s="153"/>
      <c r="N97" s="153"/>
      <c r="O97" s="153"/>
      <c r="P97" s="153"/>
      <c r="Q97" s="153"/>
      <c r="R97" s="153"/>
      <c r="S97" s="153"/>
    </row>
    <row r="98" spans="3:19" x14ac:dyDescent="0.2">
      <c r="E98" s="180" t="s">
        <v>148</v>
      </c>
      <c r="G98" t="s">
        <v>133</v>
      </c>
      <c r="J98">
        <f xml:space="preserve"> IF( J$3 &gt;= $F$86, $F$87 * J$91 * J$96, 0 )</f>
        <v>0</v>
      </c>
      <c r="K98">
        <f xml:space="preserve"> IF( K$3 &gt;= $F$86, $F$87 * K$91 * K$96, 0 )</f>
        <v>625000</v>
      </c>
      <c r="L98">
        <f xml:space="preserve"> IF( L$3 &gt;= $F$86, $F$87 * L$91 * L$96, 0 )</f>
        <v>1312500</v>
      </c>
      <c r="M98">
        <f xml:space="preserve"> IF( M$3 &gt;= $F$86, $F$87 * M$91 * M$96, 0 )</f>
        <v>1378125</v>
      </c>
      <c r="N98">
        <f xml:space="preserve"> IF( N$3 &gt;= $F$86, $F$87 * N$91 * N$96, 0 )</f>
        <v>1447031.2500000002</v>
      </c>
      <c r="O98">
        <f xml:space="preserve"> IF( O$3 &gt;= $F$86, $F$87 * O$91 * O$96, 0 )</f>
        <v>1483207.03125</v>
      </c>
      <c r="P98">
        <f xml:space="preserve"> IF( P$3 &gt;= $F$86, $F$87 * P$91 * P$96, 0 )</f>
        <v>1520287.20703125</v>
      </c>
      <c r="Q98">
        <f xml:space="preserve"> IF( Q$3 &gt;= $F$86, $F$87 * Q$91 * Q$96, 0 )</f>
        <v>1558294.3872070313</v>
      </c>
      <c r="R98">
        <f xml:space="preserve"> IF( R$3 &gt;= $F$86, $F$87 * R$91 * R$96, 0 )</f>
        <v>1597251.7468872068</v>
      </c>
      <c r="S98">
        <f xml:space="preserve"> IF( S$3 &gt;= $F$86, $F$87 * S$91 * S$96, 0 )</f>
        <v>1637183.0405593868</v>
      </c>
    </row>
    <row r="100" spans="3:19" s="154" customFormat="1" x14ac:dyDescent="0.2">
      <c r="E100" s="183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</row>
    <row r="101" spans="3:19" x14ac:dyDescent="0.2">
      <c r="C101" s="155" t="s">
        <v>151</v>
      </c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</row>
    <row r="102" spans="3:19" x14ac:dyDescent="0.2">
      <c r="C102" s="155"/>
      <c r="E102" s="180" t="s">
        <v>162</v>
      </c>
      <c r="F102" s="146">
        <f>CaseData!$O$31</f>
        <v>2023</v>
      </c>
      <c r="G102" t="s">
        <v>138</v>
      </c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</row>
    <row r="103" spans="3:19" x14ac:dyDescent="0.2">
      <c r="C103" s="155"/>
      <c r="E103" s="180" t="str">
        <f>CaseData!J$32</f>
        <v>Payment / Term</v>
      </c>
      <c r="F103" s="146">
        <f>CaseData!O$32</f>
        <v>2024</v>
      </c>
      <c r="G103" t="s">
        <v>138</v>
      </c>
      <c r="H103" s="180"/>
      <c r="I103" s="180"/>
      <c r="K103" s="180"/>
      <c r="L103" s="180"/>
      <c r="M103" s="180"/>
      <c r="N103" s="157"/>
      <c r="O103" s="157"/>
      <c r="P103" s="157"/>
      <c r="Q103" s="157"/>
      <c r="R103" s="157"/>
      <c r="S103" s="157"/>
    </row>
    <row r="104" spans="3:19" x14ac:dyDescent="0.2">
      <c r="C104" s="155"/>
      <c r="E104" s="180" t="s">
        <v>153</v>
      </c>
      <c r="F104" s="139">
        <f>CaseData!$O$33</f>
        <v>7000000</v>
      </c>
      <c r="G104" t="s">
        <v>133</v>
      </c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</row>
    <row r="106" spans="3:19" x14ac:dyDescent="0.2">
      <c r="E106" s="176" t="s">
        <v>155</v>
      </c>
      <c r="F106" s="143">
        <f>CaseData!$O$34</f>
        <v>3500000</v>
      </c>
      <c r="G106" s="142" t="s">
        <v>133</v>
      </c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</row>
    <row r="107" spans="3:19" x14ac:dyDescent="0.2">
      <c r="E107" s="180" t="s">
        <v>156</v>
      </c>
      <c r="F107" s="159">
        <f xml:space="preserve"> AVERAGE( 0, $F$106 ) * $F$114</f>
        <v>105000</v>
      </c>
      <c r="G107" t="s">
        <v>133</v>
      </c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</row>
    <row r="108" spans="3:19" x14ac:dyDescent="0.2">
      <c r="E108" s="177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</row>
    <row r="109" spans="3:19" x14ac:dyDescent="0.2">
      <c r="E109" s="177" t="s">
        <v>152</v>
      </c>
      <c r="F109" s="141"/>
      <c r="G109" s="141" t="s">
        <v>133</v>
      </c>
      <c r="H109" s="141"/>
      <c r="I109" s="141"/>
      <c r="J109" s="158">
        <f xml:space="preserve"> IF( J3 &lt;= $F$103, I$111, 0 )</f>
        <v>3605000</v>
      </c>
      <c r="K109" s="158">
        <f xml:space="preserve"> IF( K3 &lt;= $F$103, J$111, 0 )</f>
        <v>0</v>
      </c>
      <c r="L109" s="158">
        <f xml:space="preserve"> IF( L3 &lt;= $F$103, K$111, 0 )</f>
        <v>0</v>
      </c>
      <c r="M109" s="158">
        <f xml:space="preserve"> IF( M3 &lt;= $F$103, L$111, 0 )</f>
        <v>0</v>
      </c>
      <c r="N109" s="158">
        <f xml:space="preserve"> IF( N3 &lt;= $F$103, M$111, 0 )</f>
        <v>0</v>
      </c>
      <c r="O109" s="158">
        <f xml:space="preserve"> IF( O3 &lt;= $F$103, N$111, 0 )</f>
        <v>0</v>
      </c>
      <c r="P109" s="158">
        <f xml:space="preserve"> IF( P3 &lt;= $F$103, O$111, 0 )</f>
        <v>0</v>
      </c>
      <c r="Q109" s="158">
        <f xml:space="preserve"> IF( Q3 &lt;= $F$103, P$111, 0 )</f>
        <v>0</v>
      </c>
      <c r="R109" s="158">
        <f xml:space="preserve"> IF( R3 &lt;= $F$103, Q$111, 0 )</f>
        <v>0</v>
      </c>
      <c r="S109" s="158">
        <f xml:space="preserve"> IF( S3 &lt;= $F$103, R$111, 0 )</f>
        <v>0</v>
      </c>
    </row>
    <row r="110" spans="3:19" x14ac:dyDescent="0.2">
      <c r="E110" s="177" t="s">
        <v>158</v>
      </c>
      <c r="F110" s="162"/>
      <c r="G110" s="162" t="s">
        <v>133</v>
      </c>
      <c r="H110" s="162"/>
      <c r="I110" s="162"/>
      <c r="J110" s="162">
        <f xml:space="preserve"> IF( J3 &lt;= $F$103, $F$104 - $F$106, 0 )</f>
        <v>3500000</v>
      </c>
      <c r="K110" s="162">
        <f xml:space="preserve"> IF( K3 &lt;= $F$103, $F$104 - $F$106, 0 )</f>
        <v>0</v>
      </c>
      <c r="L110" s="162">
        <f xml:space="preserve"> IF( L3 &lt;= $F$103, $F$104 - $F$106, 0 )</f>
        <v>0</v>
      </c>
      <c r="M110" s="162">
        <f xml:space="preserve"> IF( M3 &lt;= $F$103, $F$104 - $F$106, 0 )</f>
        <v>0</v>
      </c>
      <c r="N110" s="162">
        <f xml:space="preserve"> IF( N3 &lt;= $F$103, $F$104 - $F$106, 0 )</f>
        <v>0</v>
      </c>
      <c r="O110" s="162">
        <f xml:space="preserve"> IF( O3 &lt;= $F$103, $F$104 - $F$106, 0 )</f>
        <v>0</v>
      </c>
      <c r="P110" s="162">
        <f xml:space="preserve"> IF( P3 &lt;= $F$103, $F$104 - $F$106, 0 )</f>
        <v>0</v>
      </c>
      <c r="Q110" s="162">
        <f xml:space="preserve"> IF( Q3 &lt;= $F$103, $F$104 - $F$106, 0 )</f>
        <v>0</v>
      </c>
      <c r="R110" s="162">
        <f xml:space="preserve"> IF( R3 &lt;= $F$103, $F$104 - $F$106, 0 )</f>
        <v>0</v>
      </c>
      <c r="S110" s="162">
        <f xml:space="preserve"> IF( S3 &lt;= $F$103, $F$104 - $F$106, 0 )</f>
        <v>0</v>
      </c>
    </row>
    <row r="111" spans="3:19" x14ac:dyDescent="0.2">
      <c r="E111" s="179" t="s">
        <v>180</v>
      </c>
      <c r="F111" s="144"/>
      <c r="G111" s="144" t="s">
        <v>133</v>
      </c>
      <c r="H111" s="144"/>
      <c r="I111" s="145">
        <f xml:space="preserve"> SUM( $F$106:$F$107 )</f>
        <v>3605000</v>
      </c>
      <c r="J111" s="144">
        <f t="shared" ref="J111:S111" si="32">SUM(J109:J110)</f>
        <v>7105000</v>
      </c>
      <c r="K111" s="163">
        <f t="shared" si="32"/>
        <v>0</v>
      </c>
      <c r="L111" s="163">
        <f t="shared" si="32"/>
        <v>0</v>
      </c>
      <c r="M111" s="163">
        <f t="shared" si="32"/>
        <v>0</v>
      </c>
      <c r="N111" s="163">
        <f t="shared" si="32"/>
        <v>0</v>
      </c>
      <c r="O111" s="163">
        <f t="shared" si="32"/>
        <v>0</v>
      </c>
      <c r="P111" s="163">
        <f t="shared" si="32"/>
        <v>0</v>
      </c>
      <c r="Q111" s="163">
        <f t="shared" si="32"/>
        <v>0</v>
      </c>
      <c r="R111" s="163">
        <f t="shared" si="32"/>
        <v>0</v>
      </c>
      <c r="S111" s="163">
        <f t="shared" si="32"/>
        <v>0</v>
      </c>
    </row>
    <row r="113" spans="3:19" ht="15" x14ac:dyDescent="0.2">
      <c r="D113" s="20" t="s">
        <v>174</v>
      </c>
    </row>
    <row r="114" spans="3:19" x14ac:dyDescent="0.2">
      <c r="C114" s="155"/>
      <c r="E114" s="180" t="s">
        <v>157</v>
      </c>
      <c r="F114" s="149">
        <f>CaseData!$O$35</f>
        <v>0.06</v>
      </c>
      <c r="G114" t="s">
        <v>143</v>
      </c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</row>
    <row r="115" spans="3:19" x14ac:dyDescent="0.2">
      <c r="E115" s="180" t="s">
        <v>154</v>
      </c>
      <c r="G115" t="s">
        <v>133</v>
      </c>
      <c r="J115">
        <f xml:space="preserve"> IF( J257 = 1, AVERAGE( J109, J111 ) * $F$114, 0 )</f>
        <v>321300</v>
      </c>
      <c r="K115">
        <f xml:space="preserve"> IF( K257 = 1, AVERAGE( K109, K111 ) * $F$114, 0 )</f>
        <v>0</v>
      </c>
      <c r="L115">
        <f xml:space="preserve"> IF( L257 = 1, AVERAGE( L109, L111 ) * $F$114, 0 )</f>
        <v>0</v>
      </c>
      <c r="M115">
        <f xml:space="preserve"> IF( M257 = 1, AVERAGE( M109, M111 ) * $F$114, 0 )</f>
        <v>0</v>
      </c>
      <c r="N115">
        <f xml:space="preserve"> IF( N257 = 1, AVERAGE( N109, N111 ) * $F$114, 0 )</f>
        <v>0</v>
      </c>
      <c r="O115">
        <f xml:space="preserve"> IF( O257 = 1, AVERAGE( O109, O111 ) * $F$114, 0 )</f>
        <v>0</v>
      </c>
      <c r="P115">
        <f xml:space="preserve"> IF( P257 = 1, AVERAGE( P109, P111 ) * $F$114, 0 )</f>
        <v>0</v>
      </c>
      <c r="Q115">
        <f xml:space="preserve"> IF( Q257 = 1, AVERAGE( Q109, Q111 ) * $F$114, 0 )</f>
        <v>0</v>
      </c>
      <c r="R115">
        <f xml:space="preserve"> IF( R257 = 1, AVERAGE( R109, R111 ) * $F$114, 0 )</f>
        <v>0</v>
      </c>
      <c r="S115">
        <f xml:space="preserve"> IF( S257 = 1, AVERAGE( S109, S111 ) * $F$114, 0 )</f>
        <v>0</v>
      </c>
    </row>
    <row r="116" spans="3:19" x14ac:dyDescent="0.2">
      <c r="E116" s="189" t="s">
        <v>181</v>
      </c>
      <c r="F116" s="7"/>
      <c r="G116" s="7" t="s">
        <v>133</v>
      </c>
      <c r="H116" s="7"/>
      <c r="I116" s="7"/>
      <c r="J116" s="7">
        <f xml:space="preserve"> J111 + J115</f>
        <v>7426300</v>
      </c>
      <c r="K116" s="7">
        <f t="shared" ref="K116:S116" si="33" xml:space="preserve"> K111 + K115</f>
        <v>0</v>
      </c>
      <c r="L116" s="7">
        <f t="shared" si="33"/>
        <v>0</v>
      </c>
      <c r="M116" s="7">
        <f t="shared" si="33"/>
        <v>0</v>
      </c>
      <c r="N116" s="7">
        <f t="shared" si="33"/>
        <v>0</v>
      </c>
      <c r="O116" s="7">
        <f t="shared" si="33"/>
        <v>0</v>
      </c>
      <c r="P116" s="7">
        <f t="shared" si="33"/>
        <v>0</v>
      </c>
      <c r="Q116" s="7">
        <f t="shared" si="33"/>
        <v>0</v>
      </c>
      <c r="R116" s="7">
        <f t="shared" si="33"/>
        <v>0</v>
      </c>
      <c r="S116" s="7">
        <f t="shared" si="33"/>
        <v>0</v>
      </c>
    </row>
    <row r="118" spans="3:19" ht="15" x14ac:dyDescent="0.2">
      <c r="D118" s="20" t="s">
        <v>42</v>
      </c>
    </row>
    <row r="119" spans="3:19" x14ac:dyDescent="0.2">
      <c r="E119" s="180" t="s">
        <v>182</v>
      </c>
      <c r="G119" t="s">
        <v>133</v>
      </c>
      <c r="J119">
        <f xml:space="preserve"> IF( J3 = $F$103, - J$116, 0 )</f>
        <v>-7426300</v>
      </c>
      <c r="K119">
        <f xml:space="preserve"> IF( K3 = $F$103, - K$116, 0 )</f>
        <v>0</v>
      </c>
      <c r="L119">
        <f xml:space="preserve"> IF( L3 = $F$103, - L$116, 0 )</f>
        <v>0</v>
      </c>
      <c r="M119">
        <f xml:space="preserve"> IF( M3 = $F$103, - M$116, 0 )</f>
        <v>0</v>
      </c>
      <c r="N119">
        <f xml:space="preserve"> IF( N3 = $F$103, - N$116, 0 )</f>
        <v>0</v>
      </c>
      <c r="O119">
        <f xml:space="preserve"> IF( O3 = $F$103, - O$116, 0 )</f>
        <v>0</v>
      </c>
      <c r="P119">
        <f xml:space="preserve"> IF( P3 = $F$103, - P$116, 0 )</f>
        <v>0</v>
      </c>
      <c r="Q119">
        <f xml:space="preserve"> IF( Q3 = $F$103, - Q$116, 0 )</f>
        <v>0</v>
      </c>
      <c r="R119">
        <f xml:space="preserve"> IF( R3 = $F$103, - R$116, 0 )</f>
        <v>0</v>
      </c>
      <c r="S119">
        <f xml:space="preserve"> IF( S3 = $F$103, - S$116, 0 )</f>
        <v>0</v>
      </c>
    </row>
    <row r="120" spans="3:19" x14ac:dyDescent="0.2">
      <c r="E120" s="189" t="s">
        <v>183</v>
      </c>
      <c r="F120" s="7"/>
      <c r="G120" s="7"/>
      <c r="H120" s="7"/>
      <c r="I120" s="7"/>
      <c r="J120" s="7">
        <f xml:space="preserve"> J116 + J119</f>
        <v>0</v>
      </c>
      <c r="K120" s="7">
        <f t="shared" ref="K120:S120" si="34" xml:space="preserve"> K116 + K119</f>
        <v>0</v>
      </c>
      <c r="L120" s="7">
        <f t="shared" si="34"/>
        <v>0</v>
      </c>
      <c r="M120" s="7">
        <f t="shared" si="34"/>
        <v>0</v>
      </c>
      <c r="N120" s="7">
        <f t="shared" si="34"/>
        <v>0</v>
      </c>
      <c r="O120" s="7">
        <f t="shared" si="34"/>
        <v>0</v>
      </c>
      <c r="P120" s="7">
        <f t="shared" si="34"/>
        <v>0</v>
      </c>
      <c r="Q120" s="7">
        <f t="shared" si="34"/>
        <v>0</v>
      </c>
      <c r="R120" s="7">
        <f t="shared" si="34"/>
        <v>0</v>
      </c>
      <c r="S120" s="7">
        <f t="shared" si="34"/>
        <v>0</v>
      </c>
    </row>
    <row r="121" spans="3:19" x14ac:dyDescent="0.2">
      <c r="E121" s="177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</row>
    <row r="123" spans="3:19" x14ac:dyDescent="0.2">
      <c r="C123" s="155" t="s">
        <v>159</v>
      </c>
    </row>
    <row r="124" spans="3:19" s="140" customFormat="1" x14ac:dyDescent="0.2">
      <c r="E124" s="184" t="s">
        <v>162</v>
      </c>
      <c r="F124" s="146">
        <f>CaseData!$S$31</f>
        <v>2024</v>
      </c>
      <c r="G124" t="s">
        <v>135</v>
      </c>
    </row>
    <row r="125" spans="3:19" x14ac:dyDescent="0.2">
      <c r="E125" s="180" t="s">
        <v>160</v>
      </c>
      <c r="F125">
        <f xml:space="preserve"> - J119</f>
        <v>7426300</v>
      </c>
      <c r="G125" t="s">
        <v>133</v>
      </c>
    </row>
    <row r="126" spans="3:19" x14ac:dyDescent="0.2">
      <c r="E126" s="180" t="s">
        <v>157</v>
      </c>
      <c r="F126" s="149">
        <f>CaseData!$S$35</f>
        <v>2.5000000000000001E-2</v>
      </c>
      <c r="G126" t="s">
        <v>143</v>
      </c>
    </row>
    <row r="127" spans="3:19" x14ac:dyDescent="0.2">
      <c r="E127" s="180" t="s">
        <v>161</v>
      </c>
      <c r="F127" s="164">
        <f>CaseData!$S$32</f>
        <v>25</v>
      </c>
      <c r="G127" t="s">
        <v>137</v>
      </c>
    </row>
    <row r="129" spans="1:19" ht="15" x14ac:dyDescent="0.2">
      <c r="D129" s="20" t="s">
        <v>163</v>
      </c>
    </row>
    <row r="130" spans="1:19" x14ac:dyDescent="0.2">
      <c r="E130" s="180" t="s">
        <v>164</v>
      </c>
      <c r="G130" t="s">
        <v>133</v>
      </c>
      <c r="J130" s="154">
        <f xml:space="preserve"> IF( J3 &gt;= $F$124 + 1, PMT( $F$126, $F$127, $F$125 ) * - 1, 0 )</f>
        <v>0</v>
      </c>
      <c r="K130" s="154">
        <f xml:space="preserve"> IF( K3 &gt;= $F$124 + 1, PMT( $F$126, $F$127, $F$125 ) * - 1, 0 )</f>
        <v>403069.27246236964</v>
      </c>
      <c r="L130" s="154">
        <f xml:space="preserve"> IF( L3 &gt;= $F$124 + 1, PMT( $F$126, $F$127, $F$125 ) * - 1, 0 )</f>
        <v>403069.27246236964</v>
      </c>
      <c r="M130" s="154">
        <f xml:space="preserve"> IF( M3 &gt;= $F$124 + 1, PMT( $F$126, $F$127, $F$125 ) * - 1, 0 )</f>
        <v>403069.27246236964</v>
      </c>
      <c r="N130" s="154">
        <f xml:space="preserve"> IF( N3 &gt;= $F$124 + 1, PMT( $F$126, $F$127, $F$125 ) * - 1, 0 )</f>
        <v>403069.27246236964</v>
      </c>
      <c r="O130" s="154">
        <f xml:space="preserve"> IF( O3 &gt;= $F$124 + 1, PMT( $F$126, $F$127, $F$125 ) * - 1, 0 )</f>
        <v>403069.27246236964</v>
      </c>
      <c r="P130" s="154">
        <f xml:space="preserve"> IF( P3 &gt;= $F$124 + 1, PMT( $F$126, $F$127, $F$125 ) * - 1, 0 )</f>
        <v>403069.27246236964</v>
      </c>
      <c r="Q130" s="154">
        <f xml:space="preserve"> IF( Q3 &gt;= $F$124 + 1, PMT( $F$126, $F$127, $F$125 ) * - 1, 0 )</f>
        <v>403069.27246236964</v>
      </c>
      <c r="R130" s="154">
        <f xml:space="preserve"> IF( R3 &gt;= $F$124 + 1, PMT( $F$126, $F$127, $F$125 ) * - 1, 0 )</f>
        <v>403069.27246236964</v>
      </c>
      <c r="S130" s="154">
        <f xml:space="preserve"> IF( S3 &gt;= $F$124 + 1, PMT( $F$126, $F$127, $F$125 ) * - 1, 0 )</f>
        <v>403069.27246236964</v>
      </c>
    </row>
    <row r="131" spans="1:19" s="165" customFormat="1" ht="12.75" x14ac:dyDescent="0.2">
      <c r="E131" s="185" t="s">
        <v>169</v>
      </c>
      <c r="G131" s="165" t="s">
        <v>133</v>
      </c>
      <c r="J131" s="167">
        <f xml:space="preserve"> J$137 * $F$126</f>
        <v>0</v>
      </c>
      <c r="K131" s="167">
        <f t="shared" ref="K131:S131" si="35" xml:space="preserve"> K$137 * $F$126</f>
        <v>185657.5</v>
      </c>
      <c r="L131" s="167">
        <f t="shared" si="35"/>
        <v>180222.20568844076</v>
      </c>
      <c r="M131" s="167">
        <f t="shared" si="35"/>
        <v>174651.02901909256</v>
      </c>
      <c r="N131" s="167">
        <f t="shared" si="35"/>
        <v>168940.57293301064</v>
      </c>
      <c r="O131" s="167">
        <f t="shared" si="35"/>
        <v>163087.35544477665</v>
      </c>
      <c r="P131" s="167">
        <f t="shared" si="35"/>
        <v>157087.80751933681</v>
      </c>
      <c r="Q131" s="167">
        <f t="shared" si="35"/>
        <v>150938.270895761</v>
      </c>
      <c r="R131" s="167">
        <f t="shared" si="35"/>
        <v>144634.99585659578</v>
      </c>
      <c r="S131" s="167">
        <f t="shared" si="35"/>
        <v>138174.13894145144</v>
      </c>
    </row>
    <row r="132" spans="1:19" s="165" customFormat="1" ht="12.75" x14ac:dyDescent="0.2">
      <c r="E132" s="186" t="s">
        <v>170</v>
      </c>
      <c r="F132" s="166"/>
      <c r="G132" s="166" t="s">
        <v>133</v>
      </c>
      <c r="H132" s="166"/>
      <c r="I132" s="166"/>
      <c r="J132" s="168">
        <f xml:space="preserve"> J130 - J131</f>
        <v>0</v>
      </c>
      <c r="K132" s="168">
        <f t="shared" ref="K132:S132" si="36" xml:space="preserve"> K130 - K131</f>
        <v>217411.77246236964</v>
      </c>
      <c r="L132" s="168">
        <f t="shared" si="36"/>
        <v>222847.06677392888</v>
      </c>
      <c r="M132" s="168">
        <f t="shared" si="36"/>
        <v>228418.24344327708</v>
      </c>
      <c r="N132" s="168">
        <f t="shared" si="36"/>
        <v>234128.699529359</v>
      </c>
      <c r="O132" s="168">
        <f t="shared" si="36"/>
        <v>239981.91701759299</v>
      </c>
      <c r="P132" s="168">
        <f t="shared" si="36"/>
        <v>245981.46494303283</v>
      </c>
      <c r="Q132" s="168">
        <f t="shared" si="36"/>
        <v>252131.00156660864</v>
      </c>
      <c r="R132" s="168">
        <f t="shared" si="36"/>
        <v>258434.27660577386</v>
      </c>
      <c r="S132" s="168">
        <f t="shared" si="36"/>
        <v>264895.1335209182</v>
      </c>
    </row>
    <row r="133" spans="1:19" s="165" customFormat="1" ht="12.75" x14ac:dyDescent="0.2">
      <c r="E133" s="185" t="s">
        <v>171</v>
      </c>
      <c r="G133" s="165" t="s">
        <v>133</v>
      </c>
      <c r="J133" s="165">
        <f>J130-SUM(J131:J132)</f>
        <v>0</v>
      </c>
      <c r="K133" s="165">
        <f t="shared" ref="K133:S133" si="37">K130-SUM(K131:K132)</f>
        <v>0</v>
      </c>
      <c r="L133" s="165">
        <f t="shared" si="37"/>
        <v>0</v>
      </c>
      <c r="M133" s="165">
        <f t="shared" si="37"/>
        <v>0</v>
      </c>
      <c r="N133" s="165">
        <f t="shared" si="37"/>
        <v>0</v>
      </c>
      <c r="O133" s="165">
        <f t="shared" si="37"/>
        <v>0</v>
      </c>
      <c r="P133" s="165">
        <f t="shared" si="37"/>
        <v>0</v>
      </c>
      <c r="Q133" s="165">
        <f t="shared" si="37"/>
        <v>0</v>
      </c>
      <c r="R133" s="165">
        <f t="shared" si="37"/>
        <v>0</v>
      </c>
      <c r="S133" s="165">
        <f t="shared" si="37"/>
        <v>0</v>
      </c>
    </row>
    <row r="135" spans="1:19" x14ac:dyDescent="0.2">
      <c r="E135" s="176" t="s">
        <v>165</v>
      </c>
      <c r="F135" s="160">
        <v>0</v>
      </c>
      <c r="G135" s="142" t="s">
        <v>133</v>
      </c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</row>
    <row r="136" spans="1:19" x14ac:dyDescent="0.2">
      <c r="E136" s="177"/>
      <c r="F136" s="141"/>
      <c r="G136" s="141"/>
      <c r="H136" s="141"/>
      <c r="I136" s="141"/>
    </row>
    <row r="137" spans="1:19" x14ac:dyDescent="0.2">
      <c r="E137" s="177" t="s">
        <v>166</v>
      </c>
      <c r="F137" s="141"/>
      <c r="G137" s="141" t="s">
        <v>133</v>
      </c>
      <c r="H137" s="141"/>
      <c r="I137" s="141"/>
      <c r="J137" s="158">
        <f xml:space="preserve"> I$139</f>
        <v>0</v>
      </c>
      <c r="K137" s="158">
        <f t="shared" ref="K137:S137" si="38" xml:space="preserve"> J$139</f>
        <v>7426300</v>
      </c>
      <c r="L137" s="158">
        <f t="shared" si="38"/>
        <v>7208888.2275376301</v>
      </c>
      <c r="M137" s="158">
        <f t="shared" si="38"/>
        <v>6986041.1607637014</v>
      </c>
      <c r="N137" s="158">
        <f t="shared" si="38"/>
        <v>6757622.9173204247</v>
      </c>
      <c r="O137" s="158">
        <f t="shared" si="38"/>
        <v>6523494.2177910656</v>
      </c>
      <c r="P137" s="158">
        <f t="shared" si="38"/>
        <v>6283512.3007734725</v>
      </c>
      <c r="Q137" s="158">
        <f t="shared" si="38"/>
        <v>6037530.8358304398</v>
      </c>
      <c r="R137" s="158">
        <f t="shared" si="38"/>
        <v>5785399.8342638314</v>
      </c>
      <c r="S137" s="158">
        <f t="shared" si="38"/>
        <v>5526965.5576580577</v>
      </c>
    </row>
    <row r="138" spans="1:19" x14ac:dyDescent="0.2">
      <c r="E138" s="178" t="s">
        <v>167</v>
      </c>
      <c r="F138" s="141"/>
      <c r="G138" s="141" t="s">
        <v>133</v>
      </c>
      <c r="H138" s="141"/>
      <c r="I138" s="141"/>
      <c r="J138" s="161">
        <f xml:space="preserve"> IF( J$257 = 1, $F$125, J$132 * - 1 )</f>
        <v>7426300</v>
      </c>
      <c r="K138" s="161">
        <f xml:space="preserve"> IF( K$257 = 1, $F$125, K$132 * - 1 )</f>
        <v>-217411.77246236964</v>
      </c>
      <c r="L138" s="161">
        <f xml:space="preserve"> IF( L$257 = 1, $F$125, L$132 * - 1 )</f>
        <v>-222847.06677392888</v>
      </c>
      <c r="M138" s="161">
        <f xml:space="preserve"> IF( M$257 = 1, $F$125, M$132 * - 1 )</f>
        <v>-228418.24344327708</v>
      </c>
      <c r="N138" s="161">
        <f xml:space="preserve"> IF( N$257 = 1, $F$125, N$132 * - 1 )</f>
        <v>-234128.699529359</v>
      </c>
      <c r="O138" s="161">
        <f xml:space="preserve"> IF( O$257 = 1, $F$125, O$132 * - 1 )</f>
        <v>-239981.91701759299</v>
      </c>
      <c r="P138" s="161">
        <f xml:space="preserve"> IF( P$257 = 1, $F$125, P$132 * - 1 )</f>
        <v>-245981.46494303283</v>
      </c>
      <c r="Q138" s="161">
        <f xml:space="preserve"> IF( Q$257 = 1, $F$125, Q$132 * - 1 )</f>
        <v>-252131.00156660864</v>
      </c>
      <c r="R138" s="161">
        <f xml:space="preserve"> IF( R$257 = 1, $F$125, R$132 * - 1 )</f>
        <v>-258434.27660577386</v>
      </c>
      <c r="S138" s="161">
        <f xml:space="preserve"> IF( S$257 = 1, $F$125, S$132 * - 1 )</f>
        <v>-264895.1335209182</v>
      </c>
    </row>
    <row r="139" spans="1:19" x14ac:dyDescent="0.2">
      <c r="E139" s="179" t="s">
        <v>168</v>
      </c>
      <c r="F139" s="144"/>
      <c r="G139" s="144" t="s">
        <v>133</v>
      </c>
      <c r="H139" s="144"/>
      <c r="I139" s="145">
        <f xml:space="preserve"> $F$135</f>
        <v>0</v>
      </c>
      <c r="J139" s="144">
        <f t="shared" ref="J139:S139" si="39">SUM(J137:J138)</f>
        <v>7426300</v>
      </c>
      <c r="K139" s="144">
        <f t="shared" si="39"/>
        <v>7208888.2275376301</v>
      </c>
      <c r="L139" s="144">
        <f t="shared" si="39"/>
        <v>6986041.1607637014</v>
      </c>
      <c r="M139" s="144">
        <f t="shared" si="39"/>
        <v>6757622.9173204247</v>
      </c>
      <c r="N139" s="144">
        <f t="shared" si="39"/>
        <v>6523494.2177910656</v>
      </c>
      <c r="O139" s="144">
        <f t="shared" si="39"/>
        <v>6283512.3007734725</v>
      </c>
      <c r="P139" s="144">
        <f t="shared" si="39"/>
        <v>6037530.8358304398</v>
      </c>
      <c r="Q139" s="144">
        <f t="shared" si="39"/>
        <v>5785399.8342638314</v>
      </c>
      <c r="R139" s="144">
        <f t="shared" si="39"/>
        <v>5526965.5576580577</v>
      </c>
      <c r="S139" s="144">
        <f t="shared" si="39"/>
        <v>5262070.4241371397</v>
      </c>
    </row>
    <row r="140" spans="1:19" x14ac:dyDescent="0.2">
      <c r="E140" s="177"/>
      <c r="F140" s="141"/>
      <c r="G140" s="141"/>
      <c r="H140" s="141"/>
      <c r="I140" s="215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</row>
    <row r="142" spans="1:19" s="137" customFormat="1" ht="15" x14ac:dyDescent="0.2">
      <c r="A142" s="138" t="s">
        <v>29</v>
      </c>
      <c r="E142" s="175"/>
    </row>
    <row r="145" spans="3:19" x14ac:dyDescent="0.2">
      <c r="C145" s="155" t="s">
        <v>172</v>
      </c>
    </row>
    <row r="146" spans="3:19" x14ac:dyDescent="0.2">
      <c r="E146" s="180" t="str">
        <f>CaseData!J$31</f>
        <v>Issuance</v>
      </c>
      <c r="F146" s="146">
        <f>CaseData!Q$31</f>
        <v>2025</v>
      </c>
      <c r="G146" t="s">
        <v>135</v>
      </c>
    </row>
    <row r="147" spans="3:19" x14ac:dyDescent="0.2">
      <c r="E147" s="180" t="str">
        <f>CaseData!$J$32</f>
        <v>Payment / Term</v>
      </c>
      <c r="F147" s="146">
        <f>CaseData!$Q$32</f>
        <v>2027</v>
      </c>
      <c r="G147" t="s">
        <v>135</v>
      </c>
    </row>
    <row r="148" spans="3:19" x14ac:dyDescent="0.2">
      <c r="E148" s="180" t="s">
        <v>153</v>
      </c>
      <c r="F148" s="139">
        <f>CaseData!$Q$33</f>
        <v>12500000</v>
      </c>
      <c r="G148" t="s">
        <v>133</v>
      </c>
    </row>
    <row r="150" spans="3:19" x14ac:dyDescent="0.2">
      <c r="E150" s="176" t="s">
        <v>207</v>
      </c>
      <c r="F150" s="143">
        <f xml:space="preserve"> IF( CaseData!$Q$34 = "N/A", 0 )</f>
        <v>0</v>
      </c>
      <c r="G150" s="142" t="s">
        <v>133</v>
      </c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</row>
    <row r="151" spans="3:19" x14ac:dyDescent="0.2">
      <c r="E151" s="177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</row>
    <row r="152" spans="3:19" x14ac:dyDescent="0.2">
      <c r="E152" s="177" t="s">
        <v>206</v>
      </c>
      <c r="F152" s="141"/>
      <c r="G152" s="141" t="s">
        <v>133</v>
      </c>
      <c r="H152" s="141"/>
      <c r="I152" s="141"/>
      <c r="J152" s="158">
        <f xml:space="preserve"> IF( ( J3 &gt;= $F$146 ) * ( J3 &lt;= $F$147 ), I$159, 0 )</f>
        <v>0</v>
      </c>
      <c r="K152" s="158">
        <f xml:space="preserve"> IF( ( K3 &gt;= $F$146 ) * ( K3 &lt;= $F$147 ), J$159, 0 )</f>
        <v>0</v>
      </c>
      <c r="L152" s="158">
        <f xml:space="preserve"> IF( ( L3 &gt;= $F$146 ) * ( L3 &lt;= $F$147 ), K$159, 0 )</f>
        <v>4281250</v>
      </c>
      <c r="M152" s="158">
        <f xml:space="preserve"> IF( ( M3 &gt;= $F$146 ) * ( M3 &lt;= $F$147 ), L$159, 0 )</f>
        <v>8797968.75</v>
      </c>
      <c r="N152" s="158">
        <f xml:space="preserve"> IF( ( N3 &gt;= $F$146 ) * ( N3 &lt;= $F$147 ), M$159, 0 )</f>
        <v>0</v>
      </c>
      <c r="O152" s="158">
        <f xml:space="preserve"> IF( ( O3 &gt;= $F$146 ) * ( O3 &lt;= $F$147 ), N$159, 0 )</f>
        <v>0</v>
      </c>
      <c r="P152" s="158">
        <f xml:space="preserve"> IF( ( P3 &gt;= $F$146 ) * ( P3 &lt;= $F$147 ), O$159, 0 )</f>
        <v>0</v>
      </c>
      <c r="Q152" s="158">
        <f xml:space="preserve"> IF( ( Q3 &gt;= $F$146 ) * ( Q3 &lt;= $F$147 ), P$159, 0 )</f>
        <v>0</v>
      </c>
      <c r="R152" s="158">
        <f xml:space="preserve"> IF( ( R3 &gt;= $F$146 ) * ( R3 &lt;= $F$147 ), Q$159, 0 )</f>
        <v>0</v>
      </c>
      <c r="S152" s="158">
        <f xml:space="preserve"> IF( ( S3 &gt;= $F$146 ) * ( S3 &lt;= $F$147 ), R$159, 0 )</f>
        <v>0</v>
      </c>
    </row>
    <row r="153" spans="3:19" x14ac:dyDescent="0.2">
      <c r="E153" s="178" t="s">
        <v>205</v>
      </c>
      <c r="F153" s="141"/>
      <c r="G153" s="141" t="s">
        <v>133</v>
      </c>
      <c r="H153" s="141"/>
      <c r="I153" s="141"/>
      <c r="J153" s="162">
        <f xml:space="preserve"> IF( ( J$3 &gt;= $F$146 ) * ( J$3 &lt;= $F$147 ), $F$148 / 3, 0 )</f>
        <v>0</v>
      </c>
      <c r="K153" s="162">
        <f xml:space="preserve"> IF( ( K$3 &gt;= $F$146 ) * ( K$3 &lt;= $F$147 ), $F$148 / 3, 0 )</f>
        <v>4166666.6666666665</v>
      </c>
      <c r="L153" s="162">
        <f xml:space="preserve"> IF( ( L$3 &gt;= $F$146 ) * ( L$3 &lt;= $F$147 ), $F$148 / 3, 0 )</f>
        <v>4166666.6666666665</v>
      </c>
      <c r="M153" s="162">
        <f xml:space="preserve"> IF( ( M$3 &gt;= $F$146 ) * ( M$3 &lt;= $F$147 ), $F$148 / 3, 0 )</f>
        <v>4166666.6666666665</v>
      </c>
      <c r="N153" s="162">
        <f xml:space="preserve"> IF( ( N$3 &gt;= $F$146 ) * ( N$3 &lt;= $F$147 ), $F$148 / 3, 0 )</f>
        <v>0</v>
      </c>
      <c r="O153" s="162">
        <f xml:space="preserve"> IF( ( O$3 &gt;= $F$146 ) * ( O$3 &lt;= $F$147 ), $F$148 / 3, 0 )</f>
        <v>0</v>
      </c>
      <c r="P153" s="162">
        <f xml:space="preserve"> IF( ( P$3 &gt;= $F$146 ) * ( P$3 &lt;= $F$147 ), $F$148 / 3, 0 )</f>
        <v>0</v>
      </c>
      <c r="Q153" s="162">
        <f xml:space="preserve"> IF( ( Q$3 &gt;= $F$146 ) * ( Q$3 &lt;= $F$147 ), $F$148 / 3, 0 )</f>
        <v>0</v>
      </c>
      <c r="R153" s="162">
        <f xml:space="preserve"> IF( ( R$3 &gt;= $F$146 ) * ( R$3 &lt;= $F$147 ), $F$148 / 3, 0 )</f>
        <v>0</v>
      </c>
      <c r="S153" s="162">
        <f xml:space="preserve"> IF( ( S$3 &gt;= $F$146 ) * ( S$3 &lt;= $F$147 ), $F$148 / 3, 0 )</f>
        <v>0</v>
      </c>
    </row>
    <row r="154" spans="3:19" x14ac:dyDescent="0.2">
      <c r="E154" s="179" t="s">
        <v>208</v>
      </c>
      <c r="F154" s="144"/>
      <c r="G154" s="144" t="s">
        <v>133</v>
      </c>
      <c r="H154" s="144"/>
      <c r="I154" s="173">
        <f xml:space="preserve"> F150</f>
        <v>0</v>
      </c>
      <c r="J154" s="169">
        <f>SUM(J152:J153)</f>
        <v>0</v>
      </c>
      <c r="K154" s="169">
        <f t="shared" ref="K154:S154" si="40">SUM(K152:K153)</f>
        <v>4166666.6666666665</v>
      </c>
      <c r="L154" s="169">
        <f t="shared" si="40"/>
        <v>8447916.666666666</v>
      </c>
      <c r="M154" s="169">
        <f t="shared" si="40"/>
        <v>12964635.416666666</v>
      </c>
      <c r="N154" s="169">
        <f t="shared" si="40"/>
        <v>0</v>
      </c>
      <c r="O154" s="169">
        <f t="shared" si="40"/>
        <v>0</v>
      </c>
      <c r="P154" s="169">
        <f t="shared" si="40"/>
        <v>0</v>
      </c>
      <c r="Q154" s="169">
        <f t="shared" si="40"/>
        <v>0</v>
      </c>
      <c r="R154" s="169">
        <f t="shared" si="40"/>
        <v>0</v>
      </c>
      <c r="S154" s="169">
        <f t="shared" si="40"/>
        <v>0</v>
      </c>
    </row>
    <row r="156" spans="3:19" ht="15" x14ac:dyDescent="0.2">
      <c r="D156" s="20" t="s">
        <v>174</v>
      </c>
    </row>
    <row r="157" spans="3:19" x14ac:dyDescent="0.2">
      <c r="E157" s="180" t="str">
        <f>CaseData!J$35</f>
        <v>Interest Rate</v>
      </c>
      <c r="F157" s="149">
        <f>CaseData!$Q$35</f>
        <v>5.5E-2</v>
      </c>
      <c r="G157" t="s">
        <v>143</v>
      </c>
    </row>
    <row r="158" spans="3:19" x14ac:dyDescent="0.2">
      <c r="E158" s="187" t="s">
        <v>174</v>
      </c>
      <c r="F158" s="6"/>
      <c r="G158" s="6" t="s">
        <v>133</v>
      </c>
      <c r="H158" s="6"/>
      <c r="I158" s="6"/>
      <c r="J158" s="6">
        <f t="shared" ref="J158:S158" si="41" xml:space="preserve"> AVERAGE( J$152, J$154 ) * $F$157</f>
        <v>0</v>
      </c>
      <c r="K158" s="6">
        <f t="shared" si="41"/>
        <v>114583.33333333333</v>
      </c>
      <c r="L158" s="6">
        <f t="shared" si="41"/>
        <v>350052.08333333331</v>
      </c>
      <c r="M158" s="6">
        <f t="shared" si="41"/>
        <v>598471.61458333326</v>
      </c>
      <c r="N158" s="6">
        <f t="shared" si="41"/>
        <v>0</v>
      </c>
      <c r="O158" s="6">
        <f t="shared" si="41"/>
        <v>0</v>
      </c>
      <c r="P158" s="6">
        <f t="shared" si="41"/>
        <v>0</v>
      </c>
      <c r="Q158" s="6">
        <f t="shared" si="41"/>
        <v>0</v>
      </c>
      <c r="R158" s="6">
        <f t="shared" si="41"/>
        <v>0</v>
      </c>
      <c r="S158" s="6">
        <f t="shared" si="41"/>
        <v>0</v>
      </c>
    </row>
    <row r="159" spans="3:19" x14ac:dyDescent="0.2">
      <c r="E159" s="180" t="s">
        <v>179</v>
      </c>
      <c r="I159" s="137">
        <f>$F150</f>
        <v>0</v>
      </c>
      <c r="J159">
        <f xml:space="preserve"> J$154 + J158</f>
        <v>0</v>
      </c>
      <c r="K159">
        <f t="shared" ref="K159:S159" si="42" xml:space="preserve"> K$154 + K158</f>
        <v>4281250</v>
      </c>
      <c r="L159">
        <f t="shared" si="42"/>
        <v>8797968.75</v>
      </c>
      <c r="M159">
        <f t="shared" si="42"/>
        <v>13563107.03125</v>
      </c>
      <c r="N159">
        <f t="shared" si="42"/>
        <v>0</v>
      </c>
      <c r="O159">
        <f t="shared" si="42"/>
        <v>0</v>
      </c>
      <c r="P159">
        <f t="shared" si="42"/>
        <v>0</v>
      </c>
      <c r="Q159">
        <f t="shared" si="42"/>
        <v>0</v>
      </c>
      <c r="R159">
        <f t="shared" si="42"/>
        <v>0</v>
      </c>
      <c r="S159">
        <f t="shared" si="42"/>
        <v>0</v>
      </c>
    </row>
    <row r="161" spans="1:19" ht="15" x14ac:dyDescent="0.2">
      <c r="D161" s="20" t="s">
        <v>42</v>
      </c>
    </row>
    <row r="162" spans="1:19" x14ac:dyDescent="0.2">
      <c r="E162" s="188" t="s">
        <v>173</v>
      </c>
      <c r="F162" s="141"/>
      <c r="G162" s="161" t="s">
        <v>133</v>
      </c>
      <c r="H162" s="141"/>
      <c r="I162" s="141"/>
      <c r="J162" s="170">
        <f xml:space="preserve"> IF( J3 = $F$147, - J159, 0 )</f>
        <v>0</v>
      </c>
      <c r="K162" s="170">
        <f xml:space="preserve"> IF( K3 = $F$147, - K159, 0 )</f>
        <v>0</v>
      </c>
      <c r="L162" s="170">
        <f xml:space="preserve"> IF( L3 = $F$147, - L159, 0 )</f>
        <v>0</v>
      </c>
      <c r="M162" s="170">
        <f xml:space="preserve"> IF( M3 = $F$147, - M159, 0 )</f>
        <v>-13563107.03125</v>
      </c>
      <c r="N162" s="170">
        <f xml:space="preserve"> IF( N3 = $F$147, - N159, 0 )</f>
        <v>0</v>
      </c>
      <c r="O162" s="170">
        <f xml:space="preserve"> IF( O3 = $F$147, - O159, 0 )</f>
        <v>0</v>
      </c>
      <c r="P162" s="170">
        <f xml:space="preserve"> IF( P3 = $F$147, - P159, 0 )</f>
        <v>0</v>
      </c>
      <c r="Q162" s="170">
        <f xml:space="preserve"> IF( Q3 = $F$147, - Q159, 0 )</f>
        <v>0</v>
      </c>
      <c r="R162" s="170">
        <f xml:space="preserve"> IF( R3 = $F$147, - R159, 0 )</f>
        <v>0</v>
      </c>
      <c r="S162" s="170">
        <f xml:space="preserve"> IF( S3 = $F$147, - S159, 0 )</f>
        <v>0</v>
      </c>
    </row>
    <row r="163" spans="1:19" x14ac:dyDescent="0.2">
      <c r="E163" s="189" t="s">
        <v>184</v>
      </c>
      <c r="F163" s="7"/>
      <c r="G163" s="7" t="s">
        <v>133</v>
      </c>
      <c r="H163" s="7"/>
      <c r="I163" s="7"/>
      <c r="J163" s="7">
        <f xml:space="preserve"> J159 + J162</f>
        <v>0</v>
      </c>
      <c r="K163" s="7">
        <f t="shared" ref="K163:S163" si="43" xml:space="preserve"> K159 + K162</f>
        <v>4281250</v>
      </c>
      <c r="L163" s="7">
        <f t="shared" si="43"/>
        <v>8797968.75</v>
      </c>
      <c r="M163" s="7">
        <f t="shared" si="43"/>
        <v>0</v>
      </c>
      <c r="N163" s="7">
        <f t="shared" si="43"/>
        <v>0</v>
      </c>
      <c r="O163" s="7">
        <f t="shared" si="43"/>
        <v>0</v>
      </c>
      <c r="P163" s="7">
        <f t="shared" si="43"/>
        <v>0</v>
      </c>
      <c r="Q163" s="7">
        <f t="shared" si="43"/>
        <v>0</v>
      </c>
      <c r="R163" s="7">
        <f t="shared" si="43"/>
        <v>0</v>
      </c>
      <c r="S163" s="7">
        <f t="shared" si="43"/>
        <v>0</v>
      </c>
    </row>
    <row r="164" spans="1:19" x14ac:dyDescent="0.2">
      <c r="E164" s="177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</row>
    <row r="166" spans="1:19" s="137" customFormat="1" ht="15" x14ac:dyDescent="0.2">
      <c r="A166" s="138" t="s">
        <v>175</v>
      </c>
      <c r="E166" s="175"/>
    </row>
    <row r="167" spans="1:19" s="154" customFormat="1" ht="15" x14ac:dyDescent="0.2">
      <c r="A167" s="190"/>
      <c r="E167" s="183"/>
    </row>
    <row r="168" spans="1:19" s="154" customFormat="1" ht="15" x14ac:dyDescent="0.2">
      <c r="A168" s="190"/>
      <c r="E168" s="183"/>
    </row>
    <row r="169" spans="1:19" s="154" customFormat="1" ht="15" x14ac:dyDescent="0.2">
      <c r="A169" s="190"/>
      <c r="E169" s="212" t="s">
        <v>189</v>
      </c>
      <c r="F169" s="213"/>
      <c r="G169" s="213" t="s">
        <v>133</v>
      </c>
      <c r="H169" s="213"/>
      <c r="I169" s="213"/>
      <c r="J169" s="213">
        <f ca="1">J$32</f>
        <v>0</v>
      </c>
      <c r="K169" s="213">
        <f t="shared" ref="K169:S169" ca="1" si="44">K$32</f>
        <v>0</v>
      </c>
      <c r="L169" s="213">
        <f t="shared" ca="1" si="44"/>
        <v>561646.17203972489</v>
      </c>
      <c r="M169" s="213">
        <f t="shared" ca="1" si="44"/>
        <v>6009005.5764516406</v>
      </c>
      <c r="N169" s="213">
        <f t="shared" ca="1" si="44"/>
        <v>960649.03708997427</v>
      </c>
      <c r="O169" s="213">
        <f t="shared" ca="1" si="44"/>
        <v>1058211.0406769549</v>
      </c>
      <c r="P169" s="213">
        <f t="shared" ca="1" si="44"/>
        <v>1126943.7174517475</v>
      </c>
      <c r="Q169" s="213">
        <f t="shared" ca="1" si="44"/>
        <v>1182270.0005122586</v>
      </c>
      <c r="R169" s="213">
        <f t="shared" ca="1" si="44"/>
        <v>1239389.8087619911</v>
      </c>
      <c r="S169" s="213">
        <f t="shared" ca="1" si="44"/>
        <v>1298354.1823676433</v>
      </c>
    </row>
    <row r="171" spans="1:19" x14ac:dyDescent="0.2">
      <c r="C171" s="155" t="s">
        <v>88</v>
      </c>
    </row>
    <row r="173" spans="1:19" x14ac:dyDescent="0.2">
      <c r="E173" s="176" t="s">
        <v>176</v>
      </c>
      <c r="F173" s="143">
        <f>CaseData!$O$9</f>
        <v>2750000</v>
      </c>
      <c r="G173" s="142" t="s">
        <v>133</v>
      </c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</row>
    <row r="174" spans="1:19" x14ac:dyDescent="0.2">
      <c r="E174" s="177"/>
      <c r="F174" s="141"/>
      <c r="G174" s="141"/>
      <c r="H174" s="141"/>
      <c r="I174" s="141"/>
    </row>
    <row r="175" spans="1:19" x14ac:dyDescent="0.2">
      <c r="E175" s="177" t="s">
        <v>177</v>
      </c>
      <c r="F175" s="141"/>
      <c r="G175" s="141" t="s">
        <v>133</v>
      </c>
      <c r="H175" s="141"/>
      <c r="I175" s="141"/>
      <c r="J175" s="158">
        <f xml:space="preserve"> I182</f>
        <v>2750000</v>
      </c>
      <c r="K175" s="158">
        <f t="shared" ref="K175:S175" ca="1" si="45" xml:space="preserve"> J182</f>
        <v>3016710.3538663173</v>
      </c>
      <c r="L175" s="158">
        <f t="shared" ca="1" si="45"/>
        <v>3309287.7669542693</v>
      </c>
      <c r="M175" s="158">
        <f t="shared" ca="1" si="45"/>
        <v>3041359.0082686022</v>
      </c>
      <c r="N175" s="158">
        <f t="shared" ca="1" si="45"/>
        <v>0</v>
      </c>
      <c r="O175" s="158">
        <f t="shared" ca="1" si="45"/>
        <v>0</v>
      </c>
      <c r="P175" s="158">
        <f t="shared" ca="1" si="45"/>
        <v>0</v>
      </c>
      <c r="Q175" s="158">
        <f t="shared" ca="1" si="45"/>
        <v>0</v>
      </c>
      <c r="R175" s="158">
        <f t="shared" ca="1" si="45"/>
        <v>0</v>
      </c>
      <c r="S175" s="158">
        <f t="shared" ca="1" si="45"/>
        <v>0</v>
      </c>
    </row>
    <row r="176" spans="1:19" x14ac:dyDescent="0.2">
      <c r="E176" s="211" t="str">
        <f>E$186</f>
        <v>Accrued interest expenses</v>
      </c>
      <c r="F176" s="158"/>
      <c r="G176" s="158" t="str">
        <f>G$186</f>
        <v>USD</v>
      </c>
      <c r="H176" s="158"/>
      <c r="I176" s="158">
        <f t="shared" ref="I176:S176" si="46">I$186</f>
        <v>0</v>
      </c>
      <c r="J176" s="158">
        <f t="shared" ca="1" si="46"/>
        <v>266710.35386631719</v>
      </c>
      <c r="K176" s="158">
        <f t="shared" ca="1" si="46"/>
        <v>292577.41308795213</v>
      </c>
      <c r="L176" s="158">
        <f t="shared" ca="1" si="46"/>
        <v>293717.41335405782</v>
      </c>
      <c r="M176" s="158">
        <f t="shared" ca="1" si="46"/>
        <v>140662.85413242286</v>
      </c>
      <c r="N176" s="158">
        <f t="shared" ca="1" si="46"/>
        <v>0</v>
      </c>
      <c r="O176" s="158">
        <f t="shared" ca="1" si="46"/>
        <v>0</v>
      </c>
      <c r="P176" s="158">
        <f t="shared" ca="1" si="46"/>
        <v>0</v>
      </c>
      <c r="Q176" s="158">
        <f t="shared" ca="1" si="46"/>
        <v>0</v>
      </c>
      <c r="R176" s="158">
        <f t="shared" ca="1" si="46"/>
        <v>0</v>
      </c>
      <c r="S176" s="158">
        <f t="shared" ca="1" si="46"/>
        <v>0</v>
      </c>
    </row>
    <row r="177" spans="3:19" x14ac:dyDescent="0.2">
      <c r="E177" s="179" t="s">
        <v>186</v>
      </c>
      <c r="F177" s="144"/>
      <c r="G177" s="144" t="s">
        <v>133</v>
      </c>
      <c r="H177" s="144"/>
      <c r="I177" s="144"/>
      <c r="J177" s="144">
        <f t="shared" ref="J177:S177" ca="1" si="47">SUM(J175:J176)</f>
        <v>3016710.3538663173</v>
      </c>
      <c r="K177" s="144">
        <f t="shared" ca="1" si="47"/>
        <v>3309287.7669542693</v>
      </c>
      <c r="L177" s="144">
        <f t="shared" ca="1" si="47"/>
        <v>3603005.1803083271</v>
      </c>
      <c r="M177" s="144">
        <f t="shared" ca="1" si="47"/>
        <v>3182021.8624010249</v>
      </c>
      <c r="N177" s="144">
        <f t="shared" ca="1" si="47"/>
        <v>0</v>
      </c>
      <c r="O177" s="144">
        <f t="shared" ca="1" si="47"/>
        <v>0</v>
      </c>
      <c r="P177" s="144">
        <f t="shared" ca="1" si="47"/>
        <v>0</v>
      </c>
      <c r="Q177" s="144">
        <f t="shared" ca="1" si="47"/>
        <v>0</v>
      </c>
      <c r="R177" s="144">
        <f t="shared" ca="1" si="47"/>
        <v>0</v>
      </c>
      <c r="S177" s="144">
        <f t="shared" ca="1" si="47"/>
        <v>0</v>
      </c>
    </row>
    <row r="180" spans="3:19" ht="15" x14ac:dyDescent="0.2">
      <c r="D180" s="20" t="s">
        <v>42</v>
      </c>
    </row>
    <row r="181" spans="3:19" x14ac:dyDescent="0.2">
      <c r="E181" s="187" t="s">
        <v>190</v>
      </c>
      <c r="F181" s="6"/>
      <c r="G181" s="6" t="s">
        <v>133</v>
      </c>
      <c r="H181" s="6"/>
      <c r="I181" s="6"/>
      <c r="J181" s="6">
        <f ca="1" xml:space="preserve"> - MIN( J$169, J$177 )</f>
        <v>0</v>
      </c>
      <c r="K181" s="6">
        <f t="shared" ref="K181:S181" ca="1" si="48" xml:space="preserve"> - MIN( K$169, K$177 )</f>
        <v>0</v>
      </c>
      <c r="L181" s="6">
        <f t="shared" ca="1" si="48"/>
        <v>-561646.17203972489</v>
      </c>
      <c r="M181" s="6">
        <f t="shared" ca="1" si="48"/>
        <v>-3182021.8624010249</v>
      </c>
      <c r="N181" s="6">
        <f t="shared" ca="1" si="48"/>
        <v>0</v>
      </c>
      <c r="O181" s="6">
        <f t="shared" ca="1" si="48"/>
        <v>0</v>
      </c>
      <c r="P181" s="6">
        <f t="shared" ca="1" si="48"/>
        <v>0</v>
      </c>
      <c r="Q181" s="6">
        <f t="shared" ca="1" si="48"/>
        <v>0</v>
      </c>
      <c r="R181" s="6">
        <f t="shared" ca="1" si="48"/>
        <v>0</v>
      </c>
      <c r="S181" s="6">
        <f t="shared" ca="1" si="48"/>
        <v>0</v>
      </c>
    </row>
    <row r="182" spans="3:19" x14ac:dyDescent="0.2">
      <c r="E182" s="191" t="s">
        <v>188</v>
      </c>
      <c r="G182" s="161" t="s">
        <v>133</v>
      </c>
      <c r="I182" s="192">
        <f>F173</f>
        <v>2750000</v>
      </c>
      <c r="J182">
        <f ca="1">SUM( J177:J181)</f>
        <v>3016710.3538663173</v>
      </c>
      <c r="K182">
        <f t="shared" ref="K182:S182" ca="1" si="49">SUM( K177:K181)</f>
        <v>3309287.7669542693</v>
      </c>
      <c r="L182">
        <f t="shared" ca="1" si="49"/>
        <v>3041359.0082686022</v>
      </c>
      <c r="M182">
        <f t="shared" ca="1" si="49"/>
        <v>0</v>
      </c>
      <c r="N182">
        <f t="shared" ca="1" si="49"/>
        <v>0</v>
      </c>
      <c r="O182">
        <f t="shared" ca="1" si="49"/>
        <v>0</v>
      </c>
      <c r="P182">
        <f t="shared" ca="1" si="49"/>
        <v>0</v>
      </c>
      <c r="Q182">
        <f t="shared" ca="1" si="49"/>
        <v>0</v>
      </c>
      <c r="R182">
        <f t="shared" ca="1" si="49"/>
        <v>0</v>
      </c>
      <c r="S182">
        <f t="shared" ca="1" si="49"/>
        <v>0</v>
      </c>
    </row>
    <row r="184" spans="3:19" ht="15" x14ac:dyDescent="0.2">
      <c r="D184" s="20" t="s">
        <v>174</v>
      </c>
    </row>
    <row r="185" spans="3:19" x14ac:dyDescent="0.2">
      <c r="E185" s="177" t="s">
        <v>8</v>
      </c>
      <c r="F185" s="172">
        <f>CaseData!$O$10</f>
        <v>9.2499999999999999E-2</v>
      </c>
      <c r="G185" s="141" t="s">
        <v>143</v>
      </c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</row>
    <row r="186" spans="3:19" x14ac:dyDescent="0.2">
      <c r="E186" s="187" t="s">
        <v>174</v>
      </c>
      <c r="F186" s="6"/>
      <c r="G186" s="6" t="s">
        <v>133</v>
      </c>
      <c r="H186" s="6"/>
      <c r="I186" s="6"/>
      <c r="J186" s="6">
        <f ca="1" xml:space="preserve"> AVERAGE( J$175, J$182 ) * $F$185</f>
        <v>266710.35386631719</v>
      </c>
      <c r="K186" s="6">
        <f t="shared" ref="K186:S186" ca="1" si="50" xml:space="preserve"> AVERAGE( K$175, K$182 ) * $F$185</f>
        <v>292577.41308795213</v>
      </c>
      <c r="L186" s="6">
        <f t="shared" ca="1" si="50"/>
        <v>293717.41335405782</v>
      </c>
      <c r="M186" s="6">
        <f t="shared" ca="1" si="50"/>
        <v>140662.85413242286</v>
      </c>
      <c r="N186" s="6">
        <f t="shared" ca="1" si="50"/>
        <v>0</v>
      </c>
      <c r="O186" s="6">
        <f t="shared" ca="1" si="50"/>
        <v>0</v>
      </c>
      <c r="P186" s="6">
        <f t="shared" ca="1" si="50"/>
        <v>0</v>
      </c>
      <c r="Q186" s="6">
        <f t="shared" ca="1" si="50"/>
        <v>0</v>
      </c>
      <c r="R186" s="6">
        <f t="shared" ca="1" si="50"/>
        <v>0</v>
      </c>
      <c r="S186" s="6">
        <f t="shared" ca="1" si="50"/>
        <v>0</v>
      </c>
    </row>
    <row r="187" spans="3:19" x14ac:dyDescent="0.2">
      <c r="E187" s="180" t="s">
        <v>187</v>
      </c>
      <c r="G187" t="s">
        <v>133</v>
      </c>
    </row>
    <row r="190" spans="3:19" ht="15" x14ac:dyDescent="0.2">
      <c r="E190" s="212" t="s">
        <v>196</v>
      </c>
      <c r="F190" s="214"/>
      <c r="G190" s="214" t="s">
        <v>133</v>
      </c>
      <c r="H190" s="214"/>
      <c r="I190" s="214"/>
      <c r="J190" s="213">
        <f ca="1" xml:space="preserve"> SUM( J169,J181)</f>
        <v>0</v>
      </c>
      <c r="K190" s="213">
        <f t="shared" ref="K190:S190" ca="1" si="51" xml:space="preserve"> SUM( K169,K181)</f>
        <v>0</v>
      </c>
      <c r="L190" s="213">
        <f t="shared" ca="1" si="51"/>
        <v>0</v>
      </c>
      <c r="M190" s="213">
        <f t="shared" ca="1" si="51"/>
        <v>2826983.7140506157</v>
      </c>
      <c r="N190" s="213">
        <f t="shared" ca="1" si="51"/>
        <v>960649.03708997427</v>
      </c>
      <c r="O190" s="213">
        <f t="shared" ca="1" si="51"/>
        <v>1058211.0406769549</v>
      </c>
      <c r="P190" s="213">
        <f t="shared" ca="1" si="51"/>
        <v>1126943.7174517475</v>
      </c>
      <c r="Q190" s="213">
        <f t="shared" ca="1" si="51"/>
        <v>1182270.0005122586</v>
      </c>
      <c r="R190" s="213">
        <f t="shared" ca="1" si="51"/>
        <v>1239389.8087619911</v>
      </c>
      <c r="S190" s="213">
        <f t="shared" ca="1" si="51"/>
        <v>1298354.1823676433</v>
      </c>
    </row>
    <row r="192" spans="3:19" x14ac:dyDescent="0.2">
      <c r="C192" s="155" t="s">
        <v>89</v>
      </c>
    </row>
    <row r="194" spans="4:19" x14ac:dyDescent="0.2">
      <c r="E194" s="176" t="s">
        <v>191</v>
      </c>
      <c r="F194" s="143">
        <f>CaseData!Q$9</f>
        <v>1500000</v>
      </c>
      <c r="G194" s="142" t="s">
        <v>133</v>
      </c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</row>
    <row r="195" spans="4:19" x14ac:dyDescent="0.2">
      <c r="E195" s="177"/>
      <c r="F195" s="141"/>
      <c r="G195" s="141"/>
      <c r="H195" s="141"/>
      <c r="I195" s="141"/>
    </row>
    <row r="196" spans="4:19" x14ac:dyDescent="0.2">
      <c r="E196" s="177" t="s">
        <v>192</v>
      </c>
      <c r="F196" s="141"/>
      <c r="G196" s="141" t="s">
        <v>133</v>
      </c>
      <c r="H196" s="141"/>
      <c r="I196" s="141"/>
      <c r="J196" s="158">
        <f xml:space="preserve"> I203</f>
        <v>1500000</v>
      </c>
      <c r="K196" s="158">
        <f t="shared" ref="K196:S196" ca="1" si="52" xml:space="preserve"> J203</f>
        <v>1637254.9019607843</v>
      </c>
      <c r="L196" s="158">
        <f t="shared" ca="1" si="52"/>
        <v>1787069.0759964117</v>
      </c>
      <c r="M196" s="158">
        <f t="shared" ca="1" si="52"/>
        <v>1950591.7365451029</v>
      </c>
      <c r="N196" s="158">
        <f t="shared" ca="1" si="52"/>
        <v>0</v>
      </c>
      <c r="O196" s="158">
        <f t="shared" ca="1" si="52"/>
        <v>0</v>
      </c>
      <c r="P196" s="158">
        <f t="shared" ca="1" si="52"/>
        <v>0</v>
      </c>
      <c r="Q196" s="158">
        <f t="shared" ca="1" si="52"/>
        <v>0</v>
      </c>
      <c r="R196" s="158">
        <f t="shared" ca="1" si="52"/>
        <v>0</v>
      </c>
      <c r="S196" s="158">
        <f t="shared" ca="1" si="52"/>
        <v>0</v>
      </c>
    </row>
    <row r="197" spans="4:19" x14ac:dyDescent="0.2">
      <c r="E197" s="211" t="str">
        <f>E$186</f>
        <v>Accrued interest expenses</v>
      </c>
      <c r="F197" s="158"/>
      <c r="G197" s="158" t="str">
        <f>G$186</f>
        <v>USD</v>
      </c>
      <c r="H197" s="158"/>
      <c r="I197" s="158">
        <f>I$186</f>
        <v>0</v>
      </c>
      <c r="J197" s="158">
        <f ca="1">J$207</f>
        <v>137254.90196078431</v>
      </c>
      <c r="K197" s="158">
        <f t="shared" ref="K197:S197" ca="1" si="53">K$207</f>
        <v>149814.17403562731</v>
      </c>
      <c r="L197" s="158">
        <f t="shared" ca="1" si="53"/>
        <v>163522.66054869126</v>
      </c>
      <c r="M197" s="158">
        <f t="shared" ca="1" si="53"/>
        <v>85338.388473848245</v>
      </c>
      <c r="N197" s="158">
        <f t="shared" ca="1" si="53"/>
        <v>0</v>
      </c>
      <c r="O197" s="158">
        <f t="shared" ca="1" si="53"/>
        <v>0</v>
      </c>
      <c r="P197" s="158">
        <f t="shared" ca="1" si="53"/>
        <v>0</v>
      </c>
      <c r="Q197" s="158">
        <f t="shared" ca="1" si="53"/>
        <v>0</v>
      </c>
      <c r="R197" s="158">
        <f t="shared" ca="1" si="53"/>
        <v>0</v>
      </c>
      <c r="S197" s="158">
        <f t="shared" ca="1" si="53"/>
        <v>0</v>
      </c>
    </row>
    <row r="198" spans="4:19" x14ac:dyDescent="0.2">
      <c r="E198" s="179" t="s">
        <v>193</v>
      </c>
      <c r="F198" s="144"/>
      <c r="G198" s="144" t="s">
        <v>133</v>
      </c>
      <c r="H198" s="144"/>
      <c r="I198" s="144"/>
      <c r="J198" s="144">
        <f t="shared" ref="J198:S198" ca="1" si="54">SUM(J196:J197)</f>
        <v>1637254.9019607843</v>
      </c>
      <c r="K198" s="144">
        <f t="shared" ca="1" si="54"/>
        <v>1787069.0759964117</v>
      </c>
      <c r="L198" s="144">
        <f t="shared" ca="1" si="54"/>
        <v>1950591.7365451029</v>
      </c>
      <c r="M198" s="144">
        <f t="shared" ca="1" si="54"/>
        <v>2035930.1250189513</v>
      </c>
      <c r="N198" s="144">
        <f t="shared" ca="1" si="54"/>
        <v>0</v>
      </c>
      <c r="O198" s="144">
        <f t="shared" ca="1" si="54"/>
        <v>0</v>
      </c>
      <c r="P198" s="144">
        <f t="shared" ca="1" si="54"/>
        <v>0</v>
      </c>
      <c r="Q198" s="144">
        <f t="shared" ca="1" si="54"/>
        <v>0</v>
      </c>
      <c r="R198" s="144">
        <f t="shared" ca="1" si="54"/>
        <v>0</v>
      </c>
      <c r="S198" s="144">
        <f t="shared" ca="1" si="54"/>
        <v>0</v>
      </c>
    </row>
    <row r="201" spans="4:19" ht="15" x14ac:dyDescent="0.2">
      <c r="D201" s="20" t="s">
        <v>42</v>
      </c>
    </row>
    <row r="202" spans="4:19" x14ac:dyDescent="0.2">
      <c r="E202" s="187" t="s">
        <v>194</v>
      </c>
      <c r="F202" s="6"/>
      <c r="G202" s="6" t="s">
        <v>133</v>
      </c>
      <c r="H202" s="6"/>
      <c r="I202" s="6"/>
      <c r="J202" s="6">
        <f ca="1" xml:space="preserve"> - MIN( J$190, J$198 )</f>
        <v>0</v>
      </c>
      <c r="K202" s="6">
        <f t="shared" ref="K202:S202" ca="1" si="55" xml:space="preserve"> - MIN( K$190, K$198 )</f>
        <v>0</v>
      </c>
      <c r="L202" s="6">
        <f t="shared" ca="1" si="55"/>
        <v>0</v>
      </c>
      <c r="M202" s="6">
        <f t="shared" ca="1" si="55"/>
        <v>-2035930.1250189513</v>
      </c>
      <c r="N202" s="6">
        <f t="shared" ca="1" si="55"/>
        <v>0</v>
      </c>
      <c r="O202" s="6">
        <f t="shared" ca="1" si="55"/>
        <v>0</v>
      </c>
      <c r="P202" s="6">
        <f t="shared" ca="1" si="55"/>
        <v>0</v>
      </c>
      <c r="Q202" s="6">
        <f t="shared" ca="1" si="55"/>
        <v>0</v>
      </c>
      <c r="R202" s="6">
        <f t="shared" ca="1" si="55"/>
        <v>0</v>
      </c>
      <c r="S202" s="6">
        <f t="shared" ca="1" si="55"/>
        <v>0</v>
      </c>
    </row>
    <row r="203" spans="4:19" x14ac:dyDescent="0.2">
      <c r="E203" s="191" t="s">
        <v>195</v>
      </c>
      <c r="G203" s="161" t="s">
        <v>133</v>
      </c>
      <c r="I203" s="192">
        <f>F194</f>
        <v>1500000</v>
      </c>
      <c r="J203">
        <f ca="1">SUM( J198:J202)</f>
        <v>1637254.9019607843</v>
      </c>
      <c r="K203">
        <f t="shared" ref="K203" ca="1" si="56">SUM( K198:K202)</f>
        <v>1787069.0759964117</v>
      </c>
      <c r="L203">
        <f t="shared" ref="L203" ca="1" si="57">SUM( L198:L202)</f>
        <v>1950591.7365451029</v>
      </c>
      <c r="M203">
        <f t="shared" ref="M203" ca="1" si="58">SUM( M198:M202)</f>
        <v>0</v>
      </c>
      <c r="N203">
        <f t="shared" ref="N203" ca="1" si="59">SUM( N198:N202)</f>
        <v>0</v>
      </c>
      <c r="O203">
        <f t="shared" ref="O203" ca="1" si="60">SUM( O198:O202)</f>
        <v>0</v>
      </c>
      <c r="P203">
        <f t="shared" ref="P203" ca="1" si="61">SUM( P198:P202)</f>
        <v>0</v>
      </c>
      <c r="Q203">
        <f t="shared" ref="Q203" ca="1" si="62">SUM( Q198:Q202)</f>
        <v>0</v>
      </c>
      <c r="R203">
        <f t="shared" ref="R203" ca="1" si="63">SUM( R198:R202)</f>
        <v>0</v>
      </c>
      <c r="S203">
        <f t="shared" ref="S203" ca="1" si="64">SUM( S198:S202)</f>
        <v>0</v>
      </c>
    </row>
    <row r="205" spans="4:19" ht="15" x14ac:dyDescent="0.2">
      <c r="D205" s="20" t="s">
        <v>174</v>
      </c>
    </row>
    <row r="206" spans="4:19" x14ac:dyDescent="0.2">
      <c r="E206" s="177" t="s">
        <v>8</v>
      </c>
      <c r="F206" s="172">
        <f>CaseData!Q$10</f>
        <v>8.7499999999999994E-2</v>
      </c>
      <c r="G206" s="141" t="s">
        <v>143</v>
      </c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</row>
    <row r="207" spans="4:19" x14ac:dyDescent="0.2">
      <c r="E207" s="179" t="s">
        <v>174</v>
      </c>
      <c r="F207" s="144"/>
      <c r="G207" s="144" t="s">
        <v>133</v>
      </c>
      <c r="H207" s="144"/>
      <c r="I207" s="144"/>
      <c r="J207" s="144">
        <f ca="1" xml:space="preserve"> AVERAGE( J$196, J$203 ) * $F$206</f>
        <v>137254.90196078431</v>
      </c>
      <c r="K207" s="144">
        <f t="shared" ref="K207:S207" ca="1" si="65" xml:space="preserve"> AVERAGE( K$196, K$203 ) * $F$206</f>
        <v>149814.17403562731</v>
      </c>
      <c r="L207" s="144">
        <f t="shared" ca="1" si="65"/>
        <v>163522.66054869126</v>
      </c>
      <c r="M207" s="144">
        <f t="shared" ca="1" si="65"/>
        <v>85338.388473848245</v>
      </c>
      <c r="N207" s="144">
        <f t="shared" ca="1" si="65"/>
        <v>0</v>
      </c>
      <c r="O207" s="144">
        <f t="shared" ca="1" si="65"/>
        <v>0</v>
      </c>
      <c r="P207" s="144">
        <f t="shared" ca="1" si="65"/>
        <v>0</v>
      </c>
      <c r="Q207" s="144">
        <f t="shared" ca="1" si="65"/>
        <v>0</v>
      </c>
      <c r="R207" s="144">
        <f t="shared" ca="1" si="65"/>
        <v>0</v>
      </c>
      <c r="S207" s="144">
        <f t="shared" ca="1" si="65"/>
        <v>0</v>
      </c>
    </row>
    <row r="210" spans="3:19" ht="15" x14ac:dyDescent="0.2">
      <c r="E210" s="212" t="s">
        <v>197</v>
      </c>
      <c r="F210" s="214"/>
      <c r="G210" s="214" t="s">
        <v>133</v>
      </c>
      <c r="H210" s="214"/>
      <c r="I210" s="214"/>
      <c r="J210" s="213">
        <f ca="1">SUM( J190, J202)</f>
        <v>0</v>
      </c>
      <c r="K210" s="213">
        <f t="shared" ref="K210:S210" ca="1" si="66">SUM( K190, K202)</f>
        <v>0</v>
      </c>
      <c r="L210" s="213">
        <f t="shared" ca="1" si="66"/>
        <v>0</v>
      </c>
      <c r="M210" s="213">
        <f t="shared" ca="1" si="66"/>
        <v>791053.58903166442</v>
      </c>
      <c r="N210" s="213">
        <f t="shared" ca="1" si="66"/>
        <v>960649.03708997427</v>
      </c>
      <c r="O210" s="213">
        <f t="shared" ca="1" si="66"/>
        <v>1058211.0406769549</v>
      </c>
      <c r="P210" s="213">
        <f t="shared" ca="1" si="66"/>
        <v>1126943.7174517475</v>
      </c>
      <c r="Q210" s="213">
        <f t="shared" ca="1" si="66"/>
        <v>1182270.0005122586</v>
      </c>
      <c r="R210" s="213">
        <f t="shared" ca="1" si="66"/>
        <v>1239389.8087619911</v>
      </c>
      <c r="S210" s="213">
        <f t="shared" ca="1" si="66"/>
        <v>1298354.1823676433</v>
      </c>
    </row>
    <row r="212" spans="3:19" x14ac:dyDescent="0.2">
      <c r="C212" s="155" t="s">
        <v>90</v>
      </c>
    </row>
    <row r="214" spans="3:19" x14ac:dyDescent="0.2">
      <c r="E214" s="176" t="s">
        <v>198</v>
      </c>
      <c r="F214" s="143">
        <f>CaseData!S$9</f>
        <v>2225000</v>
      </c>
      <c r="G214" s="142" t="s">
        <v>133</v>
      </c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</row>
    <row r="215" spans="3:19" x14ac:dyDescent="0.2">
      <c r="E215" s="177"/>
      <c r="F215" s="141"/>
      <c r="G215" s="141"/>
      <c r="H215" s="141"/>
      <c r="I215" s="141"/>
    </row>
    <row r="216" spans="3:19" x14ac:dyDescent="0.2">
      <c r="E216" s="177" t="s">
        <v>199</v>
      </c>
      <c r="F216" s="141"/>
      <c r="G216" s="141" t="s">
        <v>133</v>
      </c>
      <c r="H216" s="141"/>
      <c r="I216" s="141"/>
      <c r="J216" s="158">
        <f xml:space="preserve"> I223</f>
        <v>2225000</v>
      </c>
      <c r="K216" s="158">
        <f t="shared" ref="K216:S216" ca="1" si="67" xml:space="preserve"> J223</f>
        <v>2225000</v>
      </c>
      <c r="L216" s="158">
        <f t="shared" ca="1" si="67"/>
        <v>2225000</v>
      </c>
      <c r="M216" s="158">
        <f t="shared" ca="1" si="67"/>
        <v>2225000</v>
      </c>
      <c r="N216" s="158">
        <f t="shared" ca="1" si="67"/>
        <v>1433946.4109683356</v>
      </c>
      <c r="O216" s="158">
        <f t="shared" ca="1" si="67"/>
        <v>473297.37387836131</v>
      </c>
      <c r="P216" s="158">
        <f t="shared" ca="1" si="67"/>
        <v>0</v>
      </c>
      <c r="Q216" s="158">
        <f t="shared" ca="1" si="67"/>
        <v>0</v>
      </c>
      <c r="R216" s="158">
        <f t="shared" ca="1" si="67"/>
        <v>0</v>
      </c>
      <c r="S216" s="158">
        <f t="shared" ca="1" si="67"/>
        <v>0</v>
      </c>
    </row>
    <row r="217" spans="3:19" x14ac:dyDescent="0.2">
      <c r="E217" s="211" t="str">
        <f>E$186</f>
        <v>Accrued interest expenses</v>
      </c>
      <c r="F217" s="158"/>
      <c r="G217" s="158" t="str">
        <f>G$186</f>
        <v>USD</v>
      </c>
      <c r="H217" s="158"/>
      <c r="I217" s="158">
        <f>I$186</f>
        <v>0</v>
      </c>
      <c r="J217" s="158">
        <f xml:space="preserve"> I217</f>
        <v>0</v>
      </c>
      <c r="K217" s="158">
        <f t="shared" ref="K217:S217" si="68" xml:space="preserve"> J217</f>
        <v>0</v>
      </c>
      <c r="L217" s="158">
        <f t="shared" si="68"/>
        <v>0</v>
      </c>
      <c r="M217" s="158">
        <f t="shared" si="68"/>
        <v>0</v>
      </c>
      <c r="N217" s="158">
        <f t="shared" si="68"/>
        <v>0</v>
      </c>
      <c r="O217" s="158">
        <f t="shared" si="68"/>
        <v>0</v>
      </c>
      <c r="P217" s="158">
        <f t="shared" si="68"/>
        <v>0</v>
      </c>
      <c r="Q217" s="158">
        <f t="shared" si="68"/>
        <v>0</v>
      </c>
      <c r="R217" s="158">
        <f t="shared" si="68"/>
        <v>0</v>
      </c>
      <c r="S217" s="158">
        <f t="shared" si="68"/>
        <v>0</v>
      </c>
    </row>
    <row r="218" spans="3:19" x14ac:dyDescent="0.2">
      <c r="E218" s="179" t="s">
        <v>200</v>
      </c>
      <c r="F218" s="144"/>
      <c r="G218" s="144" t="s">
        <v>133</v>
      </c>
      <c r="H218" s="144"/>
      <c r="I218" s="144"/>
      <c r="J218" s="144">
        <f t="shared" ref="J218:S218" si="69">SUM(J216:J217)</f>
        <v>2225000</v>
      </c>
      <c r="K218" s="144">
        <f t="shared" ca="1" si="69"/>
        <v>2225000</v>
      </c>
      <c r="L218" s="144">
        <f t="shared" ca="1" si="69"/>
        <v>2225000</v>
      </c>
      <c r="M218" s="144">
        <f t="shared" ca="1" si="69"/>
        <v>2225000</v>
      </c>
      <c r="N218" s="144">
        <f t="shared" ca="1" si="69"/>
        <v>1433946.4109683356</v>
      </c>
      <c r="O218" s="144">
        <f t="shared" ca="1" si="69"/>
        <v>473297.37387836131</v>
      </c>
      <c r="P218" s="144">
        <f t="shared" ca="1" si="69"/>
        <v>0</v>
      </c>
      <c r="Q218" s="144">
        <f t="shared" ca="1" si="69"/>
        <v>0</v>
      </c>
      <c r="R218" s="144">
        <f t="shared" ca="1" si="69"/>
        <v>0</v>
      </c>
      <c r="S218" s="144">
        <f t="shared" ca="1" si="69"/>
        <v>0</v>
      </c>
    </row>
    <row r="221" spans="3:19" ht="15" x14ac:dyDescent="0.2">
      <c r="D221" s="20" t="s">
        <v>42</v>
      </c>
    </row>
    <row r="222" spans="3:19" x14ac:dyDescent="0.2">
      <c r="E222" s="187" t="s">
        <v>201</v>
      </c>
      <c r="F222" s="6"/>
      <c r="G222" s="6" t="s">
        <v>133</v>
      </c>
      <c r="H222" s="6"/>
      <c r="I222" s="6"/>
      <c r="J222" s="6">
        <f ca="1" xml:space="preserve"> - MIN( J$210, J$218 )</f>
        <v>0</v>
      </c>
      <c r="K222" s="6">
        <f t="shared" ref="K222:S222" ca="1" si="70" xml:space="preserve"> - MIN( K$210, K$218 )</f>
        <v>0</v>
      </c>
      <c r="L222" s="6">
        <f t="shared" ca="1" si="70"/>
        <v>0</v>
      </c>
      <c r="M222" s="6">
        <f t="shared" ca="1" si="70"/>
        <v>-791053.58903166442</v>
      </c>
      <c r="N222" s="6">
        <f t="shared" ca="1" si="70"/>
        <v>-960649.03708997427</v>
      </c>
      <c r="O222" s="6">
        <f t="shared" ca="1" si="70"/>
        <v>-473297.37387836131</v>
      </c>
      <c r="P222" s="6">
        <f t="shared" ca="1" si="70"/>
        <v>0</v>
      </c>
      <c r="Q222" s="6">
        <f t="shared" ca="1" si="70"/>
        <v>0</v>
      </c>
      <c r="R222" s="6">
        <f t="shared" ca="1" si="70"/>
        <v>0</v>
      </c>
      <c r="S222" s="6">
        <f t="shared" ca="1" si="70"/>
        <v>0</v>
      </c>
    </row>
    <row r="223" spans="3:19" x14ac:dyDescent="0.2">
      <c r="E223" s="191" t="s">
        <v>202</v>
      </c>
      <c r="G223" s="161" t="s">
        <v>133</v>
      </c>
      <c r="I223" s="192">
        <f>F214</f>
        <v>2225000</v>
      </c>
      <c r="J223">
        <f ca="1">SUM( J218:J222)</f>
        <v>2225000</v>
      </c>
      <c r="K223">
        <f t="shared" ref="K223" ca="1" si="71">SUM( K218:K222)</f>
        <v>2225000</v>
      </c>
      <c r="L223">
        <f t="shared" ref="L223" ca="1" si="72">SUM( L218:L222)</f>
        <v>2225000</v>
      </c>
      <c r="M223">
        <f t="shared" ref="M223" ca="1" si="73">SUM( M218:M222)</f>
        <v>1433946.4109683356</v>
      </c>
      <c r="N223">
        <f t="shared" ref="N223" ca="1" si="74">SUM( N218:N222)</f>
        <v>473297.37387836131</v>
      </c>
      <c r="O223">
        <f t="shared" ref="O223" ca="1" si="75">SUM( O218:O222)</f>
        <v>0</v>
      </c>
      <c r="P223">
        <f t="shared" ref="P223" ca="1" si="76">SUM( P218:P222)</f>
        <v>0</v>
      </c>
      <c r="Q223">
        <f t="shared" ref="Q223" ca="1" si="77">SUM( Q218:Q222)</f>
        <v>0</v>
      </c>
      <c r="R223">
        <f t="shared" ref="R223" ca="1" si="78">SUM( R218:R222)</f>
        <v>0</v>
      </c>
      <c r="S223">
        <f t="shared" ref="S223" ca="1" si="79">SUM( S218:S222)</f>
        <v>0</v>
      </c>
    </row>
    <row r="225" spans="1:19" ht="15" x14ac:dyDescent="0.2">
      <c r="D225" s="20" t="s">
        <v>174</v>
      </c>
    </row>
    <row r="226" spans="1:19" x14ac:dyDescent="0.2">
      <c r="E226" s="177" t="s">
        <v>8</v>
      </c>
      <c r="F226" s="172">
        <f>CaseData!S$10</f>
        <v>7.9500000000000001E-2</v>
      </c>
      <c r="G226" s="141" t="s">
        <v>143</v>
      </c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</row>
    <row r="227" spans="1:19" x14ac:dyDescent="0.2">
      <c r="E227" s="179" t="s">
        <v>185</v>
      </c>
      <c r="F227" s="144"/>
      <c r="G227" s="144" t="s">
        <v>133</v>
      </c>
      <c r="H227" s="144"/>
      <c r="I227" s="144"/>
      <c r="J227" s="144">
        <f ca="1" xml:space="preserve"> AVERAGE( J$216, J$223 ) * $F$226</f>
        <v>176887.5</v>
      </c>
      <c r="K227" s="144">
        <f t="shared" ref="K227:S227" ca="1" si="80" xml:space="preserve"> AVERAGE( K$216, K$223 ) * $F$226</f>
        <v>176887.5</v>
      </c>
      <c r="L227" s="144">
        <f t="shared" ca="1" si="80"/>
        <v>176887.5</v>
      </c>
      <c r="M227" s="144">
        <f t="shared" ca="1" si="80"/>
        <v>145443.11983599133</v>
      </c>
      <c r="N227" s="144">
        <f t="shared" ca="1" si="80"/>
        <v>75812.940447656205</v>
      </c>
      <c r="O227" s="144">
        <f t="shared" ca="1" si="80"/>
        <v>18813.570611664862</v>
      </c>
      <c r="P227" s="144">
        <f t="shared" ca="1" si="80"/>
        <v>0</v>
      </c>
      <c r="Q227" s="144">
        <f t="shared" ca="1" si="80"/>
        <v>0</v>
      </c>
      <c r="R227" s="144">
        <f t="shared" ca="1" si="80"/>
        <v>0</v>
      </c>
      <c r="S227" s="144">
        <f t="shared" ca="1" si="80"/>
        <v>0</v>
      </c>
    </row>
    <row r="228" spans="1:19" x14ac:dyDescent="0.2">
      <c r="E228" s="177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</row>
    <row r="230" spans="1:19" s="137" customFormat="1" ht="15" x14ac:dyDescent="0.2">
      <c r="A230" s="138" t="s">
        <v>223</v>
      </c>
      <c r="E230" s="175"/>
    </row>
    <row r="232" spans="1:19" x14ac:dyDescent="0.2">
      <c r="E232" s="180" t="s">
        <v>221</v>
      </c>
      <c r="G232" t="s">
        <v>133</v>
      </c>
      <c r="J232">
        <f xml:space="preserve"> J$115 + J$158</f>
        <v>321300</v>
      </c>
      <c r="K232">
        <f xml:space="preserve"> K$115 + K$158</f>
        <v>114583.33333333333</v>
      </c>
      <c r="L232">
        <f xml:space="preserve"> L$115 + L$158</f>
        <v>350052.08333333331</v>
      </c>
      <c r="M232">
        <f xml:space="preserve"> M$115 + M$158</f>
        <v>598471.61458333326</v>
      </c>
      <c r="N232">
        <f xml:space="preserve"> N$115 + N$158</f>
        <v>0</v>
      </c>
      <c r="O232">
        <f xml:space="preserve"> O$115 + O$158</f>
        <v>0</v>
      </c>
      <c r="P232">
        <f xml:space="preserve"> P$115 + P$158</f>
        <v>0</v>
      </c>
      <c r="Q232">
        <f xml:space="preserve"> Q$115 + Q$158</f>
        <v>0</v>
      </c>
      <c r="R232">
        <f xml:space="preserve"> R$115 + R$158</f>
        <v>0</v>
      </c>
      <c r="S232">
        <f xml:space="preserve"> S$115 + S$158</f>
        <v>0</v>
      </c>
    </row>
    <row r="233" spans="1:19" x14ac:dyDescent="0.2">
      <c r="E233" s="180" t="s">
        <v>220</v>
      </c>
      <c r="G233" t="s">
        <v>133</v>
      </c>
      <c r="J233">
        <f ca="1" xml:space="preserve"> SUM( J$186, J$207 )</f>
        <v>403965.25582710153</v>
      </c>
      <c r="K233">
        <f t="shared" ref="K233:S233" ca="1" si="81" xml:space="preserve"> SUM( K$186, K$207 )</f>
        <v>442391.58712357946</v>
      </c>
      <c r="L233">
        <f t="shared" ca="1" si="81"/>
        <v>457240.07390274911</v>
      </c>
      <c r="M233">
        <f t="shared" ca="1" si="81"/>
        <v>226001.24260627112</v>
      </c>
      <c r="N233">
        <f t="shared" ca="1" si="81"/>
        <v>0</v>
      </c>
      <c r="O233">
        <f t="shared" ca="1" si="81"/>
        <v>0</v>
      </c>
      <c r="P233">
        <f t="shared" ca="1" si="81"/>
        <v>0</v>
      </c>
      <c r="Q233">
        <f t="shared" ca="1" si="81"/>
        <v>0</v>
      </c>
      <c r="R233">
        <f t="shared" ca="1" si="81"/>
        <v>0</v>
      </c>
      <c r="S233">
        <f t="shared" ca="1" si="81"/>
        <v>0</v>
      </c>
    </row>
    <row r="234" spans="1:19" ht="15" x14ac:dyDescent="0.2">
      <c r="E234" s="181" t="s">
        <v>174</v>
      </c>
      <c r="F234" s="171"/>
      <c r="G234" s="171" t="s">
        <v>133</v>
      </c>
      <c r="H234" s="171"/>
      <c r="I234" s="171"/>
      <c r="J234" s="171">
        <f ca="1">SUM(J232:J233)</f>
        <v>725265.25582710153</v>
      </c>
      <c r="K234" s="171">
        <f t="shared" ref="K234:S234" ca="1" si="82">SUM(K232:K233)</f>
        <v>556974.92045691283</v>
      </c>
      <c r="L234" s="171">
        <f t="shared" ca="1" si="82"/>
        <v>807292.15723608248</v>
      </c>
      <c r="M234" s="171">
        <f t="shared" ca="1" si="82"/>
        <v>824472.85718960431</v>
      </c>
      <c r="N234" s="171">
        <f t="shared" ca="1" si="82"/>
        <v>0</v>
      </c>
      <c r="O234" s="171">
        <f t="shared" ca="1" si="82"/>
        <v>0</v>
      </c>
      <c r="P234" s="171">
        <f t="shared" ca="1" si="82"/>
        <v>0</v>
      </c>
      <c r="Q234" s="171">
        <f t="shared" ca="1" si="82"/>
        <v>0</v>
      </c>
      <c r="R234" s="171">
        <f t="shared" ca="1" si="82"/>
        <v>0</v>
      </c>
      <c r="S234" s="171">
        <f t="shared" ca="1" si="82"/>
        <v>0</v>
      </c>
    </row>
    <row r="236" spans="1:19" x14ac:dyDescent="0.2">
      <c r="E236" s="180" t="s">
        <v>211</v>
      </c>
      <c r="G236" t="s">
        <v>133</v>
      </c>
      <c r="J236">
        <f xml:space="preserve"> J$131</f>
        <v>0</v>
      </c>
      <c r="K236">
        <f t="shared" ref="K236:S236" si="83" xml:space="preserve"> K$131</f>
        <v>185657.5</v>
      </c>
      <c r="L236">
        <f t="shared" si="83"/>
        <v>180222.20568844076</v>
      </c>
      <c r="M236">
        <f t="shared" si="83"/>
        <v>174651.02901909256</v>
      </c>
      <c r="N236">
        <f t="shared" si="83"/>
        <v>168940.57293301064</v>
      </c>
      <c r="O236">
        <f t="shared" si="83"/>
        <v>163087.35544477665</v>
      </c>
      <c r="P236">
        <f t="shared" si="83"/>
        <v>157087.80751933681</v>
      </c>
      <c r="Q236">
        <f t="shared" si="83"/>
        <v>150938.270895761</v>
      </c>
      <c r="R236">
        <f t="shared" si="83"/>
        <v>144634.99585659578</v>
      </c>
      <c r="S236">
        <f t="shared" si="83"/>
        <v>138174.13894145144</v>
      </c>
    </row>
    <row r="237" spans="1:19" x14ac:dyDescent="0.2">
      <c r="E237" s="180" t="s">
        <v>222</v>
      </c>
      <c r="G237" t="s">
        <v>133</v>
      </c>
      <c r="J237">
        <f ca="1" xml:space="preserve"> J227</f>
        <v>176887.5</v>
      </c>
      <c r="K237">
        <f ca="1" xml:space="preserve"> K227</f>
        <v>176887.5</v>
      </c>
      <c r="L237">
        <f ca="1" xml:space="preserve"> L227</f>
        <v>176887.5</v>
      </c>
      <c r="M237">
        <f ca="1" xml:space="preserve"> M227</f>
        <v>145443.11983599133</v>
      </c>
      <c r="N237">
        <f ca="1" xml:space="preserve"> N227</f>
        <v>75812.940447656205</v>
      </c>
      <c r="O237">
        <f ca="1" xml:space="preserve"> O227</f>
        <v>18813.570611664862</v>
      </c>
      <c r="P237">
        <f ca="1" xml:space="preserve"> P227</f>
        <v>0</v>
      </c>
      <c r="Q237">
        <f ca="1" xml:space="preserve"> Q227</f>
        <v>0</v>
      </c>
      <c r="R237">
        <f ca="1" xml:space="preserve"> R227</f>
        <v>0</v>
      </c>
      <c r="S237">
        <f ca="1" xml:space="preserve"> S227</f>
        <v>0</v>
      </c>
    </row>
    <row r="238" spans="1:19" x14ac:dyDescent="0.2">
      <c r="E238" s="208" t="str">
        <f>E$79</f>
        <v>Net interest expenses on revolver</v>
      </c>
      <c r="F238" s="159">
        <f t="shared" ref="F238:S238" si="84">F$79</f>
        <v>0</v>
      </c>
      <c r="G238" s="159" t="str">
        <f t="shared" si="84"/>
        <v>USD</v>
      </c>
      <c r="H238" s="159">
        <f t="shared" si="84"/>
        <v>0</v>
      </c>
      <c r="I238" s="159">
        <f t="shared" si="84"/>
        <v>0</v>
      </c>
      <c r="J238" s="159">
        <f t="shared" ca="1" si="84"/>
        <v>11985.739436619722</v>
      </c>
      <c r="K238" s="159">
        <f t="shared" ca="1" si="84"/>
        <v>15776.391517767708</v>
      </c>
      <c r="L238" s="159">
        <f t="shared" ca="1" si="84"/>
        <v>11290.652081147984</v>
      </c>
      <c r="M238" s="159">
        <f t="shared" ca="1" si="84"/>
        <v>7500</v>
      </c>
      <c r="N238" s="159">
        <f t="shared" ca="1" si="84"/>
        <v>7500</v>
      </c>
      <c r="O238" s="159">
        <f t="shared" ca="1" si="84"/>
        <v>3113.147499010548</v>
      </c>
      <c r="P238" s="159">
        <f t="shared" ca="1" si="84"/>
        <v>-9725.7828828670063</v>
      </c>
      <c r="Q238" s="159">
        <f t="shared" ca="1" si="84"/>
        <v>-27044.885767597058</v>
      </c>
      <c r="R238" s="159">
        <f t="shared" ca="1" si="84"/>
        <v>-45207.334337153923</v>
      </c>
      <c r="S238" s="159">
        <f t="shared" ca="1" si="84"/>
        <v>-64240.414270626177</v>
      </c>
    </row>
    <row r="239" spans="1:19" ht="15" x14ac:dyDescent="0.2">
      <c r="E239" s="181" t="s">
        <v>185</v>
      </c>
      <c r="F239" s="171"/>
      <c r="G239" s="171" t="s">
        <v>133</v>
      </c>
      <c r="H239" s="171"/>
      <c r="I239" s="171"/>
      <c r="J239" s="171">
        <f ca="1">SUM(J236:J238)</f>
        <v>188873.23943661971</v>
      </c>
      <c r="K239" s="171">
        <f t="shared" ref="K239:S239" ca="1" si="85">SUM(K236:K238)</f>
        <v>378321.39151776768</v>
      </c>
      <c r="L239" s="171">
        <f t="shared" ca="1" si="85"/>
        <v>368400.35776958877</v>
      </c>
      <c r="M239" s="171">
        <f t="shared" ca="1" si="85"/>
        <v>327594.14885508385</v>
      </c>
      <c r="N239" s="171">
        <f t="shared" ca="1" si="85"/>
        <v>252253.51338066685</v>
      </c>
      <c r="O239" s="171">
        <f t="shared" ca="1" si="85"/>
        <v>185014.07355545205</v>
      </c>
      <c r="P239" s="171">
        <f t="shared" ca="1" si="85"/>
        <v>147362.02463646981</v>
      </c>
      <c r="Q239" s="171">
        <f t="shared" ca="1" si="85"/>
        <v>123893.38512816394</v>
      </c>
      <c r="R239" s="171">
        <f t="shared" ca="1" si="85"/>
        <v>99427.661519441855</v>
      </c>
      <c r="S239" s="171">
        <f t="shared" ca="1" si="85"/>
        <v>73933.724670825264</v>
      </c>
    </row>
    <row r="240" spans="1:19" ht="15" x14ac:dyDescent="0.2">
      <c r="E240" s="205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</row>
    <row r="242" spans="1:19" s="137" customFormat="1" ht="15" x14ac:dyDescent="0.2">
      <c r="A242" s="138" t="s">
        <v>230</v>
      </c>
      <c r="E242" s="175"/>
    </row>
    <row r="244" spans="1:19" x14ac:dyDescent="0.2">
      <c r="E244" s="196" t="s">
        <v>231</v>
      </c>
      <c r="F244" s="197"/>
      <c r="G244" s="198" t="s">
        <v>133</v>
      </c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</row>
    <row r="245" spans="1:19" x14ac:dyDescent="0.2">
      <c r="E245" s="191"/>
      <c r="F245" s="161"/>
      <c r="G245" s="161"/>
      <c r="H245" s="161"/>
      <c r="I245" s="161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</row>
    <row r="246" spans="1:19" x14ac:dyDescent="0.2">
      <c r="E246" s="191" t="s">
        <v>232</v>
      </c>
      <c r="F246" s="161"/>
      <c r="G246" s="161" t="s">
        <v>133</v>
      </c>
      <c r="H246" s="161"/>
      <c r="I246" s="161"/>
      <c r="J246" s="162">
        <f xml:space="preserve"> SUM( J175, J196, J216)</f>
        <v>6475000</v>
      </c>
      <c r="K246" s="162">
        <f ca="1" xml:space="preserve"> SUM( K175, K196, K216)</f>
        <v>6878965.2558271019</v>
      </c>
      <c r="L246" s="162">
        <f ca="1" xml:space="preserve"> SUM( L175, L196, L216)</f>
        <v>7321356.8429506812</v>
      </c>
      <c r="M246" s="162">
        <f ca="1" xml:space="preserve"> SUM( M175, M196, M216)</f>
        <v>7216950.7448137049</v>
      </c>
      <c r="N246" s="162">
        <f ca="1" xml:space="preserve"> SUM( N175, N196, N216)</f>
        <v>1433946.4109683356</v>
      </c>
      <c r="O246" s="162">
        <f ca="1" xml:space="preserve"> SUM( O175, O196, O216)</f>
        <v>473297.37387836131</v>
      </c>
      <c r="P246" s="162">
        <f ca="1" xml:space="preserve"> SUM( P175, P196, P216)</f>
        <v>0</v>
      </c>
      <c r="Q246" s="162">
        <f ca="1" xml:space="preserve"> SUM( Q175, Q196, Q216)</f>
        <v>0</v>
      </c>
      <c r="R246" s="162">
        <f ca="1" xml:space="preserve"> SUM( R175, R196, R216)</f>
        <v>0</v>
      </c>
      <c r="S246" s="162">
        <f ca="1" xml:space="preserve"> SUM( S175, S196, S216)</f>
        <v>0</v>
      </c>
    </row>
    <row r="247" spans="1:19" x14ac:dyDescent="0.2">
      <c r="E247" s="201" t="s">
        <v>234</v>
      </c>
      <c r="F247" s="161"/>
      <c r="G247" s="161" t="s">
        <v>133</v>
      </c>
      <c r="H247" s="161"/>
      <c r="I247" s="161"/>
      <c r="J247" s="162">
        <f ca="1" xml:space="preserve"> SUM( J186, J207 )</f>
        <v>403965.25582710153</v>
      </c>
      <c r="K247" s="162">
        <f ca="1" xml:space="preserve"> SUM( K186, K207 )</f>
        <v>442391.58712357946</v>
      </c>
      <c r="L247" s="162">
        <f ca="1" xml:space="preserve"> SUM( L186, L207 )</f>
        <v>457240.07390274911</v>
      </c>
      <c r="M247" s="162">
        <f ca="1" xml:space="preserve"> SUM( M186, M207 )</f>
        <v>226001.24260627112</v>
      </c>
      <c r="N247" s="162">
        <f ca="1" xml:space="preserve"> SUM( N186, N207 )</f>
        <v>0</v>
      </c>
      <c r="O247" s="162">
        <f ca="1" xml:space="preserve"> SUM( O186, O207 )</f>
        <v>0</v>
      </c>
      <c r="P247" s="162">
        <f ca="1" xml:space="preserve"> SUM( P186, P207 )</f>
        <v>0</v>
      </c>
      <c r="Q247" s="162">
        <f ca="1" xml:space="preserve"> SUM( Q186, Q207 )</f>
        <v>0</v>
      </c>
      <c r="R247" s="162">
        <f ca="1" xml:space="preserve"> SUM( R186, R207 )</f>
        <v>0</v>
      </c>
      <c r="S247" s="162">
        <f ca="1" xml:space="preserve"> SUM( S186, S207 )</f>
        <v>0</v>
      </c>
    </row>
    <row r="248" spans="1:19" x14ac:dyDescent="0.2">
      <c r="E248" s="201" t="s">
        <v>229</v>
      </c>
      <c r="F248" s="161"/>
      <c r="G248" s="161" t="s">
        <v>133</v>
      </c>
      <c r="H248" s="161"/>
      <c r="I248" s="161"/>
      <c r="J248" s="161">
        <f ca="1" xml:space="preserve"> SUM( J181, J202, J222 )</f>
        <v>0</v>
      </c>
      <c r="K248" s="161">
        <f ca="1" xml:space="preserve"> SUM( K181, K202, K222 )</f>
        <v>0</v>
      </c>
      <c r="L248" s="161">
        <f ca="1" xml:space="preserve"> SUM( L181, L202, L222 )</f>
        <v>-561646.17203972489</v>
      </c>
      <c r="M248" s="161">
        <f ca="1" xml:space="preserve"> SUM( M181, M202, M222 )</f>
        <v>-6009005.5764516406</v>
      </c>
      <c r="N248" s="161">
        <f ca="1" xml:space="preserve"> SUM( N181, N202, N222 )</f>
        <v>-960649.03708997427</v>
      </c>
      <c r="O248" s="161">
        <f ca="1" xml:space="preserve"> SUM( O181, O202, O222 )</f>
        <v>-473297.37387836131</v>
      </c>
      <c r="P248" s="161">
        <f ca="1" xml:space="preserve"> SUM( P181, P202, P222 )</f>
        <v>0</v>
      </c>
      <c r="Q248" s="161">
        <f ca="1" xml:space="preserve"> SUM( Q181, Q202, Q222 )</f>
        <v>0</v>
      </c>
      <c r="R248" s="161">
        <f ca="1" xml:space="preserve"> SUM( R181, R202, R222 )</f>
        <v>0</v>
      </c>
      <c r="S248" s="161">
        <f ca="1" xml:space="preserve"> SUM( S181, S202, S222 )</f>
        <v>0</v>
      </c>
    </row>
    <row r="249" spans="1:19" x14ac:dyDescent="0.2">
      <c r="E249" s="200" t="s">
        <v>233</v>
      </c>
      <c r="F249" s="173"/>
      <c r="G249" s="173" t="s">
        <v>133</v>
      </c>
      <c r="H249" s="173"/>
      <c r="I249" s="173">
        <f>F244</f>
        <v>0</v>
      </c>
      <c r="J249" s="173">
        <f ca="1">SUM(J246:J248)</f>
        <v>6878965.2558271019</v>
      </c>
      <c r="K249" s="173">
        <f ca="1">SUM(K246:K248)</f>
        <v>7321356.8429506812</v>
      </c>
      <c r="L249" s="173">
        <f ca="1">SUM(L246:L248)</f>
        <v>7216950.7448137058</v>
      </c>
      <c r="M249" s="173">
        <f ca="1">SUM(M246:M248)</f>
        <v>1433946.4109683353</v>
      </c>
      <c r="N249" s="173">
        <f ca="1">SUM(N246:N248)</f>
        <v>473297.37387836131</v>
      </c>
      <c r="O249" s="173">
        <f ca="1">SUM(O246:O248)</f>
        <v>0</v>
      </c>
      <c r="P249" s="173">
        <f ca="1">SUM(P246:P248)</f>
        <v>0</v>
      </c>
      <c r="Q249" s="173">
        <f ca="1">SUM(Q246:Q248)</f>
        <v>0</v>
      </c>
      <c r="R249" s="173">
        <f ca="1">SUM(R246:R248)</f>
        <v>0</v>
      </c>
      <c r="S249" s="173">
        <f ca="1">SUM(S246:S248)</f>
        <v>0</v>
      </c>
    </row>
    <row r="250" spans="1:19" x14ac:dyDescent="0.2">
      <c r="E250" s="19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</row>
    <row r="252" spans="1:19" s="137" customFormat="1" ht="15" x14ac:dyDescent="0.2">
      <c r="A252" s="138" t="s">
        <v>132</v>
      </c>
      <c r="E252" s="175"/>
    </row>
    <row r="254" spans="1:19" x14ac:dyDescent="0.2">
      <c r="E254" s="180" t="s">
        <v>134</v>
      </c>
      <c r="F254" s="146">
        <f>CaseData!$G$9</f>
        <v>2024</v>
      </c>
      <c r="G254" t="s">
        <v>135</v>
      </c>
    </row>
    <row r="255" spans="1:19" x14ac:dyDescent="0.2">
      <c r="E255" s="180" t="s">
        <v>136</v>
      </c>
      <c r="F255" s="83">
        <v>10</v>
      </c>
      <c r="G255" t="s">
        <v>137</v>
      </c>
    </row>
    <row r="256" spans="1:19" x14ac:dyDescent="0.2">
      <c r="E256" s="180" t="s">
        <v>139</v>
      </c>
      <c r="G256" t="s">
        <v>140</v>
      </c>
      <c r="J256">
        <f xml:space="preserve"> I256 + 1</f>
        <v>1</v>
      </c>
      <c r="K256">
        <f t="shared" ref="K256:S256" si="86" xml:space="preserve"> J256 + 1</f>
        <v>2</v>
      </c>
      <c r="L256">
        <f t="shared" si="86"/>
        <v>3</v>
      </c>
      <c r="M256">
        <f t="shared" si="86"/>
        <v>4</v>
      </c>
      <c r="N256">
        <f t="shared" si="86"/>
        <v>5</v>
      </c>
      <c r="O256">
        <f t="shared" si="86"/>
        <v>6</v>
      </c>
      <c r="P256">
        <f t="shared" si="86"/>
        <v>7</v>
      </c>
      <c r="Q256">
        <f t="shared" si="86"/>
        <v>8</v>
      </c>
      <c r="R256">
        <f t="shared" si="86"/>
        <v>9</v>
      </c>
      <c r="S256">
        <f t="shared" si="86"/>
        <v>10</v>
      </c>
    </row>
    <row r="257" spans="5:19" x14ac:dyDescent="0.2">
      <c r="E257" s="180" t="s">
        <v>141</v>
      </c>
      <c r="G257" t="s">
        <v>142</v>
      </c>
      <c r="J257">
        <f xml:space="preserve"> IF( J256 = 1, 1, 0 )</f>
        <v>1</v>
      </c>
      <c r="K257">
        <f t="shared" ref="K257:S257" si="87" xml:space="preserve"> IF( K256 = 1, 1, 0 )</f>
        <v>0</v>
      </c>
      <c r="L257">
        <f t="shared" si="87"/>
        <v>0</v>
      </c>
      <c r="M257">
        <f t="shared" si="87"/>
        <v>0</v>
      </c>
      <c r="N257">
        <f t="shared" si="87"/>
        <v>0</v>
      </c>
      <c r="O257">
        <f t="shared" si="87"/>
        <v>0</v>
      </c>
      <c r="P257">
        <f t="shared" si="87"/>
        <v>0</v>
      </c>
      <c r="Q257">
        <f t="shared" si="87"/>
        <v>0</v>
      </c>
      <c r="R257">
        <f t="shared" si="87"/>
        <v>0</v>
      </c>
      <c r="S257">
        <f t="shared" si="87"/>
        <v>0</v>
      </c>
    </row>
    <row r="259" spans="5:19" x14ac:dyDescent="0.2">
      <c r="E259" s="180" t="s">
        <v>132</v>
      </c>
      <c r="G259" t="s">
        <v>138</v>
      </c>
      <c r="J259" s="140">
        <f xml:space="preserve"> IF( J257 = 1, $F$254, I259 + 1)</f>
        <v>2024</v>
      </c>
      <c r="K259" s="140">
        <f xml:space="preserve"> IF( K257 = 1, $F$254, J259 + 1)</f>
        <v>2025</v>
      </c>
      <c r="L259" s="140">
        <f xml:space="preserve"> IF( L257 = 1, $F$254, K259 + 1)</f>
        <v>2026</v>
      </c>
      <c r="M259" s="140">
        <f xml:space="preserve"> IF( M257 = 1, $F$254, L259 + 1)</f>
        <v>2027</v>
      </c>
      <c r="N259" s="140">
        <f xml:space="preserve"> IF( N257 = 1, $F$254, M259 + 1)</f>
        <v>2028</v>
      </c>
      <c r="O259" s="140">
        <f xml:space="preserve"> IF( O257 = 1, $F$254, N259 + 1)</f>
        <v>2029</v>
      </c>
      <c r="P259" s="140">
        <f xml:space="preserve"> IF( P257 = 1, $F$254, O259 + 1)</f>
        <v>2030</v>
      </c>
      <c r="Q259" s="140">
        <f xml:space="preserve"> IF( Q257 = 1, $F$254, P259 + 1)</f>
        <v>2031</v>
      </c>
      <c r="R259" s="140">
        <f xml:space="preserve"> IF( R257 = 1, $F$254, Q259 + 1)</f>
        <v>2032</v>
      </c>
      <c r="S259" s="140">
        <f xml:space="preserve"> IF( S257 = 1, $F$254, R259 + 1)</f>
        <v>2033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42" fitToHeight="0" orientation="portrait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T39"/>
  <sheetViews>
    <sheetView showGridLines="0" zoomScaleNormal="100" workbookViewId="0">
      <selection activeCell="Q22" sqref="Q22"/>
    </sheetView>
  </sheetViews>
  <sheetFormatPr defaultRowHeight="14.25" x14ac:dyDescent="0.2"/>
  <cols>
    <col min="1" max="1" width="5.625" customWidth="1"/>
    <col min="2" max="2" width="1.625" customWidth="1"/>
    <col min="9" max="12" width="8.75" bestFit="1" customWidth="1"/>
    <col min="13" max="13" width="9" bestFit="1" customWidth="1"/>
    <col min="14" max="19" width="8.75" bestFit="1" customWidth="1"/>
    <col min="20" max="20" width="1.625" customWidth="1"/>
  </cols>
  <sheetData>
    <row r="1" spans="2:20" x14ac:dyDescent="0.2">
      <c r="B1" t="s">
        <v>107</v>
      </c>
    </row>
    <row r="2" spans="2:20" ht="28.15" customHeight="1" x14ac:dyDescent="0.2">
      <c r="B2" s="51" t="s">
        <v>115</v>
      </c>
      <c r="C2" s="37"/>
      <c r="D2" s="37"/>
      <c r="E2" s="37"/>
      <c r="F2" s="37"/>
      <c r="G2" s="37"/>
      <c r="H2" s="37"/>
      <c r="I2" s="37"/>
      <c r="J2" s="37"/>
      <c r="K2" s="38"/>
      <c r="L2" s="38"/>
      <c r="M2" s="38"/>
      <c r="N2" s="38"/>
      <c r="O2" s="38"/>
      <c r="P2" s="38"/>
      <c r="Q2" s="38"/>
      <c r="R2" s="38"/>
      <c r="S2" s="38"/>
      <c r="T2" s="42"/>
    </row>
    <row r="3" spans="2:20" x14ac:dyDescent="0.2">
      <c r="B3" t="str">
        <f>MID( B2, 31, 5)</f>
        <v xml:space="preserve"> DEBT</v>
      </c>
    </row>
    <row r="5" spans="2:20" x14ac:dyDescent="0.2">
      <c r="B5" s="41" t="s">
        <v>4</v>
      </c>
      <c r="C5" s="37"/>
      <c r="D5" s="37"/>
      <c r="E5" s="37"/>
      <c r="F5" s="37"/>
      <c r="G5" s="37"/>
      <c r="H5" s="37"/>
      <c r="I5" s="37"/>
      <c r="J5" s="37"/>
      <c r="K5" s="38"/>
      <c r="L5" s="38"/>
      <c r="M5" s="38"/>
      <c r="N5" s="38"/>
      <c r="O5" s="38"/>
      <c r="P5" s="38"/>
      <c r="Q5" s="38"/>
      <c r="R5" s="38"/>
      <c r="S5" s="38"/>
      <c r="T5" s="42"/>
    </row>
    <row r="7" spans="2:20" x14ac:dyDescent="0.2">
      <c r="B7" s="3" t="s">
        <v>1</v>
      </c>
      <c r="C7" s="8"/>
      <c r="D7" s="8"/>
      <c r="E7" s="8"/>
      <c r="F7" s="8"/>
      <c r="G7" s="1"/>
      <c r="H7" s="2"/>
      <c r="J7" s="3" t="s">
        <v>7</v>
      </c>
      <c r="K7" s="8"/>
      <c r="L7" s="8"/>
      <c r="M7" s="1"/>
      <c r="N7" s="1"/>
      <c r="O7" s="1"/>
      <c r="P7" s="1"/>
      <c r="Q7" s="1"/>
      <c r="R7" s="1"/>
      <c r="S7" s="1"/>
      <c r="T7" s="2"/>
    </row>
    <row r="8" spans="2:20" x14ac:dyDescent="0.2">
      <c r="B8" s="24"/>
      <c r="G8" s="36" t="s">
        <v>26</v>
      </c>
      <c r="H8" s="15"/>
      <c r="J8" s="67"/>
      <c r="K8" s="7"/>
      <c r="L8" s="7"/>
      <c r="M8" s="7"/>
      <c r="O8" s="36" t="s">
        <v>88</v>
      </c>
      <c r="P8" s="68"/>
      <c r="Q8" s="36" t="s">
        <v>89</v>
      </c>
      <c r="R8" s="68"/>
      <c r="S8" s="36" t="s">
        <v>90</v>
      </c>
      <c r="T8" s="14"/>
    </row>
    <row r="9" spans="2:20" x14ac:dyDescent="0.2">
      <c r="B9" s="24"/>
      <c r="C9" s="9" t="s">
        <v>0</v>
      </c>
      <c r="G9" s="10">
        <v>2024</v>
      </c>
      <c r="H9" s="15"/>
      <c r="J9" s="49" t="str">
        <f>"Outstanding Balance as at: "&amp;TEXT((DATE(G9-1,12,31)),"[$-F800]dddd, mmmm dd, yyyy")</f>
        <v>Outstanding Balance as at: December 31, 2023</v>
      </c>
      <c r="O9" s="119">
        <v>2750000</v>
      </c>
      <c r="Q9" s="119">
        <v>1500000</v>
      </c>
      <c r="S9" s="119">
        <v>2225000</v>
      </c>
      <c r="T9" s="15"/>
    </row>
    <row r="10" spans="2:20" x14ac:dyDescent="0.2">
      <c r="B10" s="24"/>
      <c r="C10" s="9" t="s">
        <v>2</v>
      </c>
      <c r="D10" s="10"/>
      <c r="E10" s="10"/>
      <c r="F10" s="10"/>
      <c r="G10" s="69" t="s">
        <v>6</v>
      </c>
      <c r="H10" s="15"/>
      <c r="J10" s="49" t="s">
        <v>8</v>
      </c>
      <c r="O10" s="94">
        <v>9.2499999999999999E-2</v>
      </c>
      <c r="P10" s="82"/>
      <c r="Q10" s="94">
        <v>8.7499999999999994E-2</v>
      </c>
      <c r="S10" s="116">
        <v>7.9500000000000001E-2</v>
      </c>
      <c r="T10" s="15"/>
    </row>
    <row r="11" spans="2:20" x14ac:dyDescent="0.2">
      <c r="B11" s="24"/>
      <c r="H11" s="15"/>
      <c r="J11" s="49" t="s">
        <v>10</v>
      </c>
      <c r="K11" s="28"/>
      <c r="O11" s="113" t="s">
        <v>9</v>
      </c>
      <c r="P11" s="95"/>
      <c r="Q11" s="113" t="s">
        <v>9</v>
      </c>
      <c r="R11" s="95"/>
      <c r="S11" s="113" t="s">
        <v>9</v>
      </c>
      <c r="T11" s="15"/>
    </row>
    <row r="12" spans="2:20" x14ac:dyDescent="0.2">
      <c r="B12" s="24"/>
      <c r="H12" s="15"/>
      <c r="J12" s="49" t="s">
        <v>12</v>
      </c>
      <c r="O12" s="113" t="s">
        <v>99</v>
      </c>
      <c r="P12" s="95"/>
      <c r="Q12" s="113" t="s">
        <v>99</v>
      </c>
      <c r="R12" s="95"/>
      <c r="S12" s="113" t="s">
        <v>11</v>
      </c>
      <c r="T12" s="15"/>
    </row>
    <row r="13" spans="2:20" x14ac:dyDescent="0.2">
      <c r="B13" s="24"/>
      <c r="C13" s="9"/>
      <c r="D13" s="10"/>
      <c r="E13" s="10"/>
      <c r="F13" s="10"/>
      <c r="G13" s="55"/>
      <c r="H13" s="15"/>
      <c r="J13" s="49" t="s">
        <v>127</v>
      </c>
      <c r="O13" s="113" t="s">
        <v>13</v>
      </c>
      <c r="P13" s="95"/>
      <c r="Q13" s="113" t="s">
        <v>14</v>
      </c>
      <c r="R13" s="95"/>
      <c r="S13" s="113" t="s">
        <v>15</v>
      </c>
      <c r="T13" s="15"/>
    </row>
    <row r="14" spans="2:20" x14ac:dyDescent="0.2">
      <c r="B14" s="5"/>
      <c r="C14" s="46"/>
      <c r="D14" s="11"/>
      <c r="E14" s="11"/>
      <c r="F14" s="11"/>
      <c r="G14" s="43"/>
      <c r="H14" s="16"/>
      <c r="J14" s="25"/>
      <c r="K14" s="6"/>
      <c r="L14" s="6"/>
      <c r="M14" s="6"/>
      <c r="N14" s="6"/>
      <c r="O14" s="6"/>
      <c r="P14" s="6"/>
      <c r="Q14" s="6"/>
      <c r="R14" s="6"/>
      <c r="S14" s="6"/>
      <c r="T14" s="16"/>
    </row>
    <row r="17" spans="2:20" x14ac:dyDescent="0.2">
      <c r="B17" s="3" t="s">
        <v>95</v>
      </c>
      <c r="C17" s="8"/>
      <c r="D17" s="8"/>
      <c r="E17" s="8"/>
      <c r="F17" s="8"/>
      <c r="G17" s="1"/>
      <c r="H17" s="2"/>
      <c r="J17" s="3" t="s">
        <v>16</v>
      </c>
      <c r="K17" s="8"/>
      <c r="L17" s="8"/>
      <c r="M17" s="1"/>
      <c r="N17" s="1"/>
      <c r="O17" s="1"/>
      <c r="P17" s="1"/>
      <c r="Q17" s="1"/>
      <c r="R17" s="1"/>
      <c r="S17" s="1"/>
      <c r="T17" s="2"/>
    </row>
    <row r="18" spans="2:20" x14ac:dyDescent="0.2">
      <c r="B18" s="18"/>
      <c r="G18" s="36" t="s">
        <v>26</v>
      </c>
      <c r="H18" s="14"/>
      <c r="J18" s="18"/>
      <c r="K18" s="7"/>
      <c r="L18" s="7"/>
      <c r="M18" s="7"/>
      <c r="O18" s="36" t="s">
        <v>91</v>
      </c>
      <c r="P18" s="68"/>
      <c r="Q18" s="36" t="s">
        <v>17</v>
      </c>
      <c r="R18" s="7"/>
      <c r="S18" s="7"/>
      <c r="T18" s="14"/>
    </row>
    <row r="19" spans="2:20" x14ac:dyDescent="0.2">
      <c r="B19" s="24"/>
      <c r="C19" s="9" t="s">
        <v>0</v>
      </c>
      <c r="G19" s="96">
        <f>O32+1</f>
        <v>2025</v>
      </c>
      <c r="H19" s="54"/>
      <c r="J19" s="49" t="str">
        <f>"Outstanding Balance as at: "&amp;TEXT((DATE(G9-1,12,31)),"[$-F800]dddd, mmmm dd, yyyy")</f>
        <v>Outstanding Balance as at: December 31, 2023</v>
      </c>
      <c r="O19" s="135">
        <v>0</v>
      </c>
      <c r="Q19" s="23">
        <v>0</v>
      </c>
      <c r="T19" s="15"/>
    </row>
    <row r="20" spans="2:20" x14ac:dyDescent="0.2">
      <c r="B20" s="24"/>
      <c r="C20" s="9" t="s">
        <v>96</v>
      </c>
      <c r="G20" s="119">
        <v>1250000</v>
      </c>
      <c r="H20" s="15" t="s">
        <v>150</v>
      </c>
      <c r="J20" s="49" t="s">
        <v>75</v>
      </c>
      <c r="O20" s="115" t="s">
        <v>19</v>
      </c>
      <c r="Q20" s="119">
        <v>1000000</v>
      </c>
      <c r="T20" s="15"/>
    </row>
    <row r="21" spans="2:20" x14ac:dyDescent="0.2">
      <c r="B21" s="24"/>
      <c r="C21" s="9" t="str">
        <f>"Occupancy Rate ("&amp;G19&amp;" - "&amp;G19+F21-1&amp;")"</f>
        <v>Occupancy Rate (2025 - 2025)</v>
      </c>
      <c r="F21" s="114">
        <v>1</v>
      </c>
      <c r="G21" s="94">
        <v>0.5</v>
      </c>
      <c r="H21" s="15" t="s">
        <v>150</v>
      </c>
      <c r="J21" s="49" t="s">
        <v>8</v>
      </c>
      <c r="O21" s="94">
        <v>1.4999999999999999E-2</v>
      </c>
      <c r="P21" s="82"/>
      <c r="Q21" s="94">
        <v>5.5E-2</v>
      </c>
      <c r="T21" s="15"/>
    </row>
    <row r="22" spans="2:20" x14ac:dyDescent="0.2">
      <c r="B22" s="24"/>
      <c r="C22" s="9" t="str">
        <f>"Occupancy Rate in "&amp;G19+F21&amp;" and Beyond"</f>
        <v>Occupancy Rate in 2026 and Beyond</v>
      </c>
      <c r="D22" s="10"/>
      <c r="E22" s="10"/>
      <c r="F22" s="10"/>
      <c r="G22" s="94">
        <v>1</v>
      </c>
      <c r="H22" s="15" t="s">
        <v>150</v>
      </c>
      <c r="J22" s="49" t="s">
        <v>128</v>
      </c>
      <c r="O22" s="113" t="s">
        <v>19</v>
      </c>
      <c r="Q22" s="116">
        <v>7.4999999999999997E-3</v>
      </c>
      <c r="T22" s="15"/>
    </row>
    <row r="23" spans="2:20" x14ac:dyDescent="0.2">
      <c r="B23" s="24"/>
      <c r="C23" s="9" t="str">
        <f>"Growth Rate ("&amp;G19+1&amp;" - "&amp;G19+F23&amp;")"</f>
        <v>Growth Rate (2026 - 2028)</v>
      </c>
      <c r="F23" s="114">
        <v>3</v>
      </c>
      <c r="G23" s="94">
        <v>0.05</v>
      </c>
      <c r="H23" s="15" t="s">
        <v>150</v>
      </c>
      <c r="J23" s="49" t="s">
        <v>10</v>
      </c>
      <c r="O23" s="113" t="s">
        <v>9</v>
      </c>
      <c r="P23" s="95"/>
      <c r="Q23" s="113" t="s">
        <v>18</v>
      </c>
      <c r="T23" s="15"/>
    </row>
    <row r="24" spans="2:20" x14ac:dyDescent="0.2">
      <c r="B24" s="24"/>
      <c r="C24" s="9" t="str">
        <f>"Growth Rate "&amp;G19+F23+1&amp;" and Beyond"</f>
        <v>Growth Rate 2029 and Beyond</v>
      </c>
      <c r="G24" s="94">
        <v>2.5000000000000001E-2</v>
      </c>
      <c r="H24" s="15" t="s">
        <v>150</v>
      </c>
      <c r="J24" s="49" t="s">
        <v>12</v>
      </c>
      <c r="O24" s="113" t="s">
        <v>11</v>
      </c>
      <c r="P24" s="95"/>
      <c r="Q24" s="113" t="s">
        <v>11</v>
      </c>
      <c r="T24" s="15"/>
    </row>
    <row r="25" spans="2:20" x14ac:dyDescent="0.2">
      <c r="B25" s="24"/>
      <c r="C25" s="9"/>
      <c r="G25" s="94"/>
      <c r="H25" s="53"/>
      <c r="J25" s="49" t="s">
        <v>94</v>
      </c>
      <c r="O25" s="113" t="s">
        <v>19</v>
      </c>
      <c r="P25" s="95"/>
      <c r="Q25" s="113" t="s">
        <v>100</v>
      </c>
      <c r="T25" s="15"/>
    </row>
    <row r="26" spans="2:20" x14ac:dyDescent="0.2">
      <c r="B26" s="27"/>
      <c r="C26" s="6"/>
      <c r="D26" s="6"/>
      <c r="E26" s="6"/>
      <c r="F26" s="6"/>
      <c r="G26" s="6"/>
      <c r="H26" s="16"/>
      <c r="J26" s="25"/>
      <c r="K26" s="26"/>
      <c r="L26" s="39"/>
      <c r="M26" s="6"/>
      <c r="N26" s="6"/>
      <c r="O26" s="6"/>
      <c r="P26" s="6"/>
      <c r="Q26" s="6"/>
      <c r="R26" s="6"/>
      <c r="S26" s="6"/>
      <c r="T26" s="16"/>
    </row>
    <row r="29" spans="2:20" x14ac:dyDescent="0.2">
      <c r="B29" s="3" t="s">
        <v>28</v>
      </c>
      <c r="C29" s="8"/>
      <c r="D29" s="8"/>
      <c r="E29" s="8"/>
      <c r="F29" s="8"/>
      <c r="G29" s="1"/>
      <c r="H29" s="2"/>
      <c r="J29" s="3" t="s">
        <v>97</v>
      </c>
      <c r="K29" s="8"/>
      <c r="L29" s="8"/>
      <c r="M29" s="1"/>
      <c r="N29" s="1"/>
      <c r="O29" s="1"/>
      <c r="P29" s="1"/>
      <c r="Q29" s="1"/>
      <c r="R29" s="1"/>
      <c r="S29" s="1"/>
      <c r="T29" s="2"/>
    </row>
    <row r="30" spans="2:20" x14ac:dyDescent="0.2">
      <c r="B30" s="18"/>
      <c r="C30" s="13" t="s">
        <v>30</v>
      </c>
      <c r="G30" s="66" t="s">
        <v>26</v>
      </c>
      <c r="H30" s="14"/>
      <c r="J30" s="67"/>
      <c r="K30" s="7"/>
      <c r="L30" s="7"/>
      <c r="M30" s="7"/>
      <c r="O30" s="36" t="s">
        <v>20</v>
      </c>
      <c r="P30" s="68"/>
      <c r="Q30" s="36" t="s">
        <v>21</v>
      </c>
      <c r="R30" s="68"/>
      <c r="S30" s="36" t="s">
        <v>22</v>
      </c>
      <c r="T30" s="14"/>
    </row>
    <row r="31" spans="2:20" x14ac:dyDescent="0.2">
      <c r="B31" s="24"/>
      <c r="C31" s="9" t="s">
        <v>31</v>
      </c>
      <c r="G31" s="35">
        <f>G19</f>
        <v>2025</v>
      </c>
      <c r="H31" s="54"/>
      <c r="J31" s="49" t="s">
        <v>23</v>
      </c>
      <c r="O31" s="10">
        <v>2023</v>
      </c>
      <c r="Q31" s="10">
        <v>2025</v>
      </c>
      <c r="S31" s="35">
        <f>O32</f>
        <v>2024</v>
      </c>
      <c r="T31" s="15"/>
    </row>
    <row r="32" spans="2:20" x14ac:dyDescent="0.2">
      <c r="B32" s="24"/>
      <c r="C32" s="9" t="s">
        <v>101</v>
      </c>
      <c r="G32" s="69" t="s">
        <v>32</v>
      </c>
      <c r="H32" s="15" t="s">
        <v>150</v>
      </c>
      <c r="J32" s="49" t="s">
        <v>25</v>
      </c>
      <c r="O32" s="10">
        <v>2024</v>
      </c>
      <c r="Q32" s="10">
        <v>2027</v>
      </c>
      <c r="S32" s="114">
        <v>25</v>
      </c>
      <c r="T32" s="15"/>
    </row>
    <row r="33" spans="2:20" x14ac:dyDescent="0.2">
      <c r="B33" s="24"/>
      <c r="H33" s="54"/>
      <c r="J33" s="49" t="s">
        <v>24</v>
      </c>
      <c r="O33" s="119">
        <v>7000000</v>
      </c>
      <c r="Q33" s="119">
        <v>12500000</v>
      </c>
      <c r="S33" s="111" t="s">
        <v>92</v>
      </c>
      <c r="T33" s="15"/>
    </row>
    <row r="34" spans="2:20" x14ac:dyDescent="0.2">
      <c r="B34" s="24"/>
      <c r="C34" s="13" t="s">
        <v>29</v>
      </c>
      <c r="G34" s="66" t="s">
        <v>26</v>
      </c>
      <c r="H34" s="54"/>
      <c r="J34" s="49" t="str">
        <f>"Amount Spent as at: "&amp;TEXT((DATE(G9-1,12,31)),"[$-F800]dddd, mmmm dd, yyyy")</f>
        <v>Amount Spent as at: December 31, 2023</v>
      </c>
      <c r="O34" s="119">
        <v>3500000</v>
      </c>
      <c r="Q34" s="115" t="s">
        <v>19</v>
      </c>
      <c r="S34" s="115" t="s">
        <v>19</v>
      </c>
      <c r="T34" s="15"/>
    </row>
    <row r="35" spans="2:20" x14ac:dyDescent="0.2">
      <c r="B35" s="24"/>
      <c r="C35" s="9" t="s">
        <v>98</v>
      </c>
      <c r="G35" s="96">
        <f>Q31</f>
        <v>2025</v>
      </c>
      <c r="H35" s="54"/>
      <c r="J35" s="49" t="s">
        <v>8</v>
      </c>
      <c r="O35" s="94">
        <v>0.06</v>
      </c>
      <c r="P35" s="82"/>
      <c r="Q35" s="94">
        <v>5.5E-2</v>
      </c>
      <c r="R35" s="82"/>
      <c r="S35" s="94">
        <v>2.5000000000000001E-2</v>
      </c>
      <c r="T35" s="15"/>
    </row>
    <row r="36" spans="2:20" x14ac:dyDescent="0.2">
      <c r="B36" s="24"/>
      <c r="C36" s="9" t="s">
        <v>27</v>
      </c>
      <c r="G36" s="96">
        <f>Q32</f>
        <v>2027</v>
      </c>
      <c r="H36" s="15"/>
      <c r="J36" s="49" t="s">
        <v>10</v>
      </c>
      <c r="K36" s="28"/>
      <c r="O36" s="113" t="s">
        <v>9</v>
      </c>
      <c r="P36" s="95"/>
      <c r="Q36" s="113" t="s">
        <v>9</v>
      </c>
      <c r="R36" s="95"/>
      <c r="S36" s="113" t="s">
        <v>18</v>
      </c>
      <c r="T36" s="15"/>
    </row>
    <row r="37" spans="2:20" x14ac:dyDescent="0.2">
      <c r="B37" s="24"/>
      <c r="C37" s="9" t="s">
        <v>24</v>
      </c>
      <c r="G37" s="119">
        <v>18750000</v>
      </c>
      <c r="H37" s="15"/>
      <c r="J37" s="49" t="s">
        <v>12</v>
      </c>
      <c r="O37" s="113" t="s">
        <v>99</v>
      </c>
      <c r="P37" s="95"/>
      <c r="Q37" s="113" t="s">
        <v>99</v>
      </c>
      <c r="R37" s="95"/>
      <c r="S37" s="113" t="s">
        <v>11</v>
      </c>
      <c r="T37" s="15"/>
    </row>
    <row r="38" spans="2:20" x14ac:dyDescent="0.2">
      <c r="B38" s="24"/>
      <c r="H38" s="15"/>
      <c r="J38" s="49" t="s">
        <v>86</v>
      </c>
      <c r="O38" s="113" t="s">
        <v>85</v>
      </c>
      <c r="P38" s="95"/>
      <c r="Q38" s="113" t="s">
        <v>85</v>
      </c>
      <c r="R38" s="95"/>
      <c r="S38" s="113" t="s">
        <v>87</v>
      </c>
      <c r="T38" s="15"/>
    </row>
    <row r="39" spans="2:20" x14ac:dyDescent="0.2">
      <c r="B39" s="27"/>
      <c r="C39" s="6"/>
      <c r="D39" s="6"/>
      <c r="E39" s="6"/>
      <c r="F39" s="6"/>
      <c r="G39" s="6"/>
      <c r="H39" s="16"/>
      <c r="J39" s="25"/>
      <c r="K39" s="6"/>
      <c r="L39" s="6"/>
      <c r="M39" s="6"/>
      <c r="N39" s="6"/>
      <c r="O39" s="6"/>
      <c r="P39" s="6"/>
      <c r="Q39" s="6"/>
      <c r="R39" s="6"/>
      <c r="S39" s="6"/>
      <c r="T39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T320"/>
  <sheetViews>
    <sheetView showGridLines="0" topLeftCell="A260" zoomScaleNormal="100" workbookViewId="0">
      <selection activeCell="J253" sqref="J253"/>
    </sheetView>
  </sheetViews>
  <sheetFormatPr defaultRowHeight="14.25" x14ac:dyDescent="0.2"/>
  <cols>
    <col min="1" max="1" width="5.625" customWidth="1"/>
    <col min="2" max="2" width="1.625" customWidth="1"/>
    <col min="9" max="12" width="8.75" bestFit="1" customWidth="1"/>
    <col min="13" max="13" width="9" bestFit="1" customWidth="1"/>
    <col min="14" max="19" width="8.75" bestFit="1" customWidth="1"/>
    <col min="20" max="20" width="1.625" customWidth="1"/>
  </cols>
  <sheetData>
    <row r="2" spans="2:20" ht="28.15" customHeight="1" x14ac:dyDescent="0.2">
      <c r="B2" s="51" t="s">
        <v>114</v>
      </c>
      <c r="C2" s="37"/>
      <c r="D2" s="37"/>
      <c r="E2" s="37"/>
      <c r="F2" s="37"/>
      <c r="G2" s="37"/>
      <c r="H2" s="37"/>
      <c r="I2" s="37"/>
      <c r="J2" s="37"/>
      <c r="K2" s="38"/>
      <c r="L2" s="38"/>
      <c r="M2" s="38"/>
      <c r="N2" s="38"/>
      <c r="O2" s="38"/>
      <c r="P2" s="38"/>
      <c r="Q2" s="38"/>
      <c r="R2" s="38"/>
      <c r="S2" s="38"/>
      <c r="T2" s="42"/>
    </row>
    <row r="4" spans="2:20" x14ac:dyDescent="0.2"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20" x14ac:dyDescent="0.2">
      <c r="B5" s="41" t="s">
        <v>108</v>
      </c>
      <c r="C5" s="37"/>
      <c r="D5" s="37"/>
      <c r="E5" s="37"/>
      <c r="F5" s="37"/>
      <c r="G5" s="37"/>
      <c r="H5" s="37"/>
      <c r="I5" s="37"/>
      <c r="J5" s="37"/>
      <c r="K5" s="38"/>
      <c r="L5" s="38"/>
      <c r="M5" s="38"/>
      <c r="N5" s="38"/>
      <c r="O5" s="38"/>
      <c r="P5" s="38"/>
      <c r="Q5" s="38"/>
      <c r="R5" s="38"/>
      <c r="S5" s="38"/>
      <c r="T5" s="42"/>
    </row>
    <row r="6" spans="2:20" x14ac:dyDescent="0.2">
      <c r="B6" s="58"/>
      <c r="C6" s="34" t="str">
        <f>"See the Model Build below, beginning in Row "&amp;ROW(A58)</f>
        <v>See the Model Build below, beginning in Row 58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60"/>
    </row>
    <row r="7" spans="2:20" x14ac:dyDescent="0.2">
      <c r="B7" s="63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</row>
    <row r="9" spans="2:20" x14ac:dyDescent="0.2"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2:20" x14ac:dyDescent="0.2">
      <c r="B10" s="41" t="s">
        <v>109</v>
      </c>
      <c r="C10" s="37"/>
      <c r="D10" s="37"/>
      <c r="E10" s="37"/>
      <c r="F10" s="37"/>
      <c r="G10" s="37"/>
      <c r="H10" s="37"/>
      <c r="I10" s="37"/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42"/>
    </row>
    <row r="11" spans="2:20" x14ac:dyDescent="0.2">
      <c r="B11" s="58"/>
      <c r="C11" s="28" t="str">
        <f ca="1">IFERROR(C17&amp;" is Paid off in: "&amp;TEXT(INDEX($I$15:$S$15,MATCH(0,I17:S17,0)),"0;[Red]0")&amp;" (see below for details):",C17&amp;" does NOT get Paid off (see below for details):")</f>
        <v>Existing Debt I is Paid off in: 2027 (see below for details):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pans="2:20" x14ac:dyDescent="0.2">
      <c r="B12" s="61"/>
      <c r="C12" s="28" t="str">
        <f ca="1">IFERROR(C18&amp;" is Paid off in: "&amp;TEXT(INDEX($I$15:$S$15,MATCH(0,I18:S18,0)),"0;[Red]0")&amp;" (see below for details):",C18&amp;" does NOT get Paid off (see below for details):")</f>
        <v>Existing Debt II is Paid off in: 2027 (see below for details):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62"/>
    </row>
    <row r="13" spans="2:20" x14ac:dyDescent="0.2">
      <c r="B13" s="61"/>
      <c r="C13" s="28" t="str">
        <f ca="1">IFERROR(C19&amp;" is Paid off in: "&amp;TEXT(INDEX($I$15:$S$15,MATCH(0,I19:S19,0)),"0;[Red]0")&amp;" (see below for details):",C19&amp;" does NOT get Paid off (see below for details):")</f>
        <v>Existing Debt III is Paid off in: 2029 (see below for details):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62"/>
    </row>
    <row r="14" spans="2:20" x14ac:dyDescent="0.2">
      <c r="B14" s="61"/>
      <c r="C14" s="28" t="str">
        <f ca="1">IFERROR("All Existing Debt is Paid off in: "&amp;TEXT(INDEX($I$15:$S$15,MATCH(0,I20:S20,0)),"0;[Red]0")&amp;" (see below for details):","All Existing Debt does not get Paid off (see below for details):")</f>
        <v>All Existing Debt is Paid off in: 2029 (see below for details):</v>
      </c>
      <c r="D14" s="28"/>
      <c r="E14" s="28"/>
      <c r="F14" s="28"/>
      <c r="G14" s="28"/>
      <c r="H14" s="28"/>
      <c r="J14" s="31" t="str">
        <f>J$103</f>
        <v>Forecast</v>
      </c>
      <c r="K14" s="32"/>
      <c r="L14" s="32"/>
      <c r="M14" s="32"/>
      <c r="N14" s="32"/>
      <c r="O14" s="32"/>
      <c r="P14" s="32"/>
      <c r="Q14" s="32"/>
      <c r="R14" s="32"/>
      <c r="S14" s="32"/>
      <c r="T14" s="62"/>
    </row>
    <row r="15" spans="2:20" x14ac:dyDescent="0.2">
      <c r="B15" s="61"/>
      <c r="D15" s="28"/>
      <c r="E15" s="28"/>
      <c r="F15" s="28"/>
      <c r="G15" s="28"/>
      <c r="H15" s="28"/>
      <c r="I15" s="12">
        <f t="shared" ref="I15:S15" si="0">I$104</f>
        <v>2023</v>
      </c>
      <c r="J15" s="29">
        <f t="shared" si="0"/>
        <v>2024</v>
      </c>
      <c r="K15" s="30">
        <f t="shared" si="0"/>
        <v>2025</v>
      </c>
      <c r="L15" s="30">
        <f t="shared" si="0"/>
        <v>2026</v>
      </c>
      <c r="M15" s="30">
        <f t="shared" si="0"/>
        <v>2027</v>
      </c>
      <c r="N15" s="30">
        <f t="shared" si="0"/>
        <v>2028</v>
      </c>
      <c r="O15" s="30">
        <f t="shared" si="0"/>
        <v>2029</v>
      </c>
      <c r="P15" s="30">
        <f t="shared" si="0"/>
        <v>2030</v>
      </c>
      <c r="Q15" s="30">
        <f t="shared" si="0"/>
        <v>2031</v>
      </c>
      <c r="R15" s="30">
        <f t="shared" si="0"/>
        <v>2032</v>
      </c>
      <c r="S15" s="30">
        <f t="shared" si="0"/>
        <v>2033</v>
      </c>
      <c r="T15" s="62"/>
    </row>
    <row r="16" spans="2:20" x14ac:dyDescent="0.2">
      <c r="B16" s="61"/>
      <c r="C16" s="56" t="s">
        <v>79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62"/>
    </row>
    <row r="17" spans="2:20" x14ac:dyDescent="0.2">
      <c r="B17" s="61"/>
      <c r="C17" s="28" t="str">
        <f>C264</f>
        <v>Existing Debt I</v>
      </c>
      <c r="D17" s="28"/>
      <c r="E17" s="28"/>
      <c r="F17" s="28"/>
      <c r="G17" s="28"/>
      <c r="H17" s="28"/>
      <c r="I17" s="122"/>
      <c r="J17" s="122">
        <f t="shared" ref="J17:S17" ca="1" si="1">J270</f>
        <v>3016710.3538663173</v>
      </c>
      <c r="K17" s="122">
        <f t="shared" ca="1" si="1"/>
        <v>3309287.7669542693</v>
      </c>
      <c r="L17" s="122">
        <f t="shared" ca="1" si="1"/>
        <v>3041359.0082686017</v>
      </c>
      <c r="M17" s="122">
        <f t="shared" ca="1" si="1"/>
        <v>0</v>
      </c>
      <c r="N17" s="122">
        <f t="shared" ca="1" si="1"/>
        <v>0</v>
      </c>
      <c r="O17" s="122">
        <f t="shared" ca="1" si="1"/>
        <v>0</v>
      </c>
      <c r="P17" s="122">
        <f t="shared" ca="1" si="1"/>
        <v>0</v>
      </c>
      <c r="Q17" s="122">
        <f t="shared" ca="1" si="1"/>
        <v>0</v>
      </c>
      <c r="R17" s="122">
        <f t="shared" ca="1" si="1"/>
        <v>0</v>
      </c>
      <c r="S17" s="122">
        <f t="shared" ca="1" si="1"/>
        <v>0</v>
      </c>
      <c r="T17" s="62"/>
    </row>
    <row r="18" spans="2:20" x14ac:dyDescent="0.2">
      <c r="B18" s="61"/>
      <c r="C18" s="28" t="str">
        <f>C277</f>
        <v>Existing Debt II</v>
      </c>
      <c r="D18" s="28"/>
      <c r="E18" s="28"/>
      <c r="F18" s="28"/>
      <c r="G18" s="28"/>
      <c r="H18" s="28"/>
      <c r="I18" s="122"/>
      <c r="J18" s="122">
        <f t="shared" ref="J18:S18" ca="1" si="2">J283</f>
        <v>1637254.9019607843</v>
      </c>
      <c r="K18" s="122">
        <f t="shared" ca="1" si="2"/>
        <v>1787069.0759964117</v>
      </c>
      <c r="L18" s="122">
        <f t="shared" ca="1" si="2"/>
        <v>1950591.7365451029</v>
      </c>
      <c r="M18" s="122">
        <f t="shared" ca="1" si="2"/>
        <v>0</v>
      </c>
      <c r="N18" s="122">
        <f t="shared" ca="1" si="2"/>
        <v>0</v>
      </c>
      <c r="O18" s="122">
        <f t="shared" ca="1" si="2"/>
        <v>0</v>
      </c>
      <c r="P18" s="122">
        <f t="shared" ca="1" si="2"/>
        <v>0</v>
      </c>
      <c r="Q18" s="122">
        <f t="shared" ca="1" si="2"/>
        <v>0</v>
      </c>
      <c r="R18" s="122">
        <f t="shared" ca="1" si="2"/>
        <v>0</v>
      </c>
      <c r="S18" s="122">
        <f t="shared" ca="1" si="2"/>
        <v>0</v>
      </c>
      <c r="T18" s="62"/>
    </row>
    <row r="19" spans="2:20" x14ac:dyDescent="0.2">
      <c r="B19" s="61"/>
      <c r="C19" s="28" t="str">
        <f>C290</f>
        <v>Existing Debt III</v>
      </c>
      <c r="D19" s="28"/>
      <c r="E19" s="28"/>
      <c r="F19" s="28"/>
      <c r="G19" s="28"/>
      <c r="H19" s="28"/>
      <c r="I19" s="122"/>
      <c r="J19" s="122">
        <f t="shared" ref="J19:S19" ca="1" si="3">J296</f>
        <v>2225000</v>
      </c>
      <c r="K19" s="122">
        <f t="shared" ca="1" si="3"/>
        <v>2225000</v>
      </c>
      <c r="L19" s="122">
        <f t="shared" ca="1" si="3"/>
        <v>2225000</v>
      </c>
      <c r="M19" s="122">
        <f t="shared" ca="1" si="3"/>
        <v>1433946.4109683351</v>
      </c>
      <c r="N19" s="122">
        <f t="shared" ca="1" si="3"/>
        <v>473297.37387836061</v>
      </c>
      <c r="O19" s="122">
        <f t="shared" ca="1" si="3"/>
        <v>0</v>
      </c>
      <c r="P19" s="122">
        <f t="shared" ca="1" si="3"/>
        <v>0</v>
      </c>
      <c r="Q19" s="122">
        <f t="shared" ca="1" si="3"/>
        <v>0</v>
      </c>
      <c r="R19" s="122">
        <f t="shared" ca="1" si="3"/>
        <v>0</v>
      </c>
      <c r="S19" s="122">
        <f t="shared" ca="1" si="3"/>
        <v>0</v>
      </c>
      <c r="T19" s="62"/>
    </row>
    <row r="20" spans="2:20" x14ac:dyDescent="0.2">
      <c r="B20" s="61"/>
      <c r="C20" s="56" t="s">
        <v>80</v>
      </c>
      <c r="D20" s="28"/>
      <c r="E20" s="28"/>
      <c r="F20" s="28"/>
      <c r="G20" s="28"/>
      <c r="H20" s="28"/>
      <c r="I20" s="124"/>
      <c r="J20" s="124">
        <f t="shared" ref="J20:S20" ca="1" si="4">SUM(J17:J19)</f>
        <v>6878965.2558271019</v>
      </c>
      <c r="K20" s="124">
        <f t="shared" ca="1" si="4"/>
        <v>7321356.8429506812</v>
      </c>
      <c r="L20" s="124">
        <f t="shared" ca="1" si="4"/>
        <v>7216950.7448137049</v>
      </c>
      <c r="M20" s="124">
        <f t="shared" ca="1" si="4"/>
        <v>1433946.4109683351</v>
      </c>
      <c r="N20" s="124">
        <f t="shared" ca="1" si="4"/>
        <v>473297.37387836061</v>
      </c>
      <c r="O20" s="124">
        <f t="shared" ca="1" si="4"/>
        <v>0</v>
      </c>
      <c r="P20" s="124">
        <f t="shared" ca="1" si="4"/>
        <v>0</v>
      </c>
      <c r="Q20" s="124">
        <f t="shared" ca="1" si="4"/>
        <v>0</v>
      </c>
      <c r="R20" s="124">
        <f t="shared" ca="1" si="4"/>
        <v>0</v>
      </c>
      <c r="S20" s="124">
        <f t="shared" ca="1" si="4"/>
        <v>0</v>
      </c>
      <c r="T20" s="62"/>
    </row>
    <row r="21" spans="2:20" x14ac:dyDescent="0.2"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5"/>
    </row>
    <row r="23" spans="2:20" x14ac:dyDescent="0.2"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2:20" x14ac:dyDescent="0.2">
      <c r="B24" s="41" t="s">
        <v>110</v>
      </c>
      <c r="C24" s="37"/>
      <c r="D24" s="37"/>
      <c r="E24" s="37"/>
      <c r="F24" s="37"/>
      <c r="G24" s="37"/>
      <c r="H24" s="37"/>
      <c r="I24" s="37"/>
      <c r="J24" s="37"/>
      <c r="K24" s="38"/>
      <c r="L24" s="38"/>
      <c r="M24" s="38"/>
      <c r="N24" s="38"/>
      <c r="O24" s="38"/>
      <c r="P24" s="38"/>
      <c r="Q24" s="38"/>
      <c r="R24" s="38"/>
      <c r="S24" s="38"/>
      <c r="T24" s="42"/>
    </row>
    <row r="25" spans="2:20" x14ac:dyDescent="0.2">
      <c r="B25" s="58"/>
      <c r="C25" s="59" t="str">
        <f ca="1">C31&amp;" Paid is: "&amp;TEXT(SUM(J31:S31),"$#,##0;[Red]$#,##0")</f>
        <v>Total Interest Paid is: $5059,079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60"/>
    </row>
    <row r="26" spans="2:20" x14ac:dyDescent="0.2">
      <c r="B26" s="61"/>
      <c r="C26" s="28" t="str">
        <f ca="1">"This consists of "&amp;C29&amp;" of: "&amp;TEXT(SUM(J29:S29),"$#,##0;[Red]$#,##0")&amp; ", and "&amp;C30&amp;" of: "&amp;TEXT(SUM(J30:S30),"$#,##0;[Red]$#,##0")</f>
        <v>This consists of Non-Cash Interest of: $2914,005, and Cash Interest of: $2145,074</v>
      </c>
      <c r="D26" s="28"/>
      <c r="E26" s="28"/>
      <c r="F26" s="28"/>
      <c r="G26" s="28"/>
      <c r="H26" s="28"/>
      <c r="J26" s="31" t="str">
        <f>J$103</f>
        <v>Forecast</v>
      </c>
      <c r="K26" s="32"/>
      <c r="L26" s="32"/>
      <c r="M26" s="32"/>
      <c r="N26" s="32"/>
      <c r="O26" s="32"/>
      <c r="P26" s="32"/>
      <c r="Q26" s="32"/>
      <c r="R26" s="32"/>
      <c r="S26" s="32"/>
      <c r="T26" s="62"/>
    </row>
    <row r="27" spans="2:20" x14ac:dyDescent="0.2">
      <c r="B27" s="61"/>
      <c r="D27" s="28"/>
      <c r="E27" s="28"/>
      <c r="F27" s="28"/>
      <c r="G27" s="28"/>
      <c r="H27" s="28"/>
      <c r="I27" s="12">
        <f t="shared" ref="I27:S27" si="5">I$104</f>
        <v>2023</v>
      </c>
      <c r="J27" s="29">
        <f t="shared" si="5"/>
        <v>2024</v>
      </c>
      <c r="K27" s="30">
        <f t="shared" si="5"/>
        <v>2025</v>
      </c>
      <c r="L27" s="30">
        <f t="shared" si="5"/>
        <v>2026</v>
      </c>
      <c r="M27" s="30">
        <f t="shared" si="5"/>
        <v>2027</v>
      </c>
      <c r="N27" s="30">
        <f t="shared" si="5"/>
        <v>2028</v>
      </c>
      <c r="O27" s="30">
        <f t="shared" si="5"/>
        <v>2029</v>
      </c>
      <c r="P27" s="30">
        <f t="shared" si="5"/>
        <v>2030</v>
      </c>
      <c r="Q27" s="30">
        <f t="shared" si="5"/>
        <v>2031</v>
      </c>
      <c r="R27" s="30">
        <f t="shared" si="5"/>
        <v>2032</v>
      </c>
      <c r="S27" s="30">
        <f t="shared" si="5"/>
        <v>2033</v>
      </c>
      <c r="T27" s="62"/>
    </row>
    <row r="28" spans="2:20" x14ac:dyDescent="0.2">
      <c r="B28" s="61"/>
      <c r="C28" s="56" t="s">
        <v>81</v>
      </c>
      <c r="D28" s="28"/>
      <c r="E28" s="28"/>
      <c r="F28" s="28"/>
      <c r="G28" s="28"/>
      <c r="H28" s="2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62"/>
    </row>
    <row r="29" spans="2:20" x14ac:dyDescent="0.2">
      <c r="B29" s="61"/>
      <c r="C29" s="28" t="str">
        <f>C317</f>
        <v>Non-Cash Interest</v>
      </c>
      <c r="D29" s="28"/>
      <c r="E29" s="28"/>
      <c r="F29" s="28"/>
      <c r="G29" s="28"/>
      <c r="H29" s="28"/>
      <c r="I29" s="28"/>
      <c r="J29" s="122">
        <f t="shared" ref="J29:S29" ca="1" si="6">J317</f>
        <v>725265.25582710153</v>
      </c>
      <c r="K29" s="122">
        <f t="shared" ca="1" si="6"/>
        <v>556974.92045691283</v>
      </c>
      <c r="L29" s="122">
        <f t="shared" ca="1" si="6"/>
        <v>807292.15723608248</v>
      </c>
      <c r="M29" s="122">
        <f t="shared" ca="1" si="6"/>
        <v>824472.85718960431</v>
      </c>
      <c r="N29" s="122">
        <f t="shared" ca="1" si="6"/>
        <v>0</v>
      </c>
      <c r="O29" s="122">
        <f t="shared" ca="1" si="6"/>
        <v>0</v>
      </c>
      <c r="P29" s="122">
        <f t="shared" ca="1" si="6"/>
        <v>0</v>
      </c>
      <c r="Q29" s="122">
        <f t="shared" ca="1" si="6"/>
        <v>0</v>
      </c>
      <c r="R29" s="122">
        <f t="shared" ca="1" si="6"/>
        <v>0</v>
      </c>
      <c r="S29" s="122">
        <f t="shared" ca="1" si="6"/>
        <v>0</v>
      </c>
      <c r="T29" s="62"/>
    </row>
    <row r="30" spans="2:20" x14ac:dyDescent="0.2">
      <c r="B30" s="61"/>
      <c r="C30" s="28" t="str">
        <f>C318</f>
        <v>Cash Interest</v>
      </c>
      <c r="D30" s="28"/>
      <c r="E30" s="28"/>
      <c r="F30" s="28"/>
      <c r="G30" s="28"/>
      <c r="H30" s="28"/>
      <c r="I30" s="28"/>
      <c r="J30" s="122">
        <f t="shared" ref="J30:S30" ca="1" si="7">J318</f>
        <v>188873.23943661971</v>
      </c>
      <c r="K30" s="122">
        <f t="shared" ca="1" si="7"/>
        <v>378321.39151776768</v>
      </c>
      <c r="L30" s="122">
        <f t="shared" ca="1" si="7"/>
        <v>368400.35776958871</v>
      </c>
      <c r="M30" s="122">
        <f t="shared" ca="1" si="7"/>
        <v>327594.14885508385</v>
      </c>
      <c r="N30" s="122">
        <f t="shared" ca="1" si="7"/>
        <v>252253.51338066679</v>
      </c>
      <c r="O30" s="122">
        <f t="shared" ca="1" si="7"/>
        <v>185014.07355545205</v>
      </c>
      <c r="P30" s="122">
        <f t="shared" ca="1" si="7"/>
        <v>147362.02463646978</v>
      </c>
      <c r="Q30" s="122">
        <f t="shared" ca="1" si="7"/>
        <v>123893.38512816394</v>
      </c>
      <c r="R30" s="122">
        <f t="shared" ca="1" si="7"/>
        <v>99427.661519441841</v>
      </c>
      <c r="S30" s="122">
        <f t="shared" ca="1" si="7"/>
        <v>73933.72467082525</v>
      </c>
      <c r="T30" s="62"/>
    </row>
    <row r="31" spans="2:20" x14ac:dyDescent="0.2">
      <c r="B31" s="61"/>
      <c r="C31" s="56" t="str">
        <f>C319</f>
        <v>Total Interest</v>
      </c>
      <c r="D31" s="28"/>
      <c r="E31" s="28"/>
      <c r="F31" s="28"/>
      <c r="G31" s="28"/>
      <c r="H31" s="28"/>
      <c r="I31" s="21"/>
      <c r="J31" s="124">
        <f t="shared" ref="J31:S31" ca="1" si="8">J319</f>
        <v>914138.49526372121</v>
      </c>
      <c r="K31" s="124">
        <f t="shared" ca="1" si="8"/>
        <v>935296.31197468052</v>
      </c>
      <c r="L31" s="124">
        <f t="shared" ca="1" si="8"/>
        <v>1175692.5150056712</v>
      </c>
      <c r="M31" s="124">
        <f t="shared" ca="1" si="8"/>
        <v>1152067.0060446882</v>
      </c>
      <c r="N31" s="124">
        <f t="shared" ca="1" si="8"/>
        <v>252253.51338066679</v>
      </c>
      <c r="O31" s="124">
        <f t="shared" ca="1" si="8"/>
        <v>185014.07355545205</v>
      </c>
      <c r="P31" s="124">
        <f t="shared" ca="1" si="8"/>
        <v>147362.02463646978</v>
      </c>
      <c r="Q31" s="124">
        <f t="shared" ca="1" si="8"/>
        <v>123893.38512816394</v>
      </c>
      <c r="R31" s="124">
        <f t="shared" ca="1" si="8"/>
        <v>99427.661519441841</v>
      </c>
      <c r="S31" s="124">
        <f t="shared" ca="1" si="8"/>
        <v>73933.72467082525</v>
      </c>
      <c r="T31" s="62"/>
    </row>
    <row r="32" spans="2:20" x14ac:dyDescent="0.2"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5"/>
    </row>
    <row r="34" spans="2:20" x14ac:dyDescent="0.2"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20" x14ac:dyDescent="0.2">
      <c r="B35" s="41" t="s">
        <v>111</v>
      </c>
      <c r="C35" s="37"/>
      <c r="D35" s="37"/>
      <c r="E35" s="37"/>
      <c r="F35" s="37"/>
      <c r="G35" s="37"/>
      <c r="H35" s="37"/>
      <c r="I35" s="37"/>
      <c r="J35" s="37"/>
      <c r="K35" s="38"/>
      <c r="L35" s="38"/>
      <c r="M35" s="38"/>
      <c r="N35" s="38"/>
      <c r="O35" s="38"/>
      <c r="P35" s="38"/>
      <c r="Q35" s="38"/>
      <c r="R35" s="38"/>
      <c r="S35" s="38"/>
      <c r="T35" s="42"/>
    </row>
    <row r="36" spans="2:20" x14ac:dyDescent="0.2">
      <c r="B36" s="58"/>
      <c r="C36" s="59" t="str">
        <f>"The Amount of Mortgage Take-Out Financing for Property II is: "&amp;TEXT(-SUM(I184:S184),"$#,##0;[Red]$#,##0")</f>
        <v>The Amount of Mortgage Take-Out Financing for Property II is: $7,426,300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60"/>
    </row>
    <row r="37" spans="2:20" x14ac:dyDescent="0.2"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5"/>
    </row>
    <row r="39" spans="2:20" x14ac:dyDescent="0.2"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2:20" x14ac:dyDescent="0.2">
      <c r="B40" s="41" t="s">
        <v>112</v>
      </c>
      <c r="C40" s="37"/>
      <c r="D40" s="37"/>
      <c r="E40" s="37"/>
      <c r="F40" s="37"/>
      <c r="G40" s="37"/>
      <c r="H40" s="37"/>
      <c r="I40" s="37"/>
      <c r="J40" s="37"/>
      <c r="K40" s="38"/>
      <c r="L40" s="38"/>
      <c r="M40" s="38"/>
      <c r="N40" s="38"/>
      <c r="O40" s="38"/>
      <c r="P40" s="38"/>
      <c r="Q40" s="38"/>
      <c r="R40" s="38"/>
      <c r="S40" s="38"/>
      <c r="T40" s="42"/>
    </row>
    <row r="41" spans="2:20" x14ac:dyDescent="0.2">
      <c r="B41" s="58"/>
      <c r="C41" s="59" t="str">
        <f>"The Property Sold for: "&amp;TEXT(SUM(J131:S131),"$#,##0;[Red]$#,##0")</f>
        <v>The Property Sold for: $18,750,000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60"/>
    </row>
    <row r="42" spans="2:20" x14ac:dyDescent="0.2">
      <c r="B42" s="61"/>
      <c r="C42" s="28" t="str">
        <f>"Total Loan and Interest Paid was: "&amp;TEXT(SUM(J210:S210),"$#,##0;[Red]$#,##0")</f>
        <v>Total Loan and Interest Paid was: $13,563,107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62"/>
    </row>
    <row r="43" spans="2:20" x14ac:dyDescent="0.2">
      <c r="B43" s="61"/>
      <c r="C43" s="28" t="str">
        <f>"Thus, the Profit from Selling Property II is: "&amp;TEXT(SUM(J131:S131,J210:S210),"$#,##0;[Red]$#,##0")</f>
        <v>Thus, the Profit from Selling Property II is: $5,186,893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62"/>
    </row>
    <row r="44" spans="2:20" x14ac:dyDescent="0.2"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5"/>
    </row>
    <row r="46" spans="2:20" x14ac:dyDescent="0.2"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2:20" x14ac:dyDescent="0.2">
      <c r="B47" s="3" t="s">
        <v>113</v>
      </c>
      <c r="C47" s="8"/>
      <c r="D47" s="8"/>
      <c r="E47" s="8"/>
      <c r="F47" s="8"/>
      <c r="G47" s="8"/>
      <c r="H47" s="8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2"/>
    </row>
    <row r="48" spans="2:20" x14ac:dyDescent="0.2">
      <c r="B48" s="58"/>
      <c r="C48" s="28" t="str">
        <f>"The Maximum Amount allowed to be Borrowed under the Revolver is: "&amp;TEXT(Q76,"$#,##0;[Red]$#,##0")</f>
        <v>The Maximum Amount allowed to be Borrowed under the Revolver is: $1,000,000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60"/>
    </row>
    <row r="49" spans="2:20" x14ac:dyDescent="0.2">
      <c r="B49" s="61"/>
      <c r="C49" s="28" t="str">
        <f ca="1">IF(SUM(J53:S53)&lt;&gt;0,"Yes, the Revolver Trips (see below for details):","No, the Revolver does NOT Trip (see below for details):")</f>
        <v>No, the Revolver does NOT Trip (see below for details):</v>
      </c>
      <c r="D49" s="28"/>
      <c r="E49" s="28"/>
      <c r="F49" s="28"/>
      <c r="G49" s="28"/>
      <c r="H49" s="28"/>
      <c r="J49" s="31" t="str">
        <f>J$103</f>
        <v>Forecast</v>
      </c>
      <c r="K49" s="32"/>
      <c r="L49" s="32"/>
      <c r="M49" s="32"/>
      <c r="N49" s="32"/>
      <c r="O49" s="32"/>
      <c r="P49" s="32"/>
      <c r="Q49" s="32"/>
      <c r="R49" s="32"/>
      <c r="S49" s="32"/>
      <c r="T49" s="62"/>
    </row>
    <row r="50" spans="2:20" x14ac:dyDescent="0.2">
      <c r="B50" s="61"/>
      <c r="D50" s="28"/>
      <c r="E50" s="28"/>
      <c r="F50" s="28"/>
      <c r="G50" s="28"/>
      <c r="H50" s="28"/>
      <c r="I50" s="12">
        <f t="shared" ref="I50:S50" si="9">I$104</f>
        <v>2023</v>
      </c>
      <c r="J50" s="29">
        <f t="shared" si="9"/>
        <v>2024</v>
      </c>
      <c r="K50" s="30">
        <f t="shared" si="9"/>
        <v>2025</v>
      </c>
      <c r="L50" s="30">
        <f t="shared" si="9"/>
        <v>2026</v>
      </c>
      <c r="M50" s="30">
        <f t="shared" si="9"/>
        <v>2027</v>
      </c>
      <c r="N50" s="30">
        <f t="shared" si="9"/>
        <v>2028</v>
      </c>
      <c r="O50" s="30">
        <f t="shared" si="9"/>
        <v>2029</v>
      </c>
      <c r="P50" s="30">
        <f t="shared" si="9"/>
        <v>2030</v>
      </c>
      <c r="Q50" s="30">
        <f t="shared" si="9"/>
        <v>2031</v>
      </c>
      <c r="R50" s="30">
        <f t="shared" si="9"/>
        <v>2032</v>
      </c>
      <c r="S50" s="30">
        <f t="shared" si="9"/>
        <v>2033</v>
      </c>
      <c r="T50" s="62"/>
    </row>
    <row r="51" spans="2:20" x14ac:dyDescent="0.2">
      <c r="B51" s="61"/>
      <c r="C51" s="56" t="s">
        <v>73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62"/>
    </row>
    <row r="52" spans="2:20" x14ac:dyDescent="0.2">
      <c r="B52" s="61"/>
      <c r="C52" s="28" t="s">
        <v>43</v>
      </c>
      <c r="D52" s="28"/>
      <c r="E52" s="28"/>
      <c r="F52" s="28"/>
      <c r="G52" s="28"/>
      <c r="H52" s="28"/>
      <c r="I52" s="28"/>
      <c r="J52" s="122">
        <f t="shared" ref="J52:S52" ca="1" si="10">J235</f>
        <v>188873.23943661992</v>
      </c>
      <c r="K52" s="122">
        <f t="shared" ca="1" si="10"/>
        <v>159606.40341675724</v>
      </c>
      <c r="L52" s="122">
        <f t="shared" ca="1" si="10"/>
        <v>0</v>
      </c>
      <c r="M52" s="122">
        <f t="shared" ca="1" si="10"/>
        <v>0</v>
      </c>
      <c r="N52" s="122">
        <f t="shared" ca="1" si="10"/>
        <v>0</v>
      </c>
      <c r="O52" s="122">
        <f t="shared" ca="1" si="10"/>
        <v>0</v>
      </c>
      <c r="P52" s="122">
        <f t="shared" ca="1" si="10"/>
        <v>0</v>
      </c>
      <c r="Q52" s="122">
        <f t="shared" ca="1" si="10"/>
        <v>0</v>
      </c>
      <c r="R52" s="122">
        <f t="shared" ca="1" si="10"/>
        <v>0</v>
      </c>
      <c r="S52" s="122">
        <f t="shared" ca="1" si="10"/>
        <v>0</v>
      </c>
      <c r="T52" s="62"/>
    </row>
    <row r="53" spans="2:20" x14ac:dyDescent="0.2">
      <c r="B53" s="61"/>
      <c r="C53" s="28" t="s">
        <v>78</v>
      </c>
      <c r="D53" s="28"/>
      <c r="E53" s="28"/>
      <c r="F53" s="28"/>
      <c r="G53" s="28"/>
      <c r="H53" s="28"/>
      <c r="I53" s="70"/>
      <c r="J53" s="70">
        <f t="shared" ref="J53:S53" ca="1" si="11">IF(J52&gt;$Q$76,1,0)</f>
        <v>0</v>
      </c>
      <c r="K53" s="70">
        <f t="shared" ca="1" si="11"/>
        <v>0</v>
      </c>
      <c r="L53" s="70">
        <f t="shared" ca="1" si="11"/>
        <v>0</v>
      </c>
      <c r="M53" s="70">
        <f t="shared" ca="1" si="11"/>
        <v>0</v>
      </c>
      <c r="N53" s="70">
        <f t="shared" ca="1" si="11"/>
        <v>0</v>
      </c>
      <c r="O53" s="70">
        <f t="shared" ca="1" si="11"/>
        <v>0</v>
      </c>
      <c r="P53" s="70">
        <f t="shared" ca="1" si="11"/>
        <v>0</v>
      </c>
      <c r="Q53" s="70">
        <f t="shared" ca="1" si="11"/>
        <v>0</v>
      </c>
      <c r="R53" s="70">
        <f t="shared" ca="1" si="11"/>
        <v>0</v>
      </c>
      <c r="S53" s="70">
        <f t="shared" ca="1" si="11"/>
        <v>0</v>
      </c>
      <c r="T53" s="62"/>
    </row>
    <row r="54" spans="2:20" x14ac:dyDescent="0.2">
      <c r="B54" s="61"/>
      <c r="C54" s="28" t="s">
        <v>77</v>
      </c>
      <c r="D54" s="28"/>
      <c r="E54" s="28"/>
      <c r="F54" s="28"/>
      <c r="G54" s="28"/>
      <c r="H54" s="28"/>
      <c r="I54" s="28"/>
      <c r="J54" s="122">
        <f t="shared" ref="J54:S54" ca="1" si="12">-MIN(J242,J52)*J53</f>
        <v>0</v>
      </c>
      <c r="K54" s="122">
        <f t="shared" ca="1" si="12"/>
        <v>0</v>
      </c>
      <c r="L54" s="122">
        <f t="shared" ca="1" si="12"/>
        <v>0</v>
      </c>
      <c r="M54" s="122">
        <f t="shared" ca="1" si="12"/>
        <v>0</v>
      </c>
      <c r="N54" s="122">
        <f t="shared" ca="1" si="12"/>
        <v>0</v>
      </c>
      <c r="O54" s="122">
        <f t="shared" ca="1" si="12"/>
        <v>0</v>
      </c>
      <c r="P54" s="122">
        <f t="shared" ca="1" si="12"/>
        <v>0</v>
      </c>
      <c r="Q54" s="122">
        <f t="shared" ca="1" si="12"/>
        <v>0</v>
      </c>
      <c r="R54" s="122">
        <f t="shared" ca="1" si="12"/>
        <v>0</v>
      </c>
      <c r="S54" s="122">
        <f t="shared" ca="1" si="12"/>
        <v>0</v>
      </c>
      <c r="T54" s="62"/>
    </row>
    <row r="55" spans="2:20" x14ac:dyDescent="0.2">
      <c r="B55" s="63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5"/>
    </row>
    <row r="58" spans="2:20" ht="28.15" customHeight="1" x14ac:dyDescent="0.2">
      <c r="B58" s="51" t="s">
        <v>116</v>
      </c>
      <c r="C58" s="37"/>
      <c r="D58" s="37"/>
      <c r="E58" s="37"/>
      <c r="F58" s="37"/>
      <c r="G58" s="37"/>
      <c r="H58" s="37"/>
      <c r="I58" s="37"/>
      <c r="J58" s="37"/>
      <c r="K58" s="38"/>
      <c r="L58" s="38"/>
      <c r="M58" s="38"/>
      <c r="N58" s="38"/>
      <c r="O58" s="38"/>
      <c r="P58" s="38"/>
      <c r="Q58" s="38"/>
      <c r="R58" s="38"/>
      <c r="S58" s="38"/>
      <c r="T58" s="42"/>
    </row>
    <row r="61" spans="2:20" x14ac:dyDescent="0.2">
      <c r="B61" s="41" t="str">
        <f>CaseData!B5</f>
        <v>ASSUMPTIONS</v>
      </c>
      <c r="C61" s="37"/>
      <c r="D61" s="37"/>
      <c r="E61" s="37"/>
      <c r="F61" s="37"/>
      <c r="G61" s="37"/>
      <c r="H61" s="37"/>
      <c r="I61" s="37"/>
      <c r="J61" s="37"/>
      <c r="K61" s="38"/>
      <c r="L61" s="38"/>
      <c r="M61" s="38"/>
      <c r="N61" s="38"/>
      <c r="O61" s="38"/>
      <c r="P61" s="38"/>
      <c r="Q61" s="38"/>
      <c r="R61" s="38"/>
      <c r="S61" s="38"/>
      <c r="T61" s="42"/>
    </row>
    <row r="63" spans="2:20" x14ac:dyDescent="0.2">
      <c r="B63" s="3" t="str">
        <f>CaseData!B7</f>
        <v>TIMING</v>
      </c>
      <c r="C63" s="8"/>
      <c r="D63" s="8"/>
      <c r="E63" s="8"/>
      <c r="F63" s="8"/>
      <c r="G63" s="1"/>
      <c r="H63" s="2"/>
      <c r="J63" s="3" t="str">
        <f>CaseData!J7</f>
        <v>EXISTING DEBT</v>
      </c>
      <c r="K63" s="8"/>
      <c r="L63" s="8"/>
      <c r="M63" s="1"/>
      <c r="N63" s="1"/>
      <c r="O63" s="1"/>
      <c r="P63" s="1"/>
      <c r="Q63" s="1"/>
      <c r="R63" s="1"/>
      <c r="S63" s="1"/>
      <c r="T63" s="2"/>
    </row>
    <row r="64" spans="2:20" x14ac:dyDescent="0.2">
      <c r="B64" s="24"/>
      <c r="G64" s="104" t="str">
        <f>CaseData!G8</f>
        <v>Information</v>
      </c>
      <c r="H64" s="15"/>
      <c r="J64" s="67"/>
      <c r="K64" s="7"/>
      <c r="L64" s="7"/>
      <c r="M64" s="7"/>
      <c r="O64" s="104" t="str">
        <f>CaseData!O8</f>
        <v>Existing Debt I</v>
      </c>
      <c r="P64" s="68"/>
      <c r="Q64" s="104" t="str">
        <f>CaseData!Q8</f>
        <v>Existing Debt II</v>
      </c>
      <c r="R64" s="68"/>
      <c r="S64" s="104" t="str">
        <f>CaseData!S8</f>
        <v>Existing Debt III</v>
      </c>
      <c r="T64" s="14"/>
    </row>
    <row r="65" spans="2:20" x14ac:dyDescent="0.2">
      <c r="B65" s="24"/>
      <c r="C65" s="9" t="str">
        <f>CaseData!C9</f>
        <v>Start Year</v>
      </c>
      <c r="G65" s="96">
        <f>CaseData!G9</f>
        <v>2024</v>
      </c>
      <c r="H65" s="15"/>
      <c r="J65" s="49" t="str">
        <f>CaseData!J9</f>
        <v>Outstanding Balance as at: December 31, 2023</v>
      </c>
      <c r="O65" s="117">
        <f>CaseData!O9</f>
        <v>2750000</v>
      </c>
      <c r="Q65" s="117">
        <f>CaseData!Q9</f>
        <v>1500000</v>
      </c>
      <c r="S65" s="117">
        <f>CaseData!S9</f>
        <v>2225000</v>
      </c>
      <c r="T65" s="15"/>
    </row>
    <row r="66" spans="2:20" x14ac:dyDescent="0.2">
      <c r="B66" s="24"/>
      <c r="C66" s="9" t="str">
        <f>CaseData!C10</f>
        <v>Periodicity</v>
      </c>
      <c r="D66" s="10"/>
      <c r="E66" s="10"/>
      <c r="F66" s="10"/>
      <c r="G66" s="105" t="str">
        <f>CaseData!G10</f>
        <v>Annual</v>
      </c>
      <c r="H66" s="15"/>
      <c r="J66" s="49" t="str">
        <f>CaseData!J10</f>
        <v>Interest Rate</v>
      </c>
      <c r="O66" s="106">
        <f>CaseData!O10</f>
        <v>9.2499999999999999E-2</v>
      </c>
      <c r="P66" s="82"/>
      <c r="Q66" s="106">
        <f>CaseData!Q10</f>
        <v>8.7499999999999994E-2</v>
      </c>
      <c r="S66" s="108">
        <f>CaseData!S10</f>
        <v>7.9500000000000001E-2</v>
      </c>
      <c r="T66" s="15"/>
    </row>
    <row r="67" spans="2:20" x14ac:dyDescent="0.2">
      <c r="B67" s="24"/>
      <c r="H67" s="15"/>
      <c r="J67" s="49" t="str">
        <f>CaseData!J11</f>
        <v>Annual Payment</v>
      </c>
      <c r="K67" s="28"/>
      <c r="O67" s="107" t="str">
        <f>CaseData!O11</f>
        <v>Interest Only</v>
      </c>
      <c r="P67" s="95"/>
      <c r="Q67" s="107" t="str">
        <f>CaseData!Q11</f>
        <v>Interest Only</v>
      </c>
      <c r="R67" s="95"/>
      <c r="S67" s="107" t="str">
        <f>CaseData!S11</f>
        <v>Interest Only</v>
      </c>
      <c r="T67" s="15"/>
    </row>
    <row r="68" spans="2:20" x14ac:dyDescent="0.2">
      <c r="B68" s="24"/>
      <c r="H68" s="15"/>
      <c r="J68" s="49" t="str">
        <f>CaseData!J12</f>
        <v>Interest Payment Type</v>
      </c>
      <c r="O68" s="107" t="str">
        <f>CaseData!O12</f>
        <v>Non-Cash / Accrued</v>
      </c>
      <c r="P68" s="95"/>
      <c r="Q68" s="107" t="str">
        <f>CaseData!Q12</f>
        <v>Non-Cash / Accrued</v>
      </c>
      <c r="R68" s="95"/>
      <c r="S68" s="107" t="str">
        <f>CaseData!S12</f>
        <v>Cash</v>
      </c>
      <c r="T68" s="15"/>
    </row>
    <row r="69" spans="2:20" x14ac:dyDescent="0.2">
      <c r="B69" s="24"/>
      <c r="C69" s="9"/>
      <c r="D69" s="10"/>
      <c r="E69" s="10"/>
      <c r="F69" s="10"/>
      <c r="G69" s="55"/>
      <c r="H69" s="15"/>
      <c r="J69" s="49" t="str">
        <f>CaseData!J13</f>
        <v>Principal Repayment Priority (After Revolver)</v>
      </c>
      <c r="O69" s="107" t="str">
        <f>CaseData!O13</f>
        <v>Pay Down First</v>
      </c>
      <c r="P69" s="95"/>
      <c r="Q69" s="107" t="str">
        <f>CaseData!Q13</f>
        <v>Pay Down Second</v>
      </c>
      <c r="R69" s="95"/>
      <c r="S69" s="107" t="str">
        <f>CaseData!S13</f>
        <v>Pay Down Third</v>
      </c>
      <c r="T69" s="15"/>
    </row>
    <row r="70" spans="2:20" x14ac:dyDescent="0.2">
      <c r="B70" s="5"/>
      <c r="C70" s="46"/>
      <c r="D70" s="11"/>
      <c r="E70" s="11"/>
      <c r="F70" s="11"/>
      <c r="G70" s="43"/>
      <c r="H70" s="16"/>
      <c r="J70" s="25"/>
      <c r="K70" s="6"/>
      <c r="L70" s="6"/>
      <c r="M70" s="6"/>
      <c r="N70" s="6"/>
      <c r="O70" s="6"/>
      <c r="P70" s="6"/>
      <c r="Q70" s="6"/>
      <c r="R70" s="6"/>
      <c r="S70" s="6"/>
      <c r="T70" s="16"/>
    </row>
    <row r="73" spans="2:20" x14ac:dyDescent="0.2">
      <c r="B73" s="3" t="str">
        <f>CaseData!B17</f>
        <v>FREE CASH FLOW BEFORE DEBT SERVICE</v>
      </c>
      <c r="C73" s="8"/>
      <c r="D73" s="8"/>
      <c r="E73" s="8"/>
      <c r="F73" s="8"/>
      <c r="G73" s="1"/>
      <c r="H73" s="2"/>
      <c r="J73" s="3" t="str">
        <f>CaseData!J17</f>
        <v>CASH BALANCE AND REVOLVER</v>
      </c>
      <c r="K73" s="8"/>
      <c r="L73" s="8"/>
      <c r="M73" s="1"/>
      <c r="N73" s="1"/>
      <c r="O73" s="1"/>
      <c r="P73" s="1"/>
      <c r="Q73" s="1"/>
      <c r="R73" s="1"/>
      <c r="S73" s="1"/>
      <c r="T73" s="2"/>
    </row>
    <row r="74" spans="2:20" x14ac:dyDescent="0.2">
      <c r="B74" s="18"/>
      <c r="F74" s="109"/>
      <c r="G74" s="104" t="str">
        <f>CaseData!G18</f>
        <v>Information</v>
      </c>
      <c r="H74" s="14"/>
      <c r="J74" s="18"/>
      <c r="K74" s="7"/>
      <c r="L74" s="7"/>
      <c r="M74" s="7"/>
      <c r="O74" s="104" t="str">
        <f>CaseData!O18</f>
        <v>Cash Account</v>
      </c>
      <c r="P74" s="68"/>
      <c r="Q74" s="104" t="str">
        <f>CaseData!Q18</f>
        <v>Revolver</v>
      </c>
      <c r="R74" s="7"/>
      <c r="S74" s="7"/>
      <c r="T74" s="14"/>
    </row>
    <row r="75" spans="2:20" x14ac:dyDescent="0.2">
      <c r="B75" s="24"/>
      <c r="C75" s="9" t="str">
        <f>CaseData!C19</f>
        <v>Start Year</v>
      </c>
      <c r="F75" s="109"/>
      <c r="G75" s="96">
        <f>CaseData!G19</f>
        <v>2025</v>
      </c>
      <c r="H75" s="54"/>
      <c r="J75" s="49" t="str">
        <f>CaseData!J19</f>
        <v>Outstanding Balance as at: December 31, 2023</v>
      </c>
      <c r="O75" s="117">
        <f>CaseData!O19</f>
        <v>0</v>
      </c>
      <c r="Q75" s="117">
        <f>CaseData!Q19</f>
        <v>0</v>
      </c>
      <c r="T75" s="15"/>
    </row>
    <row r="76" spans="2:20" x14ac:dyDescent="0.2">
      <c r="B76" s="24"/>
      <c r="C76" s="9" t="str">
        <f>CaseData!C20</f>
        <v>Free Cash Flow Before Debt Service</v>
      </c>
      <c r="F76" s="109"/>
      <c r="G76" s="117">
        <f>CaseData!G20</f>
        <v>1250000</v>
      </c>
      <c r="H76" s="15"/>
      <c r="J76" s="49" t="str">
        <f>CaseData!J20</f>
        <v>Maximum Amount</v>
      </c>
      <c r="O76" s="111" t="str">
        <f>CaseData!O20</f>
        <v>N/A</v>
      </c>
      <c r="Q76" s="117">
        <f>CaseData!Q20</f>
        <v>1000000</v>
      </c>
      <c r="T76" s="15"/>
    </row>
    <row r="77" spans="2:20" x14ac:dyDescent="0.2">
      <c r="B77" s="24"/>
      <c r="C77" s="9" t="str">
        <f>CaseData!C21</f>
        <v>Occupancy Rate (2025 - 2025)</v>
      </c>
      <c r="F77" s="110">
        <f>CaseData!F21</f>
        <v>1</v>
      </c>
      <c r="G77" s="106">
        <f>CaseData!G21</f>
        <v>0.5</v>
      </c>
      <c r="H77" s="15"/>
      <c r="J77" s="49" t="str">
        <f>CaseData!J21</f>
        <v>Interest Rate</v>
      </c>
      <c r="O77" s="106">
        <f>CaseData!O21</f>
        <v>1.4999999999999999E-2</v>
      </c>
      <c r="P77" s="82"/>
      <c r="Q77" s="106">
        <f>CaseData!Q21</f>
        <v>5.5E-2</v>
      </c>
      <c r="T77" s="15"/>
    </row>
    <row r="78" spans="2:20" x14ac:dyDescent="0.2">
      <c r="B78" s="24"/>
      <c r="C78" s="9" t="str">
        <f>CaseData!C22</f>
        <v>Occupancy Rate in 2026 and Beyond</v>
      </c>
      <c r="D78" s="10"/>
      <c r="E78" s="10"/>
      <c r="F78" s="96"/>
      <c r="G78" s="106">
        <f>CaseData!G22</f>
        <v>1</v>
      </c>
      <c r="H78" s="15"/>
      <c r="J78" s="49" t="str">
        <f>CaseData!J22</f>
        <v>Standby Fee Rate</v>
      </c>
      <c r="O78" s="107" t="str">
        <f>CaseData!O22</f>
        <v>N/A</v>
      </c>
      <c r="Q78" s="108">
        <f>CaseData!Q22</f>
        <v>7.4999999999999997E-3</v>
      </c>
      <c r="T78" s="15"/>
    </row>
    <row r="79" spans="2:20" x14ac:dyDescent="0.2">
      <c r="B79" s="24"/>
      <c r="C79" s="9" t="str">
        <f>CaseData!C23</f>
        <v>Growth Rate (2026 - 2028)</v>
      </c>
      <c r="F79" s="110">
        <f>CaseData!F23</f>
        <v>3</v>
      </c>
      <c r="G79" s="106">
        <f>CaseData!G23</f>
        <v>0.05</v>
      </c>
      <c r="H79" s="53"/>
      <c r="J79" s="49" t="str">
        <f>CaseData!J23</f>
        <v>Annual Payment</v>
      </c>
      <c r="O79" s="107" t="str">
        <f>CaseData!O23</f>
        <v>Interest Only</v>
      </c>
      <c r="P79" s="95"/>
      <c r="Q79" s="107" t="str">
        <f>CaseData!Q23</f>
        <v>Principal + Interest</v>
      </c>
      <c r="T79" s="15"/>
    </row>
    <row r="80" spans="2:20" x14ac:dyDescent="0.2">
      <c r="B80" s="24"/>
      <c r="C80" s="9" t="str">
        <f>CaseData!C24</f>
        <v>Growth Rate 2029 and Beyond</v>
      </c>
      <c r="F80" s="109"/>
      <c r="G80" s="106">
        <f>CaseData!G24</f>
        <v>2.5000000000000001E-2</v>
      </c>
      <c r="H80" s="53"/>
      <c r="J80" s="49" t="str">
        <f>CaseData!J24</f>
        <v>Interest Payment Type</v>
      </c>
      <c r="O80" s="107" t="str">
        <f>CaseData!O24</f>
        <v>Cash</v>
      </c>
      <c r="P80" s="95"/>
      <c r="Q80" s="107" t="str">
        <f>CaseData!Q24</f>
        <v>Cash</v>
      </c>
      <c r="T80" s="15"/>
    </row>
    <row r="81" spans="2:20" x14ac:dyDescent="0.2">
      <c r="B81" s="24"/>
      <c r="C81" s="9"/>
      <c r="G81" s="94"/>
      <c r="H81" s="53"/>
      <c r="J81" s="49" t="str">
        <f>CaseData!J25</f>
        <v>Repayment Priority</v>
      </c>
      <c r="O81" s="107" t="str">
        <f>CaseData!O25</f>
        <v>N/A</v>
      </c>
      <c r="P81" s="95"/>
      <c r="Q81" s="107" t="str">
        <f>CaseData!Q25</f>
        <v>Cash Sweep</v>
      </c>
      <c r="T81" s="15"/>
    </row>
    <row r="82" spans="2:20" x14ac:dyDescent="0.2">
      <c r="B82" s="27"/>
      <c r="C82" s="6"/>
      <c r="D82" s="6"/>
      <c r="E82" s="6"/>
      <c r="F82" s="6"/>
      <c r="G82" s="6"/>
      <c r="H82" s="16"/>
      <c r="J82" s="25"/>
      <c r="K82" s="26"/>
      <c r="L82" s="39"/>
      <c r="M82" s="6"/>
      <c r="N82" s="6"/>
      <c r="O82" s="6"/>
      <c r="P82" s="6"/>
      <c r="Q82" s="6"/>
      <c r="R82" s="6"/>
      <c r="S82" s="6"/>
      <c r="T82" s="16"/>
    </row>
    <row r="85" spans="2:20" x14ac:dyDescent="0.2">
      <c r="B85" s="3" t="str">
        <f>CaseData!B29</f>
        <v>PROPERTY DETAILS</v>
      </c>
      <c r="C85" s="8"/>
      <c r="D85" s="8"/>
      <c r="E85" s="8"/>
      <c r="F85" s="8"/>
      <c r="G85" s="1"/>
      <c r="H85" s="2"/>
      <c r="J85" s="3" t="str">
        <f>CaseData!J29</f>
        <v>NEW DEBT</v>
      </c>
      <c r="K85" s="8"/>
      <c r="L85" s="8"/>
      <c r="M85" s="1"/>
      <c r="N85" s="1"/>
      <c r="O85" s="1"/>
      <c r="P85" s="1"/>
      <c r="Q85" s="1"/>
      <c r="R85" s="1"/>
      <c r="S85" s="1"/>
      <c r="T85" s="2"/>
    </row>
    <row r="86" spans="2:20" x14ac:dyDescent="0.2">
      <c r="B86" s="18"/>
      <c r="C86" s="13" t="str">
        <f>CaseData!C30</f>
        <v>Property I</v>
      </c>
      <c r="G86" s="66" t="str">
        <f>CaseData!G30</f>
        <v>Information</v>
      </c>
      <c r="H86" s="14"/>
      <c r="J86" s="67"/>
      <c r="K86" s="7"/>
      <c r="L86" s="7"/>
      <c r="M86" s="7"/>
      <c r="O86" s="104" t="str">
        <f>CaseData!O30</f>
        <v>Construction Loan I</v>
      </c>
      <c r="P86" s="68"/>
      <c r="Q86" s="104" t="str">
        <f>CaseData!Q30</f>
        <v>Construction Loan II</v>
      </c>
      <c r="R86" s="68"/>
      <c r="S86" s="104" t="str">
        <f>CaseData!S30</f>
        <v>Mortgage Loan</v>
      </c>
      <c r="T86" s="14"/>
    </row>
    <row r="87" spans="2:20" x14ac:dyDescent="0.2">
      <c r="B87" s="24"/>
      <c r="C87" s="9" t="str">
        <f>CaseData!C31</f>
        <v>Start Renting</v>
      </c>
      <c r="G87" s="35">
        <f>CaseData!G31</f>
        <v>2025</v>
      </c>
      <c r="H87" s="54"/>
      <c r="J87" s="49" t="str">
        <f>CaseData!J31</f>
        <v>Issuance</v>
      </c>
      <c r="O87" s="96">
        <f>CaseData!O31</f>
        <v>2023</v>
      </c>
      <c r="Q87" s="96">
        <f>CaseData!Q31</f>
        <v>2025</v>
      </c>
      <c r="S87" s="96">
        <f>CaseData!S31</f>
        <v>2024</v>
      </c>
      <c r="T87" s="15"/>
    </row>
    <row r="88" spans="2:20" x14ac:dyDescent="0.2">
      <c r="B88" s="24"/>
      <c r="C88" s="9" t="str">
        <f>CaseData!C32</f>
        <v>Free Cash Flow Before Debt Service Information</v>
      </c>
      <c r="G88" s="69" t="str">
        <f>CaseData!G32</f>
        <v>See box above</v>
      </c>
      <c r="H88" s="54"/>
      <c r="J88" s="49" t="str">
        <f>CaseData!J32</f>
        <v>Payment / Term</v>
      </c>
      <c r="O88" s="96">
        <f>CaseData!O32</f>
        <v>2024</v>
      </c>
      <c r="Q88" s="96">
        <f>CaseData!Q32</f>
        <v>2027</v>
      </c>
      <c r="S88" s="110">
        <f>CaseData!S32</f>
        <v>25</v>
      </c>
      <c r="T88" s="15"/>
    </row>
    <row r="89" spans="2:20" x14ac:dyDescent="0.2">
      <c r="B89" s="24"/>
      <c r="H89" s="54"/>
      <c r="J89" s="49" t="str">
        <f>CaseData!J33</f>
        <v>Amount</v>
      </c>
      <c r="O89" s="117">
        <f>CaseData!O33</f>
        <v>7000000</v>
      </c>
      <c r="Q89" s="117">
        <f>CaseData!Q33</f>
        <v>12500000</v>
      </c>
      <c r="S89" s="103" t="str">
        <f>CaseData!S33</f>
        <v>End Value of Constr. Loan I</v>
      </c>
      <c r="T89" s="15"/>
    </row>
    <row r="90" spans="2:20" x14ac:dyDescent="0.2">
      <c r="B90" s="24"/>
      <c r="C90" s="13" t="str">
        <f>CaseData!C34</f>
        <v>Property II</v>
      </c>
      <c r="G90" s="112" t="str">
        <f>CaseData!G34</f>
        <v>Information</v>
      </c>
      <c r="H90" s="54"/>
      <c r="J90" s="49" t="str">
        <f>CaseData!J34</f>
        <v>Amount Spent as at: December 31, 2023</v>
      </c>
      <c r="O90" s="117">
        <f>CaseData!O34</f>
        <v>3500000</v>
      </c>
      <c r="Q90" s="111" t="str">
        <f>CaseData!Q34</f>
        <v>N/A</v>
      </c>
      <c r="S90" s="111" t="str">
        <f>CaseData!S34</f>
        <v>N/A</v>
      </c>
      <c r="T90" s="15"/>
    </row>
    <row r="91" spans="2:20" x14ac:dyDescent="0.2">
      <c r="B91" s="24"/>
      <c r="C91" s="9" t="str">
        <f>CaseData!C35</f>
        <v>Construction Start</v>
      </c>
      <c r="G91" s="35">
        <f>CaseData!G35</f>
        <v>2025</v>
      </c>
      <c r="H91" s="54"/>
      <c r="J91" s="49" t="str">
        <f>CaseData!J35</f>
        <v>Interest Rate</v>
      </c>
      <c r="O91" s="106">
        <f>CaseData!O35</f>
        <v>0.06</v>
      </c>
      <c r="P91" s="82"/>
      <c r="Q91" s="106">
        <f>CaseData!Q35</f>
        <v>5.5E-2</v>
      </c>
      <c r="R91" s="82"/>
      <c r="S91" s="106">
        <f>CaseData!S35</f>
        <v>2.5000000000000001E-2</v>
      </c>
      <c r="T91" s="15"/>
    </row>
    <row r="92" spans="2:20" x14ac:dyDescent="0.2">
      <c r="B92" s="24"/>
      <c r="C92" s="9" t="str">
        <f>CaseData!C36</f>
        <v>Year Sold</v>
      </c>
      <c r="G92" s="35">
        <f>CaseData!G36</f>
        <v>2027</v>
      </c>
      <c r="H92" s="15"/>
      <c r="J92" s="49" t="str">
        <f>CaseData!J36</f>
        <v>Annual Payment</v>
      </c>
      <c r="K92" s="28"/>
      <c r="O92" s="107" t="str">
        <f>CaseData!O36</f>
        <v>Interest Only</v>
      </c>
      <c r="P92" s="95"/>
      <c r="Q92" s="107" t="str">
        <f>CaseData!Q36</f>
        <v>Interest Only</v>
      </c>
      <c r="R92" s="95"/>
      <c r="S92" s="107" t="str">
        <f>CaseData!S36</f>
        <v>Principal + Interest</v>
      </c>
      <c r="T92" s="15"/>
    </row>
    <row r="93" spans="2:20" x14ac:dyDescent="0.2">
      <c r="B93" s="24"/>
      <c r="C93" s="9" t="str">
        <f>CaseData!C37</f>
        <v>Amount</v>
      </c>
      <c r="G93" s="117">
        <f>CaseData!G37</f>
        <v>18750000</v>
      </c>
      <c r="H93" s="15"/>
      <c r="J93" s="49" t="str">
        <f>CaseData!J37</f>
        <v>Interest Payment Type</v>
      </c>
      <c r="O93" s="107" t="str">
        <f>CaseData!O37</f>
        <v>Non-Cash / Accrued</v>
      </c>
      <c r="P93" s="95"/>
      <c r="Q93" s="107" t="str">
        <f>CaseData!Q37</f>
        <v>Non-Cash / Accrued</v>
      </c>
      <c r="R93" s="95"/>
      <c r="S93" s="107" t="str">
        <f>CaseData!S37</f>
        <v>Cash</v>
      </c>
      <c r="T93" s="15"/>
    </row>
    <row r="94" spans="2:20" x14ac:dyDescent="0.2">
      <c r="B94" s="24"/>
      <c r="H94" s="15"/>
      <c r="J94" s="49" t="str">
        <f>CaseData!J38</f>
        <v>Final Payment</v>
      </c>
      <c r="O94" s="107" t="str">
        <f>CaseData!O38</f>
        <v>Competion of Construction</v>
      </c>
      <c r="P94" s="95"/>
      <c r="Q94" s="107" t="str">
        <f>CaseData!Q38</f>
        <v>Competion of Construction</v>
      </c>
      <c r="R94" s="95"/>
      <c r="S94" s="107" t="str">
        <f>CaseData!S38</f>
        <v>N/A (Annual Amortization)</v>
      </c>
      <c r="T94" s="15"/>
    </row>
    <row r="95" spans="2:20" x14ac:dyDescent="0.2">
      <c r="B95" s="27"/>
      <c r="C95" s="6"/>
      <c r="D95" s="6"/>
      <c r="E95" s="6"/>
      <c r="F95" s="6"/>
      <c r="G95" s="6"/>
      <c r="H95" s="16"/>
      <c r="J95" s="25"/>
      <c r="K95" s="6"/>
      <c r="L95" s="6"/>
      <c r="M95" s="6"/>
      <c r="N95" s="6"/>
      <c r="O95" s="6"/>
      <c r="P95" s="6"/>
      <c r="Q95" s="6"/>
      <c r="R95" s="6"/>
      <c r="S95" s="6"/>
      <c r="T95" s="16"/>
    </row>
    <row r="97" spans="1:20" x14ac:dyDescent="0.2">
      <c r="J97" s="22"/>
      <c r="K97" s="22"/>
    </row>
    <row r="98" spans="1:20" x14ac:dyDescent="0.2">
      <c r="J98" s="22"/>
      <c r="K98" s="22"/>
    </row>
    <row r="99" spans="1:20" x14ac:dyDescent="0.2">
      <c r="B99" s="41" t="s">
        <v>5</v>
      </c>
      <c r="C99" s="37"/>
      <c r="D99" s="37"/>
      <c r="E99" s="37"/>
      <c r="F99" s="37"/>
      <c r="G99" s="37"/>
      <c r="H99" s="37"/>
      <c r="I99" s="37"/>
      <c r="J99" s="37"/>
      <c r="K99" s="38"/>
      <c r="L99" s="38"/>
      <c r="M99" s="38"/>
      <c r="N99" s="38"/>
      <c r="O99" s="38"/>
      <c r="P99" s="38"/>
      <c r="Q99" s="38"/>
      <c r="R99" s="38"/>
      <c r="S99" s="38"/>
      <c r="T99" s="42"/>
    </row>
    <row r="100" spans="1:20" x14ac:dyDescent="0.2">
      <c r="G100" s="10"/>
    </row>
    <row r="101" spans="1:20" x14ac:dyDescent="0.2">
      <c r="A101" s="132"/>
      <c r="B101" s="3" t="s">
        <v>106</v>
      </c>
      <c r="C101" s="8"/>
      <c r="D101" s="8"/>
      <c r="E101" s="8"/>
      <c r="F101" s="8"/>
      <c r="G101" s="8"/>
      <c r="H101" s="8"/>
      <c r="I101" s="8"/>
      <c r="J101" s="8"/>
      <c r="K101" s="1"/>
      <c r="L101" s="1"/>
      <c r="M101" s="1"/>
      <c r="N101" s="1"/>
      <c r="O101" s="1"/>
      <c r="P101" s="1"/>
      <c r="Q101" s="1"/>
      <c r="R101" s="1"/>
      <c r="S101" s="1"/>
      <c r="T101" s="2"/>
    </row>
    <row r="102" spans="1:20" x14ac:dyDescent="0.2">
      <c r="A102" s="132"/>
      <c r="B102" s="4"/>
      <c r="D102" s="9"/>
      <c r="E102" s="9"/>
      <c r="F102" s="9"/>
      <c r="G102" s="9"/>
      <c r="H102" s="9"/>
      <c r="I102" s="9"/>
      <c r="J102" s="9"/>
      <c r="K102" s="9"/>
      <c r="L102" s="9"/>
      <c r="T102" s="15"/>
    </row>
    <row r="103" spans="1:20" x14ac:dyDescent="0.2">
      <c r="A103" s="132"/>
      <c r="B103" s="4"/>
      <c r="D103" s="9"/>
      <c r="E103" s="9"/>
      <c r="F103" s="9"/>
      <c r="G103" s="9"/>
      <c r="J103" s="31" t="s">
        <v>3</v>
      </c>
      <c r="K103" s="32"/>
      <c r="L103" s="32"/>
      <c r="M103" s="32"/>
      <c r="N103" s="32"/>
      <c r="O103" s="32"/>
      <c r="P103" s="32"/>
      <c r="Q103" s="32"/>
      <c r="R103" s="32"/>
      <c r="S103" s="32"/>
      <c r="T103" s="15"/>
    </row>
    <row r="104" spans="1:20" x14ac:dyDescent="0.2">
      <c r="A104" s="132"/>
      <c r="B104" s="4"/>
      <c r="G104" s="12"/>
      <c r="I104" s="12">
        <f>J104-1</f>
        <v>2023</v>
      </c>
      <c r="J104" s="29">
        <f>$G$65</f>
        <v>2024</v>
      </c>
      <c r="K104" s="30">
        <f t="shared" ref="K104:S104" si="13">J104+1</f>
        <v>2025</v>
      </c>
      <c r="L104" s="30">
        <f t="shared" si="13"/>
        <v>2026</v>
      </c>
      <c r="M104" s="30">
        <f t="shared" si="13"/>
        <v>2027</v>
      </c>
      <c r="N104" s="30">
        <f t="shared" si="13"/>
        <v>2028</v>
      </c>
      <c r="O104" s="30">
        <f t="shared" si="13"/>
        <v>2029</v>
      </c>
      <c r="P104" s="30">
        <f t="shared" si="13"/>
        <v>2030</v>
      </c>
      <c r="Q104" s="30">
        <f t="shared" si="13"/>
        <v>2031</v>
      </c>
      <c r="R104" s="30">
        <f t="shared" si="13"/>
        <v>2032</v>
      </c>
      <c r="S104" s="30">
        <f t="shared" si="13"/>
        <v>2033</v>
      </c>
      <c r="T104" s="19"/>
    </row>
    <row r="105" spans="1:20" x14ac:dyDescent="0.2">
      <c r="A105" s="132"/>
      <c r="B105" s="4"/>
      <c r="C105" s="9"/>
      <c r="G105" s="35"/>
      <c r="N105" s="47"/>
      <c r="O105" s="47"/>
      <c r="P105" s="47"/>
      <c r="Q105" s="47"/>
      <c r="R105" s="47"/>
      <c r="S105" s="47"/>
      <c r="T105" s="19"/>
    </row>
    <row r="106" spans="1:20" x14ac:dyDescent="0.2">
      <c r="A106" s="132"/>
      <c r="B106" s="4"/>
      <c r="C106" s="71" t="s">
        <v>35</v>
      </c>
      <c r="D106" s="40"/>
      <c r="E106" s="40"/>
      <c r="F106" s="40"/>
      <c r="G106" s="133" t="str">
        <f>O87&amp;" - "&amp;G111</f>
        <v>2023 - 2024</v>
      </c>
      <c r="H106" s="40"/>
      <c r="I106" s="73">
        <f t="shared" ref="I106:S106" si="14">IF(AND(I$104&gt;=$O$87,I$104&lt;=$G$111),1,0)</f>
        <v>1</v>
      </c>
      <c r="J106" s="73">
        <f t="shared" si="14"/>
        <v>1</v>
      </c>
      <c r="K106" s="73">
        <f t="shared" si="14"/>
        <v>0</v>
      </c>
      <c r="L106" s="73">
        <f t="shared" si="14"/>
        <v>0</v>
      </c>
      <c r="M106" s="73">
        <f t="shared" si="14"/>
        <v>0</v>
      </c>
      <c r="N106" s="73">
        <f t="shared" si="14"/>
        <v>0</v>
      </c>
      <c r="O106" s="73">
        <f t="shared" si="14"/>
        <v>0</v>
      </c>
      <c r="P106" s="73">
        <f t="shared" si="14"/>
        <v>0</v>
      </c>
      <c r="Q106" s="73">
        <f t="shared" si="14"/>
        <v>0</v>
      </c>
      <c r="R106" s="73">
        <f t="shared" si="14"/>
        <v>0</v>
      </c>
      <c r="S106" s="74">
        <f t="shared" si="14"/>
        <v>0</v>
      </c>
      <c r="T106" s="19"/>
    </row>
    <row r="107" spans="1:20" x14ac:dyDescent="0.2">
      <c r="A107" s="132"/>
      <c r="B107" s="4"/>
      <c r="C107" s="75" t="s">
        <v>53</v>
      </c>
      <c r="G107" s="69" t="str">
        <f>S87+1&amp;" &amp; Onward"</f>
        <v>2025 &amp; Onward</v>
      </c>
      <c r="I107" s="70">
        <f t="shared" ref="I107:S107" si="15">IF(I$104&gt;=$S$87+1,1,0)</f>
        <v>0</v>
      </c>
      <c r="J107" s="70">
        <f t="shared" si="15"/>
        <v>0</v>
      </c>
      <c r="K107" s="70">
        <f t="shared" si="15"/>
        <v>1</v>
      </c>
      <c r="L107" s="70">
        <f t="shared" si="15"/>
        <v>1</v>
      </c>
      <c r="M107" s="70">
        <f t="shared" si="15"/>
        <v>1</v>
      </c>
      <c r="N107" s="70">
        <f t="shared" si="15"/>
        <v>1</v>
      </c>
      <c r="O107" s="70">
        <f t="shared" si="15"/>
        <v>1</v>
      </c>
      <c r="P107" s="70">
        <f t="shared" si="15"/>
        <v>1</v>
      </c>
      <c r="Q107" s="70">
        <f t="shared" si="15"/>
        <v>1</v>
      </c>
      <c r="R107" s="70">
        <f t="shared" si="15"/>
        <v>1</v>
      </c>
      <c r="S107" s="76">
        <f t="shared" si="15"/>
        <v>1</v>
      </c>
      <c r="T107" s="19"/>
    </row>
    <row r="108" spans="1:20" x14ac:dyDescent="0.2">
      <c r="A108" s="132"/>
      <c r="B108" s="4"/>
      <c r="C108" s="75" t="s">
        <v>36</v>
      </c>
      <c r="G108" s="69" t="str">
        <f>G75&amp;" &amp; Onward"</f>
        <v>2025 &amp; Onward</v>
      </c>
      <c r="I108" s="70">
        <f t="shared" ref="I108:S108" si="16">IF(I$104&gt;=$G$113,1,0)</f>
        <v>0</v>
      </c>
      <c r="J108" s="70">
        <f t="shared" si="16"/>
        <v>0</v>
      </c>
      <c r="K108" s="70">
        <f t="shared" si="16"/>
        <v>1</v>
      </c>
      <c r="L108" s="70">
        <f t="shared" si="16"/>
        <v>1</v>
      </c>
      <c r="M108" s="70">
        <f t="shared" si="16"/>
        <v>1</v>
      </c>
      <c r="N108" s="70">
        <f t="shared" si="16"/>
        <v>1</v>
      </c>
      <c r="O108" s="70">
        <f t="shared" si="16"/>
        <v>1</v>
      </c>
      <c r="P108" s="70">
        <f t="shared" si="16"/>
        <v>1</v>
      </c>
      <c r="Q108" s="70">
        <f t="shared" si="16"/>
        <v>1</v>
      </c>
      <c r="R108" s="70">
        <f t="shared" si="16"/>
        <v>1</v>
      </c>
      <c r="S108" s="76">
        <f t="shared" si="16"/>
        <v>1</v>
      </c>
      <c r="T108" s="19"/>
    </row>
    <row r="109" spans="1:20" x14ac:dyDescent="0.2">
      <c r="A109" s="132"/>
      <c r="B109" s="4"/>
      <c r="C109" s="77" t="s">
        <v>34</v>
      </c>
      <c r="D109" s="78"/>
      <c r="E109" s="78"/>
      <c r="F109" s="78"/>
      <c r="G109" s="134" t="str">
        <f>G114&amp;" - "&amp;G115</f>
        <v>2025 - 2027</v>
      </c>
      <c r="H109" s="78"/>
      <c r="I109" s="80">
        <f t="shared" ref="I109:S109" si="17">IF(AND(I$104&gt;=$G$114,I$104&lt;=$G$115),1,0)</f>
        <v>0</v>
      </c>
      <c r="J109" s="80">
        <f t="shared" si="17"/>
        <v>0</v>
      </c>
      <c r="K109" s="80">
        <f t="shared" si="17"/>
        <v>1</v>
      </c>
      <c r="L109" s="80">
        <f t="shared" si="17"/>
        <v>1</v>
      </c>
      <c r="M109" s="80">
        <f t="shared" si="17"/>
        <v>1</v>
      </c>
      <c r="N109" s="80">
        <f t="shared" si="17"/>
        <v>0</v>
      </c>
      <c r="O109" s="80">
        <f t="shared" si="17"/>
        <v>0</v>
      </c>
      <c r="P109" s="80">
        <f t="shared" si="17"/>
        <v>0</v>
      </c>
      <c r="Q109" s="80">
        <f t="shared" si="17"/>
        <v>0</v>
      </c>
      <c r="R109" s="80">
        <f t="shared" si="17"/>
        <v>0</v>
      </c>
      <c r="S109" s="81">
        <f t="shared" si="17"/>
        <v>0</v>
      </c>
      <c r="T109" s="19"/>
    </row>
    <row r="110" spans="1:20" x14ac:dyDescent="0.2">
      <c r="A110" s="132"/>
      <c r="B110" s="4"/>
      <c r="N110" s="47"/>
      <c r="O110" s="47"/>
      <c r="P110" s="47"/>
      <c r="Q110" s="47"/>
      <c r="R110" s="47"/>
      <c r="S110" s="47"/>
      <c r="T110" s="19"/>
    </row>
    <row r="111" spans="1:20" x14ac:dyDescent="0.2">
      <c r="A111" s="132"/>
      <c r="B111" s="4"/>
      <c r="C111" s="71" t="s">
        <v>48</v>
      </c>
      <c r="D111" s="40"/>
      <c r="E111" s="40"/>
      <c r="F111" s="40"/>
      <c r="G111" s="72">
        <f>$O$88</f>
        <v>2024</v>
      </c>
      <c r="H111" s="40"/>
      <c r="I111" s="73">
        <f t="shared" ref="I111:S116" si="18">IF($G111=I$104,1,0)</f>
        <v>0</v>
      </c>
      <c r="J111" s="73">
        <f t="shared" si="18"/>
        <v>1</v>
      </c>
      <c r="K111" s="73">
        <f t="shared" si="18"/>
        <v>0</v>
      </c>
      <c r="L111" s="73">
        <f t="shared" si="18"/>
        <v>0</v>
      </c>
      <c r="M111" s="73">
        <f t="shared" si="18"/>
        <v>0</v>
      </c>
      <c r="N111" s="73">
        <f t="shared" si="18"/>
        <v>0</v>
      </c>
      <c r="O111" s="73">
        <f t="shared" si="18"/>
        <v>0</v>
      </c>
      <c r="P111" s="73">
        <f t="shared" si="18"/>
        <v>0</v>
      </c>
      <c r="Q111" s="73">
        <f t="shared" si="18"/>
        <v>0</v>
      </c>
      <c r="R111" s="73">
        <f t="shared" si="18"/>
        <v>0</v>
      </c>
      <c r="S111" s="74">
        <f t="shared" si="18"/>
        <v>0</v>
      </c>
      <c r="T111" s="19"/>
    </row>
    <row r="112" spans="1:20" x14ac:dyDescent="0.2">
      <c r="A112" s="132"/>
      <c r="B112" s="4"/>
      <c r="C112" s="75" t="s">
        <v>119</v>
      </c>
      <c r="G112" s="35">
        <f>$S$87</f>
        <v>2024</v>
      </c>
      <c r="I112" s="70">
        <f t="shared" si="18"/>
        <v>0</v>
      </c>
      <c r="J112" s="70">
        <f t="shared" si="18"/>
        <v>1</v>
      </c>
      <c r="K112" s="70">
        <f t="shared" si="18"/>
        <v>0</v>
      </c>
      <c r="L112" s="70">
        <f t="shared" si="18"/>
        <v>0</v>
      </c>
      <c r="M112" s="70">
        <f t="shared" si="18"/>
        <v>0</v>
      </c>
      <c r="N112" s="70">
        <f t="shared" si="18"/>
        <v>0</v>
      </c>
      <c r="O112" s="70">
        <f t="shared" si="18"/>
        <v>0</v>
      </c>
      <c r="P112" s="70">
        <f t="shared" si="18"/>
        <v>0</v>
      </c>
      <c r="Q112" s="70">
        <f t="shared" si="18"/>
        <v>0</v>
      </c>
      <c r="R112" s="70">
        <f t="shared" si="18"/>
        <v>0</v>
      </c>
      <c r="S112" s="76">
        <f t="shared" si="18"/>
        <v>0</v>
      </c>
      <c r="T112" s="19"/>
    </row>
    <row r="113" spans="1:20" x14ac:dyDescent="0.2">
      <c r="A113" s="132"/>
      <c r="B113" s="4"/>
      <c r="C113" s="75" t="s">
        <v>120</v>
      </c>
      <c r="G113" s="35">
        <f>$G$87</f>
        <v>2025</v>
      </c>
      <c r="I113" s="70">
        <f t="shared" si="18"/>
        <v>0</v>
      </c>
      <c r="J113" s="70">
        <f t="shared" si="18"/>
        <v>0</v>
      </c>
      <c r="K113" s="70">
        <f t="shared" si="18"/>
        <v>1</v>
      </c>
      <c r="L113" s="70">
        <f t="shared" si="18"/>
        <v>0</v>
      </c>
      <c r="M113" s="70">
        <f t="shared" si="18"/>
        <v>0</v>
      </c>
      <c r="N113" s="70">
        <f t="shared" si="18"/>
        <v>0</v>
      </c>
      <c r="O113" s="70">
        <f t="shared" si="18"/>
        <v>0</v>
      </c>
      <c r="P113" s="70">
        <f t="shared" si="18"/>
        <v>0</v>
      </c>
      <c r="Q113" s="70">
        <f t="shared" si="18"/>
        <v>0</v>
      </c>
      <c r="R113" s="70">
        <f t="shared" si="18"/>
        <v>0</v>
      </c>
      <c r="S113" s="76">
        <f t="shared" si="18"/>
        <v>0</v>
      </c>
      <c r="T113" s="19"/>
    </row>
    <row r="114" spans="1:20" x14ac:dyDescent="0.2">
      <c r="A114" s="132"/>
      <c r="B114" s="4"/>
      <c r="C114" s="75" t="s">
        <v>49</v>
      </c>
      <c r="G114" s="35">
        <f>$Q$87</f>
        <v>2025</v>
      </c>
      <c r="I114" s="70">
        <f t="shared" si="18"/>
        <v>0</v>
      </c>
      <c r="J114" s="70">
        <f t="shared" si="18"/>
        <v>0</v>
      </c>
      <c r="K114" s="70">
        <f t="shared" si="18"/>
        <v>1</v>
      </c>
      <c r="L114" s="70">
        <f t="shared" si="18"/>
        <v>0</v>
      </c>
      <c r="M114" s="70">
        <f t="shared" si="18"/>
        <v>0</v>
      </c>
      <c r="N114" s="70">
        <f t="shared" si="18"/>
        <v>0</v>
      </c>
      <c r="O114" s="70">
        <f t="shared" si="18"/>
        <v>0</v>
      </c>
      <c r="P114" s="70">
        <f t="shared" si="18"/>
        <v>0</v>
      </c>
      <c r="Q114" s="70">
        <f t="shared" si="18"/>
        <v>0</v>
      </c>
      <c r="R114" s="70">
        <f t="shared" si="18"/>
        <v>0</v>
      </c>
      <c r="S114" s="76">
        <f t="shared" si="18"/>
        <v>0</v>
      </c>
      <c r="T114" s="19"/>
    </row>
    <row r="115" spans="1:20" x14ac:dyDescent="0.2">
      <c r="A115" s="132"/>
      <c r="B115" s="4"/>
      <c r="C115" s="75" t="s">
        <v>50</v>
      </c>
      <c r="G115" s="35">
        <f>$Q$88</f>
        <v>2027</v>
      </c>
      <c r="I115" s="70">
        <f t="shared" si="18"/>
        <v>0</v>
      </c>
      <c r="J115" s="70">
        <f t="shared" si="18"/>
        <v>0</v>
      </c>
      <c r="K115" s="70">
        <f t="shared" si="18"/>
        <v>0</v>
      </c>
      <c r="L115" s="70">
        <f t="shared" si="18"/>
        <v>0</v>
      </c>
      <c r="M115" s="70">
        <f t="shared" si="18"/>
        <v>1</v>
      </c>
      <c r="N115" s="70">
        <f t="shared" si="18"/>
        <v>0</v>
      </c>
      <c r="O115" s="70">
        <f t="shared" si="18"/>
        <v>0</v>
      </c>
      <c r="P115" s="70">
        <f t="shared" si="18"/>
        <v>0</v>
      </c>
      <c r="Q115" s="70">
        <f t="shared" si="18"/>
        <v>0</v>
      </c>
      <c r="R115" s="70">
        <f t="shared" si="18"/>
        <v>0</v>
      </c>
      <c r="S115" s="76">
        <f t="shared" si="18"/>
        <v>0</v>
      </c>
      <c r="T115" s="19"/>
    </row>
    <row r="116" spans="1:20" x14ac:dyDescent="0.2">
      <c r="A116" s="132"/>
      <c r="B116" s="4"/>
      <c r="C116" s="77" t="s">
        <v>33</v>
      </c>
      <c r="D116" s="78"/>
      <c r="E116" s="78"/>
      <c r="F116" s="78"/>
      <c r="G116" s="79">
        <f>$G$92</f>
        <v>2027</v>
      </c>
      <c r="H116" s="78"/>
      <c r="I116" s="80">
        <f t="shared" si="18"/>
        <v>0</v>
      </c>
      <c r="J116" s="80">
        <f t="shared" si="18"/>
        <v>0</v>
      </c>
      <c r="K116" s="80">
        <f t="shared" si="18"/>
        <v>0</v>
      </c>
      <c r="L116" s="80">
        <f t="shared" si="18"/>
        <v>0</v>
      </c>
      <c r="M116" s="80">
        <f t="shared" si="18"/>
        <v>1</v>
      </c>
      <c r="N116" s="80">
        <f t="shared" si="18"/>
        <v>0</v>
      </c>
      <c r="O116" s="80">
        <f t="shared" si="18"/>
        <v>0</v>
      </c>
      <c r="P116" s="80">
        <f t="shared" si="18"/>
        <v>0</v>
      </c>
      <c r="Q116" s="80">
        <f t="shared" si="18"/>
        <v>0</v>
      </c>
      <c r="R116" s="80">
        <f t="shared" si="18"/>
        <v>0</v>
      </c>
      <c r="S116" s="81">
        <f t="shared" si="18"/>
        <v>0</v>
      </c>
      <c r="T116" s="19"/>
    </row>
    <row r="117" spans="1:20" x14ac:dyDescent="0.2">
      <c r="A117" s="132"/>
      <c r="B117" s="4"/>
      <c r="C117" s="9"/>
      <c r="G117" s="35"/>
      <c r="N117" s="47"/>
      <c r="O117" s="47"/>
      <c r="P117" s="47"/>
      <c r="Q117" s="47"/>
      <c r="R117" s="47"/>
      <c r="S117" s="47"/>
      <c r="T117" s="19"/>
    </row>
    <row r="118" spans="1:20" x14ac:dyDescent="0.2">
      <c r="A118" s="132"/>
      <c r="B118" s="4"/>
      <c r="N118" s="47"/>
      <c r="O118" s="47"/>
      <c r="P118" s="47"/>
      <c r="Q118" s="47"/>
      <c r="R118" s="47"/>
      <c r="S118" s="47"/>
      <c r="T118" s="19"/>
    </row>
    <row r="119" spans="1:20" x14ac:dyDescent="0.2">
      <c r="A119" s="132"/>
      <c r="B119" s="24"/>
      <c r="C119" s="71" t="s">
        <v>102</v>
      </c>
      <c r="D119" s="40"/>
      <c r="E119" s="40"/>
      <c r="F119" s="40"/>
      <c r="G119" s="120">
        <f>$G$76</f>
        <v>1250000</v>
      </c>
      <c r="H119" s="40"/>
      <c r="I119" s="120">
        <f t="shared" ref="I119:S119" si="19">$G$119*I108</f>
        <v>0</v>
      </c>
      <c r="J119" s="120">
        <f t="shared" si="19"/>
        <v>0</v>
      </c>
      <c r="K119" s="120">
        <f t="shared" si="19"/>
        <v>1250000</v>
      </c>
      <c r="L119" s="120">
        <f t="shared" si="19"/>
        <v>1250000</v>
      </c>
      <c r="M119" s="120">
        <f t="shared" si="19"/>
        <v>1250000</v>
      </c>
      <c r="N119" s="120">
        <f t="shared" si="19"/>
        <v>1250000</v>
      </c>
      <c r="O119" s="120">
        <f t="shared" si="19"/>
        <v>1250000</v>
      </c>
      <c r="P119" s="120">
        <f t="shared" si="19"/>
        <v>1250000</v>
      </c>
      <c r="Q119" s="120">
        <f t="shared" si="19"/>
        <v>1250000</v>
      </c>
      <c r="R119" s="120">
        <f t="shared" si="19"/>
        <v>1250000</v>
      </c>
      <c r="S119" s="121">
        <f t="shared" si="19"/>
        <v>1250000</v>
      </c>
      <c r="T119" s="19"/>
    </row>
    <row r="120" spans="1:20" x14ac:dyDescent="0.2">
      <c r="A120" s="132"/>
      <c r="B120" s="24"/>
      <c r="C120" s="75" t="s">
        <v>117</v>
      </c>
      <c r="F120" s="57">
        <f>$G$77</f>
        <v>0.5</v>
      </c>
      <c r="G120" s="57">
        <f>$G$78</f>
        <v>1</v>
      </c>
      <c r="I120" s="57">
        <f t="shared" ref="I120:S120" si="20">IF(AND(I$104&gt;=$G$75,I$104&lt;=$G$75+$F$77-1),$F$120,$G$120)*I108</f>
        <v>0</v>
      </c>
      <c r="J120" s="57">
        <f t="shared" si="20"/>
        <v>0</v>
      </c>
      <c r="K120" s="57">
        <f t="shared" si="20"/>
        <v>0.5</v>
      </c>
      <c r="L120" s="57">
        <f t="shared" si="20"/>
        <v>1</v>
      </c>
      <c r="M120" s="57">
        <f t="shared" si="20"/>
        <v>1</v>
      </c>
      <c r="N120" s="57">
        <f t="shared" si="20"/>
        <v>1</v>
      </c>
      <c r="O120" s="57">
        <f t="shared" si="20"/>
        <v>1</v>
      </c>
      <c r="P120" s="57">
        <f t="shared" si="20"/>
        <v>1</v>
      </c>
      <c r="Q120" s="57">
        <f t="shared" si="20"/>
        <v>1</v>
      </c>
      <c r="R120" s="57">
        <f t="shared" si="20"/>
        <v>1</v>
      </c>
      <c r="S120" s="84">
        <f t="shared" si="20"/>
        <v>1</v>
      </c>
      <c r="T120" s="19"/>
    </row>
    <row r="121" spans="1:20" x14ac:dyDescent="0.2">
      <c r="A121" s="132"/>
      <c r="B121" s="24"/>
      <c r="C121" s="75" t="s">
        <v>37</v>
      </c>
      <c r="F121" s="57">
        <f>$G$79</f>
        <v>0.05</v>
      </c>
      <c r="G121" s="57">
        <f>$G$80</f>
        <v>2.5000000000000001E-2</v>
      </c>
      <c r="I121" s="57">
        <f t="shared" ref="I121:S121" si="21">IF(I$104=$G$75,0,IF(AND(I$104&gt;=$G$75+1,I$104&lt;=$G$75+$F$79),$F$121,$G$121)*I108)</f>
        <v>0</v>
      </c>
      <c r="J121" s="57">
        <f t="shared" si="21"/>
        <v>0</v>
      </c>
      <c r="K121" s="57">
        <f t="shared" si="21"/>
        <v>0</v>
      </c>
      <c r="L121" s="57">
        <f t="shared" si="21"/>
        <v>0.05</v>
      </c>
      <c r="M121" s="57">
        <f t="shared" si="21"/>
        <v>0.05</v>
      </c>
      <c r="N121" s="57">
        <f t="shared" si="21"/>
        <v>0.05</v>
      </c>
      <c r="O121" s="57">
        <f t="shared" si="21"/>
        <v>2.5000000000000001E-2</v>
      </c>
      <c r="P121" s="57">
        <f t="shared" si="21"/>
        <v>2.5000000000000001E-2</v>
      </c>
      <c r="Q121" s="57">
        <f t="shared" si="21"/>
        <v>2.5000000000000001E-2</v>
      </c>
      <c r="R121" s="57">
        <f t="shared" si="21"/>
        <v>2.5000000000000001E-2</v>
      </c>
      <c r="S121" s="84">
        <f t="shared" si="21"/>
        <v>2.5000000000000001E-2</v>
      </c>
      <c r="T121" s="19"/>
    </row>
    <row r="122" spans="1:20" x14ac:dyDescent="0.2">
      <c r="A122" s="132"/>
      <c r="B122" s="24"/>
      <c r="C122" s="77" t="s">
        <v>38</v>
      </c>
      <c r="D122" s="78"/>
      <c r="E122" s="78"/>
      <c r="F122" s="85"/>
      <c r="G122" s="85"/>
      <c r="H122" s="88">
        <v>1</v>
      </c>
      <c r="I122" s="86">
        <f t="shared" ref="I122:S122" si="22">H122*(1+I121)</f>
        <v>1</v>
      </c>
      <c r="J122" s="86">
        <f t="shared" si="22"/>
        <v>1</v>
      </c>
      <c r="K122" s="86">
        <f t="shared" si="22"/>
        <v>1</v>
      </c>
      <c r="L122" s="86">
        <f t="shared" si="22"/>
        <v>1.05</v>
      </c>
      <c r="M122" s="86">
        <f t="shared" si="22"/>
        <v>1.1025</v>
      </c>
      <c r="N122" s="86">
        <f t="shared" si="22"/>
        <v>1.1576250000000001</v>
      </c>
      <c r="O122" s="86">
        <f t="shared" si="22"/>
        <v>1.1865656250000001</v>
      </c>
      <c r="P122" s="86">
        <f t="shared" si="22"/>
        <v>1.2162297656250001</v>
      </c>
      <c r="Q122" s="86">
        <f t="shared" si="22"/>
        <v>1.246635509765625</v>
      </c>
      <c r="R122" s="86">
        <f t="shared" si="22"/>
        <v>1.2778013975097655</v>
      </c>
      <c r="S122" s="87">
        <f t="shared" si="22"/>
        <v>1.3097464324475094</v>
      </c>
      <c r="T122" s="19"/>
    </row>
    <row r="123" spans="1:20" x14ac:dyDescent="0.2">
      <c r="A123" s="132"/>
      <c r="B123" s="24"/>
      <c r="C123" s="9"/>
      <c r="F123" s="57"/>
      <c r="G123" s="57"/>
      <c r="H123" s="83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19"/>
    </row>
    <row r="124" spans="1:20" x14ac:dyDescent="0.2">
      <c r="A124" s="132"/>
      <c r="B124" s="24"/>
      <c r="C124" s="50" t="s">
        <v>103</v>
      </c>
      <c r="F124" s="57"/>
      <c r="G124" s="57"/>
      <c r="H124" s="83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19"/>
    </row>
    <row r="125" spans="1:20" x14ac:dyDescent="0.2">
      <c r="A125" s="132"/>
      <c r="B125" s="24"/>
      <c r="C125" s="9" t="s">
        <v>68</v>
      </c>
      <c r="F125" s="122">
        <f>$O$90</f>
        <v>3500000</v>
      </c>
      <c r="G125" s="122">
        <f>$O$89</f>
        <v>7000000</v>
      </c>
      <c r="H125" s="98"/>
      <c r="I125" s="122">
        <f t="shared" ref="I125:S125" si="23">IF(I$104=$O$87,-$F$125,-($G$125-$F$125)/(SUM($I$106:$S$106)-1)*I106)</f>
        <v>-3500000</v>
      </c>
      <c r="J125" s="122">
        <f t="shared" si="23"/>
        <v>-3500000</v>
      </c>
      <c r="K125" s="122">
        <f t="shared" si="23"/>
        <v>0</v>
      </c>
      <c r="L125" s="122">
        <f t="shared" si="23"/>
        <v>0</v>
      </c>
      <c r="M125" s="122">
        <f t="shared" si="23"/>
        <v>0</v>
      </c>
      <c r="N125" s="122">
        <f t="shared" si="23"/>
        <v>0</v>
      </c>
      <c r="O125" s="122">
        <f t="shared" si="23"/>
        <v>0</v>
      </c>
      <c r="P125" s="122">
        <f t="shared" si="23"/>
        <v>0</v>
      </c>
      <c r="Q125" s="122">
        <f t="shared" si="23"/>
        <v>0</v>
      </c>
      <c r="R125" s="122">
        <f t="shared" si="23"/>
        <v>0</v>
      </c>
      <c r="S125" s="122">
        <f t="shared" si="23"/>
        <v>0</v>
      </c>
      <c r="T125" s="89"/>
    </row>
    <row r="126" spans="1:20" x14ac:dyDescent="0.2">
      <c r="A126" s="132"/>
      <c r="B126" s="24"/>
      <c r="C126" s="9" t="s">
        <v>69</v>
      </c>
      <c r="F126" s="99"/>
      <c r="G126" s="122">
        <f>G119</f>
        <v>1250000</v>
      </c>
      <c r="H126" s="98"/>
      <c r="I126" s="122"/>
      <c r="J126" s="122">
        <f t="shared" ref="J126:S126" si="24">J119*J120*J122</f>
        <v>0</v>
      </c>
      <c r="K126" s="122">
        <f t="shared" si="24"/>
        <v>625000</v>
      </c>
      <c r="L126" s="122">
        <f t="shared" si="24"/>
        <v>1312500</v>
      </c>
      <c r="M126" s="122">
        <f t="shared" si="24"/>
        <v>1378125</v>
      </c>
      <c r="N126" s="122">
        <f t="shared" si="24"/>
        <v>1447031.2500000002</v>
      </c>
      <c r="O126" s="122">
        <f t="shared" si="24"/>
        <v>1483207.03125</v>
      </c>
      <c r="P126" s="122">
        <f t="shared" si="24"/>
        <v>1520287.20703125</v>
      </c>
      <c r="Q126" s="122">
        <f t="shared" si="24"/>
        <v>1558294.3872070313</v>
      </c>
      <c r="R126" s="122">
        <f t="shared" si="24"/>
        <v>1597251.7468872068</v>
      </c>
      <c r="S126" s="122">
        <f t="shared" si="24"/>
        <v>1637183.0405593868</v>
      </c>
      <c r="T126" s="89"/>
    </row>
    <row r="127" spans="1:20" x14ac:dyDescent="0.2">
      <c r="A127" s="132"/>
      <c r="B127" s="24"/>
      <c r="C127" s="13" t="s">
        <v>105</v>
      </c>
      <c r="F127" s="99"/>
      <c r="G127" s="97"/>
      <c r="H127" s="98"/>
      <c r="I127" s="124"/>
      <c r="J127" s="124">
        <f t="shared" ref="J127:S127" si="25">SUM(J125:J126)</f>
        <v>-3500000</v>
      </c>
      <c r="K127" s="124">
        <f t="shared" si="25"/>
        <v>625000</v>
      </c>
      <c r="L127" s="124">
        <f t="shared" si="25"/>
        <v>1312500</v>
      </c>
      <c r="M127" s="124">
        <f t="shared" si="25"/>
        <v>1378125</v>
      </c>
      <c r="N127" s="124">
        <f t="shared" si="25"/>
        <v>1447031.2500000002</v>
      </c>
      <c r="O127" s="124">
        <f t="shared" si="25"/>
        <v>1483207.03125</v>
      </c>
      <c r="P127" s="124">
        <f t="shared" si="25"/>
        <v>1520287.20703125</v>
      </c>
      <c r="Q127" s="124">
        <f t="shared" si="25"/>
        <v>1558294.3872070313</v>
      </c>
      <c r="R127" s="124">
        <f t="shared" si="25"/>
        <v>1597251.7468872068</v>
      </c>
      <c r="S127" s="124">
        <f t="shared" si="25"/>
        <v>1637183.0405593868</v>
      </c>
      <c r="T127" s="89"/>
    </row>
    <row r="128" spans="1:20" x14ac:dyDescent="0.2">
      <c r="A128" s="132"/>
      <c r="B128" s="24"/>
      <c r="C128" s="13"/>
      <c r="F128" s="99"/>
      <c r="G128" s="97"/>
      <c r="H128" s="98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89"/>
    </row>
    <row r="129" spans="1:20" x14ac:dyDescent="0.2">
      <c r="A129" s="132"/>
      <c r="B129" s="24"/>
      <c r="C129" s="50" t="s">
        <v>104</v>
      </c>
      <c r="F129" s="99"/>
      <c r="G129" s="97"/>
      <c r="H129" s="98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89"/>
    </row>
    <row r="130" spans="1:20" x14ac:dyDescent="0.2">
      <c r="A130" s="132"/>
      <c r="B130" s="24"/>
      <c r="C130" s="9" t="s">
        <v>68</v>
      </c>
      <c r="F130" s="99"/>
      <c r="G130" s="122">
        <f>$Q$89</f>
        <v>12500000</v>
      </c>
      <c r="H130" s="98"/>
      <c r="I130" s="122"/>
      <c r="J130" s="122">
        <f t="shared" ref="J130:S130" si="26">-$G$130/SUM($I$109:$S$109)*J109</f>
        <v>0</v>
      </c>
      <c r="K130" s="122">
        <f t="shared" si="26"/>
        <v>-4166666.6666666665</v>
      </c>
      <c r="L130" s="122">
        <f t="shared" si="26"/>
        <v>-4166666.6666666665</v>
      </c>
      <c r="M130" s="122">
        <f t="shared" si="26"/>
        <v>-4166666.6666666665</v>
      </c>
      <c r="N130" s="122">
        <f t="shared" si="26"/>
        <v>0</v>
      </c>
      <c r="O130" s="122">
        <f t="shared" si="26"/>
        <v>0</v>
      </c>
      <c r="P130" s="122">
        <f t="shared" si="26"/>
        <v>0</v>
      </c>
      <c r="Q130" s="122">
        <f t="shared" si="26"/>
        <v>0</v>
      </c>
      <c r="R130" s="122">
        <f t="shared" si="26"/>
        <v>0</v>
      </c>
      <c r="S130" s="122">
        <f t="shared" si="26"/>
        <v>0</v>
      </c>
      <c r="T130" s="89"/>
    </row>
    <row r="131" spans="1:20" x14ac:dyDescent="0.2">
      <c r="A131" s="132"/>
      <c r="B131" s="24"/>
      <c r="C131" s="9" t="s">
        <v>70</v>
      </c>
      <c r="F131" s="99"/>
      <c r="G131" s="122">
        <f>$G$93</f>
        <v>18750000</v>
      </c>
      <c r="H131" s="98"/>
      <c r="I131" s="122"/>
      <c r="J131" s="122">
        <f t="shared" ref="J131:S131" si="27">J116*$G$131</f>
        <v>0</v>
      </c>
      <c r="K131" s="122">
        <f t="shared" si="27"/>
        <v>0</v>
      </c>
      <c r="L131" s="122">
        <f t="shared" si="27"/>
        <v>0</v>
      </c>
      <c r="M131" s="122">
        <f t="shared" si="27"/>
        <v>18750000</v>
      </c>
      <c r="N131" s="122">
        <f t="shared" si="27"/>
        <v>0</v>
      </c>
      <c r="O131" s="122">
        <f t="shared" si="27"/>
        <v>0</v>
      </c>
      <c r="P131" s="122">
        <f t="shared" si="27"/>
        <v>0</v>
      </c>
      <c r="Q131" s="122">
        <f t="shared" si="27"/>
        <v>0</v>
      </c>
      <c r="R131" s="122">
        <f t="shared" si="27"/>
        <v>0</v>
      </c>
      <c r="S131" s="122">
        <f t="shared" si="27"/>
        <v>0</v>
      </c>
      <c r="T131" s="89"/>
    </row>
    <row r="132" spans="1:20" s="20" customFormat="1" ht="15" x14ac:dyDescent="0.2">
      <c r="A132" s="132"/>
      <c r="B132" s="48"/>
      <c r="C132" s="13" t="str">
        <f>C127</f>
        <v>Total FCF Before Debt Service</v>
      </c>
      <c r="F132" s="101"/>
      <c r="G132" s="101"/>
      <c r="H132" s="102"/>
      <c r="I132" s="124"/>
      <c r="J132" s="124">
        <f t="shared" ref="J132:S132" si="28">SUM(J130:J131)</f>
        <v>0</v>
      </c>
      <c r="K132" s="124">
        <f t="shared" si="28"/>
        <v>-4166666.6666666665</v>
      </c>
      <c r="L132" s="124">
        <f t="shared" si="28"/>
        <v>-4166666.6666666665</v>
      </c>
      <c r="M132" s="124">
        <f t="shared" si="28"/>
        <v>14583333.333333334</v>
      </c>
      <c r="N132" s="124">
        <f t="shared" si="28"/>
        <v>0</v>
      </c>
      <c r="O132" s="124">
        <f t="shared" si="28"/>
        <v>0</v>
      </c>
      <c r="P132" s="124">
        <f t="shared" si="28"/>
        <v>0</v>
      </c>
      <c r="Q132" s="124">
        <f t="shared" si="28"/>
        <v>0</v>
      </c>
      <c r="R132" s="124">
        <f t="shared" si="28"/>
        <v>0</v>
      </c>
      <c r="S132" s="124">
        <f t="shared" si="28"/>
        <v>0</v>
      </c>
      <c r="T132" s="19"/>
    </row>
    <row r="133" spans="1:20" s="20" customFormat="1" ht="15" x14ac:dyDescent="0.2">
      <c r="A133" s="132"/>
      <c r="B133" s="48"/>
      <c r="C133" s="13"/>
      <c r="F133" s="101"/>
      <c r="G133" s="100"/>
      <c r="H133" s="102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9"/>
    </row>
    <row r="134" spans="1:20" x14ac:dyDescent="0.2">
      <c r="A134" s="132"/>
      <c r="B134" s="24"/>
      <c r="C134" s="9" t="str">
        <f>C124</f>
        <v>Property I - FCF Before Debt Service</v>
      </c>
      <c r="F134" s="99"/>
      <c r="G134" s="97"/>
      <c r="H134" s="98"/>
      <c r="I134" s="122"/>
      <c r="J134" s="122">
        <f t="shared" ref="J134:S134" si="29">J127</f>
        <v>-3500000</v>
      </c>
      <c r="K134" s="122">
        <f t="shared" si="29"/>
        <v>625000</v>
      </c>
      <c r="L134" s="122">
        <f t="shared" si="29"/>
        <v>1312500</v>
      </c>
      <c r="M134" s="122">
        <f t="shared" si="29"/>
        <v>1378125</v>
      </c>
      <c r="N134" s="122">
        <f t="shared" si="29"/>
        <v>1447031.2500000002</v>
      </c>
      <c r="O134" s="122">
        <f t="shared" si="29"/>
        <v>1483207.03125</v>
      </c>
      <c r="P134" s="122">
        <f t="shared" si="29"/>
        <v>1520287.20703125</v>
      </c>
      <c r="Q134" s="122">
        <f t="shared" si="29"/>
        <v>1558294.3872070313</v>
      </c>
      <c r="R134" s="122">
        <f t="shared" si="29"/>
        <v>1597251.7468872068</v>
      </c>
      <c r="S134" s="122">
        <f t="shared" si="29"/>
        <v>1637183.0405593868</v>
      </c>
      <c r="T134" s="89"/>
    </row>
    <row r="135" spans="1:20" x14ac:dyDescent="0.2">
      <c r="A135" s="132"/>
      <c r="B135" s="24"/>
      <c r="C135" s="9" t="str">
        <f>C129</f>
        <v>Property II  - FCF Before Debt Service</v>
      </c>
      <c r="F135" s="99"/>
      <c r="G135" s="97"/>
      <c r="H135" s="98"/>
      <c r="I135" s="122"/>
      <c r="J135" s="122">
        <f t="shared" ref="J135:S135" si="30">J132</f>
        <v>0</v>
      </c>
      <c r="K135" s="122">
        <f t="shared" si="30"/>
        <v>-4166666.6666666665</v>
      </c>
      <c r="L135" s="122">
        <f t="shared" si="30"/>
        <v>-4166666.6666666665</v>
      </c>
      <c r="M135" s="122">
        <f t="shared" si="30"/>
        <v>14583333.333333334</v>
      </c>
      <c r="N135" s="122">
        <f t="shared" si="30"/>
        <v>0</v>
      </c>
      <c r="O135" s="122">
        <f t="shared" si="30"/>
        <v>0</v>
      </c>
      <c r="P135" s="122">
        <f t="shared" si="30"/>
        <v>0</v>
      </c>
      <c r="Q135" s="122">
        <f t="shared" si="30"/>
        <v>0</v>
      </c>
      <c r="R135" s="122">
        <f t="shared" si="30"/>
        <v>0</v>
      </c>
      <c r="S135" s="122">
        <f t="shared" si="30"/>
        <v>0</v>
      </c>
      <c r="T135" s="89"/>
    </row>
    <row r="136" spans="1:20" s="20" customFormat="1" ht="15" x14ac:dyDescent="0.2">
      <c r="A136" s="132"/>
      <c r="B136" s="48"/>
      <c r="C136" s="13" t="str">
        <f>C132</f>
        <v>Total FCF Before Debt Service</v>
      </c>
      <c r="F136" s="101"/>
      <c r="G136" s="100"/>
      <c r="H136" s="102"/>
      <c r="I136" s="124"/>
      <c r="J136" s="124">
        <f t="shared" ref="J136:S136" si="31">SUM(J134:J135)</f>
        <v>-3500000</v>
      </c>
      <c r="K136" s="124">
        <f t="shared" si="31"/>
        <v>-3541666.6666666665</v>
      </c>
      <c r="L136" s="124">
        <f t="shared" si="31"/>
        <v>-2854166.6666666665</v>
      </c>
      <c r="M136" s="124">
        <f t="shared" si="31"/>
        <v>15961458.333333334</v>
      </c>
      <c r="N136" s="124">
        <f t="shared" si="31"/>
        <v>1447031.2500000002</v>
      </c>
      <c r="O136" s="124">
        <f t="shared" si="31"/>
        <v>1483207.03125</v>
      </c>
      <c r="P136" s="124">
        <f t="shared" si="31"/>
        <v>1520287.20703125</v>
      </c>
      <c r="Q136" s="124">
        <f t="shared" si="31"/>
        <v>1558294.3872070313</v>
      </c>
      <c r="R136" s="124">
        <f t="shared" si="31"/>
        <v>1597251.7468872068</v>
      </c>
      <c r="S136" s="124">
        <f t="shared" si="31"/>
        <v>1637183.0405593868</v>
      </c>
      <c r="T136" s="19"/>
    </row>
    <row r="137" spans="1:20" x14ac:dyDescent="0.2">
      <c r="A137" s="132"/>
      <c r="B137" s="25"/>
      <c r="C137" s="46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5"/>
    </row>
    <row r="138" spans="1:20" x14ac:dyDescent="0.2">
      <c r="A138" s="132"/>
      <c r="G138" s="10"/>
    </row>
    <row r="139" spans="1:20" x14ac:dyDescent="0.2">
      <c r="A139" s="132"/>
      <c r="B139" s="3" t="s">
        <v>54</v>
      </c>
      <c r="C139" s="8"/>
      <c r="D139" s="8"/>
      <c r="E139" s="8"/>
      <c r="F139" s="8"/>
      <c r="G139" s="8"/>
      <c r="H139" s="8"/>
      <c r="I139" s="8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2"/>
    </row>
    <row r="140" spans="1:20" x14ac:dyDescent="0.2">
      <c r="A140" s="132"/>
      <c r="B140" s="4"/>
      <c r="D140" s="9"/>
      <c r="E140" s="9"/>
      <c r="F140" s="9"/>
      <c r="G140" s="9"/>
      <c r="H140" s="9"/>
      <c r="I140" s="9"/>
      <c r="J140" s="9"/>
      <c r="K140" s="9"/>
      <c r="L140" s="9"/>
      <c r="T140" s="15"/>
    </row>
    <row r="141" spans="1:20" x14ac:dyDescent="0.2">
      <c r="A141" s="132"/>
      <c r="B141" s="4"/>
      <c r="D141" s="9"/>
      <c r="E141" s="9"/>
      <c r="F141" s="9"/>
      <c r="G141" s="9"/>
      <c r="J141" s="31" t="str">
        <f>J$103</f>
        <v>Forecast</v>
      </c>
      <c r="K141" s="32"/>
      <c r="L141" s="32"/>
      <c r="M141" s="32"/>
      <c r="N141" s="32"/>
      <c r="O141" s="32"/>
      <c r="P141" s="32"/>
      <c r="Q141" s="32"/>
      <c r="R141" s="32"/>
      <c r="S141" s="32"/>
      <c r="T141" s="15"/>
    </row>
    <row r="142" spans="1:20" x14ac:dyDescent="0.2">
      <c r="A142" s="132"/>
      <c r="B142" s="4"/>
      <c r="G142" s="12"/>
      <c r="I142" s="12">
        <f t="shared" ref="I142:S142" si="32">I$104</f>
        <v>2023</v>
      </c>
      <c r="J142" s="29">
        <f t="shared" si="32"/>
        <v>2024</v>
      </c>
      <c r="K142" s="30">
        <f t="shared" si="32"/>
        <v>2025</v>
      </c>
      <c r="L142" s="30">
        <f t="shared" si="32"/>
        <v>2026</v>
      </c>
      <c r="M142" s="30">
        <f t="shared" si="32"/>
        <v>2027</v>
      </c>
      <c r="N142" s="30">
        <f t="shared" si="32"/>
        <v>2028</v>
      </c>
      <c r="O142" s="30">
        <f t="shared" si="32"/>
        <v>2029</v>
      </c>
      <c r="P142" s="30">
        <f t="shared" si="32"/>
        <v>2030</v>
      </c>
      <c r="Q142" s="30">
        <f t="shared" si="32"/>
        <v>2031</v>
      </c>
      <c r="R142" s="30">
        <f t="shared" si="32"/>
        <v>2032</v>
      </c>
      <c r="S142" s="30">
        <f t="shared" si="32"/>
        <v>2033</v>
      </c>
      <c r="T142" s="19"/>
    </row>
    <row r="143" spans="1:20" x14ac:dyDescent="0.2">
      <c r="A143" s="132"/>
      <c r="B143" s="4"/>
      <c r="N143" s="47"/>
      <c r="O143" s="47"/>
      <c r="P143" s="47"/>
      <c r="Q143" s="47"/>
      <c r="R143" s="47"/>
      <c r="S143" s="47"/>
      <c r="T143" s="19"/>
    </row>
    <row r="144" spans="1:20" x14ac:dyDescent="0.2">
      <c r="A144" s="132"/>
      <c r="B144" s="24"/>
      <c r="C144" s="13" t="s">
        <v>55</v>
      </c>
      <c r="N144" s="47"/>
      <c r="O144" s="47"/>
      <c r="P144" s="47"/>
      <c r="Q144" s="47"/>
      <c r="R144" s="47"/>
      <c r="S144" s="47"/>
      <c r="T144" s="19"/>
    </row>
    <row r="145" spans="1:20" x14ac:dyDescent="0.2">
      <c r="A145" s="132"/>
      <c r="B145" s="24"/>
      <c r="C145" s="9" t="str">
        <f>C136</f>
        <v>Total FCF Before Debt Service</v>
      </c>
      <c r="I145" s="122"/>
      <c r="J145" s="122">
        <f t="shared" ref="J145:S145" si="33">J136</f>
        <v>-3500000</v>
      </c>
      <c r="K145" s="122">
        <f t="shared" si="33"/>
        <v>-3541666.6666666665</v>
      </c>
      <c r="L145" s="122">
        <f t="shared" si="33"/>
        <v>-2854166.6666666665</v>
      </c>
      <c r="M145" s="122">
        <f t="shared" si="33"/>
        <v>15961458.333333334</v>
      </c>
      <c r="N145" s="122">
        <f t="shared" si="33"/>
        <v>1447031.2500000002</v>
      </c>
      <c r="O145" s="122">
        <f t="shared" si="33"/>
        <v>1483207.03125</v>
      </c>
      <c r="P145" s="122">
        <f t="shared" si="33"/>
        <v>1520287.20703125</v>
      </c>
      <c r="Q145" s="122">
        <f t="shared" si="33"/>
        <v>1558294.3872070313</v>
      </c>
      <c r="R145" s="122">
        <f t="shared" si="33"/>
        <v>1597251.7468872068</v>
      </c>
      <c r="S145" s="122">
        <f t="shared" si="33"/>
        <v>1637183.0405593868</v>
      </c>
      <c r="T145" s="19"/>
    </row>
    <row r="146" spans="1:20" x14ac:dyDescent="0.2">
      <c r="A146" s="132"/>
      <c r="B146" s="24"/>
      <c r="C146" s="9" t="s">
        <v>56</v>
      </c>
      <c r="I146" s="122"/>
      <c r="J146" s="122">
        <f t="shared" ref="J146:S146" ca="1" si="34">-J318</f>
        <v>-188873.23943661971</v>
      </c>
      <c r="K146" s="122">
        <f t="shared" ca="1" si="34"/>
        <v>-378321.39151776768</v>
      </c>
      <c r="L146" s="122">
        <f t="shared" ca="1" si="34"/>
        <v>-368400.35776958871</v>
      </c>
      <c r="M146" s="122">
        <f t="shared" ca="1" si="34"/>
        <v>-327594.14885508385</v>
      </c>
      <c r="N146" s="122">
        <f t="shared" ca="1" si="34"/>
        <v>-252253.51338066679</v>
      </c>
      <c r="O146" s="122">
        <f t="shared" ca="1" si="34"/>
        <v>-185014.07355545205</v>
      </c>
      <c r="P146" s="122">
        <f t="shared" ca="1" si="34"/>
        <v>-147362.02463646978</v>
      </c>
      <c r="Q146" s="122">
        <f t="shared" ca="1" si="34"/>
        <v>-123893.38512816394</v>
      </c>
      <c r="R146" s="122">
        <f t="shared" ca="1" si="34"/>
        <v>-99427.661519441841</v>
      </c>
      <c r="S146" s="122">
        <f t="shared" ca="1" si="34"/>
        <v>-73933.72467082525</v>
      </c>
      <c r="T146" s="19"/>
    </row>
    <row r="147" spans="1:20" x14ac:dyDescent="0.2">
      <c r="A147" s="132"/>
      <c r="B147" s="24"/>
      <c r="C147" s="9" t="s">
        <v>57</v>
      </c>
      <c r="I147" s="122"/>
      <c r="J147" s="122">
        <f>SUM(J178,J204)</f>
        <v>3500000</v>
      </c>
      <c r="K147" s="122">
        <f t="shared" ref="K147:S147" si="35">SUM(K178,K204)</f>
        <v>4166666.6666666665</v>
      </c>
      <c r="L147" s="122">
        <f t="shared" si="35"/>
        <v>4166666.6666666665</v>
      </c>
      <c r="M147" s="122">
        <f t="shared" si="35"/>
        <v>4166666.6666666665</v>
      </c>
      <c r="N147" s="122">
        <f t="shared" si="35"/>
        <v>0</v>
      </c>
      <c r="O147" s="122">
        <f t="shared" si="35"/>
        <v>0</v>
      </c>
      <c r="P147" s="122">
        <f t="shared" si="35"/>
        <v>0</v>
      </c>
      <c r="Q147" s="122">
        <f t="shared" si="35"/>
        <v>0</v>
      </c>
      <c r="R147" s="122">
        <f t="shared" si="35"/>
        <v>0</v>
      </c>
      <c r="S147" s="122">
        <f t="shared" si="35"/>
        <v>0</v>
      </c>
      <c r="T147" s="19"/>
    </row>
    <row r="148" spans="1:20" x14ac:dyDescent="0.2">
      <c r="A148" s="132"/>
      <c r="B148" s="24"/>
      <c r="C148" s="9" t="s">
        <v>58</v>
      </c>
      <c r="I148" s="122"/>
      <c r="J148" s="122">
        <f t="shared" ref="J148:S148" si="36">SUM(J184,J210)</f>
        <v>-7426300</v>
      </c>
      <c r="K148" s="122">
        <f t="shared" si="36"/>
        <v>0</v>
      </c>
      <c r="L148" s="122">
        <f t="shared" si="36"/>
        <v>0</v>
      </c>
      <c r="M148" s="122">
        <f t="shared" si="36"/>
        <v>-13563107.03125</v>
      </c>
      <c r="N148" s="122">
        <f t="shared" si="36"/>
        <v>0</v>
      </c>
      <c r="O148" s="122">
        <f t="shared" si="36"/>
        <v>0</v>
      </c>
      <c r="P148" s="122">
        <f t="shared" si="36"/>
        <v>0</v>
      </c>
      <c r="Q148" s="122">
        <f t="shared" si="36"/>
        <v>0</v>
      </c>
      <c r="R148" s="122">
        <f t="shared" si="36"/>
        <v>0</v>
      </c>
      <c r="S148" s="122">
        <f t="shared" si="36"/>
        <v>0</v>
      </c>
      <c r="T148" s="19"/>
    </row>
    <row r="149" spans="1:20" x14ac:dyDescent="0.2">
      <c r="A149" s="132"/>
      <c r="B149" s="24"/>
      <c r="C149" s="9" t="s">
        <v>59</v>
      </c>
      <c r="I149" s="122"/>
      <c r="J149" s="122">
        <f t="shared" ref="J149:S149" si="37">J190</f>
        <v>7426300</v>
      </c>
      <c r="K149" s="122">
        <f t="shared" si="37"/>
        <v>0</v>
      </c>
      <c r="L149" s="122">
        <f t="shared" si="37"/>
        <v>0</v>
      </c>
      <c r="M149" s="122">
        <f t="shared" si="37"/>
        <v>0</v>
      </c>
      <c r="N149" s="122">
        <f t="shared" si="37"/>
        <v>0</v>
      </c>
      <c r="O149" s="122">
        <f t="shared" si="37"/>
        <v>0</v>
      </c>
      <c r="P149" s="122">
        <f t="shared" si="37"/>
        <v>0</v>
      </c>
      <c r="Q149" s="122">
        <f t="shared" si="37"/>
        <v>0</v>
      </c>
      <c r="R149" s="122">
        <f t="shared" si="37"/>
        <v>0</v>
      </c>
      <c r="S149" s="122">
        <f t="shared" si="37"/>
        <v>0</v>
      </c>
      <c r="T149" s="19"/>
    </row>
    <row r="150" spans="1:20" x14ac:dyDescent="0.2">
      <c r="A150" s="132"/>
      <c r="B150" s="24"/>
      <c r="C150" s="9" t="s">
        <v>67</v>
      </c>
      <c r="I150" s="122"/>
      <c r="J150" s="122">
        <f t="shared" ref="J150:S150" si="38">J191</f>
        <v>0</v>
      </c>
      <c r="K150" s="122">
        <f t="shared" si="38"/>
        <v>-217411.77246236964</v>
      </c>
      <c r="L150" s="122">
        <f t="shared" si="38"/>
        <v>-222847.06677392888</v>
      </c>
      <c r="M150" s="122">
        <f t="shared" si="38"/>
        <v>-228418.24344327708</v>
      </c>
      <c r="N150" s="122">
        <f t="shared" si="38"/>
        <v>-234128.699529359</v>
      </c>
      <c r="O150" s="122">
        <f t="shared" si="38"/>
        <v>-239981.91701759299</v>
      </c>
      <c r="P150" s="122">
        <f t="shared" si="38"/>
        <v>-245981.46494303283</v>
      </c>
      <c r="Q150" s="122">
        <f t="shared" si="38"/>
        <v>-252131.00156660864</v>
      </c>
      <c r="R150" s="122">
        <f t="shared" si="38"/>
        <v>-258434.27660577386</v>
      </c>
      <c r="S150" s="122">
        <f t="shared" si="38"/>
        <v>-264895.1335209182</v>
      </c>
      <c r="T150" s="19"/>
    </row>
    <row r="151" spans="1:20" s="20" customFormat="1" ht="15" x14ac:dyDescent="0.2">
      <c r="A151" s="132"/>
      <c r="B151" s="48"/>
      <c r="C151" s="13" t="s">
        <v>60</v>
      </c>
      <c r="I151" s="124"/>
      <c r="J151" s="124">
        <f t="shared" ref="J151:S151" ca="1" si="39">SUM(J145:J150)</f>
        <v>-188873.23943661992</v>
      </c>
      <c r="K151" s="124">
        <f t="shared" ca="1" si="39"/>
        <v>29266.836019862676</v>
      </c>
      <c r="L151" s="124">
        <f t="shared" ca="1" si="39"/>
        <v>721252.57545648259</v>
      </c>
      <c r="M151" s="124">
        <f t="shared" ca="1" si="39"/>
        <v>6009005.5764516406</v>
      </c>
      <c r="N151" s="124">
        <f t="shared" ca="1" si="39"/>
        <v>960649.0370899745</v>
      </c>
      <c r="O151" s="124">
        <f t="shared" ca="1" si="39"/>
        <v>1058211.0406769549</v>
      </c>
      <c r="P151" s="124">
        <f t="shared" ca="1" si="39"/>
        <v>1126943.7174517475</v>
      </c>
      <c r="Q151" s="124">
        <f t="shared" ca="1" si="39"/>
        <v>1182270.0005122586</v>
      </c>
      <c r="R151" s="124">
        <f t="shared" ca="1" si="39"/>
        <v>1239389.8087619911</v>
      </c>
      <c r="S151" s="124">
        <f t="shared" ca="1" si="39"/>
        <v>1298354.1823676433</v>
      </c>
      <c r="T151" s="19"/>
    </row>
    <row r="152" spans="1:20" s="20" customFormat="1" ht="15" x14ac:dyDescent="0.2">
      <c r="A152" s="132"/>
      <c r="B152" s="48"/>
      <c r="C152" s="1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9"/>
    </row>
    <row r="153" spans="1:20" s="20" customFormat="1" ht="15" x14ac:dyDescent="0.2">
      <c r="A153" s="132"/>
      <c r="B153" s="48"/>
      <c r="C153" s="9" t="s">
        <v>61</v>
      </c>
      <c r="I153" s="119"/>
      <c r="J153" s="122">
        <f t="shared" ref="J153:S153" ca="1" si="40">J234</f>
        <v>188873.23943661992</v>
      </c>
      <c r="K153" s="122">
        <f t="shared" ca="1" si="40"/>
        <v>-29266.836019862676</v>
      </c>
      <c r="L153" s="122">
        <f t="shared" ca="1" si="40"/>
        <v>-159606.40341675724</v>
      </c>
      <c r="M153" s="122">
        <f t="shared" ca="1" si="40"/>
        <v>0</v>
      </c>
      <c r="N153" s="122">
        <f t="shared" ca="1" si="40"/>
        <v>0</v>
      </c>
      <c r="O153" s="122">
        <f t="shared" ca="1" si="40"/>
        <v>0</v>
      </c>
      <c r="P153" s="122">
        <f t="shared" ca="1" si="40"/>
        <v>0</v>
      </c>
      <c r="Q153" s="122">
        <f t="shared" ca="1" si="40"/>
        <v>0</v>
      </c>
      <c r="R153" s="122">
        <f t="shared" ca="1" si="40"/>
        <v>0</v>
      </c>
      <c r="S153" s="122">
        <f t="shared" ca="1" si="40"/>
        <v>0</v>
      </c>
      <c r="T153" s="19"/>
    </row>
    <row r="154" spans="1:20" s="20" customFormat="1" ht="15" x14ac:dyDescent="0.2">
      <c r="A154" s="132"/>
      <c r="B154" s="48"/>
      <c r="C154" s="1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9"/>
    </row>
    <row r="155" spans="1:20" s="20" customFormat="1" ht="15" x14ac:dyDescent="0.2">
      <c r="A155" s="132"/>
      <c r="B155" s="48"/>
      <c r="C155" s="13" t="s">
        <v>62</v>
      </c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9"/>
    </row>
    <row r="156" spans="1:20" s="20" customFormat="1" ht="15" x14ac:dyDescent="0.2">
      <c r="A156" s="132"/>
      <c r="B156" s="48"/>
      <c r="C156" s="9" t="s">
        <v>76</v>
      </c>
      <c r="I156" s="122"/>
      <c r="J156" s="122">
        <f t="shared" ref="J156:S156" ca="1" si="41">J151+J153</f>
        <v>0</v>
      </c>
      <c r="K156" s="122">
        <f t="shared" ca="1" si="41"/>
        <v>0</v>
      </c>
      <c r="L156" s="122">
        <f t="shared" ca="1" si="41"/>
        <v>561646.17203972535</v>
      </c>
      <c r="M156" s="122">
        <f t="shared" ca="1" si="41"/>
        <v>6009005.5764516406</v>
      </c>
      <c r="N156" s="122">
        <f t="shared" ca="1" si="41"/>
        <v>960649.0370899745</v>
      </c>
      <c r="O156" s="122">
        <f t="shared" ca="1" si="41"/>
        <v>1058211.0406769549</v>
      </c>
      <c r="P156" s="122">
        <f t="shared" ca="1" si="41"/>
        <v>1126943.7174517475</v>
      </c>
      <c r="Q156" s="122">
        <f t="shared" ca="1" si="41"/>
        <v>1182270.0005122586</v>
      </c>
      <c r="R156" s="122">
        <f t="shared" ca="1" si="41"/>
        <v>1239389.8087619911</v>
      </c>
      <c r="S156" s="122">
        <f t="shared" ca="1" si="41"/>
        <v>1298354.1823676433</v>
      </c>
      <c r="T156" s="19"/>
    </row>
    <row r="157" spans="1:20" s="20" customFormat="1" ht="15" x14ac:dyDescent="0.2">
      <c r="A157" s="132"/>
      <c r="B157" s="48"/>
      <c r="C157" s="9" t="s">
        <v>66</v>
      </c>
      <c r="I157" s="122"/>
      <c r="J157" s="122">
        <f t="shared" ref="J157:S157" ca="1" si="42">J304</f>
        <v>0</v>
      </c>
      <c r="K157" s="122">
        <f t="shared" ca="1" si="42"/>
        <v>0</v>
      </c>
      <c r="L157" s="122">
        <f t="shared" ca="1" si="42"/>
        <v>-561646.17203972535</v>
      </c>
      <c r="M157" s="122">
        <f t="shared" ca="1" si="42"/>
        <v>-6009005.5764516406</v>
      </c>
      <c r="N157" s="122">
        <f t="shared" ca="1" si="42"/>
        <v>-960649.0370899745</v>
      </c>
      <c r="O157" s="122">
        <f t="shared" ca="1" si="42"/>
        <v>-473297.37387836061</v>
      </c>
      <c r="P157" s="122">
        <f t="shared" ca="1" si="42"/>
        <v>0</v>
      </c>
      <c r="Q157" s="122">
        <f t="shared" ca="1" si="42"/>
        <v>0</v>
      </c>
      <c r="R157" s="122">
        <f t="shared" ca="1" si="42"/>
        <v>0</v>
      </c>
      <c r="S157" s="122">
        <f t="shared" ca="1" si="42"/>
        <v>0</v>
      </c>
      <c r="T157" s="19"/>
    </row>
    <row r="158" spans="1:20" s="20" customFormat="1" ht="15" x14ac:dyDescent="0.2">
      <c r="A158" s="132"/>
      <c r="B158" s="48"/>
      <c r="C158" s="9" t="s">
        <v>63</v>
      </c>
      <c r="I158" s="125"/>
      <c r="J158" s="125">
        <f t="shared" ref="J158:S158" ca="1" si="43">SUM(J156:J157)</f>
        <v>0</v>
      </c>
      <c r="K158" s="125">
        <f t="shared" ca="1" si="43"/>
        <v>0</v>
      </c>
      <c r="L158" s="125">
        <f t="shared" ca="1" si="43"/>
        <v>0</v>
      </c>
      <c r="M158" s="125">
        <f t="shared" ca="1" si="43"/>
        <v>0</v>
      </c>
      <c r="N158" s="125">
        <f t="shared" ca="1" si="43"/>
        <v>0</v>
      </c>
      <c r="O158" s="125">
        <f t="shared" ca="1" si="43"/>
        <v>584913.66679859429</v>
      </c>
      <c r="P158" s="125">
        <f t="shared" ca="1" si="43"/>
        <v>1126943.7174517475</v>
      </c>
      <c r="Q158" s="125">
        <f t="shared" ca="1" si="43"/>
        <v>1182270.0005122586</v>
      </c>
      <c r="R158" s="125">
        <f t="shared" ca="1" si="43"/>
        <v>1239389.8087619911</v>
      </c>
      <c r="S158" s="125">
        <f t="shared" ca="1" si="43"/>
        <v>1298354.1823676433</v>
      </c>
      <c r="T158" s="19"/>
    </row>
    <row r="159" spans="1:20" s="20" customFormat="1" ht="15" x14ac:dyDescent="0.2">
      <c r="A159" s="132"/>
      <c r="B159" s="48"/>
      <c r="C159" s="9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9"/>
    </row>
    <row r="160" spans="1:20" s="20" customFormat="1" ht="15" x14ac:dyDescent="0.2">
      <c r="A160" s="132"/>
      <c r="B160" s="48"/>
      <c r="C160" s="13" t="s">
        <v>64</v>
      </c>
      <c r="I160" s="123"/>
      <c r="J160" s="123">
        <f t="shared" ref="J160:S160" ca="1" si="44">J158</f>
        <v>0</v>
      </c>
      <c r="K160" s="123">
        <f t="shared" ca="1" si="44"/>
        <v>0</v>
      </c>
      <c r="L160" s="123">
        <f t="shared" ca="1" si="44"/>
        <v>0</v>
      </c>
      <c r="M160" s="123">
        <f t="shared" ca="1" si="44"/>
        <v>0</v>
      </c>
      <c r="N160" s="123">
        <f t="shared" ca="1" si="44"/>
        <v>0</v>
      </c>
      <c r="O160" s="123">
        <f t="shared" ca="1" si="44"/>
        <v>584913.66679859429</v>
      </c>
      <c r="P160" s="123">
        <f t="shared" ca="1" si="44"/>
        <v>1126943.7174517475</v>
      </c>
      <c r="Q160" s="123">
        <f t="shared" ca="1" si="44"/>
        <v>1182270.0005122586</v>
      </c>
      <c r="R160" s="123">
        <f t="shared" ca="1" si="44"/>
        <v>1239389.8087619911</v>
      </c>
      <c r="S160" s="123">
        <f t="shared" ca="1" si="44"/>
        <v>1298354.1823676433</v>
      </c>
      <c r="T160" s="19"/>
    </row>
    <row r="161" spans="1:20" s="20" customFormat="1" ht="15" x14ac:dyDescent="0.2">
      <c r="A161" s="132"/>
      <c r="B161" s="48"/>
      <c r="C161" s="9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9"/>
    </row>
    <row r="162" spans="1:20" s="20" customFormat="1" ht="15" x14ac:dyDescent="0.2">
      <c r="A162" s="132"/>
      <c r="B162" s="48"/>
      <c r="C162" s="91" t="s">
        <v>65</v>
      </c>
      <c r="D162" s="33"/>
      <c r="E162" s="33"/>
      <c r="F162" s="33"/>
      <c r="G162" s="33"/>
      <c r="H162" s="33"/>
      <c r="I162" s="126">
        <f t="shared" ref="I162:S162" si="45">I305</f>
        <v>6475000</v>
      </c>
      <c r="J162" s="126">
        <f t="shared" ca="1" si="45"/>
        <v>6878965.2558271019</v>
      </c>
      <c r="K162" s="126">
        <f t="shared" ca="1" si="45"/>
        <v>7321356.8429506812</v>
      </c>
      <c r="L162" s="126">
        <f t="shared" ca="1" si="45"/>
        <v>7216950.7448137049</v>
      </c>
      <c r="M162" s="126">
        <f t="shared" ca="1" si="45"/>
        <v>1433946.4109683351</v>
      </c>
      <c r="N162" s="126">
        <f t="shared" ca="1" si="45"/>
        <v>473297.37387836061</v>
      </c>
      <c r="O162" s="126">
        <f t="shared" ca="1" si="45"/>
        <v>0</v>
      </c>
      <c r="P162" s="126">
        <f t="shared" ca="1" si="45"/>
        <v>0</v>
      </c>
      <c r="Q162" s="126">
        <f t="shared" ca="1" si="45"/>
        <v>0</v>
      </c>
      <c r="R162" s="126">
        <f t="shared" ca="1" si="45"/>
        <v>0</v>
      </c>
      <c r="S162" s="127">
        <f t="shared" ca="1" si="45"/>
        <v>0</v>
      </c>
      <c r="T162" s="19"/>
    </row>
    <row r="163" spans="1:20" x14ac:dyDescent="0.2">
      <c r="A163" s="132"/>
      <c r="B163" s="25"/>
      <c r="C163" s="46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5"/>
    </row>
    <row r="164" spans="1:20" x14ac:dyDescent="0.2">
      <c r="G164" s="10"/>
    </row>
    <row r="165" spans="1:20" x14ac:dyDescent="0.2">
      <c r="B165" s="3" t="s">
        <v>118</v>
      </c>
      <c r="C165" s="8"/>
      <c r="D165" s="8"/>
      <c r="E165" s="8"/>
      <c r="F165" s="8"/>
      <c r="G165" s="8"/>
      <c r="H165" s="8"/>
      <c r="I165" s="8"/>
      <c r="J165" s="8"/>
      <c r="K165" s="1"/>
      <c r="L165" s="1"/>
      <c r="M165" s="1"/>
      <c r="N165" s="1"/>
      <c r="O165" s="1"/>
      <c r="P165" s="1"/>
      <c r="Q165" s="1"/>
      <c r="R165" s="1"/>
      <c r="S165" s="1"/>
      <c r="T165" s="2"/>
    </row>
    <row r="166" spans="1:20" x14ac:dyDescent="0.2">
      <c r="B166" s="4"/>
      <c r="D166" s="9"/>
      <c r="E166" s="9"/>
      <c r="F166" s="9"/>
      <c r="G166" s="9"/>
      <c r="H166" s="9"/>
      <c r="I166" s="9"/>
      <c r="J166" s="9"/>
      <c r="K166" s="9"/>
      <c r="L166" s="9"/>
      <c r="T166" s="15"/>
    </row>
    <row r="167" spans="1:20" x14ac:dyDescent="0.2">
      <c r="B167" s="4"/>
      <c r="D167" s="9"/>
      <c r="E167" s="9"/>
      <c r="F167" s="9"/>
      <c r="G167" s="9"/>
      <c r="J167" s="31" t="str">
        <f>J$103</f>
        <v>Forecast</v>
      </c>
      <c r="K167" s="32"/>
      <c r="L167" s="32"/>
      <c r="M167" s="32"/>
      <c r="N167" s="32"/>
      <c r="O167" s="32"/>
      <c r="P167" s="32"/>
      <c r="Q167" s="32"/>
      <c r="R167" s="32"/>
      <c r="S167" s="32"/>
      <c r="T167" s="15"/>
    </row>
    <row r="168" spans="1:20" x14ac:dyDescent="0.2">
      <c r="B168" s="4"/>
      <c r="G168" s="12"/>
      <c r="I168" s="12">
        <f t="shared" ref="I168:S168" si="46">I$104</f>
        <v>2023</v>
      </c>
      <c r="J168" s="29">
        <f t="shared" si="46"/>
        <v>2024</v>
      </c>
      <c r="K168" s="30">
        <f t="shared" si="46"/>
        <v>2025</v>
      </c>
      <c r="L168" s="30">
        <f t="shared" si="46"/>
        <v>2026</v>
      </c>
      <c r="M168" s="30">
        <f t="shared" si="46"/>
        <v>2027</v>
      </c>
      <c r="N168" s="30">
        <f t="shared" si="46"/>
        <v>2028</v>
      </c>
      <c r="O168" s="30">
        <f t="shared" si="46"/>
        <v>2029</v>
      </c>
      <c r="P168" s="30">
        <f t="shared" si="46"/>
        <v>2030</v>
      </c>
      <c r="Q168" s="30">
        <f t="shared" si="46"/>
        <v>2031</v>
      </c>
      <c r="R168" s="30">
        <f t="shared" si="46"/>
        <v>2032</v>
      </c>
      <c r="S168" s="30">
        <f t="shared" si="46"/>
        <v>2033</v>
      </c>
      <c r="T168" s="19"/>
    </row>
    <row r="169" spans="1:20" x14ac:dyDescent="0.2">
      <c r="B169" s="4"/>
      <c r="N169" s="47"/>
      <c r="O169" s="47"/>
      <c r="P169" s="47"/>
      <c r="Q169" s="47"/>
      <c r="R169" s="47"/>
      <c r="S169" s="47"/>
      <c r="T169" s="19"/>
    </row>
    <row r="170" spans="1:20" x14ac:dyDescent="0.2">
      <c r="B170" s="4"/>
      <c r="C170" s="71" t="str">
        <f>C111</f>
        <v>Property I Construction Ends / Payment</v>
      </c>
      <c r="D170" s="40"/>
      <c r="E170" s="40"/>
      <c r="F170" s="40"/>
      <c r="G170" s="72">
        <f>G111</f>
        <v>2024</v>
      </c>
      <c r="H170" s="40"/>
      <c r="I170" s="73">
        <f t="shared" ref="I170:S170" si="47">I111</f>
        <v>0</v>
      </c>
      <c r="J170" s="73">
        <f t="shared" si="47"/>
        <v>1</v>
      </c>
      <c r="K170" s="73">
        <f t="shared" si="47"/>
        <v>0</v>
      </c>
      <c r="L170" s="73">
        <f t="shared" si="47"/>
        <v>0</v>
      </c>
      <c r="M170" s="73">
        <f t="shared" si="47"/>
        <v>0</v>
      </c>
      <c r="N170" s="73">
        <f t="shared" si="47"/>
        <v>0</v>
      </c>
      <c r="O170" s="73">
        <f t="shared" si="47"/>
        <v>0</v>
      </c>
      <c r="P170" s="73">
        <f t="shared" si="47"/>
        <v>0</v>
      </c>
      <c r="Q170" s="73">
        <f t="shared" si="47"/>
        <v>0</v>
      </c>
      <c r="R170" s="73">
        <f t="shared" si="47"/>
        <v>0</v>
      </c>
      <c r="S170" s="74">
        <f t="shared" si="47"/>
        <v>0</v>
      </c>
      <c r="T170" s="19"/>
    </row>
    <row r="171" spans="1:20" x14ac:dyDescent="0.2">
      <c r="B171" s="4"/>
      <c r="C171" s="75" t="str">
        <f>C112</f>
        <v>Mortgage Loan Begins</v>
      </c>
      <c r="G171" s="35">
        <f>G112</f>
        <v>2024</v>
      </c>
      <c r="I171" s="70">
        <f t="shared" ref="I171:S171" si="48">I112</f>
        <v>0</v>
      </c>
      <c r="J171" s="70">
        <f t="shared" si="48"/>
        <v>1</v>
      </c>
      <c r="K171" s="70">
        <f t="shared" si="48"/>
        <v>0</v>
      </c>
      <c r="L171" s="70">
        <f t="shared" si="48"/>
        <v>0</v>
      </c>
      <c r="M171" s="70">
        <f t="shared" si="48"/>
        <v>0</v>
      </c>
      <c r="N171" s="70">
        <f t="shared" si="48"/>
        <v>0</v>
      </c>
      <c r="O171" s="70">
        <f t="shared" si="48"/>
        <v>0</v>
      </c>
      <c r="P171" s="70">
        <f t="shared" si="48"/>
        <v>0</v>
      </c>
      <c r="Q171" s="70">
        <f t="shared" si="48"/>
        <v>0</v>
      </c>
      <c r="R171" s="70">
        <f t="shared" si="48"/>
        <v>0</v>
      </c>
      <c r="S171" s="76">
        <f t="shared" si="48"/>
        <v>0</v>
      </c>
      <c r="T171" s="19"/>
    </row>
    <row r="172" spans="1:20" x14ac:dyDescent="0.2">
      <c r="B172" s="4"/>
      <c r="C172" s="75" t="str">
        <f>C107</f>
        <v>Mortgage Payments</v>
      </c>
      <c r="G172" s="35" t="str">
        <f>G107</f>
        <v>2025 &amp; Onward</v>
      </c>
      <c r="I172" s="70">
        <f t="shared" ref="I172:S172" si="49">I107</f>
        <v>0</v>
      </c>
      <c r="J172" s="70">
        <f t="shared" si="49"/>
        <v>0</v>
      </c>
      <c r="K172" s="70">
        <f t="shared" si="49"/>
        <v>1</v>
      </c>
      <c r="L172" s="70">
        <f t="shared" si="49"/>
        <v>1</v>
      </c>
      <c r="M172" s="70">
        <f t="shared" si="49"/>
        <v>1</v>
      </c>
      <c r="N172" s="70">
        <f t="shared" si="49"/>
        <v>1</v>
      </c>
      <c r="O172" s="70">
        <f t="shared" si="49"/>
        <v>1</v>
      </c>
      <c r="P172" s="70">
        <f t="shared" si="49"/>
        <v>1</v>
      </c>
      <c r="Q172" s="70">
        <f t="shared" si="49"/>
        <v>1</v>
      </c>
      <c r="R172" s="70">
        <f t="shared" si="49"/>
        <v>1</v>
      </c>
      <c r="S172" s="76">
        <f t="shared" si="49"/>
        <v>1</v>
      </c>
      <c r="T172" s="19"/>
    </row>
    <row r="173" spans="1:20" x14ac:dyDescent="0.2">
      <c r="B173" s="4"/>
      <c r="C173" s="75" t="str">
        <f>C114</f>
        <v>Property II Construction Begins / Issuance</v>
      </c>
      <c r="G173" s="35">
        <f>G114</f>
        <v>2025</v>
      </c>
      <c r="I173" s="70">
        <f t="shared" ref="I173:S173" si="50">I114</f>
        <v>0</v>
      </c>
      <c r="J173" s="70">
        <f t="shared" si="50"/>
        <v>0</v>
      </c>
      <c r="K173" s="70">
        <f t="shared" si="50"/>
        <v>1</v>
      </c>
      <c r="L173" s="70">
        <f t="shared" si="50"/>
        <v>0</v>
      </c>
      <c r="M173" s="70">
        <f t="shared" si="50"/>
        <v>0</v>
      </c>
      <c r="N173" s="70">
        <f t="shared" si="50"/>
        <v>0</v>
      </c>
      <c r="O173" s="70">
        <f t="shared" si="50"/>
        <v>0</v>
      </c>
      <c r="P173" s="70">
        <f t="shared" si="50"/>
        <v>0</v>
      </c>
      <c r="Q173" s="70">
        <f t="shared" si="50"/>
        <v>0</v>
      </c>
      <c r="R173" s="70">
        <f t="shared" si="50"/>
        <v>0</v>
      </c>
      <c r="S173" s="76">
        <f t="shared" si="50"/>
        <v>0</v>
      </c>
      <c r="T173" s="19"/>
    </row>
    <row r="174" spans="1:20" x14ac:dyDescent="0.2">
      <c r="B174" s="4"/>
      <c r="C174" s="77" t="str">
        <f>C115</f>
        <v>Property II Construction Ends / Payment</v>
      </c>
      <c r="D174" s="78"/>
      <c r="E174" s="78"/>
      <c r="F174" s="78"/>
      <c r="G174" s="79">
        <f>G115</f>
        <v>2027</v>
      </c>
      <c r="H174" s="78"/>
      <c r="I174" s="80">
        <f t="shared" ref="I174:S174" si="51">I115</f>
        <v>0</v>
      </c>
      <c r="J174" s="80">
        <f t="shared" si="51"/>
        <v>0</v>
      </c>
      <c r="K174" s="80">
        <f t="shared" si="51"/>
        <v>0</v>
      </c>
      <c r="L174" s="80">
        <f t="shared" si="51"/>
        <v>0</v>
      </c>
      <c r="M174" s="80">
        <f t="shared" si="51"/>
        <v>1</v>
      </c>
      <c r="N174" s="80">
        <f t="shared" si="51"/>
        <v>0</v>
      </c>
      <c r="O174" s="80">
        <f t="shared" si="51"/>
        <v>0</v>
      </c>
      <c r="P174" s="80">
        <f t="shared" si="51"/>
        <v>0</v>
      </c>
      <c r="Q174" s="80">
        <f t="shared" si="51"/>
        <v>0</v>
      </c>
      <c r="R174" s="80">
        <f t="shared" si="51"/>
        <v>0</v>
      </c>
      <c r="S174" s="81">
        <f t="shared" si="51"/>
        <v>0</v>
      </c>
      <c r="T174" s="19"/>
    </row>
    <row r="175" spans="1:20" x14ac:dyDescent="0.2">
      <c r="B175" s="4"/>
      <c r="C175" s="9"/>
      <c r="G175" s="35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19"/>
    </row>
    <row r="176" spans="1:20" x14ac:dyDescent="0.2">
      <c r="B176" s="24"/>
      <c r="C176" s="50" t="str">
        <f>$O$86</f>
        <v>Construction Loan I</v>
      </c>
      <c r="N176" s="47"/>
      <c r="O176" s="47"/>
      <c r="P176" s="47"/>
      <c r="Q176" s="47"/>
      <c r="R176" s="47"/>
      <c r="S176" s="47"/>
      <c r="T176" s="19"/>
    </row>
    <row r="177" spans="2:20" x14ac:dyDescent="0.2">
      <c r="B177" s="24"/>
      <c r="C177" s="9" t="s">
        <v>40</v>
      </c>
      <c r="G177" s="35">
        <f>HLOOKUP(C176,$O$86:$S$94,ROWS($O$86:$O$87),0)</f>
        <v>2023</v>
      </c>
      <c r="I177" s="122">
        <f t="shared" ref="I177:S177" si="52">IF(I$168=$G177,0,H185)</f>
        <v>0</v>
      </c>
      <c r="J177" s="122">
        <f t="shared" si="52"/>
        <v>3605000</v>
      </c>
      <c r="K177" s="122">
        <f t="shared" si="52"/>
        <v>0</v>
      </c>
      <c r="L177" s="122">
        <f t="shared" si="52"/>
        <v>0</v>
      </c>
      <c r="M177" s="122">
        <f t="shared" si="52"/>
        <v>0</v>
      </c>
      <c r="N177" s="122">
        <f t="shared" si="52"/>
        <v>0</v>
      </c>
      <c r="O177" s="122">
        <f t="shared" si="52"/>
        <v>0</v>
      </c>
      <c r="P177" s="122">
        <f t="shared" si="52"/>
        <v>0</v>
      </c>
      <c r="Q177" s="122">
        <f t="shared" si="52"/>
        <v>0</v>
      </c>
      <c r="R177" s="122">
        <f t="shared" si="52"/>
        <v>0</v>
      </c>
      <c r="S177" s="122">
        <f t="shared" si="52"/>
        <v>0</v>
      </c>
      <c r="T177" s="19"/>
    </row>
    <row r="178" spans="2:20" x14ac:dyDescent="0.2">
      <c r="B178" s="24"/>
      <c r="C178" s="9" t="s">
        <v>121</v>
      </c>
      <c r="F178" s="35"/>
      <c r="G178" s="122"/>
      <c r="I178" s="122">
        <f>-I125</f>
        <v>3500000</v>
      </c>
      <c r="J178" s="122">
        <f t="shared" ref="J178:S178" si="53">-J125</f>
        <v>3500000</v>
      </c>
      <c r="K178" s="122">
        <f t="shared" si="53"/>
        <v>0</v>
      </c>
      <c r="L178" s="122">
        <f t="shared" si="53"/>
        <v>0</v>
      </c>
      <c r="M178" s="122">
        <f t="shared" si="53"/>
        <v>0</v>
      </c>
      <c r="N178" s="122">
        <f t="shared" si="53"/>
        <v>0</v>
      </c>
      <c r="O178" s="122">
        <f t="shared" si="53"/>
        <v>0</v>
      </c>
      <c r="P178" s="122">
        <f t="shared" si="53"/>
        <v>0</v>
      </c>
      <c r="Q178" s="122">
        <f t="shared" si="53"/>
        <v>0</v>
      </c>
      <c r="R178" s="122">
        <f t="shared" si="53"/>
        <v>0</v>
      </c>
      <c r="S178" s="122">
        <f t="shared" si="53"/>
        <v>0</v>
      </c>
      <c r="T178" s="19"/>
    </row>
    <row r="179" spans="2:20" x14ac:dyDescent="0.2">
      <c r="B179" s="24"/>
      <c r="C179" s="13" t="s">
        <v>122</v>
      </c>
      <c r="F179" s="35"/>
      <c r="G179" s="122"/>
      <c r="I179" s="124">
        <f>SUM(I177:I178)</f>
        <v>3500000</v>
      </c>
      <c r="J179" s="124">
        <f t="shared" ref="J179:S179" si="54">SUM(J177:J178)</f>
        <v>7105000</v>
      </c>
      <c r="K179" s="124">
        <f t="shared" si="54"/>
        <v>0</v>
      </c>
      <c r="L179" s="124">
        <f t="shared" si="54"/>
        <v>0</v>
      </c>
      <c r="M179" s="124">
        <f t="shared" si="54"/>
        <v>0</v>
      </c>
      <c r="N179" s="124">
        <f t="shared" si="54"/>
        <v>0</v>
      </c>
      <c r="O179" s="124">
        <f t="shared" si="54"/>
        <v>0</v>
      </c>
      <c r="P179" s="124">
        <f t="shared" si="54"/>
        <v>0</v>
      </c>
      <c r="Q179" s="124">
        <f t="shared" si="54"/>
        <v>0</v>
      </c>
      <c r="R179" s="124">
        <f t="shared" si="54"/>
        <v>0</v>
      </c>
      <c r="S179" s="124">
        <f t="shared" si="54"/>
        <v>0</v>
      </c>
      <c r="T179" s="19"/>
    </row>
    <row r="180" spans="2:20" x14ac:dyDescent="0.2">
      <c r="B180" s="24"/>
      <c r="C180" s="9"/>
      <c r="F180" s="35"/>
      <c r="G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9"/>
    </row>
    <row r="181" spans="2:20" x14ac:dyDescent="0.2">
      <c r="B181" s="24"/>
      <c r="C181" s="9" t="s">
        <v>39</v>
      </c>
      <c r="G181" s="57">
        <f>HLOOKUP(C176,$O$86:$S$94,ROWS($O$86:$O$91),0)</f>
        <v>0.06</v>
      </c>
      <c r="I181" s="122">
        <f>AVERAGE(I177,I179)*$G$181</f>
        <v>105000</v>
      </c>
      <c r="J181" s="122">
        <f t="shared" ref="J181:S181" si="55">AVERAGE(J177,J179)*$G$181</f>
        <v>321300</v>
      </c>
      <c r="K181" s="122">
        <f t="shared" si="55"/>
        <v>0</v>
      </c>
      <c r="L181" s="122">
        <f t="shared" si="55"/>
        <v>0</v>
      </c>
      <c r="M181" s="122">
        <f t="shared" si="55"/>
        <v>0</v>
      </c>
      <c r="N181" s="122">
        <f t="shared" si="55"/>
        <v>0</v>
      </c>
      <c r="O181" s="122">
        <f t="shared" si="55"/>
        <v>0</v>
      </c>
      <c r="P181" s="122">
        <f t="shared" si="55"/>
        <v>0</v>
      </c>
      <c r="Q181" s="122">
        <f t="shared" si="55"/>
        <v>0</v>
      </c>
      <c r="R181" s="122">
        <f t="shared" si="55"/>
        <v>0</v>
      </c>
      <c r="S181" s="122">
        <f t="shared" si="55"/>
        <v>0</v>
      </c>
      <c r="T181" s="19"/>
    </row>
    <row r="182" spans="2:20" ht="15" x14ac:dyDescent="0.2">
      <c r="B182" s="24"/>
      <c r="C182" s="13" t="s">
        <v>41</v>
      </c>
      <c r="D182" s="20"/>
      <c r="E182" s="20"/>
      <c r="F182" s="20"/>
      <c r="G182" s="20"/>
      <c r="H182" s="20"/>
      <c r="I182" s="124">
        <f>SUM(I179,I181)</f>
        <v>3605000</v>
      </c>
      <c r="J182" s="124">
        <f t="shared" ref="J182:S182" si="56">SUM(J179,J181)</f>
        <v>7426300</v>
      </c>
      <c r="K182" s="124">
        <f t="shared" si="56"/>
        <v>0</v>
      </c>
      <c r="L182" s="124">
        <f t="shared" si="56"/>
        <v>0</v>
      </c>
      <c r="M182" s="124">
        <f t="shared" si="56"/>
        <v>0</v>
      </c>
      <c r="N182" s="124">
        <f t="shared" si="56"/>
        <v>0</v>
      </c>
      <c r="O182" s="124">
        <f t="shared" si="56"/>
        <v>0</v>
      </c>
      <c r="P182" s="124">
        <f t="shared" si="56"/>
        <v>0</v>
      </c>
      <c r="Q182" s="124">
        <f t="shared" si="56"/>
        <v>0</v>
      </c>
      <c r="R182" s="124">
        <f t="shared" si="56"/>
        <v>0</v>
      </c>
      <c r="S182" s="124">
        <f t="shared" si="56"/>
        <v>0</v>
      </c>
      <c r="T182" s="19"/>
    </row>
    <row r="183" spans="2:20" x14ac:dyDescent="0.2">
      <c r="B183" s="24"/>
      <c r="C183" s="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9"/>
    </row>
    <row r="184" spans="2:20" x14ac:dyDescent="0.2">
      <c r="B184" s="24"/>
      <c r="C184" s="9" t="s">
        <v>42</v>
      </c>
      <c r="G184" s="35">
        <f>HLOOKUP(C176,$O$86:$S$94,ROWS($O$86:$O$88),0)</f>
        <v>2024</v>
      </c>
      <c r="I184" s="122">
        <f>-I182*I170</f>
        <v>0</v>
      </c>
      <c r="J184" s="122">
        <f t="shared" ref="J184:S184" si="57">-J182*J170</f>
        <v>-7426300</v>
      </c>
      <c r="K184" s="122">
        <f t="shared" si="57"/>
        <v>0</v>
      </c>
      <c r="L184" s="122">
        <f t="shared" si="57"/>
        <v>0</v>
      </c>
      <c r="M184" s="122">
        <f t="shared" si="57"/>
        <v>0</v>
      </c>
      <c r="N184" s="122">
        <f t="shared" si="57"/>
        <v>0</v>
      </c>
      <c r="O184" s="122">
        <f t="shared" si="57"/>
        <v>0</v>
      </c>
      <c r="P184" s="122">
        <f t="shared" si="57"/>
        <v>0</v>
      </c>
      <c r="Q184" s="122">
        <f t="shared" si="57"/>
        <v>0</v>
      </c>
      <c r="R184" s="122">
        <f t="shared" si="57"/>
        <v>0</v>
      </c>
      <c r="S184" s="122">
        <f t="shared" si="57"/>
        <v>0</v>
      </c>
      <c r="T184" s="19"/>
    </row>
    <row r="185" spans="2:20" ht="15" x14ac:dyDescent="0.2">
      <c r="B185" s="24"/>
      <c r="C185" s="13" t="s">
        <v>43</v>
      </c>
      <c r="D185" s="20"/>
      <c r="E185" s="20"/>
      <c r="F185" s="20"/>
      <c r="G185" s="20"/>
      <c r="H185" s="20"/>
      <c r="I185" s="124">
        <f t="shared" ref="I185:S185" si="58">SUM(I182,I184)</f>
        <v>3605000</v>
      </c>
      <c r="J185" s="124">
        <f t="shared" si="58"/>
        <v>0</v>
      </c>
      <c r="K185" s="124">
        <f t="shared" si="58"/>
        <v>0</v>
      </c>
      <c r="L185" s="124">
        <f t="shared" si="58"/>
        <v>0</v>
      </c>
      <c r="M185" s="124">
        <f t="shared" si="58"/>
        <v>0</v>
      </c>
      <c r="N185" s="124">
        <f t="shared" si="58"/>
        <v>0</v>
      </c>
      <c r="O185" s="124">
        <f t="shared" si="58"/>
        <v>0</v>
      </c>
      <c r="P185" s="124">
        <f t="shared" si="58"/>
        <v>0</v>
      </c>
      <c r="Q185" s="124">
        <f t="shared" si="58"/>
        <v>0</v>
      </c>
      <c r="R185" s="124">
        <f t="shared" si="58"/>
        <v>0</v>
      </c>
      <c r="S185" s="124">
        <f t="shared" si="58"/>
        <v>0</v>
      </c>
      <c r="T185" s="19"/>
    </row>
    <row r="186" spans="2:20" x14ac:dyDescent="0.2">
      <c r="B186" s="4"/>
      <c r="C186" s="9"/>
      <c r="G186" s="35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9"/>
    </row>
    <row r="187" spans="2:20" x14ac:dyDescent="0.2">
      <c r="B187" s="4"/>
      <c r="C187" s="9"/>
      <c r="G187" s="35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9"/>
    </row>
    <row r="188" spans="2:20" x14ac:dyDescent="0.2">
      <c r="B188" s="24"/>
      <c r="C188" s="50" t="str">
        <f>$S$86</f>
        <v>Mortgage Loan</v>
      </c>
      <c r="I188" s="118"/>
      <c r="J188" s="118"/>
      <c r="K188" s="118"/>
      <c r="L188" s="118"/>
      <c r="M188" s="118"/>
      <c r="N188" s="129"/>
      <c r="O188" s="129"/>
      <c r="P188" s="129"/>
      <c r="Q188" s="129"/>
      <c r="R188" s="129"/>
      <c r="S188" s="129"/>
      <c r="T188" s="19"/>
    </row>
    <row r="189" spans="2:20" x14ac:dyDescent="0.2">
      <c r="B189" s="24"/>
      <c r="C189" s="9" t="s">
        <v>40</v>
      </c>
      <c r="F189" s="35"/>
      <c r="G189" s="122">
        <f>-SUM(I184:S184)</f>
        <v>7426300</v>
      </c>
      <c r="I189" s="122">
        <f t="shared" ref="I189:S189" si="59">H195</f>
        <v>0</v>
      </c>
      <c r="J189" s="122">
        <f t="shared" si="59"/>
        <v>0</v>
      </c>
      <c r="K189" s="122">
        <f t="shared" si="59"/>
        <v>7426300</v>
      </c>
      <c r="L189" s="122">
        <f t="shared" si="59"/>
        <v>7208888.2275376301</v>
      </c>
      <c r="M189" s="122">
        <f t="shared" si="59"/>
        <v>6986041.1607637014</v>
      </c>
      <c r="N189" s="122">
        <f t="shared" si="59"/>
        <v>6757622.9173204247</v>
      </c>
      <c r="O189" s="122">
        <f t="shared" si="59"/>
        <v>6523494.2177910656</v>
      </c>
      <c r="P189" s="122">
        <f t="shared" si="59"/>
        <v>6283512.3007734725</v>
      </c>
      <c r="Q189" s="122">
        <f t="shared" si="59"/>
        <v>6037530.8358304398</v>
      </c>
      <c r="R189" s="122">
        <f t="shared" si="59"/>
        <v>5785399.8342638314</v>
      </c>
      <c r="S189" s="122">
        <f t="shared" si="59"/>
        <v>5526965.5576580577</v>
      </c>
      <c r="T189" s="19"/>
    </row>
    <row r="190" spans="2:20" x14ac:dyDescent="0.2">
      <c r="B190" s="24"/>
      <c r="C190" s="9" t="s">
        <v>47</v>
      </c>
      <c r="F190" s="35">
        <f>HLOOKUP(C188,$O$86:$S$94,ROWS($O$86:$O$87),0)</f>
        <v>2024</v>
      </c>
      <c r="G190" s="122">
        <f>G189</f>
        <v>7426300</v>
      </c>
      <c r="I190" s="122">
        <f t="shared" ref="I190:S190" si="60">I$171*$G190</f>
        <v>0</v>
      </c>
      <c r="J190" s="122">
        <f t="shared" si="60"/>
        <v>7426300</v>
      </c>
      <c r="K190" s="122">
        <f t="shared" si="60"/>
        <v>0</v>
      </c>
      <c r="L190" s="122">
        <f t="shared" si="60"/>
        <v>0</v>
      </c>
      <c r="M190" s="122">
        <f t="shared" si="60"/>
        <v>0</v>
      </c>
      <c r="N190" s="122">
        <f t="shared" si="60"/>
        <v>0</v>
      </c>
      <c r="O190" s="122">
        <f t="shared" si="60"/>
        <v>0</v>
      </c>
      <c r="P190" s="122">
        <f t="shared" si="60"/>
        <v>0</v>
      </c>
      <c r="Q190" s="122">
        <f t="shared" si="60"/>
        <v>0</v>
      </c>
      <c r="R190" s="122">
        <f t="shared" si="60"/>
        <v>0</v>
      </c>
      <c r="S190" s="122">
        <f t="shared" si="60"/>
        <v>0</v>
      </c>
      <c r="T190" s="19"/>
    </row>
    <row r="191" spans="2:20" x14ac:dyDescent="0.2">
      <c r="B191" s="24"/>
      <c r="C191" s="9" t="s">
        <v>52</v>
      </c>
      <c r="I191" s="122">
        <f t="shared" ref="I191:S191" si="61">-I197</f>
        <v>0</v>
      </c>
      <c r="J191" s="122">
        <f t="shared" si="61"/>
        <v>0</v>
      </c>
      <c r="K191" s="122">
        <f t="shared" si="61"/>
        <v>-217411.77246236964</v>
      </c>
      <c r="L191" s="122">
        <f t="shared" si="61"/>
        <v>-222847.06677392888</v>
      </c>
      <c r="M191" s="122">
        <f t="shared" si="61"/>
        <v>-228418.24344327708</v>
      </c>
      <c r="N191" s="122">
        <f t="shared" si="61"/>
        <v>-234128.699529359</v>
      </c>
      <c r="O191" s="122">
        <f t="shared" si="61"/>
        <v>-239981.91701759299</v>
      </c>
      <c r="P191" s="122">
        <f t="shared" si="61"/>
        <v>-245981.46494303283</v>
      </c>
      <c r="Q191" s="122">
        <f t="shared" si="61"/>
        <v>-252131.00156660864</v>
      </c>
      <c r="R191" s="122">
        <f t="shared" si="61"/>
        <v>-258434.27660577386</v>
      </c>
      <c r="S191" s="122">
        <f t="shared" si="61"/>
        <v>-264895.1335209182</v>
      </c>
      <c r="T191" s="19"/>
    </row>
    <row r="192" spans="2:20" ht="15" x14ac:dyDescent="0.2">
      <c r="B192" s="24"/>
      <c r="C192" s="13" t="s">
        <v>41</v>
      </c>
      <c r="D192" s="20"/>
      <c r="E192" s="20"/>
      <c r="F192" s="20"/>
      <c r="G192" s="20"/>
      <c r="H192" s="20"/>
      <c r="I192" s="124">
        <f t="shared" ref="I192:S192" si="62">SUM(I189:I191)</f>
        <v>0</v>
      </c>
      <c r="J192" s="124">
        <f t="shared" si="62"/>
        <v>7426300</v>
      </c>
      <c r="K192" s="124">
        <f t="shared" si="62"/>
        <v>7208888.2275376301</v>
      </c>
      <c r="L192" s="124">
        <f t="shared" si="62"/>
        <v>6986041.1607637014</v>
      </c>
      <c r="M192" s="124">
        <f t="shared" si="62"/>
        <v>6757622.9173204247</v>
      </c>
      <c r="N192" s="124">
        <f t="shared" si="62"/>
        <v>6523494.2177910656</v>
      </c>
      <c r="O192" s="124">
        <f t="shared" si="62"/>
        <v>6283512.3007734725</v>
      </c>
      <c r="P192" s="124">
        <f t="shared" si="62"/>
        <v>6037530.8358304398</v>
      </c>
      <c r="Q192" s="124">
        <f t="shared" si="62"/>
        <v>5785399.8342638314</v>
      </c>
      <c r="R192" s="124">
        <f t="shared" si="62"/>
        <v>5526965.5576580577</v>
      </c>
      <c r="S192" s="124">
        <f t="shared" si="62"/>
        <v>5262070.4241371397</v>
      </c>
      <c r="T192" s="19"/>
    </row>
    <row r="193" spans="1:20" x14ac:dyDescent="0.2">
      <c r="B193" s="24"/>
      <c r="C193" s="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9"/>
    </row>
    <row r="194" spans="1:20" x14ac:dyDescent="0.2">
      <c r="B194" s="24"/>
      <c r="C194" s="9" t="s">
        <v>42</v>
      </c>
      <c r="G194" s="90">
        <f>HLOOKUP(C188,$O$86:$S$94,ROWS($O$86:$O$88),0)</f>
        <v>25</v>
      </c>
      <c r="I194" s="122">
        <v>0</v>
      </c>
      <c r="J194" s="122">
        <v>0</v>
      </c>
      <c r="K194" s="122">
        <v>0</v>
      </c>
      <c r="L194" s="122">
        <v>0</v>
      </c>
      <c r="M194" s="122">
        <v>0</v>
      </c>
      <c r="N194" s="122">
        <v>0</v>
      </c>
      <c r="O194" s="122">
        <v>0</v>
      </c>
      <c r="P194" s="122">
        <v>0</v>
      </c>
      <c r="Q194" s="122">
        <v>0</v>
      </c>
      <c r="R194" s="122">
        <v>0</v>
      </c>
      <c r="S194" s="122">
        <v>0</v>
      </c>
      <c r="T194" s="19"/>
    </row>
    <row r="195" spans="1:20" ht="15" x14ac:dyDescent="0.2">
      <c r="B195" s="24"/>
      <c r="C195" s="13" t="s">
        <v>43</v>
      </c>
      <c r="D195" s="20"/>
      <c r="E195" s="20"/>
      <c r="F195" s="20"/>
      <c r="G195" s="20"/>
      <c r="H195" s="20"/>
      <c r="I195" s="124">
        <f t="shared" ref="I195:S195" si="63">SUM(I192,I194)</f>
        <v>0</v>
      </c>
      <c r="J195" s="124">
        <f t="shared" si="63"/>
        <v>7426300</v>
      </c>
      <c r="K195" s="124">
        <f t="shared" si="63"/>
        <v>7208888.2275376301</v>
      </c>
      <c r="L195" s="124">
        <f t="shared" si="63"/>
        <v>6986041.1607637014</v>
      </c>
      <c r="M195" s="124">
        <f t="shared" si="63"/>
        <v>6757622.9173204247</v>
      </c>
      <c r="N195" s="124">
        <f t="shared" si="63"/>
        <v>6523494.2177910656</v>
      </c>
      <c r="O195" s="124">
        <f t="shared" si="63"/>
        <v>6283512.3007734725</v>
      </c>
      <c r="P195" s="124">
        <f t="shared" si="63"/>
        <v>6037530.8358304398</v>
      </c>
      <c r="Q195" s="124">
        <f t="shared" si="63"/>
        <v>5785399.8342638314</v>
      </c>
      <c r="R195" s="124">
        <f t="shared" si="63"/>
        <v>5526965.5576580577</v>
      </c>
      <c r="S195" s="124">
        <f t="shared" si="63"/>
        <v>5262070.4241371397</v>
      </c>
      <c r="T195" s="19"/>
    </row>
    <row r="196" spans="1:20" ht="15" x14ac:dyDescent="0.2">
      <c r="B196" s="24"/>
      <c r="C196" s="13"/>
      <c r="D196" s="20"/>
      <c r="E196" s="20"/>
      <c r="F196" s="20"/>
      <c r="G196" s="20"/>
      <c r="H196" s="20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9"/>
    </row>
    <row r="197" spans="1:20" ht="15" x14ac:dyDescent="0.2">
      <c r="B197" s="24"/>
      <c r="C197" s="9" t="s">
        <v>52</v>
      </c>
      <c r="D197" s="20"/>
      <c r="E197" s="20"/>
      <c r="F197" s="20"/>
      <c r="G197" s="20"/>
      <c r="H197" s="20"/>
      <c r="I197" s="122">
        <f t="shared" ref="I197:S197" si="64">I199-I198</f>
        <v>0</v>
      </c>
      <c r="J197" s="122">
        <f t="shared" si="64"/>
        <v>0</v>
      </c>
      <c r="K197" s="122">
        <f t="shared" si="64"/>
        <v>217411.77246236964</v>
      </c>
      <c r="L197" s="122">
        <f t="shared" si="64"/>
        <v>222847.06677392888</v>
      </c>
      <c r="M197" s="122">
        <f t="shared" si="64"/>
        <v>228418.24344327708</v>
      </c>
      <c r="N197" s="122">
        <f t="shared" si="64"/>
        <v>234128.699529359</v>
      </c>
      <c r="O197" s="122">
        <f t="shared" si="64"/>
        <v>239981.91701759299</v>
      </c>
      <c r="P197" s="122">
        <f t="shared" si="64"/>
        <v>245981.46494303283</v>
      </c>
      <c r="Q197" s="122">
        <f t="shared" si="64"/>
        <v>252131.00156660864</v>
      </c>
      <c r="R197" s="122">
        <f t="shared" si="64"/>
        <v>258434.27660577386</v>
      </c>
      <c r="S197" s="122">
        <f t="shared" si="64"/>
        <v>264895.1335209182</v>
      </c>
      <c r="T197" s="19"/>
    </row>
    <row r="198" spans="1:20" x14ac:dyDescent="0.2">
      <c r="B198" s="24"/>
      <c r="C198" s="9" t="s">
        <v>44</v>
      </c>
      <c r="G198" s="57">
        <f>HLOOKUP(C188,$O$86:$S$94,ROWS($O$86:$O$91),0)</f>
        <v>2.5000000000000001E-2</v>
      </c>
      <c r="I198" s="122">
        <f t="shared" ref="I198:S198" si="65">I189*$G$198</f>
        <v>0</v>
      </c>
      <c r="J198" s="122">
        <f t="shared" si="65"/>
        <v>0</v>
      </c>
      <c r="K198" s="122">
        <f t="shared" si="65"/>
        <v>185657.5</v>
      </c>
      <c r="L198" s="122">
        <f t="shared" si="65"/>
        <v>180222.20568844076</v>
      </c>
      <c r="M198" s="122">
        <f t="shared" si="65"/>
        <v>174651.02901909256</v>
      </c>
      <c r="N198" s="122">
        <f t="shared" si="65"/>
        <v>168940.57293301064</v>
      </c>
      <c r="O198" s="122">
        <f t="shared" si="65"/>
        <v>163087.35544477665</v>
      </c>
      <c r="P198" s="122">
        <f t="shared" si="65"/>
        <v>157087.80751933681</v>
      </c>
      <c r="Q198" s="122">
        <f t="shared" si="65"/>
        <v>150938.270895761</v>
      </c>
      <c r="R198" s="122">
        <f t="shared" si="65"/>
        <v>144634.99585659578</v>
      </c>
      <c r="S198" s="122">
        <f t="shared" si="65"/>
        <v>138174.13894145144</v>
      </c>
      <c r="T198" s="19"/>
    </row>
    <row r="199" spans="1:20" s="20" customFormat="1" ht="15" x14ac:dyDescent="0.2">
      <c r="A199"/>
      <c r="B199" s="48"/>
      <c r="C199" s="13" t="s">
        <v>51</v>
      </c>
      <c r="I199" s="124">
        <f t="shared" ref="I199:S199" si="66">-PMT($G$198,$G$194,$G$189)*I172</f>
        <v>0</v>
      </c>
      <c r="J199" s="124">
        <f t="shared" si="66"/>
        <v>0</v>
      </c>
      <c r="K199" s="124">
        <f t="shared" si="66"/>
        <v>403069.27246236964</v>
      </c>
      <c r="L199" s="124">
        <f t="shared" si="66"/>
        <v>403069.27246236964</v>
      </c>
      <c r="M199" s="124">
        <f t="shared" si="66"/>
        <v>403069.27246236964</v>
      </c>
      <c r="N199" s="124">
        <f t="shared" si="66"/>
        <v>403069.27246236964</v>
      </c>
      <c r="O199" s="124">
        <f t="shared" si="66"/>
        <v>403069.27246236964</v>
      </c>
      <c r="P199" s="124">
        <f t="shared" si="66"/>
        <v>403069.27246236964</v>
      </c>
      <c r="Q199" s="124">
        <f t="shared" si="66"/>
        <v>403069.27246236964</v>
      </c>
      <c r="R199" s="124">
        <f t="shared" si="66"/>
        <v>403069.27246236964</v>
      </c>
      <c r="S199" s="124">
        <f t="shared" si="66"/>
        <v>403069.27246236964</v>
      </c>
      <c r="T199" s="19"/>
    </row>
    <row r="200" spans="1:20" x14ac:dyDescent="0.2">
      <c r="B200" s="4"/>
      <c r="C200" s="9"/>
      <c r="G200" s="35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9"/>
    </row>
    <row r="201" spans="1:20" x14ac:dyDescent="0.2">
      <c r="B201" s="4"/>
      <c r="C201" s="9"/>
      <c r="G201" s="35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9"/>
    </row>
    <row r="202" spans="1:20" x14ac:dyDescent="0.2">
      <c r="B202" s="24"/>
      <c r="C202" s="50" t="str">
        <f>$Q$86</f>
        <v>Construction Loan II</v>
      </c>
      <c r="I202" s="118"/>
      <c r="J202" s="118"/>
      <c r="K202" s="118"/>
      <c r="L202" s="118"/>
      <c r="M202" s="118"/>
      <c r="N202" s="129"/>
      <c r="O202" s="129"/>
      <c r="P202" s="129"/>
      <c r="Q202" s="129"/>
      <c r="R202" s="129"/>
      <c r="S202" s="129"/>
      <c r="T202" s="19"/>
    </row>
    <row r="203" spans="1:20" x14ac:dyDescent="0.2">
      <c r="B203" s="24"/>
      <c r="C203" s="9" t="s">
        <v>40</v>
      </c>
      <c r="G203" s="35">
        <f>HLOOKUP(C202,$O$86:$S$94,ROWS($O$86:$O$87),0)</f>
        <v>2025</v>
      </c>
      <c r="I203" s="122">
        <f t="shared" ref="I203:S203" si="67">IF($G$203=I$168,0,H211)</f>
        <v>0</v>
      </c>
      <c r="J203" s="122">
        <f t="shared" si="67"/>
        <v>0</v>
      </c>
      <c r="K203" s="122">
        <f t="shared" si="67"/>
        <v>0</v>
      </c>
      <c r="L203" s="122">
        <f t="shared" si="67"/>
        <v>4281250</v>
      </c>
      <c r="M203" s="122">
        <f t="shared" si="67"/>
        <v>8797968.75</v>
      </c>
      <c r="N203" s="122">
        <f t="shared" si="67"/>
        <v>0</v>
      </c>
      <c r="O203" s="122">
        <f t="shared" si="67"/>
        <v>0</v>
      </c>
      <c r="P203" s="122">
        <f t="shared" si="67"/>
        <v>0</v>
      </c>
      <c r="Q203" s="122">
        <f t="shared" si="67"/>
        <v>0</v>
      </c>
      <c r="R203" s="122">
        <f t="shared" si="67"/>
        <v>0</v>
      </c>
      <c r="S203" s="122">
        <f t="shared" si="67"/>
        <v>0</v>
      </c>
      <c r="T203" s="19"/>
    </row>
    <row r="204" spans="1:20" x14ac:dyDescent="0.2">
      <c r="B204" s="24"/>
      <c r="C204" s="9" t="s">
        <v>121</v>
      </c>
      <c r="F204" s="35"/>
      <c r="G204" s="122"/>
      <c r="I204" s="122">
        <f t="shared" ref="I204:S204" si="68">-I130</f>
        <v>0</v>
      </c>
      <c r="J204" s="122">
        <f t="shared" si="68"/>
        <v>0</v>
      </c>
      <c r="K204" s="122">
        <f t="shared" si="68"/>
        <v>4166666.6666666665</v>
      </c>
      <c r="L204" s="122">
        <f t="shared" si="68"/>
        <v>4166666.6666666665</v>
      </c>
      <c r="M204" s="122">
        <f t="shared" si="68"/>
        <v>4166666.6666666665</v>
      </c>
      <c r="N204" s="122">
        <f t="shared" si="68"/>
        <v>0</v>
      </c>
      <c r="O204" s="122">
        <f t="shared" si="68"/>
        <v>0</v>
      </c>
      <c r="P204" s="122">
        <f t="shared" si="68"/>
        <v>0</v>
      </c>
      <c r="Q204" s="122">
        <f t="shared" si="68"/>
        <v>0</v>
      </c>
      <c r="R204" s="122">
        <f t="shared" si="68"/>
        <v>0</v>
      </c>
      <c r="S204" s="122">
        <f t="shared" si="68"/>
        <v>0</v>
      </c>
      <c r="T204" s="19"/>
    </row>
    <row r="205" spans="1:20" x14ac:dyDescent="0.2">
      <c r="B205" s="24"/>
      <c r="C205" s="13" t="s">
        <v>122</v>
      </c>
      <c r="F205" s="35"/>
      <c r="G205" s="122"/>
      <c r="I205" s="124">
        <f>SUM(I203:I204)</f>
        <v>0</v>
      </c>
      <c r="J205" s="124">
        <f t="shared" ref="J205" si="69">SUM(J203:J204)</f>
        <v>0</v>
      </c>
      <c r="K205" s="124">
        <f t="shared" ref="K205" si="70">SUM(K203:K204)</f>
        <v>4166666.6666666665</v>
      </c>
      <c r="L205" s="124">
        <f t="shared" ref="L205" si="71">SUM(L203:L204)</f>
        <v>8447916.666666666</v>
      </c>
      <c r="M205" s="124">
        <f t="shared" ref="M205" si="72">SUM(M203:M204)</f>
        <v>12964635.416666666</v>
      </c>
      <c r="N205" s="124">
        <f t="shared" ref="N205" si="73">SUM(N203:N204)</f>
        <v>0</v>
      </c>
      <c r="O205" s="124">
        <f t="shared" ref="O205" si="74">SUM(O203:O204)</f>
        <v>0</v>
      </c>
      <c r="P205" s="124">
        <f t="shared" ref="P205" si="75">SUM(P203:P204)</f>
        <v>0</v>
      </c>
      <c r="Q205" s="124">
        <f t="shared" ref="Q205" si="76">SUM(Q203:Q204)</f>
        <v>0</v>
      </c>
      <c r="R205" s="124">
        <f t="shared" ref="R205" si="77">SUM(R203:R204)</f>
        <v>0</v>
      </c>
      <c r="S205" s="124">
        <f t="shared" ref="S205" si="78">SUM(S203:S204)</f>
        <v>0</v>
      </c>
      <c r="T205" s="19"/>
    </row>
    <row r="206" spans="1:20" x14ac:dyDescent="0.2">
      <c r="B206" s="24"/>
      <c r="C206" s="13"/>
      <c r="F206" s="35"/>
      <c r="G206" s="122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9"/>
    </row>
    <row r="207" spans="1:20" x14ac:dyDescent="0.2">
      <c r="B207" s="24"/>
      <c r="C207" s="9" t="s">
        <v>39</v>
      </c>
      <c r="G207" s="57">
        <f>HLOOKUP(C202,$O$86:$S$94,ROWS($O$86:$O$91),0)</f>
        <v>5.5E-2</v>
      </c>
      <c r="I207" s="122">
        <f>AVERAGE(I203,I205)*$G$207</f>
        <v>0</v>
      </c>
      <c r="J207" s="122">
        <f t="shared" ref="J207:S207" si="79">AVERAGE(J203,J205)*$G$207</f>
        <v>0</v>
      </c>
      <c r="K207" s="122">
        <f t="shared" si="79"/>
        <v>114583.33333333333</v>
      </c>
      <c r="L207" s="122">
        <f t="shared" si="79"/>
        <v>350052.08333333331</v>
      </c>
      <c r="M207" s="122">
        <f t="shared" si="79"/>
        <v>598471.61458333326</v>
      </c>
      <c r="N207" s="122">
        <f t="shared" si="79"/>
        <v>0</v>
      </c>
      <c r="O207" s="122">
        <f t="shared" si="79"/>
        <v>0</v>
      </c>
      <c r="P207" s="122">
        <f t="shared" si="79"/>
        <v>0</v>
      </c>
      <c r="Q207" s="122">
        <f t="shared" si="79"/>
        <v>0</v>
      </c>
      <c r="R207" s="122">
        <f t="shared" si="79"/>
        <v>0</v>
      </c>
      <c r="S207" s="122">
        <f t="shared" si="79"/>
        <v>0</v>
      </c>
      <c r="T207" s="19"/>
    </row>
    <row r="208" spans="1:20" ht="15" x14ac:dyDescent="0.2">
      <c r="B208" s="24"/>
      <c r="C208" s="13" t="s">
        <v>41</v>
      </c>
      <c r="D208" s="20"/>
      <c r="E208" s="20"/>
      <c r="F208" s="20"/>
      <c r="G208" s="20"/>
      <c r="H208" s="20"/>
      <c r="I208" s="124">
        <f>SUM(I205,I207)</f>
        <v>0</v>
      </c>
      <c r="J208" s="124">
        <f t="shared" ref="J208:S208" si="80">SUM(J205,J207)</f>
        <v>0</v>
      </c>
      <c r="K208" s="124">
        <f t="shared" si="80"/>
        <v>4281250</v>
      </c>
      <c r="L208" s="124">
        <f t="shared" si="80"/>
        <v>8797968.75</v>
      </c>
      <c r="M208" s="124">
        <f t="shared" si="80"/>
        <v>13563107.03125</v>
      </c>
      <c r="N208" s="124">
        <f t="shared" si="80"/>
        <v>0</v>
      </c>
      <c r="O208" s="124">
        <f t="shared" si="80"/>
        <v>0</v>
      </c>
      <c r="P208" s="124">
        <f t="shared" si="80"/>
        <v>0</v>
      </c>
      <c r="Q208" s="124">
        <f t="shared" si="80"/>
        <v>0</v>
      </c>
      <c r="R208" s="124">
        <f t="shared" si="80"/>
        <v>0</v>
      </c>
      <c r="S208" s="124">
        <f t="shared" si="80"/>
        <v>0</v>
      </c>
      <c r="T208" s="19"/>
    </row>
    <row r="209" spans="1:20" x14ac:dyDescent="0.2">
      <c r="B209" s="24"/>
      <c r="C209" s="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9"/>
    </row>
    <row r="210" spans="1:20" x14ac:dyDescent="0.2">
      <c r="B210" s="24"/>
      <c r="C210" s="9" t="s">
        <v>42</v>
      </c>
      <c r="G210" s="35">
        <f>HLOOKUP(C202,$O$86:$S$94,ROWS($O$86:$O$88),0)</f>
        <v>2027</v>
      </c>
      <c r="I210" s="122">
        <f t="shared" ref="I210:S210" si="81">-I208*I174</f>
        <v>0</v>
      </c>
      <c r="J210" s="122">
        <f t="shared" si="81"/>
        <v>0</v>
      </c>
      <c r="K210" s="122">
        <f t="shared" si="81"/>
        <v>0</v>
      </c>
      <c r="L210" s="122">
        <f t="shared" si="81"/>
        <v>0</v>
      </c>
      <c r="M210" s="122">
        <f t="shared" si="81"/>
        <v>-13563107.03125</v>
      </c>
      <c r="N210" s="122">
        <f t="shared" si="81"/>
        <v>0</v>
      </c>
      <c r="O210" s="122">
        <f t="shared" si="81"/>
        <v>0</v>
      </c>
      <c r="P210" s="122">
        <f t="shared" si="81"/>
        <v>0</v>
      </c>
      <c r="Q210" s="122">
        <f t="shared" si="81"/>
        <v>0</v>
      </c>
      <c r="R210" s="122">
        <f t="shared" si="81"/>
        <v>0</v>
      </c>
      <c r="S210" s="122">
        <f t="shared" si="81"/>
        <v>0</v>
      </c>
      <c r="T210" s="19"/>
    </row>
    <row r="211" spans="1:20" ht="15" x14ac:dyDescent="0.2">
      <c r="B211" s="24"/>
      <c r="C211" s="13" t="s">
        <v>43</v>
      </c>
      <c r="D211" s="20"/>
      <c r="E211" s="20"/>
      <c r="F211" s="20"/>
      <c r="G211" s="20"/>
      <c r="H211" s="20"/>
      <c r="I211" s="124">
        <f t="shared" ref="I211:S211" si="82">SUM(I208,I210)</f>
        <v>0</v>
      </c>
      <c r="J211" s="124">
        <f t="shared" si="82"/>
        <v>0</v>
      </c>
      <c r="K211" s="124">
        <f t="shared" si="82"/>
        <v>4281250</v>
      </c>
      <c r="L211" s="124">
        <f t="shared" si="82"/>
        <v>8797968.75</v>
      </c>
      <c r="M211" s="124">
        <f t="shared" si="82"/>
        <v>0</v>
      </c>
      <c r="N211" s="124">
        <f t="shared" si="82"/>
        <v>0</v>
      </c>
      <c r="O211" s="124">
        <f t="shared" si="82"/>
        <v>0</v>
      </c>
      <c r="P211" s="124">
        <f t="shared" si="82"/>
        <v>0</v>
      </c>
      <c r="Q211" s="124">
        <f t="shared" si="82"/>
        <v>0</v>
      </c>
      <c r="R211" s="124">
        <f t="shared" si="82"/>
        <v>0</v>
      </c>
      <c r="S211" s="124">
        <f t="shared" si="82"/>
        <v>0</v>
      </c>
      <c r="T211" s="19"/>
    </row>
    <row r="212" spans="1:20" s="20" customFormat="1" ht="15" x14ac:dyDescent="0.2">
      <c r="A212"/>
      <c r="B212" s="48"/>
      <c r="C212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9"/>
    </row>
    <row r="213" spans="1:20" s="20" customFormat="1" ht="15" x14ac:dyDescent="0.2">
      <c r="A213"/>
      <c r="B213" s="48"/>
      <c r="C21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9"/>
    </row>
    <row r="214" spans="1:20" s="20" customFormat="1" ht="15" x14ac:dyDescent="0.2">
      <c r="A214"/>
      <c r="B214" s="48"/>
      <c r="C214" s="50" t="s">
        <v>45</v>
      </c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9"/>
    </row>
    <row r="215" spans="1:20" s="20" customFormat="1" ht="15" x14ac:dyDescent="0.2">
      <c r="A215"/>
      <c r="B215" s="48"/>
      <c r="C215" s="9" t="s">
        <v>39</v>
      </c>
      <c r="I215" s="122">
        <f t="shared" ref="I215:S215" si="83">SUM(I181,I207)</f>
        <v>105000</v>
      </c>
      <c r="J215" s="122">
        <f t="shared" si="83"/>
        <v>321300</v>
      </c>
      <c r="K215" s="122">
        <f t="shared" si="83"/>
        <v>114583.33333333333</v>
      </c>
      <c r="L215" s="122">
        <f t="shared" si="83"/>
        <v>350052.08333333331</v>
      </c>
      <c r="M215" s="122">
        <f t="shared" si="83"/>
        <v>598471.61458333326</v>
      </c>
      <c r="N215" s="122">
        <f t="shared" si="83"/>
        <v>0</v>
      </c>
      <c r="O215" s="122">
        <f t="shared" si="83"/>
        <v>0</v>
      </c>
      <c r="P215" s="122">
        <f t="shared" si="83"/>
        <v>0</v>
      </c>
      <c r="Q215" s="122">
        <f t="shared" si="83"/>
        <v>0</v>
      </c>
      <c r="R215" s="122">
        <f t="shared" si="83"/>
        <v>0</v>
      </c>
      <c r="S215" s="122">
        <f t="shared" si="83"/>
        <v>0</v>
      </c>
      <c r="T215" s="19"/>
    </row>
    <row r="216" spans="1:20" s="20" customFormat="1" ht="15" x14ac:dyDescent="0.2">
      <c r="A216"/>
      <c r="B216" s="48"/>
      <c r="C216" s="9" t="s">
        <v>44</v>
      </c>
      <c r="I216" s="122">
        <f>I198</f>
        <v>0</v>
      </c>
      <c r="J216" s="122">
        <f t="shared" ref="J216:S216" si="84">J198</f>
        <v>0</v>
      </c>
      <c r="K216" s="122">
        <f t="shared" si="84"/>
        <v>185657.5</v>
      </c>
      <c r="L216" s="122">
        <f t="shared" si="84"/>
        <v>180222.20568844076</v>
      </c>
      <c r="M216" s="122">
        <f t="shared" si="84"/>
        <v>174651.02901909256</v>
      </c>
      <c r="N216" s="122">
        <f t="shared" si="84"/>
        <v>168940.57293301064</v>
      </c>
      <c r="O216" s="122">
        <f t="shared" si="84"/>
        <v>163087.35544477665</v>
      </c>
      <c r="P216" s="122">
        <f t="shared" si="84"/>
        <v>157087.80751933681</v>
      </c>
      <c r="Q216" s="122">
        <f t="shared" si="84"/>
        <v>150938.270895761</v>
      </c>
      <c r="R216" s="122">
        <f t="shared" si="84"/>
        <v>144634.99585659578</v>
      </c>
      <c r="S216" s="122">
        <f t="shared" si="84"/>
        <v>138174.13894145144</v>
      </c>
      <c r="T216" s="19"/>
    </row>
    <row r="217" spans="1:20" s="20" customFormat="1" ht="15" x14ac:dyDescent="0.2">
      <c r="A217"/>
      <c r="B217" s="48"/>
      <c r="C217" s="13" t="s">
        <v>46</v>
      </c>
      <c r="I217" s="124">
        <f t="shared" ref="I217:S217" si="85">SUM(I215:I216)</f>
        <v>105000</v>
      </c>
      <c r="J217" s="124">
        <f t="shared" si="85"/>
        <v>321300</v>
      </c>
      <c r="K217" s="124">
        <f t="shared" si="85"/>
        <v>300240.83333333331</v>
      </c>
      <c r="L217" s="124">
        <f t="shared" si="85"/>
        <v>530274.28902177408</v>
      </c>
      <c r="M217" s="124">
        <f t="shared" si="85"/>
        <v>773122.64360242581</v>
      </c>
      <c r="N217" s="124">
        <f t="shared" si="85"/>
        <v>168940.57293301064</v>
      </c>
      <c r="O217" s="124">
        <f t="shared" si="85"/>
        <v>163087.35544477665</v>
      </c>
      <c r="P217" s="124">
        <f t="shared" si="85"/>
        <v>157087.80751933681</v>
      </c>
      <c r="Q217" s="124">
        <f t="shared" si="85"/>
        <v>150938.270895761</v>
      </c>
      <c r="R217" s="124">
        <f t="shared" si="85"/>
        <v>144634.99585659578</v>
      </c>
      <c r="S217" s="124">
        <f t="shared" si="85"/>
        <v>138174.13894145144</v>
      </c>
      <c r="T217" s="19"/>
    </row>
    <row r="218" spans="1:20" x14ac:dyDescent="0.2">
      <c r="B218" s="25"/>
      <c r="C218" s="46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5"/>
    </row>
    <row r="219" spans="1:20" x14ac:dyDescent="0.2">
      <c r="G219" s="10"/>
    </row>
    <row r="220" spans="1:20" x14ac:dyDescent="0.2">
      <c r="B220" s="3" t="s">
        <v>82</v>
      </c>
      <c r="C220" s="8"/>
      <c r="D220" s="8"/>
      <c r="E220" s="8"/>
      <c r="F220" s="8"/>
      <c r="G220" s="8"/>
      <c r="H220" s="8"/>
      <c r="I220" s="8"/>
      <c r="J220" s="8"/>
      <c r="K220" s="1"/>
      <c r="L220" s="1"/>
      <c r="M220" s="1"/>
      <c r="N220" s="1"/>
      <c r="O220" s="1"/>
      <c r="P220" s="1"/>
      <c r="Q220" s="1"/>
      <c r="R220" s="1"/>
      <c r="S220" s="1"/>
      <c r="T220" s="2"/>
    </row>
    <row r="221" spans="1:20" x14ac:dyDescent="0.2">
      <c r="B221" s="4"/>
      <c r="D221" s="9"/>
      <c r="E221" s="9"/>
      <c r="F221" s="9"/>
      <c r="G221" s="9"/>
      <c r="H221" s="9"/>
      <c r="I221" s="9"/>
      <c r="J221" s="9"/>
      <c r="K221" s="9"/>
      <c r="L221" s="9"/>
      <c r="T221" s="15"/>
    </row>
    <row r="222" spans="1:20" x14ac:dyDescent="0.2">
      <c r="B222" s="4"/>
      <c r="D222" s="9"/>
      <c r="E222" s="9"/>
      <c r="F222" s="9"/>
      <c r="G222" s="9"/>
      <c r="J222" s="31" t="str">
        <f>J$103</f>
        <v>Forecast</v>
      </c>
      <c r="K222" s="32"/>
      <c r="L222" s="32"/>
      <c r="M222" s="32"/>
      <c r="N222" s="32"/>
      <c r="O222" s="32"/>
      <c r="P222" s="32"/>
      <c r="Q222" s="32"/>
      <c r="R222" s="32"/>
      <c r="S222" s="32"/>
      <c r="T222" s="15"/>
    </row>
    <row r="223" spans="1:20" ht="15" x14ac:dyDescent="0.2">
      <c r="B223" s="4"/>
      <c r="C223" s="92"/>
      <c r="G223" s="12"/>
      <c r="I223" s="12">
        <f t="shared" ref="I223:S223" si="86">I$104</f>
        <v>2023</v>
      </c>
      <c r="J223" s="29">
        <f t="shared" si="86"/>
        <v>2024</v>
      </c>
      <c r="K223" s="30">
        <f t="shared" si="86"/>
        <v>2025</v>
      </c>
      <c r="L223" s="30">
        <f t="shared" si="86"/>
        <v>2026</v>
      </c>
      <c r="M223" s="30">
        <f t="shared" si="86"/>
        <v>2027</v>
      </c>
      <c r="N223" s="30">
        <f t="shared" si="86"/>
        <v>2028</v>
      </c>
      <c r="O223" s="30">
        <f t="shared" si="86"/>
        <v>2029</v>
      </c>
      <c r="P223" s="30">
        <f t="shared" si="86"/>
        <v>2030</v>
      </c>
      <c r="Q223" s="30">
        <f t="shared" si="86"/>
        <v>2031</v>
      </c>
      <c r="R223" s="30">
        <f t="shared" si="86"/>
        <v>2032</v>
      </c>
      <c r="S223" s="30">
        <f t="shared" si="86"/>
        <v>2033</v>
      </c>
      <c r="T223" s="19"/>
    </row>
    <row r="224" spans="1:20" ht="15" x14ac:dyDescent="0.2">
      <c r="B224" s="4"/>
      <c r="C224" s="92"/>
      <c r="N224" s="47"/>
      <c r="O224" s="47"/>
      <c r="P224" s="47"/>
      <c r="Q224" s="47"/>
      <c r="R224" s="47"/>
      <c r="S224" s="47"/>
      <c r="T224" s="19"/>
    </row>
    <row r="225" spans="1:20" x14ac:dyDescent="0.2">
      <c r="B225" s="24"/>
      <c r="C225" s="13" t="s">
        <v>72</v>
      </c>
      <c r="N225" s="47"/>
      <c r="O225" s="47"/>
      <c r="P225" s="47"/>
      <c r="Q225" s="47"/>
      <c r="R225" s="47"/>
      <c r="S225" s="47"/>
      <c r="T225" s="19"/>
    </row>
    <row r="226" spans="1:20" x14ac:dyDescent="0.2">
      <c r="B226" s="24"/>
      <c r="C226" s="9" t="s">
        <v>40</v>
      </c>
      <c r="G226" s="122">
        <f>$O$75</f>
        <v>0</v>
      </c>
      <c r="I226" s="122"/>
      <c r="J226" s="122">
        <f t="shared" ref="J226:S226" si="87">I228</f>
        <v>0</v>
      </c>
      <c r="K226" s="122">
        <f t="shared" ca="1" si="87"/>
        <v>0</v>
      </c>
      <c r="L226" s="122">
        <f t="shared" ca="1" si="87"/>
        <v>0</v>
      </c>
      <c r="M226" s="122">
        <f t="shared" ca="1" si="87"/>
        <v>0</v>
      </c>
      <c r="N226" s="122">
        <f t="shared" ca="1" si="87"/>
        <v>0</v>
      </c>
      <c r="O226" s="122">
        <f t="shared" ca="1" si="87"/>
        <v>0</v>
      </c>
      <c r="P226" s="122">
        <f t="shared" ca="1" si="87"/>
        <v>584913.66679859429</v>
      </c>
      <c r="Q226" s="122">
        <f t="shared" ca="1" si="87"/>
        <v>1711857.3842503419</v>
      </c>
      <c r="R226" s="122">
        <f t="shared" ca="1" si="87"/>
        <v>2894127.3847626005</v>
      </c>
      <c r="S226" s="122">
        <f t="shared" ca="1" si="87"/>
        <v>4133517.1935245916</v>
      </c>
      <c r="T226" s="19"/>
    </row>
    <row r="227" spans="1:20" x14ac:dyDescent="0.2">
      <c r="B227" s="24"/>
      <c r="C227" s="9" t="s">
        <v>64</v>
      </c>
      <c r="I227" s="122"/>
      <c r="J227" s="122">
        <f t="shared" ref="J227:S227" ca="1" si="88">J160</f>
        <v>0</v>
      </c>
      <c r="K227" s="122">
        <f t="shared" ca="1" si="88"/>
        <v>0</v>
      </c>
      <c r="L227" s="122">
        <f t="shared" ca="1" si="88"/>
        <v>0</v>
      </c>
      <c r="M227" s="122">
        <f t="shared" ca="1" si="88"/>
        <v>0</v>
      </c>
      <c r="N227" s="122">
        <f t="shared" ca="1" si="88"/>
        <v>0</v>
      </c>
      <c r="O227" s="122">
        <f t="shared" ca="1" si="88"/>
        <v>584913.66679859429</v>
      </c>
      <c r="P227" s="122">
        <f t="shared" ca="1" si="88"/>
        <v>1126943.7174517475</v>
      </c>
      <c r="Q227" s="122">
        <f t="shared" ca="1" si="88"/>
        <v>1182270.0005122586</v>
      </c>
      <c r="R227" s="122">
        <f t="shared" ca="1" si="88"/>
        <v>1239389.8087619911</v>
      </c>
      <c r="S227" s="122">
        <f t="shared" ca="1" si="88"/>
        <v>1298354.1823676433</v>
      </c>
      <c r="T227" s="19"/>
    </row>
    <row r="228" spans="1:20" x14ac:dyDescent="0.2">
      <c r="B228" s="24"/>
      <c r="C228" s="13" t="s">
        <v>43</v>
      </c>
      <c r="I228" s="124">
        <f t="shared" ref="I228:S228" si="89">IF(I$223=$G$65-1,$G226,SUM(I226:I227))</f>
        <v>0</v>
      </c>
      <c r="J228" s="124">
        <f t="shared" ca="1" si="89"/>
        <v>0</v>
      </c>
      <c r="K228" s="124">
        <f t="shared" ca="1" si="89"/>
        <v>0</v>
      </c>
      <c r="L228" s="124">
        <f t="shared" ca="1" si="89"/>
        <v>0</v>
      </c>
      <c r="M228" s="124">
        <f t="shared" ca="1" si="89"/>
        <v>0</v>
      </c>
      <c r="N228" s="124">
        <f t="shared" ca="1" si="89"/>
        <v>0</v>
      </c>
      <c r="O228" s="124">
        <f t="shared" ca="1" si="89"/>
        <v>584913.66679859429</v>
      </c>
      <c r="P228" s="124">
        <f t="shared" ca="1" si="89"/>
        <v>1711857.3842503419</v>
      </c>
      <c r="Q228" s="124">
        <f t="shared" ca="1" si="89"/>
        <v>2894127.3847626005</v>
      </c>
      <c r="R228" s="124">
        <f t="shared" ca="1" si="89"/>
        <v>4133517.1935245916</v>
      </c>
      <c r="S228" s="124">
        <f t="shared" ca="1" si="89"/>
        <v>5431871.375892235</v>
      </c>
      <c r="T228" s="19"/>
    </row>
    <row r="229" spans="1:20" ht="15" x14ac:dyDescent="0.2">
      <c r="B229" s="24"/>
      <c r="C229" s="13"/>
      <c r="D229" s="20"/>
      <c r="E229" s="20"/>
      <c r="F229" s="20"/>
      <c r="G229" s="20"/>
      <c r="H229" s="20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9"/>
    </row>
    <row r="230" spans="1:20" s="20" customFormat="1" ht="15" x14ac:dyDescent="0.2">
      <c r="A230"/>
      <c r="B230" s="48"/>
      <c r="C230" s="13" t="s">
        <v>44</v>
      </c>
      <c r="G230" s="57">
        <f>$O$77</f>
        <v>1.4999999999999999E-2</v>
      </c>
      <c r="I230" s="130">
        <f>AVERAGE(I226,I228)*$G230</f>
        <v>0</v>
      </c>
      <c r="J230" s="130">
        <f t="shared" ref="J230:S230" ca="1" si="90">AVERAGE(J226,J228)*$G230</f>
        <v>0</v>
      </c>
      <c r="K230" s="130">
        <f t="shared" ca="1" si="90"/>
        <v>0</v>
      </c>
      <c r="L230" s="130">
        <f t="shared" ca="1" si="90"/>
        <v>0</v>
      </c>
      <c r="M230" s="130">
        <f t="shared" ca="1" si="90"/>
        <v>0</v>
      </c>
      <c r="N230" s="130">
        <f t="shared" ca="1" si="90"/>
        <v>0</v>
      </c>
      <c r="O230" s="130">
        <f t="shared" ca="1" si="90"/>
        <v>4386.8525009894574</v>
      </c>
      <c r="P230" s="130">
        <f t="shared" ca="1" si="90"/>
        <v>17225.782882867021</v>
      </c>
      <c r="Q230" s="130">
        <f t="shared" ca="1" si="90"/>
        <v>34544.885767597072</v>
      </c>
      <c r="R230" s="130">
        <f t="shared" ca="1" si="90"/>
        <v>52707.334337153938</v>
      </c>
      <c r="S230" s="130">
        <f t="shared" ca="1" si="90"/>
        <v>71740.414270626192</v>
      </c>
      <c r="T230" s="19"/>
    </row>
    <row r="231" spans="1:20" x14ac:dyDescent="0.2">
      <c r="B231" s="24"/>
      <c r="C231" s="1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9"/>
    </row>
    <row r="232" spans="1:20" x14ac:dyDescent="0.2">
      <c r="B232" s="24"/>
      <c r="C232" s="13" t="s">
        <v>73</v>
      </c>
      <c r="I232" s="118"/>
      <c r="J232" s="118"/>
      <c r="K232" s="118"/>
      <c r="L232" s="118"/>
      <c r="M232" s="118"/>
      <c r="N232" s="129"/>
      <c r="O232" s="129"/>
      <c r="P232" s="129"/>
      <c r="Q232" s="129"/>
      <c r="R232" s="129"/>
      <c r="S232" s="129"/>
      <c r="T232" s="19"/>
    </row>
    <row r="233" spans="1:20" x14ac:dyDescent="0.2">
      <c r="B233" s="24"/>
      <c r="C233" s="9" t="s">
        <v>40</v>
      </c>
      <c r="G233" s="122">
        <f>$Q$75</f>
        <v>0</v>
      </c>
      <c r="I233" s="122"/>
      <c r="J233" s="122">
        <f t="shared" ref="J233:S233" si="91">I235</f>
        <v>0</v>
      </c>
      <c r="K233" s="122">
        <f t="shared" ca="1" si="91"/>
        <v>188873.23943661992</v>
      </c>
      <c r="L233" s="122">
        <f t="shared" ca="1" si="91"/>
        <v>159606.40341675724</v>
      </c>
      <c r="M233" s="122">
        <f t="shared" ca="1" si="91"/>
        <v>0</v>
      </c>
      <c r="N233" s="122">
        <f t="shared" ca="1" si="91"/>
        <v>0</v>
      </c>
      <c r="O233" s="122">
        <f t="shared" ca="1" si="91"/>
        <v>0</v>
      </c>
      <c r="P233" s="122">
        <f t="shared" ca="1" si="91"/>
        <v>0</v>
      </c>
      <c r="Q233" s="122">
        <f t="shared" ca="1" si="91"/>
        <v>0</v>
      </c>
      <c r="R233" s="122">
        <f t="shared" ca="1" si="91"/>
        <v>0</v>
      </c>
      <c r="S233" s="122">
        <f t="shared" ca="1" si="91"/>
        <v>0</v>
      </c>
      <c r="T233" s="19"/>
    </row>
    <row r="234" spans="1:20" x14ac:dyDescent="0.2">
      <c r="B234" s="24"/>
      <c r="C234" s="9" t="s">
        <v>123</v>
      </c>
      <c r="I234" s="122"/>
      <c r="J234" s="122">
        <f t="shared" ref="J234:S234" ca="1" si="92">-MIN(J151+J226,J233)</f>
        <v>188873.23943661992</v>
      </c>
      <c r="K234" s="122">
        <f t="shared" ca="1" si="92"/>
        <v>-29266.836019862676</v>
      </c>
      <c r="L234" s="122">
        <f t="shared" ca="1" si="92"/>
        <v>-159606.40341675724</v>
      </c>
      <c r="M234" s="122">
        <f t="shared" ca="1" si="92"/>
        <v>0</v>
      </c>
      <c r="N234" s="122">
        <f t="shared" ca="1" si="92"/>
        <v>0</v>
      </c>
      <c r="O234" s="122">
        <f t="shared" ca="1" si="92"/>
        <v>0</v>
      </c>
      <c r="P234" s="122">
        <f t="shared" ca="1" si="92"/>
        <v>0</v>
      </c>
      <c r="Q234" s="122">
        <f t="shared" ca="1" si="92"/>
        <v>0</v>
      </c>
      <c r="R234" s="122">
        <f t="shared" ca="1" si="92"/>
        <v>0</v>
      </c>
      <c r="S234" s="122">
        <f t="shared" ca="1" si="92"/>
        <v>0</v>
      </c>
      <c r="T234" s="19"/>
    </row>
    <row r="235" spans="1:20" x14ac:dyDescent="0.2">
      <c r="B235" s="24"/>
      <c r="C235" s="13" t="s">
        <v>43</v>
      </c>
      <c r="I235" s="124">
        <f t="shared" ref="I235:S235" si="93">IF(I$223=$G$65-1,$G233,SUM(I233:I234))</f>
        <v>0</v>
      </c>
      <c r="J235" s="124">
        <f t="shared" ca="1" si="93"/>
        <v>188873.23943661992</v>
      </c>
      <c r="K235" s="124">
        <f t="shared" ca="1" si="93"/>
        <v>159606.40341675724</v>
      </c>
      <c r="L235" s="124">
        <f t="shared" ca="1" si="93"/>
        <v>0</v>
      </c>
      <c r="M235" s="124">
        <f t="shared" ca="1" si="93"/>
        <v>0</v>
      </c>
      <c r="N235" s="124">
        <f t="shared" ca="1" si="93"/>
        <v>0</v>
      </c>
      <c r="O235" s="124">
        <f t="shared" ca="1" si="93"/>
        <v>0</v>
      </c>
      <c r="P235" s="124">
        <f t="shared" ca="1" si="93"/>
        <v>0</v>
      </c>
      <c r="Q235" s="124">
        <f t="shared" ca="1" si="93"/>
        <v>0</v>
      </c>
      <c r="R235" s="124">
        <f t="shared" ca="1" si="93"/>
        <v>0</v>
      </c>
      <c r="S235" s="124">
        <f t="shared" ca="1" si="93"/>
        <v>0</v>
      </c>
      <c r="T235" s="19"/>
    </row>
    <row r="236" spans="1:20" ht="15" x14ac:dyDescent="0.2">
      <c r="B236" s="24"/>
      <c r="C236" s="13"/>
      <c r="D236" s="20"/>
      <c r="E236" s="20"/>
      <c r="F236" s="20"/>
      <c r="G236" s="20"/>
      <c r="H236" s="20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9"/>
    </row>
    <row r="237" spans="1:20" s="20" customFormat="1" ht="15" x14ac:dyDescent="0.2">
      <c r="A237"/>
      <c r="B237" s="48"/>
      <c r="C237" s="13" t="s">
        <v>44</v>
      </c>
      <c r="G237" s="57">
        <f>$Q$77</f>
        <v>5.5E-2</v>
      </c>
      <c r="I237" s="130">
        <f>AVERAGE(I233,I235)*$G237</f>
        <v>0</v>
      </c>
      <c r="J237" s="130">
        <f t="shared" ref="J237:S237" ca="1" si="94">AVERAGE(J233,J235)*$G237</f>
        <v>5194.0140845070473</v>
      </c>
      <c r="K237" s="130">
        <f t="shared" ca="1" si="94"/>
        <v>9583.1901784678721</v>
      </c>
      <c r="L237" s="130">
        <f t="shared" ca="1" si="94"/>
        <v>4389.1760939608239</v>
      </c>
      <c r="M237" s="130">
        <f t="shared" ca="1" si="94"/>
        <v>0</v>
      </c>
      <c r="N237" s="130">
        <f t="shared" ca="1" si="94"/>
        <v>0</v>
      </c>
      <c r="O237" s="130">
        <f t="shared" ca="1" si="94"/>
        <v>0</v>
      </c>
      <c r="P237" s="130">
        <f t="shared" ca="1" si="94"/>
        <v>0</v>
      </c>
      <c r="Q237" s="130">
        <f t="shared" ca="1" si="94"/>
        <v>0</v>
      </c>
      <c r="R237" s="130">
        <f t="shared" ca="1" si="94"/>
        <v>0</v>
      </c>
      <c r="S237" s="130">
        <f t="shared" ca="1" si="94"/>
        <v>0</v>
      </c>
      <c r="T237" s="19"/>
    </row>
    <row r="238" spans="1:20" x14ac:dyDescent="0.2">
      <c r="B238" s="24"/>
      <c r="C238" s="1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9"/>
    </row>
    <row r="239" spans="1:20" x14ac:dyDescent="0.2">
      <c r="B239" s="24"/>
      <c r="C239" s="13" t="s">
        <v>74</v>
      </c>
      <c r="I239" s="118"/>
      <c r="J239" s="118"/>
      <c r="K239" s="118"/>
      <c r="L239" s="118"/>
      <c r="M239" s="118"/>
      <c r="N239" s="129"/>
      <c r="O239" s="129"/>
      <c r="P239" s="129"/>
      <c r="Q239" s="129"/>
      <c r="R239" s="129"/>
      <c r="S239" s="129"/>
      <c r="T239" s="19"/>
    </row>
    <row r="240" spans="1:20" x14ac:dyDescent="0.2">
      <c r="B240" s="24"/>
      <c r="C240" s="9" t="s">
        <v>40</v>
      </c>
      <c r="G240" s="122">
        <f>G241-G233</f>
        <v>1000000</v>
      </c>
      <c r="I240" s="122"/>
      <c r="J240" s="122">
        <f t="shared" ref="J240:S240" si="95">I242</f>
        <v>1000000</v>
      </c>
      <c r="K240" s="122">
        <f t="shared" ca="1" si="95"/>
        <v>811126.76056338008</v>
      </c>
      <c r="L240" s="122">
        <f t="shared" ca="1" si="95"/>
        <v>840393.59658324276</v>
      </c>
      <c r="M240" s="122">
        <f t="shared" ca="1" si="95"/>
        <v>1000000</v>
      </c>
      <c r="N240" s="122">
        <f t="shared" ca="1" si="95"/>
        <v>1000000</v>
      </c>
      <c r="O240" s="122">
        <f t="shared" ca="1" si="95"/>
        <v>1000000</v>
      </c>
      <c r="P240" s="122">
        <f t="shared" ca="1" si="95"/>
        <v>1000000</v>
      </c>
      <c r="Q240" s="122">
        <f t="shared" ca="1" si="95"/>
        <v>1000000</v>
      </c>
      <c r="R240" s="122">
        <f t="shared" ca="1" si="95"/>
        <v>1000000</v>
      </c>
      <c r="S240" s="122">
        <f t="shared" ca="1" si="95"/>
        <v>1000000</v>
      </c>
      <c r="T240" s="19"/>
    </row>
    <row r="241" spans="1:20" x14ac:dyDescent="0.2">
      <c r="B241" s="24"/>
      <c r="C241" s="9" t="s">
        <v>123</v>
      </c>
      <c r="G241" s="122">
        <f>$Q$76</f>
        <v>1000000</v>
      </c>
      <c r="I241" s="122"/>
      <c r="J241" s="122">
        <f t="shared" ref="J241:S241" ca="1" si="96">-J234</f>
        <v>-188873.23943661992</v>
      </c>
      <c r="K241" s="122">
        <f t="shared" ca="1" si="96"/>
        <v>29266.836019862676</v>
      </c>
      <c r="L241" s="122">
        <f t="shared" ca="1" si="96"/>
        <v>159606.40341675724</v>
      </c>
      <c r="M241" s="122">
        <f t="shared" ca="1" si="96"/>
        <v>0</v>
      </c>
      <c r="N241" s="122">
        <f t="shared" ca="1" si="96"/>
        <v>0</v>
      </c>
      <c r="O241" s="122">
        <f t="shared" ca="1" si="96"/>
        <v>0</v>
      </c>
      <c r="P241" s="122">
        <f t="shared" ca="1" si="96"/>
        <v>0</v>
      </c>
      <c r="Q241" s="122">
        <f t="shared" ca="1" si="96"/>
        <v>0</v>
      </c>
      <c r="R241" s="122">
        <f t="shared" ca="1" si="96"/>
        <v>0</v>
      </c>
      <c r="S241" s="122">
        <f t="shared" ca="1" si="96"/>
        <v>0</v>
      </c>
      <c r="T241" s="19"/>
    </row>
    <row r="242" spans="1:20" x14ac:dyDescent="0.2">
      <c r="B242" s="24"/>
      <c r="C242" s="13" t="s">
        <v>43</v>
      </c>
      <c r="I242" s="124">
        <f t="shared" ref="I242:S242" si="97">IF(I$223=$G$65-1,$G240,SUM(I240:I241))</f>
        <v>1000000</v>
      </c>
      <c r="J242" s="124">
        <f t="shared" ca="1" si="97"/>
        <v>811126.76056338008</v>
      </c>
      <c r="K242" s="124">
        <f t="shared" ca="1" si="97"/>
        <v>840393.59658324276</v>
      </c>
      <c r="L242" s="124">
        <f t="shared" ca="1" si="97"/>
        <v>1000000</v>
      </c>
      <c r="M242" s="124">
        <f t="shared" ca="1" si="97"/>
        <v>1000000</v>
      </c>
      <c r="N242" s="124">
        <f t="shared" ca="1" si="97"/>
        <v>1000000</v>
      </c>
      <c r="O242" s="124">
        <f t="shared" ca="1" si="97"/>
        <v>1000000</v>
      </c>
      <c r="P242" s="124">
        <f t="shared" ca="1" si="97"/>
        <v>1000000</v>
      </c>
      <c r="Q242" s="124">
        <f t="shared" ca="1" si="97"/>
        <v>1000000</v>
      </c>
      <c r="R242" s="124">
        <f t="shared" ca="1" si="97"/>
        <v>1000000</v>
      </c>
      <c r="S242" s="124">
        <f t="shared" ca="1" si="97"/>
        <v>1000000</v>
      </c>
      <c r="T242" s="19"/>
    </row>
    <row r="243" spans="1:20" ht="15" x14ac:dyDescent="0.2">
      <c r="B243" s="24"/>
      <c r="C243" s="13"/>
      <c r="D243" s="20"/>
      <c r="E243" s="20"/>
      <c r="F243" s="20"/>
      <c r="G243" s="20"/>
      <c r="H243" s="20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9"/>
    </row>
    <row r="244" spans="1:20" ht="15" x14ac:dyDescent="0.2">
      <c r="B244" s="24"/>
      <c r="C244" s="13" t="s">
        <v>93</v>
      </c>
      <c r="D244" s="20"/>
      <c r="E244" s="20"/>
      <c r="F244" s="20"/>
      <c r="G244" s="20"/>
      <c r="H244" s="20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9"/>
    </row>
    <row r="245" spans="1:20" ht="15" x14ac:dyDescent="0.2">
      <c r="B245" s="24"/>
      <c r="C245" s="9" t="s">
        <v>40</v>
      </c>
      <c r="D245" s="20"/>
      <c r="E245" s="20"/>
      <c r="F245" s="20"/>
      <c r="G245" s="20"/>
      <c r="H245" s="20"/>
      <c r="I245" s="122">
        <f t="shared" ref="I245:S245" si="98">IF(I240&lt;0,0,I240)</f>
        <v>0</v>
      </c>
      <c r="J245" s="122">
        <f t="shared" si="98"/>
        <v>1000000</v>
      </c>
      <c r="K245" s="122">
        <f t="shared" ca="1" si="98"/>
        <v>811126.76056338008</v>
      </c>
      <c r="L245" s="122">
        <f t="shared" ca="1" si="98"/>
        <v>840393.59658324276</v>
      </c>
      <c r="M245" s="122">
        <f t="shared" ca="1" si="98"/>
        <v>1000000</v>
      </c>
      <c r="N245" s="122">
        <f t="shared" ca="1" si="98"/>
        <v>1000000</v>
      </c>
      <c r="O245" s="122">
        <f t="shared" ca="1" si="98"/>
        <v>1000000</v>
      </c>
      <c r="P245" s="122">
        <f t="shared" ca="1" si="98"/>
        <v>1000000</v>
      </c>
      <c r="Q245" s="122">
        <f t="shared" ca="1" si="98"/>
        <v>1000000</v>
      </c>
      <c r="R245" s="122">
        <f t="shared" ca="1" si="98"/>
        <v>1000000</v>
      </c>
      <c r="S245" s="122">
        <f t="shared" ca="1" si="98"/>
        <v>1000000</v>
      </c>
      <c r="T245" s="19"/>
    </row>
    <row r="246" spans="1:20" ht="15" x14ac:dyDescent="0.2">
      <c r="B246" s="24"/>
      <c r="C246" s="9" t="s">
        <v>43</v>
      </c>
      <c r="D246" s="20"/>
      <c r="E246" s="20"/>
      <c r="F246" s="20"/>
      <c r="G246" s="20"/>
      <c r="H246" s="20"/>
      <c r="I246" s="122">
        <f t="shared" ref="I246:S246" si="99">IF(I242&lt;0,0,I242)</f>
        <v>1000000</v>
      </c>
      <c r="J246" s="122">
        <f t="shared" ca="1" si="99"/>
        <v>811126.76056338008</v>
      </c>
      <c r="K246" s="122">
        <f t="shared" ca="1" si="99"/>
        <v>840393.59658324276</v>
      </c>
      <c r="L246" s="122">
        <f t="shared" ca="1" si="99"/>
        <v>1000000</v>
      </c>
      <c r="M246" s="122">
        <f t="shared" ca="1" si="99"/>
        <v>1000000</v>
      </c>
      <c r="N246" s="122">
        <f t="shared" ca="1" si="99"/>
        <v>1000000</v>
      </c>
      <c r="O246" s="122">
        <f t="shared" ca="1" si="99"/>
        <v>1000000</v>
      </c>
      <c r="P246" s="122">
        <f t="shared" ca="1" si="99"/>
        <v>1000000</v>
      </c>
      <c r="Q246" s="122">
        <f t="shared" ca="1" si="99"/>
        <v>1000000</v>
      </c>
      <c r="R246" s="122">
        <f t="shared" ca="1" si="99"/>
        <v>1000000</v>
      </c>
      <c r="S246" s="122">
        <f t="shared" ca="1" si="99"/>
        <v>1000000</v>
      </c>
      <c r="T246" s="19"/>
    </row>
    <row r="247" spans="1:20" ht="15" x14ac:dyDescent="0.2">
      <c r="B247" s="24"/>
      <c r="C247" s="13"/>
      <c r="D247" s="20"/>
      <c r="E247" s="20"/>
      <c r="F247" s="20"/>
      <c r="G247" s="20"/>
      <c r="H247" s="20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9"/>
    </row>
    <row r="248" spans="1:20" s="20" customFormat="1" ht="15" x14ac:dyDescent="0.2">
      <c r="A248"/>
      <c r="B248" s="48"/>
      <c r="C248" s="13" t="s">
        <v>44</v>
      </c>
      <c r="G248" s="57">
        <f>$Q$78</f>
        <v>7.4999999999999997E-3</v>
      </c>
      <c r="I248" s="130">
        <f>AVERAGE(I245,I246)*$G248</f>
        <v>3750</v>
      </c>
      <c r="J248" s="130">
        <f t="shared" ref="J248:S248" ca="1" si="100">AVERAGE(J245,J246)*$G248</f>
        <v>6791.725352112675</v>
      </c>
      <c r="K248" s="130">
        <f t="shared" ca="1" si="100"/>
        <v>6193.2013392998351</v>
      </c>
      <c r="L248" s="130">
        <f t="shared" ca="1" si="100"/>
        <v>6901.4759871871602</v>
      </c>
      <c r="M248" s="130">
        <f t="shared" ca="1" si="100"/>
        <v>7500</v>
      </c>
      <c r="N248" s="130">
        <f t="shared" ca="1" si="100"/>
        <v>7500</v>
      </c>
      <c r="O248" s="130">
        <f t="shared" ca="1" si="100"/>
        <v>7500</v>
      </c>
      <c r="P248" s="130">
        <f t="shared" ca="1" si="100"/>
        <v>7500</v>
      </c>
      <c r="Q248" s="130">
        <f t="shared" ca="1" si="100"/>
        <v>7500</v>
      </c>
      <c r="R248" s="130">
        <f t="shared" ca="1" si="100"/>
        <v>7500</v>
      </c>
      <c r="S248" s="130">
        <f t="shared" ca="1" si="100"/>
        <v>7500</v>
      </c>
      <c r="T248" s="19"/>
    </row>
    <row r="249" spans="1:20" x14ac:dyDescent="0.2">
      <c r="B249" s="24"/>
      <c r="C249" s="1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9"/>
    </row>
    <row r="250" spans="1:20" x14ac:dyDescent="0.2">
      <c r="B250" s="24"/>
      <c r="C250" s="1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9"/>
    </row>
    <row r="251" spans="1:20" x14ac:dyDescent="0.2">
      <c r="B251" s="24"/>
      <c r="C251" s="50" t="s">
        <v>45</v>
      </c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89"/>
    </row>
    <row r="252" spans="1:20" s="20" customFormat="1" ht="15" x14ac:dyDescent="0.2">
      <c r="A252"/>
      <c r="B252" s="48"/>
      <c r="C252" s="9" t="s">
        <v>39</v>
      </c>
      <c r="I252" s="122"/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9"/>
    </row>
    <row r="253" spans="1:20" s="20" customFormat="1" ht="15" x14ac:dyDescent="0.2">
      <c r="A253"/>
      <c r="B253" s="48"/>
      <c r="C253" s="9" t="s">
        <v>44</v>
      </c>
      <c r="I253" s="128"/>
      <c r="J253" s="128">
        <f t="shared" ref="J253:S253" ca="1" si="101">SUM(-J230,J237,J248)</f>
        <v>11985.739436619722</v>
      </c>
      <c r="K253" s="128">
        <f t="shared" ca="1" si="101"/>
        <v>15776.391517767708</v>
      </c>
      <c r="L253" s="128">
        <f t="shared" ca="1" si="101"/>
        <v>11290.652081147984</v>
      </c>
      <c r="M253" s="128">
        <f t="shared" ca="1" si="101"/>
        <v>7500</v>
      </c>
      <c r="N253" s="128">
        <f t="shared" ca="1" si="101"/>
        <v>7500</v>
      </c>
      <c r="O253" s="128">
        <f t="shared" ca="1" si="101"/>
        <v>3113.1474990105426</v>
      </c>
      <c r="P253" s="128">
        <f t="shared" ca="1" si="101"/>
        <v>-9725.7828828670208</v>
      </c>
      <c r="Q253" s="128">
        <f t="shared" ca="1" si="101"/>
        <v>-27044.885767597072</v>
      </c>
      <c r="R253" s="128">
        <f t="shared" ca="1" si="101"/>
        <v>-45207.334337153938</v>
      </c>
      <c r="S253" s="128">
        <f t="shared" ca="1" si="101"/>
        <v>-64240.414270626192</v>
      </c>
      <c r="T253" s="19"/>
    </row>
    <row r="254" spans="1:20" s="20" customFormat="1" ht="15" x14ac:dyDescent="0.2">
      <c r="A254"/>
      <c r="B254" s="48"/>
      <c r="C254" s="13" t="s">
        <v>46</v>
      </c>
      <c r="I254" s="124"/>
      <c r="J254" s="124">
        <f t="shared" ref="J254:S254" ca="1" si="102">SUM(J252:J253)</f>
        <v>11985.739436619722</v>
      </c>
      <c r="K254" s="124">
        <f t="shared" ca="1" si="102"/>
        <v>15776.391517767708</v>
      </c>
      <c r="L254" s="124">
        <f t="shared" ca="1" si="102"/>
        <v>11290.652081147984</v>
      </c>
      <c r="M254" s="124">
        <f t="shared" ca="1" si="102"/>
        <v>7500</v>
      </c>
      <c r="N254" s="124">
        <f t="shared" ca="1" si="102"/>
        <v>7500</v>
      </c>
      <c r="O254" s="124">
        <f t="shared" ca="1" si="102"/>
        <v>3113.1474990105426</v>
      </c>
      <c r="P254" s="124">
        <f t="shared" ca="1" si="102"/>
        <v>-9725.7828828670208</v>
      </c>
      <c r="Q254" s="124">
        <f t="shared" ca="1" si="102"/>
        <v>-27044.885767597072</v>
      </c>
      <c r="R254" s="124">
        <f t="shared" ca="1" si="102"/>
        <v>-45207.334337153938</v>
      </c>
      <c r="S254" s="124">
        <f t="shared" ca="1" si="102"/>
        <v>-64240.414270626192</v>
      </c>
      <c r="T254" s="19"/>
    </row>
    <row r="255" spans="1:20" x14ac:dyDescent="0.2">
      <c r="B255" s="25"/>
      <c r="C255" s="46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5"/>
    </row>
    <row r="256" spans="1:20" x14ac:dyDescent="0.2">
      <c r="G256" s="10"/>
    </row>
    <row r="257" spans="1:20" x14ac:dyDescent="0.2">
      <c r="B257" s="3" t="s">
        <v>83</v>
      </c>
      <c r="C257" s="8"/>
      <c r="D257" s="8"/>
      <c r="E257" s="8"/>
      <c r="F257" s="8"/>
      <c r="G257" s="8"/>
      <c r="H257" s="8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2"/>
    </row>
    <row r="258" spans="1:20" x14ac:dyDescent="0.2">
      <c r="B258" s="4"/>
      <c r="D258" s="9"/>
      <c r="E258" s="9"/>
      <c r="F258" s="9"/>
      <c r="G258" s="9"/>
      <c r="H258" s="9"/>
      <c r="I258" s="9"/>
      <c r="J258" s="9"/>
      <c r="K258" s="9"/>
      <c r="L258" s="9"/>
      <c r="T258" s="15"/>
    </row>
    <row r="259" spans="1:20" x14ac:dyDescent="0.2">
      <c r="B259" s="4"/>
      <c r="D259" s="9"/>
      <c r="E259" s="9"/>
      <c r="F259" s="9"/>
      <c r="G259" s="9"/>
      <c r="J259" s="31" t="str">
        <f>J$103</f>
        <v>Forecast</v>
      </c>
      <c r="K259" s="32"/>
      <c r="L259" s="32"/>
      <c r="M259" s="32"/>
      <c r="N259" s="32"/>
      <c r="O259" s="32"/>
      <c r="P259" s="32"/>
      <c r="Q259" s="32"/>
      <c r="R259" s="32"/>
      <c r="S259" s="32"/>
      <c r="T259" s="15"/>
    </row>
    <row r="260" spans="1:20" x14ac:dyDescent="0.2">
      <c r="B260" s="4"/>
      <c r="G260" s="12"/>
      <c r="I260" s="12">
        <f t="shared" ref="I260:S260" si="103">I$104</f>
        <v>2023</v>
      </c>
      <c r="J260" s="29">
        <f t="shared" si="103"/>
        <v>2024</v>
      </c>
      <c r="K260" s="30">
        <f t="shared" si="103"/>
        <v>2025</v>
      </c>
      <c r="L260" s="30">
        <f t="shared" si="103"/>
        <v>2026</v>
      </c>
      <c r="M260" s="30">
        <f t="shared" si="103"/>
        <v>2027</v>
      </c>
      <c r="N260" s="30">
        <f t="shared" si="103"/>
        <v>2028</v>
      </c>
      <c r="O260" s="30">
        <f t="shared" si="103"/>
        <v>2029</v>
      </c>
      <c r="P260" s="30">
        <f t="shared" si="103"/>
        <v>2030</v>
      </c>
      <c r="Q260" s="30">
        <f t="shared" si="103"/>
        <v>2031</v>
      </c>
      <c r="R260" s="30">
        <f t="shared" si="103"/>
        <v>2032</v>
      </c>
      <c r="S260" s="30">
        <f t="shared" si="103"/>
        <v>2033</v>
      </c>
      <c r="T260" s="19"/>
    </row>
    <row r="261" spans="1:20" x14ac:dyDescent="0.2">
      <c r="B261" s="4"/>
      <c r="N261" s="47"/>
      <c r="O261" s="47"/>
      <c r="P261" s="47"/>
      <c r="Q261" s="47"/>
      <c r="R261" s="47"/>
      <c r="S261" s="47"/>
      <c r="T261" s="19"/>
    </row>
    <row r="262" spans="1:20" x14ac:dyDescent="0.2">
      <c r="B262" s="4"/>
      <c r="C262" s="91" t="s">
        <v>124</v>
      </c>
      <c r="D262" s="17"/>
      <c r="E262" s="17"/>
      <c r="F262" s="17"/>
      <c r="G262" s="17"/>
      <c r="H262" s="17"/>
      <c r="I262" s="131"/>
      <c r="J262" s="126">
        <f t="shared" ref="J262:S262" ca="1" si="104">J156</f>
        <v>0</v>
      </c>
      <c r="K262" s="126">
        <f t="shared" ca="1" si="104"/>
        <v>0</v>
      </c>
      <c r="L262" s="126">
        <f t="shared" ca="1" si="104"/>
        <v>561646.17203972535</v>
      </c>
      <c r="M262" s="126">
        <f t="shared" ca="1" si="104"/>
        <v>6009005.5764516406</v>
      </c>
      <c r="N262" s="126">
        <f t="shared" ca="1" si="104"/>
        <v>960649.0370899745</v>
      </c>
      <c r="O262" s="126">
        <f t="shared" ca="1" si="104"/>
        <v>1058211.0406769549</v>
      </c>
      <c r="P262" s="126">
        <f t="shared" ca="1" si="104"/>
        <v>1126943.7174517475</v>
      </c>
      <c r="Q262" s="126">
        <f t="shared" ca="1" si="104"/>
        <v>1182270.0005122586</v>
      </c>
      <c r="R262" s="126">
        <f t="shared" ca="1" si="104"/>
        <v>1239389.8087619911</v>
      </c>
      <c r="S262" s="127">
        <f t="shared" ca="1" si="104"/>
        <v>1298354.1823676433</v>
      </c>
      <c r="T262" s="19"/>
    </row>
    <row r="263" spans="1:20" x14ac:dyDescent="0.2">
      <c r="B263" s="4"/>
      <c r="N263" s="47"/>
      <c r="O263" s="47"/>
      <c r="P263" s="47"/>
      <c r="Q263" s="23"/>
      <c r="R263" s="23"/>
      <c r="S263" s="23"/>
      <c r="T263" s="19"/>
    </row>
    <row r="264" spans="1:20" x14ac:dyDescent="0.2">
      <c r="B264" s="24"/>
      <c r="C264" s="50" t="str">
        <f>$O$64</f>
        <v>Existing Debt I</v>
      </c>
      <c r="N264" s="47"/>
      <c r="O264" s="47"/>
      <c r="P264" s="47"/>
      <c r="Q264" s="93"/>
      <c r="R264" s="47"/>
      <c r="S264" s="47"/>
      <c r="T264" s="19"/>
    </row>
    <row r="265" spans="1:20" x14ac:dyDescent="0.2">
      <c r="B265" s="24"/>
      <c r="C265" s="9" t="s">
        <v>40</v>
      </c>
      <c r="F265" s="35"/>
      <c r="G265" s="122">
        <f>HLOOKUP(C264,$O$64:$S$66,ROWS($O$64:$O$65),0)</f>
        <v>2750000</v>
      </c>
      <c r="I265" s="122"/>
      <c r="J265" s="122">
        <f t="shared" ref="J265:S265" si="105">I270</f>
        <v>2750000</v>
      </c>
      <c r="K265" s="122">
        <f t="shared" ca="1" si="105"/>
        <v>3016710.3538663173</v>
      </c>
      <c r="L265" s="122">
        <f t="shared" ca="1" si="105"/>
        <v>3309287.7669542693</v>
      </c>
      <c r="M265" s="122">
        <f t="shared" ca="1" si="105"/>
        <v>3041359.0082686017</v>
      </c>
      <c r="N265" s="122">
        <f t="shared" ca="1" si="105"/>
        <v>0</v>
      </c>
      <c r="O265" s="122">
        <f t="shared" ca="1" si="105"/>
        <v>0</v>
      </c>
      <c r="P265" s="122">
        <f t="shared" ca="1" si="105"/>
        <v>0</v>
      </c>
      <c r="Q265" s="122">
        <f t="shared" ca="1" si="105"/>
        <v>0</v>
      </c>
      <c r="R265" s="122">
        <f t="shared" ca="1" si="105"/>
        <v>0</v>
      </c>
      <c r="S265" s="122">
        <f t="shared" ca="1" si="105"/>
        <v>0</v>
      </c>
      <c r="T265" s="19"/>
    </row>
    <row r="266" spans="1:20" x14ac:dyDescent="0.2">
      <c r="B266" s="24"/>
      <c r="C266" s="9" t="s">
        <v>39</v>
      </c>
      <c r="G266" s="57">
        <f>HLOOKUP(C264,$O$64:$S$66,ROWS($O$64:$O$66),0)</f>
        <v>9.2499999999999999E-2</v>
      </c>
      <c r="I266" s="128"/>
      <c r="J266" s="122">
        <f t="shared" ref="J266:S266" ca="1" si="106">J272</f>
        <v>266710.35386631719</v>
      </c>
      <c r="K266" s="122">
        <f t="shared" ca="1" si="106"/>
        <v>292577.41308795213</v>
      </c>
      <c r="L266" s="122">
        <f t="shared" ca="1" si="106"/>
        <v>293717.41335405782</v>
      </c>
      <c r="M266" s="122">
        <f t="shared" ca="1" si="106"/>
        <v>140662.85413242283</v>
      </c>
      <c r="N266" s="122">
        <f t="shared" ca="1" si="106"/>
        <v>0</v>
      </c>
      <c r="O266" s="122">
        <f t="shared" ca="1" si="106"/>
        <v>0</v>
      </c>
      <c r="P266" s="122">
        <f t="shared" ca="1" si="106"/>
        <v>0</v>
      </c>
      <c r="Q266" s="122">
        <f t="shared" ca="1" si="106"/>
        <v>0</v>
      </c>
      <c r="R266" s="122">
        <f t="shared" ca="1" si="106"/>
        <v>0</v>
      </c>
      <c r="S266" s="122">
        <f t="shared" ca="1" si="106"/>
        <v>0</v>
      </c>
      <c r="T266" s="19"/>
    </row>
    <row r="267" spans="1:20" ht="15" x14ac:dyDescent="0.2">
      <c r="B267" s="24"/>
      <c r="C267" s="13" t="s">
        <v>41</v>
      </c>
      <c r="D267" s="20"/>
      <c r="E267" s="20"/>
      <c r="F267" s="20"/>
      <c r="G267" s="20"/>
      <c r="H267" s="20"/>
      <c r="I267" s="124">
        <f t="shared" ref="I267:S267" si="107">IF(I$260=$G$65-1,$G265,SUM(I265:I266))</f>
        <v>2750000</v>
      </c>
      <c r="J267" s="124">
        <f t="shared" ca="1" si="107"/>
        <v>3016710.3538663173</v>
      </c>
      <c r="K267" s="124">
        <f t="shared" ca="1" si="107"/>
        <v>3309287.7669542693</v>
      </c>
      <c r="L267" s="124">
        <f t="shared" ca="1" si="107"/>
        <v>3603005.1803083271</v>
      </c>
      <c r="M267" s="124">
        <f t="shared" ca="1" si="107"/>
        <v>3182021.8624010244</v>
      </c>
      <c r="N267" s="124">
        <f t="shared" ca="1" si="107"/>
        <v>0</v>
      </c>
      <c r="O267" s="124">
        <f t="shared" ca="1" si="107"/>
        <v>0</v>
      </c>
      <c r="P267" s="124">
        <f t="shared" ca="1" si="107"/>
        <v>0</v>
      </c>
      <c r="Q267" s="124">
        <f t="shared" ca="1" si="107"/>
        <v>0</v>
      </c>
      <c r="R267" s="124">
        <f t="shared" ca="1" si="107"/>
        <v>0</v>
      </c>
      <c r="S267" s="124">
        <f t="shared" ca="1" si="107"/>
        <v>0</v>
      </c>
      <c r="T267" s="19"/>
    </row>
    <row r="268" spans="1:20" x14ac:dyDescent="0.2">
      <c r="B268" s="24"/>
      <c r="C268" s="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9"/>
    </row>
    <row r="269" spans="1:20" x14ac:dyDescent="0.2">
      <c r="B269" s="24"/>
      <c r="C269" s="9" t="s">
        <v>42</v>
      </c>
      <c r="G269" s="57"/>
      <c r="I269" s="119"/>
      <c r="J269" s="122">
        <f t="shared" ref="J269:S269" ca="1" si="108">MIN(-MIN(J262,SUM(J265:J266)),0)</f>
        <v>0</v>
      </c>
      <c r="K269" s="122">
        <f t="shared" ca="1" si="108"/>
        <v>0</v>
      </c>
      <c r="L269" s="122">
        <f t="shared" ca="1" si="108"/>
        <v>-561646.17203972535</v>
      </c>
      <c r="M269" s="122">
        <f t="shared" ca="1" si="108"/>
        <v>-3182021.8624010244</v>
      </c>
      <c r="N269" s="122">
        <f t="shared" ca="1" si="108"/>
        <v>0</v>
      </c>
      <c r="O269" s="122">
        <f t="shared" ca="1" si="108"/>
        <v>0</v>
      </c>
      <c r="P269" s="122">
        <f t="shared" ca="1" si="108"/>
        <v>0</v>
      </c>
      <c r="Q269" s="122">
        <f t="shared" ca="1" si="108"/>
        <v>0</v>
      </c>
      <c r="R269" s="122">
        <f t="shared" ca="1" si="108"/>
        <v>0</v>
      </c>
      <c r="S269" s="122">
        <f t="shared" ca="1" si="108"/>
        <v>0</v>
      </c>
      <c r="T269" s="19"/>
    </row>
    <row r="270" spans="1:20" ht="15" x14ac:dyDescent="0.2">
      <c r="B270" s="24"/>
      <c r="C270" s="13" t="s">
        <v>43</v>
      </c>
      <c r="D270" s="20"/>
      <c r="E270" s="20"/>
      <c r="F270" s="20"/>
      <c r="G270" s="20"/>
      <c r="H270" s="20"/>
      <c r="I270" s="124">
        <f t="shared" ref="I270:S270" si="109">SUM(I267,I269)</f>
        <v>2750000</v>
      </c>
      <c r="J270" s="124">
        <f t="shared" ca="1" si="109"/>
        <v>3016710.3538663173</v>
      </c>
      <c r="K270" s="124">
        <f t="shared" ca="1" si="109"/>
        <v>3309287.7669542693</v>
      </c>
      <c r="L270" s="124">
        <f t="shared" ca="1" si="109"/>
        <v>3041359.0082686017</v>
      </c>
      <c r="M270" s="124">
        <f t="shared" ca="1" si="109"/>
        <v>0</v>
      </c>
      <c r="N270" s="124">
        <f t="shared" ca="1" si="109"/>
        <v>0</v>
      </c>
      <c r="O270" s="124">
        <f t="shared" ca="1" si="109"/>
        <v>0</v>
      </c>
      <c r="P270" s="124">
        <f t="shared" ca="1" si="109"/>
        <v>0</v>
      </c>
      <c r="Q270" s="124">
        <f t="shared" ca="1" si="109"/>
        <v>0</v>
      </c>
      <c r="R270" s="124">
        <f t="shared" ca="1" si="109"/>
        <v>0</v>
      </c>
      <c r="S270" s="124">
        <f t="shared" ca="1" si="109"/>
        <v>0</v>
      </c>
      <c r="T270" s="19"/>
    </row>
    <row r="271" spans="1:20" ht="15" x14ac:dyDescent="0.2">
      <c r="B271" s="24"/>
      <c r="C271" s="13"/>
      <c r="D271" s="20"/>
      <c r="E271" s="20"/>
      <c r="F271" s="20"/>
      <c r="G271" s="20"/>
      <c r="H271" s="20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9"/>
    </row>
    <row r="272" spans="1:20" s="20" customFormat="1" ht="15" x14ac:dyDescent="0.2">
      <c r="A272"/>
      <c r="B272" s="48"/>
      <c r="C272" s="13" t="s">
        <v>39</v>
      </c>
      <c r="I272" s="130">
        <f>AVERAGE(I265,I270)*$G266</f>
        <v>254375</v>
      </c>
      <c r="J272" s="130">
        <f t="shared" ref="J272:S272" ca="1" si="110">AVERAGE(J265,J270)*$G266</f>
        <v>266710.35386631719</v>
      </c>
      <c r="K272" s="130">
        <f t="shared" ca="1" si="110"/>
        <v>292577.41308795213</v>
      </c>
      <c r="L272" s="130">
        <f t="shared" ca="1" si="110"/>
        <v>293717.41335405782</v>
      </c>
      <c r="M272" s="130">
        <f t="shared" ca="1" si="110"/>
        <v>140662.85413242283</v>
      </c>
      <c r="N272" s="130">
        <f t="shared" ca="1" si="110"/>
        <v>0</v>
      </c>
      <c r="O272" s="130">
        <f t="shared" ca="1" si="110"/>
        <v>0</v>
      </c>
      <c r="P272" s="130">
        <f t="shared" ca="1" si="110"/>
        <v>0</v>
      </c>
      <c r="Q272" s="130">
        <f t="shared" ca="1" si="110"/>
        <v>0</v>
      </c>
      <c r="R272" s="130">
        <f t="shared" ca="1" si="110"/>
        <v>0</v>
      </c>
      <c r="S272" s="130">
        <f t="shared" ca="1" si="110"/>
        <v>0</v>
      </c>
      <c r="T272" s="19"/>
    </row>
    <row r="273" spans="1:20" x14ac:dyDescent="0.2">
      <c r="B273" s="4"/>
      <c r="I273" s="118"/>
      <c r="J273" s="118"/>
      <c r="K273" s="118"/>
      <c r="L273" s="118"/>
      <c r="M273" s="118"/>
      <c r="N273" s="129"/>
      <c r="O273" s="129"/>
      <c r="P273" s="129"/>
      <c r="Q273" s="129"/>
      <c r="R273" s="129"/>
      <c r="S273" s="129"/>
      <c r="T273" s="19"/>
    </row>
    <row r="274" spans="1:20" x14ac:dyDescent="0.2">
      <c r="B274" s="4"/>
      <c r="I274" s="118"/>
      <c r="J274" s="118"/>
      <c r="K274" s="118"/>
      <c r="L274" s="118"/>
      <c r="M274" s="118"/>
      <c r="N274" s="129"/>
      <c r="O274" s="129"/>
      <c r="P274" s="129"/>
      <c r="Q274" s="129"/>
      <c r="R274" s="129"/>
      <c r="S274" s="129"/>
      <c r="T274" s="19"/>
    </row>
    <row r="275" spans="1:20" x14ac:dyDescent="0.2">
      <c r="B275" s="4"/>
      <c r="C275" s="91" t="s">
        <v>125</v>
      </c>
      <c r="D275" s="17"/>
      <c r="E275" s="17"/>
      <c r="F275" s="17"/>
      <c r="G275" s="17"/>
      <c r="H275" s="17"/>
      <c r="I275" s="131"/>
      <c r="J275" s="126">
        <f t="shared" ref="J275:S275" ca="1" si="111">SUM(J262,J269)</f>
        <v>0</v>
      </c>
      <c r="K275" s="126">
        <f t="shared" ca="1" si="111"/>
        <v>0</v>
      </c>
      <c r="L275" s="126">
        <f t="shared" ca="1" si="111"/>
        <v>0</v>
      </c>
      <c r="M275" s="126">
        <f t="shared" ca="1" si="111"/>
        <v>2826983.7140506161</v>
      </c>
      <c r="N275" s="126">
        <f t="shared" ca="1" si="111"/>
        <v>960649.0370899745</v>
      </c>
      <c r="O275" s="126">
        <f t="shared" ca="1" si="111"/>
        <v>1058211.0406769549</v>
      </c>
      <c r="P275" s="126">
        <f t="shared" ca="1" si="111"/>
        <v>1126943.7174517475</v>
      </c>
      <c r="Q275" s="126">
        <f t="shared" ca="1" si="111"/>
        <v>1182270.0005122586</v>
      </c>
      <c r="R275" s="126">
        <f t="shared" ca="1" si="111"/>
        <v>1239389.8087619911</v>
      </c>
      <c r="S275" s="127">
        <f t="shared" ca="1" si="111"/>
        <v>1298354.1823676433</v>
      </c>
      <c r="T275" s="19"/>
    </row>
    <row r="276" spans="1:20" x14ac:dyDescent="0.2">
      <c r="B276" s="4"/>
      <c r="I276" s="118"/>
      <c r="J276" s="118"/>
      <c r="K276" s="118"/>
      <c r="L276" s="118"/>
      <c r="M276" s="118"/>
      <c r="N276" s="129"/>
      <c r="O276" s="129"/>
      <c r="P276" s="129"/>
      <c r="Q276" s="129"/>
      <c r="R276" s="129"/>
      <c r="S276" s="129"/>
      <c r="T276" s="19"/>
    </row>
    <row r="277" spans="1:20" x14ac:dyDescent="0.2">
      <c r="B277" s="24"/>
      <c r="C277" s="50" t="str">
        <f>$Q$64</f>
        <v>Existing Debt II</v>
      </c>
      <c r="I277" s="118"/>
      <c r="J277" s="118"/>
      <c r="K277" s="118"/>
      <c r="L277" s="118"/>
      <c r="M277" s="118"/>
      <c r="N277" s="129"/>
      <c r="O277" s="129"/>
      <c r="P277" s="129"/>
      <c r="Q277" s="129"/>
      <c r="R277" s="129"/>
      <c r="S277" s="129"/>
      <c r="T277" s="19"/>
    </row>
    <row r="278" spans="1:20" x14ac:dyDescent="0.2">
      <c r="B278" s="24"/>
      <c r="C278" s="9" t="s">
        <v>40</v>
      </c>
      <c r="F278" s="35"/>
      <c r="G278" s="122">
        <f>HLOOKUP(C277,$O$64:$S$66,ROWS($O$64:$O$65),0)</f>
        <v>1500000</v>
      </c>
      <c r="I278" s="122"/>
      <c r="J278" s="122">
        <f t="shared" ref="J278:S278" si="112">I283</f>
        <v>1500000</v>
      </c>
      <c r="K278" s="122">
        <f t="shared" ca="1" si="112"/>
        <v>1637254.9019607843</v>
      </c>
      <c r="L278" s="122">
        <f t="shared" ca="1" si="112"/>
        <v>1787069.0759964117</v>
      </c>
      <c r="M278" s="122">
        <f t="shared" ca="1" si="112"/>
        <v>1950591.7365451029</v>
      </c>
      <c r="N278" s="122">
        <f t="shared" ca="1" si="112"/>
        <v>0</v>
      </c>
      <c r="O278" s="122">
        <f t="shared" ca="1" si="112"/>
        <v>0</v>
      </c>
      <c r="P278" s="122">
        <f t="shared" ca="1" si="112"/>
        <v>0</v>
      </c>
      <c r="Q278" s="122">
        <f t="shared" ca="1" si="112"/>
        <v>0</v>
      </c>
      <c r="R278" s="122">
        <f t="shared" ca="1" si="112"/>
        <v>0</v>
      </c>
      <c r="S278" s="122">
        <f t="shared" ca="1" si="112"/>
        <v>0</v>
      </c>
      <c r="T278" s="19"/>
    </row>
    <row r="279" spans="1:20" x14ac:dyDescent="0.2">
      <c r="B279" s="24"/>
      <c r="C279" s="9" t="s">
        <v>39</v>
      </c>
      <c r="G279" s="57">
        <f>HLOOKUP(C277,$O$64:$S$66,ROWS($O$64:$O$66),0)</f>
        <v>8.7499999999999994E-2</v>
      </c>
      <c r="I279" s="128"/>
      <c r="J279" s="122">
        <f t="shared" ref="J279:S279" ca="1" si="113">J285</f>
        <v>137254.90196078431</v>
      </c>
      <c r="K279" s="122">
        <f t="shared" ca="1" si="113"/>
        <v>149814.17403562731</v>
      </c>
      <c r="L279" s="122">
        <f t="shared" ca="1" si="113"/>
        <v>163522.66054869126</v>
      </c>
      <c r="M279" s="122">
        <f t="shared" ca="1" si="113"/>
        <v>85338.388473848245</v>
      </c>
      <c r="N279" s="122">
        <f t="shared" ca="1" si="113"/>
        <v>0</v>
      </c>
      <c r="O279" s="122">
        <f t="shared" ca="1" si="113"/>
        <v>0</v>
      </c>
      <c r="P279" s="122">
        <f t="shared" ca="1" si="113"/>
        <v>0</v>
      </c>
      <c r="Q279" s="122">
        <f t="shared" ca="1" si="113"/>
        <v>0</v>
      </c>
      <c r="R279" s="122">
        <f t="shared" ca="1" si="113"/>
        <v>0</v>
      </c>
      <c r="S279" s="122">
        <f t="shared" ca="1" si="113"/>
        <v>0</v>
      </c>
      <c r="T279" s="19"/>
    </row>
    <row r="280" spans="1:20" ht="15" x14ac:dyDescent="0.2">
      <c r="B280" s="24"/>
      <c r="C280" s="13" t="s">
        <v>41</v>
      </c>
      <c r="D280" s="20"/>
      <c r="E280" s="20"/>
      <c r="F280" s="20"/>
      <c r="G280" s="20"/>
      <c r="H280" s="20"/>
      <c r="I280" s="124">
        <f t="shared" ref="I280:S280" si="114">IF(I$260=$G$65-1,$G278,SUM(I278:I279))</f>
        <v>1500000</v>
      </c>
      <c r="J280" s="124">
        <f t="shared" ca="1" si="114"/>
        <v>1637254.9019607843</v>
      </c>
      <c r="K280" s="124">
        <f t="shared" ca="1" si="114"/>
        <v>1787069.0759964117</v>
      </c>
      <c r="L280" s="124">
        <f t="shared" ca="1" si="114"/>
        <v>1950591.7365451029</v>
      </c>
      <c r="M280" s="124">
        <f t="shared" ca="1" si="114"/>
        <v>2035930.1250189513</v>
      </c>
      <c r="N280" s="124">
        <f t="shared" ca="1" si="114"/>
        <v>0</v>
      </c>
      <c r="O280" s="124">
        <f t="shared" ca="1" si="114"/>
        <v>0</v>
      </c>
      <c r="P280" s="124">
        <f t="shared" ca="1" si="114"/>
        <v>0</v>
      </c>
      <c r="Q280" s="124">
        <f t="shared" ca="1" si="114"/>
        <v>0</v>
      </c>
      <c r="R280" s="124">
        <f t="shared" ca="1" si="114"/>
        <v>0</v>
      </c>
      <c r="S280" s="124">
        <f t="shared" ca="1" si="114"/>
        <v>0</v>
      </c>
      <c r="T280" s="19"/>
    </row>
    <row r="281" spans="1:20" x14ac:dyDescent="0.2">
      <c r="B281" s="24"/>
      <c r="C281" s="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9"/>
    </row>
    <row r="282" spans="1:20" x14ac:dyDescent="0.2">
      <c r="B282" s="24"/>
      <c r="C282" s="9" t="s">
        <v>42</v>
      </c>
      <c r="G282" s="57"/>
      <c r="I282" s="119"/>
      <c r="J282" s="122">
        <f t="shared" ref="J282:S282" ca="1" si="115">MIN(-MIN(J275,SUM(J278:J279)),0)</f>
        <v>0</v>
      </c>
      <c r="K282" s="122">
        <f t="shared" ca="1" si="115"/>
        <v>0</v>
      </c>
      <c r="L282" s="122">
        <f t="shared" ca="1" si="115"/>
        <v>0</v>
      </c>
      <c r="M282" s="122">
        <f t="shared" ca="1" si="115"/>
        <v>-2035930.1250189513</v>
      </c>
      <c r="N282" s="122">
        <f t="shared" ca="1" si="115"/>
        <v>0</v>
      </c>
      <c r="O282" s="122">
        <f t="shared" ca="1" si="115"/>
        <v>0</v>
      </c>
      <c r="P282" s="122">
        <f t="shared" ca="1" si="115"/>
        <v>0</v>
      </c>
      <c r="Q282" s="122">
        <f t="shared" ca="1" si="115"/>
        <v>0</v>
      </c>
      <c r="R282" s="122">
        <f t="shared" ca="1" si="115"/>
        <v>0</v>
      </c>
      <c r="S282" s="122">
        <f t="shared" ca="1" si="115"/>
        <v>0</v>
      </c>
      <c r="T282" s="19"/>
    </row>
    <row r="283" spans="1:20" ht="15" x14ac:dyDescent="0.2">
      <c r="B283" s="24"/>
      <c r="C283" s="13" t="s">
        <v>43</v>
      </c>
      <c r="D283" s="20"/>
      <c r="E283" s="20"/>
      <c r="F283" s="20"/>
      <c r="G283" s="20"/>
      <c r="H283" s="20"/>
      <c r="I283" s="124">
        <f t="shared" ref="I283:S283" si="116">SUM(I280,I282)</f>
        <v>1500000</v>
      </c>
      <c r="J283" s="124">
        <f t="shared" ca="1" si="116"/>
        <v>1637254.9019607843</v>
      </c>
      <c r="K283" s="124">
        <f t="shared" ca="1" si="116"/>
        <v>1787069.0759964117</v>
      </c>
      <c r="L283" s="124">
        <f t="shared" ca="1" si="116"/>
        <v>1950591.7365451029</v>
      </c>
      <c r="M283" s="124">
        <f t="shared" ca="1" si="116"/>
        <v>0</v>
      </c>
      <c r="N283" s="124">
        <f t="shared" ca="1" si="116"/>
        <v>0</v>
      </c>
      <c r="O283" s="124">
        <f t="shared" ca="1" si="116"/>
        <v>0</v>
      </c>
      <c r="P283" s="124">
        <f t="shared" ca="1" si="116"/>
        <v>0</v>
      </c>
      <c r="Q283" s="124">
        <f t="shared" ca="1" si="116"/>
        <v>0</v>
      </c>
      <c r="R283" s="124">
        <f t="shared" ca="1" si="116"/>
        <v>0</v>
      </c>
      <c r="S283" s="124">
        <f t="shared" ca="1" si="116"/>
        <v>0</v>
      </c>
      <c r="T283" s="19"/>
    </row>
    <row r="284" spans="1:20" ht="15" x14ac:dyDescent="0.2">
      <c r="B284" s="24"/>
      <c r="C284" s="13"/>
      <c r="D284" s="20"/>
      <c r="E284" s="20"/>
      <c r="F284" s="20"/>
      <c r="G284" s="20"/>
      <c r="H284" s="20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9"/>
    </row>
    <row r="285" spans="1:20" s="20" customFormat="1" ht="15" x14ac:dyDescent="0.2">
      <c r="A285"/>
      <c r="B285" s="48"/>
      <c r="C285" s="13" t="s">
        <v>39</v>
      </c>
      <c r="I285" s="130">
        <f>AVERAGE(I278,I283)*$G279</f>
        <v>131250</v>
      </c>
      <c r="J285" s="130">
        <f t="shared" ref="J285:S285" ca="1" si="117">AVERAGE(J278,J283)*$G279</f>
        <v>137254.90196078431</v>
      </c>
      <c r="K285" s="130">
        <f t="shared" ca="1" si="117"/>
        <v>149814.17403562731</v>
      </c>
      <c r="L285" s="130">
        <f t="shared" ca="1" si="117"/>
        <v>163522.66054869126</v>
      </c>
      <c r="M285" s="130">
        <f t="shared" ca="1" si="117"/>
        <v>85338.388473848245</v>
      </c>
      <c r="N285" s="130">
        <f t="shared" ca="1" si="117"/>
        <v>0</v>
      </c>
      <c r="O285" s="130">
        <f t="shared" ca="1" si="117"/>
        <v>0</v>
      </c>
      <c r="P285" s="130">
        <f t="shared" ca="1" si="117"/>
        <v>0</v>
      </c>
      <c r="Q285" s="130">
        <f t="shared" ca="1" si="117"/>
        <v>0</v>
      </c>
      <c r="R285" s="130">
        <f t="shared" ca="1" si="117"/>
        <v>0</v>
      </c>
      <c r="S285" s="130">
        <f t="shared" ca="1" si="117"/>
        <v>0</v>
      </c>
      <c r="T285" s="19"/>
    </row>
    <row r="286" spans="1:20" x14ac:dyDescent="0.2">
      <c r="B286" s="4"/>
      <c r="I286" s="118"/>
      <c r="J286" s="118"/>
      <c r="K286" s="118"/>
      <c r="L286" s="118"/>
      <c r="M286" s="118"/>
      <c r="N286" s="129"/>
      <c r="O286" s="129"/>
      <c r="P286" s="129"/>
      <c r="Q286" s="129"/>
      <c r="R286" s="129"/>
      <c r="S286" s="129"/>
      <c r="T286" s="19"/>
    </row>
    <row r="287" spans="1:20" x14ac:dyDescent="0.2">
      <c r="B287" s="4"/>
      <c r="I287" s="118"/>
      <c r="J287" s="118"/>
      <c r="K287" s="118"/>
      <c r="L287" s="118"/>
      <c r="M287" s="118"/>
      <c r="N287" s="129"/>
      <c r="O287" s="129"/>
      <c r="P287" s="129"/>
      <c r="Q287" s="129"/>
      <c r="R287" s="129"/>
      <c r="S287" s="129"/>
      <c r="T287" s="19"/>
    </row>
    <row r="288" spans="1:20" x14ac:dyDescent="0.2">
      <c r="B288" s="4"/>
      <c r="C288" s="91" t="s">
        <v>126</v>
      </c>
      <c r="D288" s="17"/>
      <c r="E288" s="17"/>
      <c r="F288" s="17"/>
      <c r="G288" s="17"/>
      <c r="H288" s="17"/>
      <c r="I288" s="131"/>
      <c r="J288" s="126">
        <f t="shared" ref="J288:S288" ca="1" si="118">SUM(J275,J282)</f>
        <v>0</v>
      </c>
      <c r="K288" s="126">
        <f t="shared" ca="1" si="118"/>
        <v>0</v>
      </c>
      <c r="L288" s="126">
        <f t="shared" ca="1" si="118"/>
        <v>0</v>
      </c>
      <c r="M288" s="126">
        <f t="shared" ca="1" si="118"/>
        <v>791053.58903166489</v>
      </c>
      <c r="N288" s="126">
        <f t="shared" ca="1" si="118"/>
        <v>960649.0370899745</v>
      </c>
      <c r="O288" s="126">
        <f t="shared" ca="1" si="118"/>
        <v>1058211.0406769549</v>
      </c>
      <c r="P288" s="126">
        <f t="shared" ca="1" si="118"/>
        <v>1126943.7174517475</v>
      </c>
      <c r="Q288" s="126">
        <f t="shared" ca="1" si="118"/>
        <v>1182270.0005122586</v>
      </c>
      <c r="R288" s="126">
        <f t="shared" ca="1" si="118"/>
        <v>1239389.8087619911</v>
      </c>
      <c r="S288" s="127">
        <f t="shared" ca="1" si="118"/>
        <v>1298354.1823676433</v>
      </c>
      <c r="T288" s="19"/>
    </row>
    <row r="289" spans="1:20" x14ac:dyDescent="0.2">
      <c r="B289" s="4"/>
      <c r="I289" s="118"/>
      <c r="J289" s="118"/>
      <c r="K289" s="118"/>
      <c r="L289" s="118"/>
      <c r="M289" s="118"/>
      <c r="N289" s="129"/>
      <c r="O289" s="129"/>
      <c r="P289" s="129"/>
      <c r="Q289" s="129"/>
      <c r="R289" s="129"/>
      <c r="S289" s="129"/>
      <c r="T289" s="19"/>
    </row>
    <row r="290" spans="1:20" x14ac:dyDescent="0.2">
      <c r="B290" s="24"/>
      <c r="C290" s="50" t="str">
        <f>$S$64</f>
        <v>Existing Debt III</v>
      </c>
      <c r="I290" s="118"/>
      <c r="J290" s="118"/>
      <c r="K290" s="118"/>
      <c r="L290" s="118"/>
      <c r="M290" s="118"/>
      <c r="N290" s="129"/>
      <c r="O290" s="129"/>
      <c r="P290" s="129"/>
      <c r="Q290" s="129"/>
      <c r="R290" s="129"/>
      <c r="S290" s="129"/>
      <c r="T290" s="19"/>
    </row>
    <row r="291" spans="1:20" x14ac:dyDescent="0.2">
      <c r="B291" s="24"/>
      <c r="C291" s="9" t="s">
        <v>40</v>
      </c>
      <c r="F291" s="35"/>
      <c r="G291" s="122">
        <f>HLOOKUP(C290,$O$64:$S$66,ROWS($O$64:$O$65),0)</f>
        <v>2225000</v>
      </c>
      <c r="I291" s="122"/>
      <c r="J291" s="122">
        <f t="shared" ref="J291:S291" si="119">I296</f>
        <v>2225000</v>
      </c>
      <c r="K291" s="122">
        <f t="shared" ca="1" si="119"/>
        <v>2225000</v>
      </c>
      <c r="L291" s="122">
        <f t="shared" ca="1" si="119"/>
        <v>2225000</v>
      </c>
      <c r="M291" s="122">
        <f t="shared" ca="1" si="119"/>
        <v>2225000</v>
      </c>
      <c r="N291" s="122">
        <f t="shared" ca="1" si="119"/>
        <v>1433946.4109683351</v>
      </c>
      <c r="O291" s="122">
        <f t="shared" ca="1" si="119"/>
        <v>473297.37387836061</v>
      </c>
      <c r="P291" s="122">
        <f t="shared" ca="1" si="119"/>
        <v>0</v>
      </c>
      <c r="Q291" s="122">
        <f t="shared" ca="1" si="119"/>
        <v>0</v>
      </c>
      <c r="R291" s="122">
        <f t="shared" ca="1" si="119"/>
        <v>0</v>
      </c>
      <c r="S291" s="122">
        <f t="shared" ca="1" si="119"/>
        <v>0</v>
      </c>
      <c r="T291" s="19"/>
    </row>
    <row r="292" spans="1:20" x14ac:dyDescent="0.2">
      <c r="B292" s="24"/>
      <c r="C292" s="9" t="s">
        <v>39</v>
      </c>
      <c r="G292" s="57">
        <f>HLOOKUP(C290,$O$64:$S$66,ROWS($O$64:$O$66),0)</f>
        <v>7.9500000000000001E-2</v>
      </c>
      <c r="I292" s="119"/>
      <c r="J292" s="122">
        <v>0</v>
      </c>
      <c r="K292" s="122">
        <v>0</v>
      </c>
      <c r="L292" s="122">
        <v>0</v>
      </c>
      <c r="M292" s="122">
        <v>0</v>
      </c>
      <c r="N292" s="122">
        <v>0</v>
      </c>
      <c r="O292" s="122">
        <v>0</v>
      </c>
      <c r="P292" s="122">
        <v>0</v>
      </c>
      <c r="Q292" s="122">
        <v>0</v>
      </c>
      <c r="R292" s="122">
        <v>0</v>
      </c>
      <c r="S292" s="122">
        <v>0</v>
      </c>
      <c r="T292" s="19"/>
    </row>
    <row r="293" spans="1:20" ht="15" x14ac:dyDescent="0.2">
      <c r="B293" s="24"/>
      <c r="C293" s="13" t="s">
        <v>41</v>
      </c>
      <c r="D293" s="20"/>
      <c r="E293" s="20"/>
      <c r="F293" s="20"/>
      <c r="G293" s="20"/>
      <c r="H293" s="20"/>
      <c r="I293" s="124">
        <f t="shared" ref="I293:S293" si="120">IF(I$260=$G$65-1,$G291,SUM(I291:I292))</f>
        <v>2225000</v>
      </c>
      <c r="J293" s="124">
        <f t="shared" si="120"/>
        <v>2225000</v>
      </c>
      <c r="K293" s="124">
        <f t="shared" ca="1" si="120"/>
        <v>2225000</v>
      </c>
      <c r="L293" s="124">
        <f t="shared" ca="1" si="120"/>
        <v>2225000</v>
      </c>
      <c r="M293" s="124">
        <f t="shared" ca="1" si="120"/>
        <v>2225000</v>
      </c>
      <c r="N293" s="124">
        <f t="shared" ca="1" si="120"/>
        <v>1433946.4109683351</v>
      </c>
      <c r="O293" s="124">
        <f t="shared" ca="1" si="120"/>
        <v>473297.37387836061</v>
      </c>
      <c r="P293" s="124">
        <f t="shared" ca="1" si="120"/>
        <v>0</v>
      </c>
      <c r="Q293" s="124">
        <f t="shared" ca="1" si="120"/>
        <v>0</v>
      </c>
      <c r="R293" s="124">
        <f t="shared" ca="1" si="120"/>
        <v>0</v>
      </c>
      <c r="S293" s="124">
        <f t="shared" ca="1" si="120"/>
        <v>0</v>
      </c>
      <c r="T293" s="19"/>
    </row>
    <row r="294" spans="1:20" x14ac:dyDescent="0.2">
      <c r="B294" s="24"/>
      <c r="C294" s="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9"/>
    </row>
    <row r="295" spans="1:20" x14ac:dyDescent="0.2">
      <c r="B295" s="24"/>
      <c r="C295" s="9" t="s">
        <v>42</v>
      </c>
      <c r="G295" s="57"/>
      <c r="I295" s="119"/>
      <c r="J295" s="122">
        <f t="shared" ref="J295:S295" ca="1" si="121">MIN(-MIN(J288,SUM(J291:J292)),0)</f>
        <v>0</v>
      </c>
      <c r="K295" s="122">
        <f t="shared" ca="1" si="121"/>
        <v>0</v>
      </c>
      <c r="L295" s="122">
        <f t="shared" ca="1" si="121"/>
        <v>0</v>
      </c>
      <c r="M295" s="122">
        <f t="shared" ca="1" si="121"/>
        <v>-791053.58903166489</v>
      </c>
      <c r="N295" s="122">
        <f t="shared" ca="1" si="121"/>
        <v>-960649.0370899745</v>
      </c>
      <c r="O295" s="122">
        <f t="shared" ca="1" si="121"/>
        <v>-473297.37387836061</v>
      </c>
      <c r="P295" s="122">
        <f t="shared" ca="1" si="121"/>
        <v>0</v>
      </c>
      <c r="Q295" s="122">
        <f t="shared" ca="1" si="121"/>
        <v>0</v>
      </c>
      <c r="R295" s="122">
        <f t="shared" ca="1" si="121"/>
        <v>0</v>
      </c>
      <c r="S295" s="122">
        <f t="shared" ca="1" si="121"/>
        <v>0</v>
      </c>
      <c r="T295" s="19"/>
    </row>
    <row r="296" spans="1:20" ht="15" x14ac:dyDescent="0.2">
      <c r="B296" s="24"/>
      <c r="C296" s="13" t="s">
        <v>43</v>
      </c>
      <c r="D296" s="20"/>
      <c r="E296" s="20"/>
      <c r="F296" s="20"/>
      <c r="G296" s="20"/>
      <c r="H296" s="20"/>
      <c r="I296" s="124">
        <f t="shared" ref="I296:S296" si="122">SUM(I293,I295)</f>
        <v>2225000</v>
      </c>
      <c r="J296" s="124">
        <f t="shared" ca="1" si="122"/>
        <v>2225000</v>
      </c>
      <c r="K296" s="124">
        <f t="shared" ca="1" si="122"/>
        <v>2225000</v>
      </c>
      <c r="L296" s="124">
        <f t="shared" ca="1" si="122"/>
        <v>2225000</v>
      </c>
      <c r="M296" s="124">
        <f t="shared" ca="1" si="122"/>
        <v>1433946.4109683351</v>
      </c>
      <c r="N296" s="124">
        <f t="shared" ca="1" si="122"/>
        <v>473297.37387836061</v>
      </c>
      <c r="O296" s="124">
        <f t="shared" ca="1" si="122"/>
        <v>0</v>
      </c>
      <c r="P296" s="124">
        <f t="shared" ca="1" si="122"/>
        <v>0</v>
      </c>
      <c r="Q296" s="124">
        <f t="shared" ca="1" si="122"/>
        <v>0</v>
      </c>
      <c r="R296" s="124">
        <f t="shared" ca="1" si="122"/>
        <v>0</v>
      </c>
      <c r="S296" s="124">
        <f t="shared" ca="1" si="122"/>
        <v>0</v>
      </c>
      <c r="T296" s="19"/>
    </row>
    <row r="297" spans="1:20" ht="15" x14ac:dyDescent="0.2">
      <c r="B297" s="24"/>
      <c r="C297" s="13"/>
      <c r="D297" s="20"/>
      <c r="E297" s="20"/>
      <c r="F297" s="20"/>
      <c r="G297" s="20"/>
      <c r="H297" s="20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9"/>
    </row>
    <row r="298" spans="1:20" s="20" customFormat="1" ht="15" x14ac:dyDescent="0.2">
      <c r="A298"/>
      <c r="B298" s="48"/>
      <c r="C298" s="13" t="s">
        <v>44</v>
      </c>
      <c r="I298" s="130">
        <f>AVERAGE(I291,I296)*$G292</f>
        <v>176887.5</v>
      </c>
      <c r="J298" s="130">
        <f t="shared" ref="J298:S298" ca="1" si="123">AVERAGE(J291,J296)*$G292</f>
        <v>176887.5</v>
      </c>
      <c r="K298" s="130">
        <f t="shared" ca="1" si="123"/>
        <v>176887.5</v>
      </c>
      <c r="L298" s="130">
        <f t="shared" ca="1" si="123"/>
        <v>176887.5</v>
      </c>
      <c r="M298" s="130">
        <f t="shared" ca="1" si="123"/>
        <v>145443.11983599133</v>
      </c>
      <c r="N298" s="130">
        <f t="shared" ca="1" si="123"/>
        <v>75812.940447656147</v>
      </c>
      <c r="O298" s="130">
        <f t="shared" ca="1" si="123"/>
        <v>18813.570611664836</v>
      </c>
      <c r="P298" s="130">
        <f t="shared" ca="1" si="123"/>
        <v>0</v>
      </c>
      <c r="Q298" s="130">
        <f t="shared" ca="1" si="123"/>
        <v>0</v>
      </c>
      <c r="R298" s="130">
        <f t="shared" ca="1" si="123"/>
        <v>0</v>
      </c>
      <c r="S298" s="130">
        <f t="shared" ca="1" si="123"/>
        <v>0</v>
      </c>
      <c r="T298" s="19"/>
    </row>
    <row r="299" spans="1:20" s="20" customFormat="1" ht="15" x14ac:dyDescent="0.2">
      <c r="A299"/>
      <c r="B299" s="48"/>
      <c r="C299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9"/>
    </row>
    <row r="300" spans="1:20" s="20" customFormat="1" ht="15" x14ac:dyDescent="0.2">
      <c r="A300"/>
      <c r="B300" s="48"/>
      <c r="C300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9"/>
    </row>
    <row r="301" spans="1:20" s="20" customFormat="1" ht="15" x14ac:dyDescent="0.2">
      <c r="A301"/>
      <c r="B301" s="48"/>
      <c r="C301" s="50" t="s">
        <v>45</v>
      </c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9"/>
    </row>
    <row r="302" spans="1:20" s="20" customFormat="1" ht="15" x14ac:dyDescent="0.2">
      <c r="A302"/>
      <c r="B302" s="48"/>
      <c r="C302" s="9" t="s">
        <v>40</v>
      </c>
      <c r="I302" s="122"/>
      <c r="J302" s="122">
        <f t="shared" ref="J302:S302" si="124">SUM(J265,J278,J291)</f>
        <v>6475000</v>
      </c>
      <c r="K302" s="122">
        <f t="shared" ca="1" si="124"/>
        <v>6878965.2558271019</v>
      </c>
      <c r="L302" s="122">
        <f t="shared" ca="1" si="124"/>
        <v>7321356.8429506812</v>
      </c>
      <c r="M302" s="122">
        <f t="shared" ca="1" si="124"/>
        <v>7216950.7448137049</v>
      </c>
      <c r="N302" s="122">
        <f t="shared" ca="1" si="124"/>
        <v>1433946.4109683351</v>
      </c>
      <c r="O302" s="122">
        <f t="shared" ca="1" si="124"/>
        <v>473297.37387836061</v>
      </c>
      <c r="P302" s="122">
        <f t="shared" ca="1" si="124"/>
        <v>0</v>
      </c>
      <c r="Q302" s="122">
        <f t="shared" ca="1" si="124"/>
        <v>0</v>
      </c>
      <c r="R302" s="122">
        <f t="shared" ca="1" si="124"/>
        <v>0</v>
      </c>
      <c r="S302" s="122">
        <f t="shared" ca="1" si="124"/>
        <v>0</v>
      </c>
      <c r="T302" s="19"/>
    </row>
    <row r="303" spans="1:20" s="20" customFormat="1" ht="15" x14ac:dyDescent="0.2">
      <c r="A303"/>
      <c r="B303" s="48"/>
      <c r="C303" s="9" t="s">
        <v>39</v>
      </c>
      <c r="I303" s="122"/>
      <c r="J303" s="122">
        <f t="shared" ref="J303:S303" ca="1" si="125">SUM(J266,J279,J292)</f>
        <v>403965.25582710153</v>
      </c>
      <c r="K303" s="122">
        <f t="shared" ca="1" si="125"/>
        <v>442391.58712357946</v>
      </c>
      <c r="L303" s="122">
        <f t="shared" ca="1" si="125"/>
        <v>457240.07390274911</v>
      </c>
      <c r="M303" s="122">
        <f t="shared" ca="1" si="125"/>
        <v>226001.24260627106</v>
      </c>
      <c r="N303" s="122">
        <f t="shared" ca="1" si="125"/>
        <v>0</v>
      </c>
      <c r="O303" s="122">
        <f t="shared" ca="1" si="125"/>
        <v>0</v>
      </c>
      <c r="P303" s="122">
        <f t="shared" ca="1" si="125"/>
        <v>0</v>
      </c>
      <c r="Q303" s="122">
        <f t="shared" ca="1" si="125"/>
        <v>0</v>
      </c>
      <c r="R303" s="122">
        <f t="shared" ca="1" si="125"/>
        <v>0</v>
      </c>
      <c r="S303" s="122">
        <f t="shared" ca="1" si="125"/>
        <v>0</v>
      </c>
      <c r="T303" s="19"/>
    </row>
    <row r="304" spans="1:20" x14ac:dyDescent="0.2">
      <c r="B304" s="24"/>
      <c r="C304" s="9" t="s">
        <v>71</v>
      </c>
      <c r="I304" s="122"/>
      <c r="J304" s="122">
        <f t="shared" ref="J304:S304" ca="1" si="126">SUM(J269,J282,J295)</f>
        <v>0</v>
      </c>
      <c r="K304" s="122">
        <f t="shared" ca="1" si="126"/>
        <v>0</v>
      </c>
      <c r="L304" s="122">
        <f t="shared" ca="1" si="126"/>
        <v>-561646.17203972535</v>
      </c>
      <c r="M304" s="122">
        <f t="shared" ca="1" si="126"/>
        <v>-6009005.5764516406</v>
      </c>
      <c r="N304" s="122">
        <f t="shared" ca="1" si="126"/>
        <v>-960649.0370899745</v>
      </c>
      <c r="O304" s="122">
        <f t="shared" ca="1" si="126"/>
        <v>-473297.37387836061</v>
      </c>
      <c r="P304" s="122">
        <f t="shared" ca="1" si="126"/>
        <v>0</v>
      </c>
      <c r="Q304" s="122">
        <f t="shared" ca="1" si="126"/>
        <v>0</v>
      </c>
      <c r="R304" s="122">
        <f t="shared" ca="1" si="126"/>
        <v>0</v>
      </c>
      <c r="S304" s="122">
        <f t="shared" ca="1" si="126"/>
        <v>0</v>
      </c>
      <c r="T304" s="89"/>
    </row>
    <row r="305" spans="1:20" x14ac:dyDescent="0.2">
      <c r="B305" s="24"/>
      <c r="C305" s="13" t="s">
        <v>43</v>
      </c>
      <c r="I305" s="124">
        <f>SUM(I270,I283,I296)</f>
        <v>6475000</v>
      </c>
      <c r="J305" s="124">
        <f t="shared" ref="J305:S305" ca="1" si="127">SUM(J270,J283,J296)</f>
        <v>6878965.2558271019</v>
      </c>
      <c r="K305" s="124">
        <f t="shared" ca="1" si="127"/>
        <v>7321356.8429506812</v>
      </c>
      <c r="L305" s="124">
        <f t="shared" ca="1" si="127"/>
        <v>7216950.7448137049</v>
      </c>
      <c r="M305" s="124">
        <f t="shared" ca="1" si="127"/>
        <v>1433946.4109683351</v>
      </c>
      <c r="N305" s="124">
        <f t="shared" ca="1" si="127"/>
        <v>473297.37387836061</v>
      </c>
      <c r="O305" s="124">
        <f t="shared" ca="1" si="127"/>
        <v>0</v>
      </c>
      <c r="P305" s="124">
        <f t="shared" ca="1" si="127"/>
        <v>0</v>
      </c>
      <c r="Q305" s="124">
        <f t="shared" ca="1" si="127"/>
        <v>0</v>
      </c>
      <c r="R305" s="124">
        <f t="shared" ca="1" si="127"/>
        <v>0</v>
      </c>
      <c r="S305" s="124">
        <f t="shared" ca="1" si="127"/>
        <v>0</v>
      </c>
      <c r="T305" s="89"/>
    </row>
    <row r="306" spans="1:20" x14ac:dyDescent="0.2">
      <c r="B306" s="24"/>
      <c r="C306" s="1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89"/>
    </row>
    <row r="307" spans="1:20" s="20" customFormat="1" ht="15" x14ac:dyDescent="0.2">
      <c r="A307"/>
      <c r="B307" s="48"/>
      <c r="C307" s="9" t="s">
        <v>39</v>
      </c>
      <c r="I307" s="122"/>
      <c r="J307" s="122">
        <f t="shared" ref="J307:S307" ca="1" si="128">SUM(J266,J279,J292)</f>
        <v>403965.25582710153</v>
      </c>
      <c r="K307" s="122">
        <f t="shared" ca="1" si="128"/>
        <v>442391.58712357946</v>
      </c>
      <c r="L307" s="122">
        <f t="shared" ca="1" si="128"/>
        <v>457240.07390274911</v>
      </c>
      <c r="M307" s="122">
        <f t="shared" ca="1" si="128"/>
        <v>226001.24260627106</v>
      </c>
      <c r="N307" s="122">
        <f t="shared" ca="1" si="128"/>
        <v>0</v>
      </c>
      <c r="O307" s="122">
        <f t="shared" ca="1" si="128"/>
        <v>0</v>
      </c>
      <c r="P307" s="122">
        <f t="shared" ca="1" si="128"/>
        <v>0</v>
      </c>
      <c r="Q307" s="122">
        <f t="shared" ca="1" si="128"/>
        <v>0</v>
      </c>
      <c r="R307" s="122">
        <f t="shared" ca="1" si="128"/>
        <v>0</v>
      </c>
      <c r="S307" s="122">
        <f t="shared" ca="1" si="128"/>
        <v>0</v>
      </c>
      <c r="T307" s="19"/>
    </row>
    <row r="308" spans="1:20" s="20" customFormat="1" ht="15" x14ac:dyDescent="0.2">
      <c r="A308"/>
      <c r="B308" s="48"/>
      <c r="C308" s="9" t="s">
        <v>44</v>
      </c>
      <c r="I308" s="128"/>
      <c r="J308" s="128">
        <f t="shared" ref="J308:S308" ca="1" si="129">J298</f>
        <v>176887.5</v>
      </c>
      <c r="K308" s="128">
        <f t="shared" ca="1" si="129"/>
        <v>176887.5</v>
      </c>
      <c r="L308" s="128">
        <f t="shared" ca="1" si="129"/>
        <v>176887.5</v>
      </c>
      <c r="M308" s="128">
        <f t="shared" ca="1" si="129"/>
        <v>145443.11983599133</v>
      </c>
      <c r="N308" s="128">
        <f t="shared" ca="1" si="129"/>
        <v>75812.940447656147</v>
      </c>
      <c r="O308" s="128">
        <f t="shared" ca="1" si="129"/>
        <v>18813.570611664836</v>
      </c>
      <c r="P308" s="128">
        <f t="shared" ca="1" si="129"/>
        <v>0</v>
      </c>
      <c r="Q308" s="128">
        <f t="shared" ca="1" si="129"/>
        <v>0</v>
      </c>
      <c r="R308" s="128">
        <f t="shared" ca="1" si="129"/>
        <v>0</v>
      </c>
      <c r="S308" s="128">
        <f t="shared" ca="1" si="129"/>
        <v>0</v>
      </c>
      <c r="T308" s="19"/>
    </row>
    <row r="309" spans="1:20" s="20" customFormat="1" ht="15" x14ac:dyDescent="0.2">
      <c r="A309"/>
      <c r="B309" s="48"/>
      <c r="C309" s="13" t="s">
        <v>46</v>
      </c>
      <c r="I309" s="124"/>
      <c r="J309" s="124">
        <f t="shared" ref="J309:S309" ca="1" si="130">SUM(J307:J308)</f>
        <v>580852.75582710153</v>
      </c>
      <c r="K309" s="124">
        <f t="shared" ca="1" si="130"/>
        <v>619279.08712357946</v>
      </c>
      <c r="L309" s="124">
        <f t="shared" ca="1" si="130"/>
        <v>634127.57390274911</v>
      </c>
      <c r="M309" s="124">
        <f t="shared" ca="1" si="130"/>
        <v>371444.36244226235</v>
      </c>
      <c r="N309" s="124">
        <f t="shared" ca="1" si="130"/>
        <v>75812.940447656147</v>
      </c>
      <c r="O309" s="124">
        <f t="shared" ca="1" si="130"/>
        <v>18813.570611664836</v>
      </c>
      <c r="P309" s="124">
        <f t="shared" ca="1" si="130"/>
        <v>0</v>
      </c>
      <c r="Q309" s="124">
        <f t="shared" ca="1" si="130"/>
        <v>0</v>
      </c>
      <c r="R309" s="124">
        <f t="shared" ca="1" si="130"/>
        <v>0</v>
      </c>
      <c r="S309" s="124">
        <f t="shared" ca="1" si="130"/>
        <v>0</v>
      </c>
      <c r="T309" s="19"/>
    </row>
    <row r="310" spans="1:20" x14ac:dyDescent="0.2">
      <c r="B310" s="25"/>
      <c r="C310" s="46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5"/>
    </row>
    <row r="311" spans="1:20" x14ac:dyDescent="0.2">
      <c r="G311" s="10"/>
    </row>
    <row r="312" spans="1:20" x14ac:dyDescent="0.2">
      <c r="B312" s="3" t="s">
        <v>84</v>
      </c>
      <c r="C312" s="8"/>
      <c r="D312" s="8"/>
      <c r="E312" s="8"/>
      <c r="F312" s="8"/>
      <c r="G312" s="8"/>
      <c r="H312" s="8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2"/>
    </row>
    <row r="313" spans="1:20" x14ac:dyDescent="0.2">
      <c r="B313" s="4"/>
      <c r="D313" s="9"/>
      <c r="E313" s="9"/>
      <c r="F313" s="9"/>
      <c r="G313" s="9"/>
      <c r="H313" s="9"/>
      <c r="I313" s="9"/>
      <c r="J313" s="9"/>
      <c r="K313" s="9"/>
      <c r="L313" s="9"/>
      <c r="T313" s="15"/>
    </row>
    <row r="314" spans="1:20" x14ac:dyDescent="0.2">
      <c r="B314" s="4"/>
      <c r="D314" s="9"/>
      <c r="E314" s="9"/>
      <c r="F314" s="9"/>
      <c r="G314" s="9"/>
      <c r="J314" s="31" t="str">
        <f>J$103</f>
        <v>Forecast</v>
      </c>
      <c r="K314" s="32"/>
      <c r="L314" s="32"/>
      <c r="M314" s="32"/>
      <c r="N314" s="32"/>
      <c r="O314" s="32"/>
      <c r="P314" s="32"/>
      <c r="Q314" s="32"/>
      <c r="R314" s="32"/>
      <c r="S314" s="32"/>
      <c r="T314" s="15"/>
    </row>
    <row r="315" spans="1:20" x14ac:dyDescent="0.2">
      <c r="B315" s="4"/>
      <c r="G315" s="12"/>
      <c r="I315" s="12">
        <f t="shared" ref="I315:S315" si="131">I$104</f>
        <v>2023</v>
      </c>
      <c r="J315" s="29">
        <f t="shared" si="131"/>
        <v>2024</v>
      </c>
      <c r="K315" s="30">
        <f t="shared" si="131"/>
        <v>2025</v>
      </c>
      <c r="L315" s="30">
        <f t="shared" si="131"/>
        <v>2026</v>
      </c>
      <c r="M315" s="30">
        <f t="shared" si="131"/>
        <v>2027</v>
      </c>
      <c r="N315" s="30">
        <f t="shared" si="131"/>
        <v>2028</v>
      </c>
      <c r="O315" s="30">
        <f t="shared" si="131"/>
        <v>2029</v>
      </c>
      <c r="P315" s="30">
        <f t="shared" si="131"/>
        <v>2030</v>
      </c>
      <c r="Q315" s="30">
        <f t="shared" si="131"/>
        <v>2031</v>
      </c>
      <c r="R315" s="30">
        <f t="shared" si="131"/>
        <v>2032</v>
      </c>
      <c r="S315" s="30">
        <f t="shared" si="131"/>
        <v>2033</v>
      </c>
      <c r="T315" s="19"/>
    </row>
    <row r="316" spans="1:20" s="20" customFormat="1" ht="15" x14ac:dyDescent="0.2">
      <c r="A316"/>
      <c r="B316" s="48"/>
      <c r="C316" s="50" t="s">
        <v>45</v>
      </c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19"/>
    </row>
    <row r="317" spans="1:20" s="20" customFormat="1" ht="15" x14ac:dyDescent="0.2">
      <c r="A317"/>
      <c r="B317" s="48"/>
      <c r="C317" s="9" t="s">
        <v>39</v>
      </c>
      <c r="G317" s="92"/>
      <c r="I317" s="122"/>
      <c r="J317" s="122">
        <f t="shared" ref="J317:S317" ca="1" si="132">SUM(J215,J252,J307)</f>
        <v>725265.25582710153</v>
      </c>
      <c r="K317" s="122">
        <f t="shared" ca="1" si="132"/>
        <v>556974.92045691283</v>
      </c>
      <c r="L317" s="122">
        <f t="shared" ca="1" si="132"/>
        <v>807292.15723608248</v>
      </c>
      <c r="M317" s="122">
        <f t="shared" ca="1" si="132"/>
        <v>824472.85718960431</v>
      </c>
      <c r="N317" s="122">
        <f t="shared" ca="1" si="132"/>
        <v>0</v>
      </c>
      <c r="O317" s="122">
        <f t="shared" ca="1" si="132"/>
        <v>0</v>
      </c>
      <c r="P317" s="122">
        <f t="shared" ca="1" si="132"/>
        <v>0</v>
      </c>
      <c r="Q317" s="122">
        <f t="shared" ca="1" si="132"/>
        <v>0</v>
      </c>
      <c r="R317" s="122">
        <f t="shared" ca="1" si="132"/>
        <v>0</v>
      </c>
      <c r="S317" s="122">
        <f t="shared" ca="1" si="132"/>
        <v>0</v>
      </c>
      <c r="T317" s="19"/>
    </row>
    <row r="318" spans="1:20" s="20" customFormat="1" ht="15" x14ac:dyDescent="0.2">
      <c r="A318"/>
      <c r="B318" s="48"/>
      <c r="C318" s="9" t="s">
        <v>44</v>
      </c>
      <c r="G318" s="92"/>
      <c r="I318" s="122"/>
      <c r="J318" s="122">
        <f t="shared" ref="J318:S318" ca="1" si="133">SUM(J216,J253,J308)</f>
        <v>188873.23943661971</v>
      </c>
      <c r="K318" s="122">
        <f t="shared" ca="1" si="133"/>
        <v>378321.39151776768</v>
      </c>
      <c r="L318" s="122">
        <f t="shared" ca="1" si="133"/>
        <v>368400.35776958871</v>
      </c>
      <c r="M318" s="122">
        <f t="shared" ca="1" si="133"/>
        <v>327594.14885508385</v>
      </c>
      <c r="N318" s="122">
        <f t="shared" ca="1" si="133"/>
        <v>252253.51338066679</v>
      </c>
      <c r="O318" s="122">
        <f t="shared" ca="1" si="133"/>
        <v>185014.07355545205</v>
      </c>
      <c r="P318" s="122">
        <f t="shared" ca="1" si="133"/>
        <v>147362.02463646978</v>
      </c>
      <c r="Q318" s="122">
        <f t="shared" ca="1" si="133"/>
        <v>123893.38512816394</v>
      </c>
      <c r="R318" s="122">
        <f t="shared" ca="1" si="133"/>
        <v>99427.661519441841</v>
      </c>
      <c r="S318" s="122">
        <f t="shared" ca="1" si="133"/>
        <v>73933.72467082525</v>
      </c>
      <c r="T318" s="19"/>
    </row>
    <row r="319" spans="1:20" s="20" customFormat="1" ht="15" x14ac:dyDescent="0.2">
      <c r="A319"/>
      <c r="B319" s="48"/>
      <c r="C319" s="13" t="s">
        <v>46</v>
      </c>
      <c r="I319" s="124"/>
      <c r="J319" s="124">
        <f t="shared" ref="J319:S319" ca="1" si="134">SUM(J317:J318)</f>
        <v>914138.49526372121</v>
      </c>
      <c r="K319" s="124">
        <f t="shared" ca="1" si="134"/>
        <v>935296.31197468052</v>
      </c>
      <c r="L319" s="124">
        <f t="shared" ca="1" si="134"/>
        <v>1175692.5150056712</v>
      </c>
      <c r="M319" s="124">
        <f t="shared" ca="1" si="134"/>
        <v>1152067.0060446882</v>
      </c>
      <c r="N319" s="124">
        <f t="shared" ca="1" si="134"/>
        <v>252253.51338066679</v>
      </c>
      <c r="O319" s="124">
        <f t="shared" ca="1" si="134"/>
        <v>185014.07355545205</v>
      </c>
      <c r="P319" s="124">
        <f t="shared" ca="1" si="134"/>
        <v>147362.02463646978</v>
      </c>
      <c r="Q319" s="124">
        <f t="shared" ca="1" si="134"/>
        <v>123893.38512816394</v>
      </c>
      <c r="R319" s="124">
        <f t="shared" ca="1" si="134"/>
        <v>99427.661519441841</v>
      </c>
      <c r="S319" s="124">
        <f t="shared" ca="1" si="134"/>
        <v>73933.72467082525</v>
      </c>
      <c r="T319" s="19"/>
    </row>
    <row r="320" spans="1:20" x14ac:dyDescent="0.2">
      <c r="B320" s="25"/>
      <c r="C320" s="46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5"/>
    </row>
  </sheetData>
  <conditionalFormatting sqref="I54">
    <cfRule type="cellIs" dxfId="8" priority="4" operator="notEqual">
      <formula>0</formula>
    </cfRule>
  </conditionalFormatting>
  <conditionalFormatting sqref="I52:S52">
    <cfRule type="cellIs" dxfId="7" priority="14" operator="greaterThan">
      <formula>$Q$76</formula>
    </cfRule>
  </conditionalFormatting>
  <conditionalFormatting sqref="I53:S53">
    <cfRule type="cellIs" dxfId="6" priority="5" operator="equal">
      <formula>1</formula>
    </cfRule>
  </conditionalFormatting>
  <conditionalFormatting sqref="I106:S109 I111:S116">
    <cfRule type="cellIs" dxfId="5" priority="13" operator="equal">
      <formula>1</formula>
    </cfRule>
  </conditionalFormatting>
  <conditionalFormatting sqref="I170:S175">
    <cfRule type="cellIs" dxfId="4" priority="11" operator="equal">
      <formula>1</formula>
    </cfRule>
  </conditionalFormatting>
  <conditionalFormatting sqref="I186:S187">
    <cfRule type="cellIs" dxfId="3" priority="7" operator="equal">
      <formula>1</formula>
    </cfRule>
  </conditionalFormatting>
  <conditionalFormatting sqref="I200:S201">
    <cfRule type="cellIs" dxfId="2" priority="9" operator="equal">
      <formula>1</formula>
    </cfRule>
  </conditionalFormatting>
  <conditionalFormatting sqref="J17:S20">
    <cfRule type="cellIs" dxfId="1" priority="3" operator="equal">
      <formula>0</formula>
    </cfRule>
  </conditionalFormatting>
  <conditionalFormatting sqref="J54:S54">
    <cfRule type="cellIs" dxfId="0" priority="1" operator="greaterThan">
      <formula>$Q$76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Debt</vt:lpstr>
      <vt:lpstr>CaseData</vt:lpstr>
      <vt:lpstr>CaseSolution</vt:lpstr>
      <vt:lpstr>Debt!Print_Area</vt:lpstr>
      <vt:lpstr>Debt!Print_Titles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2023-10-06T18:17:32Z</dcterms:created>
  <dcterms:modified xsi:type="dcterms:W3CDTF">2026-09-08T12:39:58Z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2026-08-30T13:11:32Z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2035e19b-f435-4b8e-afa1-a63f139f8bab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