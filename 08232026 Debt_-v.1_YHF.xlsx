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 defaultThemeVersion="124226"/>
  <xr:revisionPtr revIDLastSave="3030" documentId="8_{8A0CCD18-039B-4A34-88CA-FA4C1A0E0C0C}" xr6:coauthVersionLast="47" xr6:coauthVersionMax="47" xr10:uidLastSave="{7A992FC6-28CF-412C-950D-9C3E1DDDDD36}"/>
  <bookViews>
    <workbookView xWindow="28692" yWindow="-108" windowWidth="29016" windowHeight="16416" xr2:uid="{00000000-000D-0000-FFFF-FFFF00000000}"/>
  </bookViews>
  <sheets>
    <sheet name="Debt" sheetId="39" r:id="rId1"/>
    <sheet name="CaseData" sheetId="37" r:id="rId2"/>
    <sheet name="CaseSolution" sheetId="38" r:id="rId3"/>
  </sheets>
  <definedNames>
    <definedName name="company">CaseData!$B$1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eriods">CaseData!$L$8</definedName>
    <definedName name="_xlnm.Print_Titles" localSheetId="0">Debt!$1:$4</definedName>
    <definedName name="start_date">CaseData!$L$7</definedName>
    <definedName name="topic">"CFM Topic: " &amp; CaseData!$L$10</definedName>
  </definedNames>
  <calcPr calcId="191029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9" l="1" a="1"/>
  <c r="J3" i="39"/>
  <c r="J97" i="39"/>
  <c r="J87" i="39"/>
  <c r="J139" i="39"/>
  <c r="J117" i="39"/>
  <c r="J140" i="39"/>
  <c r="J98" i="39"/>
  <c r="J118" i="39"/>
  <c r="J141" i="39"/>
  <c r="J10" i="39" a="1"/>
  <c r="J11" i="39"/>
  <c r="F63" i="39"/>
  <c r="J65" i="39"/>
  <c r="F70" i="39"/>
  <c r="J71" i="39"/>
  <c r="J66" i="39"/>
  <c r="J138" i="39"/>
  <c r="J142" i="39"/>
  <c r="J34" i="39"/>
  <c r="J116" i="39"/>
  <c r="J119" i="39"/>
  <c r="K3" i="39"/>
  <c r="L3" i="39"/>
  <c r="M3" i="39"/>
  <c r="N3" i="39"/>
  <c r="O3" i="39"/>
  <c r="J123" i="39" a="1"/>
  <c r="J124" i="39"/>
  <c r="J153" i="39"/>
  <c r="J74" i="39"/>
  <c r="F18" i="39"/>
  <c r="J75" i="39" a="1"/>
  <c r="J76" i="39"/>
  <c r="J79" i="39"/>
  <c r="J151" i="39"/>
  <c r="F84" i="39"/>
  <c r="J86" i="39"/>
  <c r="F102" i="39"/>
  <c r="J103" i="39"/>
  <c r="J152" i="39"/>
  <c r="J154" i="39"/>
  <c r="J35" i="39"/>
  <c r="J23" i="39"/>
  <c r="J22" i="39"/>
  <c r="J24" i="39"/>
  <c r="F26" i="39"/>
  <c r="J27" i="39"/>
  <c r="J36" i="39"/>
  <c r="J33" i="39"/>
  <c r="J37" i="39"/>
  <c r="F39" i="39"/>
  <c r="J41" i="39"/>
  <c r="J42" i="39"/>
  <c r="J43" i="39"/>
  <c r="F53" i="39"/>
  <c r="F52" i="39"/>
  <c r="J55" i="39"/>
  <c r="J47" i="39"/>
  <c r="J48" i="39" a="1"/>
  <c r="J49" i="39"/>
  <c r="J56" i="39"/>
  <c r="J57" i="39"/>
  <c r="J150" i="39"/>
  <c r="K11" i="39"/>
  <c r="K41" i="39"/>
  <c r="K97" i="39"/>
  <c r="K87" i="39"/>
  <c r="K139" i="39"/>
  <c r="K117" i="39"/>
  <c r="K140" i="39"/>
  <c r="K98" i="39"/>
  <c r="K118" i="39"/>
  <c r="K141" i="39"/>
  <c r="J67" i="39"/>
  <c r="K65" i="39"/>
  <c r="K71" i="39"/>
  <c r="K66" i="39"/>
  <c r="K138" i="39"/>
  <c r="K142" i="39"/>
  <c r="K34" i="39"/>
  <c r="J168" i="39"/>
  <c r="J88" i="39"/>
  <c r="J170" i="39"/>
  <c r="J171" i="39"/>
  <c r="J169" i="39"/>
  <c r="J172" i="39"/>
  <c r="J16" i="39"/>
  <c r="J17" i="39"/>
  <c r="J18" i="39"/>
  <c r="K75" i="39" a="1"/>
  <c r="K74" i="39"/>
  <c r="K76" i="39"/>
  <c r="K79" i="39"/>
  <c r="K151" i="39"/>
  <c r="K86" i="39"/>
  <c r="K103" i="39"/>
  <c r="K152" i="39"/>
  <c r="K116" i="39"/>
  <c r="K119" i="39"/>
  <c r="K124" i="39"/>
  <c r="K153" i="39"/>
  <c r="K154" i="39"/>
  <c r="K35" i="39"/>
  <c r="K23" i="39"/>
  <c r="K22" i="39"/>
  <c r="K24" i="39"/>
  <c r="K27" i="39"/>
  <c r="K36" i="39"/>
  <c r="K33" i="39"/>
  <c r="K37" i="39"/>
  <c r="K42" i="39"/>
  <c r="K43" i="39"/>
  <c r="K55" i="39"/>
  <c r="K48" i="39" a="1"/>
  <c r="K47" i="39"/>
  <c r="K49" i="39"/>
  <c r="K56" i="39"/>
  <c r="K57" i="39"/>
  <c r="K150" i="39"/>
  <c r="L11" i="39"/>
  <c r="L41" i="39"/>
  <c r="L97" i="39"/>
  <c r="L87" i="39"/>
  <c r="L139" i="39"/>
  <c r="L117" i="39"/>
  <c r="L140" i="39"/>
  <c r="L98" i="39"/>
  <c r="L118" i="39"/>
  <c r="L141" i="39"/>
  <c r="K67" i="39"/>
  <c r="L65" i="39"/>
  <c r="L71" i="39"/>
  <c r="L66" i="39"/>
  <c r="L138" i="39"/>
  <c r="L142" i="39"/>
  <c r="L34" i="39"/>
  <c r="K168" i="39"/>
  <c r="K88" i="39"/>
  <c r="K170" i="39"/>
  <c r="K171" i="39"/>
  <c r="K169" i="39"/>
  <c r="K172" i="39"/>
  <c r="K16" i="39"/>
  <c r="K17" i="39"/>
  <c r="K18" i="39"/>
  <c r="L75" i="39" a="1"/>
  <c r="L74" i="39"/>
  <c r="L76" i="39"/>
  <c r="L79" i="39"/>
  <c r="L151" i="39"/>
  <c r="L86" i="39"/>
  <c r="L103" i="39"/>
  <c r="L152" i="39"/>
  <c r="L116" i="39"/>
  <c r="L119" i="39"/>
  <c r="L124" i="39"/>
  <c r="L153" i="39"/>
  <c r="L154" i="39"/>
  <c r="L35" i="39"/>
  <c r="L23" i="39"/>
  <c r="L22" i="39"/>
  <c r="L24" i="39"/>
  <c r="L27" i="39"/>
  <c r="L36" i="39"/>
  <c r="L33" i="39"/>
  <c r="L37" i="39"/>
  <c r="L42" i="39"/>
  <c r="L43" i="39"/>
  <c r="L55" i="39"/>
  <c r="L48" i="39" a="1"/>
  <c r="L47" i="39"/>
  <c r="L49" i="39"/>
  <c r="L56" i="39"/>
  <c r="L57" i="39"/>
  <c r="L150" i="39"/>
  <c r="M11" i="39"/>
  <c r="M41" i="39"/>
  <c r="M97" i="39"/>
  <c r="M87" i="39"/>
  <c r="M139" i="39"/>
  <c r="M117" i="39"/>
  <c r="M140" i="39"/>
  <c r="F95" i="39"/>
  <c r="M96" i="39"/>
  <c r="M98" i="39"/>
  <c r="M118" i="39"/>
  <c r="M141" i="39"/>
  <c r="L67" i="39"/>
  <c r="M65" i="39"/>
  <c r="M71" i="39"/>
  <c r="M66" i="39"/>
  <c r="M138" i="39"/>
  <c r="M142" i="39"/>
  <c r="M34" i="39"/>
  <c r="L168" i="39"/>
  <c r="L88" i="39"/>
  <c r="L170" i="39"/>
  <c r="L171" i="39"/>
  <c r="L169" i="39"/>
  <c r="L172" i="39"/>
  <c r="L16" i="39"/>
  <c r="L17" i="39"/>
  <c r="L18" i="39"/>
  <c r="M75" i="39" a="1"/>
  <c r="M74" i="39"/>
  <c r="M76" i="39"/>
  <c r="M79" i="39"/>
  <c r="M151" i="39"/>
  <c r="M86" i="39"/>
  <c r="M103" i="39"/>
  <c r="M152" i="39"/>
  <c r="M116" i="39"/>
  <c r="M119" i="39"/>
  <c r="M124" i="39"/>
  <c r="M153" i="39"/>
  <c r="M154" i="39"/>
  <c r="M35" i="39"/>
  <c r="M23" i="39"/>
  <c r="M22" i="39"/>
  <c r="M24" i="39"/>
  <c r="M27" i="39"/>
  <c r="M36" i="39"/>
  <c r="M33" i="39"/>
  <c r="M37" i="39"/>
  <c r="M42" i="39"/>
  <c r="M43" i="39"/>
  <c r="M55" i="39"/>
  <c r="M48" i="39" a="1"/>
  <c r="M47" i="39"/>
  <c r="M49" i="39"/>
  <c r="M56" i="39"/>
  <c r="M57" i="39"/>
  <c r="M150" i="39"/>
  <c r="N11" i="39"/>
  <c r="N41" i="39"/>
  <c r="N97" i="39"/>
  <c r="N87" i="39"/>
  <c r="N139" i="39"/>
  <c r="N117" i="39"/>
  <c r="N140" i="39"/>
  <c r="N98" i="39"/>
  <c r="N118" i="39"/>
  <c r="N141" i="39"/>
  <c r="M67" i="39"/>
  <c r="N65" i="39"/>
  <c r="N71" i="39"/>
  <c r="N66" i="39"/>
  <c r="N138" i="39"/>
  <c r="N142" i="39"/>
  <c r="N34" i="39"/>
  <c r="M168" i="39"/>
  <c r="M88" i="39"/>
  <c r="M170" i="39"/>
  <c r="M171" i="39"/>
  <c r="M169" i="39"/>
  <c r="M172" i="39"/>
  <c r="M16" i="39"/>
  <c r="M17" i="39"/>
  <c r="M18" i="39"/>
  <c r="N75" i="39" a="1"/>
  <c r="N74" i="39"/>
  <c r="N76" i="39"/>
  <c r="N79" i="39"/>
  <c r="N151" i="39"/>
  <c r="N86" i="39"/>
  <c r="N103" i="39"/>
  <c r="N152" i="39"/>
  <c r="N116" i="39"/>
  <c r="N119" i="39"/>
  <c r="N124" i="39"/>
  <c r="N153" i="39"/>
  <c r="N154" i="39"/>
  <c r="N35" i="39"/>
  <c r="N23" i="39"/>
  <c r="N22" i="39"/>
  <c r="N24" i="39"/>
  <c r="N27" i="39"/>
  <c r="N36" i="39"/>
  <c r="N33" i="39"/>
  <c r="N37" i="39"/>
  <c r="N42" i="39"/>
  <c r="N43" i="39"/>
  <c r="O11" i="39"/>
  <c r="O41" i="39"/>
  <c r="O97" i="39"/>
  <c r="O87" i="39"/>
  <c r="O139" i="39"/>
  <c r="O117" i="39"/>
  <c r="O140" i="39"/>
  <c r="O98" i="39"/>
  <c r="O118" i="39"/>
  <c r="O141" i="39"/>
  <c r="N67" i="39"/>
  <c r="O65" i="39"/>
  <c r="O71" i="39"/>
  <c r="O66" i="39"/>
  <c r="O138" i="39"/>
  <c r="O142" i="39"/>
  <c r="O34" i="39"/>
  <c r="N168" i="39"/>
  <c r="N88" i="39"/>
  <c r="N170" i="39"/>
  <c r="N171" i="39"/>
  <c r="N169" i="39"/>
  <c r="N172" i="39"/>
  <c r="N16" i="39"/>
  <c r="N17" i="39"/>
  <c r="N18" i="39"/>
  <c r="O75" i="39" a="1"/>
  <c r="O74" i="39"/>
  <c r="O76" i="39"/>
  <c r="O79" i="39"/>
  <c r="O151" i="39"/>
  <c r="O86" i="39"/>
  <c r="O103" i="39"/>
  <c r="O152" i="39"/>
  <c r="O116" i="39"/>
  <c r="O119" i="39"/>
  <c r="O124" i="39"/>
  <c r="O153" i="39"/>
  <c r="O154" i="39"/>
  <c r="O35" i="39"/>
  <c r="O23" i="39"/>
  <c r="O22" i="39"/>
  <c r="O24" i="39"/>
  <c r="O27" i="39"/>
  <c r="O36" i="39"/>
  <c r="O33" i="39"/>
  <c r="O37" i="39"/>
  <c r="O42" i="39"/>
  <c r="O43" i="39"/>
  <c r="O55" i="39"/>
  <c r="O48" i="39" a="1"/>
  <c r="O47" i="39"/>
  <c r="O49" i="39"/>
  <c r="O56" i="39"/>
  <c r="O57" i="39"/>
  <c r="O150" i="39"/>
  <c r="N55" i="39"/>
  <c r="N48" i="39" a="1"/>
  <c r="N47" i="39"/>
  <c r="N49" i="39"/>
  <c r="N56" i="39"/>
  <c r="N57" i="39"/>
  <c r="N150" i="39"/>
  <c r="J159" i="39" a="1"/>
  <c r="J160" i="39" a="1"/>
  <c r="O161" i="39"/>
  <c r="O162" i="39"/>
  <c r="O163" i="39"/>
  <c r="O179" i="39"/>
  <c r="O177" i="39"/>
  <c r="O178" i="39"/>
  <c r="O180" i="39"/>
  <c r="O191" i="39"/>
  <c r="N161" i="39"/>
  <c r="N162" i="39"/>
  <c r="N163" i="39"/>
  <c r="N179" i="39"/>
  <c r="N177" i="39"/>
  <c r="N178" i="39"/>
  <c r="N180" i="39"/>
  <c r="N191" i="39"/>
  <c r="M161" i="39"/>
  <c r="M162" i="39"/>
  <c r="M163" i="39"/>
  <c r="M179" i="39"/>
  <c r="M177" i="39"/>
  <c r="M178" i="39"/>
  <c r="M180" i="39"/>
  <c r="M191" i="39"/>
  <c r="L161" i="39"/>
  <c r="L162" i="39"/>
  <c r="L163" i="39"/>
  <c r="L179" i="39"/>
  <c r="L177" i="39"/>
  <c r="L178" i="39"/>
  <c r="L180" i="39"/>
  <c r="L191" i="39"/>
  <c r="K161" i="39"/>
  <c r="K162" i="39"/>
  <c r="K163" i="39"/>
  <c r="K179" i="39"/>
  <c r="K177" i="39"/>
  <c r="K178" i="39"/>
  <c r="K180" i="39"/>
  <c r="K191" i="39"/>
  <c r="J162" i="39"/>
  <c r="J161" i="39"/>
  <c r="J163" i="39"/>
  <c r="J179" i="39"/>
  <c r="J177" i="39"/>
  <c r="J178" i="39"/>
  <c r="J180" i="39"/>
  <c r="J191" i="39"/>
  <c r="H192" i="39" a="1"/>
  <c r="I192" i="39" a="1"/>
  <c r="F182" i="39"/>
  <c r="J183" i="39"/>
  <c r="K183" i="39"/>
  <c r="L183" i="39"/>
  <c r="M183" i="39"/>
  <c r="O183" i="39"/>
  <c r="N183" i="39"/>
  <c r="I150" i="39"/>
  <c r="H57" i="39"/>
  <c r="H150" i="39"/>
  <c r="G150" i="39"/>
  <c r="E150" i="39"/>
  <c r="H22" i="39"/>
  <c r="H153" i="39"/>
  <c r="H152" i="39"/>
  <c r="H142" i="39"/>
  <c r="H141" i="39"/>
  <c r="H140" i="39"/>
  <c r="H139" i="39"/>
  <c r="H138" i="39"/>
  <c r="J127" i="39"/>
  <c r="F129" i="39"/>
  <c r="F130" i="39"/>
  <c r="J131" i="39"/>
  <c r="K127" i="39"/>
  <c r="K131" i="39"/>
  <c r="L127" i="39"/>
  <c r="L131" i="39"/>
  <c r="M127" i="39"/>
  <c r="M131" i="39"/>
  <c r="O127" i="39"/>
  <c r="O131" i="39"/>
  <c r="N127" i="39"/>
  <c r="N131" i="39"/>
  <c r="H131" i="39"/>
  <c r="H124" i="39"/>
  <c r="J99" i="39"/>
  <c r="J106" i="39"/>
  <c r="J110" i="39"/>
  <c r="K99" i="39"/>
  <c r="K106" i="39"/>
  <c r="K110" i="39"/>
  <c r="L99" i="39"/>
  <c r="L106" i="39"/>
  <c r="L110" i="39"/>
  <c r="M99" i="39"/>
  <c r="M106" i="39"/>
  <c r="M110" i="39"/>
  <c r="O99" i="39"/>
  <c r="O106" i="39"/>
  <c r="O110" i="39"/>
  <c r="N99" i="39"/>
  <c r="N106" i="39"/>
  <c r="N110" i="39"/>
  <c r="H110" i="39"/>
  <c r="H103" i="39"/>
  <c r="H71" i="39"/>
  <c r="H99" i="39"/>
  <c r="G179" i="39"/>
  <c r="I179" i="39"/>
  <c r="E179" i="39"/>
  <c r="E178" i="39"/>
  <c r="O17" i="39"/>
  <c r="I23" i="39"/>
  <c r="G23" i="39"/>
  <c r="E23" i="39"/>
  <c r="G35" i="39"/>
  <c r="E35" i="39"/>
  <c r="G34" i="39"/>
  <c r="E34" i="39"/>
  <c r="G118" i="39"/>
  <c r="G141" i="39"/>
  <c r="E118" i="39"/>
  <c r="E141" i="39"/>
  <c r="G117" i="39"/>
  <c r="G140" i="39"/>
  <c r="E140" i="39"/>
  <c r="G139" i="39"/>
  <c r="E139" i="39"/>
  <c r="G138" i="39"/>
  <c r="E138" i="39"/>
  <c r="O67" i="39"/>
  <c r="O169" i="39"/>
  <c r="O88" i="39"/>
  <c r="O170" i="39"/>
  <c r="O171" i="39"/>
  <c r="G171" i="39"/>
  <c r="E171" i="39"/>
  <c r="G170" i="39"/>
  <c r="E170" i="39"/>
  <c r="G169" i="39"/>
  <c r="E169" i="39"/>
  <c r="G168" i="39"/>
  <c r="E168" i="39"/>
  <c r="G153" i="39"/>
  <c r="E153" i="39"/>
  <c r="G152" i="39"/>
  <c r="E152" i="39"/>
  <c r="G151" i="39"/>
  <c r="E151" i="39"/>
  <c r="G127" i="39"/>
  <c r="E127" i="39"/>
  <c r="O96" i="39"/>
  <c r="N96" i="39"/>
  <c r="L96" i="39"/>
  <c r="J96" i="39"/>
  <c r="K96" i="39"/>
  <c r="F109" i="39"/>
  <c r="F108" i="39"/>
  <c r="G106" i="39"/>
  <c r="E106" i="39"/>
  <c r="F96" i="39"/>
  <c r="F8" i="39"/>
  <c r="G36" i="39"/>
  <c r="E36" i="39"/>
  <c r="F17" i="39"/>
  <c r="F16" i="39"/>
  <c r="A2" i="39" a="1"/>
  <c r="A1" i="39"/>
  <c r="L9" i="37"/>
  <c r="I202" i="38"/>
  <c r="H202" i="38"/>
  <c r="G202" i="38"/>
  <c r="F202" i="38"/>
  <c r="E202" i="38"/>
  <c r="D202" i="38"/>
  <c r="I201" i="38"/>
  <c r="H201" i="38"/>
  <c r="G201" i="38"/>
  <c r="F201" i="38"/>
  <c r="E201" i="38"/>
  <c r="D201" i="38"/>
  <c r="I200" i="38"/>
  <c r="H200" i="38"/>
  <c r="G200" i="38"/>
  <c r="F200" i="38"/>
  <c r="E200" i="38"/>
  <c r="D200" i="38"/>
  <c r="I199" i="38"/>
  <c r="H199" i="38"/>
  <c r="G199" i="38"/>
  <c r="F199" i="38"/>
  <c r="E199" i="38"/>
  <c r="D199" i="38"/>
  <c r="I198" i="38"/>
  <c r="H198" i="38"/>
  <c r="G198" i="38"/>
  <c r="F198" i="38"/>
  <c r="E198" i="38"/>
  <c r="D198" i="38"/>
  <c r="I197" i="38"/>
  <c r="H197" i="38"/>
  <c r="G197" i="38"/>
  <c r="F197" i="38"/>
  <c r="E197" i="38"/>
  <c r="D197" i="38"/>
  <c r="R31" i="38"/>
  <c r="D57" i="38"/>
  <c r="E57" i="38"/>
  <c r="F57" i="38"/>
  <c r="G57" i="38"/>
  <c r="H57" i="38"/>
  <c r="I57" i="38"/>
  <c r="I65" i="38"/>
  <c r="I176" i="38"/>
  <c r="C189" i="38"/>
  <c r="C202" i="38"/>
  <c r="H65" i="38"/>
  <c r="H176" i="38"/>
  <c r="C188" i="38"/>
  <c r="C201" i="38"/>
  <c r="G65" i="38"/>
  <c r="G176" i="38"/>
  <c r="C187" i="38"/>
  <c r="C200" i="38"/>
  <c r="F65" i="38"/>
  <c r="F176" i="38"/>
  <c r="C186" i="38"/>
  <c r="C199" i="38"/>
  <c r="E65" i="38"/>
  <c r="E176" i="38"/>
  <c r="C185" i="38"/>
  <c r="C198" i="38"/>
  <c r="D65" i="38"/>
  <c r="D176" i="38"/>
  <c r="C184" i="38"/>
  <c r="C197" i="38"/>
  <c r="H22" i="38"/>
  <c r="H19" i="38"/>
  <c r="H18" i="38"/>
  <c r="H17" i="38"/>
  <c r="H14" i="38"/>
  <c r="H13" i="38"/>
  <c r="H12" i="38"/>
  <c r="H11" i="38"/>
  <c r="F14" i="38"/>
  <c r="F13" i="38"/>
  <c r="F12" i="38"/>
  <c r="F11" i="38"/>
  <c r="D25" i="38"/>
  <c r="D23" i="38"/>
  <c r="D22" i="38"/>
  <c r="D20" i="38"/>
  <c r="D18" i="38"/>
  <c r="D17" i="38"/>
  <c r="D13" i="38"/>
  <c r="D10" i="38"/>
  <c r="D8" i="38"/>
  <c r="D7" i="38"/>
  <c r="B163" i="38"/>
  <c r="B162" i="38"/>
  <c r="C137" i="38"/>
  <c r="D125" i="38"/>
  <c r="I115" i="38"/>
  <c r="H115" i="38"/>
  <c r="G115" i="38"/>
  <c r="F115" i="38"/>
  <c r="E115" i="38"/>
  <c r="D115" i="38"/>
  <c r="I98" i="38"/>
  <c r="I141" i="38"/>
  <c r="H98" i="38"/>
  <c r="H141" i="38"/>
  <c r="G98" i="38"/>
  <c r="G141" i="38"/>
  <c r="F98" i="38"/>
  <c r="F141" i="38"/>
  <c r="E98" i="38"/>
  <c r="E141" i="38"/>
  <c r="D98" i="38"/>
  <c r="D141" i="38"/>
  <c r="C65" i="38"/>
  <c r="C122" i="38"/>
  <c r="I61" i="38"/>
  <c r="I81" i="38"/>
  <c r="H61" i="38"/>
  <c r="H81" i="38"/>
  <c r="G61" i="38"/>
  <c r="G81" i="38"/>
  <c r="F61" i="38"/>
  <c r="F81" i="38"/>
  <c r="E61" i="38"/>
  <c r="E81" i="38"/>
  <c r="D61" i="38"/>
  <c r="D81" i="38"/>
  <c r="D101" i="38"/>
  <c r="I60" i="38"/>
  <c r="I70" i="38"/>
  <c r="H60" i="38"/>
  <c r="H70" i="38"/>
  <c r="G60" i="38"/>
  <c r="G70" i="38"/>
  <c r="F60" i="38"/>
  <c r="F70" i="38"/>
  <c r="F90" i="38"/>
  <c r="E60" i="38"/>
  <c r="E70" i="38"/>
  <c r="D60" i="38"/>
  <c r="D70" i="38"/>
  <c r="I59" i="38"/>
  <c r="I163" i="38"/>
  <c r="H59" i="38"/>
  <c r="H163" i="38"/>
  <c r="G59" i="38"/>
  <c r="G163" i="38"/>
  <c r="F59" i="38"/>
  <c r="F163" i="38"/>
  <c r="E59" i="38"/>
  <c r="E163" i="38"/>
  <c r="D59" i="38"/>
  <c r="D163" i="38"/>
  <c r="I58" i="38"/>
  <c r="I162" i="38"/>
  <c r="H58" i="38"/>
  <c r="H162" i="38"/>
  <c r="G58" i="38"/>
  <c r="G162" i="38"/>
  <c r="F58" i="38"/>
  <c r="F162" i="38"/>
  <c r="E58" i="38"/>
  <c r="E162" i="38"/>
  <c r="D58" i="38"/>
  <c r="D162" i="38"/>
  <c r="C58" i="38"/>
  <c r="C57" i="38"/>
  <c r="R50" i="38"/>
  <c r="Q50" i="38"/>
  <c r="P50" i="38"/>
  <c r="O50" i="38"/>
  <c r="N50" i="38"/>
  <c r="M50" i="38"/>
  <c r="L50" i="38"/>
  <c r="K50" i="38"/>
  <c r="J50" i="38"/>
  <c r="I50" i="38"/>
  <c r="H50" i="38"/>
  <c r="G50" i="38"/>
  <c r="F50" i="38"/>
  <c r="E50" i="38"/>
  <c r="D50" i="38"/>
  <c r="R49" i="38"/>
  <c r="Q49" i="38"/>
  <c r="P49" i="38"/>
  <c r="O49" i="38"/>
  <c r="N49" i="38"/>
  <c r="M49" i="38"/>
  <c r="L49" i="38"/>
  <c r="K49" i="38"/>
  <c r="J49" i="38"/>
  <c r="I49" i="38"/>
  <c r="H49" i="38"/>
  <c r="G49" i="38"/>
  <c r="F49" i="38"/>
  <c r="E49" i="38"/>
  <c r="D49" i="38"/>
  <c r="C49" i="38"/>
  <c r="R47" i="38"/>
  <c r="Q47" i="38"/>
  <c r="P47" i="38"/>
  <c r="O47" i="38"/>
  <c r="N47" i="38"/>
  <c r="M47" i="38"/>
  <c r="L47" i="38"/>
  <c r="K47" i="38"/>
  <c r="J47" i="38"/>
  <c r="I47" i="38"/>
  <c r="H47" i="38"/>
  <c r="G47" i="38"/>
  <c r="F47" i="38"/>
  <c r="E47" i="38"/>
  <c r="D47" i="38"/>
  <c r="C47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E43" i="38"/>
  <c r="D43" i="38"/>
  <c r="R42" i="38"/>
  <c r="C110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C42" i="38"/>
  <c r="B41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E39" i="38"/>
  <c r="D39" i="38"/>
  <c r="R38" i="38"/>
  <c r="C99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E38" i="38"/>
  <c r="D38" i="38"/>
  <c r="C38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D34" i="38"/>
  <c r="R33" i="38"/>
  <c r="Q33" i="38"/>
  <c r="P33" i="38"/>
  <c r="O33" i="38"/>
  <c r="N33" i="38"/>
  <c r="M33" i="38"/>
  <c r="L33" i="38"/>
  <c r="K33" i="38"/>
  <c r="J33" i="38"/>
  <c r="I33" i="38"/>
  <c r="H33" i="38"/>
  <c r="G33" i="38"/>
  <c r="F33" i="38"/>
  <c r="E33" i="38"/>
  <c r="D33" i="38"/>
  <c r="R32" i="38"/>
  <c r="Q32" i="38"/>
  <c r="Q46" i="38"/>
  <c r="P32" i="38"/>
  <c r="O32" i="38"/>
  <c r="N32" i="38"/>
  <c r="M32" i="38"/>
  <c r="L32" i="38"/>
  <c r="K32" i="38"/>
  <c r="J32" i="38"/>
  <c r="I32" i="38"/>
  <c r="I46" i="38"/>
  <c r="H32" i="38"/>
  <c r="G32" i="38"/>
  <c r="F32" i="38"/>
  <c r="E32" i="38"/>
  <c r="D32" i="38"/>
  <c r="C32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E31" i="38"/>
  <c r="D31" i="38"/>
  <c r="B31" i="38"/>
  <c r="L26" i="38"/>
  <c r="L27" i="38"/>
  <c r="B4" i="38"/>
  <c r="E51" i="38"/>
  <c r="M51" i="38"/>
  <c r="K46" i="38"/>
  <c r="C46" i="38"/>
  <c r="C48" i="38"/>
  <c r="K51" i="38"/>
  <c r="J51" i="38"/>
  <c r="R51" i="38"/>
  <c r="H46" i="38"/>
  <c r="H48" i="38"/>
  <c r="P46" i="38"/>
  <c r="I48" i="38"/>
  <c r="Q48" i="38"/>
  <c r="G51" i="38"/>
  <c r="O51" i="38"/>
  <c r="M46" i="38"/>
  <c r="M48" i="38"/>
  <c r="K48" i="38"/>
  <c r="E46" i="38"/>
  <c r="E48" i="38"/>
  <c r="N52" i="38"/>
  <c r="H51" i="38"/>
  <c r="F46" i="38"/>
  <c r="F48" i="38"/>
  <c r="N46" i="38"/>
  <c r="N48" i="38"/>
  <c r="I51" i="38"/>
  <c r="Q51" i="38"/>
  <c r="G46" i="38"/>
  <c r="G48" i="38"/>
  <c r="O46" i="38"/>
  <c r="O48" i="38"/>
  <c r="P51" i="38"/>
  <c r="P48" i="38"/>
  <c r="F35" i="38"/>
  <c r="J35" i="38"/>
  <c r="D52" i="38"/>
  <c r="L52" i="38"/>
  <c r="F24" i="38"/>
  <c r="R35" i="38"/>
  <c r="D46" i="38"/>
  <c r="D48" i="38"/>
  <c r="L46" i="38"/>
  <c r="L48" i="38"/>
  <c r="E52" i="38"/>
  <c r="M52" i="38"/>
  <c r="F51" i="38"/>
  <c r="N51" i="38"/>
  <c r="K35" i="38"/>
  <c r="C69" i="38"/>
  <c r="N35" i="38"/>
  <c r="C107" i="38"/>
  <c r="C133" i="38"/>
  <c r="G35" i="38"/>
  <c r="O35" i="38"/>
  <c r="F52" i="38"/>
  <c r="C147" i="38"/>
  <c r="J52" i="38"/>
  <c r="R52" i="38"/>
  <c r="G52" i="38"/>
  <c r="O52" i="38"/>
  <c r="H35" i="38"/>
  <c r="H52" i="38"/>
  <c r="Q35" i="38"/>
  <c r="E101" i="38"/>
  <c r="P35" i="38"/>
  <c r="P52" i="38"/>
  <c r="I35" i="38"/>
  <c r="F101" i="38"/>
  <c r="H101" i="38"/>
  <c r="J46" i="38"/>
  <c r="J48" i="38"/>
  <c r="R46" i="38"/>
  <c r="R48" i="38"/>
  <c r="K52" i="38"/>
  <c r="E90" i="38"/>
  <c r="G101" i="38"/>
  <c r="D51" i="38"/>
  <c r="L51" i="38"/>
  <c r="G90" i="38"/>
  <c r="I101" i="38"/>
  <c r="D108" i="38"/>
  <c r="C136" i="38"/>
  <c r="D117" i="38"/>
  <c r="H90" i="38"/>
  <c r="D90" i="38"/>
  <c r="C135" i="38"/>
  <c r="D97" i="38"/>
  <c r="D99" i="38"/>
  <c r="I90" i="38"/>
  <c r="D35" i="38"/>
  <c r="L35" i="38"/>
  <c r="C76" i="38"/>
  <c r="E35" i="38"/>
  <c r="M35" i="38"/>
  <c r="I52" i="38"/>
  <c r="Q52" i="38"/>
  <c r="C140" i="38"/>
  <c r="C79" i="38"/>
  <c r="C154" i="38"/>
  <c r="C96" i="38"/>
  <c r="D122" i="38"/>
  <c r="D96" i="38"/>
  <c r="D154" i="38"/>
  <c r="D69" i="38"/>
  <c r="D161" i="38"/>
  <c r="D140" i="38"/>
  <c r="D76" i="38"/>
  <c r="D133" i="38"/>
  <c r="D147" i="38"/>
  <c r="D107" i="38"/>
  <c r="D135" i="38"/>
  <c r="E97" i="38"/>
  <c r="E99" i="38"/>
  <c r="D172" i="38"/>
  <c r="D150" i="38"/>
  <c r="D86" i="38"/>
  <c r="C134" i="38"/>
  <c r="C138" i="38"/>
  <c r="C67" i="38"/>
  <c r="D82" i="38"/>
  <c r="D77" i="38"/>
  <c r="D102" i="38"/>
  <c r="D103" i="38"/>
  <c r="D105" i="38"/>
  <c r="D149" i="38"/>
  <c r="D83" i="38"/>
  <c r="D85" i="38"/>
  <c r="D87" i="38"/>
  <c r="D148" i="38"/>
  <c r="E154" i="38"/>
  <c r="E76" i="38"/>
  <c r="E161" i="38"/>
  <c r="E140" i="38"/>
  <c r="E69" i="38"/>
  <c r="E122" i="38"/>
  <c r="E133" i="38"/>
  <c r="E147" i="38"/>
  <c r="E107" i="38"/>
  <c r="E96" i="38"/>
  <c r="D109" i="38"/>
  <c r="D112" i="38"/>
  <c r="F97" i="38"/>
  <c r="F99" i="38"/>
  <c r="E135" i="38"/>
  <c r="E112" i="38"/>
  <c r="D142" i="38"/>
  <c r="D113" i="38"/>
  <c r="D126" i="38"/>
  <c r="D110" i="38"/>
  <c r="F135" i="38"/>
  <c r="G97" i="38"/>
  <c r="G99" i="38"/>
  <c r="F161" i="38"/>
  <c r="F140" i="38"/>
  <c r="F69" i="38"/>
  <c r="F76" i="38"/>
  <c r="F133" i="38"/>
  <c r="F147" i="38"/>
  <c r="F107" i="38"/>
  <c r="F122" i="38"/>
  <c r="F96" i="38"/>
  <c r="F154" i="38"/>
  <c r="D143" i="38"/>
  <c r="D129" i="38"/>
  <c r="D131" i="38"/>
  <c r="D119" i="38"/>
  <c r="D155" i="38"/>
  <c r="D170" i="38"/>
  <c r="D171" i="38"/>
  <c r="D156" i="38"/>
  <c r="D120" i="38"/>
  <c r="D157" i="38"/>
  <c r="D159" i="38"/>
  <c r="D92" i="38"/>
  <c r="G135" i="38"/>
  <c r="H97" i="38"/>
  <c r="H99" i="38"/>
  <c r="F112" i="38"/>
  <c r="D173" i="38"/>
  <c r="D174" i="38"/>
  <c r="D164" i="38"/>
  <c r="D151" i="38"/>
  <c r="D152" i="38"/>
  <c r="D71" i="38"/>
  <c r="D72" i="38"/>
  <c r="D74" i="38"/>
  <c r="D93" i="38"/>
  <c r="D136" i="38"/>
  <c r="E117" i="38"/>
  <c r="E108" i="38"/>
  <c r="G161" i="38"/>
  <c r="G140" i="38"/>
  <c r="G69" i="38"/>
  <c r="G76" i="38"/>
  <c r="G133" i="38"/>
  <c r="G147" i="38"/>
  <c r="G107" i="38"/>
  <c r="G122" i="38"/>
  <c r="G96" i="38"/>
  <c r="G154" i="38"/>
  <c r="D144" i="38"/>
  <c r="D145" i="38"/>
  <c r="D91" i="38"/>
  <c r="D127" i="38"/>
  <c r="E119" i="38"/>
  <c r="E120" i="38"/>
  <c r="E157" i="38"/>
  <c r="J19" i="38" a="1"/>
  <c r="J23" i="38"/>
  <c r="D94" i="38"/>
  <c r="D78" i="38"/>
  <c r="D79" i="38"/>
  <c r="D134" i="38"/>
  <c r="D165" i="38"/>
  <c r="D183" i="38"/>
  <c r="D196" i="38"/>
  <c r="D167" i="38"/>
  <c r="D137" i="38"/>
  <c r="D123" i="38"/>
  <c r="E125" i="38"/>
  <c r="F119" i="38"/>
  <c r="F120" i="38"/>
  <c r="F157" i="38"/>
  <c r="E109" i="38"/>
  <c r="E110" i="38"/>
  <c r="H135" i="38"/>
  <c r="I97" i="38"/>
  <c r="I99" i="38"/>
  <c r="I135" i="38"/>
  <c r="H76" i="38"/>
  <c r="H140" i="38"/>
  <c r="H133" i="38"/>
  <c r="H147" i="38"/>
  <c r="H107" i="38"/>
  <c r="H122" i="38"/>
  <c r="H96" i="38"/>
  <c r="H154" i="38"/>
  <c r="H161" i="38"/>
  <c r="H69" i="38"/>
  <c r="G112" i="38"/>
  <c r="G109" i="38"/>
  <c r="E172" i="38"/>
  <c r="E150" i="38"/>
  <c r="I133" i="38"/>
  <c r="I147" i="38"/>
  <c r="I107" i="38"/>
  <c r="I122" i="38"/>
  <c r="I96" i="38"/>
  <c r="I154" i="38"/>
  <c r="I161" i="38"/>
  <c r="I140" i="38"/>
  <c r="I69" i="38"/>
  <c r="I76" i="38"/>
  <c r="D138" i="38"/>
  <c r="D67" i="38"/>
  <c r="E82" i="38"/>
  <c r="E83" i="38"/>
  <c r="E85" i="38"/>
  <c r="J19" i="38"/>
  <c r="J20" i="38"/>
  <c r="J24" i="38"/>
  <c r="J22" i="38"/>
  <c r="J21" i="38"/>
  <c r="E129" i="38"/>
  <c r="E131" i="38"/>
  <c r="E173" i="38"/>
  <c r="E86" i="38"/>
  <c r="E77" i="38"/>
  <c r="H112" i="38"/>
  <c r="E142" i="38"/>
  <c r="E113" i="38"/>
  <c r="E126" i="38"/>
  <c r="E144" i="38"/>
  <c r="E143" i="38"/>
  <c r="G142" i="38"/>
  <c r="G113" i="38"/>
  <c r="G126" i="38"/>
  <c r="G144" i="38"/>
  <c r="F117" i="38"/>
  <c r="F108" i="38"/>
  <c r="E136" i="38"/>
  <c r="G119" i="38"/>
  <c r="G120" i="38"/>
  <c r="G157" i="38"/>
  <c r="G143" i="38"/>
  <c r="I112" i="38"/>
  <c r="I109" i="38"/>
  <c r="E102" i="38"/>
  <c r="E103" i="38"/>
  <c r="E105" i="38"/>
  <c r="E149" i="38"/>
  <c r="E171" i="38"/>
  <c r="F129" i="38"/>
  <c r="G129" i="38"/>
  <c r="H129" i="38"/>
  <c r="I129" i="38"/>
  <c r="E87" i="38"/>
  <c r="E148" i="38"/>
  <c r="E170" i="38"/>
  <c r="E151" i="38"/>
  <c r="F109" i="38"/>
  <c r="H119" i="38"/>
  <c r="H120" i="38"/>
  <c r="H157" i="38"/>
  <c r="I142" i="38"/>
  <c r="I113" i="38"/>
  <c r="I126" i="38"/>
  <c r="I144" i="38"/>
  <c r="F150" i="38"/>
  <c r="F172" i="38"/>
  <c r="I119" i="38"/>
  <c r="I143" i="38"/>
  <c r="G145" i="38"/>
  <c r="G91" i="38"/>
  <c r="E127" i="38"/>
  <c r="E145" i="38"/>
  <c r="E91" i="38"/>
  <c r="E155" i="38"/>
  <c r="E156" i="38"/>
  <c r="E152" i="38"/>
  <c r="E71" i="38"/>
  <c r="E72" i="38"/>
  <c r="E74" i="38"/>
  <c r="E93" i="38"/>
  <c r="F143" i="38"/>
  <c r="F113" i="38"/>
  <c r="F126" i="38"/>
  <c r="F144" i="38"/>
  <c r="F142" i="38"/>
  <c r="I120" i="38"/>
  <c r="I157" i="38"/>
  <c r="F110" i="38"/>
  <c r="E174" i="38"/>
  <c r="E164" i="38"/>
  <c r="E167" i="38"/>
  <c r="I145" i="38"/>
  <c r="I91" i="38"/>
  <c r="E137" i="38"/>
  <c r="E123" i="38"/>
  <c r="F131" i="38"/>
  <c r="F125" i="38"/>
  <c r="E159" i="38"/>
  <c r="E92" i="38"/>
  <c r="F127" i="38"/>
  <c r="G125" i="38"/>
  <c r="G127" i="38"/>
  <c r="E94" i="38"/>
  <c r="E78" i="38"/>
  <c r="E79" i="38"/>
  <c r="F77" i="38"/>
  <c r="G117" i="38"/>
  <c r="G108" i="38"/>
  <c r="G110" i="38"/>
  <c r="F136" i="38"/>
  <c r="F145" i="38"/>
  <c r="F91" i="38"/>
  <c r="E165" i="38"/>
  <c r="E183" i="38"/>
  <c r="E196" i="38"/>
  <c r="F173" i="38"/>
  <c r="F151" i="38"/>
  <c r="G131" i="38"/>
  <c r="F137" i="38"/>
  <c r="F123" i="38"/>
  <c r="E134" i="38"/>
  <c r="E138" i="38"/>
  <c r="E67" i="38"/>
  <c r="F82" i="38"/>
  <c r="F102" i="38"/>
  <c r="F103" i="38"/>
  <c r="F105" i="38"/>
  <c r="F149" i="38"/>
  <c r="F86" i="38"/>
  <c r="G136" i="38"/>
  <c r="H117" i="38"/>
  <c r="H108" i="38"/>
  <c r="G150" i="38"/>
  <c r="G172" i="38"/>
  <c r="G173" i="38"/>
  <c r="G151" i="38"/>
  <c r="H131" i="38"/>
  <c r="H125" i="38"/>
  <c r="G123" i="38"/>
  <c r="G137" i="38"/>
  <c r="F83" i="38"/>
  <c r="F85" i="38"/>
  <c r="F87" i="38"/>
  <c r="F148" i="38"/>
  <c r="F170" i="38"/>
  <c r="H109" i="38"/>
  <c r="H150" i="38"/>
  <c r="H172" i="38"/>
  <c r="H151" i="38"/>
  <c r="H173" i="38"/>
  <c r="F156" i="38"/>
  <c r="F171" i="38"/>
  <c r="F152" i="38"/>
  <c r="F71" i="38"/>
  <c r="F72" i="38"/>
  <c r="F74" i="38"/>
  <c r="F93" i="38"/>
  <c r="F155" i="38"/>
  <c r="F159" i="38"/>
  <c r="F92" i="38"/>
  <c r="H113" i="38"/>
  <c r="H126" i="38"/>
  <c r="H143" i="38"/>
  <c r="H142" i="38"/>
  <c r="H110" i="38"/>
  <c r="F174" i="38"/>
  <c r="F164" i="38"/>
  <c r="F94" i="38"/>
  <c r="F78" i="38"/>
  <c r="F79" i="38"/>
  <c r="F134" i="38"/>
  <c r="F138" i="38"/>
  <c r="F67" i="38"/>
  <c r="G82" i="38"/>
  <c r="I108" i="38"/>
  <c r="I110" i="38"/>
  <c r="I136" i="38"/>
  <c r="I117" i="38"/>
  <c r="H136" i="38"/>
  <c r="H144" i="38"/>
  <c r="H145" i="38"/>
  <c r="H91" i="38"/>
  <c r="H127" i="38"/>
  <c r="F167" i="38"/>
  <c r="F165" i="38"/>
  <c r="F183" i="38"/>
  <c r="F196" i="38"/>
  <c r="G86" i="38"/>
  <c r="G77" i="38"/>
  <c r="I150" i="38"/>
  <c r="I172" i="38"/>
  <c r="I125" i="38"/>
  <c r="I127" i="38"/>
  <c r="H137" i="38"/>
  <c r="I131" i="38"/>
  <c r="H123" i="38"/>
  <c r="G102" i="38"/>
  <c r="G103" i="38"/>
  <c r="G105" i="38"/>
  <c r="G149" i="38"/>
  <c r="G83" i="38"/>
  <c r="G85" i="38"/>
  <c r="G87" i="38"/>
  <c r="G148" i="38"/>
  <c r="G155" i="38"/>
  <c r="I137" i="38"/>
  <c r="I123" i="38"/>
  <c r="I151" i="38"/>
  <c r="I173" i="38"/>
  <c r="G156" i="38"/>
  <c r="G171" i="38"/>
  <c r="G170" i="38"/>
  <c r="G174" i="38"/>
  <c r="G164" i="38"/>
  <c r="G165" i="38"/>
  <c r="G183" i="38"/>
  <c r="G196" i="38"/>
  <c r="G152" i="38"/>
  <c r="G71" i="38"/>
  <c r="G72" i="38"/>
  <c r="G74" i="38"/>
  <c r="G93" i="38"/>
  <c r="G159" i="38"/>
  <c r="G92" i="38"/>
  <c r="G94" i="38"/>
  <c r="G78" i="38"/>
  <c r="G79" i="38"/>
  <c r="G134" i="38"/>
  <c r="G138" i="38"/>
  <c r="G67" i="38"/>
  <c r="H82" i="38"/>
  <c r="G167" i="38"/>
  <c r="H86" i="38"/>
  <c r="H77" i="38"/>
  <c r="H102" i="38"/>
  <c r="H103" i="38"/>
  <c r="H105" i="38"/>
  <c r="H149" i="38"/>
  <c r="H83" i="38"/>
  <c r="H85" i="38"/>
  <c r="H87" i="38"/>
  <c r="H148" i="38"/>
  <c r="H155" i="38"/>
  <c r="H152" i="38"/>
  <c r="H71" i="38"/>
  <c r="H72" i="38"/>
  <c r="H74" i="38"/>
  <c r="H93" i="38"/>
  <c r="H170" i="38"/>
  <c r="H156" i="38"/>
  <c r="H171" i="38"/>
  <c r="H174" i="38"/>
  <c r="H164" i="38"/>
  <c r="H159" i="38"/>
  <c r="H92" i="38"/>
  <c r="H94" i="38"/>
  <c r="H78" i="38"/>
  <c r="H79" i="38"/>
  <c r="I77" i="38"/>
  <c r="H134" i="38"/>
  <c r="H138" i="38"/>
  <c r="H67" i="38"/>
  <c r="I82" i="38"/>
  <c r="I86" i="38"/>
  <c r="H165" i="38"/>
  <c r="H183" i="38"/>
  <c r="H196" i="38"/>
  <c r="H167" i="38"/>
  <c r="I102" i="38"/>
  <c r="I103" i="38"/>
  <c r="I105" i="38"/>
  <c r="I149" i="38"/>
  <c r="I83" i="38"/>
  <c r="I85" i="38"/>
  <c r="I87" i="38"/>
  <c r="I148" i="38"/>
  <c r="I152" i="38"/>
  <c r="I71" i="38"/>
  <c r="I72" i="38"/>
  <c r="I74" i="38"/>
  <c r="I93" i="38"/>
  <c r="I155" i="38"/>
  <c r="I170" i="38"/>
  <c r="I156" i="38"/>
  <c r="I171" i="38"/>
  <c r="I174" i="38"/>
  <c r="I164" i="38"/>
  <c r="I167" i="38"/>
  <c r="I159" i="38"/>
  <c r="I92" i="38"/>
  <c r="I94" i="38"/>
  <c r="I78" i="38"/>
  <c r="I79" i="38"/>
  <c r="I134" i="38"/>
  <c r="I138" i="38"/>
  <c r="I67" i="38"/>
  <c r="I165" i="38"/>
  <c r="I183" i="38"/>
  <c r="I196" i="38"/>
  <c r="O168" i="39"/>
  <c r="H56" i="39"/>
  <c r="H55" i="39"/>
  <c r="H23" i="39"/>
  <c r="H154" i="39"/>
  <c r="H151" i="39"/>
  <c r="H27" i="39"/>
  <c r="H24" i="39"/>
  <c r="H79" i="39"/>
  <c r="O172" i="39"/>
  <c r="O16" i="39"/>
  <c r="O18" i="3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<sst xmlns="http://schemas.openxmlformats.org/spreadsheetml/2006/main" count="404" uniqueCount="195">
  <si>
    <t>Interest Expense</t>
  </si>
  <si>
    <t>YHF Ltd.</t>
  </si>
  <si>
    <t>(in thousands of $)</t>
  </si>
  <si>
    <t>Existing Debt as at April 30, 2020</t>
  </si>
  <si>
    <t>Revolving Credit Facility:</t>
  </si>
  <si>
    <t>Max. Amount</t>
  </si>
  <si>
    <t>Annual Rates on Drawn Funds (Paid Monthly)</t>
  </si>
  <si>
    <t>Balance Outstanding</t>
  </si>
  <si>
    <t xml:space="preserve"> (spread based on previous month's ratio)</t>
  </si>
  <si>
    <t>Total Debt /</t>
  </si>
  <si>
    <t>Spread to</t>
  </si>
  <si>
    <t>Annual Commitment Fee (on Undrawn Portion)</t>
  </si>
  <si>
    <t>EBITDA &gt;=</t>
  </si>
  <si>
    <t>LIBOR</t>
  </si>
  <si>
    <t>(payable monthly)</t>
  </si>
  <si>
    <t>Interest Coverage Ratio</t>
  </si>
  <si>
    <t>Senior Secured Term Loan:</t>
  </si>
  <si>
    <t>Subordinated Notes:</t>
  </si>
  <si>
    <t>Face Amount</t>
  </si>
  <si>
    <t>Original Amount</t>
  </si>
  <si>
    <t>Amortization</t>
  </si>
  <si>
    <t>Annual Coupon</t>
  </si>
  <si>
    <t>Monthy Amortization</t>
  </si>
  <si>
    <t>Payable semi-annually on:</t>
  </si>
  <si>
    <t>Annual Interest Rate</t>
  </si>
  <si>
    <t>Same</t>
  </si>
  <si>
    <t>Final Maturity</t>
  </si>
  <si>
    <t>Oct. 31, 2020</t>
  </si>
  <si>
    <t>as revolver</t>
  </si>
  <si>
    <t>Early Call Prices:</t>
  </si>
  <si>
    <t>Before 7/31/20</t>
  </si>
  <si>
    <t>Jun. 30, 2025</t>
  </si>
  <si>
    <t>Before 10/31/20</t>
  </si>
  <si>
    <t>Historical Debt Details</t>
  </si>
  <si>
    <t>Ending Balance</t>
  </si>
  <si>
    <t>Drawn Interest</t>
  </si>
  <si>
    <t>Undrawn Interest</t>
  </si>
  <si>
    <t>Interest</t>
  </si>
  <si>
    <t>Total Debt</t>
  </si>
  <si>
    <t>TTM EBITDA</t>
  </si>
  <si>
    <t>Total Debt / EBITDA</t>
  </si>
  <si>
    <t>Spread</t>
  </si>
  <si>
    <t>Rate</t>
  </si>
  <si>
    <t>Forecasted Data</t>
  </si>
  <si>
    <t>TTM Capex</t>
  </si>
  <si>
    <t>Free Cash Flow Before Debt Service &amp; Taxes</t>
  </si>
  <si>
    <t>Taxes</t>
  </si>
  <si>
    <t>Applicable Rate:</t>
  </si>
  <si>
    <t>New Senior Notes:</t>
  </si>
  <si>
    <t>Date Issued</t>
  </si>
  <si>
    <t>Annual Coupons:</t>
  </si>
  <si>
    <t>Call Prices:</t>
  </si>
  <si>
    <t>Total Reveolver Interest</t>
  </si>
  <si>
    <t>Total Interest</t>
  </si>
  <si>
    <t>FCF Before Debt Service &amp; Taxes</t>
  </si>
  <si>
    <t>New Calculations</t>
  </si>
  <si>
    <t>Less: Interest Expense (Accrued)</t>
  </si>
  <si>
    <t>Taxable Income</t>
  </si>
  <si>
    <t>Cash Taxes</t>
  </si>
  <si>
    <t>Revolver</t>
  </si>
  <si>
    <t>Beginning Balance</t>
  </si>
  <si>
    <t>Additions / Repayments</t>
  </si>
  <si>
    <t>Effective Interest Rate (Annual)</t>
  </si>
  <si>
    <t>Drawn Interest Expense</t>
  </si>
  <si>
    <t>Standby Fee</t>
  </si>
  <si>
    <t>Total Revolver Interest</t>
  </si>
  <si>
    <t>FCF Available for (Needed From) Revolver:</t>
  </si>
  <si>
    <t>Principal Additions / (Repayments)</t>
  </si>
  <si>
    <t>Less: Cash Interest</t>
  </si>
  <si>
    <t>Less: Taxes</t>
  </si>
  <si>
    <t>FCF Available for (Needed From) Revolver</t>
  </si>
  <si>
    <t>Senior Term Loan</t>
  </si>
  <si>
    <t>Existing Subordinated Notes</t>
  </si>
  <si>
    <t>Call Price</t>
  </si>
  <si>
    <t>Cash Needed to Refinance</t>
  </si>
  <si>
    <t>Cash Interest Payment?</t>
  </si>
  <si>
    <t>Cash Interest</t>
  </si>
  <si>
    <t>New Senior Notes</t>
  </si>
  <si>
    <t>Outstanding?</t>
  </si>
  <si>
    <t>Total Debt - End of Period</t>
  </si>
  <si>
    <t>Total Principal Additions / (Repayments)</t>
  </si>
  <si>
    <t>Call Premium on Subordinated Notes</t>
  </si>
  <si>
    <t>Total Interest Expense</t>
  </si>
  <si>
    <t>Total Interest Expense (Accrued)</t>
  </si>
  <si>
    <t>Cash Interest Expense</t>
  </si>
  <si>
    <t>TTM Interest Expense</t>
  </si>
  <si>
    <t>EBITDA Cushion</t>
  </si>
  <si>
    <t>TTM Interest Expense:</t>
  </si>
  <si>
    <t>Total TTM Interest</t>
  </si>
  <si>
    <t>Solutions Summary</t>
  </si>
  <si>
    <t>Question d:</t>
  </si>
  <si>
    <t>Month of</t>
  </si>
  <si>
    <t>Refinancing</t>
  </si>
  <si>
    <t>See model above</t>
  </si>
  <si>
    <t>Questions a - c:</t>
  </si>
  <si>
    <t>ICR Assuming Different Months of Refinancing</t>
  </si>
  <si>
    <t>Question e:</t>
  </si>
  <si>
    <t>Under the current assumptions, there is no month in which the company can refinance and not break its ICR covenant.</t>
  </si>
  <si>
    <t>In other words, the company will always breach the ICR under the existing assumptions.</t>
  </si>
  <si>
    <t>Minimum ICR is 2.09x and occurs in July 2020 under the scenarios of a refinancing in July, August, September, or October 2020.</t>
  </si>
  <si>
    <t>Model start</t>
  </si>
  <si>
    <t>Periods</t>
  </si>
  <si>
    <t>months</t>
  </si>
  <si>
    <t>date</t>
  </si>
  <si>
    <t>Model end</t>
  </si>
  <si>
    <t>Topic</t>
  </si>
  <si>
    <t>Debt</t>
  </si>
  <si>
    <t>DEBT SCHEDULE</t>
  </si>
  <si>
    <t>Model timeline</t>
  </si>
  <si>
    <t>Constant</t>
  </si>
  <si>
    <t>Unit</t>
  </si>
  <si>
    <t>Total</t>
  </si>
  <si>
    <t>Total Debt / EBIDTA</t>
  </si>
  <si>
    <t>USD</t>
  </si>
  <si>
    <t>EBIDTA</t>
  </si>
  <si>
    <t>multiple</t>
  </si>
  <si>
    <t>less</t>
  </si>
  <si>
    <t>Interest expenses accrued</t>
  </si>
  <si>
    <t>Taxable income</t>
  </si>
  <si>
    <t>Applicable tax rate</t>
  </si>
  <si>
    <t>Tax rate</t>
  </si>
  <si>
    <t>%</t>
  </si>
  <si>
    <t>Taxes paid</t>
  </si>
  <si>
    <t>Free cash flow after repayment of debt service and taxes</t>
  </si>
  <si>
    <t>Principal addition / (repayment)</t>
  </si>
  <si>
    <t>Revolver drawdown / (repayment)</t>
  </si>
  <si>
    <t>Revolver beginning balance</t>
  </si>
  <si>
    <t>Revolver interest expenses</t>
  </si>
  <si>
    <t>Spread to LIBOR on drawn funds based on Total Debt / EBIDTA</t>
  </si>
  <si>
    <t>Effective interest rate on revolver</t>
  </si>
  <si>
    <t>Drawn interest expenses</t>
  </si>
  <si>
    <t>Model start date</t>
  </si>
  <si>
    <t>Model first period flag</t>
  </si>
  <si>
    <t>flag</t>
  </si>
  <si>
    <t>Model counter</t>
  </si>
  <si>
    <t>counter</t>
  </si>
  <si>
    <t>Revolver balance as of 30/04/2020</t>
  </si>
  <si>
    <t>Commitment fee on undrawn amount</t>
  </si>
  <si>
    <t>bps</t>
  </si>
  <si>
    <t>Maximum facility size</t>
  </si>
  <si>
    <t>Senior Secured Term Loan</t>
  </si>
  <si>
    <t>Senior Secured Term Loan balance as of 30/04/2020</t>
  </si>
  <si>
    <t>Senior Secured Term Loan beginning balance</t>
  </si>
  <si>
    <t>Senior Secured Term Loan drawdown / (repayment)</t>
  </si>
  <si>
    <t>Senior Secured Term Loan repayment</t>
  </si>
  <si>
    <t>Senior Secured Term Loan interest expenses</t>
  </si>
  <si>
    <t>Effective interest rate on Senior Secured Term Loan</t>
  </si>
  <si>
    <t>Subordinated Note</t>
  </si>
  <si>
    <t>Subordinated Note balance as of 30/04/2020</t>
  </si>
  <si>
    <t>Subordinated Note beginning balance</t>
  </si>
  <si>
    <t>Subordinated Note retirement</t>
  </si>
  <si>
    <t>data validation</t>
  </si>
  <si>
    <t>Maturity date</t>
  </si>
  <si>
    <t>Early retirement date</t>
  </si>
  <si>
    <t>Early call prices for retirement on or before:</t>
  </si>
  <si>
    <t>Face value of subordinated note</t>
  </si>
  <si>
    <t>Early call premium over the face value</t>
  </si>
  <si>
    <t>Refinincing costs of existing Subordinated Note</t>
  </si>
  <si>
    <t>Subordinated Note interest expenses</t>
  </si>
  <si>
    <t>Effective interest rate on Subordinated Note</t>
  </si>
  <si>
    <t>Subordinated Note interest accrued</t>
  </si>
  <si>
    <t>Subordinated Note interest paid</t>
  </si>
  <si>
    <t>Interest payable semi-annually on:</t>
  </si>
  <si>
    <t>New Subordinated Note</t>
  </si>
  <si>
    <t>New Subordinated Note beginning balance</t>
  </si>
  <si>
    <t>New Subordinated Note balance as of 30/04/2020</t>
  </si>
  <si>
    <t>New Subordinated Note interest expenses</t>
  </si>
  <si>
    <t>Effective interest rate on New Subordinated Note</t>
  </si>
  <si>
    <t>New Subordinated Note interest accrued</t>
  </si>
  <si>
    <t>New Subordinated Note interest paid</t>
  </si>
  <si>
    <t>Subordinated Note issue / (retirement)</t>
  </si>
  <si>
    <t>New Subordinated Note issue / (retirement)</t>
  </si>
  <si>
    <t>Used in the FCF after repayment of debt service and taxes</t>
  </si>
  <si>
    <t>TTM interest expenses</t>
  </si>
  <si>
    <t>Subordinated Notes interest expenses</t>
  </si>
  <si>
    <t>New Subordinated Notes interest expenses</t>
  </si>
  <si>
    <t>TTM Interest expenses</t>
  </si>
  <si>
    <t>Interest Coverage Ratio ("ICR")</t>
  </si>
  <si>
    <t>Used in the ICR calculation based on TTM</t>
  </si>
  <si>
    <t>Mandatory ICR</t>
  </si>
  <si>
    <t>EBIDTA Cushion</t>
  </si>
  <si>
    <t>INTEREST COVERAGE RATIO ("ICR") AND MINIMUM EBIDTA CUSHION</t>
  </si>
  <si>
    <t>Answers</t>
  </si>
  <si>
    <t>a)</t>
  </si>
  <si>
    <t>see above</t>
  </si>
  <si>
    <t>b)</t>
  </si>
  <si>
    <t>see above - scenario switch (data validation) at F92</t>
  </si>
  <si>
    <t>c)</t>
  </si>
  <si>
    <t>d)</t>
  </si>
  <si>
    <t>in which refinincing scenario does the miimum ICR occur?</t>
  </si>
  <si>
    <t>Refinincing date</t>
  </si>
  <si>
    <t>- answer in yellow</t>
  </si>
  <si>
    <t>in which month can the company refinance the existing subordinated</t>
  </si>
  <si>
    <t>loan AND not breach its ICR covenant</t>
  </si>
  <si>
    <t>End of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</si>
</sst>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* #,##0.00_);_(* \(#,##0.00\);_(* &quot;-&quot;??_);_(@_)"/>
    <numFmt numFmtId="168" formatCode="_-* #,##0_-;\-* #,##0_-;_-* &quot;-&quot;??_-;_-@_-"/>
    <numFmt numFmtId="169" formatCode="#,##0_);\(#,##0\);\-"/>
    <numFmt numFmtId="170" formatCode="#,##0_);\(#,##0\);\-_)"/>
    <numFmt numFmtId="171" formatCode="#,##0.00_);\(#,##0.00\);\-_)"/>
    <numFmt numFmtId="172" formatCode="0.00%_);\(0.00%\);\-_)"/>
    <numFmt numFmtId="173" formatCode="d/mmm/yy;d/mmm/yy;\-"/>
    <numFmt numFmtId="174" formatCode="[Red]&quot;Error&quot;;[Red]&quot;Error&quot;;&quot;OK&quot;;[Red]General"/>
    <numFmt numFmtId="175" formatCode="&quot;On&quot;;[Black]\(#,##0\);[Red]&quot;Off&quot;;[Black]General"/>
    <numFmt numFmtId="176" formatCode="&quot;Yes&quot;;[Black]\(#,##0\);[Red]&quot;No&quot;;[Black]General"/>
    <numFmt numFmtId="177" formatCode="d\-mmm\-yy;d\-mmm\-yy;\-"/>
    <numFmt numFmtId="178" formatCode="###0_);\(###0\);\-_)"/>
    <numFmt numFmtId="179" formatCode="0.0%"/>
    <numFmt numFmtId="180" formatCode="0\ &quot;bps&quot;"/>
    <numFmt numFmtId="181" formatCode="0.0\x"/>
    <numFmt numFmtId="182" formatCode="0.00\x"/>
    <numFmt numFmtId="183" formatCode="0.000%"/>
    <numFmt numFmtId="184" formatCode="0.0\ \x"/>
    <numFmt numFmtId="185" formatCode="0.00\ \x"/>
    <numFmt numFmtId="186" formatCode="[=0]&quot;No&quot;;[=1]&quot;Yes&quot;"/>
    <numFmt numFmtId="187" formatCode="mmm\ yyyy"/>
    <numFmt numFmtId="188" formatCode="#,##0_);\(#,##0\);&quot;-  &quot;;&quot; &quot;@"/>
    <numFmt numFmtId="189" formatCode="0.00%\ ;\-0.00%\ _);&quot;-  &quot;;&quot; &quot;@&quot; &quot;"/>
    <numFmt numFmtId="190" formatCode="#,##0.0000_);\(#,##0.0000\);&quot;-  &quot;;&quot; &quot;@&quot; &quot;"/>
    <numFmt numFmtId="191" formatCode="dd\ mmm\ yyyy_);\(###0\);&quot;-  &quot;;&quot; &quot;@&quot; &quot;"/>
    <numFmt numFmtId="192" formatCode="dd\ mmm\ yy_);\(###0\);&quot;-  &quot;;&quot; &quot;@&quot; &quot;"/>
    <numFmt numFmtId="193" formatCode="###0_);\(###0\);&quot;-  &quot;;&quot; &quot;@&quot; &quot;"/>
    <numFmt numFmtId="194" formatCode="#.#\x"/>
  </numFmts>
  <fonts count="58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u val="singleAccounting"/>
      <sz val="8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/>
      <sz val="8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8"/>
      <color rgb="FF0000FF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u val="singleAccounting"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rgb="FF0000FF"/>
      <name val="Arial"/>
      <family val="2"/>
    </font>
    <font>
      <i/>
      <u/>
      <sz val="11"/>
      <color theme="1"/>
      <name val="Arial"/>
      <family val="2"/>
    </font>
    <font>
      <sz val="11"/>
      <color rgb="FF000000"/>
      <name val="Arial"/>
      <family val="2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52">
    <xf numFmtId="188" fontId="0" fillId="0" borderId="0" applyFont="0" applyFill="0" applyBorder="0" applyProtection="0">
      <alignment vertical="top"/>
    </xf>
    <xf numFmtId="0" fontId="3" fillId="0" borderId="0"/>
    <xf numFmtId="167" fontId="4" fillId="0" borderId="0" applyFont="0" applyFill="0" applyBorder="0" applyAlignment="0" applyProtection="0"/>
    <xf numFmtId="0" fontId="5" fillId="0" borderId="0" applyNumberFormat="0" applyFont="0" applyFill="0" applyBorder="0" applyProtection="0">
      <alignment horizontal="centerContinuous"/>
    </xf>
    <xf numFmtId="0" fontId="5" fillId="0" borderId="1" applyNumberFormat="0" applyFont="0" applyFill="0" applyAlignment="0" applyProtection="0"/>
    <xf numFmtId="0" fontId="5" fillId="0" borderId="0" applyNumberFormat="0" applyFont="0" applyFill="0" applyBorder="0" applyProtection="0">
      <alignment horizontal="center"/>
    </xf>
    <xf numFmtId="166" fontId="6" fillId="0" borderId="4">
      <protection locked="0"/>
    </xf>
    <xf numFmtId="0" fontId="5" fillId="0" borderId="5" applyNumberFormat="0" applyFont="0" applyFill="0" applyAlignment="0" applyProtection="0"/>
    <xf numFmtId="0" fontId="7" fillId="0" borderId="0" applyNumberFormat="0" applyFill="0" applyBorder="0" applyAlignment="0" applyProtection="0"/>
    <xf numFmtId="168" fontId="4" fillId="0" borderId="0" applyNumberFormat="0" applyFill="0" applyBorder="0" applyAlignment="0" applyProtection="0"/>
    <xf numFmtId="0" fontId="5" fillId="0" borderId="3" applyNumberFormat="0" applyFont="0" applyFill="0" applyAlignment="0" applyProtection="0"/>
    <xf numFmtId="9" fontId="3" fillId="0" borderId="0" applyFont="0" applyFill="0" applyBorder="0" applyAlignment="0" applyProtection="0"/>
    <xf numFmtId="0" fontId="11" fillId="3" borderId="0" applyNumberFormat="0" applyAlignment="0"/>
    <xf numFmtId="170" fontId="2" fillId="0" borderId="0" applyBorder="0"/>
    <xf numFmtId="4" fontId="8" fillId="4" borderId="2">
      <alignment horizontal="left"/>
    </xf>
    <xf numFmtId="169" fontId="12" fillId="0" borderId="0" applyFill="0" applyBorder="0"/>
    <xf numFmtId="170" fontId="10" fillId="0" borderId="0" applyBorder="0"/>
    <xf numFmtId="0" fontId="13" fillId="0" borderId="0" applyNumberFormat="0" applyFill="0" applyBorder="0">
      <alignment horizontal="right"/>
    </xf>
    <xf numFmtId="170" fontId="13" fillId="5" borderId="8">
      <protection locked="0"/>
    </xf>
    <xf numFmtId="171" fontId="13" fillId="5" borderId="8">
      <protection locked="0"/>
    </xf>
    <xf numFmtId="172" fontId="13" fillId="5" borderId="8">
      <protection locked="0"/>
    </xf>
    <xf numFmtId="173" fontId="2" fillId="0" borderId="0" applyBorder="0"/>
    <xf numFmtId="173" fontId="13" fillId="5" borderId="8">
      <protection locked="0"/>
    </xf>
    <xf numFmtId="170" fontId="13" fillId="0" borderId="8"/>
    <xf numFmtId="15" fontId="9" fillId="0" borderId="0" applyFill="0" applyBorder="0" applyAlignment="0"/>
    <xf numFmtId="174" fontId="14" fillId="0" borderId="9">
      <alignment horizontal="center"/>
    </xf>
    <xf numFmtId="170" fontId="15" fillId="7" borderId="0" applyBorder="0" applyAlignment="0"/>
    <xf numFmtId="174" fontId="16" fillId="8" borderId="10">
      <alignment horizontal="center"/>
    </xf>
    <xf numFmtId="0" fontId="17" fillId="0" borderId="0" applyNumberFormat="0" applyFill="0" applyBorder="0" applyAlignment="0"/>
    <xf numFmtId="0" fontId="18" fillId="0" borderId="0" applyNumberFormat="0" applyFill="0" applyBorder="0" applyAlignment="0"/>
    <xf numFmtId="169" fontId="19" fillId="6" borderId="8" applyNumberFormat="0" applyAlignment="0">
      <protection locked="0"/>
    </xf>
    <xf numFmtId="175" fontId="20" fillId="5" borderId="8">
      <alignment horizontal="center"/>
      <protection locked="0"/>
    </xf>
    <xf numFmtId="176" fontId="20" fillId="5" borderId="8">
      <alignment horizontal="center"/>
      <protection locked="0"/>
    </xf>
    <xf numFmtId="171" fontId="2" fillId="0" borderId="0" applyBorder="0"/>
    <xf numFmtId="176" fontId="21" fillId="0" borderId="11" applyFill="0">
      <alignment horizontal="center"/>
    </xf>
    <xf numFmtId="175" fontId="20" fillId="0" borderId="11">
      <alignment horizontal="center"/>
    </xf>
    <xf numFmtId="172" fontId="3" fillId="0" borderId="0" applyFill="0" applyBorder="0" applyAlignment="0"/>
    <xf numFmtId="170" fontId="2" fillId="9" borderId="11"/>
    <xf numFmtId="0" fontId="22" fillId="0" borderId="6" applyNumberFormat="0" applyFill="0" applyAlignment="0" applyProtection="0"/>
    <xf numFmtId="0" fontId="23" fillId="0" borderId="0"/>
    <xf numFmtId="0" fontId="24" fillId="2" borderId="7" applyNumberFormat="0" applyAlignment="0" applyProtection="0"/>
    <xf numFmtId="0" fontId="24" fillId="2" borderId="7" applyFill="0" applyAlignment="0" applyProtection="0"/>
    <xf numFmtId="0" fontId="2" fillId="0" borderId="0"/>
    <xf numFmtId="0" fontId="25" fillId="0" borderId="0"/>
    <xf numFmtId="177" fontId="2" fillId="0" borderId="0" applyBorder="0"/>
    <xf numFmtId="178" fontId="2" fillId="0" borderId="0" applyBorder="0"/>
    <xf numFmtId="177" fontId="13" fillId="5" borderId="8">
      <protection locked="0"/>
    </xf>
    <xf numFmtId="189" fontId="25" fillId="0" borderId="0" applyFont="0" applyFill="0" applyBorder="0" applyProtection="0">
      <alignment vertical="top"/>
    </xf>
    <xf numFmtId="190" fontId="25" fillId="0" borderId="0" applyFont="0" applyFill="0" applyBorder="0" applyProtection="0">
      <alignment vertical="top"/>
    </xf>
    <xf numFmtId="191" fontId="25" fillId="0" borderId="0" applyFont="0" applyFill="0" applyBorder="0" applyProtection="0">
      <alignment vertical="top"/>
    </xf>
    <xf numFmtId="192" fontId="25" fillId="0" borderId="0" applyFont="0" applyFill="0" applyBorder="0" applyProtection="0">
      <alignment vertical="top"/>
    </xf>
    <xf numFmtId="193" fontId="25" fillId="0" borderId="0" applyFont="0" applyFill="0" applyBorder="0" applyProtection="0">
      <alignment vertical="top"/>
    </xf>
  </cellStyleXfs>
  <cellXfs count="240">
    <xf numFmtId="188" fontId="0" fillId="0" borderId="0" xfId="0">
      <alignment vertical="top"/>
    </xf>
    <xf numFmtId="165" fontId="0" fillId="0" borderId="0" xfId="0" applyNumberFormat="1">
      <alignment vertical="top"/>
    </xf>
    <xf numFmtId="166" fontId="0" fillId="0" borderId="0" xfId="0" applyNumberFormat="1">
      <alignment vertical="top"/>
    </xf>
    <xf numFmtId="188" fontId="27" fillId="0" borderId="0" xfId="0" applyFont="1">
      <alignment vertical="top"/>
    </xf>
    <xf numFmtId="188" fontId="28" fillId="0" borderId="0" xfId="0" applyFont="1">
      <alignment vertical="top"/>
    </xf>
    <xf numFmtId="188" fontId="29" fillId="0" borderId="0" xfId="0" applyFont="1">
      <alignment vertical="top"/>
    </xf>
    <xf numFmtId="188" fontId="30" fillId="0" borderId="0" xfId="0" applyFont="1">
      <alignment vertical="top"/>
    </xf>
    <xf numFmtId="188" fontId="31" fillId="11" borderId="12" xfId="0" applyFont="1" applyFill="1" applyBorder="1">
      <alignment vertical="top"/>
    </xf>
    <xf numFmtId="188" fontId="31" fillId="11" borderId="2" xfId="0" applyFont="1" applyFill="1" applyBorder="1">
      <alignment vertical="top"/>
    </xf>
    <xf numFmtId="188" fontId="31" fillId="11" borderId="13" xfId="0" applyFont="1" applyFill="1" applyBorder="1">
      <alignment vertical="top"/>
    </xf>
    <xf numFmtId="188" fontId="32" fillId="0" borderId="0" xfId="0" applyFont="1">
      <alignment vertical="top"/>
    </xf>
    <xf numFmtId="188" fontId="33" fillId="0" borderId="1" xfId="0" applyFont="1" applyBorder="1">
      <alignment vertical="top"/>
    </xf>
    <xf numFmtId="188" fontId="29" fillId="0" borderId="1" xfId="0" applyFont="1" applyBorder="1">
      <alignment vertical="top"/>
    </xf>
    <xf numFmtId="188" fontId="29" fillId="0" borderId="15" xfId="0" applyFont="1" applyBorder="1">
      <alignment vertical="top"/>
    </xf>
    <xf numFmtId="188" fontId="29" fillId="0" borderId="16" xfId="0" applyFont="1" applyBorder="1">
      <alignment vertical="top"/>
    </xf>
    <xf numFmtId="165" fontId="34" fillId="0" borderId="16" xfId="0" applyNumberFormat="1" applyFont="1" applyBorder="1" applyAlignment="1">
      <alignment horizontal="center"/>
    </xf>
    <xf numFmtId="165" fontId="34" fillId="0" borderId="16" xfId="0" applyNumberFormat="1" applyFont="1" applyBorder="1">
      <alignment vertical="top"/>
    </xf>
    <xf numFmtId="188" fontId="35" fillId="0" borderId="16" xfId="0" applyFont="1" applyBorder="1" applyAlignment="1">
      <alignment horizontal="centerContinuous"/>
    </xf>
    <xf numFmtId="188" fontId="35" fillId="0" borderId="17" xfId="0" applyFont="1" applyBorder="1" applyAlignment="1">
      <alignment horizontal="centerContinuous"/>
    </xf>
    <xf numFmtId="188" fontId="29" fillId="0" borderId="19" xfId="0" applyFont="1" applyBorder="1">
      <alignment vertical="top"/>
    </xf>
    <xf numFmtId="165" fontId="34" fillId="0" borderId="0" xfId="0" applyNumberFormat="1" applyFont="1" applyAlignment="1">
      <alignment horizontal="center"/>
    </xf>
    <xf numFmtId="188" fontId="34" fillId="0" borderId="0" xfId="0" applyFont="1">
      <alignment vertical="top"/>
    </xf>
    <xf numFmtId="188" fontId="35" fillId="0" borderId="1" xfId="0" applyFont="1" applyBorder="1" applyAlignment="1">
      <alignment horizontal="centerContinuous"/>
    </xf>
    <xf numFmtId="188" fontId="27" fillId="0" borderId="1" xfId="0" applyFont="1" applyBorder="1" applyAlignment="1">
      <alignment horizontal="centerContinuous"/>
    </xf>
    <xf numFmtId="188" fontId="27" fillId="0" borderId="20" xfId="0" applyFont="1" applyBorder="1" applyAlignment="1">
      <alignment horizontal="centerContinuous"/>
    </xf>
    <xf numFmtId="188" fontId="0" fillId="0" borderId="19" xfId="0" applyBorder="1">
      <alignment vertical="top"/>
    </xf>
    <xf numFmtId="188" fontId="35" fillId="0" borderId="0" xfId="0" applyFont="1" applyAlignment="1">
      <alignment horizontal="center"/>
    </xf>
    <xf numFmtId="188" fontId="35" fillId="0" borderId="14" xfId="0" applyFont="1" applyBorder="1" applyAlignment="1">
      <alignment horizontal="center"/>
    </xf>
    <xf numFmtId="180" fontId="34" fillId="0" borderId="0" xfId="0" applyNumberFormat="1" applyFont="1" applyAlignment="1">
      <alignment horizontal="center"/>
    </xf>
    <xf numFmtId="188" fontId="36" fillId="0" borderId="0" xfId="0" applyFont="1" applyAlignment="1">
      <alignment horizontal="center"/>
    </xf>
    <xf numFmtId="188" fontId="36" fillId="0" borderId="14" xfId="0" applyFont="1" applyBorder="1" applyAlignment="1">
      <alignment horizontal="center"/>
    </xf>
    <xf numFmtId="181" fontId="34" fillId="0" borderId="0" xfId="0" applyNumberFormat="1" applyFont="1" applyAlignment="1">
      <alignment horizontal="center"/>
    </xf>
    <xf numFmtId="180" fontId="34" fillId="0" borderId="14" xfId="0" applyNumberFormat="1" applyFont="1" applyBorder="1" applyAlignment="1">
      <alignment horizontal="center"/>
    </xf>
    <xf numFmtId="182" fontId="34" fillId="0" borderId="0" xfId="0" applyNumberFormat="1" applyFont="1" applyAlignment="1">
      <alignment horizontal="center"/>
    </xf>
    <xf numFmtId="188" fontId="29" fillId="0" borderId="18" xfId="0" applyFont="1" applyBorder="1">
      <alignment vertical="top"/>
    </xf>
    <xf numFmtId="188" fontId="34" fillId="0" borderId="1" xfId="0" applyFont="1" applyBorder="1">
      <alignment vertical="top"/>
    </xf>
    <xf numFmtId="181" fontId="34" fillId="0" borderId="1" xfId="0" applyNumberFormat="1" applyFont="1" applyBorder="1" applyAlignment="1">
      <alignment horizontal="center"/>
    </xf>
    <xf numFmtId="180" fontId="34" fillId="0" borderId="20" xfId="0" applyNumberFormat="1" applyFont="1" applyBorder="1" applyAlignment="1">
      <alignment horizontal="center"/>
    </xf>
    <xf numFmtId="188" fontId="29" fillId="0" borderId="0" xfId="0" applyFont="1" applyAlignment="1">
      <alignment horizontal="center"/>
    </xf>
    <xf numFmtId="165" fontId="29" fillId="0" borderId="17" xfId="0" applyNumberFormat="1" applyFont="1" applyBorder="1" applyAlignment="1">
      <alignment horizontal="center"/>
    </xf>
    <xf numFmtId="165" fontId="32" fillId="0" borderId="0" xfId="0" applyNumberFormat="1" applyFont="1">
      <alignment vertical="top"/>
    </xf>
    <xf numFmtId="165" fontId="29" fillId="0" borderId="14" xfId="0" applyNumberFormat="1" applyFont="1" applyBorder="1" applyAlignment="1">
      <alignment horizontal="center"/>
    </xf>
    <xf numFmtId="165" fontId="29" fillId="0" borderId="14" xfId="0" quotePrefix="1" applyNumberFormat="1" applyFont="1" applyBorder="1" applyAlignment="1">
      <alignment horizontal="center"/>
    </xf>
    <xf numFmtId="166" fontId="0" fillId="0" borderId="14" xfId="0" applyNumberFormat="1" applyBorder="1">
      <alignment vertical="top"/>
    </xf>
    <xf numFmtId="165" fontId="29" fillId="0" borderId="0" xfId="0" applyNumberFormat="1" applyFont="1">
      <alignment vertical="top"/>
    </xf>
    <xf numFmtId="183" fontId="29" fillId="0" borderId="14" xfId="0" quotePrefix="1" applyNumberFormat="1" applyFont="1" applyBorder="1" applyAlignment="1">
      <alignment horizontal="center"/>
    </xf>
    <xf numFmtId="166" fontId="32" fillId="0" borderId="0" xfId="0" applyNumberFormat="1" applyFont="1">
      <alignment vertical="top"/>
    </xf>
    <xf numFmtId="10" fontId="29" fillId="0" borderId="14" xfId="0" quotePrefix="1" applyNumberFormat="1" applyFont="1" applyBorder="1" applyAlignment="1">
      <alignment horizontal="center"/>
    </xf>
    <xf numFmtId="9" fontId="29" fillId="0" borderId="0" xfId="0" applyNumberFormat="1" applyFont="1">
      <alignment vertical="top"/>
    </xf>
    <xf numFmtId="188" fontId="0" fillId="0" borderId="14" xfId="0" applyBorder="1">
      <alignment vertical="top"/>
    </xf>
    <xf numFmtId="188" fontId="29" fillId="0" borderId="14" xfId="0" applyFont="1" applyBorder="1" applyAlignment="1">
      <alignment horizontal="center"/>
    </xf>
    <xf numFmtId="188" fontId="29" fillId="0" borderId="19" xfId="0" applyFont="1" applyBorder="1" applyAlignment="1">
      <alignment horizontal="left" indent="1"/>
    </xf>
    <xf numFmtId="9" fontId="29" fillId="0" borderId="14" xfId="0" quotePrefix="1" applyNumberFormat="1" applyFont="1" applyBorder="1" applyAlignment="1">
      <alignment horizontal="center"/>
    </xf>
    <xf numFmtId="188" fontId="29" fillId="0" borderId="20" xfId="0" applyFont="1" applyBorder="1" applyAlignment="1">
      <alignment horizontal="center"/>
    </xf>
    <xf numFmtId="188" fontId="29" fillId="0" borderId="18" xfId="0" applyFont="1" applyBorder="1" applyAlignment="1">
      <alignment horizontal="left" indent="1"/>
    </xf>
    <xf numFmtId="188" fontId="0" fillId="0" borderId="1" xfId="0" applyBorder="1">
      <alignment vertical="top"/>
    </xf>
    <xf numFmtId="9" fontId="29" fillId="0" borderId="20" xfId="0" quotePrefix="1" applyNumberFormat="1" applyFont="1" applyBorder="1" applyAlignment="1">
      <alignment horizontal="center"/>
    </xf>
    <xf numFmtId="188" fontId="33" fillId="0" borderId="0" xfId="0" applyFont="1">
      <alignment vertical="top"/>
    </xf>
    <xf numFmtId="14" fontId="37" fillId="0" borderId="0" xfId="0" applyNumberFormat="1" applyFont="1">
      <alignment vertical="top"/>
    </xf>
    <xf numFmtId="165" fontId="34" fillId="0" borderId="0" xfId="0" applyNumberFormat="1" applyFont="1">
      <alignment vertical="top"/>
    </xf>
    <xf numFmtId="188" fontId="26" fillId="0" borderId="0" xfId="0" applyFont="1">
      <alignment vertical="top"/>
    </xf>
    <xf numFmtId="184" fontId="34" fillId="12" borderId="0" xfId="0" applyNumberFormat="1" applyFont="1" applyFill="1">
      <alignment vertical="top"/>
    </xf>
    <xf numFmtId="10" fontId="34" fillId="0" borderId="0" xfId="0" applyNumberFormat="1" applyFont="1">
      <alignment vertical="top"/>
    </xf>
    <xf numFmtId="14" fontId="38" fillId="0" borderId="0" xfId="0" applyNumberFormat="1" applyFont="1">
      <alignment vertical="top"/>
    </xf>
    <xf numFmtId="165" fontId="39" fillId="0" borderId="0" xfId="0" applyNumberFormat="1" applyFont="1">
      <alignment vertical="top"/>
    </xf>
    <xf numFmtId="10" fontId="39" fillId="0" borderId="0" xfId="0" applyNumberFormat="1" applyFont="1">
      <alignment vertical="top"/>
    </xf>
    <xf numFmtId="165" fontId="29" fillId="0" borderId="16" xfId="0" applyNumberFormat="1" applyFont="1" applyBorder="1">
      <alignment vertical="top"/>
    </xf>
    <xf numFmtId="188" fontId="0" fillId="0" borderId="15" xfId="0" applyBorder="1">
      <alignment vertical="top"/>
    </xf>
    <xf numFmtId="165" fontId="39" fillId="0" borderId="17" xfId="0" applyNumberFormat="1" applyFont="1" applyBorder="1" applyAlignment="1">
      <alignment horizontal="center"/>
    </xf>
    <xf numFmtId="188" fontId="33" fillId="0" borderId="19" xfId="0" applyFont="1" applyBorder="1">
      <alignment vertical="top"/>
    </xf>
    <xf numFmtId="179" fontId="39" fillId="0" borderId="14" xfId="0" quotePrefix="1" applyNumberFormat="1" applyFont="1" applyBorder="1" applyAlignment="1">
      <alignment horizontal="center"/>
    </xf>
    <xf numFmtId="14" fontId="29" fillId="0" borderId="18" xfId="0" applyNumberFormat="1" applyFont="1" applyBorder="1">
      <alignment vertical="top"/>
    </xf>
    <xf numFmtId="183" fontId="39" fillId="0" borderId="20" xfId="0" quotePrefix="1" applyNumberFormat="1" applyFont="1" applyBorder="1" applyAlignment="1">
      <alignment horizontal="center"/>
    </xf>
    <xf numFmtId="184" fontId="29" fillId="0" borderId="0" xfId="0" applyNumberFormat="1" applyFont="1" applyAlignment="1">
      <alignment horizontal="center"/>
    </xf>
    <xf numFmtId="185" fontId="34" fillId="0" borderId="0" xfId="0" applyNumberFormat="1" applyFont="1" applyAlignment="1">
      <alignment horizontal="center"/>
    </xf>
    <xf numFmtId="184" fontId="29" fillId="0" borderId="1" xfId="0" applyNumberFormat="1" applyFont="1" applyBorder="1" applyAlignment="1">
      <alignment horizontal="center"/>
    </xf>
    <xf numFmtId="165" fontId="34" fillId="12" borderId="17" xfId="0" applyNumberFormat="1" applyFont="1" applyFill="1" applyBorder="1" applyAlignment="1">
      <alignment horizontal="center"/>
    </xf>
    <xf numFmtId="188" fontId="0" fillId="0" borderId="16" xfId="0" applyBorder="1">
      <alignment vertical="top"/>
    </xf>
    <xf numFmtId="14" fontId="40" fillId="0" borderId="17" xfId="0" applyNumberFormat="1" applyFont="1" applyBorder="1" applyAlignment="1">
      <alignment horizontal="center"/>
    </xf>
    <xf numFmtId="164" fontId="32" fillId="0" borderId="0" xfId="0" applyNumberFormat="1" applyFont="1">
      <alignment vertical="top"/>
    </xf>
    <xf numFmtId="165" fontId="34" fillId="12" borderId="14" xfId="0" applyNumberFormat="1" applyFont="1" applyFill="1" applyBorder="1" applyAlignment="1">
      <alignment horizontal="center"/>
    </xf>
    <xf numFmtId="165" fontId="34" fillId="0" borderId="14" xfId="0" quotePrefix="1" applyNumberFormat="1" applyFont="1" applyBorder="1" applyAlignment="1">
      <alignment horizontal="center"/>
    </xf>
    <xf numFmtId="165" fontId="39" fillId="0" borderId="14" xfId="0" applyNumberFormat="1" applyFont="1" applyBorder="1" applyAlignment="1">
      <alignment horizontal="center"/>
    </xf>
    <xf numFmtId="183" fontId="34" fillId="0" borderId="14" xfId="0" quotePrefix="1" applyNumberFormat="1" applyFont="1" applyBorder="1" applyAlignment="1">
      <alignment horizontal="center"/>
    </xf>
    <xf numFmtId="14" fontId="29" fillId="0" borderId="19" xfId="0" applyNumberFormat="1" applyFont="1" applyBorder="1">
      <alignment vertical="top"/>
    </xf>
    <xf numFmtId="183" fontId="39" fillId="0" borderId="14" xfId="0" quotePrefix="1" applyNumberFormat="1" applyFont="1" applyBorder="1" applyAlignment="1">
      <alignment horizontal="center"/>
    </xf>
    <xf numFmtId="10" fontId="34" fillId="0" borderId="14" xfId="0" quotePrefix="1" applyNumberFormat="1" applyFont="1" applyBorder="1" applyAlignment="1">
      <alignment horizontal="center"/>
    </xf>
    <xf numFmtId="14" fontId="39" fillId="0" borderId="14" xfId="0" applyNumberFormat="1" applyFont="1" applyBorder="1" applyAlignment="1">
      <alignment horizontal="center"/>
    </xf>
    <xf numFmtId="14" fontId="29" fillId="0" borderId="14" xfId="0" applyNumberFormat="1" applyFont="1" applyBorder="1" applyAlignment="1">
      <alignment horizontal="center"/>
    </xf>
    <xf numFmtId="179" fontId="0" fillId="0" borderId="0" xfId="0" applyNumberFormat="1">
      <alignment vertical="top"/>
    </xf>
    <xf numFmtId="14" fontId="34" fillId="0" borderId="19" xfId="0" applyNumberFormat="1" applyFont="1" applyBorder="1">
      <alignment vertical="top"/>
    </xf>
    <xf numFmtId="9" fontId="39" fillId="0" borderId="14" xfId="0" quotePrefix="1" applyNumberFormat="1" applyFont="1" applyBorder="1" applyAlignment="1">
      <alignment horizontal="center"/>
    </xf>
    <xf numFmtId="14" fontId="39" fillId="0" borderId="18" xfId="0" applyNumberFormat="1" applyFont="1" applyBorder="1">
      <alignment vertical="top"/>
    </xf>
    <xf numFmtId="9" fontId="39" fillId="0" borderId="20" xfId="0" quotePrefix="1" applyNumberFormat="1" applyFont="1" applyBorder="1" applyAlignment="1">
      <alignment horizontal="center"/>
    </xf>
    <xf numFmtId="14" fontId="39" fillId="0" borderId="0" xfId="0" applyNumberFormat="1" applyFont="1">
      <alignment vertical="top"/>
    </xf>
    <xf numFmtId="9" fontId="39" fillId="0" borderId="0" xfId="0" quotePrefix="1" applyNumberFormat="1" applyFont="1" applyAlignment="1">
      <alignment horizontal="center"/>
    </xf>
    <xf numFmtId="14" fontId="34" fillId="0" borderId="14" xfId="0" applyNumberFormat="1" applyFont="1" applyBorder="1" applyAlignment="1">
      <alignment horizontal="center"/>
    </xf>
    <xf numFmtId="188" fontId="0" fillId="0" borderId="18" xfId="0" applyBorder="1">
      <alignment vertical="top"/>
    </xf>
    <xf numFmtId="14" fontId="34" fillId="0" borderId="20" xfId="0" applyNumberFormat="1" applyFont="1" applyBorder="1" applyAlignment="1">
      <alignment horizontal="center"/>
    </xf>
    <xf numFmtId="188" fontId="39" fillId="0" borderId="0" xfId="0" applyFont="1">
      <alignment vertical="top"/>
    </xf>
    <xf numFmtId="184" fontId="29" fillId="12" borderId="0" xfId="0" applyNumberFormat="1" applyFont="1" applyFill="1">
      <alignment vertical="top"/>
    </xf>
    <xf numFmtId="10" fontId="29" fillId="0" borderId="0" xfId="0" applyNumberFormat="1" applyFont="1">
      <alignment vertical="top"/>
    </xf>
    <xf numFmtId="188" fontId="41" fillId="0" borderId="21" xfId="0" applyFont="1" applyBorder="1">
      <alignment vertical="top"/>
    </xf>
    <xf numFmtId="185" fontId="41" fillId="0" borderId="22" xfId="0" applyNumberFormat="1" applyFont="1" applyBorder="1">
      <alignment vertical="top"/>
    </xf>
    <xf numFmtId="185" fontId="41" fillId="0" borderId="23" xfId="0" applyNumberFormat="1" applyFont="1" applyBorder="1">
      <alignment vertical="top"/>
    </xf>
    <xf numFmtId="188" fontId="33" fillId="10" borderId="12" xfId="0" applyFont="1" applyFill="1" applyBorder="1">
      <alignment vertical="top"/>
    </xf>
    <xf numFmtId="14" fontId="37" fillId="10" borderId="2" xfId="0" applyNumberFormat="1" applyFont="1" applyFill="1" applyBorder="1">
      <alignment vertical="top"/>
    </xf>
    <xf numFmtId="14" fontId="37" fillId="10" borderId="13" xfId="0" applyNumberFormat="1" applyFont="1" applyFill="1" applyBorder="1">
      <alignment vertical="top"/>
    </xf>
    <xf numFmtId="164" fontId="29" fillId="0" borderId="0" xfId="0" applyNumberFormat="1" applyFont="1">
      <alignment vertical="top"/>
    </xf>
    <xf numFmtId="164" fontId="0" fillId="0" borderId="0" xfId="0" applyNumberFormat="1">
      <alignment vertical="top"/>
    </xf>
    <xf numFmtId="164" fontId="29" fillId="0" borderId="1" xfId="0" applyNumberFormat="1" applyFont="1" applyBorder="1">
      <alignment vertical="top"/>
    </xf>
    <xf numFmtId="164" fontId="33" fillId="0" borderId="0" xfId="0" applyNumberFormat="1" applyFont="1">
      <alignment vertical="top"/>
    </xf>
    <xf numFmtId="10" fontId="34" fillId="0" borderId="1" xfId="0" applyNumberFormat="1" applyFont="1" applyBorder="1">
      <alignment vertical="top"/>
    </xf>
    <xf numFmtId="10" fontId="35" fillId="0" borderId="0" xfId="0" applyNumberFormat="1" applyFont="1">
      <alignment vertical="top"/>
    </xf>
    <xf numFmtId="188" fontId="41" fillId="0" borderId="0" xfId="0" applyFont="1">
      <alignment vertical="top"/>
    </xf>
    <xf numFmtId="9" fontId="34" fillId="0" borderId="0" xfId="0" applyNumberFormat="1" applyFont="1">
      <alignment vertical="top"/>
    </xf>
    <xf numFmtId="183" fontId="34" fillId="0" borderId="0" xfId="0" applyNumberFormat="1" applyFont="1">
      <alignment vertical="top"/>
    </xf>
    <xf numFmtId="164" fontId="33" fillId="12" borderId="0" xfId="0" applyNumberFormat="1" applyFont="1" applyFill="1">
      <alignment vertical="top"/>
    </xf>
    <xf numFmtId="188" fontId="29" fillId="12" borderId="0" xfId="0" applyFont="1" applyFill="1">
      <alignment vertical="top"/>
    </xf>
    <xf numFmtId="164" fontId="0" fillId="12" borderId="0" xfId="0" applyNumberFormat="1" applyFill="1">
      <alignment vertical="top"/>
    </xf>
    <xf numFmtId="186" fontId="29" fillId="12" borderId="0" xfId="0" applyNumberFormat="1" applyFont="1" applyFill="1">
      <alignment vertical="top"/>
    </xf>
    <xf numFmtId="188" fontId="33" fillId="12" borderId="0" xfId="0" applyFont="1" applyFill="1">
      <alignment vertical="top"/>
    </xf>
    <xf numFmtId="186" fontId="29" fillId="0" borderId="0" xfId="0" applyNumberFormat="1" applyFont="1">
      <alignment vertical="top"/>
    </xf>
    <xf numFmtId="164" fontId="40" fillId="0" borderId="0" xfId="0" applyNumberFormat="1" applyFont="1">
      <alignment vertical="top"/>
    </xf>
    <xf numFmtId="164" fontId="39" fillId="0" borderId="1" xfId="0" applyNumberFormat="1" applyFont="1" applyBorder="1">
      <alignment vertical="top"/>
    </xf>
    <xf numFmtId="188" fontId="33" fillId="0" borderId="12" xfId="0" applyFont="1" applyBorder="1">
      <alignment vertical="top"/>
    </xf>
    <xf numFmtId="164" fontId="33" fillId="0" borderId="2" xfId="0" applyNumberFormat="1" applyFont="1" applyBorder="1">
      <alignment vertical="top"/>
    </xf>
    <xf numFmtId="182" fontId="33" fillId="0" borderId="2" xfId="0" applyNumberFormat="1" applyFont="1" applyBorder="1">
      <alignment vertical="top"/>
    </xf>
    <xf numFmtId="182" fontId="33" fillId="0" borderId="13" xfId="0" applyNumberFormat="1" applyFont="1" applyBorder="1">
      <alignment vertical="top"/>
    </xf>
    <xf numFmtId="164" fontId="33" fillId="0" borderId="13" xfId="0" applyNumberFormat="1" applyFont="1" applyBorder="1">
      <alignment vertical="top"/>
    </xf>
    <xf numFmtId="188" fontId="29" fillId="0" borderId="0" xfId="0" applyFont="1" applyAlignment="1">
      <alignment horizontal="left" indent="1"/>
    </xf>
    <xf numFmtId="164" fontId="29" fillId="12" borderId="0" xfId="0" applyNumberFormat="1" applyFont="1" applyFill="1">
      <alignment vertical="top"/>
    </xf>
    <xf numFmtId="188" fontId="33" fillId="0" borderId="0" xfId="0" applyFont="1" applyAlignment="1">
      <alignment horizontal="left" indent="1"/>
    </xf>
    <xf numFmtId="187" fontId="29" fillId="0" borderId="0" xfId="0" applyNumberFormat="1" applyFont="1" applyAlignment="1">
      <alignment horizontal="center"/>
    </xf>
    <xf numFmtId="188" fontId="33" fillId="0" borderId="0" xfId="0" applyFont="1" applyAlignment="1">
      <alignment horizontal="center"/>
    </xf>
    <xf numFmtId="182" fontId="33" fillId="0" borderId="0" xfId="0" applyNumberFormat="1" applyFont="1" applyAlignment="1">
      <alignment horizontal="right"/>
    </xf>
    <xf numFmtId="182" fontId="29" fillId="0" borderId="0" xfId="0" applyNumberFormat="1" applyFont="1" applyAlignment="1">
      <alignment horizontal="right"/>
    </xf>
    <xf numFmtId="182" fontId="29" fillId="0" borderId="15" xfId="0" applyNumberFormat="1" applyFont="1" applyBorder="1" applyAlignment="1">
      <alignment horizontal="right"/>
    </xf>
    <xf numFmtId="182" fontId="29" fillId="0" borderId="16" xfId="0" applyNumberFormat="1" applyFont="1" applyBorder="1" applyAlignment="1">
      <alignment horizontal="right"/>
    </xf>
    <xf numFmtId="182" fontId="29" fillId="0" borderId="17" xfId="0" applyNumberFormat="1" applyFont="1" applyBorder="1" applyAlignment="1">
      <alignment horizontal="right"/>
    </xf>
    <xf numFmtId="182" fontId="29" fillId="0" borderId="19" xfId="0" applyNumberFormat="1" applyFont="1" applyBorder="1" applyAlignment="1">
      <alignment horizontal="right"/>
    </xf>
    <xf numFmtId="182" fontId="29" fillId="0" borderId="14" xfId="0" applyNumberFormat="1" applyFont="1" applyBorder="1" applyAlignment="1">
      <alignment horizontal="right"/>
    </xf>
    <xf numFmtId="182" fontId="29" fillId="0" borderId="18" xfId="0" applyNumberFormat="1" applyFont="1" applyBorder="1" applyAlignment="1">
      <alignment horizontal="right"/>
    </xf>
    <xf numFmtId="182" fontId="29" fillId="0" borderId="1" xfId="0" applyNumberFormat="1" applyFont="1" applyBorder="1" applyAlignment="1">
      <alignment horizontal="right"/>
    </xf>
    <xf numFmtId="182" fontId="29" fillId="0" borderId="20" xfId="0" applyNumberFormat="1" applyFont="1" applyBorder="1" applyAlignment="1">
      <alignment horizontal="right"/>
    </xf>
    <xf numFmtId="187" fontId="29" fillId="0" borderId="0" xfId="0" applyNumberFormat="1" applyFont="1" applyAlignment="1">
      <alignment horizontal="left"/>
    </xf>
    <xf numFmtId="164" fontId="42" fillId="12" borderId="0" xfId="0" applyNumberFormat="1" applyFont="1" applyFill="1" applyAlignment="1">
      <alignment horizontal="centerContinuous"/>
    </xf>
    <xf numFmtId="188" fontId="43" fillId="0" borderId="0" xfId="0" applyFont="1" applyAlignment="1">
      <alignment horizontal="centerContinuous"/>
    </xf>
    <xf numFmtId="187" fontId="30" fillId="0" borderId="0" xfId="0" applyNumberFormat="1" applyFont="1" applyAlignment="1">
      <alignment horizontal="left"/>
    </xf>
    <xf numFmtId="188" fontId="44" fillId="0" borderId="0" xfId="0" applyFont="1">
      <alignment vertical="top"/>
    </xf>
    <xf numFmtId="188" fontId="1" fillId="0" borderId="0" xfId="0" applyFont="1">
      <alignment vertical="top"/>
    </xf>
    <xf numFmtId="188" fontId="45" fillId="15" borderId="0" xfId="0" applyFont="1" applyFill="1">
      <alignment vertical="top"/>
    </xf>
    <xf numFmtId="188" fontId="32" fillId="0" borderId="0" xfId="0" applyFont="1" applyFill="1" applyBorder="1">
      <alignment vertical="top"/>
    </xf>
    <xf numFmtId="192" fontId="32" fillId="14" borderId="25" xfId="50" applyFont="1" applyFill="1" applyBorder="1">
      <alignment vertical="top"/>
    </xf>
    <xf numFmtId="192" fontId="49" fillId="13" borderId="25" xfId="50" applyFont="1" applyFill="1" applyBorder="1">
      <alignment vertical="top"/>
    </xf>
    <xf numFmtId="188" fontId="49" fillId="13" borderId="25" xfId="0" applyFont="1" applyFill="1" applyBorder="1">
      <alignment vertical="top"/>
    </xf>
    <xf numFmtId="188" fontId="1" fillId="14" borderId="0" xfId="0" applyFont="1" applyFill="1">
      <alignment vertical="top"/>
    </xf>
    <xf numFmtId="188" fontId="47" fillId="14" borderId="0" xfId="0" applyFont="1" applyFill="1">
      <alignment vertical="top"/>
    </xf>
    <xf numFmtId="192" fontId="1" fillId="0" borderId="0" xfId="50" applyFont="1">
      <alignment vertical="top"/>
    </xf>
    <xf numFmtId="192" fontId="45" fillId="15" borderId="0" xfId="50" applyFont="1" applyFill="1">
      <alignment vertical="top"/>
    </xf>
    <xf numFmtId="188" fontId="46" fillId="0" borderId="0" xfId="0" applyFont="1">
      <alignment vertical="top"/>
    </xf>
    <xf numFmtId="188" fontId="50" fillId="15" borderId="0" xfId="0" applyFont="1" applyFill="1" applyAlignment="1">
      <alignment horizontal="right" vertical="top"/>
    </xf>
    <xf numFmtId="188" fontId="51" fillId="14" borderId="0" xfId="0" applyFont="1" applyFill="1" applyAlignment="1">
      <alignment horizontal="right" vertical="top"/>
    </xf>
    <xf numFmtId="188" fontId="51" fillId="0" borderId="0" xfId="0" applyFont="1" applyAlignment="1">
      <alignment horizontal="right" vertical="top"/>
    </xf>
    <xf numFmtId="188" fontId="47" fillId="0" borderId="0" xfId="0" applyFont="1">
      <alignment vertical="top"/>
    </xf>
    <xf numFmtId="188" fontId="47" fillId="0" borderId="0" xfId="0" applyFont="1" applyBorder="1">
      <alignment vertical="top"/>
    </xf>
    <xf numFmtId="188" fontId="1" fillId="0" borderId="1" xfId="0" applyFont="1" applyBorder="1" applyAlignment="1">
      <alignment horizontal="left" vertical="top" indent="1"/>
    </xf>
    <xf numFmtId="188" fontId="1" fillId="0" borderId="1" xfId="0" applyFont="1" applyBorder="1">
      <alignment vertical="top"/>
    </xf>
    <xf numFmtId="188" fontId="48" fillId="13" borderId="25" xfId="0" applyFont="1" applyFill="1" applyBorder="1">
      <alignment vertical="top"/>
    </xf>
    <xf numFmtId="189" fontId="48" fillId="13" borderId="24" xfId="47" applyFont="1" applyFill="1" applyBorder="1">
      <alignment vertical="top"/>
    </xf>
    <xf numFmtId="189" fontId="46" fillId="14" borderId="24" xfId="47" applyFont="1" applyFill="1" applyBorder="1">
      <alignment vertical="top"/>
    </xf>
    <xf numFmtId="193" fontId="1" fillId="0" borderId="0" xfId="51" applyFont="1">
      <alignment vertical="top"/>
    </xf>
    <xf numFmtId="0" fontId="45" fillId="15" borderId="0" xfId="0" applyNumberFormat="1" applyFont="1" applyFill="1">
      <alignment vertical="top"/>
    </xf>
    <xf numFmtId="0" fontId="1" fillId="14" borderId="0" xfId="0" applyNumberFormat="1" applyFont="1" applyFill="1">
      <alignment vertical="top"/>
    </xf>
    <xf numFmtId="0" fontId="1" fillId="0" borderId="0" xfId="0" applyNumberFormat="1" applyFont="1">
      <alignment vertical="top"/>
    </xf>
    <xf numFmtId="0" fontId="1" fillId="0" borderId="1" xfId="0" applyNumberFormat="1" applyFont="1" applyBorder="1">
      <alignment vertical="top"/>
    </xf>
    <xf numFmtId="0" fontId="47" fillId="0" borderId="0" xfId="0" applyNumberFormat="1" applyFont="1" applyBorder="1">
      <alignment vertical="top"/>
    </xf>
    <xf numFmtId="188" fontId="1" fillId="0" borderId="0" xfId="0" applyFont="1" applyBorder="1">
      <alignment vertical="top"/>
    </xf>
    <xf numFmtId="0" fontId="1" fillId="0" borderId="0" xfId="0" applyNumberFormat="1" applyFont="1" applyBorder="1">
      <alignment vertical="top"/>
    </xf>
    <xf numFmtId="188" fontId="1" fillId="0" borderId="27" xfId="0" applyFont="1" applyBorder="1">
      <alignment vertical="top"/>
    </xf>
    <xf numFmtId="0" fontId="1" fillId="0" borderId="27" xfId="0" applyNumberFormat="1" applyFont="1" applyBorder="1">
      <alignment vertical="top"/>
    </xf>
    <xf numFmtId="188" fontId="1" fillId="0" borderId="28" xfId="0" applyFont="1" applyBorder="1">
      <alignment vertical="top"/>
    </xf>
    <xf numFmtId="0" fontId="1" fillId="0" borderId="28" xfId="0" applyNumberFormat="1" applyFont="1" applyBorder="1">
      <alignment vertical="top"/>
    </xf>
    <xf numFmtId="189" fontId="1" fillId="0" borderId="0" xfId="47" applyFont="1">
      <alignment vertical="top"/>
    </xf>
    <xf numFmtId="189" fontId="46" fillId="0" borderId="0" xfId="47" applyFont="1">
      <alignment vertical="top"/>
    </xf>
    <xf numFmtId="0" fontId="47" fillId="0" borderId="0" xfId="0" applyNumberFormat="1" applyFont="1">
      <alignment vertical="top"/>
    </xf>
    <xf numFmtId="189" fontId="47" fillId="0" borderId="0" xfId="47" applyFont="1">
      <alignment vertical="top"/>
    </xf>
    <xf numFmtId="192" fontId="46" fillId="14" borderId="24" xfId="50" applyFont="1" applyFill="1" applyBorder="1">
      <alignment vertical="top"/>
    </xf>
    <xf numFmtId="188" fontId="51" fillId="0" borderId="0" xfId="0" applyFont="1" applyBorder="1" applyAlignment="1">
      <alignment horizontal="right" vertical="top"/>
    </xf>
    <xf numFmtId="188" fontId="1" fillId="14" borderId="28" xfId="0" applyFont="1" applyFill="1" applyBorder="1">
      <alignment vertical="top"/>
    </xf>
    <xf numFmtId="188" fontId="46" fillId="14" borderId="0" xfId="0" applyFont="1" applyFill="1" applyBorder="1">
      <alignment vertical="top"/>
    </xf>
    <xf numFmtId="188" fontId="46" fillId="0" borderId="0" xfId="0" applyFont="1" applyFill="1" applyBorder="1">
      <alignment vertical="top"/>
    </xf>
    <xf numFmtId="188" fontId="46" fillId="14" borderId="26" xfId="0" applyFont="1" applyFill="1" applyBorder="1">
      <alignment vertical="top"/>
    </xf>
    <xf numFmtId="188" fontId="46" fillId="14" borderId="24" xfId="0" applyFont="1" applyFill="1" applyBorder="1">
      <alignment vertical="top"/>
    </xf>
    <xf numFmtId="188" fontId="46" fillId="14" borderId="25" xfId="0" applyFont="1" applyFill="1" applyBorder="1">
      <alignment vertical="top"/>
    </xf>
    <xf numFmtId="194" fontId="46" fillId="14" borderId="25" xfId="0" applyNumberFormat="1" applyFont="1" applyFill="1" applyBorder="1">
      <alignment vertical="top"/>
    </xf>
    <xf numFmtId="0" fontId="1" fillId="0" borderId="1" xfId="0" applyNumberFormat="1" applyFont="1" applyBorder="1" applyAlignment="1">
      <alignment horizontal="left" vertical="top" indent="1"/>
    </xf>
    <xf numFmtId="0" fontId="1" fillId="0" borderId="0" xfId="0" applyNumberFormat="1" applyFont="1" applyBorder="1" applyAlignment="1">
      <alignment horizontal="left" vertical="top" indent="1"/>
    </xf>
    <xf numFmtId="0" fontId="1" fillId="0" borderId="0" xfId="0" applyNumberFormat="1" applyFont="1" applyFill="1" applyBorder="1">
      <alignment vertical="top"/>
    </xf>
    <xf numFmtId="188" fontId="47" fillId="0" borderId="0" xfId="0" applyFont="1" applyFill="1">
      <alignment vertical="top"/>
    </xf>
    <xf numFmtId="192" fontId="46" fillId="0" borderId="0" xfId="50" applyFont="1">
      <alignment vertical="top"/>
    </xf>
    <xf numFmtId="192" fontId="46" fillId="14" borderId="0" xfId="50" applyFont="1" applyFill="1">
      <alignment vertical="top"/>
    </xf>
    <xf numFmtId="191" fontId="29" fillId="0" borderId="14" xfId="49" applyFont="1" applyBorder="1">
      <alignment vertical="top"/>
    </xf>
    <xf numFmtId="188" fontId="52" fillId="13" borderId="24" xfId="0" applyFont="1" applyFill="1" applyBorder="1">
      <alignment vertical="top"/>
    </xf>
    <xf numFmtId="192" fontId="32" fillId="0" borderId="0" xfId="50" applyFont="1">
      <alignment vertical="top"/>
    </xf>
    <xf numFmtId="192" fontId="49" fillId="0" borderId="15" xfId="50" applyFont="1" applyBorder="1">
      <alignment vertical="top"/>
    </xf>
    <xf numFmtId="189" fontId="49" fillId="0" borderId="17" xfId="47" applyFont="1" applyBorder="1">
      <alignment vertical="top"/>
    </xf>
    <xf numFmtId="192" fontId="49" fillId="0" borderId="19" xfId="50" applyFont="1" applyBorder="1">
      <alignment vertical="top"/>
    </xf>
    <xf numFmtId="189" fontId="49" fillId="0" borderId="14" xfId="47" applyFont="1" applyBorder="1">
      <alignment vertical="top"/>
    </xf>
    <xf numFmtId="192" fontId="49" fillId="0" borderId="18" xfId="50" applyFont="1" applyBorder="1">
      <alignment vertical="top"/>
    </xf>
    <xf numFmtId="189" fontId="49" fillId="0" borderId="20" xfId="47" applyFont="1" applyBorder="1">
      <alignment vertical="top"/>
    </xf>
    <xf numFmtId="193" fontId="1" fillId="0" borderId="1" xfId="51" applyFont="1" applyBorder="1">
      <alignment vertical="top"/>
    </xf>
    <xf numFmtId="0" fontId="1" fillId="0" borderId="0" xfId="51" applyNumberFormat="1" applyFont="1">
      <alignment vertical="top"/>
    </xf>
    <xf numFmtId="0" fontId="1" fillId="0" borderId="1" xfId="51" applyNumberFormat="1" applyFont="1" applyBorder="1">
      <alignment vertical="top"/>
    </xf>
    <xf numFmtId="0" fontId="1" fillId="0" borderId="0" xfId="49" applyNumberFormat="1" applyFont="1">
      <alignment vertical="top"/>
    </xf>
    <xf numFmtId="0" fontId="47" fillId="0" borderId="0" xfId="0" applyNumberFormat="1" applyFont="1" applyFill="1">
      <alignment vertical="top"/>
    </xf>
    <xf numFmtId="188" fontId="1" fillId="0" borderId="0" xfId="0" applyFont="1" applyFill="1">
      <alignment vertical="top"/>
    </xf>
    <xf numFmtId="188" fontId="51" fillId="0" borderId="0" xfId="0" applyFont="1" applyFill="1" applyAlignment="1">
      <alignment horizontal="right" vertical="top"/>
    </xf>
    <xf numFmtId="0" fontId="1" fillId="0" borderId="0" xfId="0" applyNumberFormat="1" applyFont="1" applyFill="1">
      <alignment vertical="top"/>
    </xf>
    <xf numFmtId="0" fontId="53" fillId="0" borderId="0" xfId="0" applyNumberFormat="1" applyFont="1" applyFill="1">
      <alignment vertical="top"/>
    </xf>
    <xf numFmtId="0" fontId="1" fillId="0" borderId="0" xfId="0" applyNumberFormat="1" applyFont="1" applyFill="1" applyAlignment="1">
      <alignment horizontal="left" vertical="top" indent="1"/>
    </xf>
    <xf numFmtId="0" fontId="1" fillId="0" borderId="1" xfId="0" applyNumberFormat="1" applyFont="1" applyFill="1" applyBorder="1" applyAlignment="1">
      <alignment horizontal="left" vertical="top" indent="1"/>
    </xf>
    <xf numFmtId="188" fontId="1" fillId="0" borderId="1" xfId="0" applyFont="1" applyFill="1" applyBorder="1">
      <alignment vertical="top"/>
    </xf>
    <xf numFmtId="0" fontId="1" fillId="0" borderId="1" xfId="0" applyNumberFormat="1" applyFont="1" applyFill="1" applyBorder="1">
      <alignment vertical="top"/>
    </xf>
    <xf numFmtId="188" fontId="46" fillId="0" borderId="0" xfId="0" applyFont="1" applyFill="1">
      <alignment vertical="top"/>
    </xf>
    <xf numFmtId="194" fontId="54" fillId="0" borderId="0" xfId="0" applyNumberFormat="1" applyFont="1" applyFill="1" applyBorder="1">
      <alignment vertical="top"/>
    </xf>
    <xf numFmtId="189" fontId="1" fillId="0" borderId="1" xfId="47" applyFont="1" applyFill="1" applyBorder="1">
      <alignment vertical="top"/>
    </xf>
    <xf numFmtId="188" fontId="55" fillId="0" borderId="0" xfId="0" applyFont="1" applyAlignment="1">
      <alignment horizontal="right" vertical="top"/>
    </xf>
    <xf numFmtId="0" fontId="47" fillId="0" borderId="16" xfId="0" applyNumberFormat="1" applyFont="1" applyBorder="1">
      <alignment vertical="top"/>
    </xf>
    <xf numFmtId="194" fontId="56" fillId="0" borderId="16" xfId="0" applyNumberFormat="1" applyFont="1" applyFill="1" applyBorder="1">
      <alignment vertical="top"/>
    </xf>
    <xf numFmtId="194" fontId="56" fillId="14" borderId="25" xfId="0" applyNumberFormat="1" applyFont="1" applyFill="1" applyBorder="1">
      <alignment vertical="top"/>
    </xf>
    <xf numFmtId="188" fontId="47" fillId="0" borderId="16" xfId="0" applyFont="1" applyBorder="1">
      <alignment vertical="top"/>
    </xf>
    <xf numFmtId="188" fontId="47" fillId="0" borderId="0" xfId="0" applyFont="1" applyAlignment="1">
      <alignment horizontal="right" vertical="top"/>
    </xf>
    <xf numFmtId="192" fontId="1" fillId="0" borderId="0" xfId="50" applyFont="1" applyAlignment="1">
      <alignment horizontal="centerContinuous" vertical="top"/>
    </xf>
    <xf numFmtId="182" fontId="0" fillId="0" borderId="0" xfId="0" applyNumberFormat="1">
      <alignment vertical="top"/>
    </xf>
    <xf numFmtId="182" fontId="57" fillId="0" borderId="0" xfId="0" applyNumberFormat="1" applyFont="1">
      <alignment vertical="top"/>
    </xf>
    <xf numFmtId="182" fontId="0" fillId="16" borderId="0" xfId="0" applyNumberFormat="1" applyFill="1">
      <alignment vertical="top"/>
    </xf>
    <xf numFmtId="0" fontId="1" fillId="0" borderId="0" xfId="0" quotePrefix="1" applyNumberFormat="1" applyFont="1">
      <alignment vertical="top"/>
    </xf>
    <xf numFmtId="182" fontId="0" fillId="17" borderId="0" xfId="0" applyNumberFormat="1" applyFill="1">
      <alignment vertical="top"/>
    </xf>
    <xf numFmtId="182" fontId="0" fillId="0" borderId="0" xfId="0" applyNumberFormat="1" applyFill="1">
      <alignment vertical="top"/>
    </xf>
  </cellXfs>
  <cellStyles count="52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urrency [2]" xfId="6" xr:uid="{00000000-0005-0000-0000-000004000000}"/>
    <cellStyle name="DateLong" xfId="49" xr:uid="{DBC94D7C-7951-4C34-B0E8-E41D3047A6BC}"/>
    <cellStyle name="DateShort" xfId="50" xr:uid="{9433B702-C03D-4122-9205-EABCD4ADB41C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48" xr:uid="{CAC721D8-3C21-4981-929B-5264B13BCC55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47" builtinId="5" customBuiltin="1"/>
    <cellStyle name="Percent 2" xfId="11" xr:uid="{00000000-0005-0000-0000-00002E000000}"/>
    <cellStyle name="Year" xfId="51" xr:uid="{3B63BEE4-C03D-430F-8DBB-DFB61CED81ED}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006600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ABC512-0C88-44E4-BDB7-C9BC6280A6A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542a0cd-c2b7-4dac-be70-99f5d2d30b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6E30-0B73-4BAD-A7FE-1AD0CF316A1B}">
  <sheetPr>
    <pageSetUpPr autoPageBreaks="0" fitToPage="1"/>
  </sheetPr>
  <dimension ref="A1:O232"/>
  <sheetViews>
    <sheetView showGridLines="0" tabSelected="1" zoomScale="85" zoomScaleNormal="85" workbookViewId="0">
      <pane xSplit="9" ySplit="3" topLeftCell="J104" activePane="bottomRight" state="frozen"/>
      <selection pane="topRight" activeCell="J1" sqref="J1"/>
      <selection pane="bottomLeft" activeCell="A4" sqref="A4"/>
      <selection pane="bottomRight" activeCell="J131" sqref="J131"/>
    </sheetView>
  </sheetViews>
  <sheetFormatPr defaultColWidth="0" defaultRowHeight="13.8"/>
  <cols>
    <col min="1" max="3" width="1.77734375" style="150" customWidth="1"/>
    <col min="4" max="4" width="1.77734375" style="163" customWidth="1"/>
    <col min="5" max="5" width="50.77734375" style="174" customWidth="1"/>
    <col min="6" max="6" width="11.77734375" style="150" customWidth="1"/>
    <col min="7" max="7" width="10.77734375" style="174" customWidth="1"/>
    <col min="8" max="8" width="11.77734375" style="150" customWidth="1"/>
    <col min="9" max="9" width="1.77734375" style="150" customWidth="1"/>
    <col min="10" max="15" width="11.77734375" style="150" customWidth="1"/>
    <col min="16" max="16384" width="8.88671875" style="150" hidden="1"/>
  </cols>
  <sheetData>
    <row r="1" spans="1:15" s="151" customFormat="1">
      <c r="A1" s="151" t="str">
        <f>company</f>
        <v>YHF Ltd.</v>
      </c>
      <c r="D1" s="161"/>
      <c r="E1" s="172"/>
      <c r="G1" s="172"/>
    </row>
    <row r="2" spans="1:15" s="151" customFormat="1">
      <c r="A2" s="151" t="str" cm="1">
        <f t="array" ref="A2">topic</f>
        <v>CFM Topic: Debt</v>
      </c>
      <c r="D2" s="161"/>
      <c r="E2" s="172"/>
      <c r="G2" s="172"/>
    </row>
    <row r="3" spans="1:15" s="151" customFormat="1">
      <c r="A3" s="151" t="s">
        <v>107</v>
      </c>
      <c r="D3" s="161"/>
      <c r="E3" s="172"/>
      <c r="F3" s="151" t="s">
        <v>109</v>
      </c>
      <c r="G3" s="172" t="s">
        <v>110</v>
      </c>
      <c r="H3" s="159" t="s">
        <v>111</v>
      </c>
      <c r="J3" s="159">
        <f t="shared" ref="J3:O3" si="0">J$9</f>
        <v>43982</v>
      </c>
      <c r="K3" s="159">
        <f t="shared" si="0"/>
        <v>44012</v>
      </c>
      <c r="L3" s="159">
        <f t="shared" si="0"/>
        <v>44043</v>
      </c>
      <c r="M3" s="159">
        <f t="shared" si="0"/>
        <v>44074</v>
      </c>
      <c r="N3" s="159">
        <f t="shared" si="0"/>
        <v>44104</v>
      </c>
      <c r="O3" s="159">
        <f t="shared" si="0"/>
        <v>44135</v>
      </c>
    </row>
    <row r="6" spans="1:15" s="156" customFormat="1">
      <c r="A6" s="157" t="s">
        <v>108</v>
      </c>
      <c r="D6" s="162"/>
      <c r="E6" s="173"/>
      <c r="G6" s="173"/>
    </row>
    <row r="8" spans="1:15">
      <c r="E8" s="174" t="s">
        <v>131</v>
      </c>
      <c r="F8" s="187">
        <f>start_date</f>
        <v>43952</v>
      </c>
      <c r="G8" s="174" t="s">
        <v>103</v>
      </c>
    </row>
    <row r="9" spans="1:15">
      <c r="E9" s="174" t="s">
        <v>108</v>
      </c>
      <c r="G9" s="174" t="s">
        <v>103</v>
      </c>
      <c r="J9" s="158" cm="1">
        <f t="array" ref="J9:O9">EOMONTH( start_date, _xlfn.SEQUENCE( 1, periods, 0, 1 ) )</f>
        <v>43982</v>
      </c>
      <c r="K9" s="158">
        <v>44012</v>
      </c>
      <c r="L9" s="158">
        <v>44043</v>
      </c>
      <c r="M9" s="158">
        <v>44074</v>
      </c>
      <c r="N9" s="158">
        <v>44104</v>
      </c>
      <c r="O9" s="158">
        <v>44135</v>
      </c>
    </row>
    <row r="10" spans="1:15">
      <c r="E10" s="174" t="s">
        <v>134</v>
      </c>
      <c r="G10" s="174" t="s">
        <v>135</v>
      </c>
      <c r="J10" s="150" cm="1">
        <f t="array" ref="J10:O10" xml:space="preserve"> _xlfn.SEQUENCE( 1, periods, 1, 1 )</f>
        <v>1</v>
      </c>
      <c r="K10" s="150">
        <v>2</v>
      </c>
      <c r="L10" s="150">
        <v>3</v>
      </c>
      <c r="M10" s="150">
        <v>4</v>
      </c>
      <c r="N10" s="150">
        <v>5</v>
      </c>
      <c r="O10" s="150">
        <v>6</v>
      </c>
    </row>
    <row r="11" spans="1:15">
      <c r="E11" s="174" t="s">
        <v>132</v>
      </c>
      <c r="G11" s="174" t="s">
        <v>133</v>
      </c>
      <c r="J11" s="150">
        <f xml:space="preserve"> IF( J10 = 1, 1, 0 )</f>
        <v>1</v>
      </c>
      <c r="K11" s="150">
        <f t="shared" ref="K11:O11" si="1" xml:space="preserve"> IF( K10 = 1, 1, 0 )</f>
        <v>0</v>
      </c>
      <c r="L11" s="150">
        <f t="shared" si="1"/>
        <v>0</v>
      </c>
      <c r="M11" s="150">
        <f t="shared" si="1"/>
        <v>0</v>
      </c>
      <c r="N11" s="150">
        <f t="shared" si="1"/>
        <v>0</v>
      </c>
      <c r="O11" s="150">
        <f t="shared" si="1"/>
        <v>0</v>
      </c>
    </row>
    <row r="13" spans="1:15" s="156" customFormat="1">
      <c r="A13" s="157" t="s">
        <v>112</v>
      </c>
      <c r="D13" s="162"/>
      <c r="E13" s="173"/>
      <c r="G13" s="173"/>
    </row>
    <row r="15" spans="1:15">
      <c r="F15" s="158">
        <v>43951</v>
      </c>
    </row>
    <row r="16" spans="1:15">
      <c r="E16" s="174" t="s">
        <v>38</v>
      </c>
      <c r="F16" s="194">
        <f>CaseData!$S$43</f>
        <v>686848</v>
      </c>
      <c r="G16" s="174" t="s">
        <v>113</v>
      </c>
      <c r="J16" s="216">
        <f>J$172</f>
        <v>681851.47796875006</v>
      </c>
      <c r="K16" s="216">
        <f t="shared" ref="K16:O16" si="2">K$172</f>
        <v>678153.1387949218</v>
      </c>
      <c r="L16" s="216">
        <f t="shared" si="2"/>
        <v>676192.02982458496</v>
      </c>
      <c r="M16" s="216">
        <f t="shared" si="2"/>
        <v>680818.36851501465</v>
      </c>
      <c r="N16" s="216">
        <f t="shared" si="2"/>
        <v>678745.63890857692</v>
      </c>
      <c r="O16" s="216">
        <f t="shared" si="2"/>
        <v>677079.92599718878</v>
      </c>
    </row>
    <row r="17" spans="1:15">
      <c r="E17" s="174" t="s">
        <v>114</v>
      </c>
      <c r="F17" s="194">
        <f>CaseData!$S$44</f>
        <v>191177</v>
      </c>
      <c r="G17" s="174" t="s">
        <v>113</v>
      </c>
      <c r="J17" s="224">
        <f>CaseData!E$54</f>
        <v>193220</v>
      </c>
      <c r="K17" s="224">
        <f>CaseData!F$54</f>
        <v>189600</v>
      </c>
      <c r="L17" s="224">
        <f>CaseData!G$54</f>
        <v>186312</v>
      </c>
      <c r="M17" s="224">
        <f>CaseData!H$54</f>
        <v>185545</v>
      </c>
      <c r="N17" s="224">
        <f>CaseData!I$54</f>
        <v>185313</v>
      </c>
      <c r="O17" s="224">
        <f>CaseData!J$54</f>
        <v>183795</v>
      </c>
    </row>
    <row r="18" spans="1:15">
      <c r="E18" s="174" t="s">
        <v>112</v>
      </c>
      <c r="F18" s="195">
        <f>CaseData!$S$45</f>
        <v>3.5927334355074092</v>
      </c>
      <c r="G18" s="174" t="s">
        <v>115</v>
      </c>
      <c r="J18" s="225">
        <f xml:space="preserve"> IFERROR( J16 / J17, "to be calc" )</f>
        <v>3.5288866471832629</v>
      </c>
      <c r="K18" s="225">
        <f t="shared" ref="K18" si="3" xml:space="preserve"> IFERROR( K16 / K17, "to be calc" )</f>
        <v>3.5767570611546509</v>
      </c>
      <c r="L18" s="225">
        <f t="shared" ref="L18" si="4" xml:space="preserve"> IFERROR( L16 / L17, "to be calc" )</f>
        <v>3.6293530734713007</v>
      </c>
      <c r="M18" s="225">
        <f t="shared" ref="M18" si="5" xml:space="preserve"> IFERROR( M16 / M17, "to be calc" )</f>
        <v>3.6692897599774428</v>
      </c>
      <c r="N18" s="225">
        <f t="shared" ref="N18" si="6" xml:space="preserve"> IFERROR( N16 / N17, "to be calc" )</f>
        <v>3.6626984556322379</v>
      </c>
      <c r="O18" s="225">
        <f t="shared" ref="O18" si="7" xml:space="preserve"> IFERROR( O16 / O17, "to be calc" )</f>
        <v>3.6838865366151898</v>
      </c>
    </row>
    <row r="20" spans="1:15" s="156" customFormat="1">
      <c r="A20" s="157" t="s">
        <v>46</v>
      </c>
      <c r="D20" s="162"/>
      <c r="E20" s="173"/>
      <c r="G20" s="173"/>
    </row>
    <row r="22" spans="1:15">
      <c r="E22" s="174" t="s">
        <v>45</v>
      </c>
      <c r="G22" s="174" t="s">
        <v>113</v>
      </c>
      <c r="H22" s="150">
        <f t="shared" ref="H22:H23" si="8">SUM( J22:O22)</f>
        <v>51072.896999999997</v>
      </c>
      <c r="J22" s="160">
        <f>CaseData!E$56</f>
        <v>10393.67</v>
      </c>
      <c r="K22" s="160">
        <f>CaseData!F$56</f>
        <v>8667.5730000000003</v>
      </c>
      <c r="L22" s="160">
        <f>CaseData!G$56</f>
        <v>6355.84</v>
      </c>
      <c r="M22" s="160">
        <f>CaseData!H$56</f>
        <v>8884.2049999999999</v>
      </c>
      <c r="N22" s="160">
        <f>CaseData!I$56</f>
        <v>11026.2</v>
      </c>
      <c r="O22" s="160">
        <f>CaseData!J$56</f>
        <v>5745.4089999999997</v>
      </c>
    </row>
    <row r="23" spans="1:15">
      <c r="D23" s="163" t="s">
        <v>116</v>
      </c>
      <c r="E23" s="221" t="str">
        <f>E$154</f>
        <v>Interest expenses accrued</v>
      </c>
      <c r="F23" s="222"/>
      <c r="G23" s="223" t="str">
        <f t="shared" ref="G23:I23" si="9">G$154</f>
        <v>USD</v>
      </c>
      <c r="H23" s="222">
        <f t="shared" si="8"/>
        <v>-24452.593711344034</v>
      </c>
      <c r="I23" s="222">
        <f t="shared" si="9"/>
        <v>0</v>
      </c>
      <c r="J23" s="222">
        <f>J$154 * - 1</f>
        <v>-3731.640625</v>
      </c>
      <c r="K23" s="222">
        <f t="shared" ref="K23:O23" si="10">K$154 * - 1</f>
        <v>-3736.4541015625</v>
      </c>
      <c r="L23" s="222">
        <f t="shared" si="10"/>
        <v>-3741.0280395507812</v>
      </c>
      <c r="M23" s="222">
        <f t="shared" si="10"/>
        <v>-6298.9093419901528</v>
      </c>
      <c r="N23" s="222">
        <f t="shared" si="10"/>
        <v>-3420.1031517581937</v>
      </c>
      <c r="O23" s="222">
        <f t="shared" si="10"/>
        <v>-3524.4584514824069</v>
      </c>
    </row>
    <row r="24" spans="1:15">
      <c r="E24" s="176" t="s">
        <v>118</v>
      </c>
      <c r="F24" s="165"/>
      <c r="G24" s="176" t="s">
        <v>113</v>
      </c>
      <c r="H24" s="165">
        <f>SUM( J24:O24)</f>
        <v>26620.303288655967</v>
      </c>
      <c r="I24" s="165"/>
      <c r="J24" s="165">
        <f>SUM(J22:J23)</f>
        <v>6662.0293750000001</v>
      </c>
      <c r="K24" s="165">
        <f t="shared" ref="K24:O24" si="11">SUM(K22:K23)</f>
        <v>4931.1188984375003</v>
      </c>
      <c r="L24" s="165">
        <f t="shared" si="11"/>
        <v>2614.811960449219</v>
      </c>
      <c r="M24" s="165">
        <f t="shared" si="11"/>
        <v>2585.2956580098471</v>
      </c>
      <c r="N24" s="165">
        <f t="shared" si="11"/>
        <v>7606.0968482418066</v>
      </c>
      <c r="O24" s="165">
        <f t="shared" si="11"/>
        <v>2220.9505485175928</v>
      </c>
    </row>
    <row r="26" spans="1:15">
      <c r="E26" s="174" t="s">
        <v>119</v>
      </c>
      <c r="F26" s="170">
        <f>CaseData!$L$11</f>
        <v>0.25</v>
      </c>
      <c r="G26" s="174" t="s">
        <v>121</v>
      </c>
    </row>
    <row r="27" spans="1:15">
      <c r="E27" s="174" t="s">
        <v>122</v>
      </c>
      <c r="G27" s="174" t="s">
        <v>113</v>
      </c>
      <c r="H27" s="177">
        <f>SUM( J27:O27)</f>
        <v>6655.0758221639917</v>
      </c>
      <c r="J27" s="150">
        <f xml:space="preserve"> J$24 * $F$26</f>
        <v>1665.50734375</v>
      </c>
      <c r="K27" s="150">
        <f t="shared" ref="K27:O27" si="12" xml:space="preserve"> K$24 * $F$26</f>
        <v>1232.7797246093751</v>
      </c>
      <c r="L27" s="150">
        <f t="shared" si="12"/>
        <v>653.70299011230475</v>
      </c>
      <c r="M27" s="150">
        <f t="shared" si="12"/>
        <v>646.32391450246178</v>
      </c>
      <c r="N27" s="150">
        <f t="shared" si="12"/>
        <v>1901.5242120604516</v>
      </c>
      <c r="O27" s="150">
        <f t="shared" si="12"/>
        <v>555.23763712939819</v>
      </c>
    </row>
    <row r="29" spans="1:15" s="156" customFormat="1">
      <c r="A29" s="157" t="s">
        <v>59</v>
      </c>
      <c r="D29" s="162"/>
      <c r="E29" s="173"/>
      <c r="G29" s="173"/>
    </row>
    <row r="32" spans="1:15">
      <c r="C32" s="164" t="s">
        <v>123</v>
      </c>
    </row>
    <row r="33" spans="3:15">
      <c r="E33" s="174" t="s">
        <v>45</v>
      </c>
      <c r="G33" s="174" t="s">
        <v>113</v>
      </c>
      <c r="J33" s="160">
        <f>CaseData!E$56</f>
        <v>10393.67</v>
      </c>
      <c r="K33" s="160">
        <f>CaseData!F$56</f>
        <v>8667.5730000000003</v>
      </c>
      <c r="L33" s="160">
        <f>CaseData!G$56</f>
        <v>6355.84</v>
      </c>
      <c r="M33" s="160">
        <f>CaseData!H$56</f>
        <v>8884.2049999999999</v>
      </c>
      <c r="N33" s="160">
        <f>CaseData!I$56</f>
        <v>11026.2</v>
      </c>
      <c r="O33" s="160">
        <f>CaseData!J$56</f>
        <v>5745.4089999999997</v>
      </c>
    </row>
    <row r="34" spans="3:15">
      <c r="E34" s="220" t="str">
        <f>E$142</f>
        <v>Principal addition / (repayment)</v>
      </c>
      <c r="F34" s="216"/>
      <c r="G34" s="218" t="str">
        <f t="shared" ref="G34:O34" si="13">G$142</f>
        <v>USD</v>
      </c>
      <c r="H34" s="216"/>
      <c r="I34" s="216"/>
      <c r="J34" s="216">
        <f t="shared" si="13"/>
        <v>-2179.6875</v>
      </c>
      <c r="K34" s="216">
        <f t="shared" si="13"/>
        <v>-2152.44140625</v>
      </c>
      <c r="L34" s="216">
        <f t="shared" si="13"/>
        <v>-2125.535888671875</v>
      </c>
      <c r="M34" s="216">
        <f t="shared" si="13"/>
        <v>12901.033309936523</v>
      </c>
      <c r="N34" s="216">
        <f t="shared" si="13"/>
        <v>-2072.7296064376833</v>
      </c>
      <c r="O34" s="216">
        <f t="shared" si="13"/>
        <v>-2046.8204863572123</v>
      </c>
    </row>
    <row r="35" spans="3:15">
      <c r="D35" s="163" t="s">
        <v>116</v>
      </c>
      <c r="E35" s="220" t="str">
        <f>E$154</f>
        <v>Interest expenses accrued</v>
      </c>
      <c r="F35" s="216"/>
      <c r="G35" s="218" t="str">
        <f t="shared" ref="G35" si="14">G$154</f>
        <v>USD</v>
      </c>
      <c r="H35" s="216"/>
      <c r="I35" s="216"/>
      <c r="J35" s="216">
        <f>J$154 * - 1</f>
        <v>-3731.640625</v>
      </c>
      <c r="K35" s="216">
        <f t="shared" ref="K35:O35" si="15">K$154 * - 1</f>
        <v>-3736.4541015625</v>
      </c>
      <c r="L35" s="216">
        <f t="shared" si="15"/>
        <v>-3741.0280395507812</v>
      </c>
      <c r="M35" s="216">
        <f t="shared" si="15"/>
        <v>-6298.9093419901528</v>
      </c>
      <c r="N35" s="216">
        <f t="shared" si="15"/>
        <v>-3420.1031517581937</v>
      </c>
      <c r="O35" s="216">
        <f t="shared" si="15"/>
        <v>-3524.4584514824069</v>
      </c>
    </row>
    <row r="36" spans="3:15">
      <c r="D36" s="163" t="s">
        <v>116</v>
      </c>
      <c r="E36" s="196" t="str">
        <f>E$27</f>
        <v>Taxes paid</v>
      </c>
      <c r="F36" s="166"/>
      <c r="G36" s="175" t="str">
        <f t="shared" ref="G36" si="16">G$27</f>
        <v>USD</v>
      </c>
      <c r="H36" s="166"/>
      <c r="I36" s="166"/>
      <c r="J36" s="167">
        <f>J$27 * - 1</f>
        <v>-1665.50734375</v>
      </c>
      <c r="K36" s="167">
        <f t="shared" ref="K36:O36" si="17">K$27 * - 1</f>
        <v>-1232.7797246093751</v>
      </c>
      <c r="L36" s="167">
        <f t="shared" si="17"/>
        <v>-653.70299011230475</v>
      </c>
      <c r="M36" s="167">
        <f t="shared" si="17"/>
        <v>-646.32391450246178</v>
      </c>
      <c r="N36" s="167">
        <f t="shared" si="17"/>
        <v>-1901.5242120604516</v>
      </c>
      <c r="O36" s="167">
        <f t="shared" si="17"/>
        <v>-555.23763712939819</v>
      </c>
    </row>
    <row r="37" spans="3:15">
      <c r="E37" s="174" t="s">
        <v>123</v>
      </c>
      <c r="J37" s="150">
        <f>SUM(J33:J36)</f>
        <v>2816.8345312500001</v>
      </c>
      <c r="K37" s="150">
        <f t="shared" ref="K37:O37" si="18">SUM(K33:K36)</f>
        <v>1545.8977675781252</v>
      </c>
      <c r="L37" s="150">
        <f t="shared" si="18"/>
        <v>-164.42691833496076</v>
      </c>
      <c r="M37" s="150">
        <f t="shared" si="18"/>
        <v>14840.005053443911</v>
      </c>
      <c r="N37" s="150">
        <f t="shared" si="18"/>
        <v>3631.8430297436726</v>
      </c>
      <c r="O37" s="150">
        <f t="shared" si="18"/>
        <v>-381.10757496901772</v>
      </c>
    </row>
    <row r="39" spans="3:15" s="177" customFormat="1">
      <c r="D39" s="188"/>
      <c r="E39" s="178" t="s">
        <v>136</v>
      </c>
      <c r="F39" s="190">
        <f>CaseData!$E$8</f>
        <v>12473</v>
      </c>
      <c r="G39" s="178" t="s">
        <v>113</v>
      </c>
    </row>
    <row r="40" spans="3:15" s="177" customFormat="1">
      <c r="D40" s="188"/>
      <c r="E40" s="178"/>
      <c r="G40" s="178"/>
    </row>
    <row r="41" spans="3:15" s="177" customFormat="1">
      <c r="D41" s="188"/>
      <c r="E41" s="180" t="s">
        <v>126</v>
      </c>
      <c r="F41" s="179"/>
      <c r="G41" s="180" t="s">
        <v>113</v>
      </c>
      <c r="H41" s="179"/>
      <c r="I41" s="179"/>
      <c r="J41" s="179">
        <f t="shared" ref="J41:O41" si="19" xml:space="preserve"> IF( J$11 = 1, $F$39, I43)</f>
        <v>12473</v>
      </c>
      <c r="K41" s="179">
        <f t="shared" si="19"/>
        <v>9656.1654687499995</v>
      </c>
      <c r="L41" s="179">
        <f t="shared" si="19"/>
        <v>8110.2677011718743</v>
      </c>
      <c r="M41" s="179">
        <f t="shared" si="19"/>
        <v>8274.6946195068358</v>
      </c>
      <c r="N41" s="179">
        <f t="shared" si="19"/>
        <v>0</v>
      </c>
      <c r="O41" s="179">
        <f t="shared" si="19"/>
        <v>0</v>
      </c>
    </row>
    <row r="42" spans="3:15" s="177" customFormat="1">
      <c r="D42" s="188"/>
      <c r="E42" s="197" t="s">
        <v>125</v>
      </c>
      <c r="G42" s="178" t="s">
        <v>113</v>
      </c>
      <c r="J42" s="177">
        <f xml:space="preserve"> - MIN( J$37, J$41 )</f>
        <v>-2816.8345312500001</v>
      </c>
      <c r="K42" s="177">
        <f t="shared" ref="K42:O42" si="20" xml:space="preserve"> - MIN( K$37, K$41 )</f>
        <v>-1545.8977675781252</v>
      </c>
      <c r="L42" s="177">
        <f t="shared" si="20"/>
        <v>164.42691833496076</v>
      </c>
      <c r="M42" s="177">
        <f t="shared" si="20"/>
        <v>-8274.6946195068358</v>
      </c>
      <c r="N42" s="177">
        <f t="shared" si="20"/>
        <v>0</v>
      </c>
      <c r="O42" s="177">
        <f t="shared" si="20"/>
        <v>381.10757496901772</v>
      </c>
    </row>
    <row r="43" spans="3:15" s="177" customFormat="1">
      <c r="D43" s="188"/>
      <c r="E43" s="182" t="s">
        <v>59</v>
      </c>
      <c r="F43" s="181"/>
      <c r="G43" s="182" t="s">
        <v>113</v>
      </c>
      <c r="H43" s="181"/>
      <c r="I43" s="189"/>
      <c r="J43" s="181">
        <f>SUM(J41:J42)</f>
        <v>9656.1654687499995</v>
      </c>
      <c r="K43" s="181">
        <f t="shared" ref="K43:O43" si="21">SUM(K41:K42)</f>
        <v>8110.2677011718743</v>
      </c>
      <c r="L43" s="181">
        <f t="shared" si="21"/>
        <v>8274.6946195068358</v>
      </c>
      <c r="M43" s="181">
        <f t="shared" si="21"/>
        <v>0</v>
      </c>
      <c r="N43" s="181">
        <f t="shared" si="21"/>
        <v>0</v>
      </c>
      <c r="O43" s="181">
        <f t="shared" si="21"/>
        <v>381.10757496901772</v>
      </c>
    </row>
    <row r="46" spans="3:15">
      <c r="C46" s="164" t="s">
        <v>127</v>
      </c>
    </row>
    <row r="47" spans="3:15">
      <c r="E47" s="174" t="s">
        <v>13</v>
      </c>
      <c r="G47" s="174" t="s">
        <v>121</v>
      </c>
      <c r="J47" s="184">
        <f>CaseData!E$57</f>
        <v>2.2499999999999999E-2</v>
      </c>
      <c r="K47" s="184">
        <f>CaseData!F$57</f>
        <v>2.35E-2</v>
      </c>
      <c r="L47" s="184">
        <f>CaseData!G$57</f>
        <v>2.4500000000000001E-2</v>
      </c>
      <c r="M47" s="184">
        <f>CaseData!H$57</f>
        <v>2.5499999999999998E-2</v>
      </c>
      <c r="N47" s="184">
        <f>CaseData!I$57</f>
        <v>2.6499999999999999E-2</v>
      </c>
      <c r="O47" s="184">
        <f>CaseData!J$57</f>
        <v>2.7E-2</v>
      </c>
    </row>
    <row r="48" spans="3:15">
      <c r="E48" s="223" t="s">
        <v>128</v>
      </c>
      <c r="F48" s="222"/>
      <c r="G48" s="223" t="s">
        <v>121</v>
      </c>
      <c r="H48" s="226"/>
      <c r="I48" s="222"/>
      <c r="J48" s="226" cm="1">
        <f t="array" ref="J48" xml:space="preserve"> _xlfn.XLOOKUP( IF( J$11 = 1, $F$18, I$18 ), CaseData!$G$11:$G$14, CaseData!$I$11:$I$14 / 10000,,-1 )</f>
        <v>0.03</v>
      </c>
      <c r="K48" s="226" cm="1">
        <f t="array" ref="K48" xml:space="preserve"> _xlfn.XLOOKUP( IF( K$11 = 1, $F$18, J$18 ), CaseData!$G$11:$G$14, CaseData!$I$11:$I$14 / 10000,,-1 )</f>
        <v>0.03</v>
      </c>
      <c r="L48" s="226" cm="1">
        <f t="array" ref="L48" xml:space="preserve"> _xlfn.XLOOKUP( IF( L$11 = 1, $F$18, K$18 ), CaseData!$G$11:$G$14, CaseData!$I$11:$I$14 / 10000,,-1 )</f>
        <v>0.03</v>
      </c>
      <c r="M48" s="226" cm="1">
        <f t="array" ref="M48" xml:space="preserve"> _xlfn.XLOOKUP( IF( M$11 = 1, $F$18, L$18 ), CaseData!$G$11:$G$14, CaseData!$I$11:$I$14 / 10000,,-1 )</f>
        <v>0.03</v>
      </c>
      <c r="N48" s="226" cm="1">
        <f t="array" ref="N48" xml:space="preserve"> _xlfn.XLOOKUP( IF( N$11 = 1, $F$18, M$18 ), CaseData!$G$11:$G$14, CaseData!$I$11:$I$14 / 10000,,-1 )</f>
        <v>0.03</v>
      </c>
      <c r="O48" s="226" cm="1">
        <f t="array" ref="O48" xml:space="preserve"> _xlfn.XLOOKUP( IF( O$11 = 1, $F$18, N$18 ), CaseData!$G$11:$G$14, CaseData!$I$11:$I$14 / 10000,,-1 )</f>
        <v>0.03</v>
      </c>
    </row>
    <row r="49" spans="1:15">
      <c r="E49" s="185" t="s">
        <v>129</v>
      </c>
      <c r="F49" s="164"/>
      <c r="G49" s="185" t="s">
        <v>121</v>
      </c>
      <c r="H49" s="164"/>
      <c r="I49" s="164"/>
      <c r="J49" s="186">
        <f>SUM(J47:J48)</f>
        <v>5.2499999999999998E-2</v>
      </c>
      <c r="K49" s="186">
        <f t="shared" ref="K49:O49" si="22">SUM(K47:K48)</f>
        <v>5.3499999999999999E-2</v>
      </c>
      <c r="L49" s="186">
        <f t="shared" si="22"/>
        <v>5.45E-2</v>
      </c>
      <c r="M49" s="186">
        <f t="shared" si="22"/>
        <v>5.5499999999999994E-2</v>
      </c>
      <c r="N49" s="186">
        <f t="shared" si="22"/>
        <v>5.6499999999999995E-2</v>
      </c>
      <c r="O49" s="186">
        <f t="shared" si="22"/>
        <v>5.6999999999999995E-2</v>
      </c>
    </row>
    <row r="52" spans="1:15">
      <c r="E52" s="174" t="s">
        <v>11</v>
      </c>
      <c r="F52" s="192">
        <f>CaseData!E$10</f>
        <v>80</v>
      </c>
      <c r="G52" s="198" t="s">
        <v>138</v>
      </c>
      <c r="H52" s="183"/>
    </row>
    <row r="53" spans="1:15">
      <c r="E53" s="174" t="s">
        <v>139</v>
      </c>
      <c r="F53" s="193">
        <f>CaseData!$E$7</f>
        <v>50000</v>
      </c>
      <c r="G53" s="198" t="s">
        <v>113</v>
      </c>
    </row>
    <row r="54" spans="1:15">
      <c r="F54" s="191"/>
      <c r="G54" s="198"/>
    </row>
    <row r="55" spans="1:15">
      <c r="E55" s="174" t="s">
        <v>137</v>
      </c>
      <c r="G55" s="174" t="s">
        <v>113</v>
      </c>
      <c r="H55" s="150">
        <f t="shared" ref="H55:H56" si="23">SUM( J55:O55)</f>
        <v>182.38517642373486</v>
      </c>
      <c r="J55" s="150">
        <f t="shared" ref="J55:O55" si="24" xml:space="preserve"> ( $F$53 - J$43 ) * $F$52 / 10000 / 12</f>
        <v>26.895889687500002</v>
      </c>
      <c r="K55" s="150">
        <f t="shared" si="24"/>
        <v>27.926488199218753</v>
      </c>
      <c r="L55" s="150">
        <f t="shared" si="24"/>
        <v>27.816870253662106</v>
      </c>
      <c r="M55" s="150">
        <f t="shared" si="24"/>
        <v>33.333333333333336</v>
      </c>
      <c r="N55" s="150">
        <f t="shared" si="24"/>
        <v>33.333333333333336</v>
      </c>
      <c r="O55" s="150">
        <f t="shared" si="24"/>
        <v>33.079261616687326</v>
      </c>
    </row>
    <row r="56" spans="1:15">
      <c r="E56" s="175" t="s">
        <v>130</v>
      </c>
      <c r="F56" s="167"/>
      <c r="G56" s="175" t="s">
        <v>113</v>
      </c>
      <c r="H56" s="167">
        <f t="shared" si="23"/>
        <v>172.72437447288513</v>
      </c>
      <c r="I56" s="167"/>
      <c r="J56" s="167">
        <f t="shared" ref="J56:O56" si="25" xml:space="preserve"> IF( J$11 = 1, $F$39 * J$49 / 12, I$43 * J$49 / 12 )</f>
        <v>54.569375000000001</v>
      </c>
      <c r="K56" s="167">
        <f t="shared" si="25"/>
        <v>43.050404381510418</v>
      </c>
      <c r="L56" s="167">
        <f t="shared" si="25"/>
        <v>36.834132476155595</v>
      </c>
      <c r="M56" s="167">
        <f t="shared" si="25"/>
        <v>38.27046261521911</v>
      </c>
      <c r="N56" s="167">
        <f t="shared" si="25"/>
        <v>0</v>
      </c>
      <c r="O56" s="167">
        <f t="shared" si="25"/>
        <v>0</v>
      </c>
    </row>
    <row r="57" spans="1:15">
      <c r="E57" s="185" t="s">
        <v>127</v>
      </c>
      <c r="F57" s="164"/>
      <c r="G57" s="185" t="s">
        <v>113</v>
      </c>
      <c r="H57" s="164">
        <f>SUM( J57:O57)</f>
        <v>355.10955089661996</v>
      </c>
      <c r="I57" s="164"/>
      <c r="J57" s="164">
        <f>SUM(J55:J56)</f>
        <v>81.465264687499996</v>
      </c>
      <c r="K57" s="164">
        <f t="shared" ref="K57:O57" si="26">SUM(K55:K56)</f>
        <v>70.976892580729171</v>
      </c>
      <c r="L57" s="164">
        <f t="shared" si="26"/>
        <v>64.651002729817705</v>
      </c>
      <c r="M57" s="164">
        <f t="shared" si="26"/>
        <v>71.603795948552445</v>
      </c>
      <c r="N57" s="164">
        <f t="shared" si="26"/>
        <v>33.333333333333336</v>
      </c>
      <c r="O57" s="164">
        <f t="shared" si="26"/>
        <v>33.079261616687326</v>
      </c>
    </row>
    <row r="60" spans="1:15" s="156" customFormat="1">
      <c r="A60" s="157" t="s">
        <v>140</v>
      </c>
      <c r="D60" s="162"/>
      <c r="E60" s="173"/>
      <c r="G60" s="173"/>
    </row>
    <row r="63" spans="1:15" s="177" customFormat="1">
      <c r="D63" s="188"/>
      <c r="E63" s="178" t="s">
        <v>141</v>
      </c>
      <c r="F63" s="190">
        <f>CaseData!$E$17</f>
        <v>174375</v>
      </c>
      <c r="G63" s="178" t="s">
        <v>113</v>
      </c>
    </row>
    <row r="64" spans="1:15" s="177" customFormat="1">
      <c r="D64" s="188"/>
      <c r="E64" s="178"/>
      <c r="G64" s="178"/>
    </row>
    <row r="65" spans="3:15" s="177" customFormat="1">
      <c r="D65" s="188"/>
      <c r="E65" s="180" t="s">
        <v>142</v>
      </c>
      <c r="F65" s="179"/>
      <c r="G65" s="180" t="s">
        <v>113</v>
      </c>
      <c r="H65" s="179"/>
      <c r="I65" s="179"/>
      <c r="J65" s="179">
        <f xml:space="preserve"> IF( J$11 = 1, $F$63, I67)</f>
        <v>174375</v>
      </c>
      <c r="K65" s="179">
        <f xml:space="preserve"> IF( K$11 = 1, $F$39, J67)</f>
        <v>172195.3125</v>
      </c>
      <c r="L65" s="179">
        <f xml:space="preserve"> IF( L$11 = 1, $F$39, K67)</f>
        <v>170042.87109375</v>
      </c>
      <c r="M65" s="179">
        <f xml:space="preserve"> IF( M$11 = 1, $F$39, L67)</f>
        <v>167917.33520507813</v>
      </c>
      <c r="N65" s="179">
        <f xml:space="preserve"> IF( N$11 = 1, $F$39, M67)</f>
        <v>165818.36851501465</v>
      </c>
      <c r="O65" s="179">
        <f xml:space="preserve"> IF( O$11 = 1, $F$39, N67)</f>
        <v>163745.63890857698</v>
      </c>
    </row>
    <row r="66" spans="3:15" s="177" customFormat="1">
      <c r="D66" s="188"/>
      <c r="E66" s="197" t="s">
        <v>143</v>
      </c>
      <c r="G66" s="178" t="s">
        <v>113</v>
      </c>
      <c r="J66" s="177">
        <f>J$71 * - 1</f>
        <v>-2179.6875</v>
      </c>
      <c r="K66" s="177">
        <f t="shared" ref="K66:O66" si="27">K$71 * - 1</f>
        <v>-2152.44140625</v>
      </c>
      <c r="L66" s="177">
        <f t="shared" si="27"/>
        <v>-2125.535888671875</v>
      </c>
      <c r="M66" s="177">
        <f t="shared" si="27"/>
        <v>-2098.9666900634766</v>
      </c>
      <c r="N66" s="177">
        <f t="shared" si="27"/>
        <v>-2072.7296064376833</v>
      </c>
      <c r="O66" s="177">
        <f t="shared" si="27"/>
        <v>-2046.8204863572123</v>
      </c>
    </row>
    <row r="67" spans="3:15" s="177" customFormat="1">
      <c r="D67" s="188"/>
      <c r="E67" s="182" t="s">
        <v>140</v>
      </c>
      <c r="F67" s="181"/>
      <c r="G67" s="182" t="s">
        <v>113</v>
      </c>
      <c r="H67" s="181"/>
      <c r="I67" s="189"/>
      <c r="J67" s="181">
        <f>SUM(J65:J66)</f>
        <v>172195.3125</v>
      </c>
      <c r="K67" s="181">
        <f t="shared" ref="K67" si="28">SUM(K65:K66)</f>
        <v>170042.87109375</v>
      </c>
      <c r="L67" s="181">
        <f t="shared" ref="L67" si="29">SUM(L65:L66)</f>
        <v>167917.33520507813</v>
      </c>
      <c r="M67" s="181">
        <f t="shared" ref="M67" si="30">SUM(M65:M66)</f>
        <v>165818.36851501465</v>
      </c>
      <c r="N67" s="181">
        <f t="shared" ref="N67" si="31">SUM(N65:N66)</f>
        <v>163745.63890857698</v>
      </c>
      <c r="O67" s="181">
        <f t="shared" ref="O67" si="32">SUM(O65:O66)</f>
        <v>161698.81842221977</v>
      </c>
    </row>
    <row r="69" spans="3:15">
      <c r="C69" s="164" t="s">
        <v>144</v>
      </c>
    </row>
    <row r="70" spans="3:15">
      <c r="E70" s="174" t="s">
        <v>22</v>
      </c>
      <c r="F70" s="183">
        <f>CaseData!$E$20</f>
        <v>1.2500000000000001E-2</v>
      </c>
      <c r="G70" s="174" t="s">
        <v>121</v>
      </c>
    </row>
    <row r="71" spans="3:15">
      <c r="E71" s="174" t="s">
        <v>144</v>
      </c>
      <c r="G71" s="174" t="s">
        <v>113</v>
      </c>
      <c r="H71" s="150">
        <f>SUM(J71:O71)</f>
        <v>12676.181577780246</v>
      </c>
      <c r="J71" s="150">
        <f xml:space="preserve"> J65 * $F$70</f>
        <v>2179.6875</v>
      </c>
      <c r="K71" s="150">
        <f t="shared" ref="K71:O71" si="33" xml:space="preserve"> K65 * $F$70</f>
        <v>2152.44140625</v>
      </c>
      <c r="L71" s="150">
        <f t="shared" si="33"/>
        <v>2125.535888671875</v>
      </c>
      <c r="M71" s="150">
        <f t="shared" si="33"/>
        <v>2098.9666900634766</v>
      </c>
      <c r="N71" s="150">
        <f t="shared" si="33"/>
        <v>2072.7296064376833</v>
      </c>
      <c r="O71" s="150">
        <f t="shared" si="33"/>
        <v>2046.8204863572123</v>
      </c>
    </row>
    <row r="73" spans="3:15">
      <c r="C73" s="164" t="s">
        <v>145</v>
      </c>
    </row>
    <row r="74" spans="3:15">
      <c r="E74" s="174" t="s">
        <v>13</v>
      </c>
      <c r="G74" s="174" t="s">
        <v>121</v>
      </c>
      <c r="J74" s="184">
        <f>CaseData!E$57</f>
        <v>2.2499999999999999E-2</v>
      </c>
      <c r="K74" s="184">
        <f>CaseData!F$57</f>
        <v>2.35E-2</v>
      </c>
      <c r="L74" s="184">
        <f>CaseData!G$57</f>
        <v>2.4500000000000001E-2</v>
      </c>
      <c r="M74" s="184">
        <f>CaseData!H$57</f>
        <v>2.5499999999999998E-2</v>
      </c>
      <c r="N74" s="184">
        <f>CaseData!I$57</f>
        <v>2.6499999999999999E-2</v>
      </c>
      <c r="O74" s="184">
        <f>CaseData!J$57</f>
        <v>2.7E-2</v>
      </c>
    </row>
    <row r="75" spans="3:15">
      <c r="E75" s="223" t="s">
        <v>128</v>
      </c>
      <c r="F75" s="222"/>
      <c r="G75" s="223" t="s">
        <v>121</v>
      </c>
      <c r="H75" s="226"/>
      <c r="I75" s="222"/>
      <c r="J75" s="226" cm="1">
        <f t="array" ref="J75" xml:space="preserve"> _xlfn.XLOOKUP( IF( J$11 = 1, $F$18, I$18 ), CaseData!$G$11:$G$14, CaseData!$I$11:$I$14 / 10000,,-1 )</f>
        <v>0.03</v>
      </c>
      <c r="K75" s="226" cm="1">
        <f t="array" ref="K75" xml:space="preserve"> _xlfn.XLOOKUP( IF( K$11 = 1, $F$18, J$18 ), CaseData!$G$11:$G$14, CaseData!$I$11:$I$14 / 10000,,-1 )</f>
        <v>0.03</v>
      </c>
      <c r="L75" s="226" cm="1">
        <f t="array" ref="L75" xml:space="preserve"> _xlfn.XLOOKUP( IF( L$11 = 1, $F$18, K$18 ), CaseData!$G$11:$G$14, CaseData!$I$11:$I$14 / 10000,,-1 )</f>
        <v>0.03</v>
      </c>
      <c r="M75" s="226" cm="1">
        <f t="array" ref="M75" xml:space="preserve"> _xlfn.XLOOKUP( IF( M$11 = 1, $F$18, L$18 ), CaseData!$G$11:$G$14, CaseData!$I$11:$I$14 / 10000,,-1 )</f>
        <v>0.03</v>
      </c>
      <c r="N75" s="226" cm="1">
        <f t="array" ref="N75" xml:space="preserve"> _xlfn.XLOOKUP( IF( N$11 = 1, $F$18, M$18 ), CaseData!$G$11:$G$14, CaseData!$I$11:$I$14 / 10000,,-1 )</f>
        <v>0.03</v>
      </c>
      <c r="O75" s="226" cm="1">
        <f t="array" ref="O75" xml:space="preserve"> _xlfn.XLOOKUP( IF( O$11 = 1, $F$18, N$18 ), CaseData!$G$11:$G$14, CaseData!$I$11:$I$14 / 10000,,-1 )</f>
        <v>0.03</v>
      </c>
    </row>
    <row r="76" spans="3:15">
      <c r="E76" s="185" t="s">
        <v>146</v>
      </c>
      <c r="F76" s="164"/>
      <c r="G76" s="185" t="s">
        <v>121</v>
      </c>
      <c r="H76" s="164"/>
      <c r="I76" s="164"/>
      <c r="J76" s="186">
        <f>SUM(J74:J75)</f>
        <v>5.2499999999999998E-2</v>
      </c>
      <c r="K76" s="186">
        <f t="shared" ref="K76" si="34">SUM(K74:K75)</f>
        <v>5.3499999999999999E-2</v>
      </c>
      <c r="L76" s="186">
        <f t="shared" ref="L76" si="35">SUM(L74:L75)</f>
        <v>5.45E-2</v>
      </c>
      <c r="M76" s="186">
        <f t="shared" ref="M76" si="36">SUM(M74:M75)</f>
        <v>5.5499999999999994E-2</v>
      </c>
      <c r="N76" s="186">
        <f t="shared" ref="N76" si="37">SUM(N74:N75)</f>
        <v>5.6499999999999995E-2</v>
      </c>
      <c r="O76" s="186">
        <f t="shared" ref="O76" si="38">SUM(O74:O75)</f>
        <v>5.6999999999999995E-2</v>
      </c>
    </row>
    <row r="79" spans="3:15">
      <c r="E79" s="185" t="s">
        <v>145</v>
      </c>
      <c r="F79" s="164"/>
      <c r="G79" s="185" t="s">
        <v>113</v>
      </c>
      <c r="H79" s="164">
        <f>SUM( J79:O79)</f>
        <v>4638.010378010702</v>
      </c>
      <c r="I79" s="164"/>
      <c r="J79" s="164">
        <f xml:space="preserve"> J$65 * J$76 / 12</f>
        <v>762.890625</v>
      </c>
      <c r="K79" s="164">
        <f t="shared" ref="K79:O79" si="39" xml:space="preserve"> K$65 * K$76 / 12</f>
        <v>767.7041015625</v>
      </c>
      <c r="L79" s="164">
        <f t="shared" si="39"/>
        <v>772.27803955078127</v>
      </c>
      <c r="M79" s="164">
        <f t="shared" si="39"/>
        <v>776.61767532348631</v>
      </c>
      <c r="N79" s="164">
        <f t="shared" si="39"/>
        <v>780.7281517581938</v>
      </c>
      <c r="O79" s="164">
        <f t="shared" si="39"/>
        <v>777.79178481574047</v>
      </c>
    </row>
    <row r="81" spans="1:15" s="156" customFormat="1">
      <c r="A81" s="157" t="s">
        <v>147</v>
      </c>
      <c r="D81" s="162"/>
      <c r="E81" s="173"/>
      <c r="G81" s="173"/>
    </row>
    <row r="84" spans="1:15" s="177" customFormat="1">
      <c r="D84" s="188"/>
      <c r="E84" s="178" t="s">
        <v>148</v>
      </c>
      <c r="F84" s="190">
        <f>CaseData!$I$17</f>
        <v>500000</v>
      </c>
      <c r="G84" s="178" t="s">
        <v>113</v>
      </c>
    </row>
    <row r="85" spans="1:15" s="177" customFormat="1">
      <c r="D85" s="188"/>
      <c r="E85" s="178"/>
      <c r="G85" s="178"/>
    </row>
    <row r="86" spans="1:15" s="177" customFormat="1">
      <c r="D86" s="188"/>
      <c r="E86" s="180" t="s">
        <v>149</v>
      </c>
      <c r="F86" s="179"/>
      <c r="G86" s="180" t="s">
        <v>113</v>
      </c>
      <c r="H86" s="179"/>
      <c r="I86" s="179"/>
      <c r="J86" s="179">
        <f xml:space="preserve"> IF( J$11 = 1, $F$84, I88)</f>
        <v>500000</v>
      </c>
      <c r="K86" s="179">
        <f xml:space="preserve"> IF( K$11 = 1, $F$39, J88)</f>
        <v>500000</v>
      </c>
      <c r="L86" s="179">
        <f xml:space="preserve"> IF( L$11 = 1, $F$39, K88)</f>
        <v>500000</v>
      </c>
      <c r="M86" s="179">
        <f xml:space="preserve"> IF( M$11 = 1, $F$39, L88)</f>
        <v>500000</v>
      </c>
      <c r="N86" s="179">
        <f xml:space="preserve"> IF( N$11 = 1, $F$39, M88)</f>
        <v>0</v>
      </c>
      <c r="O86" s="179">
        <f xml:space="preserve"> IF( O$11 = 1, $F$39, N88)</f>
        <v>0</v>
      </c>
    </row>
    <row r="87" spans="1:15" s="177" customFormat="1">
      <c r="D87" s="188"/>
      <c r="E87" s="197" t="s">
        <v>170</v>
      </c>
      <c r="G87" s="178" t="s">
        <v>113</v>
      </c>
      <c r="J87" s="177">
        <f>J$97 * - 1</f>
        <v>0</v>
      </c>
      <c r="K87" s="177">
        <f t="shared" ref="K87:O87" si="40">K$97 * - 1</f>
        <v>0</v>
      </c>
      <c r="L87" s="177">
        <f t="shared" si="40"/>
        <v>0</v>
      </c>
      <c r="M87" s="177">
        <f t="shared" si="40"/>
        <v>-500000</v>
      </c>
      <c r="N87" s="177">
        <f t="shared" si="40"/>
        <v>0</v>
      </c>
      <c r="O87" s="177">
        <f t="shared" si="40"/>
        <v>0</v>
      </c>
    </row>
    <row r="88" spans="1:15" s="177" customFormat="1">
      <c r="D88" s="188"/>
      <c r="E88" s="182" t="s">
        <v>147</v>
      </c>
      <c r="F88" s="181"/>
      <c r="G88" s="182" t="s">
        <v>113</v>
      </c>
      <c r="H88" s="181"/>
      <c r="I88" s="189"/>
      <c r="J88" s="181">
        <f>SUM(J86:J87)</f>
        <v>500000</v>
      </c>
      <c r="K88" s="181">
        <f t="shared" ref="K88" si="41">SUM(K86:K87)</f>
        <v>500000</v>
      </c>
      <c r="L88" s="181">
        <f t="shared" ref="L88" si="42">SUM(L86:L87)</f>
        <v>500000</v>
      </c>
      <c r="M88" s="181">
        <f t="shared" ref="M88" si="43">SUM(M86:M87)</f>
        <v>0</v>
      </c>
      <c r="N88" s="181">
        <f t="shared" ref="N88" si="44">SUM(N86:N87)</f>
        <v>0</v>
      </c>
      <c r="O88" s="181">
        <f t="shared" ref="O88" si="45">SUM(O86:O87)</f>
        <v>0</v>
      </c>
    </row>
    <row r="90" spans="1:15">
      <c r="C90" s="199" t="s">
        <v>150</v>
      </c>
    </row>
    <row r="91" spans="1:15">
      <c r="C91" s="199"/>
      <c r="E91" s="174" t="s">
        <v>152</v>
      </c>
      <c r="F91" s="200">
        <v>44196</v>
      </c>
    </row>
    <row r="92" spans="1:15">
      <c r="E92" s="174" t="s">
        <v>153</v>
      </c>
      <c r="F92" s="201">
        <v>44074</v>
      </c>
      <c r="G92" s="174" t="s">
        <v>151</v>
      </c>
    </row>
    <row r="94" spans="1:15">
      <c r="E94" s="175" t="s">
        <v>154</v>
      </c>
      <c r="F94" s="167"/>
    </row>
    <row r="95" spans="1:15">
      <c r="E95" s="214">
        <v>44043</v>
      </c>
      <c r="F95" s="184">
        <f>CaseData!I24</f>
        <v>1.03</v>
      </c>
      <c r="G95" s="174" t="s">
        <v>121</v>
      </c>
    </row>
    <row r="96" spans="1:15">
      <c r="E96" s="214">
        <v>44135</v>
      </c>
      <c r="F96" s="184">
        <f>CaseData!I25</f>
        <v>1.02</v>
      </c>
      <c r="G96" s="174" t="s">
        <v>121</v>
      </c>
      <c r="J96" s="183">
        <f t="shared" ref="J96:O96" si="46">IF( J$3 = $F$92, _xlfn.XLOOKUP( $F$92, $E$95:$E$96, $F$95:$F$96,,-1 ), 0 )</f>
        <v>0</v>
      </c>
      <c r="K96" s="183">
        <f t="shared" si="46"/>
        <v>0</v>
      </c>
      <c r="L96" s="183">
        <f t="shared" si="46"/>
        <v>0</v>
      </c>
      <c r="M96" s="183">
        <f t="shared" si="46"/>
        <v>1.03</v>
      </c>
      <c r="N96" s="183">
        <f t="shared" si="46"/>
        <v>0</v>
      </c>
      <c r="O96" s="183">
        <f t="shared" si="46"/>
        <v>0</v>
      </c>
    </row>
    <row r="97" spans="1:15">
      <c r="E97" s="174" t="s">
        <v>155</v>
      </c>
      <c r="G97" s="174" t="s">
        <v>113</v>
      </c>
      <c r="J97" s="150">
        <f xml:space="preserve"> IF( J$3 = $F$92, $F$84, 0 )</f>
        <v>0</v>
      </c>
      <c r="K97" s="150">
        <f t="shared" ref="K97:O97" si="47" xml:space="preserve"> IF( K$3 = $F$92, $F$84, 0 )</f>
        <v>0</v>
      </c>
      <c r="L97" s="150">
        <f t="shared" si="47"/>
        <v>0</v>
      </c>
      <c r="M97" s="150">
        <f t="shared" si="47"/>
        <v>500000</v>
      </c>
      <c r="N97" s="150">
        <f t="shared" si="47"/>
        <v>0</v>
      </c>
      <c r="O97" s="150">
        <f t="shared" si="47"/>
        <v>0</v>
      </c>
    </row>
    <row r="98" spans="1:15">
      <c r="E98" s="175" t="s">
        <v>156</v>
      </c>
      <c r="F98" s="167"/>
      <c r="G98" s="175" t="s">
        <v>113</v>
      </c>
      <c r="H98" s="167"/>
      <c r="I98" s="167"/>
      <c r="J98" s="167">
        <f t="shared" ref="J98:O98" si="48" xml:space="preserve"> IF( J$97 &gt; 0, J$97 * J$96 - $F$84, 0 )</f>
        <v>0</v>
      </c>
      <c r="K98" s="167">
        <f t="shared" si="48"/>
        <v>0</v>
      </c>
      <c r="L98" s="167">
        <f t="shared" si="48"/>
        <v>0</v>
      </c>
      <c r="M98" s="167">
        <f t="shared" si="48"/>
        <v>15000</v>
      </c>
      <c r="N98" s="167">
        <f t="shared" si="48"/>
        <v>0</v>
      </c>
      <c r="O98" s="167">
        <f t="shared" si="48"/>
        <v>0</v>
      </c>
    </row>
    <row r="99" spans="1:15">
      <c r="E99" s="185" t="s">
        <v>157</v>
      </c>
      <c r="F99" s="164"/>
      <c r="G99" s="185" t="s">
        <v>113</v>
      </c>
      <c r="H99" s="164">
        <f>SUM( J99:O99)</f>
        <v>515000</v>
      </c>
      <c r="I99" s="164"/>
      <c r="J99" s="164">
        <f>SUM(J97:J98)</f>
        <v>0</v>
      </c>
      <c r="K99" s="164">
        <f t="shared" ref="K99:O99" si="49">SUM(K97:K98)</f>
        <v>0</v>
      </c>
      <c r="L99" s="164">
        <f t="shared" si="49"/>
        <v>0</v>
      </c>
      <c r="M99" s="164">
        <f t="shared" si="49"/>
        <v>515000</v>
      </c>
      <c r="N99" s="164">
        <f t="shared" si="49"/>
        <v>0</v>
      </c>
      <c r="O99" s="164">
        <f t="shared" si="49"/>
        <v>0</v>
      </c>
    </row>
    <row r="101" spans="1:15">
      <c r="C101" s="199" t="s">
        <v>158</v>
      </c>
    </row>
    <row r="102" spans="1:15">
      <c r="E102" s="174" t="s">
        <v>159</v>
      </c>
      <c r="F102" s="170">
        <f>CaseData!$I$19</f>
        <v>7.1249999999999994E-2</v>
      </c>
      <c r="G102" s="174" t="s">
        <v>121</v>
      </c>
    </row>
    <row r="103" spans="1:15">
      <c r="E103" s="185" t="s">
        <v>160</v>
      </c>
      <c r="F103" s="164"/>
      <c r="G103" s="185" t="s">
        <v>113</v>
      </c>
      <c r="H103" s="164">
        <f>SUM(J103:O103)</f>
        <v>11875</v>
      </c>
      <c r="I103" s="164"/>
      <c r="J103" s="164">
        <f t="shared" ref="J103:O103" si="50" xml:space="preserve"> J$86 * $F$102 / 12</f>
        <v>2968.75</v>
      </c>
      <c r="K103" s="164">
        <f t="shared" si="50"/>
        <v>2968.75</v>
      </c>
      <c r="L103" s="164">
        <f t="shared" si="50"/>
        <v>2968.75</v>
      </c>
      <c r="M103" s="164">
        <f t="shared" si="50"/>
        <v>2968.75</v>
      </c>
      <c r="N103" s="164">
        <f t="shared" si="50"/>
        <v>0</v>
      </c>
      <c r="O103" s="164">
        <f t="shared" si="50"/>
        <v>0</v>
      </c>
    </row>
    <row r="105" spans="1:15">
      <c r="C105" s="199" t="s">
        <v>161</v>
      </c>
    </row>
    <row r="106" spans="1:15">
      <c r="E106" s="212" t="str">
        <f>E$99</f>
        <v>Refinincing costs of existing Subordinated Note</v>
      </c>
      <c r="F106" s="171"/>
      <c r="G106" s="212" t="str">
        <f t="shared" ref="G106:O106" si="51">G$99</f>
        <v>USD</v>
      </c>
      <c r="H106" s="171"/>
      <c r="I106" s="171"/>
      <c r="J106" s="150">
        <f t="shared" si="51"/>
        <v>0</v>
      </c>
      <c r="K106" s="150">
        <f t="shared" si="51"/>
        <v>0</v>
      </c>
      <c r="L106" s="150">
        <f t="shared" si="51"/>
        <v>0</v>
      </c>
      <c r="M106" s="150">
        <f t="shared" si="51"/>
        <v>515000</v>
      </c>
      <c r="N106" s="150">
        <f t="shared" si="51"/>
        <v>0</v>
      </c>
      <c r="O106" s="150">
        <f t="shared" si="51"/>
        <v>0</v>
      </c>
    </row>
    <row r="107" spans="1:15">
      <c r="E107" s="175" t="s">
        <v>162</v>
      </c>
      <c r="F107" s="167"/>
    </row>
    <row r="108" spans="1:15">
      <c r="F108" s="200">
        <f>CaseData!$I$20</f>
        <v>43951</v>
      </c>
      <c r="G108" s="174" t="s">
        <v>103</v>
      </c>
    </row>
    <row r="109" spans="1:15">
      <c r="F109" s="200">
        <f>CaseData!$I$21</f>
        <v>44135</v>
      </c>
      <c r="G109" s="174" t="s">
        <v>103</v>
      </c>
    </row>
    <row r="110" spans="1:15">
      <c r="E110" s="215" t="s">
        <v>161</v>
      </c>
      <c r="G110" s="185" t="s">
        <v>113</v>
      </c>
      <c r="H110" s="164">
        <f>SUM(J110:O110)</f>
        <v>11875</v>
      </c>
      <c r="I110" s="164"/>
      <c r="J110" s="164">
        <f xml:space="preserve"> IF( J$106 &gt; 0, J$103 * J$10, 0  )</f>
        <v>0</v>
      </c>
      <c r="K110" s="164">
        <f t="shared" ref="K110:O110" si="52" xml:space="preserve"> IF( K$106 &gt; 0, K$103 * K$10, 0  )</f>
        <v>0</v>
      </c>
      <c r="L110" s="164">
        <f t="shared" si="52"/>
        <v>0</v>
      </c>
      <c r="M110" s="164">
        <f t="shared" si="52"/>
        <v>11875</v>
      </c>
      <c r="N110" s="164">
        <f t="shared" si="52"/>
        <v>0</v>
      </c>
      <c r="O110" s="164">
        <f t="shared" si="52"/>
        <v>0</v>
      </c>
    </row>
    <row r="112" spans="1:15" s="156" customFormat="1">
      <c r="A112" s="157" t="s">
        <v>163</v>
      </c>
      <c r="D112" s="162"/>
      <c r="E112" s="173"/>
      <c r="G112" s="173"/>
    </row>
    <row r="114" spans="3:15">
      <c r="E114" s="174" t="s">
        <v>165</v>
      </c>
      <c r="F114" s="203">
        <v>0</v>
      </c>
      <c r="G114" s="174" t="s">
        <v>113</v>
      </c>
    </row>
    <row r="116" spans="3:15" s="177" customFormat="1">
      <c r="D116" s="188"/>
      <c r="E116" s="180" t="s">
        <v>164</v>
      </c>
      <c r="F116" s="179"/>
      <c r="G116" s="180" t="s">
        <v>113</v>
      </c>
      <c r="H116" s="179"/>
      <c r="I116" s="179"/>
      <c r="J116" s="179">
        <f xml:space="preserve"> IF( J$11 = 1, $F$114, I119)</f>
        <v>0</v>
      </c>
      <c r="K116" s="179">
        <f t="shared" ref="K116:O116" si="53" xml:space="preserve"> IF( K$11 = 1, $F$114, J119)</f>
        <v>0</v>
      </c>
      <c r="L116" s="179">
        <f t="shared" si="53"/>
        <v>0</v>
      </c>
      <c r="M116" s="179">
        <f t="shared" si="53"/>
        <v>0</v>
      </c>
      <c r="N116" s="179">
        <f t="shared" si="53"/>
        <v>515000</v>
      </c>
      <c r="O116" s="179">
        <f t="shared" si="53"/>
        <v>515000</v>
      </c>
    </row>
    <row r="117" spans="3:15" s="177" customFormat="1">
      <c r="D117" s="188"/>
      <c r="E117" s="178" t="s">
        <v>171</v>
      </c>
      <c r="G117" s="178" t="str">
        <f t="shared" ref="G117:O117" si="54">G$97</f>
        <v>USD</v>
      </c>
      <c r="J117" s="177">
        <f t="shared" si="54"/>
        <v>0</v>
      </c>
      <c r="K117" s="177">
        <f t="shared" si="54"/>
        <v>0</v>
      </c>
      <c r="L117" s="177">
        <f t="shared" si="54"/>
        <v>0</v>
      </c>
      <c r="M117" s="177">
        <f t="shared" si="54"/>
        <v>500000</v>
      </c>
      <c r="N117" s="177">
        <f t="shared" si="54"/>
        <v>0</v>
      </c>
      <c r="O117" s="177">
        <f t="shared" si="54"/>
        <v>0</v>
      </c>
    </row>
    <row r="118" spans="3:15" s="177" customFormat="1">
      <c r="D118" s="188"/>
      <c r="E118" s="178" t="str">
        <f>E$98</f>
        <v>Early call premium over the face value</v>
      </c>
      <c r="G118" s="178" t="str">
        <f t="shared" ref="G118:O118" si="55">G$98</f>
        <v>USD</v>
      </c>
      <c r="J118" s="177">
        <f t="shared" si="55"/>
        <v>0</v>
      </c>
      <c r="K118" s="177">
        <f t="shared" si="55"/>
        <v>0</v>
      </c>
      <c r="L118" s="177">
        <f t="shared" si="55"/>
        <v>0</v>
      </c>
      <c r="M118" s="177">
        <f t="shared" si="55"/>
        <v>15000</v>
      </c>
      <c r="N118" s="177">
        <f t="shared" si="55"/>
        <v>0</v>
      </c>
      <c r="O118" s="177">
        <f t="shared" si="55"/>
        <v>0</v>
      </c>
    </row>
    <row r="119" spans="3:15" s="177" customFormat="1">
      <c r="D119" s="188"/>
      <c r="E119" s="182" t="s">
        <v>163</v>
      </c>
      <c r="F119" s="181"/>
      <c r="G119" s="182" t="s">
        <v>113</v>
      </c>
      <c r="H119" s="181"/>
      <c r="I119" s="189"/>
      <c r="J119" s="181">
        <f>SUM(J116:J118)</f>
        <v>0</v>
      </c>
      <c r="K119" s="181">
        <f t="shared" ref="K119:O119" si="56">SUM(K116:K118)</f>
        <v>0</v>
      </c>
      <c r="L119" s="181">
        <f t="shared" si="56"/>
        <v>0</v>
      </c>
      <c r="M119" s="181">
        <f t="shared" si="56"/>
        <v>515000</v>
      </c>
      <c r="N119" s="181">
        <f t="shared" si="56"/>
        <v>515000</v>
      </c>
      <c r="O119" s="181">
        <f t="shared" si="56"/>
        <v>515000</v>
      </c>
    </row>
    <row r="122" spans="3:15">
      <c r="C122" s="199" t="s">
        <v>166</v>
      </c>
    </row>
    <row r="123" spans="3:15">
      <c r="E123" s="174" t="s">
        <v>167</v>
      </c>
      <c r="G123" s="174" t="s">
        <v>121</v>
      </c>
      <c r="J123" s="184" cm="1">
        <f t="array" ref="J123:O123" xml:space="preserve"> _xlfn.XLOOKUP( $J$3:$O$3, CaseData!$K$17:$K$22, CaseData!$L$17:$L$22 )</f>
        <v>5.0500000000000003E-2</v>
      </c>
      <c r="K123" s="184">
        <v>5.2499999999999998E-2</v>
      </c>
      <c r="L123" s="184">
        <v>5.7000000000000002E-2</v>
      </c>
      <c r="M123" s="184">
        <v>5.9499999999999997E-2</v>
      </c>
      <c r="N123" s="184">
        <v>6.1499999999999999E-2</v>
      </c>
      <c r="O123" s="184">
        <v>6.4000000000000001E-2</v>
      </c>
    </row>
    <row r="124" spans="3:15" s="164" customFormat="1">
      <c r="D124" s="227"/>
      <c r="E124" s="185" t="s">
        <v>168</v>
      </c>
      <c r="G124" s="185" t="s">
        <v>113</v>
      </c>
      <c r="H124" s="164">
        <f>SUM(J124:O124)</f>
        <v>7939.5833333333321</v>
      </c>
      <c r="J124" s="164">
        <f xml:space="preserve"> J$119 * J$123 / 12</f>
        <v>0</v>
      </c>
      <c r="K124" s="164">
        <f t="shared" ref="K124:O124" si="57" xml:space="preserve"> K$119 * K$123 / 12</f>
        <v>0</v>
      </c>
      <c r="L124" s="164">
        <f t="shared" si="57"/>
        <v>0</v>
      </c>
      <c r="M124" s="164">
        <f t="shared" si="57"/>
        <v>2553.5416666666665</v>
      </c>
      <c r="N124" s="164">
        <f t="shared" si="57"/>
        <v>2639.375</v>
      </c>
      <c r="O124" s="164">
        <f t="shared" si="57"/>
        <v>2746.6666666666665</v>
      </c>
    </row>
    <row r="126" spans="3:15">
      <c r="C126" s="199" t="s">
        <v>169</v>
      </c>
    </row>
    <row r="127" spans="3:15">
      <c r="E127" s="212" t="str">
        <f>E$99</f>
        <v>Refinincing costs of existing Subordinated Note</v>
      </c>
      <c r="F127" s="171"/>
      <c r="G127" s="212" t="str">
        <f t="shared" ref="G127" si="58">G$99</f>
        <v>USD</v>
      </c>
      <c r="H127" s="171"/>
      <c r="I127" s="171"/>
      <c r="J127" s="150">
        <f>J$119</f>
        <v>0</v>
      </c>
      <c r="K127" s="150">
        <f t="shared" ref="K127:O127" si="59">K$119</f>
        <v>0</v>
      </c>
      <c r="L127" s="150">
        <f t="shared" si="59"/>
        <v>0</v>
      </c>
      <c r="M127" s="150">
        <f t="shared" si="59"/>
        <v>515000</v>
      </c>
      <c r="N127" s="150">
        <f t="shared" si="59"/>
        <v>515000</v>
      </c>
      <c r="O127" s="150">
        <f t="shared" si="59"/>
        <v>515000</v>
      </c>
    </row>
    <row r="128" spans="3:15">
      <c r="E128" s="175" t="s">
        <v>162</v>
      </c>
      <c r="F128" s="167"/>
    </row>
    <row r="129" spans="1:15">
      <c r="F129" s="200">
        <f>CaseData!$I$20</f>
        <v>43951</v>
      </c>
      <c r="G129" s="174" t="s">
        <v>103</v>
      </c>
    </row>
    <row r="130" spans="1:15">
      <c r="F130" s="200">
        <f>CaseData!$I$21</f>
        <v>44135</v>
      </c>
      <c r="G130" s="174" t="s">
        <v>103</v>
      </c>
    </row>
    <row r="131" spans="1:15">
      <c r="E131" s="215" t="s">
        <v>161</v>
      </c>
      <c r="G131" s="185" t="s">
        <v>113</v>
      </c>
      <c r="H131" s="164">
        <f>SUM(J131:O131)</f>
        <v>7939.5833333333321</v>
      </c>
      <c r="I131" s="164"/>
      <c r="J131" s="164">
        <f xml:space="preserve"> IF( AND( J127 &gt; 0, OR( J$3 = $F$129, J$3 = $F$130 ) ), SUM( $I124:J124 ), 0 )</f>
        <v>0</v>
      </c>
      <c r="K131" s="164">
        <f xml:space="preserve"> IF( AND( K127 &gt; 0, OR( K$3 = $F$129, K$3 = $F$130 ) ), SUM( $I124:K124 ), 0 )</f>
        <v>0</v>
      </c>
      <c r="L131" s="164">
        <f xml:space="preserve"> IF( AND( L127 &gt; 0, OR( L$3 = $F$129, L$3 = $F$130 ) ), SUM( $I124:L124 ), 0 )</f>
        <v>0</v>
      </c>
      <c r="M131" s="164">
        <f xml:space="preserve"> IF( AND( M127 &gt; 0, OR( M$3 = $F$129, M$3 = $F$130 ) ), SUM( $I124:M124 ), 0 )</f>
        <v>0</v>
      </c>
      <c r="N131" s="164">
        <f xml:space="preserve"> IF( AND( N127 &gt; 0, OR( N$3 = $F$129, N$3 = $F$130 ) ), SUM( $I124:N124 ), 0 )</f>
        <v>0</v>
      </c>
      <c r="O131" s="164">
        <f xml:space="preserve"> IF( AND( O127 &gt; 0, OR( O$3 = $F$129, O$3 = $F$130 ) ), SUM( $I124:O124 ), 0 )</f>
        <v>7939.5833333333321</v>
      </c>
    </row>
    <row r="134" spans="1:15" s="156" customFormat="1">
      <c r="A134" s="157" t="s">
        <v>124</v>
      </c>
      <c r="D134" s="162"/>
      <c r="E134" s="173"/>
      <c r="G134" s="173"/>
    </row>
    <row r="135" spans="1:15" s="216" customFormat="1">
      <c r="A135" s="199"/>
      <c r="D135" s="217"/>
      <c r="E135" s="218"/>
      <c r="G135" s="218"/>
    </row>
    <row r="136" spans="1:15" s="216" customFormat="1" ht="14.4">
      <c r="A136" s="199"/>
      <c r="D136" s="217"/>
      <c r="E136" s="219" t="s">
        <v>172</v>
      </c>
      <c r="G136" s="218"/>
    </row>
    <row r="138" spans="1:15">
      <c r="E138" s="174" t="str">
        <f>E$66</f>
        <v>Senior Secured Term Loan drawdown / (repayment)</v>
      </c>
      <c r="G138" s="174" t="str">
        <f t="shared" ref="G138:O138" si="60">G$66</f>
        <v>USD</v>
      </c>
      <c r="H138" s="150">
        <f t="shared" ref="H138:H142" si="61">SUM(J138:O138)</f>
        <v>-12676.181577780246</v>
      </c>
      <c r="J138" s="150">
        <f t="shared" si="60"/>
        <v>-2179.6875</v>
      </c>
      <c r="K138" s="150">
        <f t="shared" si="60"/>
        <v>-2152.44140625</v>
      </c>
      <c r="L138" s="150">
        <f t="shared" si="60"/>
        <v>-2125.535888671875</v>
      </c>
      <c r="M138" s="150">
        <f t="shared" si="60"/>
        <v>-2098.9666900634766</v>
      </c>
      <c r="N138" s="150">
        <f t="shared" si="60"/>
        <v>-2072.7296064376833</v>
      </c>
      <c r="O138" s="150">
        <f t="shared" si="60"/>
        <v>-2046.8204863572123</v>
      </c>
    </row>
    <row r="139" spans="1:15">
      <c r="E139" s="174" t="str">
        <f>E$87</f>
        <v>Subordinated Note issue / (retirement)</v>
      </c>
      <c r="G139" s="174" t="str">
        <f t="shared" ref="G139:O139" si="62">G$87</f>
        <v>USD</v>
      </c>
      <c r="H139" s="150">
        <f t="shared" si="61"/>
        <v>-500000</v>
      </c>
      <c r="J139" s="150">
        <f t="shared" si="62"/>
        <v>0</v>
      </c>
      <c r="K139" s="150">
        <f t="shared" si="62"/>
        <v>0</v>
      </c>
      <c r="L139" s="150">
        <f t="shared" si="62"/>
        <v>0</v>
      </c>
      <c r="M139" s="150">
        <f t="shared" si="62"/>
        <v>-500000</v>
      </c>
      <c r="N139" s="150">
        <f t="shared" si="62"/>
        <v>0</v>
      </c>
      <c r="O139" s="150">
        <f t="shared" si="62"/>
        <v>0</v>
      </c>
    </row>
    <row r="140" spans="1:15">
      <c r="E140" s="174" t="str">
        <f>E$117</f>
        <v>New Subordinated Note issue / (retirement)</v>
      </c>
      <c r="G140" s="174" t="str">
        <f t="shared" ref="G140:O140" si="63">G$117</f>
        <v>USD</v>
      </c>
      <c r="H140" s="150">
        <f t="shared" si="61"/>
        <v>500000</v>
      </c>
      <c r="J140" s="150">
        <f t="shared" si="63"/>
        <v>0</v>
      </c>
      <c r="K140" s="150">
        <f t="shared" si="63"/>
        <v>0</v>
      </c>
      <c r="L140" s="150">
        <f t="shared" si="63"/>
        <v>0</v>
      </c>
      <c r="M140" s="150">
        <f t="shared" si="63"/>
        <v>500000</v>
      </c>
      <c r="N140" s="150">
        <f t="shared" si="63"/>
        <v>0</v>
      </c>
      <c r="O140" s="150">
        <f t="shared" si="63"/>
        <v>0</v>
      </c>
    </row>
    <row r="141" spans="1:15">
      <c r="E141" s="175" t="str">
        <f>E$118</f>
        <v>Early call premium over the face value</v>
      </c>
      <c r="F141" s="167"/>
      <c r="G141" s="175" t="str">
        <f t="shared" ref="G141:O141" si="64">G$118</f>
        <v>USD</v>
      </c>
      <c r="H141" s="167">
        <f t="shared" si="61"/>
        <v>15000</v>
      </c>
      <c r="I141" s="167"/>
      <c r="J141" s="167">
        <f t="shared" si="64"/>
        <v>0</v>
      </c>
      <c r="K141" s="167">
        <f t="shared" si="64"/>
        <v>0</v>
      </c>
      <c r="L141" s="167">
        <f t="shared" si="64"/>
        <v>0</v>
      </c>
      <c r="M141" s="167">
        <f t="shared" si="64"/>
        <v>15000</v>
      </c>
      <c r="N141" s="167">
        <f t="shared" si="64"/>
        <v>0</v>
      </c>
      <c r="O141" s="167">
        <f t="shared" si="64"/>
        <v>0</v>
      </c>
    </row>
    <row r="142" spans="1:15">
      <c r="E142" s="185" t="s">
        <v>124</v>
      </c>
      <c r="G142" s="185" t="s">
        <v>113</v>
      </c>
      <c r="H142" s="164">
        <f t="shared" si="61"/>
        <v>2323.8184222197528</v>
      </c>
      <c r="I142" s="164"/>
      <c r="J142" s="164">
        <f>SUM(J138:J141)</f>
        <v>-2179.6875</v>
      </c>
      <c r="K142" s="164">
        <f t="shared" ref="K142:O142" si="65">SUM(K138:K141)</f>
        <v>-2152.44140625</v>
      </c>
      <c r="L142" s="164">
        <f t="shared" si="65"/>
        <v>-2125.535888671875</v>
      </c>
      <c r="M142" s="164">
        <f t="shared" si="65"/>
        <v>12901.033309936523</v>
      </c>
      <c r="N142" s="164">
        <f t="shared" si="65"/>
        <v>-2072.7296064376833</v>
      </c>
      <c r="O142" s="164">
        <f t="shared" si="65"/>
        <v>-2046.8204863572123</v>
      </c>
    </row>
    <row r="145" spans="1:15" s="156" customFormat="1">
      <c r="A145" s="157" t="s">
        <v>117</v>
      </c>
      <c r="D145" s="162"/>
      <c r="E145" s="173"/>
      <c r="G145" s="173"/>
    </row>
    <row r="147" spans="1:15" ht="14.4">
      <c r="E147" s="219" t="s">
        <v>172</v>
      </c>
    </row>
    <row r="148" spans="1:15" ht="14.4">
      <c r="E148" s="219"/>
    </row>
    <row r="149" spans="1:15">
      <c r="C149" s="164" t="s">
        <v>117</v>
      </c>
    </row>
    <row r="150" spans="1:15">
      <c r="E150" s="212" t="str">
        <f>E$57</f>
        <v>Revolver interest expenses</v>
      </c>
      <c r="F150" s="171"/>
      <c r="G150" s="212" t="str">
        <f t="shared" ref="G150:O150" si="66">G$57</f>
        <v>USD</v>
      </c>
      <c r="H150" s="171">
        <f t="shared" si="66"/>
        <v>355.10955089661996</v>
      </c>
      <c r="I150" s="171">
        <f t="shared" si="66"/>
        <v>0</v>
      </c>
      <c r="J150" s="171">
        <f t="shared" si="66"/>
        <v>81.465264687499996</v>
      </c>
      <c r="K150" s="171">
        <f t="shared" si="66"/>
        <v>70.976892580729171</v>
      </c>
      <c r="L150" s="171">
        <f t="shared" si="66"/>
        <v>64.651002729817705</v>
      </c>
      <c r="M150" s="171">
        <f t="shared" si="66"/>
        <v>71.603795948552445</v>
      </c>
      <c r="N150" s="171">
        <f t="shared" si="66"/>
        <v>33.333333333333336</v>
      </c>
      <c r="O150" s="171">
        <f t="shared" si="66"/>
        <v>33.079261616687326</v>
      </c>
    </row>
    <row r="151" spans="1:15">
      <c r="E151" s="174" t="str">
        <f>E$79</f>
        <v>Senior Secured Term Loan interest expenses</v>
      </c>
      <c r="G151" s="174" t="str">
        <f t="shared" ref="G151:O151" si="67">G$79</f>
        <v>USD</v>
      </c>
      <c r="H151" s="150">
        <f>SUM(J151:O151)</f>
        <v>4638.010378010702</v>
      </c>
      <c r="J151" s="150">
        <f t="shared" si="67"/>
        <v>762.890625</v>
      </c>
      <c r="K151" s="150">
        <f t="shared" si="67"/>
        <v>767.7041015625</v>
      </c>
      <c r="L151" s="150">
        <f t="shared" si="67"/>
        <v>772.27803955078127</v>
      </c>
      <c r="M151" s="150">
        <f t="shared" si="67"/>
        <v>776.61767532348631</v>
      </c>
      <c r="N151" s="150">
        <f t="shared" si="67"/>
        <v>780.7281517581938</v>
      </c>
      <c r="O151" s="150">
        <f t="shared" si="67"/>
        <v>777.79178481574047</v>
      </c>
    </row>
    <row r="152" spans="1:15">
      <c r="E152" s="174" t="str">
        <f>E$103</f>
        <v>Subordinated Note interest accrued</v>
      </c>
      <c r="G152" s="174" t="str">
        <f t="shared" ref="G152:O152" si="68">G$103</f>
        <v>USD</v>
      </c>
      <c r="H152" s="150">
        <f t="shared" ref="H152:H154" si="69">SUM(J152:O152)</f>
        <v>11875</v>
      </c>
      <c r="J152" s="150">
        <f t="shared" si="68"/>
        <v>2968.75</v>
      </c>
      <c r="K152" s="150">
        <f t="shared" si="68"/>
        <v>2968.75</v>
      </c>
      <c r="L152" s="150">
        <f t="shared" si="68"/>
        <v>2968.75</v>
      </c>
      <c r="M152" s="150">
        <f t="shared" si="68"/>
        <v>2968.75</v>
      </c>
      <c r="N152" s="150">
        <f t="shared" si="68"/>
        <v>0</v>
      </c>
      <c r="O152" s="150">
        <f t="shared" si="68"/>
        <v>0</v>
      </c>
    </row>
    <row r="153" spans="1:15">
      <c r="E153" s="213" t="str">
        <f>E$124</f>
        <v>New Subordinated Note interest accrued</v>
      </c>
      <c r="F153" s="211"/>
      <c r="G153" s="213" t="str">
        <f t="shared" ref="G153:O153" si="70">G$124</f>
        <v>USD</v>
      </c>
      <c r="H153" s="211">
        <f t="shared" si="69"/>
        <v>7939.5833333333321</v>
      </c>
      <c r="I153" s="211"/>
      <c r="J153" s="167">
        <f t="shared" si="70"/>
        <v>0</v>
      </c>
      <c r="K153" s="167">
        <f t="shared" si="70"/>
        <v>0</v>
      </c>
      <c r="L153" s="167">
        <f t="shared" si="70"/>
        <v>0</v>
      </c>
      <c r="M153" s="167">
        <f t="shared" si="70"/>
        <v>2553.5416666666665</v>
      </c>
      <c r="N153" s="167">
        <f t="shared" si="70"/>
        <v>2639.375</v>
      </c>
      <c r="O153" s="167">
        <f t="shared" si="70"/>
        <v>2746.6666666666665</v>
      </c>
    </row>
    <row r="154" spans="1:15">
      <c r="E154" s="185" t="s">
        <v>117</v>
      </c>
      <c r="F154" s="164"/>
      <c r="G154" s="185" t="s">
        <v>113</v>
      </c>
      <c r="H154" s="164">
        <f t="shared" si="69"/>
        <v>24452.593711344034</v>
      </c>
      <c r="I154" s="164"/>
      <c r="J154" s="164">
        <f t="shared" ref="J154:O154" si="71">SUM(J151:J153)</f>
        <v>3731.640625</v>
      </c>
      <c r="K154" s="164">
        <f t="shared" si="71"/>
        <v>3736.4541015625</v>
      </c>
      <c r="L154" s="164">
        <f t="shared" si="71"/>
        <v>3741.0280395507812</v>
      </c>
      <c r="M154" s="164">
        <f t="shared" si="71"/>
        <v>6298.9093419901528</v>
      </c>
      <c r="N154" s="164">
        <f t="shared" si="71"/>
        <v>3420.1031517581937</v>
      </c>
      <c r="O154" s="164">
        <f t="shared" si="71"/>
        <v>3524.4584514824069</v>
      </c>
    </row>
    <row r="156" spans="1:15" ht="14.4">
      <c r="E156" s="219" t="s">
        <v>178</v>
      </c>
    </row>
    <row r="158" spans="1:15">
      <c r="C158" s="164" t="s">
        <v>173</v>
      </c>
    </row>
    <row r="159" spans="1:15">
      <c r="E159" s="174" t="s">
        <v>127</v>
      </c>
      <c r="G159" s="174" t="s">
        <v>113</v>
      </c>
      <c r="J159" s="150" cm="1">
        <f t="array" ref="J159:O159" xml:space="preserve"> _xlfn.LET(
      _xlpm.historicals,    CaseData!$E$31:$S$31 + CaseData!$E$32:$S$32,
      _xlpm.forecast,       $J$150:$O$150,
      _xlpm.hist_count,     COLUMNS( _xlpm.historicals ),
      _xlpm.fcst_count,     COLUMNS( _xlpm.forecast ),
      _xlpm.full,           _xlfn.HSTACK( _xlpm.historicals, _xlpm.forecast ),
      _xlfn.MAKEARRAY( 1, _xlpm.fcst_count,
                 _xlfn.LAMBDA(_xlpm.i,_xlpm.j,
                            SUM( _xlfn.TAKE( _xlfn.TAKE( _xlpm.full, , _xlpm.hist_count + 1 ),, - 12 ) ) ) ) )</f>
        <v>1361.9792646874998</v>
      </c>
      <c r="K159" s="150">
        <v>1361.9792646874998</v>
      </c>
      <c r="L159" s="150">
        <v>1361.9792646874998</v>
      </c>
      <c r="M159" s="150">
        <v>1361.9792646874998</v>
      </c>
      <c r="N159" s="150">
        <v>1361.9792646874998</v>
      </c>
      <c r="O159" s="150">
        <v>1361.9792646874998</v>
      </c>
    </row>
    <row r="160" spans="1:15">
      <c r="E160" s="174" t="s">
        <v>145</v>
      </c>
      <c r="G160" s="174" t="s">
        <v>113</v>
      </c>
      <c r="J160" s="150" cm="1">
        <f t="array" ref="J160:O160" xml:space="preserve"> _xlfn.LET(
      _xlpm.historicals,    CaseData!$E$36:$S$36,
      _xlpm.forecast,       Debt!$J$151:$O$151,
      _xlpm.hist_count,     COLUMNS( _xlpm.historicals ),
      _xlpm.fcst_count,     COLUMNS( _xlpm.forecast ),
      _xlpm.full,           _xlfn.HSTACK( _xlpm.historicals, _xlpm.forecast ),
      _xlfn.MAKEARRAY( 1, _xlpm.fcst_count,
                 _xlfn.LAMBDA(_xlpm.i,_xlpm.j,
                            SUM( _xlfn.TAKE( _xlfn.TAKE( _xlpm.full, , _xlpm.hist_count + 1 ),, - 12 ) ) ) ) )</f>
        <v>9914.3096250000017</v>
      </c>
      <c r="K160" s="150">
        <v>9914.3096250000017</v>
      </c>
      <c r="L160" s="150">
        <v>9914.3096250000017</v>
      </c>
      <c r="M160" s="150">
        <v>9914.3096250000017</v>
      </c>
      <c r="N160" s="150">
        <v>9914.3096250000017</v>
      </c>
      <c r="O160" s="150">
        <v>9914.3096250000017</v>
      </c>
    </row>
    <row r="161" spans="1:15">
      <c r="E161" s="174" t="s">
        <v>174</v>
      </c>
      <c r="G161" s="174" t="s">
        <v>113</v>
      </c>
      <c r="J161" s="150">
        <f xml:space="preserve"> J$152 * 12</f>
        <v>35625</v>
      </c>
      <c r="K161" s="150">
        <f t="shared" ref="K161:O161" si="72" xml:space="preserve"> K$152 * 12</f>
        <v>35625</v>
      </c>
      <c r="L161" s="150">
        <f t="shared" si="72"/>
        <v>35625</v>
      </c>
      <c r="M161" s="150">
        <f t="shared" si="72"/>
        <v>35625</v>
      </c>
      <c r="N161" s="150">
        <f t="shared" si="72"/>
        <v>0</v>
      </c>
      <c r="O161" s="150">
        <f t="shared" si="72"/>
        <v>0</v>
      </c>
    </row>
    <row r="162" spans="1:15">
      <c r="E162" s="175" t="s">
        <v>175</v>
      </c>
      <c r="F162" s="167"/>
      <c r="G162" s="175" t="s">
        <v>113</v>
      </c>
      <c r="H162" s="167"/>
      <c r="I162" s="167"/>
      <c r="J162" s="167">
        <f xml:space="preserve"> J$153 * 12</f>
        <v>0</v>
      </c>
      <c r="K162" s="167">
        <f t="shared" ref="K162:O162" si="73" xml:space="preserve"> K$153 * 12</f>
        <v>0</v>
      </c>
      <c r="L162" s="167">
        <f t="shared" si="73"/>
        <v>0</v>
      </c>
      <c r="M162" s="167">
        <f t="shared" si="73"/>
        <v>30642.5</v>
      </c>
      <c r="N162" s="167">
        <f t="shared" si="73"/>
        <v>31672.5</v>
      </c>
      <c r="O162" s="167">
        <f t="shared" si="73"/>
        <v>32960</v>
      </c>
    </row>
    <row r="163" spans="1:15">
      <c r="E163" s="185" t="s">
        <v>176</v>
      </c>
      <c r="G163" s="185" t="s">
        <v>113</v>
      </c>
      <c r="H163" s="164"/>
      <c r="I163" s="164"/>
      <c r="J163" s="164">
        <f>SUM(J159:J162)</f>
        <v>46901.288889687501</v>
      </c>
      <c r="K163" s="164">
        <f t="shared" ref="K163:O163" si="74">SUM(K159:K162)</f>
        <v>46901.288889687501</v>
      </c>
      <c r="L163" s="164">
        <f t="shared" si="74"/>
        <v>46901.288889687501</v>
      </c>
      <c r="M163" s="164">
        <f t="shared" si="74"/>
        <v>77543.788889687508</v>
      </c>
      <c r="N163" s="164">
        <f t="shared" si="74"/>
        <v>42948.788889687501</v>
      </c>
      <c r="O163" s="164">
        <f t="shared" si="74"/>
        <v>44236.288889687501</v>
      </c>
    </row>
    <row r="166" spans="1:15" s="156" customFormat="1">
      <c r="A166" s="157" t="s">
        <v>38</v>
      </c>
      <c r="D166" s="162"/>
      <c r="E166" s="173"/>
      <c r="G166" s="173"/>
    </row>
    <row r="168" spans="1:15">
      <c r="D168" s="150"/>
      <c r="E168" s="174" t="str">
        <f>E$43</f>
        <v>Revolver</v>
      </c>
      <c r="G168" s="174" t="str">
        <f t="shared" ref="G168:O168" si="75">G$43</f>
        <v>USD</v>
      </c>
      <c r="J168" s="150">
        <f t="shared" si="75"/>
        <v>9656.1654687499995</v>
      </c>
      <c r="K168" s="150">
        <f t="shared" si="75"/>
        <v>8110.2677011718743</v>
      </c>
      <c r="L168" s="150">
        <f t="shared" si="75"/>
        <v>8274.6946195068358</v>
      </c>
      <c r="M168" s="150">
        <f t="shared" si="75"/>
        <v>0</v>
      </c>
      <c r="N168" s="150">
        <f t="shared" si="75"/>
        <v>0</v>
      </c>
      <c r="O168" s="150">
        <f t="shared" si="75"/>
        <v>381.10757496901772</v>
      </c>
    </row>
    <row r="169" spans="1:15">
      <c r="D169" s="150"/>
      <c r="E169" s="174" t="str">
        <f>E$67</f>
        <v>Senior Secured Term Loan</v>
      </c>
      <c r="G169" s="174" t="str">
        <f t="shared" ref="G169:O169" si="76">G$67</f>
        <v>USD</v>
      </c>
      <c r="J169" s="150">
        <f t="shared" si="76"/>
        <v>172195.3125</v>
      </c>
      <c r="K169" s="150">
        <f t="shared" si="76"/>
        <v>170042.87109375</v>
      </c>
      <c r="L169" s="150">
        <f t="shared" si="76"/>
        <v>167917.33520507813</v>
      </c>
      <c r="M169" s="150">
        <f t="shared" si="76"/>
        <v>165818.36851501465</v>
      </c>
      <c r="N169" s="150">
        <f t="shared" si="76"/>
        <v>163745.63890857698</v>
      </c>
      <c r="O169" s="150">
        <f t="shared" si="76"/>
        <v>161698.81842221977</v>
      </c>
    </row>
    <row r="170" spans="1:15">
      <c r="D170" s="150"/>
      <c r="E170" s="174" t="str">
        <f>E$88</f>
        <v>Subordinated Note</v>
      </c>
      <c r="G170" s="174" t="str">
        <f t="shared" ref="G170:O170" si="77">G$88</f>
        <v>USD</v>
      </c>
      <c r="J170" s="150">
        <f t="shared" si="77"/>
        <v>500000</v>
      </c>
      <c r="K170" s="150">
        <f t="shared" si="77"/>
        <v>500000</v>
      </c>
      <c r="L170" s="150">
        <f t="shared" si="77"/>
        <v>500000</v>
      </c>
      <c r="M170" s="150">
        <f t="shared" si="77"/>
        <v>0</v>
      </c>
      <c r="N170" s="150">
        <f t="shared" si="77"/>
        <v>0</v>
      </c>
      <c r="O170" s="150">
        <f t="shared" si="77"/>
        <v>0</v>
      </c>
    </row>
    <row r="171" spans="1:15">
      <c r="D171" s="150"/>
      <c r="E171" s="175" t="str">
        <f>E$119</f>
        <v>New Subordinated Note</v>
      </c>
      <c r="F171" s="167"/>
      <c r="G171" s="175" t="str">
        <f t="shared" ref="G171:O171" si="78">G$119</f>
        <v>USD</v>
      </c>
      <c r="H171" s="167"/>
      <c r="I171" s="167"/>
      <c r="J171" s="167">
        <f t="shared" si="78"/>
        <v>0</v>
      </c>
      <c r="K171" s="167">
        <f t="shared" si="78"/>
        <v>0</v>
      </c>
      <c r="L171" s="167">
        <f t="shared" si="78"/>
        <v>0</v>
      </c>
      <c r="M171" s="167">
        <f t="shared" si="78"/>
        <v>515000</v>
      </c>
      <c r="N171" s="167">
        <f t="shared" si="78"/>
        <v>515000</v>
      </c>
      <c r="O171" s="167">
        <f t="shared" si="78"/>
        <v>515000</v>
      </c>
    </row>
    <row r="172" spans="1:15">
      <c r="D172" s="150"/>
      <c r="E172" s="185" t="s">
        <v>38</v>
      </c>
      <c r="F172" s="164"/>
      <c r="G172" s="185" t="s">
        <v>113</v>
      </c>
      <c r="H172" s="164"/>
      <c r="I172" s="164"/>
      <c r="J172" s="164">
        <f>SUM(J168:J171)</f>
        <v>681851.47796875006</v>
      </c>
      <c r="K172" s="164">
        <f t="shared" ref="K172:O172" si="79">SUM(K168:K171)</f>
        <v>678153.1387949218</v>
      </c>
      <c r="L172" s="164">
        <f t="shared" si="79"/>
        <v>676192.02982458496</v>
      </c>
      <c r="M172" s="164">
        <f t="shared" si="79"/>
        <v>680818.36851501465</v>
      </c>
      <c r="N172" s="164">
        <f t="shared" si="79"/>
        <v>678745.63890857692</v>
      </c>
      <c r="O172" s="164">
        <f t="shared" si="79"/>
        <v>677079.92599718878</v>
      </c>
    </row>
    <row r="175" spans="1:15" s="156" customFormat="1">
      <c r="A175" s="157" t="s">
        <v>181</v>
      </c>
      <c r="D175" s="162"/>
      <c r="E175" s="173"/>
      <c r="G175" s="173"/>
    </row>
    <row r="177" spans="1:15">
      <c r="E177" s="174" t="s">
        <v>114</v>
      </c>
      <c r="F177" s="191"/>
      <c r="G177" s="174" t="s">
        <v>113</v>
      </c>
      <c r="J177" s="224">
        <f>CaseData!E$54</f>
        <v>193220</v>
      </c>
      <c r="K177" s="224">
        <f>CaseData!F$54</f>
        <v>189600</v>
      </c>
      <c r="L177" s="224">
        <f>CaseData!G$54</f>
        <v>186312</v>
      </c>
      <c r="M177" s="224">
        <f>CaseData!H$54</f>
        <v>185545</v>
      </c>
      <c r="N177" s="224">
        <f>CaseData!I$54</f>
        <v>185313</v>
      </c>
      <c r="O177" s="224">
        <f>CaseData!J$54</f>
        <v>183795</v>
      </c>
    </row>
    <row r="178" spans="1:15">
      <c r="E178" s="174" t="str">
        <f>CaseData!B$55</f>
        <v>TTM Capex</v>
      </c>
      <c r="F178" s="174"/>
      <c r="G178" s="174" t="s">
        <v>113</v>
      </c>
      <c r="H178" s="174"/>
      <c r="I178" s="174"/>
      <c r="J178" s="160">
        <f>CaseData!E$55</f>
        <v>81423</v>
      </c>
      <c r="K178" s="160">
        <f>CaseData!F$55</f>
        <v>63499</v>
      </c>
      <c r="L178" s="160">
        <f>CaseData!G$55</f>
        <v>89256</v>
      </c>
      <c r="M178" s="160">
        <f>CaseData!H$55</f>
        <v>86777</v>
      </c>
      <c r="N178" s="160">
        <f>CaseData!I$55</f>
        <v>77656</v>
      </c>
      <c r="O178" s="160">
        <f>CaseData!J$55</f>
        <v>83704</v>
      </c>
    </row>
    <row r="179" spans="1:15">
      <c r="E179" s="174" t="str">
        <f>E$163</f>
        <v>TTM Interest expenses</v>
      </c>
      <c r="F179" s="174"/>
      <c r="G179" s="174" t="str">
        <f>$G$163</f>
        <v>USD</v>
      </c>
      <c r="H179" s="174"/>
      <c r="I179" s="174">
        <f t="shared" ref="I179:O179" si="80">I$163</f>
        <v>0</v>
      </c>
      <c r="J179" s="150">
        <f t="shared" si="80"/>
        <v>46901.288889687501</v>
      </c>
      <c r="K179" s="150">
        <f t="shared" si="80"/>
        <v>46901.288889687501</v>
      </c>
      <c r="L179" s="150">
        <f t="shared" si="80"/>
        <v>46901.288889687501</v>
      </c>
      <c r="M179" s="150">
        <f t="shared" si="80"/>
        <v>77543.788889687508</v>
      </c>
      <c r="N179" s="150">
        <f t="shared" si="80"/>
        <v>42948.788889687501</v>
      </c>
      <c r="O179" s="150">
        <f t="shared" si="80"/>
        <v>44236.288889687501</v>
      </c>
    </row>
    <row r="180" spans="1:15">
      <c r="E180" s="228" t="s">
        <v>177</v>
      </c>
      <c r="F180" s="228"/>
      <c r="G180" s="228" t="s">
        <v>113</v>
      </c>
      <c r="H180" s="228"/>
      <c r="I180" s="228"/>
      <c r="J180" s="229">
        <f xml:space="preserve"> ( J$177 - J$178 ) / J$179</f>
        <v>2.3836658361979803</v>
      </c>
      <c r="K180" s="229">
        <f t="shared" ref="K180:O180" si="81" xml:space="preserve"> ( K$177 - K$178 ) / K$179</f>
        <v>2.6886467938352685</v>
      </c>
      <c r="L180" s="229">
        <f t="shared" si="81"/>
        <v>2.0693674373912643</v>
      </c>
      <c r="M180" s="229">
        <f t="shared" si="81"/>
        <v>1.2737061396433143</v>
      </c>
      <c r="N180" s="229">
        <f t="shared" si="81"/>
        <v>2.5066364566533723</v>
      </c>
      <c r="O180" s="229">
        <f t="shared" si="81"/>
        <v>2.2626445959243546</v>
      </c>
    </row>
    <row r="182" spans="1:15">
      <c r="E182" s="174" t="s">
        <v>179</v>
      </c>
      <c r="F182" s="230">
        <f>CaseData!$E$13</f>
        <v>2.5</v>
      </c>
      <c r="G182" s="174" t="s">
        <v>115</v>
      </c>
    </row>
    <row r="183" spans="1:15">
      <c r="E183" s="228" t="s">
        <v>180</v>
      </c>
      <c r="F183" s="231"/>
      <c r="G183" s="228"/>
      <c r="H183" s="231"/>
      <c r="I183" s="231"/>
      <c r="J183" s="231">
        <f xml:space="preserve"> J$177 - ( J$178 + ( J$179 * $F$182 ) )</f>
        <v>-5456.2222242187709</v>
      </c>
      <c r="K183" s="231">
        <f t="shared" ref="K183:O183" si="82" xml:space="preserve"> K$177 - ( K$178 + ( K$179 * $F$182 ) )</f>
        <v>8847.7777757812291</v>
      </c>
      <c r="L183" s="231">
        <f t="shared" si="82"/>
        <v>-20197.222224218771</v>
      </c>
      <c r="M183" s="231">
        <f t="shared" si="82"/>
        <v>-95091.472224218771</v>
      </c>
      <c r="N183" s="231">
        <f t="shared" si="82"/>
        <v>285.02777578122914</v>
      </c>
      <c r="O183" s="231">
        <f t="shared" si="82"/>
        <v>-10499.722224218771</v>
      </c>
    </row>
    <row r="186" spans="1:15" s="156" customFormat="1">
      <c r="A186" s="157" t="s">
        <v>182</v>
      </c>
      <c r="D186" s="162"/>
      <c r="E186" s="173"/>
      <c r="G186" s="173"/>
    </row>
    <row r="188" spans="1:15">
      <c r="C188" s="150" t="s">
        <v>183</v>
      </c>
      <c r="E188" s="174" t="s">
        <v>184</v>
      </c>
    </row>
    <row r="189" spans="1:15">
      <c r="C189" s="150" t="s">
        <v>185</v>
      </c>
      <c r="E189" s="174" t="s">
        <v>186</v>
      </c>
    </row>
    <row r="190" spans="1:15">
      <c r="C190" s="150" t="s">
        <v>187</v>
      </c>
      <c r="E190" s="174" t="s">
        <v>184</v>
      </c>
    </row>
    <row r="191" spans="1:15" ht="14.4">
      <c r="C191" s="150" t="s">
        <v>188</v>
      </c>
      <c r="E191" s="174" t="s">
        <v>189</v>
      </c>
      <c r="I191" s="232" t="s">
        <v>190</v>
      </c>
      <c r="J191" s="235">
        <f xml:space="preserve"> J180</f>
        <v>2.3836658361979803</v>
      </c>
      <c r="K191" s="235">
        <f t="shared" ref="K191:O191" si="83" xml:space="preserve"> K180</f>
        <v>2.6886467938352685</v>
      </c>
      <c r="L191" s="235">
        <f t="shared" si="83"/>
        <v>2.0693674373912643</v>
      </c>
      <c r="M191" s="235">
        <f t="shared" si="83"/>
        <v>1.2737061396433143</v>
      </c>
      <c r="N191" s="235">
        <f t="shared" si="83"/>
        <v>2.5066364566533723</v>
      </c>
      <c r="O191" s="235">
        <f t="shared" si="83"/>
        <v>2.2626445959243546</v>
      </c>
    </row>
    <row r="192" spans="1:15" ht="14.4">
      <c r="E192" s="237" t="s">
        <v>191</v>
      </c>
      <c r="H192" s="158" cm="1">
        <f t="array" ref="H192:H197">CaseData!$K$17:$K$22</f>
        <v>43982</v>
      </c>
      <c r="I192" s="233" cm="1">
        <f t="array" ref="I192:I197">CaseData!$K$17:$K$22</f>
        <v>43982</v>
      </c>
      <c r="J192" s="234" t="e">
        <f t="dataTable" ref="J192:O197" dt2D="0" dtr="0" r1="F92"/>
        <v>#N/A</v>
      </c>
      <c r="K192" s="234" t="e">
        <v>#N/A</v>
      </c>
      <c r="L192" s="234" t="e">
        <v>#N/A</v>
      </c>
      <c r="M192" s="234" t="e">
        <v>#N/A</v>
      </c>
      <c r="N192" s="234" t="e">
        <v>#N/A</v>
      </c>
      <c r="O192" s="234" t="e">
        <v>#N/A</v>
      </c>
    </row>
    <row r="193" spans="5:15" ht="14.4">
      <c r="E193" s="174" t="s">
        <v>192</v>
      </c>
      <c r="H193" s="158">
        <v>44012</v>
      </c>
      <c r="I193" s="150">
        <v>44012</v>
      </c>
      <c r="J193" s="234">
        <v>2.3836658361979803</v>
      </c>
      <c r="K193" s="234" t="e">
        <v>#N/A</v>
      </c>
      <c r="L193" s="234" t="e">
        <v>#N/A</v>
      </c>
      <c r="M193" s="234" t="e">
        <v>#N/A</v>
      </c>
      <c r="N193" s="234" t="e">
        <v>#N/A</v>
      </c>
      <c r="O193" s="234" t="e">
        <v>#N/A</v>
      </c>
    </row>
    <row r="194" spans="5:15" ht="14.4">
      <c r="E194" s="174" t="s">
        <v>193</v>
      </c>
      <c r="H194" s="158">
        <v>44043</v>
      </c>
      <c r="I194" s="150">
        <v>44043</v>
      </c>
      <c r="J194" s="234">
        <v>2.3836658361979803</v>
      </c>
      <c r="K194" s="238">
        <v>2.6886467938352685</v>
      </c>
      <c r="L194" s="234">
        <v>1.2727605999867289</v>
      </c>
      <c r="M194" s="234">
        <v>2.3561749424563661</v>
      </c>
      <c r="N194" s="238">
        <v>2.5066364566533723</v>
      </c>
      <c r="O194" s="234">
        <v>2.2626445959243546</v>
      </c>
    </row>
    <row r="195" spans="5:15" ht="14.4">
      <c r="H195" s="158">
        <v>44074</v>
      </c>
      <c r="I195" s="150">
        <v>44074</v>
      </c>
      <c r="J195" s="234">
        <v>2.3836658361979803</v>
      </c>
      <c r="K195" s="238">
        <v>2.6886467938352685</v>
      </c>
      <c r="L195" s="236">
        <v>2.0693674373912643</v>
      </c>
      <c r="M195" s="234">
        <v>1.2737061396433143</v>
      </c>
      <c r="N195" s="238">
        <v>2.5066364566533723</v>
      </c>
      <c r="O195" s="234">
        <v>2.2626445959243546</v>
      </c>
    </row>
    <row r="196" spans="5:15" ht="14.4">
      <c r="H196" s="158">
        <v>44104</v>
      </c>
      <c r="I196" s="150">
        <v>44104</v>
      </c>
      <c r="J196" s="234">
        <v>2.3836658361979803</v>
      </c>
      <c r="K196" s="238">
        <v>2.6886467938352685</v>
      </c>
      <c r="L196" s="236">
        <v>2.0693674373912643</v>
      </c>
      <c r="M196" s="234">
        <v>2.1058696325447204</v>
      </c>
      <c r="N196" s="234">
        <v>1.3701388404617147</v>
      </c>
      <c r="O196" s="234">
        <v>2.2626445959243546</v>
      </c>
    </row>
    <row r="197" spans="5:15" ht="14.4">
      <c r="H197" s="158">
        <v>44135</v>
      </c>
      <c r="I197" s="150">
        <v>44135</v>
      </c>
      <c r="J197" s="234">
        <v>2.3836658361979803</v>
      </c>
      <c r="K197" s="238">
        <v>2.6886467938352685</v>
      </c>
      <c r="L197" s="236">
        <v>2.0693674373912643</v>
      </c>
      <c r="M197" s="234">
        <v>2.1058696325447204</v>
      </c>
      <c r="N197" s="234">
        <v>2.2953953409086645</v>
      </c>
      <c r="O197" s="234">
        <v>1.258352754866872</v>
      </c>
    </row>
    <row r="198" spans="5:15" ht="14.4">
      <c r="H198" s="158"/>
      <c r="J198" s="234"/>
      <c r="K198" s="239"/>
      <c r="L198" s="239"/>
      <c r="M198" s="234"/>
      <c r="N198" s="234"/>
      <c r="O198" s="234"/>
    </row>
    <row r="199" spans="5:15" ht="14.4">
      <c r="H199" s="158"/>
      <c r="J199" s="234"/>
      <c r="K199" s="239"/>
      <c r="L199" s="239"/>
      <c r="M199" s="234"/>
      <c r="N199" s="234"/>
      <c r="O199" s="234"/>
    </row>
    <row r="200" spans="5:15" ht="14.4">
      <c r="H200" s="158"/>
      <c r="J200" s="234"/>
      <c r="K200" s="239"/>
      <c r="L200" s="239"/>
      <c r="M200" s="234"/>
      <c r="N200" s="234"/>
      <c r="O200" s="234"/>
    </row>
    <row r="201" spans="5:15" ht="14.4">
      <c r="H201" s="158"/>
      <c r="J201" s="234"/>
      <c r="K201" s="239"/>
      <c r="L201" s="239"/>
      <c r="M201" s="234"/>
      <c r="N201" s="234"/>
      <c r="O201" s="234"/>
    </row>
    <row r="202" spans="5:15" ht="14.4">
      <c r="H202" s="158"/>
      <c r="J202" s="234"/>
      <c r="K202" s="239"/>
      <c r="L202" s="239"/>
      <c r="M202" s="234"/>
      <c r="N202" s="234"/>
      <c r="O202" s="234"/>
    </row>
    <row r="203" spans="5:15" ht="14.4">
      <c r="H203" s="158"/>
      <c r="J203" s="234"/>
      <c r="K203" s="239"/>
      <c r="L203" s="239"/>
      <c r="M203" s="234"/>
      <c r="N203" s="234"/>
      <c r="O203" s="234"/>
    </row>
    <row r="204" spans="5:15" ht="14.4">
      <c r="H204" s="158"/>
      <c r="J204" s="234"/>
      <c r="K204" s="239"/>
      <c r="L204" s="239"/>
      <c r="M204" s="234"/>
      <c r="N204" s="234"/>
      <c r="O204" s="234"/>
    </row>
    <row r="205" spans="5:15" ht="14.4">
      <c r="H205" s="158"/>
      <c r="J205" s="234"/>
      <c r="K205" s="239"/>
      <c r="L205" s="239"/>
      <c r="M205" s="234"/>
      <c r="N205" s="234"/>
      <c r="O205" s="234"/>
    </row>
    <row r="206" spans="5:15" ht="14.4">
      <c r="H206" s="158"/>
      <c r="J206" s="234"/>
      <c r="K206" s="239"/>
      <c r="L206" s="239"/>
      <c r="M206" s="234"/>
      <c r="N206" s="234"/>
      <c r="O206" s="234"/>
    </row>
    <row r="207" spans="5:15" ht="14.4">
      <c r="H207" s="158"/>
      <c r="J207" s="234"/>
      <c r="K207" s="239"/>
      <c r="L207" s="239"/>
      <c r="M207" s="234"/>
      <c r="N207" s="234"/>
      <c r="O207" s="234"/>
    </row>
    <row r="208" spans="5:15" ht="14.4">
      <c r="H208" s="158"/>
      <c r="J208" s="234"/>
      <c r="K208" s="239"/>
      <c r="L208" s="239"/>
      <c r="M208" s="234"/>
      <c r="N208" s="234"/>
      <c r="O208" s="234"/>
    </row>
    <row r="209" spans="8:15" ht="14.4">
      <c r="H209" s="158"/>
      <c r="J209" s="234"/>
      <c r="K209" s="239"/>
      <c r="L209" s="239"/>
      <c r="M209" s="234"/>
      <c r="N209" s="234"/>
      <c r="O209" s="234"/>
    </row>
    <row r="210" spans="8:15" ht="14.4">
      <c r="H210" s="158"/>
      <c r="J210" s="234"/>
      <c r="K210" s="239"/>
      <c r="L210" s="239"/>
      <c r="M210" s="234"/>
      <c r="N210" s="234"/>
      <c r="O210" s="234"/>
    </row>
    <row r="211" spans="8:15" ht="14.4">
      <c r="H211" s="158"/>
      <c r="J211" s="234"/>
      <c r="K211" s="239"/>
      <c r="L211" s="239"/>
      <c r="M211" s="234"/>
      <c r="N211" s="234"/>
      <c r="O211" s="234"/>
    </row>
    <row r="212" spans="8:15" ht="14.4">
      <c r="H212" s="158"/>
      <c r="J212" s="234"/>
      <c r="K212" s="239"/>
      <c r="L212" s="239"/>
      <c r="M212" s="234"/>
      <c r="N212" s="234"/>
      <c r="O212" s="234"/>
    </row>
    <row r="213" spans="8:15" ht="14.4">
      <c r="H213" s="158"/>
      <c r="J213" s="234"/>
      <c r="K213" s="239"/>
      <c r="L213" s="239"/>
      <c r="M213" s="234"/>
      <c r="N213" s="234"/>
      <c r="O213" s="234"/>
    </row>
    <row r="214" spans="8:15" ht="14.4">
      <c r="H214" s="158"/>
      <c r="J214" s="234"/>
      <c r="K214" s="239"/>
      <c r="L214" s="239"/>
      <c r="M214" s="234"/>
      <c r="N214" s="234"/>
      <c r="O214" s="234"/>
    </row>
    <row r="215" spans="8:15" ht="14.4">
      <c r="H215" s="158"/>
      <c r="J215" s="234"/>
      <c r="K215" s="239"/>
      <c r="L215" s="239"/>
      <c r="M215" s="234"/>
      <c r="N215" s="234"/>
      <c r="O215" s="234"/>
    </row>
    <row r="216" spans="8:15" ht="14.4">
      <c r="H216" s="158"/>
      <c r="J216" s="234"/>
      <c r="K216" s="239"/>
      <c r="L216" s="239"/>
      <c r="M216" s="234"/>
      <c r="N216" s="234"/>
      <c r="O216" s="234"/>
    </row>
    <row r="217" spans="8:15" ht="14.4">
      <c r="H217" s="158"/>
      <c r="J217" s="234"/>
      <c r="K217" s="239"/>
      <c r="L217" s="239"/>
      <c r="M217" s="234"/>
      <c r="N217" s="234"/>
      <c r="O217" s="234"/>
    </row>
    <row r="218" spans="8:15" ht="14.4">
      <c r="H218" s="158"/>
      <c r="J218" s="234"/>
      <c r="K218" s="239"/>
      <c r="L218" s="239"/>
      <c r="M218" s="234"/>
      <c r="N218" s="234"/>
      <c r="O218" s="234"/>
    </row>
    <row r="219" spans="8:15" ht="14.4">
      <c r="H219" s="158"/>
      <c r="J219" s="234"/>
      <c r="K219" s="239"/>
      <c r="L219" s="239"/>
      <c r="M219" s="234"/>
      <c r="N219" s="234"/>
      <c r="O219" s="234"/>
    </row>
    <row r="220" spans="8:15" ht="14.4">
      <c r="H220" s="158"/>
      <c r="J220" s="234"/>
      <c r="K220" s="239"/>
      <c r="L220" s="239"/>
      <c r="M220" s="234"/>
      <c r="N220" s="234"/>
      <c r="O220" s="234"/>
    </row>
    <row r="221" spans="8:15" ht="14.4">
      <c r="H221" s="158"/>
      <c r="J221" s="234"/>
      <c r="K221" s="239"/>
      <c r="L221" s="239"/>
      <c r="M221" s="234"/>
      <c r="N221" s="234"/>
      <c r="O221" s="234"/>
    </row>
    <row r="222" spans="8:15" ht="14.4">
      <c r="H222" s="158"/>
      <c r="J222" s="234"/>
      <c r="K222" s="239"/>
      <c r="L222" s="239"/>
      <c r="M222" s="234"/>
      <c r="N222" s="234"/>
      <c r="O222" s="234"/>
    </row>
    <row r="223" spans="8:15" ht="14.4">
      <c r="H223" s="158"/>
      <c r="J223" s="234"/>
      <c r="K223" s="239"/>
      <c r="L223" s="239"/>
      <c r="M223" s="234"/>
      <c r="N223" s="234"/>
      <c r="O223" s="234"/>
    </row>
    <row r="224" spans="8:15" ht="14.4">
      <c r="H224" s="158"/>
      <c r="J224" s="234"/>
      <c r="K224" s="239"/>
      <c r="L224" s="239"/>
      <c r="M224" s="234"/>
      <c r="N224" s="234"/>
      <c r="O224" s="234"/>
    </row>
    <row r="225" spans="1:15" ht="14.4">
      <c r="H225" s="158"/>
      <c r="J225" s="234"/>
      <c r="K225" s="239"/>
      <c r="L225" s="239"/>
      <c r="M225" s="234"/>
      <c r="N225" s="234"/>
      <c r="O225" s="234"/>
    </row>
    <row r="226" spans="1:15" ht="14.4">
      <c r="H226" s="158"/>
      <c r="J226" s="234"/>
      <c r="K226" s="239"/>
      <c r="L226" s="239"/>
      <c r="M226" s="234"/>
      <c r="N226" s="234"/>
      <c r="O226" s="234"/>
    </row>
    <row r="227" spans="1:15" ht="14.4">
      <c r="H227" s="158"/>
      <c r="J227" s="234"/>
      <c r="K227" s="239"/>
      <c r="L227" s="239"/>
      <c r="M227" s="234"/>
      <c r="N227" s="234"/>
      <c r="O227" s="234"/>
    </row>
    <row r="228" spans="1:15" ht="14.4">
      <c r="H228" s="158"/>
      <c r="J228" s="234"/>
      <c r="K228" s="239"/>
      <c r="L228" s="239"/>
      <c r="M228" s="234"/>
      <c r="N228" s="234"/>
      <c r="O228" s="234"/>
    </row>
    <row r="229" spans="1:15" ht="14.4">
      <c r="H229" s="158"/>
      <c r="J229" s="234"/>
      <c r="K229" s="239"/>
      <c r="L229" s="239"/>
      <c r="M229" s="234"/>
      <c r="N229" s="234"/>
      <c r="O229" s="234"/>
    </row>
    <row r="230" spans="1:15" ht="14.4">
      <c r="H230" s="158"/>
      <c r="J230" s="234"/>
      <c r="K230" s="239"/>
      <c r="L230" s="239"/>
      <c r="M230" s="234"/>
      <c r="N230" s="234"/>
      <c r="O230" s="234"/>
    </row>
    <row r="232" spans="1:15" s="156" customFormat="1">
      <c r="A232" s="157" t="s">
        <v>194</v>
      </c>
      <c r="D232" s="162"/>
      <c r="E232" s="173"/>
      <c r="G232" s="173"/>
    </row>
  </sheetData>
  <dataValidations disablePrompts="1" count="1">
    <dataValidation type="list" allowBlank="1" showInputMessage="1" showErrorMessage="1" sqref="F92" xr:uid="{45A62461-C5A3-490F-8207-A3433A33FBB8}">
      <formula1 xml:space="preserve"> $J$3:$O$3</formula1>
    </dataValidation>
  </dataValidations>
  <printOptions horizontalCentered="1"/>
  <pageMargins left="0.15748031496062992" right="0.15748031496062992" top="0.39370078740157483" bottom="0.39370078740157483" header="0.15748031496062992" footer="0.15748031496062992"/>
  <pageSetup scale="63" fitToHeight="0" orientation="portrait" r:id="rId1"/>
  <headerFooter>
    <oddFooter>&amp;L&amp;"Arial,Regular"Financial Modeling Institute
CFM October 2026&amp;C&amp;"Arial,Regular"Page &amp;P of &amp;N&amp;R&amp;"Arial,Regular"&amp;D</oddFooter>
  </headerFooter>
  <rowBreaks count="2" manualBreakCount="2">
    <brk id="80" max="16383" man="1"/>
    <brk id="155" max="16383" man="1"/>
  </rowBreaks>
  <colBreaks count="2" manualBreakCount="2">
    <brk id="3" max="1048575" man="1"/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D4EF-D7EE-4420-83ED-7AF6D124EE33}">
  <sheetPr>
    <tabColor theme="3" tint="0.39997558519241921"/>
  </sheetPr>
  <dimension ref="A1:Y64"/>
  <sheetViews>
    <sheetView showGridLines="0" zoomScaleNormal="100" workbookViewId="0">
      <selection activeCell="E13" sqref="E13"/>
    </sheetView>
  </sheetViews>
  <sheetFormatPr defaultRowHeight="14.4"/>
  <cols>
    <col min="1" max="1" width="2.5546875" customWidth="1"/>
    <col min="2" max="9" width="9.6640625" customWidth="1"/>
    <col min="10" max="10" width="10.44140625" customWidth="1"/>
    <col min="11" max="13" width="9.6640625" customWidth="1"/>
  </cols>
  <sheetData>
    <row r="1" spans="2:19" ht="15.6">
      <c r="B1" s="149" t="s">
        <v>1</v>
      </c>
      <c r="C1" s="4"/>
      <c r="D1" s="5"/>
      <c r="E1" s="5"/>
      <c r="F1" s="5"/>
      <c r="G1" s="5"/>
      <c r="H1" s="5"/>
      <c r="I1" s="5"/>
    </row>
    <row r="2" spans="2:19">
      <c r="B2" s="6" t="s">
        <v>2</v>
      </c>
      <c r="C2" s="6"/>
      <c r="D2" s="5"/>
      <c r="E2" s="5"/>
      <c r="F2" s="5"/>
      <c r="G2" s="5"/>
      <c r="H2" s="5"/>
      <c r="I2" s="5"/>
    </row>
    <row r="3" spans="2:19">
      <c r="B3" s="5"/>
      <c r="C3" s="5"/>
      <c r="D3" s="5"/>
      <c r="E3" s="5"/>
      <c r="F3" s="5"/>
      <c r="G3" s="5"/>
      <c r="H3" s="5"/>
      <c r="I3" s="5"/>
    </row>
    <row r="4" spans="2:19">
      <c r="B4" s="7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</row>
    <row r="5" spans="2:19">
      <c r="B5" s="5"/>
      <c r="C5" s="5"/>
      <c r="D5" s="5"/>
      <c r="E5" s="5"/>
      <c r="F5" s="5"/>
      <c r="G5" s="5"/>
      <c r="H5" s="5"/>
      <c r="I5" s="5"/>
      <c r="J5" s="10"/>
      <c r="K5" s="10"/>
      <c r="L5" s="10"/>
      <c r="M5" s="10"/>
      <c r="N5" s="10"/>
      <c r="O5" s="10"/>
    </row>
    <row r="6" spans="2:19">
      <c r="B6" s="11" t="s">
        <v>4</v>
      </c>
      <c r="C6" s="11"/>
      <c r="D6" s="12"/>
      <c r="E6" s="12"/>
      <c r="F6" s="12"/>
      <c r="G6" s="12"/>
      <c r="H6" s="12"/>
      <c r="I6" s="12"/>
      <c r="J6" s="10"/>
      <c r="K6" s="10"/>
      <c r="L6" s="10"/>
      <c r="M6" s="10"/>
      <c r="N6" s="10"/>
      <c r="O6" s="10"/>
    </row>
    <row r="7" spans="2:19">
      <c r="B7" s="13" t="s">
        <v>5</v>
      </c>
      <c r="C7" s="14"/>
      <c r="D7" s="14"/>
      <c r="E7" s="15">
        <v>50000</v>
      </c>
      <c r="F7" s="16"/>
      <c r="G7" s="17" t="s">
        <v>6</v>
      </c>
      <c r="H7" s="17"/>
      <c r="I7" s="18"/>
      <c r="J7" s="10"/>
      <c r="K7" s="10" t="s">
        <v>100</v>
      </c>
      <c r="L7" s="154">
        <v>43952</v>
      </c>
      <c r="M7" s="10" t="s">
        <v>103</v>
      </c>
      <c r="N7" s="10"/>
      <c r="O7" s="10"/>
    </row>
    <row r="8" spans="2:19">
      <c r="B8" s="19" t="s">
        <v>7</v>
      </c>
      <c r="C8" s="5"/>
      <c r="D8" s="5"/>
      <c r="E8" s="20">
        <v>12473</v>
      </c>
      <c r="F8" s="21"/>
      <c r="G8" s="22" t="s">
        <v>8</v>
      </c>
      <c r="H8" s="23"/>
      <c r="I8" s="24"/>
      <c r="J8" s="10"/>
      <c r="K8" s="10" t="s">
        <v>101</v>
      </c>
      <c r="L8" s="155">
        <v>6</v>
      </c>
      <c r="M8" s="10" t="s">
        <v>102</v>
      </c>
      <c r="N8" s="10"/>
      <c r="O8" s="10"/>
    </row>
    <row r="9" spans="2:19">
      <c r="B9" s="25"/>
      <c r="E9" s="3"/>
      <c r="F9" s="21"/>
      <c r="G9" s="26" t="s">
        <v>9</v>
      </c>
      <c r="H9" s="21"/>
      <c r="I9" s="27" t="s">
        <v>10</v>
      </c>
      <c r="K9" s="10" t="s">
        <v>104</v>
      </c>
      <c r="L9" s="153">
        <f>EOMONTH( start_date, periods )</f>
        <v>44165</v>
      </c>
      <c r="M9" s="10" t="s">
        <v>103</v>
      </c>
      <c r="N9" s="10"/>
      <c r="O9" s="10"/>
    </row>
    <row r="10" spans="2:19">
      <c r="B10" s="19" t="s">
        <v>11</v>
      </c>
      <c r="C10" s="5"/>
      <c r="D10" s="5"/>
      <c r="E10" s="28">
        <v>80</v>
      </c>
      <c r="F10" s="21"/>
      <c r="G10" s="29" t="s">
        <v>12</v>
      </c>
      <c r="H10" s="21"/>
      <c r="I10" s="30" t="s">
        <v>13</v>
      </c>
      <c r="K10" s="152" t="s">
        <v>105</v>
      </c>
      <c r="L10" s="168" t="s">
        <v>106</v>
      </c>
      <c r="M10" s="10"/>
      <c r="N10" s="10"/>
      <c r="O10" s="10"/>
    </row>
    <row r="11" spans="2:19">
      <c r="B11" s="19" t="s">
        <v>14</v>
      </c>
      <c r="C11" s="5"/>
      <c r="D11" s="5"/>
      <c r="E11" s="21"/>
      <c r="F11" s="21"/>
      <c r="G11" s="31">
        <v>0</v>
      </c>
      <c r="H11" s="21"/>
      <c r="I11" s="32">
        <v>100</v>
      </c>
      <c r="K11" s="152" t="s">
        <v>120</v>
      </c>
      <c r="L11" s="169">
        <v>0.25</v>
      </c>
      <c r="M11" s="10" t="s">
        <v>121</v>
      </c>
      <c r="N11" s="10"/>
      <c r="O11" s="10"/>
    </row>
    <row r="12" spans="2:19">
      <c r="B12" s="25"/>
      <c r="E12" s="3"/>
      <c r="F12" s="21"/>
      <c r="G12" s="31">
        <v>2</v>
      </c>
      <c r="H12" s="21"/>
      <c r="I12" s="32">
        <v>175</v>
      </c>
      <c r="M12" s="10"/>
      <c r="N12" s="10"/>
      <c r="O12" s="10"/>
    </row>
    <row r="13" spans="2:19">
      <c r="B13" s="19" t="s">
        <v>15</v>
      </c>
      <c r="C13" s="5"/>
      <c r="D13" s="5"/>
      <c r="E13" s="33">
        <v>2.5</v>
      </c>
      <c r="F13" s="21"/>
      <c r="G13" s="31">
        <v>3</v>
      </c>
      <c r="H13" s="21"/>
      <c r="I13" s="32">
        <v>225</v>
      </c>
      <c r="M13" s="10"/>
      <c r="N13" s="10"/>
      <c r="O13" s="10"/>
    </row>
    <row r="14" spans="2:19">
      <c r="B14" s="34"/>
      <c r="C14" s="12"/>
      <c r="D14" s="12"/>
      <c r="E14" s="35"/>
      <c r="F14" s="35"/>
      <c r="G14" s="36">
        <v>3.5</v>
      </c>
      <c r="H14" s="35"/>
      <c r="I14" s="37">
        <v>300</v>
      </c>
      <c r="M14" s="10"/>
      <c r="N14" s="10"/>
      <c r="O14" s="10"/>
    </row>
    <row r="15" spans="2:19">
      <c r="B15" s="5"/>
      <c r="C15" s="5"/>
      <c r="D15" s="5"/>
      <c r="E15" s="5"/>
      <c r="F15" s="5"/>
      <c r="G15" s="38"/>
      <c r="H15" s="5"/>
      <c r="I15" s="38"/>
      <c r="J15" s="10"/>
      <c r="K15" s="10"/>
      <c r="L15" s="10"/>
      <c r="M15" s="10"/>
      <c r="N15" s="10"/>
      <c r="O15" s="10"/>
    </row>
    <row r="16" spans="2:19">
      <c r="B16" s="11" t="s">
        <v>16</v>
      </c>
      <c r="C16" s="11"/>
      <c r="D16" s="12"/>
      <c r="E16" s="12"/>
      <c r="F16" s="5"/>
      <c r="G16" s="11" t="s">
        <v>17</v>
      </c>
      <c r="H16" s="12"/>
      <c r="I16" s="12"/>
      <c r="J16" s="10"/>
      <c r="K16" s="10" t="s">
        <v>163</v>
      </c>
      <c r="L16" s="10"/>
      <c r="M16" s="10"/>
      <c r="N16" s="10"/>
      <c r="O16" s="10"/>
    </row>
    <row r="17" spans="2:25">
      <c r="B17" s="13" t="s">
        <v>7</v>
      </c>
      <c r="C17" s="14"/>
      <c r="D17" s="14"/>
      <c r="E17" s="39">
        <v>174375</v>
      </c>
      <c r="F17" s="5"/>
      <c r="G17" s="13" t="s">
        <v>18</v>
      </c>
      <c r="H17" s="14"/>
      <c r="I17" s="39">
        <v>500000</v>
      </c>
      <c r="J17" s="40"/>
      <c r="K17" s="205">
        <v>43982</v>
      </c>
      <c r="L17" s="206">
        <v>5.0500000000000003E-2</v>
      </c>
      <c r="M17" s="10"/>
      <c r="N17" s="10"/>
      <c r="O17" s="10"/>
    </row>
    <row r="18" spans="2:25">
      <c r="B18" s="19" t="s">
        <v>19</v>
      </c>
      <c r="C18" s="5"/>
      <c r="D18" s="5"/>
      <c r="E18" s="41">
        <v>225000</v>
      </c>
      <c r="F18" s="5"/>
      <c r="G18" s="19" t="s">
        <v>20</v>
      </c>
      <c r="H18" s="5"/>
      <c r="I18" s="42">
        <v>0</v>
      </c>
      <c r="J18" s="10"/>
      <c r="K18" s="207">
        <v>44012</v>
      </c>
      <c r="L18" s="208">
        <v>5.2499999999999998E-2</v>
      </c>
      <c r="M18" s="10"/>
      <c r="N18" s="10"/>
      <c r="O18" s="10"/>
    </row>
    <row r="19" spans="2:25">
      <c r="B19" s="25"/>
      <c r="E19" s="43"/>
      <c r="F19" s="44"/>
      <c r="G19" s="19" t="s">
        <v>21</v>
      </c>
      <c r="H19" s="5"/>
      <c r="I19" s="45">
        <v>7.1249999999999994E-2</v>
      </c>
      <c r="J19" s="46"/>
      <c r="K19" s="207">
        <v>44043</v>
      </c>
      <c r="L19" s="208">
        <v>5.7000000000000002E-2</v>
      </c>
      <c r="M19" s="10"/>
      <c r="N19" s="10"/>
      <c r="O19" s="10"/>
    </row>
    <row r="20" spans="2:25">
      <c r="B20" s="19" t="s">
        <v>22</v>
      </c>
      <c r="C20" s="5"/>
      <c r="D20" s="5"/>
      <c r="E20" s="47">
        <v>1.2500000000000001E-2</v>
      </c>
      <c r="F20" s="48"/>
      <c r="G20" s="19" t="s">
        <v>23</v>
      </c>
      <c r="H20" s="5"/>
      <c r="I20" s="202">
        <v>43951</v>
      </c>
      <c r="J20" s="10"/>
      <c r="K20" s="207">
        <v>44074</v>
      </c>
      <c r="L20" s="208">
        <v>5.9499999999999997E-2</v>
      </c>
      <c r="M20" s="10"/>
      <c r="N20" s="10"/>
      <c r="O20" s="10"/>
    </row>
    <row r="21" spans="2:25">
      <c r="B21" s="25"/>
      <c r="E21" s="49"/>
      <c r="F21" s="5"/>
      <c r="G21" s="19"/>
      <c r="H21" s="5"/>
      <c r="I21" s="202">
        <v>44135</v>
      </c>
      <c r="J21" s="10"/>
      <c r="K21" s="207">
        <v>44104</v>
      </c>
      <c r="L21" s="208">
        <v>6.1499999999999999E-2</v>
      </c>
      <c r="M21" s="10"/>
      <c r="N21" s="10"/>
      <c r="O21" s="10"/>
    </row>
    <row r="22" spans="2:25">
      <c r="B22" s="19" t="s">
        <v>24</v>
      </c>
      <c r="C22" s="5"/>
      <c r="D22" s="5"/>
      <c r="E22" s="50" t="s">
        <v>25</v>
      </c>
      <c r="F22" s="5"/>
      <c r="G22" s="19" t="s">
        <v>26</v>
      </c>
      <c r="H22" s="5"/>
      <c r="I22" s="50" t="s">
        <v>27</v>
      </c>
      <c r="J22" s="10"/>
      <c r="K22" s="209">
        <v>44135</v>
      </c>
      <c r="L22" s="210">
        <v>6.4000000000000001E-2</v>
      </c>
      <c r="M22" s="10"/>
      <c r="N22" s="10"/>
      <c r="O22" s="10"/>
    </row>
    <row r="23" spans="2:25">
      <c r="B23" s="19" t="s">
        <v>14</v>
      </c>
      <c r="C23" s="5"/>
      <c r="D23" s="5"/>
      <c r="E23" s="50" t="s">
        <v>28</v>
      </c>
      <c r="F23" s="5"/>
      <c r="G23" s="19" t="s">
        <v>29</v>
      </c>
      <c r="H23" s="5"/>
      <c r="I23" s="49"/>
      <c r="J23" s="10"/>
      <c r="K23" s="204"/>
      <c r="L23" s="10"/>
      <c r="M23" s="10"/>
      <c r="N23" s="10"/>
      <c r="O23" s="10"/>
    </row>
    <row r="24" spans="2:25">
      <c r="B24" s="25"/>
      <c r="E24" s="49"/>
      <c r="F24" s="10"/>
      <c r="G24" s="51" t="s">
        <v>30</v>
      </c>
      <c r="I24" s="52">
        <v>1.03</v>
      </c>
      <c r="J24" s="10"/>
      <c r="K24" s="10"/>
      <c r="L24" s="10"/>
      <c r="M24" s="10"/>
      <c r="N24" s="10"/>
      <c r="O24" s="10"/>
    </row>
    <row r="25" spans="2:25">
      <c r="B25" s="34" t="s">
        <v>26</v>
      </c>
      <c r="C25" s="12"/>
      <c r="D25" s="12"/>
      <c r="E25" s="53" t="s">
        <v>31</v>
      </c>
      <c r="F25" s="5"/>
      <c r="G25" s="54" t="s">
        <v>32</v>
      </c>
      <c r="H25" s="55"/>
      <c r="I25" s="56">
        <v>1.02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2: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2:25">
      <c r="B27" s="7" t="s">
        <v>33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5"/>
      <c r="U27" s="5"/>
      <c r="V27" s="5"/>
      <c r="W27" s="5"/>
      <c r="X27" s="5"/>
      <c r="Y27" s="5"/>
    </row>
    <row r="28" spans="2: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2:25">
      <c r="B29" s="57" t="s">
        <v>4</v>
      </c>
      <c r="C29" s="57"/>
      <c r="D29" s="5"/>
      <c r="E29" s="58">
        <v>43524</v>
      </c>
      <c r="F29" s="58">
        <v>43555</v>
      </c>
      <c r="G29" s="58">
        <v>43585</v>
      </c>
      <c r="H29" s="58">
        <v>43616</v>
      </c>
      <c r="I29" s="58">
        <v>43646</v>
      </c>
      <c r="J29" s="58">
        <v>43677</v>
      </c>
      <c r="K29" s="58">
        <v>43708</v>
      </c>
      <c r="L29" s="58">
        <v>43738</v>
      </c>
      <c r="M29" s="58">
        <v>43769</v>
      </c>
      <c r="N29" s="58">
        <v>43799</v>
      </c>
      <c r="O29" s="58">
        <v>43830</v>
      </c>
      <c r="P29" s="58">
        <v>43861</v>
      </c>
      <c r="Q29" s="58">
        <v>43890</v>
      </c>
      <c r="R29" s="58">
        <v>43921</v>
      </c>
      <c r="S29" s="58">
        <v>43951</v>
      </c>
      <c r="T29" s="5"/>
      <c r="U29" s="5"/>
      <c r="V29" s="5"/>
      <c r="W29" s="5"/>
      <c r="X29" s="5"/>
      <c r="Y29" s="5"/>
    </row>
    <row r="30" spans="2:25">
      <c r="B30" s="5" t="s">
        <v>34</v>
      </c>
      <c r="C30" s="5"/>
      <c r="D30" s="59">
        <v>10029</v>
      </c>
      <c r="E30" s="59">
        <v>5395</v>
      </c>
      <c r="F30" s="59">
        <v>11094</v>
      </c>
      <c r="G30" s="59">
        <v>12111</v>
      </c>
      <c r="H30" s="59">
        <v>12263</v>
      </c>
      <c r="I30" s="59">
        <v>21116</v>
      </c>
      <c r="J30" s="59">
        <v>26477</v>
      </c>
      <c r="K30" s="59">
        <v>31004</v>
      </c>
      <c r="L30" s="59">
        <v>18530</v>
      </c>
      <c r="M30" s="59">
        <v>8274</v>
      </c>
      <c r="N30" s="59">
        <v>31247</v>
      </c>
      <c r="O30" s="59">
        <v>33481</v>
      </c>
      <c r="P30" s="59">
        <v>15891</v>
      </c>
      <c r="Q30" s="59">
        <v>36380</v>
      </c>
      <c r="R30" s="59">
        <v>13877</v>
      </c>
      <c r="S30" s="59">
        <v>12473</v>
      </c>
      <c r="T30" s="5"/>
      <c r="U30" s="5"/>
      <c r="V30" s="5"/>
      <c r="W30" s="5"/>
      <c r="X30" s="5"/>
      <c r="Y30" s="5"/>
    </row>
    <row r="31" spans="2:25">
      <c r="B31" s="5" t="s">
        <v>35</v>
      </c>
      <c r="C31" s="5"/>
      <c r="D31" s="21"/>
      <c r="E31" s="59">
        <v>44.337000000000003</v>
      </c>
      <c r="F31" s="59">
        <v>24.928999999999998</v>
      </c>
      <c r="G31" s="59">
        <v>49.137</v>
      </c>
      <c r="H31" s="59">
        <v>53.884</v>
      </c>
      <c r="I31" s="59">
        <v>51.709000000000003</v>
      </c>
      <c r="J31" s="59">
        <v>97.239000000000004</v>
      </c>
      <c r="K31" s="59">
        <v>112.81399999999999</v>
      </c>
      <c r="L31" s="59">
        <v>131.53399999999999</v>
      </c>
      <c r="M31" s="59">
        <v>82.721000000000004</v>
      </c>
      <c r="N31" s="59">
        <v>36.771000000000001</v>
      </c>
      <c r="O31" s="59">
        <v>130.274</v>
      </c>
      <c r="P31" s="59">
        <v>141.792</v>
      </c>
      <c r="Q31" s="59">
        <v>68.582999999999998</v>
      </c>
      <c r="R31" s="59">
        <v>165.83199999999999</v>
      </c>
      <c r="S31" s="59">
        <v>60.271999999999998</v>
      </c>
      <c r="T31" s="5"/>
      <c r="U31" s="5"/>
      <c r="V31" s="5"/>
      <c r="W31" s="5"/>
      <c r="X31" s="5"/>
      <c r="Y31" s="5"/>
    </row>
    <row r="32" spans="2:25">
      <c r="B32" s="5" t="s">
        <v>36</v>
      </c>
      <c r="C32" s="5"/>
      <c r="D32" s="21"/>
      <c r="E32" s="59">
        <v>26.646999999999998</v>
      </c>
      <c r="F32" s="59">
        <v>29.736999999999998</v>
      </c>
      <c r="G32" s="59">
        <v>25.937000000000001</v>
      </c>
      <c r="H32" s="59">
        <v>25.259</v>
      </c>
      <c r="I32" s="59">
        <v>25.158000000000001</v>
      </c>
      <c r="J32" s="59">
        <v>19.256</v>
      </c>
      <c r="K32" s="59">
        <v>15.682</v>
      </c>
      <c r="L32" s="59">
        <v>12.664</v>
      </c>
      <c r="M32" s="59">
        <v>20.98</v>
      </c>
      <c r="N32" s="59">
        <v>27.817</v>
      </c>
      <c r="O32" s="59">
        <v>12.502000000000001</v>
      </c>
      <c r="P32" s="59">
        <v>11.013</v>
      </c>
      <c r="Q32" s="59">
        <v>22.739000000000001</v>
      </c>
      <c r="R32" s="59">
        <v>9.08</v>
      </c>
      <c r="S32" s="59">
        <v>24.082000000000001</v>
      </c>
      <c r="T32" s="5"/>
      <c r="U32" s="5"/>
      <c r="V32" s="5"/>
      <c r="W32" s="5"/>
      <c r="X32" s="5"/>
      <c r="Y32" s="5"/>
    </row>
    <row r="33" spans="1: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>
      <c r="B34" s="57" t="s">
        <v>16</v>
      </c>
      <c r="C34" s="5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>
      <c r="B35" s="5" t="s">
        <v>34</v>
      </c>
      <c r="C35" s="5"/>
      <c r="D35" s="59">
        <v>216562.5</v>
      </c>
      <c r="E35" s="59">
        <v>213750</v>
      </c>
      <c r="F35" s="59">
        <v>210937.5</v>
      </c>
      <c r="G35" s="59">
        <v>208125</v>
      </c>
      <c r="H35" s="59">
        <v>205312.5</v>
      </c>
      <c r="I35" s="59">
        <v>202500</v>
      </c>
      <c r="J35" s="59">
        <v>199687.5</v>
      </c>
      <c r="K35" s="59">
        <v>196875</v>
      </c>
      <c r="L35" s="59">
        <v>194062.5</v>
      </c>
      <c r="M35" s="59">
        <v>191250</v>
      </c>
      <c r="N35" s="59">
        <v>188437.5</v>
      </c>
      <c r="O35" s="59">
        <v>185625</v>
      </c>
      <c r="P35" s="59">
        <v>182812.5</v>
      </c>
      <c r="Q35" s="59">
        <v>180000</v>
      </c>
      <c r="R35" s="59">
        <v>177187.5</v>
      </c>
      <c r="S35" s="59">
        <v>174375</v>
      </c>
      <c r="T35" s="5"/>
      <c r="U35" s="5"/>
      <c r="V35" s="5"/>
      <c r="W35" s="5"/>
      <c r="X35" s="5"/>
      <c r="Y35" s="5"/>
    </row>
    <row r="36" spans="1:25">
      <c r="B36" s="5" t="s">
        <v>37</v>
      </c>
      <c r="C36" s="5"/>
      <c r="D36" s="21"/>
      <c r="E36" s="59">
        <v>957.38699999999994</v>
      </c>
      <c r="F36" s="59">
        <v>987.70299999999997</v>
      </c>
      <c r="G36" s="59">
        <v>934.27700000000004</v>
      </c>
      <c r="H36" s="59">
        <v>925.98299999999995</v>
      </c>
      <c r="I36" s="59">
        <v>865.73400000000004</v>
      </c>
      <c r="J36" s="59">
        <v>932.51300000000003</v>
      </c>
      <c r="K36" s="59">
        <v>850.83500000000004</v>
      </c>
      <c r="L36" s="59">
        <v>835.24199999999996</v>
      </c>
      <c r="M36" s="59">
        <v>866.327</v>
      </c>
      <c r="N36" s="59">
        <v>849.947</v>
      </c>
      <c r="O36" s="59">
        <v>785.62699999999995</v>
      </c>
      <c r="P36" s="59">
        <v>786.12199999999996</v>
      </c>
      <c r="Q36" s="59">
        <v>788.98800000000006</v>
      </c>
      <c r="R36" s="59">
        <v>820.5</v>
      </c>
      <c r="S36" s="59">
        <v>769.58399999999995</v>
      </c>
      <c r="T36" s="5"/>
      <c r="U36" s="5"/>
      <c r="V36" s="5"/>
      <c r="W36" s="5"/>
      <c r="X36" s="5"/>
      <c r="Y36" s="5"/>
    </row>
    <row r="37" spans="1: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B38" s="57" t="s">
        <v>17</v>
      </c>
      <c r="C38" s="5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B39" s="5" t="s">
        <v>34</v>
      </c>
      <c r="C39" s="5"/>
      <c r="D39" s="59">
        <v>500000</v>
      </c>
      <c r="E39" s="59">
        <v>500000</v>
      </c>
      <c r="F39" s="59">
        <v>500000</v>
      </c>
      <c r="G39" s="59">
        <v>500000</v>
      </c>
      <c r="H39" s="59">
        <v>500000</v>
      </c>
      <c r="I39" s="59">
        <v>500000</v>
      </c>
      <c r="J39" s="59">
        <v>500000</v>
      </c>
      <c r="K39" s="59">
        <v>500000</v>
      </c>
      <c r="L39" s="59">
        <v>500000</v>
      </c>
      <c r="M39" s="59">
        <v>500000</v>
      </c>
      <c r="N39" s="59">
        <v>500000</v>
      </c>
      <c r="O39" s="59">
        <v>500000</v>
      </c>
      <c r="P39" s="59">
        <v>500000</v>
      </c>
      <c r="Q39" s="59">
        <v>500000</v>
      </c>
      <c r="R39" s="59">
        <v>500000</v>
      </c>
      <c r="S39" s="59">
        <v>500000</v>
      </c>
      <c r="T39" s="5"/>
      <c r="U39" s="5"/>
      <c r="V39" s="5"/>
      <c r="W39" s="5"/>
      <c r="X39" s="5"/>
      <c r="Y39" s="5"/>
    </row>
    <row r="40" spans="1:25">
      <c r="B40" s="5" t="s">
        <v>37</v>
      </c>
      <c r="C40" s="5"/>
      <c r="D40" s="21"/>
      <c r="E40" s="59">
        <v>2968.75</v>
      </c>
      <c r="F40" s="59">
        <v>2968.75</v>
      </c>
      <c r="G40" s="59">
        <v>2968.75</v>
      </c>
      <c r="H40" s="59">
        <v>2968.75</v>
      </c>
      <c r="I40" s="59">
        <v>2968.75</v>
      </c>
      <c r="J40" s="59">
        <v>2968.75</v>
      </c>
      <c r="K40" s="59">
        <v>2968.75</v>
      </c>
      <c r="L40" s="59">
        <v>2968.75</v>
      </c>
      <c r="M40" s="59">
        <v>2968.75</v>
      </c>
      <c r="N40" s="59">
        <v>2968.75</v>
      </c>
      <c r="O40" s="59">
        <v>2968.75</v>
      </c>
      <c r="P40" s="59">
        <v>2968.75</v>
      </c>
      <c r="Q40" s="59">
        <v>2968.75</v>
      </c>
      <c r="R40" s="59">
        <v>2968.75</v>
      </c>
      <c r="S40" s="59">
        <v>2968.75</v>
      </c>
      <c r="T40" s="5"/>
      <c r="U40" s="5"/>
      <c r="V40" s="5"/>
      <c r="W40" s="5"/>
      <c r="X40" s="5"/>
      <c r="Y40" s="5"/>
    </row>
    <row r="41" spans="1: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B43" s="5" t="s">
        <v>38</v>
      </c>
      <c r="C43" s="5"/>
      <c r="D43" s="59">
        <v>726591.5</v>
      </c>
      <c r="E43" s="59">
        <v>719145</v>
      </c>
      <c r="F43" s="59">
        <v>722031.5</v>
      </c>
      <c r="G43" s="59">
        <v>720236</v>
      </c>
      <c r="H43" s="59">
        <v>717575.5</v>
      </c>
      <c r="I43" s="59">
        <v>723616</v>
      </c>
      <c r="J43" s="59">
        <v>726164.5</v>
      </c>
      <c r="K43" s="59">
        <v>727879</v>
      </c>
      <c r="L43" s="59">
        <v>712592.5</v>
      </c>
      <c r="M43" s="59">
        <v>699524</v>
      </c>
      <c r="N43" s="59">
        <v>719684.5</v>
      </c>
      <c r="O43" s="59">
        <v>719106</v>
      </c>
      <c r="P43" s="59">
        <v>698703.5</v>
      </c>
      <c r="Q43" s="59">
        <v>716380</v>
      </c>
      <c r="R43" s="59">
        <v>691064.5</v>
      </c>
      <c r="S43" s="59">
        <v>686848</v>
      </c>
      <c r="T43" s="5"/>
      <c r="U43" s="5"/>
      <c r="V43" s="5"/>
      <c r="W43" s="5"/>
      <c r="X43" s="5"/>
      <c r="Y43" s="5"/>
    </row>
    <row r="44" spans="1:25">
      <c r="B44" s="5" t="s">
        <v>39</v>
      </c>
      <c r="C44" s="5"/>
      <c r="D44" s="59">
        <v>183244</v>
      </c>
      <c r="E44" s="59">
        <v>191930</v>
      </c>
      <c r="F44" s="59">
        <v>199032</v>
      </c>
      <c r="G44" s="59">
        <v>175519</v>
      </c>
      <c r="H44" s="59">
        <v>170868</v>
      </c>
      <c r="I44" s="59">
        <v>156913</v>
      </c>
      <c r="J44" s="59">
        <v>179890</v>
      </c>
      <c r="K44" s="59">
        <v>174023</v>
      </c>
      <c r="L44" s="59">
        <v>198141</v>
      </c>
      <c r="M44" s="59">
        <v>191052</v>
      </c>
      <c r="N44" s="59">
        <v>189901</v>
      </c>
      <c r="O44" s="59">
        <v>165475</v>
      </c>
      <c r="P44" s="59">
        <v>198550</v>
      </c>
      <c r="Q44" s="59">
        <v>187963</v>
      </c>
      <c r="R44" s="59">
        <v>180401</v>
      </c>
      <c r="S44" s="59">
        <v>191177</v>
      </c>
      <c r="T44" s="5"/>
      <c r="U44" s="5"/>
      <c r="V44" s="5"/>
      <c r="W44" s="5"/>
      <c r="X44" s="5"/>
      <c r="Y44" s="5"/>
    </row>
    <row r="45" spans="1:25">
      <c r="A45" s="60"/>
      <c r="B45" s="5" t="s">
        <v>40</v>
      </c>
      <c r="C45" s="5"/>
      <c r="D45" s="61">
        <v>3.9651584772216282</v>
      </c>
      <c r="E45" s="61">
        <v>3.7469129370082843</v>
      </c>
      <c r="F45" s="61">
        <v>3.6277156437155833</v>
      </c>
      <c r="G45" s="61">
        <v>4.103464582181986</v>
      </c>
      <c r="H45" s="61">
        <v>4.1995897417889836</v>
      </c>
      <c r="I45" s="61">
        <v>4.6115745667981622</v>
      </c>
      <c r="J45" s="61">
        <v>4.036714103062983</v>
      </c>
      <c r="K45" s="61">
        <v>4.1826597633646125</v>
      </c>
      <c r="L45" s="61">
        <v>3.5963909539166554</v>
      </c>
      <c r="M45" s="61">
        <v>3.6614324895839876</v>
      </c>
      <c r="N45" s="61">
        <v>3.789787836820238</v>
      </c>
      <c r="O45" s="61">
        <v>4.3457078108475597</v>
      </c>
      <c r="P45" s="61">
        <v>3.5190304709141276</v>
      </c>
      <c r="Q45" s="61">
        <v>3.8112820076291611</v>
      </c>
      <c r="R45" s="61">
        <v>3.8307132443833458</v>
      </c>
      <c r="S45" s="61">
        <v>3.5927334355074092</v>
      </c>
      <c r="T45" s="5"/>
      <c r="U45" s="5"/>
      <c r="V45" s="5"/>
      <c r="W45" s="5"/>
      <c r="X45" s="5"/>
      <c r="Y45" s="5"/>
    </row>
    <row r="46" spans="1:25">
      <c r="B46" s="5" t="s">
        <v>13</v>
      </c>
      <c r="C46" s="5"/>
      <c r="D46" s="62">
        <v>2.317E-2</v>
      </c>
      <c r="E46" s="62">
        <v>2.3050000000000001E-2</v>
      </c>
      <c r="F46" s="62">
        <v>2.545E-2</v>
      </c>
      <c r="G46" s="62">
        <v>2.315E-2</v>
      </c>
      <c r="H46" s="62">
        <v>2.3390000000000001E-2</v>
      </c>
      <c r="I46" s="62">
        <v>2.06E-2</v>
      </c>
      <c r="J46" s="62">
        <v>2.5260000000000001E-2</v>
      </c>
      <c r="K46" s="62">
        <v>2.1129999999999999E-2</v>
      </c>
      <c r="L46" s="62">
        <v>2.0910000000000002E-2</v>
      </c>
      <c r="M46" s="62">
        <v>2.3570000000000001E-2</v>
      </c>
      <c r="N46" s="62">
        <v>2.333E-2</v>
      </c>
      <c r="O46" s="62">
        <v>2.0029999999999999E-2</v>
      </c>
      <c r="P46" s="62">
        <v>2.0820000000000002E-2</v>
      </c>
      <c r="Q46" s="62">
        <v>2.179E-2</v>
      </c>
      <c r="R46" s="62">
        <v>2.47E-2</v>
      </c>
      <c r="S46" s="62">
        <v>2.2120000000000001E-2</v>
      </c>
      <c r="T46" s="5"/>
      <c r="U46" s="5"/>
      <c r="V46" s="5"/>
      <c r="W46" s="5"/>
      <c r="X46" s="5"/>
      <c r="Y46" s="5"/>
    </row>
    <row r="47" spans="1:25">
      <c r="B47" s="5" t="s">
        <v>41</v>
      </c>
      <c r="C47" s="5"/>
      <c r="D47" s="21"/>
      <c r="E47" s="62">
        <v>0.03</v>
      </c>
      <c r="F47" s="62">
        <v>0.03</v>
      </c>
      <c r="G47" s="62">
        <v>0.03</v>
      </c>
      <c r="H47" s="62">
        <v>0.03</v>
      </c>
      <c r="I47" s="62">
        <v>0.03</v>
      </c>
      <c r="J47" s="62">
        <v>0.03</v>
      </c>
      <c r="K47" s="62">
        <v>0.03</v>
      </c>
      <c r="L47" s="62">
        <v>0.03</v>
      </c>
      <c r="M47" s="62">
        <v>0.03</v>
      </c>
      <c r="N47" s="62">
        <v>0.03</v>
      </c>
      <c r="O47" s="62">
        <v>0.03</v>
      </c>
      <c r="P47" s="62">
        <v>0.03</v>
      </c>
      <c r="Q47" s="62">
        <v>0.03</v>
      </c>
      <c r="R47" s="62">
        <v>0.03</v>
      </c>
      <c r="S47" s="62">
        <v>0.03</v>
      </c>
      <c r="T47" s="5"/>
      <c r="U47" s="5"/>
      <c r="V47" s="5"/>
      <c r="W47" s="5"/>
      <c r="X47" s="5"/>
      <c r="Y47" s="5"/>
    </row>
    <row r="48" spans="1:25">
      <c r="B48" s="5" t="s">
        <v>42</v>
      </c>
      <c r="C48" s="5"/>
      <c r="D48" s="21"/>
      <c r="E48" s="62">
        <v>5.305E-2</v>
      </c>
      <c r="F48" s="62">
        <v>5.5449999999999999E-2</v>
      </c>
      <c r="G48" s="62">
        <v>5.3150000000000003E-2</v>
      </c>
      <c r="H48" s="62">
        <v>5.339E-2</v>
      </c>
      <c r="I48" s="62">
        <v>5.0599999999999999E-2</v>
      </c>
      <c r="J48" s="62">
        <v>5.5260000000000004E-2</v>
      </c>
      <c r="K48" s="62">
        <v>5.1129999999999995E-2</v>
      </c>
      <c r="L48" s="62">
        <v>5.0909999999999997E-2</v>
      </c>
      <c r="M48" s="62">
        <v>5.357E-2</v>
      </c>
      <c r="N48" s="62">
        <v>5.3330000000000002E-2</v>
      </c>
      <c r="O48" s="62">
        <v>5.0029999999999998E-2</v>
      </c>
      <c r="P48" s="62">
        <v>5.0820000000000004E-2</v>
      </c>
      <c r="Q48" s="62">
        <v>5.1790000000000003E-2</v>
      </c>
      <c r="R48" s="62">
        <v>5.4699999999999999E-2</v>
      </c>
      <c r="S48" s="62">
        <v>5.212E-2</v>
      </c>
      <c r="T48" s="5"/>
      <c r="U48" s="5"/>
      <c r="V48" s="5"/>
      <c r="W48" s="5"/>
      <c r="X48" s="5"/>
      <c r="Y48" s="5"/>
    </row>
    <row r="49" spans="2: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2: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2:25">
      <c r="B51" s="7" t="s">
        <v>43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5"/>
      <c r="U51" s="5"/>
      <c r="V51" s="5"/>
      <c r="W51" s="5"/>
      <c r="X51" s="5"/>
      <c r="Y51" s="5"/>
    </row>
    <row r="52" spans="2: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2:25">
      <c r="B53" s="5"/>
      <c r="C53" s="5"/>
      <c r="E53" s="63">
        <v>43982</v>
      </c>
      <c r="F53" s="58">
        <v>44012</v>
      </c>
      <c r="G53" s="58">
        <v>44043</v>
      </c>
      <c r="H53" s="58">
        <v>44074</v>
      </c>
      <c r="I53" s="58">
        <v>44104</v>
      </c>
      <c r="J53" s="58">
        <v>44135</v>
      </c>
      <c r="T53" s="5"/>
      <c r="U53" s="5"/>
      <c r="V53" s="5"/>
      <c r="W53" s="5"/>
      <c r="X53" s="5"/>
      <c r="Y53" s="5"/>
    </row>
    <row r="54" spans="2:25">
      <c r="B54" s="5" t="s">
        <v>39</v>
      </c>
      <c r="C54" s="5"/>
      <c r="D54" s="5"/>
      <c r="E54" s="64">
        <v>193220</v>
      </c>
      <c r="F54" s="64">
        <v>189600</v>
      </c>
      <c r="G54" s="64">
        <v>186312</v>
      </c>
      <c r="H54" s="64">
        <v>185545</v>
      </c>
      <c r="I54" s="64">
        <v>185313</v>
      </c>
      <c r="J54" s="64">
        <v>183795</v>
      </c>
      <c r="T54" s="5"/>
      <c r="U54" s="5"/>
      <c r="V54" s="5"/>
      <c r="W54" s="5"/>
      <c r="X54" s="5"/>
      <c r="Y54" s="5"/>
    </row>
    <row r="55" spans="2:25">
      <c r="B55" s="5" t="s">
        <v>44</v>
      </c>
      <c r="C55" s="5"/>
      <c r="D55" s="5"/>
      <c r="E55" s="64">
        <v>81423</v>
      </c>
      <c r="F55" s="64">
        <v>63499</v>
      </c>
      <c r="G55" s="64">
        <v>89256</v>
      </c>
      <c r="H55" s="64">
        <v>86777</v>
      </c>
      <c r="I55" s="64">
        <v>77656</v>
      </c>
      <c r="J55" s="64">
        <v>83704</v>
      </c>
      <c r="K55" s="1"/>
      <c r="L55" s="2"/>
      <c r="T55" s="5"/>
      <c r="U55" s="5"/>
      <c r="V55" s="5"/>
      <c r="W55" s="5"/>
      <c r="X55" s="5"/>
      <c r="Y55" s="5"/>
    </row>
    <row r="56" spans="2:25">
      <c r="B56" s="5" t="s">
        <v>45</v>
      </c>
      <c r="C56" s="5"/>
      <c r="D56" s="5"/>
      <c r="E56" s="64">
        <v>10393.67</v>
      </c>
      <c r="F56" s="64">
        <v>8667.5730000000003</v>
      </c>
      <c r="G56" s="64">
        <v>6355.84</v>
      </c>
      <c r="H56" s="64">
        <v>8884.2049999999999</v>
      </c>
      <c r="I56" s="64">
        <v>11026.2</v>
      </c>
      <c r="J56" s="64">
        <v>5745.4089999999997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2:25">
      <c r="B57" s="5" t="s">
        <v>13</v>
      </c>
      <c r="C57" s="5"/>
      <c r="D57" s="5"/>
      <c r="E57" s="65">
        <v>2.2499999999999999E-2</v>
      </c>
      <c r="F57" s="65">
        <v>2.35E-2</v>
      </c>
      <c r="G57" s="65">
        <v>2.4500000000000001E-2</v>
      </c>
      <c r="H57" s="65">
        <v>2.5499999999999998E-2</v>
      </c>
      <c r="I57" s="65">
        <v>2.6499999999999999E-2</v>
      </c>
      <c r="J57" s="65">
        <v>2.7E-2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2: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2: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2: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2: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2: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2: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2: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98F6-5E26-4853-8366-020062821159}">
  <sheetPr>
    <tabColor theme="3" tint="0.39997558519241921"/>
    <pageSetUpPr fitToPage="1"/>
  </sheetPr>
  <dimension ref="A1:X205"/>
  <sheetViews>
    <sheetView showGridLines="0" topLeftCell="A168" zoomScaleNormal="100" workbookViewId="0">
      <selection activeCell="L17" sqref="L17"/>
    </sheetView>
  </sheetViews>
  <sheetFormatPr defaultRowHeight="14.4"/>
  <cols>
    <col min="1" max="1" width="2.5546875" customWidth="1"/>
    <col min="2" max="2" width="28.6640625" bestFit="1" customWidth="1"/>
    <col min="3" max="8" width="9.88671875" customWidth="1"/>
    <col min="9" max="9" width="10.44140625" customWidth="1"/>
    <col min="10" max="12" width="9.88671875" customWidth="1"/>
  </cols>
  <sheetData>
    <row r="1" spans="2:18" ht="15.6">
      <c r="B1" s="149" t="s">
        <v>1</v>
      </c>
      <c r="C1" s="5"/>
      <c r="D1" s="5"/>
      <c r="E1" s="5"/>
      <c r="F1" s="5"/>
      <c r="G1" s="5"/>
      <c r="H1" s="5"/>
    </row>
    <row r="2" spans="2:18">
      <c r="B2" s="6" t="s">
        <v>2</v>
      </c>
      <c r="C2" s="5"/>
      <c r="D2" s="5"/>
      <c r="E2" s="5"/>
      <c r="F2" s="5"/>
      <c r="G2" s="5"/>
      <c r="H2" s="5"/>
    </row>
    <row r="3" spans="2:18">
      <c r="B3" s="5"/>
      <c r="C3" s="5"/>
      <c r="D3" s="5"/>
      <c r="E3" s="5"/>
      <c r="F3" s="5"/>
      <c r="G3" s="5"/>
      <c r="H3" s="5"/>
    </row>
    <row r="4" spans="2:18">
      <c r="B4" s="7" t="str">
        <f>CaseData!$B$4</f>
        <v>Existing Debt as at April 30, 2020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</row>
    <row r="5" spans="2:18">
      <c r="B5" s="5"/>
      <c r="C5" s="5"/>
      <c r="D5" s="5"/>
      <c r="E5" s="5"/>
      <c r="F5" s="5"/>
      <c r="G5" s="5"/>
      <c r="H5" s="5"/>
      <c r="I5" s="10"/>
      <c r="J5" s="10"/>
      <c r="K5" s="10"/>
      <c r="L5" s="10"/>
      <c r="M5" s="10"/>
      <c r="N5" s="10"/>
    </row>
    <row r="6" spans="2:18">
      <c r="B6" s="11" t="s">
        <v>4</v>
      </c>
      <c r="C6" s="12"/>
      <c r="D6" s="12"/>
      <c r="E6" s="12"/>
      <c r="F6" s="12"/>
      <c r="G6" s="12"/>
      <c r="H6" s="12"/>
      <c r="I6" s="10"/>
      <c r="J6" s="10"/>
      <c r="K6" s="10"/>
      <c r="L6" s="10"/>
      <c r="M6" s="10"/>
      <c r="N6" s="10"/>
    </row>
    <row r="7" spans="2:18">
      <c r="B7" s="13" t="s">
        <v>5</v>
      </c>
      <c r="C7" s="14"/>
      <c r="D7" s="15">
        <f>CaseData!E7</f>
        <v>50000</v>
      </c>
      <c r="E7" s="66"/>
      <c r="F7" s="17" t="s">
        <v>6</v>
      </c>
      <c r="G7" s="17"/>
      <c r="H7" s="18"/>
      <c r="I7" s="10"/>
      <c r="J7" s="11" t="s">
        <v>46</v>
      </c>
      <c r="K7" s="12"/>
      <c r="L7" s="12"/>
      <c r="M7" s="10"/>
      <c r="N7" s="10"/>
    </row>
    <row r="8" spans="2:18">
      <c r="B8" s="19" t="s">
        <v>7</v>
      </c>
      <c r="C8" s="5"/>
      <c r="D8" s="20">
        <f>CaseData!E8</f>
        <v>12473</v>
      </c>
      <c r="E8" s="5"/>
      <c r="F8" s="22" t="s">
        <v>8</v>
      </c>
      <c r="G8" s="23"/>
      <c r="H8" s="24"/>
      <c r="I8" s="10"/>
      <c r="J8" s="67"/>
      <c r="K8" s="14"/>
      <c r="L8" s="68"/>
      <c r="M8" s="10"/>
      <c r="N8" s="10"/>
    </row>
    <row r="9" spans="2:18">
      <c r="B9" s="25"/>
      <c r="D9" s="3"/>
      <c r="E9" s="5"/>
      <c r="F9" s="26" t="s">
        <v>9</v>
      </c>
      <c r="G9" s="21"/>
      <c r="H9" s="27" t="s">
        <v>10</v>
      </c>
      <c r="J9" s="69" t="s">
        <v>47</v>
      </c>
      <c r="K9" s="5"/>
      <c r="L9" s="70">
        <v>0.25</v>
      </c>
      <c r="M9" s="10"/>
    </row>
    <row r="10" spans="2:18">
      <c r="B10" s="19" t="s">
        <v>11</v>
      </c>
      <c r="C10" s="5"/>
      <c r="D10" s="28">
        <f>CaseData!E10</f>
        <v>80</v>
      </c>
      <c r="E10" s="5"/>
      <c r="F10" s="29" t="s">
        <v>12</v>
      </c>
      <c r="G10" s="21"/>
      <c r="H10" s="30" t="s">
        <v>13</v>
      </c>
      <c r="J10" s="71"/>
      <c r="K10" s="55"/>
      <c r="L10" s="72"/>
      <c r="M10" s="10"/>
    </row>
    <row r="11" spans="2:18">
      <c r="B11" s="19" t="s">
        <v>14</v>
      </c>
      <c r="C11" s="5"/>
      <c r="D11" s="21"/>
      <c r="E11" s="5"/>
      <c r="F11" s="73">
        <f>CaseData!G11</f>
        <v>0</v>
      </c>
      <c r="G11" s="5"/>
      <c r="H11" s="32">
        <f>CaseData!I11</f>
        <v>100</v>
      </c>
      <c r="L11" s="10"/>
      <c r="M11" s="10"/>
    </row>
    <row r="12" spans="2:18">
      <c r="B12" s="25"/>
      <c r="D12" s="3"/>
      <c r="E12" s="5"/>
      <c r="F12" s="73">
        <f>CaseData!G12</f>
        <v>2</v>
      </c>
      <c r="G12" s="5"/>
      <c r="H12" s="32">
        <f>CaseData!I12</f>
        <v>175</v>
      </c>
      <c r="L12" s="10"/>
      <c r="M12" s="10"/>
    </row>
    <row r="13" spans="2:18">
      <c r="B13" s="19" t="s">
        <v>15</v>
      </c>
      <c r="C13" s="5"/>
      <c r="D13" s="74">
        <f>CaseData!E13</f>
        <v>2.5</v>
      </c>
      <c r="E13" s="5"/>
      <c r="F13" s="73">
        <f>CaseData!G13</f>
        <v>3</v>
      </c>
      <c r="G13" s="5"/>
      <c r="H13" s="32">
        <f>CaseData!I13</f>
        <v>225</v>
      </c>
      <c r="L13" s="10"/>
      <c r="M13" s="10"/>
    </row>
    <row r="14" spans="2:18">
      <c r="B14" s="34"/>
      <c r="C14" s="12"/>
      <c r="D14" s="12"/>
      <c r="E14" s="12"/>
      <c r="F14" s="75">
        <f>CaseData!G14</f>
        <v>3.5</v>
      </c>
      <c r="G14" s="12"/>
      <c r="H14" s="37">
        <f>CaseData!I14</f>
        <v>300</v>
      </c>
      <c r="L14" s="10"/>
      <c r="M14" s="10"/>
    </row>
    <row r="15" spans="2:18">
      <c r="B15" s="5"/>
      <c r="C15" s="5"/>
      <c r="D15" s="5"/>
      <c r="E15" s="5"/>
      <c r="F15" s="38"/>
      <c r="G15" s="5"/>
      <c r="H15" s="38"/>
      <c r="I15" s="10"/>
      <c r="J15" s="10"/>
      <c r="K15" s="10"/>
      <c r="L15" s="10"/>
      <c r="M15" s="10"/>
      <c r="N15" s="10"/>
    </row>
    <row r="16" spans="2:18">
      <c r="B16" s="11" t="s">
        <v>16</v>
      </c>
      <c r="C16" s="12"/>
      <c r="D16" s="12"/>
      <c r="E16" s="5"/>
      <c r="F16" s="11" t="s">
        <v>17</v>
      </c>
      <c r="G16" s="12"/>
      <c r="H16" s="12"/>
      <c r="I16" s="10"/>
      <c r="J16" s="11" t="s">
        <v>48</v>
      </c>
      <c r="K16" s="12"/>
      <c r="L16" s="12"/>
      <c r="M16" s="10"/>
      <c r="N16" s="10"/>
    </row>
    <row r="17" spans="2:24">
      <c r="B17" s="13" t="s">
        <v>7</v>
      </c>
      <c r="C17" s="14"/>
      <c r="D17" s="76">
        <f>CaseData!E17</f>
        <v>174375</v>
      </c>
      <c r="E17" s="5"/>
      <c r="F17" s="13" t="s">
        <v>18</v>
      </c>
      <c r="G17" s="14"/>
      <c r="H17" s="76">
        <f>CaseData!I17</f>
        <v>500000</v>
      </c>
      <c r="I17" s="40"/>
      <c r="J17" s="13" t="s">
        <v>49</v>
      </c>
      <c r="K17" s="77"/>
      <c r="L17" s="78">
        <v>44043</v>
      </c>
      <c r="M17" s="10"/>
      <c r="N17" s="79"/>
    </row>
    <row r="18" spans="2:24">
      <c r="B18" s="19" t="s">
        <v>19</v>
      </c>
      <c r="C18" s="5"/>
      <c r="D18" s="80">
        <f>CaseData!E18</f>
        <v>225000</v>
      </c>
      <c r="E18" s="5"/>
      <c r="F18" s="19" t="s">
        <v>20</v>
      </c>
      <c r="G18" s="5"/>
      <c r="H18" s="81">
        <f>CaseData!I18</f>
        <v>0</v>
      </c>
      <c r="I18" s="10"/>
      <c r="J18" s="69" t="s">
        <v>50</v>
      </c>
      <c r="K18" s="5"/>
      <c r="L18" s="82"/>
      <c r="M18" s="10"/>
      <c r="N18" s="10"/>
    </row>
    <row r="19" spans="2:24">
      <c r="B19" s="25"/>
      <c r="D19" s="49"/>
      <c r="E19" s="48"/>
      <c r="F19" s="19" t="s">
        <v>21</v>
      </c>
      <c r="G19" s="5"/>
      <c r="H19" s="83">
        <f>CaseData!I19</f>
        <v>7.1249999999999994E-2</v>
      </c>
      <c r="I19" s="46"/>
      <c r="J19" s="84">
        <f t="array" ref="J19:J24">TRANSPOSE(D65:I65)</f>
        <v>43982</v>
      </c>
      <c r="L19" s="85">
        <v>5.0500000000000003E-2</v>
      </c>
      <c r="M19" s="10"/>
      <c r="N19" s="10"/>
    </row>
    <row r="20" spans="2:24">
      <c r="B20" s="19" t="s">
        <v>22</v>
      </c>
      <c r="C20" s="5"/>
      <c r="D20" s="86">
        <f>CaseData!E20</f>
        <v>1.2500000000000001E-2</v>
      </c>
      <c r="E20" s="48"/>
      <c r="F20" s="19" t="s">
        <v>23</v>
      </c>
      <c r="G20" s="5"/>
      <c r="H20" s="87">
        <v>43951</v>
      </c>
      <c r="I20" s="10"/>
      <c r="J20" s="84">
        <v>44012</v>
      </c>
      <c r="K20" s="5"/>
      <c r="L20" s="85">
        <v>5.2499999999999998E-2</v>
      </c>
      <c r="M20" s="10"/>
      <c r="N20" s="10"/>
    </row>
    <row r="21" spans="2:24">
      <c r="B21" s="25"/>
      <c r="D21" s="49"/>
      <c r="E21" s="5"/>
      <c r="F21" s="19"/>
      <c r="G21" s="5"/>
      <c r="H21" s="87">
        <v>44135</v>
      </c>
      <c r="I21" s="10"/>
      <c r="J21" s="84">
        <v>44043</v>
      </c>
      <c r="L21" s="85">
        <v>5.7000000000000002E-2</v>
      </c>
      <c r="M21" s="10"/>
      <c r="N21" s="10"/>
    </row>
    <row r="22" spans="2:24">
      <c r="B22" s="19" t="s">
        <v>24</v>
      </c>
      <c r="C22" s="5"/>
      <c r="D22" s="50" t="str">
        <f>CaseData!E22</f>
        <v>Same</v>
      </c>
      <c r="E22" s="5"/>
      <c r="F22" s="19" t="s">
        <v>26</v>
      </c>
      <c r="G22" s="5"/>
      <c r="H22" s="88" t="str">
        <f>CaseData!I22</f>
        <v>Oct. 31, 2020</v>
      </c>
      <c r="I22" s="10"/>
      <c r="J22" s="84">
        <v>44074</v>
      </c>
      <c r="L22" s="85">
        <v>5.9499999999999997E-2</v>
      </c>
      <c r="M22" s="10"/>
      <c r="N22" s="10"/>
      <c r="O22" s="89"/>
    </row>
    <row r="23" spans="2:24">
      <c r="B23" s="19" t="s">
        <v>14</v>
      </c>
      <c r="C23" s="5"/>
      <c r="D23" s="50" t="str">
        <f>CaseData!E23</f>
        <v>as revolver</v>
      </c>
      <c r="E23" s="5"/>
      <c r="F23" s="19" t="s">
        <v>51</v>
      </c>
      <c r="G23" s="5"/>
      <c r="H23" s="49"/>
      <c r="I23" s="10"/>
      <c r="J23" s="84">
        <v>44104</v>
      </c>
      <c r="L23" s="85">
        <v>6.1499999999999999E-2</v>
      </c>
      <c r="M23" s="10"/>
      <c r="N23" s="10"/>
    </row>
    <row r="24" spans="2:24">
      <c r="B24" s="25"/>
      <c r="D24" s="49"/>
      <c r="E24" s="10"/>
      <c r="F24" s="90">
        <f>R31</f>
        <v>43951</v>
      </c>
      <c r="H24" s="91">
        <v>1.03</v>
      </c>
      <c r="J24" s="84">
        <v>44135</v>
      </c>
      <c r="L24" s="85">
        <v>6.4000000000000001E-2</v>
      </c>
      <c r="M24" s="10"/>
      <c r="N24" s="10"/>
    </row>
    <row r="25" spans="2:24">
      <c r="B25" s="34" t="s">
        <v>26</v>
      </c>
      <c r="C25" s="12"/>
      <c r="D25" s="53" t="str">
        <f>CaseData!E25</f>
        <v>Jun. 30, 2025</v>
      </c>
      <c r="E25" s="5"/>
      <c r="F25" s="92">
        <v>44043</v>
      </c>
      <c r="G25" s="55"/>
      <c r="H25" s="93">
        <v>1.02</v>
      </c>
      <c r="J25" s="25"/>
      <c r="L25" s="4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2:24">
      <c r="B26" s="5"/>
      <c r="C26" s="5"/>
      <c r="D26" s="38"/>
      <c r="E26" s="5"/>
      <c r="F26" s="94"/>
      <c r="H26" s="95"/>
      <c r="J26" s="19" t="s">
        <v>23</v>
      </c>
      <c r="L26" s="96">
        <f>EOMONTH(L17,6)</f>
        <v>44227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2:24">
      <c r="B27" s="5"/>
      <c r="C27" s="5"/>
      <c r="D27" s="5"/>
      <c r="E27" s="5"/>
      <c r="I27" s="5"/>
      <c r="J27" s="97"/>
      <c r="K27" s="55"/>
      <c r="L27" s="98">
        <f>EOMONTH(L26,6)</f>
        <v>44408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2:24">
      <c r="B28" s="5"/>
      <c r="C28" s="5"/>
      <c r="D28" s="5"/>
      <c r="E28" s="5"/>
      <c r="I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2:24">
      <c r="B29" s="7" t="s">
        <v>33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  <c r="S29" s="5"/>
      <c r="T29" s="5"/>
      <c r="U29" s="5"/>
      <c r="V29" s="5"/>
      <c r="W29" s="5"/>
      <c r="X29" s="5"/>
    </row>
    <row r="30" spans="2:24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2:24">
      <c r="B31" s="57" t="str">
        <f>B6</f>
        <v>Revolving Credit Facility:</v>
      </c>
      <c r="C31" s="5"/>
      <c r="D31" s="63">
        <f>CaseData!E29</f>
        <v>43524</v>
      </c>
      <c r="E31" s="63">
        <f>CaseData!F29</f>
        <v>43555</v>
      </c>
      <c r="F31" s="63">
        <f>CaseData!G29</f>
        <v>43585</v>
      </c>
      <c r="G31" s="63">
        <f>CaseData!H29</f>
        <v>43616</v>
      </c>
      <c r="H31" s="63">
        <f>CaseData!I29</f>
        <v>43646</v>
      </c>
      <c r="I31" s="63">
        <f>CaseData!J29</f>
        <v>43677</v>
      </c>
      <c r="J31" s="63">
        <f>CaseData!K29</f>
        <v>43708</v>
      </c>
      <c r="K31" s="63">
        <f>CaseData!L29</f>
        <v>43738</v>
      </c>
      <c r="L31" s="63">
        <f>CaseData!M29</f>
        <v>43769</v>
      </c>
      <c r="M31" s="63">
        <f>CaseData!N29</f>
        <v>43799</v>
      </c>
      <c r="N31" s="63">
        <f>CaseData!O29</f>
        <v>43830</v>
      </c>
      <c r="O31" s="63">
        <f>CaseData!P29</f>
        <v>43861</v>
      </c>
      <c r="P31" s="63">
        <f>CaseData!Q29</f>
        <v>43890</v>
      </c>
      <c r="Q31" s="63">
        <f>CaseData!R29</f>
        <v>43921</v>
      </c>
      <c r="R31" s="63">
        <f>CaseData!S29</f>
        <v>43951</v>
      </c>
      <c r="S31" s="5"/>
      <c r="T31" s="5"/>
      <c r="U31" s="5"/>
      <c r="V31" s="5"/>
      <c r="W31" s="5"/>
      <c r="X31" s="5"/>
    </row>
    <row r="32" spans="2:24">
      <c r="B32" s="5" t="s">
        <v>34</v>
      </c>
      <c r="C32" s="59">
        <f>CaseData!D30</f>
        <v>10029</v>
      </c>
      <c r="D32" s="59">
        <f>CaseData!E30</f>
        <v>5395</v>
      </c>
      <c r="E32" s="59">
        <f>CaseData!F30</f>
        <v>11094</v>
      </c>
      <c r="F32" s="59">
        <f>CaseData!G30</f>
        <v>12111</v>
      </c>
      <c r="G32" s="59">
        <f>CaseData!H30</f>
        <v>12263</v>
      </c>
      <c r="H32" s="59">
        <f>CaseData!I30</f>
        <v>21116</v>
      </c>
      <c r="I32" s="59">
        <f>CaseData!J30</f>
        <v>26477</v>
      </c>
      <c r="J32" s="59">
        <f>CaseData!K30</f>
        <v>31004</v>
      </c>
      <c r="K32" s="59">
        <f>CaseData!L30</f>
        <v>18530</v>
      </c>
      <c r="L32" s="59">
        <f>CaseData!M30</f>
        <v>8274</v>
      </c>
      <c r="M32" s="59">
        <f>CaseData!N30</f>
        <v>31247</v>
      </c>
      <c r="N32" s="59">
        <f>CaseData!O30</f>
        <v>33481</v>
      </c>
      <c r="O32" s="59">
        <f>CaseData!P30</f>
        <v>15891</v>
      </c>
      <c r="P32" s="59">
        <f>CaseData!Q30</f>
        <v>36380</v>
      </c>
      <c r="Q32" s="59">
        <f>CaseData!R30</f>
        <v>13877</v>
      </c>
      <c r="R32" s="59">
        <f>CaseData!S30</f>
        <v>12473</v>
      </c>
      <c r="S32" s="5"/>
      <c r="T32" s="5"/>
      <c r="U32" s="5"/>
      <c r="V32" s="5"/>
      <c r="W32" s="5"/>
      <c r="X32" s="5"/>
    </row>
    <row r="33" spans="1:24">
      <c r="B33" s="5" t="s">
        <v>35</v>
      </c>
      <c r="C33" s="5"/>
      <c r="D33" s="44">
        <f>CaseData!E31</f>
        <v>44.337000000000003</v>
      </c>
      <c r="E33" s="44">
        <f>CaseData!F31</f>
        <v>24.928999999999998</v>
      </c>
      <c r="F33" s="44">
        <f>CaseData!G31</f>
        <v>49.137</v>
      </c>
      <c r="G33" s="44">
        <f>CaseData!H31</f>
        <v>53.884</v>
      </c>
      <c r="H33" s="44">
        <f>CaseData!I31</f>
        <v>51.709000000000003</v>
      </c>
      <c r="I33" s="44">
        <f>CaseData!J31</f>
        <v>97.239000000000004</v>
      </c>
      <c r="J33" s="44">
        <f>CaseData!K31</f>
        <v>112.81399999999999</v>
      </c>
      <c r="K33" s="44">
        <f>CaseData!L31</f>
        <v>131.53399999999999</v>
      </c>
      <c r="L33" s="44">
        <f>CaseData!M31</f>
        <v>82.721000000000004</v>
      </c>
      <c r="M33" s="44">
        <f>CaseData!N31</f>
        <v>36.771000000000001</v>
      </c>
      <c r="N33" s="44">
        <f>CaseData!O31</f>
        <v>130.274</v>
      </c>
      <c r="O33" s="44">
        <f>CaseData!P31</f>
        <v>141.792</v>
      </c>
      <c r="P33" s="44">
        <f>CaseData!Q31</f>
        <v>68.582999999999998</v>
      </c>
      <c r="Q33" s="44">
        <f>CaseData!R31</f>
        <v>165.83199999999999</v>
      </c>
      <c r="R33" s="44">
        <f>CaseData!S31</f>
        <v>60.271999999999998</v>
      </c>
      <c r="S33" s="5"/>
      <c r="T33" s="5"/>
      <c r="U33" s="5"/>
      <c r="V33" s="5"/>
      <c r="W33" s="5"/>
      <c r="X33" s="5"/>
    </row>
    <row r="34" spans="1:24">
      <c r="B34" s="5" t="s">
        <v>36</v>
      </c>
      <c r="C34" s="5"/>
      <c r="D34" s="44">
        <f>CaseData!E32</f>
        <v>26.646999999999998</v>
      </c>
      <c r="E34" s="44">
        <f>CaseData!F32</f>
        <v>29.736999999999998</v>
      </c>
      <c r="F34" s="44">
        <f>CaseData!G32</f>
        <v>25.937000000000001</v>
      </c>
      <c r="G34" s="44">
        <f>CaseData!H32</f>
        <v>25.259</v>
      </c>
      <c r="H34" s="44">
        <f>CaseData!I32</f>
        <v>25.158000000000001</v>
      </c>
      <c r="I34" s="44">
        <f>CaseData!J32</f>
        <v>19.256</v>
      </c>
      <c r="J34" s="44">
        <f>CaseData!K32</f>
        <v>15.682</v>
      </c>
      <c r="K34" s="44">
        <f>CaseData!L32</f>
        <v>12.664</v>
      </c>
      <c r="L34" s="44">
        <f>CaseData!M32</f>
        <v>20.98</v>
      </c>
      <c r="M34" s="44">
        <f>CaseData!N32</f>
        <v>27.817</v>
      </c>
      <c r="N34" s="44">
        <f>CaseData!O32</f>
        <v>12.502000000000001</v>
      </c>
      <c r="O34" s="44">
        <f>CaseData!P32</f>
        <v>11.013</v>
      </c>
      <c r="P34" s="44">
        <f>CaseData!Q32</f>
        <v>22.739000000000001</v>
      </c>
      <c r="Q34" s="44">
        <f>CaseData!R32</f>
        <v>9.08</v>
      </c>
      <c r="R34" s="44">
        <f>CaseData!S32</f>
        <v>24.082000000000001</v>
      </c>
      <c r="S34" s="5"/>
      <c r="T34" s="5"/>
      <c r="U34" s="5"/>
      <c r="V34" s="5"/>
      <c r="W34" s="5"/>
      <c r="X34" s="5"/>
    </row>
    <row r="35" spans="1:24">
      <c r="B35" s="5" t="s">
        <v>52</v>
      </c>
      <c r="C35" s="5"/>
      <c r="D35" s="44">
        <f>D33+D34</f>
        <v>70.984000000000009</v>
      </c>
      <c r="E35" s="44">
        <f t="shared" ref="E35:R35" si="0">E33+E34</f>
        <v>54.665999999999997</v>
      </c>
      <c r="F35" s="44">
        <f t="shared" si="0"/>
        <v>75.073999999999998</v>
      </c>
      <c r="G35" s="44">
        <f t="shared" si="0"/>
        <v>79.143000000000001</v>
      </c>
      <c r="H35" s="44">
        <f t="shared" si="0"/>
        <v>76.867000000000004</v>
      </c>
      <c r="I35" s="44">
        <f t="shared" si="0"/>
        <v>116.495</v>
      </c>
      <c r="J35" s="44">
        <f t="shared" si="0"/>
        <v>128.49599999999998</v>
      </c>
      <c r="K35" s="44">
        <f t="shared" si="0"/>
        <v>144.19799999999998</v>
      </c>
      <c r="L35" s="44">
        <f t="shared" si="0"/>
        <v>103.70100000000001</v>
      </c>
      <c r="M35" s="44">
        <f t="shared" si="0"/>
        <v>64.587999999999994</v>
      </c>
      <c r="N35" s="44">
        <f t="shared" si="0"/>
        <v>142.77600000000001</v>
      </c>
      <c r="O35" s="44">
        <f t="shared" si="0"/>
        <v>152.80500000000001</v>
      </c>
      <c r="P35" s="44">
        <f t="shared" si="0"/>
        <v>91.322000000000003</v>
      </c>
      <c r="Q35" s="44">
        <f t="shared" si="0"/>
        <v>174.91200000000001</v>
      </c>
      <c r="R35" s="44">
        <f t="shared" si="0"/>
        <v>84.353999999999999</v>
      </c>
      <c r="S35" s="5"/>
      <c r="T35" s="5"/>
      <c r="U35" s="5"/>
      <c r="V35" s="5"/>
      <c r="W35" s="5"/>
      <c r="X35" s="5"/>
    </row>
    <row r="36" spans="1:24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>
      <c r="B37" s="57" t="s">
        <v>16</v>
      </c>
      <c r="C37" s="5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5"/>
      <c r="T37" s="5"/>
      <c r="U37" s="5"/>
      <c r="V37" s="5"/>
      <c r="W37" s="5"/>
      <c r="X37" s="5"/>
    </row>
    <row r="38" spans="1:24">
      <c r="B38" s="5" t="s">
        <v>34</v>
      </c>
      <c r="C38" s="59">
        <f>CaseData!D35</f>
        <v>216562.5</v>
      </c>
      <c r="D38" s="59">
        <f>CaseData!E35</f>
        <v>213750</v>
      </c>
      <c r="E38" s="59">
        <f>CaseData!F35</f>
        <v>210937.5</v>
      </c>
      <c r="F38" s="59">
        <f>CaseData!G35</f>
        <v>208125</v>
      </c>
      <c r="G38" s="59">
        <f>CaseData!H35</f>
        <v>205312.5</v>
      </c>
      <c r="H38" s="59">
        <f>CaseData!I35</f>
        <v>202500</v>
      </c>
      <c r="I38" s="59">
        <f>CaseData!J35</f>
        <v>199687.5</v>
      </c>
      <c r="J38" s="59">
        <f>CaseData!K35</f>
        <v>196875</v>
      </c>
      <c r="K38" s="59">
        <f>CaseData!L35</f>
        <v>194062.5</v>
      </c>
      <c r="L38" s="59">
        <f>CaseData!M35</f>
        <v>191250</v>
      </c>
      <c r="M38" s="59">
        <f>CaseData!N35</f>
        <v>188437.5</v>
      </c>
      <c r="N38" s="59">
        <f>CaseData!O35</f>
        <v>185625</v>
      </c>
      <c r="O38" s="59">
        <f>CaseData!P35</f>
        <v>182812.5</v>
      </c>
      <c r="P38" s="59">
        <f>CaseData!Q35</f>
        <v>180000</v>
      </c>
      <c r="Q38" s="59">
        <f>CaseData!R35</f>
        <v>177187.5</v>
      </c>
      <c r="R38" s="59">
        <f>CaseData!S35</f>
        <v>174375</v>
      </c>
      <c r="S38" s="5"/>
      <c r="T38" s="5"/>
      <c r="U38" s="5"/>
      <c r="V38" s="5"/>
      <c r="W38" s="5"/>
      <c r="X38" s="5"/>
    </row>
    <row r="39" spans="1:24">
      <c r="B39" s="5" t="s">
        <v>37</v>
      </c>
      <c r="C39" s="5"/>
      <c r="D39" s="44">
        <f>CaseData!E36</f>
        <v>957.38699999999994</v>
      </c>
      <c r="E39" s="44">
        <f>CaseData!F36</f>
        <v>987.70299999999997</v>
      </c>
      <c r="F39" s="44">
        <f>CaseData!G36</f>
        <v>934.27700000000004</v>
      </c>
      <c r="G39" s="44">
        <f>CaseData!H36</f>
        <v>925.98299999999995</v>
      </c>
      <c r="H39" s="44">
        <f>CaseData!I36</f>
        <v>865.73400000000004</v>
      </c>
      <c r="I39" s="44">
        <f>CaseData!J36</f>
        <v>932.51300000000003</v>
      </c>
      <c r="J39" s="44">
        <f>CaseData!K36</f>
        <v>850.83500000000004</v>
      </c>
      <c r="K39" s="44">
        <f>CaseData!L36</f>
        <v>835.24199999999996</v>
      </c>
      <c r="L39" s="44">
        <f>CaseData!M36</f>
        <v>866.327</v>
      </c>
      <c r="M39" s="44">
        <f>CaseData!N36</f>
        <v>849.947</v>
      </c>
      <c r="N39" s="44">
        <f>CaseData!O36</f>
        <v>785.62699999999995</v>
      </c>
      <c r="O39" s="44">
        <f>CaseData!P36</f>
        <v>786.12199999999996</v>
      </c>
      <c r="P39" s="44">
        <f>CaseData!Q36</f>
        <v>788.98800000000006</v>
      </c>
      <c r="Q39" s="44">
        <f>CaseData!R36</f>
        <v>820.5</v>
      </c>
      <c r="R39" s="44">
        <f>CaseData!S36</f>
        <v>769.58399999999995</v>
      </c>
      <c r="S39" s="5"/>
      <c r="T39" s="5"/>
      <c r="U39" s="5"/>
      <c r="V39" s="5"/>
      <c r="W39" s="5"/>
      <c r="X39" s="5"/>
    </row>
    <row r="40" spans="1:24">
      <c r="B40" s="5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5"/>
      <c r="T40" s="5"/>
      <c r="U40" s="5"/>
      <c r="V40" s="5"/>
      <c r="W40" s="5"/>
      <c r="X40" s="5"/>
    </row>
    <row r="41" spans="1:24">
      <c r="B41" s="57" t="str">
        <f>F16</f>
        <v>Subordinated Notes:</v>
      </c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5"/>
      <c r="T41" s="5"/>
      <c r="U41" s="5"/>
      <c r="V41" s="5"/>
      <c r="W41" s="5"/>
      <c r="X41" s="5"/>
    </row>
    <row r="42" spans="1:24">
      <c r="B42" s="5" t="s">
        <v>34</v>
      </c>
      <c r="C42" s="59">
        <f>CaseData!D39</f>
        <v>500000</v>
      </c>
      <c r="D42" s="44">
        <f>CaseData!E39</f>
        <v>500000</v>
      </c>
      <c r="E42" s="44">
        <f>CaseData!F39</f>
        <v>500000</v>
      </c>
      <c r="F42" s="44">
        <f>CaseData!G39</f>
        <v>500000</v>
      </c>
      <c r="G42" s="44">
        <f>CaseData!H39</f>
        <v>500000</v>
      </c>
      <c r="H42" s="44">
        <f>CaseData!I39</f>
        <v>500000</v>
      </c>
      <c r="I42" s="44">
        <f>CaseData!J39</f>
        <v>500000</v>
      </c>
      <c r="J42" s="44">
        <f>CaseData!K39</f>
        <v>500000</v>
      </c>
      <c r="K42" s="44">
        <f>CaseData!L39</f>
        <v>500000</v>
      </c>
      <c r="L42" s="44">
        <f>CaseData!M39</f>
        <v>500000</v>
      </c>
      <c r="M42" s="44">
        <f>CaseData!N39</f>
        <v>500000</v>
      </c>
      <c r="N42" s="44">
        <f>CaseData!O39</f>
        <v>500000</v>
      </c>
      <c r="O42" s="44">
        <f>CaseData!P39</f>
        <v>500000</v>
      </c>
      <c r="P42" s="44">
        <f>CaseData!Q39</f>
        <v>500000</v>
      </c>
      <c r="Q42" s="44">
        <f>CaseData!R39</f>
        <v>500000</v>
      </c>
      <c r="R42" s="44">
        <f>CaseData!S39</f>
        <v>500000</v>
      </c>
      <c r="S42" s="5"/>
      <c r="T42" s="5"/>
      <c r="U42" s="5"/>
      <c r="V42" s="5"/>
      <c r="W42" s="5"/>
      <c r="X42" s="5"/>
    </row>
    <row r="43" spans="1:24">
      <c r="B43" s="5" t="s">
        <v>37</v>
      </c>
      <c r="C43" s="5"/>
      <c r="D43" s="44">
        <f>CaseData!E40</f>
        <v>2968.75</v>
      </c>
      <c r="E43" s="44">
        <f>CaseData!F40</f>
        <v>2968.75</v>
      </c>
      <c r="F43" s="44">
        <f>CaseData!G40</f>
        <v>2968.75</v>
      </c>
      <c r="G43" s="44">
        <f>CaseData!H40</f>
        <v>2968.75</v>
      </c>
      <c r="H43" s="44">
        <f>CaseData!I40</f>
        <v>2968.75</v>
      </c>
      <c r="I43" s="44">
        <f>CaseData!J40</f>
        <v>2968.75</v>
      </c>
      <c r="J43" s="44">
        <f>CaseData!K40</f>
        <v>2968.75</v>
      </c>
      <c r="K43" s="44">
        <f>CaseData!L40</f>
        <v>2968.75</v>
      </c>
      <c r="L43" s="44">
        <f>CaseData!M40</f>
        <v>2968.75</v>
      </c>
      <c r="M43" s="44">
        <f>CaseData!N40</f>
        <v>2968.75</v>
      </c>
      <c r="N43" s="44">
        <f>CaseData!O40</f>
        <v>2968.75</v>
      </c>
      <c r="O43" s="44">
        <f>CaseData!P40</f>
        <v>2968.75</v>
      </c>
      <c r="P43" s="44">
        <f>CaseData!Q40</f>
        <v>2968.75</v>
      </c>
      <c r="Q43" s="44">
        <f>CaseData!R40</f>
        <v>2968.75</v>
      </c>
      <c r="R43" s="44">
        <f>CaseData!S40</f>
        <v>2968.75</v>
      </c>
      <c r="S43" s="5"/>
      <c r="T43" s="5"/>
      <c r="U43" s="5"/>
      <c r="V43" s="5"/>
      <c r="W43" s="5"/>
      <c r="X43" s="5"/>
    </row>
    <row r="44" spans="1:2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>
      <c r="B46" s="5" t="s">
        <v>38</v>
      </c>
      <c r="C46" s="44">
        <f>C32+C38+C42</f>
        <v>726591.5</v>
      </c>
      <c r="D46" s="44">
        <f>D32+D38+D42</f>
        <v>719145</v>
      </c>
      <c r="E46" s="44">
        <f t="shared" ref="E46:R46" si="1">E32+E38+E42</f>
        <v>722031.5</v>
      </c>
      <c r="F46" s="44">
        <f t="shared" si="1"/>
        <v>720236</v>
      </c>
      <c r="G46" s="44">
        <f t="shared" si="1"/>
        <v>717575.5</v>
      </c>
      <c r="H46" s="44">
        <f t="shared" si="1"/>
        <v>723616</v>
      </c>
      <c r="I46" s="44">
        <f t="shared" si="1"/>
        <v>726164.5</v>
      </c>
      <c r="J46" s="44">
        <f t="shared" si="1"/>
        <v>727879</v>
      </c>
      <c r="K46" s="44">
        <f t="shared" si="1"/>
        <v>712592.5</v>
      </c>
      <c r="L46" s="44">
        <f t="shared" si="1"/>
        <v>699524</v>
      </c>
      <c r="M46" s="44">
        <f t="shared" si="1"/>
        <v>719684.5</v>
      </c>
      <c r="N46" s="44">
        <f t="shared" si="1"/>
        <v>719106</v>
      </c>
      <c r="O46" s="44">
        <f t="shared" si="1"/>
        <v>698703.5</v>
      </c>
      <c r="P46" s="44">
        <f t="shared" si="1"/>
        <v>716380</v>
      </c>
      <c r="Q46" s="44">
        <f t="shared" si="1"/>
        <v>691064.5</v>
      </c>
      <c r="R46" s="44">
        <f t="shared" si="1"/>
        <v>686848</v>
      </c>
      <c r="S46" s="5"/>
      <c r="T46" s="5"/>
      <c r="U46" s="5"/>
      <c r="V46" s="5"/>
      <c r="W46" s="5"/>
      <c r="X46" s="5"/>
    </row>
    <row r="47" spans="1:24">
      <c r="B47" s="5" t="s">
        <v>39</v>
      </c>
      <c r="C47" s="59">
        <f>CaseData!D44</f>
        <v>183244</v>
      </c>
      <c r="D47" s="59">
        <f>CaseData!E44</f>
        <v>191930</v>
      </c>
      <c r="E47" s="59">
        <f>CaseData!F44</f>
        <v>199032</v>
      </c>
      <c r="F47" s="59">
        <f>CaseData!G44</f>
        <v>175519</v>
      </c>
      <c r="G47" s="59">
        <f>CaseData!H44</f>
        <v>170868</v>
      </c>
      <c r="H47" s="59">
        <f>CaseData!I44</f>
        <v>156913</v>
      </c>
      <c r="I47" s="59">
        <f>CaseData!J44</f>
        <v>179890</v>
      </c>
      <c r="J47" s="59">
        <f>CaseData!K44</f>
        <v>174023</v>
      </c>
      <c r="K47" s="59">
        <f>CaseData!L44</f>
        <v>198141</v>
      </c>
      <c r="L47" s="59">
        <f>CaseData!M44</f>
        <v>191052</v>
      </c>
      <c r="M47" s="59">
        <f>CaseData!N44</f>
        <v>189901</v>
      </c>
      <c r="N47" s="59">
        <f>CaseData!O44</f>
        <v>165475</v>
      </c>
      <c r="O47" s="59">
        <f>CaseData!P44</f>
        <v>198550</v>
      </c>
      <c r="P47" s="59">
        <f>CaseData!Q44</f>
        <v>187963</v>
      </c>
      <c r="Q47" s="59">
        <f>CaseData!R44</f>
        <v>180401</v>
      </c>
      <c r="R47" s="59">
        <f>CaseData!S44</f>
        <v>191177</v>
      </c>
      <c r="S47" s="5"/>
      <c r="T47" s="5"/>
      <c r="U47" s="5"/>
      <c r="V47" s="5"/>
      <c r="W47" s="5"/>
      <c r="X47" s="5"/>
    </row>
    <row r="48" spans="1:24">
      <c r="A48" s="60"/>
      <c r="B48" s="5" t="s">
        <v>40</v>
      </c>
      <c r="C48" s="100">
        <f>C46/C47</f>
        <v>3.9651584772216282</v>
      </c>
      <c r="D48" s="100">
        <f t="shared" ref="D48:R48" si="2">D46/D47</f>
        <v>3.7469129370082843</v>
      </c>
      <c r="E48" s="100">
        <f t="shared" si="2"/>
        <v>3.6277156437155833</v>
      </c>
      <c r="F48" s="100">
        <f t="shared" si="2"/>
        <v>4.103464582181986</v>
      </c>
      <c r="G48" s="100">
        <f t="shared" si="2"/>
        <v>4.1995897417889836</v>
      </c>
      <c r="H48" s="100">
        <f t="shared" si="2"/>
        <v>4.6115745667981622</v>
      </c>
      <c r="I48" s="100">
        <f t="shared" si="2"/>
        <v>4.036714103062983</v>
      </c>
      <c r="J48" s="100">
        <f t="shared" si="2"/>
        <v>4.1826597633646125</v>
      </c>
      <c r="K48" s="100">
        <f t="shared" si="2"/>
        <v>3.5963909539166554</v>
      </c>
      <c r="L48" s="100">
        <f t="shared" si="2"/>
        <v>3.6614324895839876</v>
      </c>
      <c r="M48" s="100">
        <f t="shared" si="2"/>
        <v>3.789787836820238</v>
      </c>
      <c r="N48" s="100">
        <f t="shared" si="2"/>
        <v>4.3457078108475597</v>
      </c>
      <c r="O48" s="100">
        <f t="shared" si="2"/>
        <v>3.5190304709141276</v>
      </c>
      <c r="P48" s="100">
        <f t="shared" si="2"/>
        <v>3.8112820076291611</v>
      </c>
      <c r="Q48" s="100">
        <f t="shared" si="2"/>
        <v>3.8307132443833458</v>
      </c>
      <c r="R48" s="100">
        <f t="shared" si="2"/>
        <v>3.5927334355074092</v>
      </c>
      <c r="S48" s="5"/>
      <c r="T48" s="5"/>
      <c r="U48" s="5"/>
      <c r="V48" s="5"/>
      <c r="W48" s="5"/>
      <c r="X48" s="5"/>
    </row>
    <row r="49" spans="2:24">
      <c r="B49" s="5" t="s">
        <v>13</v>
      </c>
      <c r="C49" s="62">
        <f>CaseData!D46</f>
        <v>2.317E-2</v>
      </c>
      <c r="D49" s="62">
        <f>CaseData!E46</f>
        <v>2.3050000000000001E-2</v>
      </c>
      <c r="E49" s="62">
        <f>CaseData!F46</f>
        <v>2.545E-2</v>
      </c>
      <c r="F49" s="62">
        <f>CaseData!G46</f>
        <v>2.315E-2</v>
      </c>
      <c r="G49" s="62">
        <f>CaseData!H46</f>
        <v>2.3390000000000001E-2</v>
      </c>
      <c r="H49" s="62">
        <f>CaseData!I46</f>
        <v>2.06E-2</v>
      </c>
      <c r="I49" s="62">
        <f>CaseData!J46</f>
        <v>2.5260000000000001E-2</v>
      </c>
      <c r="J49" s="62">
        <f>CaseData!K46</f>
        <v>2.1129999999999999E-2</v>
      </c>
      <c r="K49" s="62">
        <f>CaseData!L46</f>
        <v>2.0910000000000002E-2</v>
      </c>
      <c r="L49" s="62">
        <f>CaseData!M46</f>
        <v>2.3570000000000001E-2</v>
      </c>
      <c r="M49" s="62">
        <f>CaseData!N46</f>
        <v>2.333E-2</v>
      </c>
      <c r="N49" s="62">
        <f>CaseData!O46</f>
        <v>2.0029999999999999E-2</v>
      </c>
      <c r="O49" s="62">
        <f>CaseData!P46</f>
        <v>2.0820000000000002E-2</v>
      </c>
      <c r="P49" s="62">
        <f>CaseData!Q46</f>
        <v>2.179E-2</v>
      </c>
      <c r="Q49" s="62">
        <f>CaseData!R46</f>
        <v>2.47E-2</v>
      </c>
      <c r="R49" s="62">
        <f>CaseData!S46</f>
        <v>2.2120000000000001E-2</v>
      </c>
      <c r="S49" s="5"/>
      <c r="T49" s="5"/>
      <c r="U49" s="5"/>
      <c r="V49" s="5"/>
      <c r="W49" s="5"/>
      <c r="X49" s="5"/>
    </row>
    <row r="50" spans="2:24">
      <c r="B50" s="5" t="s">
        <v>41</v>
      </c>
      <c r="C50" s="62"/>
      <c r="D50" s="62">
        <f>CaseData!E47</f>
        <v>0.03</v>
      </c>
      <c r="E50" s="62">
        <f>CaseData!F47</f>
        <v>0.03</v>
      </c>
      <c r="F50" s="62">
        <f>CaseData!G47</f>
        <v>0.03</v>
      </c>
      <c r="G50" s="62">
        <f>CaseData!H47</f>
        <v>0.03</v>
      </c>
      <c r="H50" s="62">
        <f>CaseData!I47</f>
        <v>0.03</v>
      </c>
      <c r="I50" s="62">
        <f>CaseData!J47</f>
        <v>0.03</v>
      </c>
      <c r="J50" s="62">
        <f>CaseData!K47</f>
        <v>0.03</v>
      </c>
      <c r="K50" s="62">
        <f>CaseData!L47</f>
        <v>0.03</v>
      </c>
      <c r="L50" s="62">
        <f>CaseData!M47</f>
        <v>0.03</v>
      </c>
      <c r="M50" s="62">
        <f>CaseData!N47</f>
        <v>0.03</v>
      </c>
      <c r="N50" s="62">
        <f>CaseData!O47</f>
        <v>0.03</v>
      </c>
      <c r="O50" s="62">
        <f>CaseData!P47</f>
        <v>0.03</v>
      </c>
      <c r="P50" s="62">
        <f>CaseData!Q47</f>
        <v>0.03</v>
      </c>
      <c r="Q50" s="62">
        <f>CaseData!R47</f>
        <v>0.03</v>
      </c>
      <c r="R50" s="62">
        <f>CaseData!S47</f>
        <v>0.03</v>
      </c>
      <c r="S50" s="5"/>
      <c r="T50" s="5"/>
      <c r="U50" s="5"/>
      <c r="V50" s="5"/>
      <c r="W50" s="5"/>
      <c r="X50" s="5"/>
    </row>
    <row r="51" spans="2:24">
      <c r="B51" s="5" t="s">
        <v>42</v>
      </c>
      <c r="C51" s="5"/>
      <c r="D51" s="101">
        <f>D49+D50</f>
        <v>5.305E-2</v>
      </c>
      <c r="E51" s="101">
        <f t="shared" ref="E51:R51" si="3">E49+E50</f>
        <v>5.5449999999999999E-2</v>
      </c>
      <c r="F51" s="101">
        <f t="shared" si="3"/>
        <v>5.3150000000000003E-2</v>
      </c>
      <c r="G51" s="101">
        <f t="shared" si="3"/>
        <v>5.339E-2</v>
      </c>
      <c r="H51" s="101">
        <f t="shared" si="3"/>
        <v>5.0599999999999999E-2</v>
      </c>
      <c r="I51" s="101">
        <f t="shared" si="3"/>
        <v>5.5260000000000004E-2</v>
      </c>
      <c r="J51" s="101">
        <f t="shared" si="3"/>
        <v>5.1129999999999995E-2</v>
      </c>
      <c r="K51" s="101">
        <f t="shared" si="3"/>
        <v>5.0909999999999997E-2</v>
      </c>
      <c r="L51" s="101">
        <f t="shared" si="3"/>
        <v>5.357E-2</v>
      </c>
      <c r="M51" s="101">
        <f t="shared" si="3"/>
        <v>5.3330000000000002E-2</v>
      </c>
      <c r="N51" s="101">
        <f t="shared" si="3"/>
        <v>5.0029999999999998E-2</v>
      </c>
      <c r="O51" s="101">
        <f t="shared" si="3"/>
        <v>5.0820000000000004E-2</v>
      </c>
      <c r="P51" s="101">
        <f t="shared" si="3"/>
        <v>5.1790000000000003E-2</v>
      </c>
      <c r="Q51" s="101">
        <f t="shared" si="3"/>
        <v>5.4699999999999999E-2</v>
      </c>
      <c r="R51" s="101">
        <f t="shared" si="3"/>
        <v>5.212E-2</v>
      </c>
      <c r="S51" s="5"/>
      <c r="T51" s="5"/>
      <c r="U51" s="5"/>
      <c r="V51" s="5"/>
      <c r="W51" s="5"/>
      <c r="X51" s="5"/>
    </row>
    <row r="52" spans="2:24">
      <c r="B52" s="5" t="s">
        <v>53</v>
      </c>
      <c r="C52" s="5"/>
      <c r="D52" s="44">
        <f>D33+D34+D39+D43</f>
        <v>3997.1210000000001</v>
      </c>
      <c r="E52" s="44">
        <f t="shared" ref="E52:R52" si="4">E33+E34+E39+E43</f>
        <v>4011.1189999999997</v>
      </c>
      <c r="F52" s="44">
        <f t="shared" si="4"/>
        <v>3978.1010000000001</v>
      </c>
      <c r="G52" s="44">
        <f t="shared" si="4"/>
        <v>3973.8760000000002</v>
      </c>
      <c r="H52" s="44">
        <f t="shared" si="4"/>
        <v>3911.3510000000001</v>
      </c>
      <c r="I52" s="44">
        <f t="shared" si="4"/>
        <v>4017.7579999999998</v>
      </c>
      <c r="J52" s="44">
        <f t="shared" si="4"/>
        <v>3948.0810000000001</v>
      </c>
      <c r="K52" s="44">
        <f t="shared" si="4"/>
        <v>3948.19</v>
      </c>
      <c r="L52" s="44">
        <f t="shared" si="4"/>
        <v>3938.7780000000002</v>
      </c>
      <c r="M52" s="44">
        <f t="shared" si="4"/>
        <v>3883.2849999999999</v>
      </c>
      <c r="N52" s="44">
        <f t="shared" si="4"/>
        <v>3897.1530000000002</v>
      </c>
      <c r="O52" s="44">
        <f t="shared" si="4"/>
        <v>3907.6769999999997</v>
      </c>
      <c r="P52" s="44">
        <f t="shared" si="4"/>
        <v>3849.06</v>
      </c>
      <c r="Q52" s="44">
        <f t="shared" si="4"/>
        <v>3964.1620000000003</v>
      </c>
      <c r="R52" s="44">
        <f t="shared" si="4"/>
        <v>3822.6880000000001</v>
      </c>
      <c r="S52" s="5"/>
      <c r="T52" s="5"/>
      <c r="U52" s="5"/>
      <c r="V52" s="5"/>
      <c r="W52" s="5"/>
      <c r="X52" s="5"/>
    </row>
    <row r="53" spans="2:24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2:2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2:24">
      <c r="B55" s="7" t="s">
        <v>43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  <c r="S55" s="5"/>
      <c r="T55" s="5"/>
      <c r="U55" s="5"/>
      <c r="V55" s="5"/>
      <c r="W55" s="5"/>
      <c r="X55" s="5"/>
    </row>
    <row r="56" spans="2:24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2:24">
      <c r="B57" s="5"/>
      <c r="C57" s="58">
        <f>CaseData!$S$29</f>
        <v>43951</v>
      </c>
      <c r="D57" s="63">
        <f>EOMONTH(R31,1)</f>
        <v>43982</v>
      </c>
      <c r="E57" s="58">
        <f>EOMONTH(D57,1)</f>
        <v>44012</v>
      </c>
      <c r="F57" s="58">
        <f t="shared" ref="F57:I57" si="5">EOMONTH(E57,1)</f>
        <v>44043</v>
      </c>
      <c r="G57" s="58">
        <f t="shared" si="5"/>
        <v>44074</v>
      </c>
      <c r="H57" s="58">
        <f t="shared" si="5"/>
        <v>44104</v>
      </c>
      <c r="I57" s="58">
        <f t="shared" si="5"/>
        <v>44135</v>
      </c>
      <c r="S57" s="5"/>
      <c r="T57" s="5"/>
      <c r="U57" s="5"/>
      <c r="V57" s="5"/>
      <c r="W57" s="5"/>
      <c r="X57" s="5"/>
    </row>
    <row r="58" spans="2:24">
      <c r="B58" s="5" t="s">
        <v>39</v>
      </c>
      <c r="C58" s="44">
        <f>CaseData!$S$44</f>
        <v>191177</v>
      </c>
      <c r="D58" s="59">
        <f>CaseData!E54</f>
        <v>193220</v>
      </c>
      <c r="E58" s="59">
        <f>CaseData!F54</f>
        <v>189600</v>
      </c>
      <c r="F58" s="59">
        <f>CaseData!G54</f>
        <v>186312</v>
      </c>
      <c r="G58" s="59">
        <f>CaseData!H54</f>
        <v>185545</v>
      </c>
      <c r="H58" s="59">
        <f>CaseData!I54</f>
        <v>185313</v>
      </c>
      <c r="I58" s="59">
        <f>CaseData!J54</f>
        <v>183795</v>
      </c>
      <c r="S58" s="5"/>
      <c r="T58" s="5"/>
      <c r="U58" s="5"/>
      <c r="V58" s="5"/>
      <c r="W58" s="5"/>
      <c r="X58" s="5"/>
    </row>
    <row r="59" spans="2:24">
      <c r="B59" s="5" t="s">
        <v>44</v>
      </c>
      <c r="C59" s="5"/>
      <c r="D59" s="59">
        <f>CaseData!E55</f>
        <v>81423</v>
      </c>
      <c r="E59" s="59">
        <f>CaseData!F55</f>
        <v>63499</v>
      </c>
      <c r="F59" s="59">
        <f>CaseData!G55</f>
        <v>89256</v>
      </c>
      <c r="G59" s="59">
        <f>CaseData!H55</f>
        <v>86777</v>
      </c>
      <c r="H59" s="59">
        <f>CaseData!I55</f>
        <v>77656</v>
      </c>
      <c r="I59" s="59">
        <f>CaseData!J55</f>
        <v>83704</v>
      </c>
      <c r="S59" s="5"/>
      <c r="T59" s="5"/>
      <c r="U59" s="5"/>
      <c r="V59" s="5"/>
      <c r="W59" s="5"/>
      <c r="X59" s="5"/>
    </row>
    <row r="60" spans="2:24">
      <c r="B60" s="5" t="s">
        <v>54</v>
      </c>
      <c r="C60" s="5"/>
      <c r="D60" s="59">
        <f>CaseData!E56</f>
        <v>10393.67</v>
      </c>
      <c r="E60" s="59">
        <f>CaseData!F56</f>
        <v>8667.5730000000003</v>
      </c>
      <c r="F60" s="59">
        <f>CaseData!G56</f>
        <v>6355.84</v>
      </c>
      <c r="G60" s="59">
        <f>CaseData!H56</f>
        <v>8884.2049999999999</v>
      </c>
      <c r="H60" s="59">
        <f>CaseData!I56</f>
        <v>11026.2</v>
      </c>
      <c r="I60" s="59">
        <f>CaseData!J56</f>
        <v>5745.4089999999997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4">
      <c r="B61" s="5" t="s">
        <v>13</v>
      </c>
      <c r="C61" s="5"/>
      <c r="D61" s="62">
        <f>CaseData!E57</f>
        <v>2.2499999999999999E-2</v>
      </c>
      <c r="E61" s="62">
        <f>CaseData!F57</f>
        <v>2.35E-2</v>
      </c>
      <c r="F61" s="62">
        <f>CaseData!G57</f>
        <v>2.4500000000000001E-2</v>
      </c>
      <c r="G61" s="62">
        <f>CaseData!H57</f>
        <v>2.5499999999999998E-2</v>
      </c>
      <c r="H61" s="62">
        <f>CaseData!I57</f>
        <v>2.6499999999999999E-2</v>
      </c>
      <c r="I61" s="62">
        <f>CaseData!J57</f>
        <v>2.7E-2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4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4">
      <c r="B63" s="7" t="s">
        <v>55</v>
      </c>
      <c r="C63" s="8"/>
      <c r="D63" s="8"/>
      <c r="E63" s="8"/>
      <c r="F63" s="8"/>
      <c r="G63" s="8"/>
      <c r="H63" s="8"/>
      <c r="I63" s="9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4"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>
      <c r="B65" s="5"/>
      <c r="C65" s="58">
        <f>CaseData!$S$29</f>
        <v>43951</v>
      </c>
      <c r="D65" s="58">
        <f t="shared" ref="D65:I65" si="6">D57</f>
        <v>43982</v>
      </c>
      <c r="E65" s="58">
        <f t="shared" si="6"/>
        <v>44012</v>
      </c>
      <c r="F65" s="58">
        <f t="shared" si="6"/>
        <v>44043</v>
      </c>
      <c r="G65" s="58">
        <f t="shared" si="6"/>
        <v>44074</v>
      </c>
      <c r="H65" s="58">
        <f t="shared" si="6"/>
        <v>44104</v>
      </c>
      <c r="I65" s="58">
        <f t="shared" si="6"/>
        <v>44135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>
      <c r="B66" s="5"/>
      <c r="C66" s="58"/>
      <c r="D66" s="58"/>
      <c r="E66" s="58"/>
      <c r="F66" s="58"/>
      <c r="G66" s="58"/>
      <c r="H66" s="58"/>
      <c r="I66" s="5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>
      <c r="B67" s="102" t="s">
        <v>40</v>
      </c>
      <c r="C67" s="103">
        <f t="shared" ref="C67:I67" si="7">C138/C58</f>
        <v>3.5927334355074092</v>
      </c>
      <c r="D67" s="103">
        <f t="shared" si="7"/>
        <v>3.5138309621157231</v>
      </c>
      <c r="E67" s="103">
        <f t="shared" si="7"/>
        <v>3.5459873417859145</v>
      </c>
      <c r="F67" s="103">
        <f t="shared" si="7"/>
        <v>3.6837485517713136</v>
      </c>
      <c r="G67" s="103">
        <f t="shared" si="7"/>
        <v>3.6632041804044531</v>
      </c>
      <c r="H67" s="103">
        <f t="shared" si="7"/>
        <v>3.6232475735659011</v>
      </c>
      <c r="I67" s="104">
        <f t="shared" si="7"/>
        <v>3.6317636497184362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>
      <c r="B68" s="5"/>
      <c r="C68" s="5"/>
      <c r="D68" s="58"/>
      <c r="E68" s="58"/>
      <c r="F68" s="58"/>
      <c r="G68" s="58"/>
      <c r="H68" s="58"/>
      <c r="I68" s="58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>
      <c r="B69" s="105" t="s">
        <v>46</v>
      </c>
      <c r="C69" s="106">
        <f>C$65</f>
        <v>43951</v>
      </c>
      <c r="D69" s="106">
        <f t="shared" ref="D69:I69" si="8">D$65</f>
        <v>43982</v>
      </c>
      <c r="E69" s="106">
        <f t="shared" si="8"/>
        <v>44012</v>
      </c>
      <c r="F69" s="106">
        <f t="shared" si="8"/>
        <v>44043</v>
      </c>
      <c r="G69" s="106">
        <f t="shared" si="8"/>
        <v>44074</v>
      </c>
      <c r="H69" s="106">
        <f t="shared" si="8"/>
        <v>44104</v>
      </c>
      <c r="I69" s="107">
        <f t="shared" si="8"/>
        <v>44135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>
      <c r="B70" s="5" t="s">
        <v>54</v>
      </c>
      <c r="C70" s="5"/>
      <c r="D70" s="108">
        <f t="shared" ref="D70:I70" si="9">D60</f>
        <v>10393.67</v>
      </c>
      <c r="E70" s="108">
        <f t="shared" si="9"/>
        <v>8667.5730000000003</v>
      </c>
      <c r="F70" s="108">
        <f t="shared" si="9"/>
        <v>6355.84</v>
      </c>
      <c r="G70" s="108">
        <f t="shared" si="9"/>
        <v>8884.2049999999999</v>
      </c>
      <c r="H70" s="108">
        <f t="shared" si="9"/>
        <v>11026.2</v>
      </c>
      <c r="I70" s="108">
        <f t="shared" si="9"/>
        <v>5745.4089999999997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>
      <c r="B71" s="5" t="s">
        <v>56</v>
      </c>
      <c r="C71" s="109"/>
      <c r="D71" s="110">
        <f t="shared" ref="D71:I71" si="10">-D152</f>
        <v>-3811.2280000000001</v>
      </c>
      <c r="E71" s="110">
        <f t="shared" si="10"/>
        <v>-3794.9483368125002</v>
      </c>
      <c r="F71" s="110">
        <f t="shared" si="10"/>
        <v>-3782.3202333434447</v>
      </c>
      <c r="G71" s="110">
        <f t="shared" si="10"/>
        <v>-3264.4176340364002</v>
      </c>
      <c r="H71" s="110">
        <f t="shared" si="10"/>
        <v>-3250.4105960981246</v>
      </c>
      <c r="I71" s="110">
        <f t="shared" si="10"/>
        <v>-3221.9007502008894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>
      <c r="B72" s="5" t="s">
        <v>57</v>
      </c>
      <c r="C72" s="108"/>
      <c r="D72" s="108">
        <f>SUM(D70:D71)</f>
        <v>6582.442</v>
      </c>
      <c r="E72" s="108">
        <f t="shared" ref="E72:I72" si="11">SUM(E70:E71)</f>
        <v>4872.6246631875001</v>
      </c>
      <c r="F72" s="108">
        <f t="shared" si="11"/>
        <v>2573.5197666565555</v>
      </c>
      <c r="G72" s="108">
        <f t="shared" si="11"/>
        <v>5619.7873659635998</v>
      </c>
      <c r="H72" s="108">
        <f t="shared" si="11"/>
        <v>7775.7894039018756</v>
      </c>
      <c r="I72" s="108">
        <f t="shared" si="11"/>
        <v>2523.5082497991102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5.0999999999999996" customHeight="1">
      <c r="B73" s="5"/>
      <c r="C73" s="108"/>
      <c r="D73" s="108"/>
      <c r="E73" s="108"/>
      <c r="F73" s="108"/>
      <c r="G73" s="108"/>
      <c r="H73" s="108"/>
      <c r="I73" s="108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>
      <c r="B74" s="57" t="s">
        <v>58</v>
      </c>
      <c r="C74" s="111"/>
      <c r="D74" s="111">
        <f t="shared" ref="D74:H74" si="12">D72*$L$9</f>
        <v>1645.6105</v>
      </c>
      <c r="E74" s="111">
        <f t="shared" si="12"/>
        <v>1218.156165796875</v>
      </c>
      <c r="F74" s="111">
        <f t="shared" si="12"/>
        <v>643.37994166413887</v>
      </c>
      <c r="G74" s="111">
        <f t="shared" si="12"/>
        <v>1404.9468414908999</v>
      </c>
      <c r="H74" s="111">
        <f t="shared" si="12"/>
        <v>1943.9473509754689</v>
      </c>
      <c r="I74" s="111">
        <f>I72*$L$9</f>
        <v>630.87706244977755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>
      <c r="B75" s="5"/>
      <c r="C75" s="108"/>
      <c r="D75" s="108"/>
      <c r="E75" s="108"/>
      <c r="F75" s="108"/>
      <c r="G75" s="108"/>
      <c r="H75" s="108"/>
      <c r="I75" s="108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>
      <c r="B76" s="105" t="s">
        <v>59</v>
      </c>
      <c r="C76" s="106">
        <f>C$65</f>
        <v>43951</v>
      </c>
      <c r="D76" s="106">
        <f t="shared" ref="D76:I76" si="13">D$65</f>
        <v>43982</v>
      </c>
      <c r="E76" s="106">
        <f t="shared" si="13"/>
        <v>44012</v>
      </c>
      <c r="F76" s="106">
        <f t="shared" si="13"/>
        <v>44043</v>
      </c>
      <c r="G76" s="106">
        <f t="shared" si="13"/>
        <v>44074</v>
      </c>
      <c r="H76" s="106">
        <f t="shared" si="13"/>
        <v>44104</v>
      </c>
      <c r="I76" s="107">
        <f t="shared" si="13"/>
        <v>44135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>
      <c r="B77" s="5" t="s">
        <v>60</v>
      </c>
      <c r="C77" s="108"/>
      <c r="D77" s="108">
        <f>C79</f>
        <v>12473</v>
      </c>
      <c r="E77" s="108">
        <f t="shared" ref="E77:I77" si="14">D79</f>
        <v>7379.9184999999998</v>
      </c>
      <c r="F77" s="108">
        <f t="shared" si="14"/>
        <v>3569.2000026093747</v>
      </c>
      <c r="G77" s="108">
        <f t="shared" si="14"/>
        <v>10389.060177616959</v>
      </c>
      <c r="H77" s="108">
        <f t="shared" si="14"/>
        <v>6564.2196531442587</v>
      </c>
      <c r="I77" s="108">
        <f t="shared" si="14"/>
        <v>1122.377600217852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>
      <c r="B78" s="5" t="s">
        <v>61</v>
      </c>
      <c r="C78" s="110"/>
      <c r="D78" s="110">
        <f t="shared" ref="D78:I78" si="15">-MIN(D77,D94)</f>
        <v>-5093.0815000000002</v>
      </c>
      <c r="E78" s="110">
        <f t="shared" si="15"/>
        <v>-3810.7184973906251</v>
      </c>
      <c r="F78" s="110">
        <f t="shared" si="15"/>
        <v>6819.8601750075841</v>
      </c>
      <c r="G78" s="110">
        <f t="shared" si="15"/>
        <v>-3824.8405244727001</v>
      </c>
      <c r="H78" s="110">
        <f t="shared" si="15"/>
        <v>-5441.8420529264067</v>
      </c>
      <c r="I78" s="110">
        <f t="shared" si="15"/>
        <v>-1122.377600217852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>
      <c r="B79" s="57" t="s">
        <v>34</v>
      </c>
      <c r="C79" s="111">
        <f>R32</f>
        <v>12473</v>
      </c>
      <c r="D79" s="111">
        <f>SUM(D77:D78)</f>
        <v>7379.9184999999998</v>
      </c>
      <c r="E79" s="111">
        <f t="shared" ref="E79:I79" si="16">SUM(E77:E78)</f>
        <v>3569.2000026093747</v>
      </c>
      <c r="F79" s="111">
        <f t="shared" si="16"/>
        <v>10389.060177616959</v>
      </c>
      <c r="G79" s="111">
        <f t="shared" si="16"/>
        <v>6564.2196531442587</v>
      </c>
      <c r="H79" s="111">
        <f t="shared" si="16"/>
        <v>1122.377600217852</v>
      </c>
      <c r="I79" s="111">
        <f t="shared" si="16"/>
        <v>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5.0999999999999996" customHeight="1">
      <c r="C80" s="109"/>
      <c r="D80" s="109"/>
      <c r="E80" s="109"/>
      <c r="F80" s="109"/>
      <c r="G80" s="109"/>
      <c r="H80" s="109"/>
      <c r="I80" s="109"/>
    </row>
    <row r="81" spans="2:24">
      <c r="B81" s="5" t="s">
        <v>13</v>
      </c>
      <c r="C81" s="109"/>
      <c r="D81" s="62">
        <f t="shared" ref="D81:I81" si="17">D61</f>
        <v>2.2499999999999999E-2</v>
      </c>
      <c r="E81" s="62">
        <f t="shared" si="17"/>
        <v>2.35E-2</v>
      </c>
      <c r="F81" s="62">
        <f t="shared" si="17"/>
        <v>2.4500000000000001E-2</v>
      </c>
      <c r="G81" s="62">
        <f t="shared" si="17"/>
        <v>2.5499999999999998E-2</v>
      </c>
      <c r="H81" s="62">
        <f t="shared" si="17"/>
        <v>2.6499999999999999E-2</v>
      </c>
      <c r="I81" s="62">
        <f t="shared" si="17"/>
        <v>2.7E-2</v>
      </c>
    </row>
    <row r="82" spans="2:24">
      <c r="B82" s="5" t="s">
        <v>41</v>
      </c>
      <c r="C82" s="109"/>
      <c r="D82" s="112">
        <f t="shared" ref="D82:I82" si="18">VLOOKUP(C67,$F$11:$H$14,COLUMNS($F$11:$H$14),TRUE)/10000</f>
        <v>0.03</v>
      </c>
      <c r="E82" s="112">
        <f t="shared" si="18"/>
        <v>0.03</v>
      </c>
      <c r="F82" s="112">
        <f t="shared" si="18"/>
        <v>0.03</v>
      </c>
      <c r="G82" s="112">
        <f t="shared" si="18"/>
        <v>0.03</v>
      </c>
      <c r="H82" s="112">
        <f t="shared" si="18"/>
        <v>0.03</v>
      </c>
      <c r="I82" s="112">
        <f t="shared" si="18"/>
        <v>0.03</v>
      </c>
    </row>
    <row r="83" spans="2:24">
      <c r="B83" s="57" t="s">
        <v>62</v>
      </c>
      <c r="C83" s="109"/>
      <c r="D83" s="113">
        <f>D81+D82</f>
        <v>5.2499999999999998E-2</v>
      </c>
      <c r="E83" s="113">
        <f t="shared" ref="E83:I83" si="19">E81+E82</f>
        <v>5.3499999999999999E-2</v>
      </c>
      <c r="F83" s="113">
        <f t="shared" si="19"/>
        <v>5.45E-2</v>
      </c>
      <c r="G83" s="113">
        <f t="shared" si="19"/>
        <v>5.5499999999999994E-2</v>
      </c>
      <c r="H83" s="113">
        <f t="shared" si="19"/>
        <v>5.6499999999999995E-2</v>
      </c>
      <c r="I83" s="113">
        <f t="shared" si="19"/>
        <v>5.6999999999999995E-2</v>
      </c>
    </row>
    <row r="84" spans="2:24" ht="5.0999999999999996" customHeight="1">
      <c r="C84" s="109"/>
      <c r="D84" s="109"/>
      <c r="E84" s="109"/>
      <c r="F84" s="109"/>
      <c r="G84" s="109"/>
      <c r="H84" s="109"/>
      <c r="I84" s="109"/>
    </row>
    <row r="85" spans="2:24">
      <c r="B85" s="5" t="s">
        <v>63</v>
      </c>
      <c r="C85" s="109"/>
      <c r="D85" s="108">
        <f>C79*D83/12</f>
        <v>54.569375000000001</v>
      </c>
      <c r="E85" s="108">
        <f t="shared" ref="E85:I85" si="20">D79*E83/12</f>
        <v>32.90213664583333</v>
      </c>
      <c r="F85" s="108">
        <f t="shared" si="20"/>
        <v>16.210116678517576</v>
      </c>
      <c r="G85" s="108">
        <f t="shared" si="20"/>
        <v>48.04940332147843</v>
      </c>
      <c r="H85" s="108">
        <f t="shared" si="20"/>
        <v>30.906534200220879</v>
      </c>
      <c r="I85" s="108">
        <f t="shared" si="20"/>
        <v>5.3312936010347967</v>
      </c>
    </row>
    <row r="86" spans="2:24">
      <c r="B86" s="5" t="s">
        <v>64</v>
      </c>
      <c r="C86" s="109"/>
      <c r="D86" s="110">
        <f>($D$7-C79)*$D$10/120000</f>
        <v>25.018000000000001</v>
      </c>
      <c r="E86" s="110">
        <f t="shared" ref="E86:I86" si="21">($D$7-D79)*$D$10/120000</f>
        <v>28.413387666666665</v>
      </c>
      <c r="F86" s="110">
        <f t="shared" si="21"/>
        <v>30.953866664927084</v>
      </c>
      <c r="G86" s="110">
        <f t="shared" si="21"/>
        <v>26.407293214922031</v>
      </c>
      <c r="H86" s="110">
        <f t="shared" si="21"/>
        <v>28.957186897903828</v>
      </c>
      <c r="I86" s="110">
        <f t="shared" si="21"/>
        <v>32.585081599854767</v>
      </c>
    </row>
    <row r="87" spans="2:24">
      <c r="B87" s="57" t="s">
        <v>65</v>
      </c>
      <c r="C87" s="109"/>
      <c r="D87" s="111">
        <f t="shared" ref="D87:I87" si="22">SUM(D85:D86)</f>
        <v>79.587375000000009</v>
      </c>
      <c r="E87" s="111">
        <f t="shared" si="22"/>
        <v>61.315524312499996</v>
      </c>
      <c r="F87" s="111">
        <f t="shared" si="22"/>
        <v>47.163983343444656</v>
      </c>
      <c r="G87" s="111">
        <f t="shared" si="22"/>
        <v>74.456696536400457</v>
      </c>
      <c r="H87" s="111">
        <f t="shared" si="22"/>
        <v>59.863721098124707</v>
      </c>
      <c r="I87" s="111">
        <f t="shared" si="22"/>
        <v>37.916375200889561</v>
      </c>
    </row>
    <row r="88" spans="2:24">
      <c r="C88" s="109"/>
      <c r="D88" s="109"/>
      <c r="E88" s="109"/>
      <c r="F88" s="109"/>
      <c r="G88" s="109"/>
      <c r="H88" s="109"/>
      <c r="I88" s="109"/>
    </row>
    <row r="89" spans="2:24">
      <c r="B89" s="114" t="s">
        <v>66</v>
      </c>
      <c r="C89" s="109"/>
      <c r="D89" s="109"/>
      <c r="E89" s="109"/>
      <c r="F89" s="109"/>
      <c r="G89" s="109"/>
      <c r="H89" s="109"/>
      <c r="I89" s="109"/>
    </row>
    <row r="90" spans="2:24">
      <c r="B90" s="5" t="s">
        <v>54</v>
      </c>
      <c r="C90" s="109"/>
      <c r="D90" s="108">
        <f t="shared" ref="D90:I90" si="23">D70</f>
        <v>10393.67</v>
      </c>
      <c r="E90" s="108">
        <f t="shared" si="23"/>
        <v>8667.5730000000003</v>
      </c>
      <c r="F90" s="108">
        <f t="shared" si="23"/>
        <v>6355.84</v>
      </c>
      <c r="G90" s="108">
        <f t="shared" si="23"/>
        <v>8884.2049999999999</v>
      </c>
      <c r="H90" s="108">
        <f t="shared" si="23"/>
        <v>11026.2</v>
      </c>
      <c r="I90" s="108">
        <f t="shared" si="23"/>
        <v>5745.4089999999997</v>
      </c>
    </row>
    <row r="91" spans="2:24">
      <c r="B91" s="5" t="s">
        <v>67</v>
      </c>
      <c r="C91" s="109"/>
      <c r="D91" s="108">
        <f t="shared" ref="D91:I91" si="24">D145</f>
        <v>-2812.5</v>
      </c>
      <c r="E91" s="108">
        <f t="shared" si="24"/>
        <v>-2812.5</v>
      </c>
      <c r="F91" s="108">
        <f t="shared" si="24"/>
        <v>-2812.5</v>
      </c>
      <c r="G91" s="108">
        <f t="shared" si="24"/>
        <v>-2812.5</v>
      </c>
      <c r="H91" s="108">
        <f t="shared" si="24"/>
        <v>-2812.5</v>
      </c>
      <c r="I91" s="108">
        <f t="shared" si="24"/>
        <v>-2812.5</v>
      </c>
    </row>
    <row r="92" spans="2:24">
      <c r="B92" s="5" t="s">
        <v>68</v>
      </c>
      <c r="C92" s="109"/>
      <c r="D92" s="108">
        <f t="shared" ref="D92:I92" si="25">-D159</f>
        <v>-842.47800000000007</v>
      </c>
      <c r="E92" s="108">
        <f t="shared" si="25"/>
        <v>-826.19833681249997</v>
      </c>
      <c r="F92" s="108">
        <f t="shared" si="25"/>
        <v>-9719.8202333434456</v>
      </c>
      <c r="G92" s="108">
        <f t="shared" si="25"/>
        <v>-841.91763403640039</v>
      </c>
      <c r="H92" s="108">
        <f t="shared" si="25"/>
        <v>-827.91059609812476</v>
      </c>
      <c r="I92" s="108">
        <f t="shared" si="25"/>
        <v>-799.40075020088955</v>
      </c>
    </row>
    <row r="93" spans="2:24">
      <c r="B93" s="5" t="s">
        <v>69</v>
      </c>
      <c r="C93" s="109"/>
      <c r="D93" s="110">
        <f t="shared" ref="D93:I93" si="26">-D74</f>
        <v>-1645.6105</v>
      </c>
      <c r="E93" s="110">
        <f t="shared" si="26"/>
        <v>-1218.156165796875</v>
      </c>
      <c r="F93" s="110">
        <f t="shared" si="26"/>
        <v>-643.37994166413887</v>
      </c>
      <c r="G93" s="110">
        <f t="shared" si="26"/>
        <v>-1404.9468414908999</v>
      </c>
      <c r="H93" s="110">
        <f t="shared" si="26"/>
        <v>-1943.9473509754689</v>
      </c>
      <c r="I93" s="110">
        <f t="shared" si="26"/>
        <v>-630.87706244977755</v>
      </c>
    </row>
    <row r="94" spans="2:24">
      <c r="B94" s="57" t="s">
        <v>70</v>
      </c>
      <c r="C94" s="109"/>
      <c r="D94" s="111">
        <f>SUM(D90:D93)</f>
        <v>5093.0815000000002</v>
      </c>
      <c r="E94" s="111">
        <f t="shared" ref="E94:I94" si="27">SUM(E90:E93)</f>
        <v>3810.7184973906251</v>
      </c>
      <c r="F94" s="111">
        <f t="shared" si="27"/>
        <v>-6819.8601750075841</v>
      </c>
      <c r="G94" s="111">
        <f t="shared" si="27"/>
        <v>3824.8405244727001</v>
      </c>
      <c r="H94" s="111">
        <f t="shared" si="27"/>
        <v>5441.8420529264067</v>
      </c>
      <c r="I94" s="111">
        <f t="shared" si="27"/>
        <v>1502.6311873493328</v>
      </c>
    </row>
    <row r="96" spans="2:24">
      <c r="B96" s="105" t="s">
        <v>71</v>
      </c>
      <c r="C96" s="106">
        <f>C$65</f>
        <v>43951</v>
      </c>
      <c r="D96" s="106">
        <f t="shared" ref="D96:I96" si="28">D$65</f>
        <v>43982</v>
      </c>
      <c r="E96" s="106">
        <f t="shared" si="28"/>
        <v>44012</v>
      </c>
      <c r="F96" s="106">
        <f t="shared" si="28"/>
        <v>44043</v>
      </c>
      <c r="G96" s="106">
        <f t="shared" si="28"/>
        <v>44074</v>
      </c>
      <c r="H96" s="106">
        <f t="shared" si="28"/>
        <v>44104</v>
      </c>
      <c r="I96" s="107">
        <f t="shared" si="28"/>
        <v>44135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2:24">
      <c r="B97" s="5" t="s">
        <v>60</v>
      </c>
      <c r="C97" s="108"/>
      <c r="D97" s="108">
        <f>C99</f>
        <v>174375</v>
      </c>
      <c r="E97" s="108">
        <f t="shared" ref="E97:I97" si="29">D99</f>
        <v>171562.5</v>
      </c>
      <c r="F97" s="108">
        <f t="shared" si="29"/>
        <v>168750</v>
      </c>
      <c r="G97" s="108">
        <f t="shared" si="29"/>
        <v>165937.5</v>
      </c>
      <c r="H97" s="108">
        <f t="shared" si="29"/>
        <v>163125</v>
      </c>
      <c r="I97" s="108">
        <f t="shared" si="29"/>
        <v>160312.5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2:24">
      <c r="B98" s="5" t="s">
        <v>61</v>
      </c>
      <c r="C98" s="110"/>
      <c r="D98" s="110">
        <f>-$D$18*$D$20</f>
        <v>-2812.5</v>
      </c>
      <c r="E98" s="110">
        <f t="shared" ref="E98:I98" si="30">-$D$18*$D$20</f>
        <v>-2812.5</v>
      </c>
      <c r="F98" s="110">
        <f t="shared" si="30"/>
        <v>-2812.5</v>
      </c>
      <c r="G98" s="110">
        <f t="shared" si="30"/>
        <v>-2812.5</v>
      </c>
      <c r="H98" s="110">
        <f t="shared" si="30"/>
        <v>-2812.5</v>
      </c>
      <c r="I98" s="110">
        <f t="shared" si="30"/>
        <v>-2812.5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2:24">
      <c r="B99" s="57" t="s">
        <v>34</v>
      </c>
      <c r="C99" s="111">
        <f>R38</f>
        <v>174375</v>
      </c>
      <c r="D99" s="111">
        <f>SUM(D97:D98)</f>
        <v>171562.5</v>
      </c>
      <c r="E99" s="111">
        <f t="shared" ref="E99:I99" si="31">SUM(E97:E98)</f>
        <v>168750</v>
      </c>
      <c r="F99" s="111">
        <f t="shared" si="31"/>
        <v>165937.5</v>
      </c>
      <c r="G99" s="111">
        <f t="shared" si="31"/>
        <v>163125</v>
      </c>
      <c r="H99" s="111">
        <f t="shared" si="31"/>
        <v>160312.5</v>
      </c>
      <c r="I99" s="111">
        <f t="shared" si="31"/>
        <v>157500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2:24" ht="5.0999999999999996" customHeight="1">
      <c r="C100" s="109"/>
      <c r="D100" s="109"/>
      <c r="E100" s="109"/>
      <c r="F100" s="109"/>
      <c r="G100" s="109"/>
      <c r="H100" s="109"/>
      <c r="I100" s="109"/>
    </row>
    <row r="101" spans="2:24">
      <c r="B101" s="5" t="s">
        <v>13</v>
      </c>
      <c r="C101" s="109"/>
      <c r="D101" s="62">
        <f t="shared" ref="D101:I102" si="32">D81</f>
        <v>2.2499999999999999E-2</v>
      </c>
      <c r="E101" s="62">
        <f t="shared" si="32"/>
        <v>2.35E-2</v>
      </c>
      <c r="F101" s="62">
        <f t="shared" si="32"/>
        <v>2.4500000000000001E-2</v>
      </c>
      <c r="G101" s="62">
        <f t="shared" si="32"/>
        <v>2.5499999999999998E-2</v>
      </c>
      <c r="H101" s="62">
        <f t="shared" si="32"/>
        <v>2.6499999999999999E-2</v>
      </c>
      <c r="I101" s="62">
        <f t="shared" si="32"/>
        <v>2.7E-2</v>
      </c>
    </row>
    <row r="102" spans="2:24">
      <c r="B102" s="5" t="s">
        <v>41</v>
      </c>
      <c r="C102" s="109"/>
      <c r="D102" s="112">
        <f t="shared" si="32"/>
        <v>0.03</v>
      </c>
      <c r="E102" s="112">
        <f t="shared" si="32"/>
        <v>0.03</v>
      </c>
      <c r="F102" s="112">
        <f t="shared" si="32"/>
        <v>0.03</v>
      </c>
      <c r="G102" s="112">
        <f t="shared" si="32"/>
        <v>0.03</v>
      </c>
      <c r="H102" s="112">
        <f t="shared" si="32"/>
        <v>0.03</v>
      </c>
      <c r="I102" s="112">
        <f t="shared" si="32"/>
        <v>0.03</v>
      </c>
    </row>
    <row r="103" spans="2:24">
      <c r="B103" s="57" t="s">
        <v>62</v>
      </c>
      <c r="C103" s="109"/>
      <c r="D103" s="113">
        <f>D101+D102</f>
        <v>5.2499999999999998E-2</v>
      </c>
      <c r="E103" s="113">
        <f t="shared" ref="E103:I103" si="33">E101+E102</f>
        <v>5.3499999999999999E-2</v>
      </c>
      <c r="F103" s="113">
        <f t="shared" si="33"/>
        <v>5.45E-2</v>
      </c>
      <c r="G103" s="113">
        <f t="shared" si="33"/>
        <v>5.5499999999999994E-2</v>
      </c>
      <c r="H103" s="113">
        <f t="shared" si="33"/>
        <v>5.6499999999999995E-2</v>
      </c>
      <c r="I103" s="113">
        <f t="shared" si="33"/>
        <v>5.6999999999999995E-2</v>
      </c>
    </row>
    <row r="104" spans="2:24" ht="5.0999999999999996" customHeight="1">
      <c r="C104" s="109"/>
      <c r="D104" s="109"/>
      <c r="E104" s="109"/>
      <c r="F104" s="109"/>
      <c r="G104" s="109"/>
      <c r="H104" s="109"/>
      <c r="I104" s="109"/>
    </row>
    <row r="105" spans="2:24">
      <c r="B105" s="57" t="s">
        <v>0</v>
      </c>
      <c r="C105" s="109"/>
      <c r="D105" s="111">
        <f>C99*D103/12</f>
        <v>762.890625</v>
      </c>
      <c r="E105" s="111">
        <f t="shared" ref="E105:I105" si="34">D99*E103/12</f>
        <v>764.8828125</v>
      </c>
      <c r="F105" s="111">
        <f t="shared" si="34"/>
        <v>766.40625</v>
      </c>
      <c r="G105" s="111">
        <f t="shared" si="34"/>
        <v>767.46093749999989</v>
      </c>
      <c r="H105" s="111">
        <f t="shared" si="34"/>
        <v>768.046875</v>
      </c>
      <c r="I105" s="111">
        <f t="shared" si="34"/>
        <v>761.484375</v>
      </c>
    </row>
    <row r="107" spans="2:24">
      <c r="B107" s="105" t="s">
        <v>72</v>
      </c>
      <c r="C107" s="106">
        <f>C$65</f>
        <v>43951</v>
      </c>
      <c r="D107" s="106">
        <f t="shared" ref="D107:I107" si="35">D$65</f>
        <v>43982</v>
      </c>
      <c r="E107" s="106">
        <f t="shared" si="35"/>
        <v>44012</v>
      </c>
      <c r="F107" s="106">
        <f t="shared" si="35"/>
        <v>44043</v>
      </c>
      <c r="G107" s="106">
        <f t="shared" si="35"/>
        <v>44074</v>
      </c>
      <c r="H107" s="106">
        <f t="shared" si="35"/>
        <v>44104</v>
      </c>
      <c r="I107" s="107">
        <f t="shared" si="35"/>
        <v>44135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2:24">
      <c r="B108" s="5" t="s">
        <v>60</v>
      </c>
      <c r="C108" s="108"/>
      <c r="D108" s="108">
        <f>C110</f>
        <v>500000</v>
      </c>
      <c r="E108" s="108">
        <f t="shared" ref="E108:I108" si="36">D110</f>
        <v>500000</v>
      </c>
      <c r="F108" s="108">
        <f t="shared" si="36"/>
        <v>500000</v>
      </c>
      <c r="G108" s="108">
        <f t="shared" si="36"/>
        <v>0</v>
      </c>
      <c r="H108" s="108">
        <f t="shared" si="36"/>
        <v>0</v>
      </c>
      <c r="I108" s="108">
        <f t="shared" si="36"/>
        <v>0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2:24">
      <c r="B109" s="5" t="s">
        <v>61</v>
      </c>
      <c r="C109" s="110"/>
      <c r="D109" s="110">
        <f>IF(D107=$L$17,-D108,0)</f>
        <v>0</v>
      </c>
      <c r="E109" s="110">
        <f t="shared" ref="E109:I109" si="37">IF(E107=$L$17,-E108,0)</f>
        <v>0</v>
      </c>
      <c r="F109" s="110">
        <f t="shared" si="37"/>
        <v>-500000</v>
      </c>
      <c r="G109" s="110">
        <f t="shared" si="37"/>
        <v>0</v>
      </c>
      <c r="H109" s="110">
        <f t="shared" si="37"/>
        <v>0</v>
      </c>
      <c r="I109" s="110">
        <f t="shared" si="37"/>
        <v>0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2:24">
      <c r="B110" s="57" t="s">
        <v>34</v>
      </c>
      <c r="C110" s="111">
        <f>R42</f>
        <v>500000</v>
      </c>
      <c r="D110" s="111">
        <f>SUM(D108:D109)</f>
        <v>500000</v>
      </c>
      <c r="E110" s="111">
        <f t="shared" ref="E110:I110" si="38">SUM(E108:E109)</f>
        <v>500000</v>
      </c>
      <c r="F110" s="111">
        <f t="shared" si="38"/>
        <v>0</v>
      </c>
      <c r="G110" s="111">
        <f t="shared" si="38"/>
        <v>0</v>
      </c>
      <c r="H110" s="111">
        <f t="shared" si="38"/>
        <v>0</v>
      </c>
      <c r="I110" s="111">
        <f t="shared" si="38"/>
        <v>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2:24" ht="5.0999999999999996" customHeight="1">
      <c r="B111" s="57"/>
      <c r="C111" s="111"/>
      <c r="D111" s="111"/>
      <c r="E111" s="111"/>
      <c r="F111" s="111"/>
      <c r="G111" s="111"/>
      <c r="H111" s="111"/>
      <c r="I111" s="11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2:24">
      <c r="B112" s="5" t="s">
        <v>73</v>
      </c>
      <c r="C112" s="108"/>
      <c r="D112" s="115">
        <f>IF(D107=$L$17,VLOOKUP(D107,$F$24:$H$26,COLUMNS($F$24:$H$26),TRUE),0)</f>
        <v>0</v>
      </c>
      <c r="E112" s="115">
        <f t="shared" ref="E112:I112" si="39">IF(E107=$L$17,VLOOKUP(E107,$F$24:$H$26,COLUMNS($F$24:$H$26),TRUE),0)</f>
        <v>0</v>
      </c>
      <c r="F112" s="115">
        <f t="shared" si="39"/>
        <v>1.02</v>
      </c>
      <c r="G112" s="115">
        <f t="shared" si="39"/>
        <v>0</v>
      </c>
      <c r="H112" s="115">
        <f t="shared" si="39"/>
        <v>0</v>
      </c>
      <c r="I112" s="115">
        <f t="shared" si="39"/>
        <v>0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2:24">
      <c r="B113" s="5" t="s">
        <v>74</v>
      </c>
      <c r="C113" s="108"/>
      <c r="D113" s="108">
        <f>-D109*D112</f>
        <v>0</v>
      </c>
      <c r="E113" s="108">
        <f t="shared" ref="E113:I113" si="40">-E109*E112</f>
        <v>0</v>
      </c>
      <c r="F113" s="108">
        <f t="shared" si="40"/>
        <v>510000</v>
      </c>
      <c r="G113" s="108">
        <f t="shared" si="40"/>
        <v>0</v>
      </c>
      <c r="H113" s="108">
        <f t="shared" si="40"/>
        <v>0</v>
      </c>
      <c r="I113" s="108">
        <f t="shared" si="40"/>
        <v>0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2:24" ht="5.0999999999999996" customHeight="1">
      <c r="C114" s="109"/>
      <c r="D114" s="109"/>
      <c r="E114" s="109"/>
      <c r="F114" s="109"/>
      <c r="G114" s="109"/>
      <c r="H114" s="109"/>
      <c r="I114" s="109"/>
    </row>
    <row r="115" spans="2:24">
      <c r="B115" s="5" t="s">
        <v>62</v>
      </c>
      <c r="C115" s="109"/>
      <c r="D115" s="116">
        <f>$H$19</f>
        <v>7.1249999999999994E-2</v>
      </c>
      <c r="E115" s="116">
        <f t="shared" ref="E115:I115" si="41">$H$19</f>
        <v>7.1249999999999994E-2</v>
      </c>
      <c r="F115" s="116">
        <f t="shared" si="41"/>
        <v>7.1249999999999994E-2</v>
      </c>
      <c r="G115" s="116">
        <f t="shared" si="41"/>
        <v>7.1249999999999994E-2</v>
      </c>
      <c r="H115" s="116">
        <f t="shared" si="41"/>
        <v>7.1249999999999994E-2</v>
      </c>
      <c r="I115" s="116">
        <f t="shared" si="41"/>
        <v>7.1249999999999994E-2</v>
      </c>
    </row>
    <row r="116" spans="2:24" ht="5.0999999999999996" customHeight="1">
      <c r="C116" s="109"/>
      <c r="D116" s="109"/>
      <c r="E116" s="109"/>
      <c r="F116" s="109"/>
      <c r="G116" s="109"/>
      <c r="H116" s="109"/>
      <c r="I116" s="109"/>
    </row>
    <row r="117" spans="2:24">
      <c r="B117" s="57" t="s">
        <v>0</v>
      </c>
      <c r="C117" s="109"/>
      <c r="D117" s="117">
        <f>C110*D115/12</f>
        <v>2968.75</v>
      </c>
      <c r="E117" s="117">
        <f t="shared" ref="E117:I117" si="42">D110*E115/12</f>
        <v>2968.75</v>
      </c>
      <c r="F117" s="117">
        <f t="shared" si="42"/>
        <v>2968.75</v>
      </c>
      <c r="G117" s="117">
        <f t="shared" si="42"/>
        <v>0</v>
      </c>
      <c r="H117" s="117">
        <f t="shared" si="42"/>
        <v>0</v>
      </c>
      <c r="I117" s="117">
        <f t="shared" si="42"/>
        <v>0</v>
      </c>
    </row>
    <row r="118" spans="2:24" ht="5.0999999999999996" customHeight="1">
      <c r="B118" s="57"/>
      <c r="C118" s="109"/>
      <c r="D118" s="111"/>
      <c r="E118" s="111"/>
      <c r="F118" s="111"/>
      <c r="G118" s="111"/>
      <c r="H118" s="111"/>
      <c r="I118" s="111"/>
    </row>
    <row r="119" spans="2:24">
      <c r="B119" s="118" t="s">
        <v>75</v>
      </c>
      <c r="C119" s="119"/>
      <c r="D119" s="120">
        <f>IF(D112&gt;0,1,0)</f>
        <v>0</v>
      </c>
      <c r="E119" s="120">
        <f t="shared" ref="E119:I119" si="43">IF(E112&gt;0,1,0)</f>
        <v>0</v>
      </c>
      <c r="F119" s="120">
        <f t="shared" si="43"/>
        <v>1</v>
      </c>
      <c r="G119" s="120">
        <f t="shared" si="43"/>
        <v>0</v>
      </c>
      <c r="H119" s="120">
        <f t="shared" si="43"/>
        <v>0</v>
      </c>
      <c r="I119" s="120">
        <f t="shared" si="43"/>
        <v>0</v>
      </c>
    </row>
    <row r="120" spans="2:24">
      <c r="B120" s="121" t="s">
        <v>76</v>
      </c>
      <c r="C120" s="119"/>
      <c r="D120" s="117">
        <f>$D$117*COUNT($D$119:D119)*D119</f>
        <v>0</v>
      </c>
      <c r="E120" s="117">
        <f>$D$117*COUNT($D$119:E119)*E119</f>
        <v>0</v>
      </c>
      <c r="F120" s="117">
        <f>$D$117*COUNT($D$119:F119)*F119</f>
        <v>8906.25</v>
      </c>
      <c r="G120" s="117">
        <f>$D$117*COUNT($D$119:G119)*G119</f>
        <v>0</v>
      </c>
      <c r="H120" s="117">
        <f>$D$117*COUNT($D$119:H119)*H119</f>
        <v>0</v>
      </c>
      <c r="I120" s="117">
        <f>$D$117*COUNT($D$119:I119)*I119</f>
        <v>0</v>
      </c>
    </row>
    <row r="121" spans="2:24">
      <c r="B121" s="57"/>
      <c r="C121" s="109"/>
      <c r="D121" s="111"/>
      <c r="E121" s="111"/>
      <c r="F121" s="111"/>
      <c r="G121" s="111"/>
      <c r="H121" s="111"/>
      <c r="I121" s="111"/>
    </row>
    <row r="122" spans="2:24">
      <c r="B122" s="105" t="s">
        <v>77</v>
      </c>
      <c r="C122" s="106">
        <f>C$65</f>
        <v>43951</v>
      </c>
      <c r="D122" s="106">
        <f t="shared" ref="D122:I122" si="44">D$65</f>
        <v>43982</v>
      </c>
      <c r="E122" s="106">
        <f t="shared" si="44"/>
        <v>44012</v>
      </c>
      <c r="F122" s="106">
        <f t="shared" si="44"/>
        <v>44043</v>
      </c>
      <c r="G122" s="106">
        <f t="shared" si="44"/>
        <v>44074</v>
      </c>
      <c r="H122" s="106">
        <f t="shared" si="44"/>
        <v>44104</v>
      </c>
      <c r="I122" s="107">
        <f t="shared" si="44"/>
        <v>44135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2:24">
      <c r="B123" s="5" t="s">
        <v>78</v>
      </c>
      <c r="D123" s="122">
        <f>IF(D127&gt;0,1,0)</f>
        <v>0</v>
      </c>
      <c r="E123" s="122">
        <f t="shared" ref="E123:I123" si="45">IF(E127&gt;0,1,0)</f>
        <v>0</v>
      </c>
      <c r="F123" s="122">
        <f t="shared" si="45"/>
        <v>1</v>
      </c>
      <c r="G123" s="122">
        <f t="shared" si="45"/>
        <v>1</v>
      </c>
      <c r="H123" s="122">
        <f t="shared" si="45"/>
        <v>1</v>
      </c>
      <c r="I123" s="122">
        <f t="shared" si="45"/>
        <v>1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2:24"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2:24">
      <c r="B125" s="5" t="s">
        <v>60</v>
      </c>
      <c r="C125" s="108"/>
      <c r="D125" s="108">
        <f>C127</f>
        <v>0</v>
      </c>
      <c r="E125" s="108">
        <f t="shared" ref="E125:I125" si="46">D127</f>
        <v>0</v>
      </c>
      <c r="F125" s="108">
        <f t="shared" si="46"/>
        <v>0</v>
      </c>
      <c r="G125" s="108">
        <f t="shared" si="46"/>
        <v>510000</v>
      </c>
      <c r="H125" s="108">
        <f t="shared" si="46"/>
        <v>510000</v>
      </c>
      <c r="I125" s="108">
        <f t="shared" si="46"/>
        <v>510000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2:24">
      <c r="B126" s="5" t="s">
        <v>61</v>
      </c>
      <c r="C126" s="110"/>
      <c r="D126" s="110">
        <f t="shared" ref="D126:I126" si="47">D113</f>
        <v>0</v>
      </c>
      <c r="E126" s="110">
        <f t="shared" si="47"/>
        <v>0</v>
      </c>
      <c r="F126" s="110">
        <f t="shared" si="47"/>
        <v>510000</v>
      </c>
      <c r="G126" s="110">
        <f t="shared" si="47"/>
        <v>0</v>
      </c>
      <c r="H126" s="110">
        <f t="shared" si="47"/>
        <v>0</v>
      </c>
      <c r="I126" s="110">
        <f t="shared" si="47"/>
        <v>0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2:24">
      <c r="B127" s="57" t="s">
        <v>34</v>
      </c>
      <c r="C127" s="123">
        <v>0</v>
      </c>
      <c r="D127" s="111">
        <f>SUM(D125:D126)</f>
        <v>0</v>
      </c>
      <c r="E127" s="111">
        <f t="shared" ref="E127:I127" si="48">SUM(E125:E126)</f>
        <v>0</v>
      </c>
      <c r="F127" s="111">
        <f t="shared" si="48"/>
        <v>510000</v>
      </c>
      <c r="G127" s="111">
        <f t="shared" si="48"/>
        <v>510000</v>
      </c>
      <c r="H127" s="111">
        <f t="shared" si="48"/>
        <v>510000</v>
      </c>
      <c r="I127" s="111">
        <f t="shared" si="48"/>
        <v>510000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2:24" ht="5.0999999999999996" customHeight="1">
      <c r="B128" s="57"/>
      <c r="C128" s="111"/>
      <c r="D128" s="111"/>
      <c r="E128" s="111"/>
      <c r="F128" s="111"/>
      <c r="G128" s="111"/>
      <c r="H128" s="111"/>
      <c r="I128" s="111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2:9">
      <c r="B129" s="5" t="s">
        <v>62</v>
      </c>
      <c r="C129" s="109"/>
      <c r="D129" s="116">
        <f t="shared" ref="D129:I129" si="49">IF(D112=0,C129,VLOOKUP(D65,$J$19:$L$24,COLUMNS($J$19:$L$24),TRUE))</f>
        <v>0</v>
      </c>
      <c r="E129" s="116">
        <f t="shared" si="49"/>
        <v>0</v>
      </c>
      <c r="F129" s="116">
        <f t="shared" si="49"/>
        <v>5.7000000000000002E-2</v>
      </c>
      <c r="G129" s="116">
        <f t="shared" si="49"/>
        <v>5.7000000000000002E-2</v>
      </c>
      <c r="H129" s="116">
        <f t="shared" si="49"/>
        <v>5.7000000000000002E-2</v>
      </c>
      <c r="I129" s="116">
        <f t="shared" si="49"/>
        <v>5.7000000000000002E-2</v>
      </c>
    </row>
    <row r="130" spans="2:9" ht="5.0999999999999996" customHeight="1">
      <c r="C130" s="109"/>
      <c r="D130" s="109"/>
      <c r="E130" s="109"/>
      <c r="F130" s="109"/>
      <c r="G130" s="109"/>
      <c r="H130" s="109"/>
      <c r="I130" s="109"/>
    </row>
    <row r="131" spans="2:9">
      <c r="B131" s="57" t="s">
        <v>0</v>
      </c>
      <c r="C131" s="109"/>
      <c r="D131" s="117">
        <f t="shared" ref="D131:I131" si="50">C127*D129/12</f>
        <v>0</v>
      </c>
      <c r="E131" s="117">
        <f t="shared" si="50"/>
        <v>0</v>
      </c>
      <c r="F131" s="117">
        <f t="shared" si="50"/>
        <v>0</v>
      </c>
      <c r="G131" s="117">
        <f t="shared" si="50"/>
        <v>2422.5</v>
      </c>
      <c r="H131" s="117">
        <f t="shared" si="50"/>
        <v>2422.5</v>
      </c>
      <c r="I131" s="117">
        <f t="shared" si="50"/>
        <v>2422.5</v>
      </c>
    </row>
    <row r="133" spans="2:9">
      <c r="B133" s="105" t="s">
        <v>79</v>
      </c>
      <c r="C133" s="106">
        <f>C$65</f>
        <v>43951</v>
      </c>
      <c r="D133" s="106">
        <f t="shared" ref="D133:I133" si="51">D$65</f>
        <v>43982</v>
      </c>
      <c r="E133" s="106">
        <f t="shared" si="51"/>
        <v>44012</v>
      </c>
      <c r="F133" s="106">
        <f t="shared" si="51"/>
        <v>44043</v>
      </c>
      <c r="G133" s="106">
        <f t="shared" si="51"/>
        <v>44074</v>
      </c>
      <c r="H133" s="106">
        <f t="shared" si="51"/>
        <v>44104</v>
      </c>
      <c r="I133" s="107">
        <f t="shared" si="51"/>
        <v>44135</v>
      </c>
    </row>
    <row r="134" spans="2:9">
      <c r="B134" s="5" t="s">
        <v>59</v>
      </c>
      <c r="C134" s="108">
        <f t="shared" ref="C134:I134" si="52">C79</f>
        <v>12473</v>
      </c>
      <c r="D134" s="108">
        <f t="shared" si="52"/>
        <v>7379.9184999999998</v>
      </c>
      <c r="E134" s="108">
        <f t="shared" si="52"/>
        <v>3569.2000026093747</v>
      </c>
      <c r="F134" s="108">
        <f t="shared" si="52"/>
        <v>10389.060177616959</v>
      </c>
      <c r="G134" s="108">
        <f t="shared" si="52"/>
        <v>6564.2196531442587</v>
      </c>
      <c r="H134" s="108">
        <f t="shared" si="52"/>
        <v>1122.377600217852</v>
      </c>
      <c r="I134" s="108">
        <f t="shared" si="52"/>
        <v>0</v>
      </c>
    </row>
    <row r="135" spans="2:9">
      <c r="B135" s="5" t="s">
        <v>71</v>
      </c>
      <c r="C135" s="108">
        <f t="shared" ref="C135:I135" si="53">C99</f>
        <v>174375</v>
      </c>
      <c r="D135" s="108">
        <f t="shared" si="53"/>
        <v>171562.5</v>
      </c>
      <c r="E135" s="108">
        <f t="shared" si="53"/>
        <v>168750</v>
      </c>
      <c r="F135" s="108">
        <f t="shared" si="53"/>
        <v>165937.5</v>
      </c>
      <c r="G135" s="108">
        <f t="shared" si="53"/>
        <v>163125</v>
      </c>
      <c r="H135" s="108">
        <f t="shared" si="53"/>
        <v>160312.5</v>
      </c>
      <c r="I135" s="108">
        <f t="shared" si="53"/>
        <v>157500</v>
      </c>
    </row>
    <row r="136" spans="2:9">
      <c r="B136" s="5" t="s">
        <v>72</v>
      </c>
      <c r="C136" s="108">
        <f t="shared" ref="C136:I136" si="54">C110</f>
        <v>500000</v>
      </c>
      <c r="D136" s="108">
        <f t="shared" si="54"/>
        <v>500000</v>
      </c>
      <c r="E136" s="108">
        <f t="shared" si="54"/>
        <v>500000</v>
      </c>
      <c r="F136" s="108">
        <f t="shared" si="54"/>
        <v>0</v>
      </c>
      <c r="G136" s="108">
        <f t="shared" si="54"/>
        <v>0</v>
      </c>
      <c r="H136" s="108">
        <f t="shared" si="54"/>
        <v>0</v>
      </c>
      <c r="I136" s="108">
        <f t="shared" si="54"/>
        <v>0</v>
      </c>
    </row>
    <row r="137" spans="2:9">
      <c r="B137" s="5" t="s">
        <v>77</v>
      </c>
      <c r="C137" s="110">
        <f>C127</f>
        <v>0</v>
      </c>
      <c r="D137" s="110">
        <f t="shared" ref="D137:I137" si="55">D127</f>
        <v>0</v>
      </c>
      <c r="E137" s="110">
        <f t="shared" si="55"/>
        <v>0</v>
      </c>
      <c r="F137" s="110">
        <f t="shared" si="55"/>
        <v>510000</v>
      </c>
      <c r="G137" s="110">
        <f t="shared" si="55"/>
        <v>510000</v>
      </c>
      <c r="H137" s="110">
        <f t="shared" si="55"/>
        <v>510000</v>
      </c>
      <c r="I137" s="110">
        <f t="shared" si="55"/>
        <v>510000</v>
      </c>
    </row>
    <row r="138" spans="2:9">
      <c r="B138" s="57" t="s">
        <v>79</v>
      </c>
      <c r="C138" s="111">
        <f>SUM(C134:C137)</f>
        <v>686848</v>
      </c>
      <c r="D138" s="111">
        <f t="shared" ref="D138:I138" si="56">SUM(D134:D137)</f>
        <v>678942.41850000003</v>
      </c>
      <c r="E138" s="111">
        <f t="shared" si="56"/>
        <v>672319.2000026094</v>
      </c>
      <c r="F138" s="111">
        <f t="shared" si="56"/>
        <v>686326.56017761701</v>
      </c>
      <c r="G138" s="111">
        <f t="shared" si="56"/>
        <v>679689.21965314425</v>
      </c>
      <c r="H138" s="111">
        <f t="shared" si="56"/>
        <v>671434.87760021782</v>
      </c>
      <c r="I138" s="111">
        <f t="shared" si="56"/>
        <v>667500</v>
      </c>
    </row>
    <row r="140" spans="2:9">
      <c r="B140" s="105" t="s">
        <v>80</v>
      </c>
      <c r="C140" s="106">
        <f>C$65</f>
        <v>43951</v>
      </c>
      <c r="D140" s="106">
        <f t="shared" ref="D140:I140" si="57">D$65</f>
        <v>43982</v>
      </c>
      <c r="E140" s="106">
        <f t="shared" si="57"/>
        <v>44012</v>
      </c>
      <c r="F140" s="106">
        <f t="shared" si="57"/>
        <v>44043</v>
      </c>
      <c r="G140" s="106">
        <f t="shared" si="57"/>
        <v>44074</v>
      </c>
      <c r="H140" s="106">
        <f t="shared" si="57"/>
        <v>44104</v>
      </c>
      <c r="I140" s="107">
        <f t="shared" si="57"/>
        <v>44135</v>
      </c>
    </row>
    <row r="141" spans="2:9">
      <c r="B141" s="5" t="s">
        <v>71</v>
      </c>
      <c r="C141" s="111"/>
      <c r="D141" s="108">
        <f t="shared" ref="D141:I141" si="58">D98</f>
        <v>-2812.5</v>
      </c>
      <c r="E141" s="108">
        <f t="shared" si="58"/>
        <v>-2812.5</v>
      </c>
      <c r="F141" s="108">
        <f t="shared" si="58"/>
        <v>-2812.5</v>
      </c>
      <c r="G141" s="108">
        <f t="shared" si="58"/>
        <v>-2812.5</v>
      </c>
      <c r="H141" s="108">
        <f t="shared" si="58"/>
        <v>-2812.5</v>
      </c>
      <c r="I141" s="108">
        <f t="shared" si="58"/>
        <v>-2812.5</v>
      </c>
    </row>
    <row r="142" spans="2:9">
      <c r="B142" s="5" t="s">
        <v>72</v>
      </c>
      <c r="D142" s="108">
        <f t="shared" ref="D142:I142" si="59">D109</f>
        <v>0</v>
      </c>
      <c r="E142" s="108">
        <f t="shared" si="59"/>
        <v>0</v>
      </c>
      <c r="F142" s="108">
        <f t="shared" si="59"/>
        <v>-500000</v>
      </c>
      <c r="G142" s="108">
        <f t="shared" si="59"/>
        <v>0</v>
      </c>
      <c r="H142" s="108">
        <f t="shared" si="59"/>
        <v>0</v>
      </c>
      <c r="I142" s="108">
        <f t="shared" si="59"/>
        <v>0</v>
      </c>
    </row>
    <row r="143" spans="2:9">
      <c r="B143" s="5" t="s">
        <v>81</v>
      </c>
      <c r="D143" s="108">
        <f>D112*D109-D109</f>
        <v>0</v>
      </c>
      <c r="E143" s="108">
        <f t="shared" ref="E143:I143" si="60">E112*E109-E109</f>
        <v>0</v>
      </c>
      <c r="F143" s="108">
        <f>F112*F109-F109</f>
        <v>-10000</v>
      </c>
      <c r="G143" s="108">
        <f t="shared" si="60"/>
        <v>0</v>
      </c>
      <c r="H143" s="108">
        <f t="shared" si="60"/>
        <v>0</v>
      </c>
      <c r="I143" s="108">
        <f t="shared" si="60"/>
        <v>0</v>
      </c>
    </row>
    <row r="144" spans="2:9">
      <c r="B144" s="5" t="s">
        <v>77</v>
      </c>
      <c r="D144" s="110">
        <f>D126</f>
        <v>0</v>
      </c>
      <c r="E144" s="110">
        <f t="shared" ref="E144:I144" si="61">E126</f>
        <v>0</v>
      </c>
      <c r="F144" s="110">
        <f t="shared" si="61"/>
        <v>510000</v>
      </c>
      <c r="G144" s="110">
        <f t="shared" si="61"/>
        <v>0</v>
      </c>
      <c r="H144" s="110">
        <f t="shared" si="61"/>
        <v>0</v>
      </c>
      <c r="I144" s="110">
        <f t="shared" si="61"/>
        <v>0</v>
      </c>
    </row>
    <row r="145" spans="2:9">
      <c r="B145" s="57" t="s">
        <v>80</v>
      </c>
      <c r="D145" s="111">
        <f t="shared" ref="D145:I145" si="62">SUM(D141:D144)</f>
        <v>-2812.5</v>
      </c>
      <c r="E145" s="111">
        <f t="shared" si="62"/>
        <v>-2812.5</v>
      </c>
      <c r="F145" s="111">
        <f t="shared" si="62"/>
        <v>-2812.5</v>
      </c>
      <c r="G145" s="111">
        <f t="shared" si="62"/>
        <v>-2812.5</v>
      </c>
      <c r="H145" s="111">
        <f t="shared" si="62"/>
        <v>-2812.5</v>
      </c>
      <c r="I145" s="111">
        <f t="shared" si="62"/>
        <v>-2812.5</v>
      </c>
    </row>
    <row r="146" spans="2:9">
      <c r="B146" s="57"/>
      <c r="C146" s="111"/>
      <c r="D146" s="111"/>
      <c r="E146" s="111"/>
      <c r="F146" s="111"/>
      <c r="G146" s="111"/>
      <c r="H146" s="111"/>
      <c r="I146" s="111"/>
    </row>
    <row r="147" spans="2:9">
      <c r="B147" s="105" t="s">
        <v>82</v>
      </c>
      <c r="C147" s="106">
        <f>C$65</f>
        <v>43951</v>
      </c>
      <c r="D147" s="106">
        <f t="shared" ref="D147:I147" si="63">D$65</f>
        <v>43982</v>
      </c>
      <c r="E147" s="106">
        <f t="shared" si="63"/>
        <v>44012</v>
      </c>
      <c r="F147" s="106">
        <f t="shared" si="63"/>
        <v>44043</v>
      </c>
      <c r="G147" s="106">
        <f t="shared" si="63"/>
        <v>44074</v>
      </c>
      <c r="H147" s="106">
        <f t="shared" si="63"/>
        <v>44104</v>
      </c>
      <c r="I147" s="107">
        <f t="shared" si="63"/>
        <v>44135</v>
      </c>
    </row>
    <row r="148" spans="2:9">
      <c r="B148" s="5" t="s">
        <v>59</v>
      </c>
      <c r="C148" s="111"/>
      <c r="D148" s="108">
        <f t="shared" ref="D148:I148" si="64">D87</f>
        <v>79.587375000000009</v>
      </c>
      <c r="E148" s="108">
        <f t="shared" si="64"/>
        <v>61.315524312499996</v>
      </c>
      <c r="F148" s="108">
        <f t="shared" si="64"/>
        <v>47.163983343444656</v>
      </c>
      <c r="G148" s="108">
        <f t="shared" si="64"/>
        <v>74.456696536400457</v>
      </c>
      <c r="H148" s="108">
        <f t="shared" si="64"/>
        <v>59.863721098124707</v>
      </c>
      <c r="I148" s="108">
        <f t="shared" si="64"/>
        <v>37.916375200889561</v>
      </c>
    </row>
    <row r="149" spans="2:9">
      <c r="B149" s="5" t="s">
        <v>71</v>
      </c>
      <c r="D149" s="108">
        <f t="shared" ref="D149:I149" si="65">D105</f>
        <v>762.890625</v>
      </c>
      <c r="E149" s="108">
        <f t="shared" si="65"/>
        <v>764.8828125</v>
      </c>
      <c r="F149" s="108">
        <f t="shared" si="65"/>
        <v>766.40625</v>
      </c>
      <c r="G149" s="108">
        <f t="shared" si="65"/>
        <v>767.46093749999989</v>
      </c>
      <c r="H149" s="108">
        <f t="shared" si="65"/>
        <v>768.046875</v>
      </c>
      <c r="I149" s="108">
        <f t="shared" si="65"/>
        <v>761.484375</v>
      </c>
    </row>
    <row r="150" spans="2:9">
      <c r="B150" s="5" t="s">
        <v>72</v>
      </c>
      <c r="D150" s="108">
        <f t="shared" ref="D150:I150" si="66">D117</f>
        <v>2968.75</v>
      </c>
      <c r="E150" s="108">
        <f t="shared" si="66"/>
        <v>2968.75</v>
      </c>
      <c r="F150" s="108">
        <f t="shared" si="66"/>
        <v>2968.75</v>
      </c>
      <c r="G150" s="108">
        <f t="shared" si="66"/>
        <v>0</v>
      </c>
      <c r="H150" s="108">
        <f t="shared" si="66"/>
        <v>0</v>
      </c>
      <c r="I150" s="108">
        <f t="shared" si="66"/>
        <v>0</v>
      </c>
    </row>
    <row r="151" spans="2:9">
      <c r="B151" s="5" t="s">
        <v>77</v>
      </c>
      <c r="D151" s="110">
        <f t="shared" ref="D151:I151" si="67">D131</f>
        <v>0</v>
      </c>
      <c r="E151" s="110">
        <f t="shared" si="67"/>
        <v>0</v>
      </c>
      <c r="F151" s="110">
        <f t="shared" si="67"/>
        <v>0</v>
      </c>
      <c r="G151" s="110">
        <f t="shared" si="67"/>
        <v>2422.5</v>
      </c>
      <c r="H151" s="110">
        <f t="shared" si="67"/>
        <v>2422.5</v>
      </c>
      <c r="I151" s="110">
        <f t="shared" si="67"/>
        <v>2422.5</v>
      </c>
    </row>
    <row r="152" spans="2:9">
      <c r="B152" s="57" t="s">
        <v>83</v>
      </c>
      <c r="D152" s="111">
        <f t="shared" ref="D152:I152" si="68">SUM(D148:D151)</f>
        <v>3811.2280000000001</v>
      </c>
      <c r="E152" s="111">
        <f t="shared" si="68"/>
        <v>3794.9483368125002</v>
      </c>
      <c r="F152" s="111">
        <f t="shared" si="68"/>
        <v>3782.3202333434447</v>
      </c>
      <c r="G152" s="111">
        <f t="shared" si="68"/>
        <v>3264.4176340364002</v>
      </c>
      <c r="H152" s="111">
        <f t="shared" si="68"/>
        <v>3250.4105960981246</v>
      </c>
      <c r="I152" s="111">
        <f t="shared" si="68"/>
        <v>3221.9007502008894</v>
      </c>
    </row>
    <row r="154" spans="2:9">
      <c r="B154" s="105" t="s">
        <v>84</v>
      </c>
      <c r="C154" s="106">
        <f>C$65</f>
        <v>43951</v>
      </c>
      <c r="D154" s="106">
        <f t="shared" ref="D154:I154" si="69">D$65</f>
        <v>43982</v>
      </c>
      <c r="E154" s="106">
        <f t="shared" si="69"/>
        <v>44012</v>
      </c>
      <c r="F154" s="106">
        <f t="shared" si="69"/>
        <v>44043</v>
      </c>
      <c r="G154" s="106">
        <f t="shared" si="69"/>
        <v>44074</v>
      </c>
      <c r="H154" s="106">
        <f t="shared" si="69"/>
        <v>44104</v>
      </c>
      <c r="I154" s="107">
        <f t="shared" si="69"/>
        <v>44135</v>
      </c>
    </row>
    <row r="155" spans="2:9">
      <c r="B155" s="5" t="s">
        <v>59</v>
      </c>
      <c r="C155" s="111"/>
      <c r="D155" s="108">
        <f t="shared" ref="D155:I156" si="70">D148</f>
        <v>79.587375000000009</v>
      </c>
      <c r="E155" s="108">
        <f t="shared" si="70"/>
        <v>61.315524312499996</v>
      </c>
      <c r="F155" s="108">
        <f t="shared" si="70"/>
        <v>47.163983343444656</v>
      </c>
      <c r="G155" s="108">
        <f t="shared" si="70"/>
        <v>74.456696536400457</v>
      </c>
      <c r="H155" s="108">
        <f t="shared" si="70"/>
        <v>59.863721098124707</v>
      </c>
      <c r="I155" s="108">
        <f t="shared" si="70"/>
        <v>37.916375200889561</v>
      </c>
    </row>
    <row r="156" spans="2:9">
      <c r="B156" s="5" t="s">
        <v>71</v>
      </c>
      <c r="D156" s="108">
        <f t="shared" si="70"/>
        <v>762.890625</v>
      </c>
      <c r="E156" s="108">
        <f t="shared" si="70"/>
        <v>764.8828125</v>
      </c>
      <c r="F156" s="108">
        <f t="shared" si="70"/>
        <v>766.40625</v>
      </c>
      <c r="G156" s="108">
        <f t="shared" si="70"/>
        <v>767.46093749999989</v>
      </c>
      <c r="H156" s="108">
        <f t="shared" si="70"/>
        <v>768.046875</v>
      </c>
      <c r="I156" s="108">
        <f t="shared" si="70"/>
        <v>761.484375</v>
      </c>
    </row>
    <row r="157" spans="2:9">
      <c r="B157" s="5" t="s">
        <v>72</v>
      </c>
      <c r="D157" s="108">
        <f>D120</f>
        <v>0</v>
      </c>
      <c r="E157" s="108">
        <f t="shared" ref="E157:I157" si="71">E120</f>
        <v>0</v>
      </c>
      <c r="F157" s="108">
        <f t="shared" si="71"/>
        <v>8906.25</v>
      </c>
      <c r="G157" s="108">
        <f t="shared" si="71"/>
        <v>0</v>
      </c>
      <c r="H157" s="108">
        <f t="shared" si="71"/>
        <v>0</v>
      </c>
      <c r="I157" s="108">
        <f t="shared" si="71"/>
        <v>0</v>
      </c>
    </row>
    <row r="158" spans="2:9">
      <c r="B158" s="5" t="s">
        <v>77</v>
      </c>
      <c r="D158" s="124">
        <v>0</v>
      </c>
      <c r="E158" s="124">
        <v>0</v>
      </c>
      <c r="F158" s="124">
        <v>0</v>
      </c>
      <c r="G158" s="124">
        <v>0</v>
      </c>
      <c r="H158" s="124">
        <v>0</v>
      </c>
      <c r="I158" s="124">
        <v>0</v>
      </c>
    </row>
    <row r="159" spans="2:9">
      <c r="B159" s="57" t="s">
        <v>84</v>
      </c>
      <c r="D159" s="111">
        <f t="shared" ref="D159:I159" si="72">SUM(D155:D158)</f>
        <v>842.47800000000007</v>
      </c>
      <c r="E159" s="111">
        <f t="shared" si="72"/>
        <v>826.19833681249997</v>
      </c>
      <c r="F159" s="111">
        <f t="shared" si="72"/>
        <v>9719.8202333434456</v>
      </c>
      <c r="G159" s="111">
        <f t="shared" si="72"/>
        <v>841.91763403640039</v>
      </c>
      <c r="H159" s="111">
        <f t="shared" si="72"/>
        <v>827.91059609812476</v>
      </c>
      <c r="I159" s="111">
        <f t="shared" si="72"/>
        <v>799.40075020088955</v>
      </c>
    </row>
    <row r="161" spans="2:9">
      <c r="B161" s="105" t="s">
        <v>15</v>
      </c>
      <c r="C161" s="106"/>
      <c r="D161" s="106">
        <f t="shared" ref="D161:I161" si="73">D$65</f>
        <v>43982</v>
      </c>
      <c r="E161" s="106">
        <f t="shared" si="73"/>
        <v>44012</v>
      </c>
      <c r="F161" s="106">
        <f t="shared" si="73"/>
        <v>44043</v>
      </c>
      <c r="G161" s="106">
        <f t="shared" si="73"/>
        <v>44074</v>
      </c>
      <c r="H161" s="106">
        <f t="shared" si="73"/>
        <v>44104</v>
      </c>
      <c r="I161" s="107">
        <f t="shared" si="73"/>
        <v>44135</v>
      </c>
    </row>
    <row r="162" spans="2:9">
      <c r="B162" s="5" t="str">
        <f>B58</f>
        <v>TTM EBITDA</v>
      </c>
      <c r="C162" s="108"/>
      <c r="D162" s="108">
        <f t="shared" ref="D162:I163" si="74">D58</f>
        <v>193220</v>
      </c>
      <c r="E162" s="108">
        <f t="shared" si="74"/>
        <v>189600</v>
      </c>
      <c r="F162" s="108">
        <f t="shared" si="74"/>
        <v>186312</v>
      </c>
      <c r="G162" s="108">
        <f t="shared" si="74"/>
        <v>185545</v>
      </c>
      <c r="H162" s="108">
        <f t="shared" si="74"/>
        <v>185313</v>
      </c>
      <c r="I162" s="108">
        <f t="shared" si="74"/>
        <v>183795</v>
      </c>
    </row>
    <row r="163" spans="2:9">
      <c r="B163" s="5" t="str">
        <f>B59</f>
        <v>TTM Capex</v>
      </c>
      <c r="C163" s="108"/>
      <c r="D163" s="108">
        <f t="shared" si="74"/>
        <v>81423</v>
      </c>
      <c r="E163" s="108">
        <f t="shared" si="74"/>
        <v>63499</v>
      </c>
      <c r="F163" s="108">
        <f t="shared" si="74"/>
        <v>89256</v>
      </c>
      <c r="G163" s="108">
        <f t="shared" si="74"/>
        <v>86777</v>
      </c>
      <c r="H163" s="108">
        <f t="shared" si="74"/>
        <v>77656</v>
      </c>
      <c r="I163" s="108">
        <f t="shared" si="74"/>
        <v>83704</v>
      </c>
    </row>
    <row r="164" spans="2:9">
      <c r="B164" s="5" t="s">
        <v>85</v>
      </c>
      <c r="C164" s="108"/>
      <c r="D164" s="108">
        <f t="shared" ref="D164:I164" ca="1" si="75">D174</f>
        <v>46899.411</v>
      </c>
      <c r="E164" s="108">
        <f t="shared" ca="1" si="75"/>
        <v>46783.008336812505</v>
      </c>
      <c r="F164" s="108">
        <f t="shared" ca="1" si="75"/>
        <v>46547.570570155949</v>
      </c>
      <c r="G164" s="108">
        <f t="shared" ca="1" si="75"/>
        <v>39855.157204192343</v>
      </c>
      <c r="H164" s="108">
        <f t="shared" ca="1" si="75"/>
        <v>39703.627800290473</v>
      </c>
      <c r="I164" s="108">
        <f t="shared" ca="1" si="75"/>
        <v>39533.000550491357</v>
      </c>
    </row>
    <row r="165" spans="2:9">
      <c r="B165" s="125" t="s">
        <v>15</v>
      </c>
      <c r="C165" s="126"/>
      <c r="D165" s="127">
        <f ca="1">(D162-D163)/D164</f>
        <v>2.383761280072366</v>
      </c>
      <c r="E165" s="127">
        <f t="shared" ref="E165:I165" ca="1" si="76">(E162-E163)/E164</f>
        <v>2.6954444462429734</v>
      </c>
      <c r="F165" s="127">
        <f t="shared" ca="1" si="76"/>
        <v>2.0850927086241451</v>
      </c>
      <c r="G165" s="127">
        <f t="shared" ca="1" si="76"/>
        <v>2.4781736399627259</v>
      </c>
      <c r="H165" s="127">
        <f t="shared" ca="1" si="76"/>
        <v>2.711515444923962</v>
      </c>
      <c r="I165" s="128">
        <f t="shared" ca="1" si="76"/>
        <v>2.5318341286076746</v>
      </c>
    </row>
    <row r="166" spans="2:9" ht="5.0999999999999996" customHeight="1">
      <c r="B166" s="5"/>
      <c r="C166" s="108"/>
      <c r="D166" s="108"/>
      <c r="E166" s="108"/>
      <c r="F166" s="108"/>
      <c r="G166" s="108"/>
      <c r="H166" s="108"/>
      <c r="I166" s="108"/>
    </row>
    <row r="167" spans="2:9">
      <c r="B167" s="125" t="s">
        <v>86</v>
      </c>
      <c r="C167" s="126"/>
      <c r="D167" s="126">
        <f ca="1">D162-($D$13*D164+D163)</f>
        <v>-5451.5274999999965</v>
      </c>
      <c r="E167" s="126">
        <f t="shared" ref="E167:I167" ca="1" si="77">E162-($D$13*E164+E163)</f>
        <v>9143.4791579687444</v>
      </c>
      <c r="F167" s="126">
        <f t="shared" ca="1" si="77"/>
        <v>-19312.926425389887</v>
      </c>
      <c r="G167" s="126">
        <f t="shared" ca="1" si="77"/>
        <v>-869.89301048085326</v>
      </c>
      <c r="H167" s="126">
        <f t="shared" ca="1" si="77"/>
        <v>8397.930499273818</v>
      </c>
      <c r="I167" s="129">
        <f t="shared" ca="1" si="77"/>
        <v>1258.498623771593</v>
      </c>
    </row>
    <row r="168" spans="2:9">
      <c r="B168" s="5"/>
      <c r="C168" s="108"/>
      <c r="D168" s="108"/>
      <c r="E168" s="108"/>
      <c r="F168" s="108"/>
      <c r="G168" s="108"/>
      <c r="H168" s="108"/>
      <c r="I168" s="108"/>
    </row>
    <row r="169" spans="2:9">
      <c r="B169" s="57" t="s">
        <v>87</v>
      </c>
    </row>
    <row r="170" spans="2:9">
      <c r="B170" s="130" t="s">
        <v>59</v>
      </c>
      <c r="D170" s="131">
        <f ca="1">SUM($D$148:D148)+SUM(OFFSET($S$35,0,-(12-COUNT($D$161:D161)),1,12-COUNT($D$161:D161)))</f>
        <v>1360.101375</v>
      </c>
      <c r="E170" s="131">
        <f ca="1">SUM($D$148:E148)+SUM(OFFSET($S$35,0,-(12-COUNT($D$161:E161)),1,12-COUNT($D$161:E161)))</f>
        <v>1344.5498993125</v>
      </c>
      <c r="F170" s="131">
        <f ca="1">SUM($D$148:F148)+SUM(OFFSET($S$35,0,-(12-COUNT($D$161:F161)),1,12-COUNT($D$161:F161)))</f>
        <v>1275.2188826559448</v>
      </c>
      <c r="G170" s="131">
        <f ca="1">SUM($D$148:G148)+SUM(OFFSET($S$35,0,-(12-COUNT($D$161:G161)),1,12-COUNT($D$161:G161)))</f>
        <v>1221.179579192345</v>
      </c>
      <c r="H170" s="131">
        <f ca="1">SUM($D$148:H148)+SUM(OFFSET($S$35,0,-(12-COUNT($D$161:H161)),1,12-COUNT($D$161:H161)))</f>
        <v>1136.8453002904698</v>
      </c>
      <c r="I170" s="131">
        <f ca="1">SUM($D$148:I148)+SUM(OFFSET($S$35,0,-(12-COUNT($D$161:I161)),1,12-COUNT($D$161:I161)))</f>
        <v>1071.0606754913595</v>
      </c>
    </row>
    <row r="171" spans="2:9">
      <c r="B171" s="130" t="s">
        <v>71</v>
      </c>
      <c r="D171" s="131">
        <f ca="1">SUM($D$149:D149)+SUM(OFFSET($S$39,0,-(12-COUNT($D$161:D161)),1,12-COUNT($D$161:D161)))</f>
        <v>9914.3096250000017</v>
      </c>
      <c r="E171" s="131">
        <f ca="1">SUM($D$149:E149)+SUM(OFFSET($S$39,0,-(12-COUNT($D$161:E161)),1,12-COUNT($D$161:E161)))</f>
        <v>9813.4584375000013</v>
      </c>
      <c r="F171" s="131">
        <f ca="1">SUM($D$149:F149)+SUM(OFFSET($S$39,0,-(12-COUNT($D$161:F161)),1,12-COUNT($D$161:F161)))</f>
        <v>9647.3516875000005</v>
      </c>
      <c r="G171" s="131">
        <f ca="1">SUM($D$149:G149)+SUM(OFFSET($S$39,0,-(12-COUNT($D$161:G161)),1,12-COUNT($D$161:G161)))</f>
        <v>9563.9776249999995</v>
      </c>
      <c r="H171" s="131">
        <f ca="1">SUM($D$149:H149)+SUM(OFFSET($S$39,0,-(12-COUNT($D$161:H161)),1,12-COUNT($D$161:H161)))</f>
        <v>9496.7824999999993</v>
      </c>
      <c r="I171" s="131">
        <f ca="1">SUM($D$149:I149)+SUM(OFFSET($S$39,0,-(12-COUNT($D$161:I161)),1,12-COUNT($D$161:I161)))</f>
        <v>9391.939875</v>
      </c>
    </row>
    <row r="172" spans="2:9">
      <c r="B172" s="130" t="s">
        <v>72</v>
      </c>
      <c r="D172" s="131">
        <f t="shared" ref="D172:I172" si="78">D117*12</f>
        <v>35625</v>
      </c>
      <c r="E172" s="131">
        <f t="shared" si="78"/>
        <v>35625</v>
      </c>
      <c r="F172" s="131">
        <f t="shared" si="78"/>
        <v>35625</v>
      </c>
      <c r="G172" s="131">
        <f t="shared" si="78"/>
        <v>0</v>
      </c>
      <c r="H172" s="131">
        <f t="shared" si="78"/>
        <v>0</v>
      </c>
      <c r="I172" s="131">
        <f t="shared" si="78"/>
        <v>0</v>
      </c>
    </row>
    <row r="173" spans="2:9">
      <c r="B173" s="130" t="s">
        <v>77</v>
      </c>
      <c r="D173" s="110">
        <f t="shared" ref="D173:I173" si="79">D131*12</f>
        <v>0</v>
      </c>
      <c r="E173" s="110">
        <f t="shared" si="79"/>
        <v>0</v>
      </c>
      <c r="F173" s="110">
        <f t="shared" si="79"/>
        <v>0</v>
      </c>
      <c r="G173" s="110">
        <f t="shared" si="79"/>
        <v>29070</v>
      </c>
      <c r="H173" s="110">
        <f t="shared" si="79"/>
        <v>29070</v>
      </c>
      <c r="I173" s="110">
        <f t="shared" si="79"/>
        <v>29070</v>
      </c>
    </row>
    <row r="174" spans="2:9">
      <c r="B174" s="132" t="s">
        <v>88</v>
      </c>
      <c r="D174" s="111">
        <f ca="1">SUM(D170:D173)</f>
        <v>46899.411</v>
      </c>
      <c r="E174" s="111">
        <f t="shared" ref="E174:I174" ca="1" si="80">SUM(E170:E173)</f>
        <v>46783.008336812505</v>
      </c>
      <c r="F174" s="111">
        <f t="shared" ca="1" si="80"/>
        <v>46547.570570155949</v>
      </c>
      <c r="G174" s="111">
        <f t="shared" ca="1" si="80"/>
        <v>39855.157204192343</v>
      </c>
      <c r="H174" s="111">
        <f t="shared" ca="1" si="80"/>
        <v>39703.627800290473</v>
      </c>
      <c r="I174" s="111">
        <f t="shared" ca="1" si="80"/>
        <v>39533.000550491357</v>
      </c>
    </row>
    <row r="176" spans="2:9">
      <c r="B176" s="105" t="s">
        <v>89</v>
      </c>
      <c r="C176" s="106"/>
      <c r="D176" s="106">
        <f t="shared" ref="D176:I176" si="81">D$65</f>
        <v>43982</v>
      </c>
      <c r="E176" s="106">
        <f t="shared" si="81"/>
        <v>44012</v>
      </c>
      <c r="F176" s="106">
        <f t="shared" si="81"/>
        <v>44043</v>
      </c>
      <c r="G176" s="106">
        <f t="shared" si="81"/>
        <v>44074</v>
      </c>
      <c r="H176" s="106">
        <f t="shared" si="81"/>
        <v>44104</v>
      </c>
      <c r="I176" s="107">
        <f t="shared" si="81"/>
        <v>44135</v>
      </c>
    </row>
    <row r="177" spans="2:9">
      <c r="B177" s="5"/>
      <c r="C177" s="108"/>
      <c r="D177" s="108"/>
      <c r="E177" s="108"/>
      <c r="F177" s="108"/>
      <c r="G177" s="108"/>
      <c r="H177" s="108"/>
      <c r="I177" s="108"/>
    </row>
    <row r="178" spans="2:9">
      <c r="B178" s="57" t="s">
        <v>94</v>
      </c>
      <c r="C178" s="145" t="s">
        <v>93</v>
      </c>
      <c r="D178" s="131"/>
      <c r="E178" s="131"/>
      <c r="F178" s="131"/>
      <c r="G178" s="131"/>
      <c r="H178" s="131"/>
      <c r="I178" s="131"/>
    </row>
    <row r="179" spans="2:9">
      <c r="B179" s="57"/>
      <c r="C179" s="145"/>
      <c r="D179" s="131"/>
      <c r="E179" s="131"/>
      <c r="F179" s="131"/>
      <c r="G179" s="131"/>
      <c r="H179" s="131"/>
      <c r="I179" s="131"/>
    </row>
    <row r="180" spans="2:9">
      <c r="B180" s="57" t="s">
        <v>90</v>
      </c>
      <c r="D180" s="131"/>
      <c r="E180" s="131"/>
      <c r="F180" s="131"/>
      <c r="G180" s="131"/>
      <c r="H180" s="131"/>
      <c r="I180" s="131"/>
    </row>
    <row r="181" spans="2:9">
      <c r="B181" s="57"/>
      <c r="C181" s="147" t="s">
        <v>95</v>
      </c>
      <c r="D181" s="146"/>
      <c r="E181" s="146"/>
      <c r="F181" s="146"/>
      <c r="G181" s="146"/>
      <c r="H181" s="146"/>
      <c r="I181" s="146"/>
    </row>
    <row r="182" spans="2:9">
      <c r="B182" s="57"/>
      <c r="C182" s="147"/>
      <c r="D182" s="146"/>
      <c r="E182" s="146"/>
      <c r="F182" s="146"/>
      <c r="G182" s="146"/>
      <c r="H182" s="146"/>
      <c r="I182" s="146"/>
    </row>
    <row r="183" spans="2:9">
      <c r="B183" s="130"/>
      <c r="D183" s="135">
        <f t="shared" ref="D183:I183" ca="1" si="82">D165</f>
        <v>2.383761280072366</v>
      </c>
      <c r="E183" s="135">
        <f t="shared" ca="1" si="82"/>
        <v>2.6954444462429734</v>
      </c>
      <c r="F183" s="135">
        <f t="shared" ca="1" si="82"/>
        <v>2.0850927086241451</v>
      </c>
      <c r="G183" s="135">
        <f t="shared" ca="1" si="82"/>
        <v>2.4781736399627259</v>
      </c>
      <c r="H183" s="135">
        <f t="shared" ca="1" si="82"/>
        <v>2.711515444923962</v>
      </c>
      <c r="I183" s="135">
        <f t="shared" ca="1" si="82"/>
        <v>2.5318341286076746</v>
      </c>
    </row>
    <row r="184" spans="2:9">
      <c r="B184" s="57"/>
      <c r="C184" s="133">
        <f>D176</f>
        <v>43982</v>
      </c>
      <c r="D184" s="137">
        <f t="dataTable" ref="D184:I189" dt2D="0" dtr="0" r1="L17" ca="1"/>
        <v>2.383761280072366</v>
      </c>
      <c r="E184" s="138">
        <v>3.3919304306920743</v>
      </c>
      <c r="F184" s="138">
        <v>2.6264259678091135</v>
      </c>
      <c r="G184" s="138">
        <v>2.6843229618140891</v>
      </c>
      <c r="H184" s="138">
        <v>2.9397825127361714</v>
      </c>
      <c r="I184" s="139">
        <v>2.7463178921781903</v>
      </c>
    </row>
    <row r="185" spans="2:9">
      <c r="B185" s="57"/>
      <c r="C185" s="133">
        <f>E176</f>
        <v>44012</v>
      </c>
      <c r="D185" s="140">
        <v>2.383761280072366</v>
      </c>
      <c r="E185" s="136">
        <v>2.6954444462429734</v>
      </c>
      <c r="F185" s="136">
        <v>2.5552431275375054</v>
      </c>
      <c r="G185" s="136">
        <v>2.6105143059182057</v>
      </c>
      <c r="H185" s="136">
        <v>2.8577387676413584</v>
      </c>
      <c r="I185" s="141">
        <v>2.6693152431277727</v>
      </c>
    </row>
    <row r="186" spans="2:9">
      <c r="B186" s="134" t="s">
        <v>91</v>
      </c>
      <c r="C186" s="133">
        <f>F176</f>
        <v>44043</v>
      </c>
      <c r="D186" s="140">
        <v>2.383761280072366</v>
      </c>
      <c r="E186" s="136">
        <v>2.6954444462429734</v>
      </c>
      <c r="F186" s="136">
        <v>2.0850927086241451</v>
      </c>
      <c r="G186" s="136">
        <v>2.4781736399627259</v>
      </c>
      <c r="H186" s="136">
        <v>2.711515444923962</v>
      </c>
      <c r="I186" s="141">
        <v>2.5318341286076746</v>
      </c>
    </row>
    <row r="187" spans="2:9">
      <c r="B187" s="134" t="s">
        <v>92</v>
      </c>
      <c r="C187" s="133">
        <f>G176</f>
        <v>44074</v>
      </c>
      <c r="D187" s="140">
        <v>2.383761280072366</v>
      </c>
      <c r="E187" s="136">
        <v>2.6954444462429734</v>
      </c>
      <c r="F187" s="136">
        <v>2.0850927086241451</v>
      </c>
      <c r="G187" s="136">
        <v>2.1297726351136639</v>
      </c>
      <c r="H187" s="136">
        <v>2.6286839789944332</v>
      </c>
      <c r="I187" s="141">
        <v>2.4534832169209277</v>
      </c>
    </row>
    <row r="188" spans="2:9">
      <c r="B188" s="57"/>
      <c r="C188" s="133">
        <f>H176</f>
        <v>44104</v>
      </c>
      <c r="D188" s="140">
        <v>2.383761280072366</v>
      </c>
      <c r="E188" s="136">
        <v>2.6954444462429734</v>
      </c>
      <c r="F188" s="136">
        <v>2.0850927086241451</v>
      </c>
      <c r="G188" s="136">
        <v>2.1297726351136639</v>
      </c>
      <c r="H188" s="136">
        <v>2.3303973135172145</v>
      </c>
      <c r="I188" s="141">
        <v>2.3945567357128983</v>
      </c>
    </row>
    <row r="189" spans="2:9">
      <c r="B189" s="57"/>
      <c r="C189" s="133">
        <f>I176</f>
        <v>44135</v>
      </c>
      <c r="D189" s="142">
        <v>2.383761280072366</v>
      </c>
      <c r="E189" s="143">
        <v>2.6954444462429734</v>
      </c>
      <c r="F189" s="143">
        <v>2.0850927086241451</v>
      </c>
      <c r="G189" s="143">
        <v>2.1297726351136639</v>
      </c>
      <c r="H189" s="143">
        <v>2.3303973135172145</v>
      </c>
      <c r="I189" s="144">
        <v>2.1748684913734726</v>
      </c>
    </row>
    <row r="190" spans="2:9">
      <c r="B190" s="57"/>
      <c r="D190" s="131"/>
      <c r="E190" s="131"/>
      <c r="F190" s="131"/>
      <c r="G190" s="131"/>
      <c r="H190" s="131"/>
      <c r="I190" s="131"/>
    </row>
    <row r="191" spans="2:9">
      <c r="B191" s="57"/>
      <c r="C191" s="148" t="s">
        <v>99</v>
      </c>
      <c r="D191" s="131"/>
      <c r="E191" s="131"/>
      <c r="F191" s="131"/>
      <c r="G191" s="131"/>
      <c r="H191" s="131"/>
      <c r="I191" s="131"/>
    </row>
    <row r="192" spans="2:9">
      <c r="B192" s="57"/>
      <c r="D192" s="131"/>
      <c r="E192" s="131"/>
      <c r="F192" s="131"/>
      <c r="G192" s="131"/>
      <c r="H192" s="131"/>
      <c r="I192" s="131"/>
    </row>
    <row r="193" spans="2:9">
      <c r="B193" s="57" t="s">
        <v>96</v>
      </c>
      <c r="C193" s="134"/>
      <c r="D193" s="131"/>
      <c r="E193" s="131"/>
      <c r="F193" s="131"/>
      <c r="G193" s="131"/>
      <c r="H193" s="131"/>
      <c r="I193" s="131"/>
    </row>
    <row r="194" spans="2:9">
      <c r="B194" s="57"/>
      <c r="C194" s="147" t="s">
        <v>95</v>
      </c>
      <c r="D194" s="146"/>
      <c r="E194" s="146"/>
      <c r="F194" s="146"/>
      <c r="G194" s="146"/>
      <c r="H194" s="146"/>
      <c r="I194" s="146"/>
    </row>
    <row r="195" spans="2:9">
      <c r="B195" s="57"/>
      <c r="C195" s="147"/>
      <c r="D195" s="146"/>
      <c r="E195" s="146"/>
      <c r="F195" s="146"/>
      <c r="G195" s="146"/>
      <c r="H195" s="146"/>
      <c r="I195" s="146"/>
    </row>
    <row r="196" spans="2:9">
      <c r="B196" s="130"/>
      <c r="D196" s="135">
        <f ca="1">D183</f>
        <v>2.383761280072366</v>
      </c>
      <c r="E196" s="135">
        <f t="shared" ref="E196:I196" ca="1" si="83">E183</f>
        <v>2.6954444462429734</v>
      </c>
      <c r="F196" s="135">
        <f t="shared" ca="1" si="83"/>
        <v>2.0850927086241451</v>
      </c>
      <c r="G196" s="135">
        <f t="shared" ca="1" si="83"/>
        <v>2.4781736399627259</v>
      </c>
      <c r="H196" s="135">
        <f t="shared" ca="1" si="83"/>
        <v>2.711515444923962</v>
      </c>
      <c r="I196" s="135">
        <f t="shared" ca="1" si="83"/>
        <v>2.5318341286076746</v>
      </c>
    </row>
    <row r="197" spans="2:9">
      <c r="B197" s="57"/>
      <c r="C197" s="133">
        <f>C184</f>
        <v>43982</v>
      </c>
      <c r="D197" s="137">
        <f t="shared" ref="D197:I197" si="84">D184</f>
        <v>2.383761280072366</v>
      </c>
      <c r="E197" s="138">
        <f t="shared" si="84"/>
        <v>3.3919304306920743</v>
      </c>
      <c r="F197" s="138">
        <f t="shared" si="84"/>
        <v>2.6264259678091135</v>
      </c>
      <c r="G197" s="138">
        <f t="shared" si="84"/>
        <v>2.6843229618140891</v>
      </c>
      <c r="H197" s="138">
        <f t="shared" si="84"/>
        <v>2.9397825127361714</v>
      </c>
      <c r="I197" s="139">
        <f t="shared" si="84"/>
        <v>2.7463178921781903</v>
      </c>
    </row>
    <row r="198" spans="2:9">
      <c r="B198" s="57"/>
      <c r="C198" s="133">
        <f t="shared" ref="C198:I202" si="85">C185</f>
        <v>44012</v>
      </c>
      <c r="D198" s="140">
        <f t="shared" si="85"/>
        <v>2.383761280072366</v>
      </c>
      <c r="E198" s="136">
        <f t="shared" si="85"/>
        <v>2.6954444462429734</v>
      </c>
      <c r="F198" s="136">
        <f t="shared" si="85"/>
        <v>2.5552431275375054</v>
      </c>
      <c r="G198" s="136">
        <f t="shared" si="85"/>
        <v>2.6105143059182057</v>
      </c>
      <c r="H198" s="136">
        <f t="shared" si="85"/>
        <v>2.8577387676413584</v>
      </c>
      <c r="I198" s="141">
        <f t="shared" si="85"/>
        <v>2.6693152431277727</v>
      </c>
    </row>
    <row r="199" spans="2:9">
      <c r="B199" s="134" t="s">
        <v>91</v>
      </c>
      <c r="C199" s="133">
        <f t="shared" si="85"/>
        <v>44043</v>
      </c>
      <c r="D199" s="140">
        <f t="shared" si="85"/>
        <v>2.383761280072366</v>
      </c>
      <c r="E199" s="136">
        <f t="shared" si="85"/>
        <v>2.6954444462429734</v>
      </c>
      <c r="F199" s="136">
        <f t="shared" si="85"/>
        <v>2.0850927086241451</v>
      </c>
      <c r="G199" s="136">
        <f t="shared" si="85"/>
        <v>2.4781736399627259</v>
      </c>
      <c r="H199" s="136">
        <f t="shared" si="85"/>
        <v>2.711515444923962</v>
      </c>
      <c r="I199" s="141">
        <f t="shared" si="85"/>
        <v>2.5318341286076746</v>
      </c>
    </row>
    <row r="200" spans="2:9">
      <c r="B200" s="134" t="s">
        <v>92</v>
      </c>
      <c r="C200" s="133">
        <f t="shared" si="85"/>
        <v>44074</v>
      </c>
      <c r="D200" s="140">
        <f t="shared" si="85"/>
        <v>2.383761280072366</v>
      </c>
      <c r="E200" s="136">
        <f t="shared" si="85"/>
        <v>2.6954444462429734</v>
      </c>
      <c r="F200" s="136">
        <f t="shared" si="85"/>
        <v>2.0850927086241451</v>
      </c>
      <c r="G200" s="136">
        <f t="shared" si="85"/>
        <v>2.1297726351136639</v>
      </c>
      <c r="H200" s="136">
        <f t="shared" si="85"/>
        <v>2.6286839789944332</v>
      </c>
      <c r="I200" s="141">
        <f t="shared" si="85"/>
        <v>2.4534832169209277</v>
      </c>
    </row>
    <row r="201" spans="2:9">
      <c r="B201" s="57"/>
      <c r="C201" s="133">
        <f t="shared" si="85"/>
        <v>44104</v>
      </c>
      <c r="D201" s="140">
        <f t="shared" si="85"/>
        <v>2.383761280072366</v>
      </c>
      <c r="E201" s="136">
        <f t="shared" si="85"/>
        <v>2.6954444462429734</v>
      </c>
      <c r="F201" s="136">
        <f t="shared" si="85"/>
        <v>2.0850927086241451</v>
      </c>
      <c r="G201" s="136">
        <f t="shared" si="85"/>
        <v>2.1297726351136639</v>
      </c>
      <c r="H201" s="136">
        <f t="shared" si="85"/>
        <v>2.3303973135172145</v>
      </c>
      <c r="I201" s="141">
        <f t="shared" si="85"/>
        <v>2.3945567357128983</v>
      </c>
    </row>
    <row r="202" spans="2:9">
      <c r="B202" s="57"/>
      <c r="C202" s="133">
        <f t="shared" si="85"/>
        <v>44135</v>
      </c>
      <c r="D202" s="142">
        <f t="shared" si="85"/>
        <v>2.383761280072366</v>
      </c>
      <c r="E202" s="143">
        <f t="shared" si="85"/>
        <v>2.6954444462429734</v>
      </c>
      <c r="F202" s="143">
        <f t="shared" si="85"/>
        <v>2.0850927086241451</v>
      </c>
      <c r="G202" s="143">
        <f t="shared" si="85"/>
        <v>2.1297726351136639</v>
      </c>
      <c r="H202" s="143">
        <f t="shared" si="85"/>
        <v>2.3303973135172145</v>
      </c>
      <c r="I202" s="144">
        <f t="shared" si="85"/>
        <v>2.1748684913734726</v>
      </c>
    </row>
    <row r="204" spans="2:9">
      <c r="C204" s="148" t="s">
        <v>97</v>
      </c>
    </row>
    <row r="205" spans="2:9">
      <c r="C205" s="148" t="s">
        <v>98</v>
      </c>
    </row>
  </sheetData>
  <conditionalFormatting sqref="D165:I165">
    <cfRule type="expression" dxfId="3" priority="8">
      <formula>D165&lt;$D$13</formula>
    </cfRule>
  </conditionalFormatting>
  <conditionalFormatting sqref="D167:I167">
    <cfRule type="expression" dxfId="2" priority="7">
      <formula>D167&lt;0</formula>
    </cfRule>
  </conditionalFormatting>
  <conditionalFormatting sqref="D184:I189">
    <cfRule type="expression" dxfId="1" priority="3">
      <formula>MIN($D$184:$I$189)=D184</formula>
    </cfRule>
  </conditionalFormatting>
  <conditionalFormatting sqref="D197:I202">
    <cfRule type="expression" dxfId="0" priority="1">
      <formula>D197&lt;$D$13</formula>
    </cfRule>
  </conditionalFormatting>
  <dataValidations count="1">
    <dataValidation type="list" allowBlank="1" showInputMessage="1" showErrorMessage="1" sqref="L17" xr:uid="{C2447BC6-8507-49DE-93D9-387F7DF5542A}">
      <formula1>$D$65:$I$65</formula1>
    </dataValidation>
  </dataValidations>
  <pageMargins left="0.7" right="0.7" top="0.75" bottom="0.75" header="0.3" footer="0.3"/>
  <pageSetup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Debt</vt:lpstr>
      <vt:lpstr>CaseData</vt:lpstr>
      <vt:lpstr>CaseSolution</vt:lpstr>
      <vt:lpstr>company</vt:lpstr>
      <vt:lpstr>periods</vt:lpstr>
      <vt:lpstr>Debt!Print_Titles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2026-08-31T22:53:00Z</dcterms:modified>
</cp:coreProperties>
</file>