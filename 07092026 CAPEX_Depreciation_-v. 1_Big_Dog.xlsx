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1"/>
  <workbookPr filterPrivacy="1" defaultThemeVersion="124226"/>
  <xr:revisionPtr revIDLastSave="771" documentId="8_{6AF7B0FD-4F0A-4B7F-8659-76005FDBDAAE}" xr6:coauthVersionLast="47" xr6:coauthVersionMax="47" xr10:uidLastSave="{32C9F82B-A978-4C6F-B006-2997E3008CE6}"/>
  <bookViews>
    <workbookView xWindow="28680" yWindow="-120" windowWidth="29040" windowHeight="16440" activeTab="1" xr2:uid="{00000000-000D-0000-FFFF-FFFF00000000}"/>
  </bookViews>
  <sheets>
    <sheet name="Answers" sheetId="30" r:id="rId1"/>
    <sheet name="Calculations" sheetId="29" r:id="rId2"/>
    <sheet name="Time" sheetId="28" r:id="rId3"/>
    <sheet name="Tmp" sheetId="27" r:id="rId4"/>
    <sheet name="CaseData" sheetId="26" r:id="rId5"/>
  </sheets>
  <definedNames>
    <definedName name="company">CaseData!$G$3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ListAssetClasses">CaseData!$C$15:$C$17</definedName>
    <definedName name="ListDepMethods">CaseData!$C$22:$C$25</definedName>
    <definedName name="periods">CaseData!$G$11</definedName>
    <definedName name="_xlnm.Print_Titles" localSheetId="0">Answers!$1:$6</definedName>
    <definedName name="_xlnm.Print_Titles" localSheetId="1">Calculations!$1:$4</definedName>
    <definedName name="_xlnm.Print_Titles" localSheetId="3">Tmp!$1:$4</definedName>
    <definedName name="start_date">CaseData!$G$6</definedName>
    <definedName name="topic">"CFM Topic: " &amp; CaseData!$G$4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4" i="29" l="1" a="1"/>
  <c r="J161" i="29" a="1"/>
  <c r="J68" i="29" a="1"/>
  <c r="J38" i="29" a="1"/>
  <c r="J375" i="29" a="1"/>
  <c r="J345" i="29" a="1"/>
  <c r="J314" i="29" a="1"/>
  <c r="J252" i="29" a="1"/>
  <c r="J222" i="29" a="1"/>
  <c r="J191" i="29" a="1"/>
  <c r="J129" i="29" a="1"/>
  <c r="J99" i="29" a="1"/>
  <c r="H43" i="30" a="1"/>
  <c r="J309" i="29" a="1"/>
  <c r="J339" i="29" a="1"/>
  <c r="J370" i="29" a="1"/>
  <c r="J400" i="29" a="1"/>
  <c r="J25" i="30" a="1"/>
  <c r="J63" i="29" a="1"/>
  <c r="J93" i="29" a="1"/>
  <c r="J124" i="29" a="1"/>
  <c r="J154" i="29" a="1"/>
  <c r="J11" i="30" a="1"/>
  <c r="J186" i="29" a="1"/>
  <c r="J216" i="29" a="1"/>
  <c r="J247" i="29" a="1"/>
  <c r="J277" i="29" a="1"/>
  <c r="J18" i="30" a="1"/>
  <c r="J32" i="30" a="1"/>
  <c r="J37" i="30" a="1"/>
  <c r="J38" i="30" a="1"/>
  <c r="J3" i="30" a="1"/>
  <c r="K42" i="30"/>
  <c r="J42" i="30"/>
  <c r="J10" i="30" a="1"/>
  <c r="J17" i="30" a="1"/>
  <c r="J24" i="30" a="1"/>
  <c r="J31" i="30" a="1"/>
  <c r="H31" i="30" a="1"/>
  <c r="H32" i="30" a="1"/>
  <c r="H33" i="30" a="1"/>
  <c r="J12" i="30" a="1"/>
  <c r="J19" i="30" a="1"/>
  <c r="J26" i="30" a="1"/>
  <c r="J33" i="30" a="1"/>
  <c r="J9" i="30" a="1"/>
  <c r="J16" i="30" a="1"/>
  <c r="J23" i="30" a="1"/>
  <c r="J30" i="30" a="1"/>
  <c r="H25" i="30" a="1"/>
  <c r="H24" i="30" a="1"/>
  <c r="H18" i="30" a="1"/>
  <c r="H17" i="30" a="1"/>
  <c r="H11" i="30" a="1"/>
  <c r="H10" i="30" a="1"/>
  <c r="A2" i="30" a="1"/>
  <c r="A1" i="30" a="1"/>
  <c r="E7" i="29" a="1"/>
  <c r="F129" i="29" a="1"/>
  <c r="J3" i="29" a="1"/>
  <c r="F252" i="29" a="1"/>
  <c r="F375" i="29" a="1"/>
  <c r="F345" i="29" a="1"/>
  <c r="F314" i="29" a="1"/>
  <c r="F284" i="29" a="1"/>
  <c r="H375" i="29" a="1"/>
  <c r="J374" i="29" a="1"/>
  <c r="H345" i="29" a="1"/>
  <c r="J344" i="29" a="1"/>
  <c r="H314" i="29" a="1"/>
  <c r="J313" i="29" a="1"/>
  <c r="H284" i="29" a="1"/>
  <c r="J283" i="29" a="1"/>
  <c r="F222" i="29" a="1"/>
  <c r="F191" i="29" a="1"/>
  <c r="F161" i="29" a="1"/>
  <c r="J67" i="29" a="1"/>
  <c r="J37" i="29" a="1"/>
  <c r="J98" i="29" a="1"/>
  <c r="J190" i="29" a="1"/>
  <c r="J221" i="29" a="1"/>
  <c r="J160" i="29" a="1"/>
  <c r="H252" i="29" a="1"/>
  <c r="J251" i="29" a="1"/>
  <c r="H222" i="29" a="1"/>
  <c r="H191" i="29" a="1"/>
  <c r="H161" i="29" a="1"/>
  <c r="H129" i="29" a="1"/>
  <c r="F99" i="29" a="1"/>
  <c r="J128" i="29" a="1"/>
  <c r="H99" i="29" a="1"/>
  <c r="F38" i="29" a="1"/>
  <c r="F68" i="29" a="1"/>
  <c r="H38" i="29" a="1"/>
  <c r="A2" i="29" a="1"/>
  <c r="A1" i="29" a="1"/>
  <c r="J3" i="27" a="1"/>
  <c r="J3" i="28" a="1"/>
  <c r="J7" i="28" a="1"/>
  <c r="A2" i="28" a="1"/>
  <c r="A1" i="28" a="1"/>
  <c r="A2" i="27" a="1"/>
  <c r="A1" i="27" a="1"/>
  <c r="C116" i="26"/>
  <c r="C107" i="26"/>
  <c r="C99" i="26"/>
  <c r="C91" i="26"/>
  <c r="D67" i="26"/>
  <c r="D68" i="26"/>
  <c r="E65" i="26"/>
  <c r="E66" i="26"/>
  <c r="F64" i="26"/>
  <c r="B63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B38" i="26"/>
  <c r="C32" i="26" a="1"/>
  <c r="C33" i="26"/>
  <c r="G31" i="26" a="1"/>
  <c r="G31" i="26"/>
  <c r="G9" i="26"/>
  <c r="E67" i="26"/>
  <c r="I31" i="26"/>
  <c r="F65" i="26"/>
  <c r="F68" i="26"/>
  <c r="H31" i="26"/>
  <c r="C32" i="26"/>
  <c r="C34" i="26"/>
  <c r="G64" i="26"/>
  <c r="C35" i="26"/>
  <c r="D69" i="26"/>
  <c r="E68" i="26"/>
  <c r="F66" i="26"/>
  <c r="D70" i="26"/>
  <c r="E69" i="26"/>
  <c r="G65" i="26"/>
  <c r="G69" i="26"/>
  <c r="H64" i="26"/>
  <c r="F67" i="26"/>
  <c r="F69" i="26"/>
  <c r="G68" i="26"/>
  <c r="G70" i="26"/>
  <c r="I64" i="26"/>
  <c r="H65" i="26"/>
  <c r="H69" i="26"/>
  <c r="H67" i="26"/>
  <c r="G67" i="26"/>
  <c r="G66" i="26"/>
  <c r="D71" i="26"/>
  <c r="H71" i="26"/>
  <c r="E70" i="26"/>
  <c r="F70" i="26"/>
  <c r="J64" i="26"/>
  <c r="I65" i="26"/>
  <c r="I66" i="26"/>
  <c r="H68" i="26"/>
  <c r="H70" i="26"/>
  <c r="H66" i="26"/>
  <c r="D72" i="26"/>
  <c r="E71" i="26"/>
  <c r="F71" i="26"/>
  <c r="G71" i="26"/>
  <c r="I71" i="26"/>
  <c r="I69" i="26"/>
  <c r="I70" i="26"/>
  <c r="I68" i="26"/>
  <c r="I67" i="26"/>
  <c r="E72" i="26"/>
  <c r="D73" i="26"/>
  <c r="F72" i="26"/>
  <c r="G72" i="26"/>
  <c r="H72" i="26"/>
  <c r="J65" i="26"/>
  <c r="J71" i="26"/>
  <c r="K64" i="26"/>
  <c r="I72" i="26"/>
  <c r="J68" i="26"/>
  <c r="J73" i="26"/>
  <c r="E73" i="26"/>
  <c r="D74" i="26"/>
  <c r="F73" i="26"/>
  <c r="G73" i="26"/>
  <c r="H73" i="26"/>
  <c r="I73" i="26"/>
  <c r="K65" i="26"/>
  <c r="K68" i="26"/>
  <c r="K71" i="26"/>
  <c r="L64" i="26"/>
  <c r="K69" i="26"/>
  <c r="J66" i="26"/>
  <c r="J70" i="26"/>
  <c r="J72" i="26"/>
  <c r="J69" i="26"/>
  <c r="J67" i="26"/>
  <c r="K72" i="26"/>
  <c r="K73" i="26"/>
  <c r="D75" i="26"/>
  <c r="E74" i="26"/>
  <c r="F74" i="26"/>
  <c r="G74" i="26"/>
  <c r="H74" i="26"/>
  <c r="I74" i="26"/>
  <c r="J74" i="26"/>
  <c r="K74" i="26"/>
  <c r="L65" i="26"/>
  <c r="L75" i="26"/>
  <c r="M64" i="26"/>
  <c r="L67" i="26"/>
  <c r="L66" i="26"/>
  <c r="L71" i="26"/>
  <c r="K66" i="26"/>
  <c r="K67" i="26"/>
  <c r="K70" i="26"/>
  <c r="L70" i="26"/>
  <c r="L74" i="26"/>
  <c r="L72" i="26"/>
  <c r="L69" i="26"/>
  <c r="L73" i="26"/>
  <c r="M65" i="26"/>
  <c r="M70" i="26"/>
  <c r="N64" i="26"/>
  <c r="M71" i="26"/>
  <c r="D76" i="26"/>
  <c r="E75" i="26"/>
  <c r="F75" i="26"/>
  <c r="G75" i="26"/>
  <c r="H75" i="26"/>
  <c r="I75" i="26"/>
  <c r="J75" i="26"/>
  <c r="K75" i="26"/>
  <c r="L68" i="26"/>
  <c r="M69" i="26"/>
  <c r="M68" i="26"/>
  <c r="M73" i="26"/>
  <c r="M76" i="26"/>
  <c r="M66" i="26"/>
  <c r="M72" i="26"/>
  <c r="M74" i="26"/>
  <c r="D77" i="26"/>
  <c r="E76" i="26"/>
  <c r="F76" i="26"/>
  <c r="G76" i="26"/>
  <c r="H76" i="26"/>
  <c r="I76" i="26"/>
  <c r="J76" i="26"/>
  <c r="K76" i="26"/>
  <c r="L76" i="26"/>
  <c r="M67" i="26"/>
  <c r="M75" i="26"/>
  <c r="O64" i="26"/>
  <c r="N65" i="26"/>
  <c r="N74" i="26"/>
  <c r="N76" i="26"/>
  <c r="N69" i="26"/>
  <c r="N77" i="26"/>
  <c r="N72" i="26"/>
  <c r="D78" i="26"/>
  <c r="E77" i="26"/>
  <c r="F77" i="26"/>
  <c r="G77" i="26"/>
  <c r="H77" i="26"/>
  <c r="I77" i="26"/>
  <c r="J77" i="26"/>
  <c r="K77" i="26"/>
  <c r="L77" i="26"/>
  <c r="M77" i="26"/>
  <c r="N66" i="26"/>
  <c r="N70" i="26"/>
  <c r="N75" i="26"/>
  <c r="N71" i="26"/>
  <c r="O65" i="26"/>
  <c r="O74" i="26"/>
  <c r="P64" i="26"/>
  <c r="N67" i="26"/>
  <c r="N73" i="26"/>
  <c r="N68" i="26"/>
  <c r="O67" i="26"/>
  <c r="O76" i="26"/>
  <c r="O69" i="26"/>
  <c r="O71" i="26"/>
  <c r="O72" i="26"/>
  <c r="O77" i="26"/>
  <c r="O70" i="26"/>
  <c r="O73" i="26"/>
  <c r="O75" i="26"/>
  <c r="O78" i="26"/>
  <c r="O66" i="26"/>
  <c r="E78" i="26"/>
  <c r="D79" i="26"/>
  <c r="F78" i="26"/>
  <c r="G78" i="26"/>
  <c r="H78" i="26"/>
  <c r="I78" i="26"/>
  <c r="J78" i="26"/>
  <c r="K78" i="26"/>
  <c r="L78" i="26"/>
  <c r="M78" i="26"/>
  <c r="N78" i="26"/>
  <c r="P65" i="26"/>
  <c r="P71" i="26"/>
  <c r="P69" i="26"/>
  <c r="P66" i="26"/>
  <c r="Q64" i="26"/>
  <c r="P68" i="26"/>
  <c r="P76" i="26"/>
  <c r="O68" i="26"/>
  <c r="P79" i="26"/>
  <c r="P67" i="26"/>
  <c r="P70" i="26"/>
  <c r="P75" i="26"/>
  <c r="P72" i="26"/>
  <c r="D80" i="26"/>
  <c r="F79" i="26"/>
  <c r="E79" i="26"/>
  <c r="G79" i="26"/>
  <c r="H79" i="26"/>
  <c r="I79" i="26"/>
  <c r="J79" i="26"/>
  <c r="K79" i="26"/>
  <c r="L79" i="26"/>
  <c r="M79" i="26"/>
  <c r="N79" i="26"/>
  <c r="O79" i="26"/>
  <c r="P74" i="26"/>
  <c r="P73" i="26"/>
  <c r="P77" i="26"/>
  <c r="P78" i="26"/>
  <c r="R64" i="26"/>
  <c r="Q65" i="26"/>
  <c r="Q70" i="26"/>
  <c r="Q77" i="26"/>
  <c r="Q78" i="26"/>
  <c r="Q73" i="26"/>
  <c r="S64" i="26"/>
  <c r="R65" i="26"/>
  <c r="R79" i="26"/>
  <c r="R73" i="26"/>
  <c r="Q71" i="26"/>
  <c r="Q66" i="26"/>
  <c r="Q69" i="26"/>
  <c r="Q72" i="26"/>
  <c r="Q80" i="26"/>
  <c r="D81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79" i="26"/>
  <c r="Q75" i="26"/>
  <c r="Q67" i="26"/>
  <c r="Q74" i="26"/>
  <c r="Q76" i="26"/>
  <c r="Q68" i="26"/>
  <c r="R66" i="26"/>
  <c r="R69" i="26"/>
  <c r="R80" i="26"/>
  <c r="R68" i="26"/>
  <c r="R77" i="26"/>
  <c r="R70" i="26"/>
  <c r="R67" i="26"/>
  <c r="R74" i="26"/>
  <c r="R76" i="26"/>
  <c r="T64" i="26"/>
  <c r="S65" i="26"/>
  <c r="S78" i="26"/>
  <c r="E81" i="26"/>
  <c r="D82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72" i="26"/>
  <c r="R78" i="26"/>
  <c r="R81" i="26"/>
  <c r="R71" i="26"/>
  <c r="R75" i="26"/>
  <c r="S75" i="26"/>
  <c r="S74" i="26"/>
  <c r="S68" i="26"/>
  <c r="S81" i="26"/>
  <c r="S79" i="26"/>
  <c r="S80" i="26"/>
  <c r="S67" i="26"/>
  <c r="D83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76" i="26"/>
  <c r="S69" i="26"/>
  <c r="S77" i="26"/>
  <c r="S73" i="26"/>
  <c r="T65" i="26"/>
  <c r="S82" i="26"/>
  <c r="S66" i="26"/>
  <c r="S70" i="26"/>
  <c r="S71" i="26"/>
  <c r="S72" i="26"/>
  <c r="T83" i="26"/>
  <c r="T66" i="26"/>
  <c r="T76" i="26"/>
  <c r="T72" i="26"/>
  <c r="T80" i="26"/>
  <c r="T81" i="26"/>
  <c r="T68" i="26"/>
  <c r="T69" i="26"/>
  <c r="T73" i="26"/>
  <c r="T74" i="26"/>
  <c r="T77" i="26"/>
  <c r="T78" i="26"/>
  <c r="T71" i="26"/>
  <c r="T82" i="26"/>
  <c r="T70" i="26"/>
  <c r="T67" i="26"/>
  <c r="T79" i="26"/>
  <c r="T75" i="26"/>
  <c r="D84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D85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H68" i="29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<sst xmlns="http://schemas.openxmlformats.org/spreadsheetml/2006/main" count="488" uniqueCount="105">
  <si>
    <t>[$]</t>
  </si>
  <si>
    <t>[#]</t>
  </si>
  <si>
    <t>[text]</t>
  </si>
  <si>
    <t>[date]</t>
  </si>
  <si>
    <t>End Sheet</t>
  </si>
  <si>
    <t>[years]</t>
  </si>
  <si>
    <t>Closing Balance</t>
  </si>
  <si>
    <t>General Assumptions</t>
  </si>
  <si>
    <t>Model Start Date (do not change)</t>
  </si>
  <si>
    <t>Tax Rate</t>
  </si>
  <si>
    <t>[%]</t>
  </si>
  <si>
    <t>Discount Date for Present Value of Tax Benefits</t>
  </si>
  <si>
    <t>Names of Asset Classes</t>
  </si>
  <si>
    <t>ListAssetClasses</t>
  </si>
  <si>
    <t>Short Term</t>
  </si>
  <si>
    <t>Medium Term</t>
  </si>
  <si>
    <t>Long Term</t>
  </si>
  <si>
    <t>Names of Depreciation Methods</t>
  </si>
  <si>
    <t>ListDepMethods</t>
  </si>
  <si>
    <t>Declining Balance</t>
  </si>
  <si>
    <t>Straight Line</t>
  </si>
  <si>
    <t>Adjusted MACRS</t>
  </si>
  <si>
    <t>Sum of Years Digits</t>
  </si>
  <si>
    <t>Depreciation Assumptions</t>
  </si>
  <si>
    <t>General Depreciation Assumption Data</t>
  </si>
  <si>
    <t>Annual %</t>
  </si>
  <si>
    <t>Useful Life</t>
  </si>
  <si>
    <t>(See below)</t>
  </si>
  <si>
    <t>Class #</t>
  </si>
  <si>
    <t>Class # --&gt;</t>
  </si>
  <si>
    <t>Year</t>
  </si>
  <si>
    <t>Useful Life --&gt;</t>
  </si>
  <si>
    <t>Explanation and example of Depreciation Methods</t>
  </si>
  <si>
    <t>All examples will be for an asset purchased in the year 2020 for $100.</t>
  </si>
  <si>
    <t>The depreciation each year is the provided % rate multiplied by the remaining asset balance.</t>
  </si>
  <si>
    <t>Example - rate of 30%</t>
  </si>
  <si>
    <t>Opening Balance</t>
  </si>
  <si>
    <t>New Capex</t>
  </si>
  <si>
    <t>Depreciation</t>
  </si>
  <si>
    <t>The asset is depreciated in an equal amount over each year of its useful life.</t>
  </si>
  <si>
    <t>Example - useful life of 3 years</t>
  </si>
  <si>
    <t>The asset is depreciated a certain % each year of its life, based on the provided table.</t>
  </si>
  <si>
    <t>The profile of % rates is applied to the initial cost of the asset to calculate the annual depreciation.</t>
  </si>
  <si>
    <t>Example - Class # 5</t>
  </si>
  <si>
    <t>Example - useful life of 5 years</t>
  </si>
  <si>
    <t>Capital Expenditure Assumptions</t>
  </si>
  <si>
    <t>Date of Purchase</t>
  </si>
  <si>
    <t>Amount</t>
  </si>
  <si>
    <t>Asset Class</t>
  </si>
  <si>
    <t>Capital Expenditures</t>
  </si>
  <si>
    <t>Discount Rate per Annum</t>
  </si>
  <si>
    <t>TMP SCHEDULE</t>
  </si>
  <si>
    <t>Constant</t>
  </si>
  <si>
    <t>Unit</t>
  </si>
  <si>
    <t>Total</t>
  </si>
  <si>
    <t>Company name</t>
  </si>
  <si>
    <t>Big Dog Construction</t>
  </si>
  <si>
    <t>CFM Topic</t>
  </si>
  <si>
    <t>CAPEX and Depreciation</t>
  </si>
  <si>
    <t>TIME SCHEDULE</t>
  </si>
  <si>
    <t>Model timeline and flags</t>
  </si>
  <si>
    <t>Model timeline</t>
  </si>
  <si>
    <t>date</t>
  </si>
  <si>
    <t>Model periods</t>
  </si>
  <si>
    <t>years</t>
  </si>
  <si>
    <t>CALCULATIONS SCHEDULE</t>
  </si>
  <si>
    <t>Capital expenditures</t>
  </si>
  <si>
    <t>Long Term Assets</t>
  </si>
  <si>
    <t>Straight line</t>
  </si>
  <si>
    <t>Date</t>
  </si>
  <si>
    <t>Cost</t>
  </si>
  <si>
    <t>Declining balance</t>
  </si>
  <si>
    <t>Adjusted MACS</t>
  </si>
  <si>
    <t>Sum of digits</t>
  </si>
  <si>
    <t>Medium Term Assets</t>
  </si>
  <si>
    <t>Short Term Assets</t>
  </si>
  <si>
    <t>TAX SCHEDULE</t>
  </si>
  <si>
    <t>Short term assets</t>
  </si>
  <si>
    <t>Short term assets CAPEX</t>
  </si>
  <si>
    <t>USD m</t>
  </si>
  <si>
    <t>Short term assets initial balance</t>
  </si>
  <si>
    <t>Long term assets initial balance</t>
  </si>
  <si>
    <t>Long term assets CAPEX</t>
  </si>
  <si>
    <t xml:space="preserve">Depreciation </t>
  </si>
  <si>
    <t>Long term assets final balance</t>
  </si>
  <si>
    <t>Long term assets</t>
  </si>
  <si>
    <t>Depreciation method</t>
  </si>
  <si>
    <t>Medium term assets</t>
  </si>
  <si>
    <t>Medium term assets initial balance</t>
  </si>
  <si>
    <t>Medium term assets CAPEX</t>
  </si>
  <si>
    <t>Medium term assets final balance</t>
  </si>
  <si>
    <t>Short term assets final balance</t>
  </si>
  <si>
    <t>Assets schedule</t>
  </si>
  <si>
    <t>CAPEX</t>
  </si>
  <si>
    <t>Assets opening balance</t>
  </si>
  <si>
    <t>Assets closing balance</t>
  </si>
  <si>
    <t>Tax deduction</t>
  </si>
  <si>
    <t>NPV</t>
  </si>
  <si>
    <t>XNPV</t>
  </si>
  <si>
    <t>c</t>
  </si>
  <si>
    <t>i</t>
  </si>
  <si>
    <t>ii</t>
  </si>
  <si>
    <t>iii</t>
  </si>
  <si>
    <t>iv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</si>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</sst>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#,##0_);\(#,##0\);&quot;-  &quot;;&quot; &quot;@"/>
    <numFmt numFmtId="178" formatCode="0.00%\ ;\-0.00%\ _);&quot;-  &quot;;&quot; &quot;@&quot; &quot;"/>
    <numFmt numFmtId="179" formatCode="#,##0.0000_);\(#,##0.0000\);&quot;-  &quot;;&quot; &quot;@&quot; &quot;"/>
    <numFmt numFmtId="180" formatCode="dd\ mmm\ yyyy_);\(###0\);&quot;-  &quot;;&quot; &quot;@&quot; &quot;"/>
    <numFmt numFmtId="181" formatCode="dd\ mmm\ yy_);\(###0\);&quot;-  &quot;;&quot; &quot;@&quot; &quot;"/>
    <numFmt numFmtId="182" formatCode="###0_);\(###0\);&quot;-  &quot;;&quot; &quot;@&quot; &quot;"/>
    <numFmt numFmtId="183" formatCode="#,##0_);\(#,##0\);&quot;-  &quot;;&quot; &quot;@&quot; &quot;"/>
  </numFmts>
  <fonts count="30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color theme="0" tint="-0.249977111117893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FF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indexed="64"/>
      </top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0000FF"/>
      </left>
      <right style="hair">
        <color rgb="FF0000FF"/>
      </right>
      <top/>
      <bottom style="hair">
        <color rgb="FF0000FF"/>
      </bottom>
      <diagonal/>
    </border>
    <border>
      <left style="hair">
        <color rgb="FF0000FF"/>
      </left>
      <right style="hair">
        <color rgb="FF0000FF"/>
      </right>
      <top style="thin">
        <color indexed="64"/>
      </top>
      <bottom style="thin">
        <color indexed="64"/>
      </bottom>
      <diagonal/>
    </border>
    <border>
      <left style="hair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rgb="FF0000FF"/>
      </right>
      <top style="thin">
        <color indexed="64"/>
      </top>
      <bottom style="hair">
        <color rgb="FF0000FF"/>
      </bottom>
      <diagonal/>
    </border>
    <border>
      <left style="hair">
        <color rgb="FF0000FF"/>
      </left>
      <right style="thin">
        <color indexed="64"/>
      </right>
      <top style="thin">
        <color indexed="64"/>
      </top>
      <bottom style="hair">
        <color rgb="FF0000FF"/>
      </bottom>
      <diagonal/>
    </border>
    <border>
      <left style="thin">
        <color indexed="64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hair">
        <color rgb="FF0000FF"/>
      </left>
      <right style="thin">
        <color indexed="64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 style="hair">
        <color rgb="FF0000FF"/>
      </right>
      <top style="hair">
        <color rgb="FF0000FF"/>
      </top>
      <bottom style="thin">
        <color indexed="64"/>
      </bottom>
      <diagonal/>
    </border>
    <border>
      <left style="hair">
        <color rgb="FF0000FF"/>
      </left>
      <right style="thin">
        <color indexed="64"/>
      </right>
      <top style="hair">
        <color rgb="FF0000FF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52">
    <xf numFmtId="177" fontId="0" fillId="0" borderId="0" applyFont="0" applyFill="0" applyBorder="0" applyProtection="0">
      <alignment vertical="top"/>
    </xf>
    <xf numFmtId="0" fontId="2" fillId="0" borderId="0"/>
    <xf numFmtId="165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4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6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8" fontId="1" fillId="0" borderId="0" applyBorder="0"/>
    <xf numFmtId="4" fontId="7" fillId="4" borderId="2">
      <alignment horizontal="left"/>
    </xf>
    <xf numFmtId="167" fontId="11" fillId="0" borderId="0" applyFill="0" applyBorder="0"/>
    <xf numFmtId="168" fontId="9" fillId="0" borderId="0" applyBorder="0"/>
    <xf numFmtId="0" fontId="12" fillId="0" borderId="0" applyNumberFormat="0" applyFill="0" applyBorder="0">
      <alignment horizontal="right"/>
    </xf>
    <xf numFmtId="168" fontId="12" fillId="5" borderId="8">
      <protection locked="0"/>
    </xf>
    <xf numFmtId="169" fontId="12" fillId="5" borderId="8">
      <protection locked="0"/>
    </xf>
    <xf numFmtId="170" fontId="12" fillId="5" borderId="8">
      <protection locked="0"/>
    </xf>
    <xf numFmtId="171" fontId="1" fillId="0" borderId="0" applyBorder="0"/>
    <xf numFmtId="171" fontId="12" fillId="5" borderId="8">
      <protection locked="0"/>
    </xf>
    <xf numFmtId="168" fontId="12" fillId="0" borderId="8"/>
    <xf numFmtId="15" fontId="8" fillId="0" borderId="0" applyFill="0" applyBorder="0" applyAlignment="0"/>
    <xf numFmtId="172" fontId="13" fillId="0" borderId="9">
      <alignment horizontal="center"/>
    </xf>
    <xf numFmtId="168" fontId="14" fillId="7" borderId="0" applyBorder="0" applyAlignment="0"/>
    <xf numFmtId="172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7" fontId="18" fillId="6" borderId="8" applyNumberFormat="0" applyAlignment="0">
      <protection locked="0"/>
    </xf>
    <xf numFmtId="173" fontId="19" fillId="5" borderId="8">
      <alignment horizontal="center"/>
      <protection locked="0"/>
    </xf>
    <xf numFmtId="174" fontId="19" fillId="5" borderId="8">
      <alignment horizontal="center"/>
      <protection locked="0"/>
    </xf>
    <xf numFmtId="169" fontId="1" fillId="0" borderId="0" applyBorder="0"/>
    <xf numFmtId="174" fontId="20" fillId="0" borderId="11" applyFill="0">
      <alignment horizontal="center"/>
    </xf>
    <xf numFmtId="173" fontId="19" fillId="0" borderId="11">
      <alignment horizontal="center"/>
    </xf>
    <xf numFmtId="170" fontId="2" fillId="0" borderId="0" applyFill="0" applyBorder="0" applyAlignment="0"/>
    <xf numFmtId="168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5" fontId="1" fillId="0" borderId="0" applyBorder="0"/>
    <xf numFmtId="176" fontId="1" fillId="0" borderId="0" applyBorder="0"/>
    <xf numFmtId="175" fontId="12" fillId="5" borderId="8">
      <protection locked="0"/>
    </xf>
    <xf numFmtId="178" fontId="24" fillId="0" borderId="0" applyFont="0" applyFill="0" applyBorder="0" applyProtection="0">
      <alignment vertical="top"/>
    </xf>
    <xf numFmtId="179" fontId="24" fillId="0" borderId="0" applyFont="0" applyFill="0" applyBorder="0" applyProtection="0">
      <alignment vertical="top"/>
    </xf>
    <xf numFmtId="180" fontId="24" fillId="0" borderId="0" applyFont="0" applyFill="0" applyBorder="0" applyProtection="0">
      <alignment vertical="top"/>
    </xf>
    <xf numFmtId="181" fontId="24" fillId="0" borderId="0" applyFont="0" applyFill="0" applyBorder="0" applyProtection="0">
      <alignment vertical="top"/>
    </xf>
    <xf numFmtId="182" fontId="24" fillId="0" borderId="0" applyFont="0" applyFill="0" applyBorder="0" applyProtection="0">
      <alignment vertical="top"/>
    </xf>
  </cellStyleXfs>
  <cellXfs count="86">
    <xf numFmtId="177" fontId="0" fillId="0" borderId="0" xfId="0">
      <alignment vertical="top"/>
    </xf>
    <xf numFmtId="168" fontId="1" fillId="0" borderId="0" xfId="13"/>
    <xf numFmtId="168" fontId="25" fillId="0" borderId="0" xfId="13" applyFont="1"/>
    <xf numFmtId="168" fontId="0" fillId="0" borderId="0" xfId="13" applyFont="1"/>
    <xf numFmtId="4" fontId="7" fillId="4" borderId="2" xfId="14">
      <alignment horizontal="left"/>
    </xf>
    <xf numFmtId="167" fontId="11" fillId="0" borderId="0" xfId="15"/>
    <xf numFmtId="168" fontId="9" fillId="0" borderId="0" xfId="16"/>
    <xf numFmtId="168" fontId="12" fillId="0" borderId="0" xfId="17" applyNumberFormat="1">
      <alignment horizontal="right"/>
    </xf>
    <xf numFmtId="168" fontId="12" fillId="5" borderId="8" xfId="18">
      <protection locked="0"/>
    </xf>
    <xf numFmtId="170" fontId="12" fillId="5" borderId="8" xfId="20">
      <protection locked="0"/>
    </xf>
    <xf numFmtId="175" fontId="1" fillId="0" borderId="0" xfId="44"/>
    <xf numFmtId="175" fontId="12" fillId="5" borderId="8" xfId="46">
      <protection locked="0"/>
    </xf>
    <xf numFmtId="175" fontId="12" fillId="0" borderId="8" xfId="46" applyFill="1">
      <protection locked="0"/>
    </xf>
    <xf numFmtId="168" fontId="16" fillId="0" borderId="0" xfId="28" applyNumberFormat="1"/>
    <xf numFmtId="168" fontId="12" fillId="0" borderId="8" xfId="23"/>
    <xf numFmtId="168" fontId="9" fillId="0" borderId="20" xfId="16" applyBorder="1" applyAlignment="1">
      <alignment horizontal="right" vertical="center" wrapText="1"/>
    </xf>
    <xf numFmtId="168" fontId="9" fillId="0" borderId="21" xfId="16" applyBorder="1" applyAlignment="1">
      <alignment horizontal="right" vertical="center" wrapText="1"/>
    </xf>
    <xf numFmtId="168" fontId="9" fillId="0" borderId="22" xfId="16" applyBorder="1" applyAlignment="1">
      <alignment horizontal="right" vertical="center" wrapText="1"/>
    </xf>
    <xf numFmtId="170" fontId="12" fillId="5" borderId="23" xfId="20" applyBorder="1">
      <protection locked="0"/>
    </xf>
    <xf numFmtId="168" fontId="1" fillId="0" borderId="12" xfId="13" applyBorder="1"/>
    <xf numFmtId="168" fontId="12" fillId="0" borderId="24" xfId="23" applyBorder="1"/>
    <xf numFmtId="168" fontId="12" fillId="0" borderId="25" xfId="23" applyBorder="1"/>
    <xf numFmtId="168" fontId="9" fillId="0" borderId="14" xfId="13" applyFont="1" applyBorder="1" applyAlignment="1">
      <alignment horizontal="center"/>
    </xf>
    <xf numFmtId="168" fontId="9" fillId="0" borderId="17" xfId="13" applyFont="1" applyBorder="1" applyAlignment="1">
      <alignment horizontal="center"/>
    </xf>
    <xf numFmtId="170" fontId="12" fillId="0" borderId="26" xfId="20" applyFill="1" applyBorder="1">
      <protection locked="0"/>
    </xf>
    <xf numFmtId="170" fontId="12" fillId="0" borderId="15" xfId="20" applyFill="1" applyBorder="1">
      <protection locked="0"/>
    </xf>
    <xf numFmtId="170" fontId="12" fillId="0" borderId="27" xfId="20" applyFill="1" applyBorder="1">
      <protection locked="0"/>
    </xf>
    <xf numFmtId="170" fontId="12" fillId="0" borderId="28" xfId="20" applyFill="1" applyBorder="1">
      <protection locked="0"/>
    </xf>
    <xf numFmtId="170" fontId="12" fillId="0" borderId="8" xfId="20" applyFill="1">
      <protection locked="0"/>
    </xf>
    <xf numFmtId="170" fontId="12" fillId="0" borderId="29" xfId="20" applyFill="1" applyBorder="1">
      <protection locked="0"/>
    </xf>
    <xf numFmtId="168" fontId="9" fillId="0" borderId="18" xfId="13" applyFont="1" applyBorder="1" applyAlignment="1">
      <alignment horizontal="center"/>
    </xf>
    <xf numFmtId="170" fontId="12" fillId="0" borderId="30" xfId="20" applyFill="1" applyBorder="1">
      <protection locked="0"/>
    </xf>
    <xf numFmtId="170" fontId="12" fillId="0" borderId="16" xfId="20" applyFill="1" applyBorder="1">
      <protection locked="0"/>
    </xf>
    <xf numFmtId="170" fontId="12" fillId="0" borderId="31" xfId="20" applyFill="1" applyBorder="1">
      <protection locked="0"/>
    </xf>
    <xf numFmtId="168" fontId="8" fillId="0" borderId="24" xfId="13" applyFont="1" applyBorder="1"/>
    <xf numFmtId="168" fontId="1" fillId="0" borderId="24" xfId="13" applyBorder="1"/>
    <xf numFmtId="168" fontId="1" fillId="0" borderId="25" xfId="13" applyBorder="1"/>
    <xf numFmtId="168" fontId="26" fillId="9" borderId="12" xfId="13" applyFont="1" applyFill="1" applyBorder="1"/>
    <xf numFmtId="168" fontId="26" fillId="9" borderId="2" xfId="13" applyFont="1" applyFill="1" applyBorder="1"/>
    <xf numFmtId="168" fontId="26" fillId="9" borderId="13" xfId="13" applyFont="1" applyFill="1" applyBorder="1"/>
    <xf numFmtId="170" fontId="2" fillId="0" borderId="32" xfId="36" applyFill="1" applyBorder="1"/>
    <xf numFmtId="170" fontId="2" fillId="0" borderId="19" xfId="36" applyFill="1" applyBorder="1"/>
    <xf numFmtId="170" fontId="2" fillId="0" borderId="33" xfId="36" applyFill="1" applyBorder="1"/>
    <xf numFmtId="170" fontId="2" fillId="0" borderId="34" xfId="36" applyFill="1" applyBorder="1"/>
    <xf numFmtId="170" fontId="2" fillId="0" borderId="11" xfId="36" applyFill="1" applyBorder="1"/>
    <xf numFmtId="170" fontId="2" fillId="0" borderId="35" xfId="36" applyFill="1" applyBorder="1"/>
    <xf numFmtId="170" fontId="2" fillId="0" borderId="36" xfId="36" applyFill="1" applyBorder="1"/>
    <xf numFmtId="170" fontId="2" fillId="0" borderId="37" xfId="36" applyFill="1" applyBorder="1"/>
    <xf numFmtId="170" fontId="2" fillId="0" borderId="38" xfId="36" applyFill="1" applyBorder="1"/>
    <xf numFmtId="168" fontId="25" fillId="0" borderId="37" xfId="13" applyFont="1" applyBorder="1"/>
    <xf numFmtId="176" fontId="9" fillId="0" borderId="37" xfId="45" applyFont="1" applyBorder="1"/>
    <xf numFmtId="168" fontId="9" fillId="0" borderId="39" xfId="13" applyFont="1" applyBorder="1"/>
    <xf numFmtId="169" fontId="1" fillId="0" borderId="39" xfId="33" applyBorder="1"/>
    <xf numFmtId="168" fontId="9" fillId="0" borderId="11" xfId="13" applyFont="1" applyBorder="1"/>
    <xf numFmtId="169" fontId="1" fillId="0" borderId="11" xfId="33" applyBorder="1"/>
    <xf numFmtId="168" fontId="9" fillId="0" borderId="0" xfId="16" applyAlignment="1">
      <alignment horizontal="right"/>
    </xf>
    <xf numFmtId="168" fontId="12" fillId="0" borderId="0" xfId="17" applyNumberFormat="1" applyAlignment="1"/>
    <xf numFmtId="182" fontId="1" fillId="0" borderId="0" xfId="51" applyFont="1">
      <alignment vertical="top"/>
    </xf>
    <xf numFmtId="177" fontId="27" fillId="10" borderId="0" xfId="0" applyFont="1" applyFill="1">
      <alignment vertical="top"/>
    </xf>
    <xf numFmtId="177" fontId="0" fillId="11" borderId="0" xfId="0" applyFill="1">
      <alignment vertical="top"/>
    </xf>
    <xf numFmtId="177" fontId="28" fillId="11" borderId="0" xfId="0" applyFont="1" applyFill="1">
      <alignment vertical="top"/>
    </xf>
    <xf numFmtId="177" fontId="12" fillId="5" borderId="8" xfId="0" applyFont="1" applyFill="1" applyBorder="1" applyProtection="1">
      <alignment vertical="top"/>
      <protection locked="0"/>
    </xf>
    <xf numFmtId="180" fontId="0" fillId="0" borderId="0" xfId="49" applyFont="1">
      <alignment vertical="top"/>
    </xf>
    <xf numFmtId="180" fontId="27" fillId="10" borderId="0" xfId="49" applyFont="1" applyFill="1">
      <alignment vertical="top"/>
    </xf>
    <xf numFmtId="177" fontId="0" fillId="0" borderId="0" xfId="0" applyFont="1">
      <alignment vertical="top"/>
    </xf>
    <xf numFmtId="182" fontId="0" fillId="0" borderId="0" xfId="51" applyFont="1">
      <alignment vertical="top"/>
    </xf>
    <xf numFmtId="177" fontId="28" fillId="0" borderId="0" xfId="0" applyFont="1">
      <alignment vertical="top"/>
    </xf>
    <xf numFmtId="177" fontId="0" fillId="11" borderId="0" xfId="0" applyFont="1" applyFill="1">
      <alignment vertical="top"/>
    </xf>
    <xf numFmtId="177" fontId="29" fillId="0" borderId="0" xfId="0" applyFont="1">
      <alignment vertical="top"/>
    </xf>
    <xf numFmtId="177" fontId="0" fillId="0" borderId="40" xfId="0" applyFont="1" applyBorder="1">
      <alignment vertical="top"/>
    </xf>
    <xf numFmtId="177" fontId="0" fillId="12" borderId="0" xfId="0" applyFont="1" applyFill="1">
      <alignment vertical="top"/>
    </xf>
    <xf numFmtId="181" fontId="0" fillId="0" borderId="0" xfId="50" applyFont="1">
      <alignment vertical="top"/>
    </xf>
    <xf numFmtId="181" fontId="27" fillId="10" borderId="0" xfId="50" applyFont="1" applyFill="1">
      <alignment vertical="top"/>
    </xf>
    <xf numFmtId="177" fontId="27" fillId="0" borderId="0" xfId="0" applyFont="1" applyFill="1">
      <alignment vertical="top"/>
    </xf>
    <xf numFmtId="180" fontId="27" fillId="0" borderId="0" xfId="49" applyFont="1" applyFill="1">
      <alignment vertical="top"/>
    </xf>
    <xf numFmtId="0" fontId="27" fillId="10" borderId="0" xfId="0" applyNumberFormat="1" applyFont="1" applyFill="1">
      <alignment vertical="top"/>
    </xf>
    <xf numFmtId="0" fontId="27" fillId="0" borderId="0" xfId="0" applyNumberFormat="1" applyFont="1" applyFill="1">
      <alignment vertical="top"/>
    </xf>
    <xf numFmtId="0" fontId="28" fillId="11" borderId="0" xfId="0" applyNumberFormat="1" applyFont="1" applyFill="1">
      <alignment vertical="top"/>
    </xf>
    <xf numFmtId="0" fontId="0" fillId="0" borderId="0" xfId="0" applyNumberFormat="1">
      <alignment vertical="top"/>
    </xf>
    <xf numFmtId="0" fontId="0" fillId="11" borderId="0" xfId="0" applyNumberFormat="1" applyFill="1">
      <alignment vertical="top"/>
    </xf>
    <xf numFmtId="0" fontId="0" fillId="0" borderId="0" xfId="0" applyNumberFormat="1" applyFont="1" applyFill="1">
      <alignment vertical="top"/>
    </xf>
    <xf numFmtId="0" fontId="0" fillId="0" borderId="40" xfId="0" applyNumberFormat="1" applyBorder="1">
      <alignment vertical="top"/>
    </xf>
    <xf numFmtId="177" fontId="0" fillId="0" borderId="40" xfId="0" applyBorder="1">
      <alignment vertical="top"/>
    </xf>
    <xf numFmtId="183" fontId="0" fillId="0" borderId="0" xfId="48" applyNumberFormat="1" applyFont="1">
      <alignment vertical="top"/>
    </xf>
    <xf numFmtId="177" fontId="28" fillId="0" borderId="1" xfId="0" applyFont="1" applyBorder="1">
      <alignment vertical="top"/>
    </xf>
    <xf numFmtId="0" fontId="28" fillId="0" borderId="0" xfId="0" applyNumberFormat="1" applyFont="1" applyAlignment="1">
      <alignment horizontal="center" vertical="top"/>
    </xf>
  </cellXfs>
  <cellStyles count="52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urrency [2]" xfId="6" xr:uid="{00000000-0005-0000-0000-000004000000}"/>
    <cellStyle name="DateLong" xfId="49" xr:uid="{8A360E27-1068-499B-9DC5-4D31934E9B13}"/>
    <cellStyle name="DateShort" xfId="50" xr:uid="{D46CBAF8-B036-4A69-9608-EECABDADE9A1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48" xr:uid="{90276FC6-A584-43D1-940C-060EC78E07ED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47" builtinId="5" customBuiltin="1"/>
    <cellStyle name="Percent 2" xfId="11" xr:uid="{00000000-0005-0000-0000-00002E000000}"/>
    <cellStyle name="Year" xfId="51" xr:uid="{4E872D76-A0CE-434B-944F-78750094D436}"/>
  </cellStyles>
  <dxfs count="0"/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trlProps/ctrlProp1.xml><?xml version="1.0" encoding="utf-8"?>
<formControlPr xmlns="http://schemas.microsoft.com/office/spreadsheetml/2009/9/main" objectType="Drop" dropStyle="combo" dx="39" fmlaLink="$F$5" fmlaRange="CaseData!$C$22:$C$25" noThreeD="1" sel="4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3086100</xdr:colOff>
          <xdr:row>4</xdr:row>
          <xdr:rowOff>7620</xdr:rowOff>
        </xdr:from>
        <xdr:to>
          <xdr:col>6</xdr:col>
          <xdr:colOff>350520</xdr:colOff>
          <xdr:row>5</xdr:row>
          <xdr:rowOff>7620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284F958-BFB1-46DE-B5EE-CB98E56593C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9ba2a5b-644a-478a-ad25-82bc5fa7dafe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99B4CA2-C505-4764-B9B7-619B25814FCB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E26E-68D5-467A-BE39-51BD79D9B8FE}">
  <sheetPr>
    <tabColor theme="3"/>
  </sheetPr>
  <dimension ref="A1:AH59"/>
  <sheetViews>
    <sheetView zoomScale="85" zoomScaleNormal="85" workbookViewId="0">
      <pane xSplit="9" ySplit="5" topLeftCell="J26" activePane="bottomRight" state="frozen"/>
      <selection pane="topRight" activeCell="J1" sqref="J1"/>
      <selection pane="bottomLeft" activeCell="A6" sqref="A6"/>
      <selection pane="bottomRight" activeCell="A55" sqref="A55:XFD59"/>
    </sheetView>
  </sheetViews>
  <sheetFormatPr defaultRowHeight="13.8"/>
  <cols>
    <col min="1" max="1" width="1.59765625" customWidth="1"/>
    <col min="2" max="2" width="1.59765625" style="78" customWidth="1"/>
    <col min="3" max="4" width="1.59765625" customWidth="1"/>
    <col min="5" max="5" width="40.59765625" style="78" customWidth="1"/>
    <col min="6" max="7" width="10.59765625" customWidth="1"/>
    <col min="8" max="8" width="12.59765625" customWidth="1"/>
    <col min="9" max="9" width="1.59765625" customWidth="1"/>
    <col min="10" max="34" width="12.59765625" customWidth="1"/>
  </cols>
  <sheetData>
    <row r="1" spans="1:34" s="58" customFormat="1">
      <c r="A1" s="58" t="str" cm="1">
        <f t="array" ref="A1">company</f>
        <v>Big Dog Construction</v>
      </c>
      <c r="B1" s="75"/>
      <c r="E1" s="75"/>
    </row>
    <row r="2" spans="1:34" s="58" customFormat="1">
      <c r="A2" s="58" t="str" cm="1">
        <f t="array" ref="A2">topic</f>
        <v>CFM Topic: CAPEX and Depreciation</v>
      </c>
      <c r="B2" s="75"/>
      <c r="E2" s="75"/>
    </row>
    <row r="3" spans="1:34" s="58" customFormat="1">
      <c r="A3" s="58" t="s">
        <v>76</v>
      </c>
      <c r="B3" s="75"/>
      <c r="E3" s="75"/>
      <c r="F3" s="58" t="s">
        <v>52</v>
      </c>
      <c r="G3" s="58" t="s">
        <v>53</v>
      </c>
      <c r="H3" s="58" t="s">
        <v>54</v>
      </c>
      <c r="J3" s="63" cm="1">
        <f t="array" ref="J3:AH3">EOMONTH( start_date, _xlfn.SEQUENCE( 1, periods, 0, 12 ) )</f>
        <v>43861</v>
      </c>
      <c r="K3" s="63">
        <v>44227</v>
      </c>
      <c r="L3" s="63">
        <v>44592</v>
      </c>
      <c r="M3" s="63">
        <v>44957</v>
      </c>
      <c r="N3" s="63">
        <v>45322</v>
      </c>
      <c r="O3" s="63">
        <v>45688</v>
      </c>
      <c r="P3" s="63">
        <v>46053</v>
      </c>
      <c r="Q3" s="63">
        <v>46418</v>
      </c>
      <c r="R3" s="63">
        <v>46783</v>
      </c>
      <c r="S3" s="63">
        <v>47149</v>
      </c>
      <c r="T3" s="63">
        <v>47514</v>
      </c>
      <c r="U3" s="63">
        <v>47879</v>
      </c>
      <c r="V3" s="63">
        <v>48244</v>
      </c>
      <c r="W3" s="63">
        <v>48610</v>
      </c>
      <c r="X3" s="63">
        <v>48975</v>
      </c>
      <c r="Y3" s="63">
        <v>49340</v>
      </c>
      <c r="Z3" s="63">
        <v>49705</v>
      </c>
      <c r="AA3" s="63">
        <v>50071</v>
      </c>
      <c r="AB3" s="63">
        <v>50436</v>
      </c>
      <c r="AC3" s="63">
        <v>50801</v>
      </c>
      <c r="AD3" s="63">
        <v>51166</v>
      </c>
      <c r="AE3" s="63">
        <v>51532</v>
      </c>
      <c r="AF3" s="63">
        <v>51897</v>
      </c>
      <c r="AG3" s="63">
        <v>52262</v>
      </c>
      <c r="AH3" s="63">
        <v>52627</v>
      </c>
    </row>
    <row r="4" spans="1:34" s="73" customFormat="1">
      <c r="B4" s="76"/>
      <c r="E4" s="76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</row>
    <row r="5" spans="1:34" s="73" customFormat="1">
      <c r="B5" s="76"/>
      <c r="E5" s="80" t="s">
        <v>86</v>
      </c>
      <c r="F5" s="59">
        <v>4</v>
      </c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</row>
    <row r="7" spans="1:34" s="59" customFormat="1">
      <c r="B7" s="77" t="s">
        <v>85</v>
      </c>
      <c r="E7" s="79"/>
    </row>
    <row r="9" spans="1:34">
      <c r="E9" s="78" t="s">
        <v>81</v>
      </c>
      <c r="G9" t="s">
        <v>79</v>
      </c>
      <c r="J9" cm="1">
        <f t="array" ref="J9:AH9">_xlfn.DROP( _xlfn.HSTACK( 0,_xlfn.ANCHORARRAY( $J$12) ),, -1)</f>
        <v>0</v>
      </c>
      <c r="K9">
        <v>1995882.3529411764</v>
      </c>
      <c r="L9">
        <v>2141691.176470588</v>
      </c>
      <c r="M9">
        <v>3229720.588235294</v>
      </c>
      <c r="N9">
        <v>3129625</v>
      </c>
      <c r="O9">
        <v>4102713.2352941176</v>
      </c>
      <c r="P9">
        <v>4997205.8823529407</v>
      </c>
      <c r="Q9">
        <v>5501860.2941176463</v>
      </c>
      <c r="R9">
        <v>4755051.4705882352</v>
      </c>
      <c r="S9">
        <v>3992404.4117647056</v>
      </c>
      <c r="T9">
        <v>3802742.6470588231</v>
      </c>
      <c r="U9">
        <v>3850441.176470588</v>
      </c>
      <c r="V9">
        <v>3995213.2352941176</v>
      </c>
      <c r="W9">
        <v>3606676.4705882352</v>
      </c>
      <c r="X9">
        <v>4491698.5294117648</v>
      </c>
      <c r="Y9">
        <v>4753220.5882352944</v>
      </c>
      <c r="Z9">
        <v>5020352.9411764704</v>
      </c>
      <c r="AA9">
        <v>5090147.0588235296</v>
      </c>
      <c r="AB9">
        <v>5120411.7647058824</v>
      </c>
      <c r="AC9">
        <v>4546411.7647058824</v>
      </c>
      <c r="AD9">
        <v>4087808.823529412</v>
      </c>
      <c r="AE9">
        <v>4378889.7058823537</v>
      </c>
      <c r="AF9">
        <v>4460823.5294117657</v>
      </c>
      <c r="AG9">
        <v>4094132.3529411778</v>
      </c>
      <c r="AH9">
        <v>4438933.823529413</v>
      </c>
    </row>
    <row r="10" spans="1:34">
      <c r="E10" s="78" t="s">
        <v>82</v>
      </c>
      <c r="G10" t="s">
        <v>79</v>
      </c>
      <c r="H10" cm="1">
        <f t="array" ref="H10">_xlfn.BYROW(_xlfn.ANCHORARRAY( $J$10), _xleta.SUM )</f>
        <v>24507000</v>
      </c>
      <c r="J10" cm="1">
        <f t="array" ref="J10:AH10" xml:space="preserve"> IF( _xlfn.DROP( TRANSPOSE( INDEX(_xlfn.ANCHORARRAY( Calculations!$E$7),, 2 ) ),, 1 ) = "", 0, _xlfn.DROP( TRANSPOSE( INDEX(_xlfn.ANCHORARRAY( Calculations!$E$7),, 2 ) ),, 1 ) )</f>
        <v>2262000</v>
      </c>
      <c r="K10">
        <v>448000</v>
      </c>
      <c r="L10">
        <v>1553000</v>
      </c>
      <c r="M10">
        <v>378000</v>
      </c>
      <c r="N10">
        <v>1606000</v>
      </c>
      <c r="O10">
        <v>1679000</v>
      </c>
      <c r="P10">
        <v>1395000</v>
      </c>
      <c r="Q10">
        <v>85000</v>
      </c>
      <c r="R10">
        <v>0</v>
      </c>
      <c r="S10">
        <v>571000</v>
      </c>
      <c r="T10">
        <v>833000</v>
      </c>
      <c r="U10">
        <v>964000</v>
      </c>
      <c r="V10">
        <v>390000</v>
      </c>
      <c r="W10">
        <v>1784000</v>
      </c>
      <c r="X10">
        <v>1199000</v>
      </c>
      <c r="Y10">
        <v>1239000</v>
      </c>
      <c r="Z10">
        <v>1044000</v>
      </c>
      <c r="AA10">
        <v>1012000</v>
      </c>
      <c r="AB10">
        <v>331000</v>
      </c>
      <c r="AC10">
        <v>385000</v>
      </c>
      <c r="AD10">
        <v>1165000</v>
      </c>
      <c r="AE10">
        <v>966000</v>
      </c>
      <c r="AF10">
        <v>475000</v>
      </c>
      <c r="AG10">
        <v>1241000</v>
      </c>
      <c r="AH10">
        <v>1502000</v>
      </c>
    </row>
    <row r="11" spans="1:34">
      <c r="E11" s="78" t="s">
        <v>83</v>
      </c>
      <c r="G11" t="s">
        <v>79</v>
      </c>
      <c r="H11" cm="1">
        <f t="array" ref="H11" xml:space="preserve"> _xlfn.BYROW(_xlfn.ANCHORARRAY( $J$11), _xleta.SUM )</f>
        <v>-19538977.941176467</v>
      </c>
      <c r="J11" cm="1">
        <f t="array" ref="J11:AH11">_xlfn.LET(
     _xlpm.declining,_xlfn.ANCHORARRAY(     Calculations!$J$63),
     _xlpm.straight,_xlfn.ANCHORARRAY(      Calculations!$J$93),
     _xlpm.adjusted_MACS,_xlfn.ANCHORARRAY( Calculations!$J$124),
     _xlpm.sum_of_digits,_xlfn.ANCHORARRAY( Calculations!$J$154),
     _xlpm.selector,      Answers!$F$5,
     CHOOSE( _xlpm.selector, _xlpm.declining, _xlpm.straight, _xlpm.adjusted_MACS, _xlpm.sum_of_digits ) * -1 )</f>
        <v>-266117.64705882355</v>
      </c>
      <c r="K11">
        <v>-302191.17647058819</v>
      </c>
      <c r="L11">
        <v>-464970.5882352941</v>
      </c>
      <c r="M11">
        <v>-478095.58823529404</v>
      </c>
      <c r="N11">
        <v>-632911.76470588241</v>
      </c>
      <c r="O11">
        <v>-784507.3529411765</v>
      </c>
      <c r="P11">
        <v>-890345.5882352941</v>
      </c>
      <c r="Q11">
        <v>-831808.82352941157</v>
      </c>
      <c r="R11">
        <v>-762647.0588235294</v>
      </c>
      <c r="S11">
        <v>-760661.76470588229</v>
      </c>
      <c r="T11">
        <v>-785301.47058823542</v>
      </c>
      <c r="U11">
        <v>-819227.9411764706</v>
      </c>
      <c r="V11">
        <v>-778536.76470588241</v>
      </c>
      <c r="W11">
        <v>-898977.9411764706</v>
      </c>
      <c r="X11">
        <v>-937477.9411764706</v>
      </c>
      <c r="Y11">
        <v>-971867.64705882361</v>
      </c>
      <c r="Z11">
        <v>-974205.88235294109</v>
      </c>
      <c r="AA11">
        <v>-981735.29411764699</v>
      </c>
      <c r="AB11">
        <v>-904999.99999999988</v>
      </c>
      <c r="AC11">
        <v>-843602.9411764706</v>
      </c>
      <c r="AD11">
        <v>-873919.11764705868</v>
      </c>
      <c r="AE11">
        <v>-884066.17647058819</v>
      </c>
      <c r="AF11">
        <v>-841691.17647058819</v>
      </c>
      <c r="AG11">
        <v>-896198.52941176458</v>
      </c>
      <c r="AH11">
        <v>-972911.76470588229</v>
      </c>
    </row>
    <row r="12" spans="1:34">
      <c r="E12" s="81" t="s">
        <v>84</v>
      </c>
      <c r="F12" s="82"/>
      <c r="G12" s="82" t="s">
        <v>79</v>
      </c>
      <c r="H12" s="82"/>
      <c r="I12" s="82"/>
      <c r="J12" s="82" cm="1">
        <f t="array" ref="J12:AH12" xml:space="preserve"> _xlfn.LET(
      _xlpm.initial_balance,    0,
      _xlpm.movements,_xlfn.ANCHORARRAY(         $J$10) +_xlfn.ANCHORARRAY( $J$11),
      _xlfn.SCAN( _xlpm.initial_balance, _xlpm.movements, _xleta.SUM ) )</f>
        <v>1995882.3529411764</v>
      </c>
      <c r="K12" s="82">
        <v>2141691.176470588</v>
      </c>
      <c r="L12" s="82">
        <v>3229720.588235294</v>
      </c>
      <c r="M12" s="82">
        <v>3129625</v>
      </c>
      <c r="N12" s="82">
        <v>4102713.2352941176</v>
      </c>
      <c r="O12" s="82">
        <v>4997205.8823529407</v>
      </c>
      <c r="P12" s="82">
        <v>5501860.2941176463</v>
      </c>
      <c r="Q12" s="82">
        <v>4755051.4705882352</v>
      </c>
      <c r="R12" s="82">
        <v>3992404.4117647056</v>
      </c>
      <c r="S12" s="82">
        <v>3802742.6470588231</v>
      </c>
      <c r="T12" s="82">
        <v>3850441.176470588</v>
      </c>
      <c r="U12" s="82">
        <v>3995213.2352941176</v>
      </c>
      <c r="V12" s="82">
        <v>3606676.4705882352</v>
      </c>
      <c r="W12" s="82">
        <v>4491698.5294117648</v>
      </c>
      <c r="X12" s="82">
        <v>4753220.5882352944</v>
      </c>
      <c r="Y12" s="82">
        <v>5020352.9411764704</v>
      </c>
      <c r="Z12" s="82">
        <v>5090147.0588235296</v>
      </c>
      <c r="AA12" s="82">
        <v>5120411.7647058824</v>
      </c>
      <c r="AB12" s="82">
        <v>4546411.7647058824</v>
      </c>
      <c r="AC12" s="82">
        <v>4087808.823529412</v>
      </c>
      <c r="AD12" s="82">
        <v>4378889.7058823537</v>
      </c>
      <c r="AE12" s="82">
        <v>4460823.5294117657</v>
      </c>
      <c r="AF12" s="82">
        <v>4094132.3529411778</v>
      </c>
      <c r="AG12" s="82">
        <v>4438933.823529413</v>
      </c>
      <c r="AH12" s="82">
        <v>4968022.0588235306</v>
      </c>
    </row>
    <row r="14" spans="1:34" s="59" customFormat="1">
      <c r="B14" s="77" t="s">
        <v>87</v>
      </c>
      <c r="E14" s="79"/>
    </row>
    <row r="16" spans="1:34">
      <c r="E16" s="78" t="s">
        <v>88</v>
      </c>
      <c r="G16" t="s">
        <v>79</v>
      </c>
      <c r="J16" cm="1">
        <f t="array" ref="J16:AH16">_xlfn.DROP( _xlfn.HSTACK( 0,_xlfn.ANCHORARRAY( $J$19) ),, -1)</f>
        <v>0</v>
      </c>
      <c r="K16">
        <v>1491000</v>
      </c>
      <c r="L16">
        <v>1551472.2222222222</v>
      </c>
      <c r="M16">
        <v>1663444.4444444445</v>
      </c>
      <c r="N16">
        <v>1639194.4444444445</v>
      </c>
      <c r="O16">
        <v>1584722.2222222222</v>
      </c>
      <c r="P16">
        <v>2438666.666666667</v>
      </c>
      <c r="Q16">
        <v>1781777.777777778</v>
      </c>
      <c r="R16">
        <v>2000138.888888889</v>
      </c>
      <c r="S16">
        <v>2372027.777777778</v>
      </c>
      <c r="T16">
        <v>2522277.777777778</v>
      </c>
      <c r="U16">
        <v>3483638.888888889</v>
      </c>
      <c r="V16">
        <v>2718833.3333333335</v>
      </c>
      <c r="W16">
        <v>2540166.666666667</v>
      </c>
      <c r="X16">
        <v>2481972.2222222225</v>
      </c>
      <c r="Y16">
        <v>2961888.888888889</v>
      </c>
      <c r="Z16">
        <v>2165750</v>
      </c>
      <c r="AA16">
        <v>3121944.4444444445</v>
      </c>
      <c r="AB16">
        <v>2450000</v>
      </c>
      <c r="AC16">
        <v>2089333.3333333335</v>
      </c>
      <c r="AD16">
        <v>2479777.777777778</v>
      </c>
      <c r="AE16">
        <v>2685583.3333333335</v>
      </c>
      <c r="AF16">
        <v>2873666.666666667</v>
      </c>
      <c r="AG16">
        <v>3108194.444444445</v>
      </c>
      <c r="AH16">
        <v>2790944.444444445</v>
      </c>
    </row>
    <row r="17" spans="2:34">
      <c r="E17" s="78" t="s">
        <v>89</v>
      </c>
      <c r="G17" t="s">
        <v>79</v>
      </c>
      <c r="H17" cm="1">
        <f t="array" ref="H17">_xlfn.BYROW(_xlfn.ANCHORARRAY( $J$17), _xleta.SUM )</f>
        <v>27830000</v>
      </c>
      <c r="J17" cm="1">
        <f t="array" ref="J17:AH17" xml:space="preserve"> IF( _xlfn.DROP( TRANSPOSE( INDEX(_xlfn.ANCHORARRAY( Calculations!$E$7),, 3 ) ),, 1 ) = "", 0, _xlfn.DROP( TRANSPOSE( INDEX(_xlfn.ANCHORARRAY( Calculations!$E$7),, 3 ) ),, 1 ) )</f>
        <v>1917000</v>
      </c>
      <c r="K17">
        <v>557000</v>
      </c>
      <c r="L17">
        <v>694000</v>
      </c>
      <c r="M17">
        <v>604000</v>
      </c>
      <c r="N17">
        <v>603000</v>
      </c>
      <c r="O17">
        <v>1787000</v>
      </c>
      <c r="P17">
        <v>135000</v>
      </c>
      <c r="Q17">
        <v>1074000</v>
      </c>
      <c r="R17">
        <v>1315000</v>
      </c>
      <c r="S17">
        <v>1164000</v>
      </c>
      <c r="T17">
        <v>2276000</v>
      </c>
      <c r="U17">
        <v>387000</v>
      </c>
      <c r="V17">
        <v>939000</v>
      </c>
      <c r="W17">
        <v>1038000</v>
      </c>
      <c r="X17">
        <v>1729000</v>
      </c>
      <c r="Y17">
        <v>228000</v>
      </c>
      <c r="Z17">
        <v>2222000</v>
      </c>
      <c r="AA17">
        <v>407000</v>
      </c>
      <c r="AB17">
        <v>594000</v>
      </c>
      <c r="AC17">
        <v>1460000</v>
      </c>
      <c r="AD17">
        <v>1332000</v>
      </c>
      <c r="AE17">
        <v>1368000</v>
      </c>
      <c r="AF17">
        <v>1485000</v>
      </c>
      <c r="AG17">
        <v>875000</v>
      </c>
      <c r="AH17">
        <v>1640000</v>
      </c>
    </row>
    <row r="18" spans="2:34">
      <c r="E18" s="78" t="s">
        <v>83</v>
      </c>
      <c r="G18" t="s">
        <v>79</v>
      </c>
      <c r="H18" cm="1">
        <f t="array" ref="H18" xml:space="preserve"> _xlfn.BYROW(_xlfn.ANCHORARRAY( $J$18), _xleta.SUM )</f>
        <v>-24685111.111111116</v>
      </c>
      <c r="J18" cm="1">
        <f t="array" ref="J18:AH18">_xlfn.LET(
     _xlpm.declining,_xlfn.ANCHORARRAY(     Calculations!$J$186),
     _xlpm.straight,_xlfn.ANCHORARRAY(      Calculations!$J$216),
     _xlpm.adjusted_MACS,_xlfn.ANCHORARRAY( Calculations!$J$247),
     _xlpm.sum_of_digits,_xlfn.ANCHORARRAY( Calculations!$J$277),
     _xlpm.selector,      Answers!$F$5,
     CHOOSE( _xlpm.selector, _xlpm.declining, _xlpm.straight, _xlpm.adjusted_MACS, _xlpm.sum_of_digits ) * -1 )</f>
        <v>-426000</v>
      </c>
      <c r="K18">
        <v>-496527.77777777775</v>
      </c>
      <c r="L18">
        <v>-582027.77777777775</v>
      </c>
      <c r="M18">
        <v>-628250</v>
      </c>
      <c r="N18">
        <v>-657472.22222222225</v>
      </c>
      <c r="O18">
        <v>-933055.5555555555</v>
      </c>
      <c r="P18">
        <v>-791888.88888888888</v>
      </c>
      <c r="Q18">
        <v>-855638.88888888888</v>
      </c>
      <c r="R18">
        <v>-943111.11111111101</v>
      </c>
      <c r="S18">
        <v>-1013749.9999999999</v>
      </c>
      <c r="T18">
        <v>-1314638.888888889</v>
      </c>
      <c r="U18">
        <v>-1151805.5555555555</v>
      </c>
      <c r="V18">
        <v>-1117666.6666666667</v>
      </c>
      <c r="W18">
        <v>-1096194.4444444445</v>
      </c>
      <c r="X18">
        <v>-1249083.3333333333</v>
      </c>
      <c r="Y18">
        <v>-1024138.8888888889</v>
      </c>
      <c r="Z18">
        <v>-1265805.5555555555</v>
      </c>
      <c r="AA18">
        <v>-1078944.4444444445</v>
      </c>
      <c r="AB18">
        <v>-954666.66666666663</v>
      </c>
      <c r="AC18">
        <v>-1069555.5555555555</v>
      </c>
      <c r="AD18">
        <v>-1126194.4444444445</v>
      </c>
      <c r="AE18">
        <v>-1179916.6666666665</v>
      </c>
      <c r="AF18">
        <v>-1250472.2222222222</v>
      </c>
      <c r="AG18">
        <v>-1192250</v>
      </c>
      <c r="AH18">
        <v>-1286055.5555555555</v>
      </c>
    </row>
    <row r="19" spans="2:34">
      <c r="E19" s="81" t="s">
        <v>90</v>
      </c>
      <c r="F19" s="82"/>
      <c r="G19" s="82" t="s">
        <v>79</v>
      </c>
      <c r="H19" s="82"/>
      <c r="I19" s="82"/>
      <c r="J19" s="82" cm="1">
        <f t="array" ref="J19:AH19" xml:space="preserve"> _xlfn.LET(
      _xlpm.initial_balance,    0,
      _xlpm.movements,_xlfn.ANCHORARRAY(         $J$17) +_xlfn.ANCHORARRAY( $J$18),
      _xlfn.SCAN( _xlpm.initial_balance, _xlpm.movements, _xleta.SUM ) )</f>
        <v>1491000</v>
      </c>
      <c r="K19" s="82">
        <v>1551472.2222222222</v>
      </c>
      <c r="L19" s="82">
        <v>1663444.4444444445</v>
      </c>
      <c r="M19" s="82">
        <v>1639194.4444444445</v>
      </c>
      <c r="N19" s="82">
        <v>1584722.2222222222</v>
      </c>
      <c r="O19" s="82">
        <v>2438666.666666667</v>
      </c>
      <c r="P19" s="82">
        <v>1781777.777777778</v>
      </c>
      <c r="Q19" s="82">
        <v>2000138.888888889</v>
      </c>
      <c r="R19" s="82">
        <v>2372027.777777778</v>
      </c>
      <c r="S19" s="82">
        <v>2522277.777777778</v>
      </c>
      <c r="T19" s="82">
        <v>3483638.888888889</v>
      </c>
      <c r="U19" s="82">
        <v>2718833.3333333335</v>
      </c>
      <c r="V19" s="82">
        <v>2540166.666666667</v>
      </c>
      <c r="W19" s="82">
        <v>2481972.2222222225</v>
      </c>
      <c r="X19" s="82">
        <v>2961888.888888889</v>
      </c>
      <c r="Y19" s="82">
        <v>2165750</v>
      </c>
      <c r="Z19" s="82">
        <v>3121944.4444444445</v>
      </c>
      <c r="AA19" s="82">
        <v>2450000</v>
      </c>
      <c r="AB19" s="82">
        <v>2089333.3333333335</v>
      </c>
      <c r="AC19" s="82">
        <v>2479777.777777778</v>
      </c>
      <c r="AD19" s="82">
        <v>2685583.3333333335</v>
      </c>
      <c r="AE19" s="82">
        <v>2873666.666666667</v>
      </c>
      <c r="AF19" s="82">
        <v>3108194.444444445</v>
      </c>
      <c r="AG19" s="82">
        <v>2790944.444444445</v>
      </c>
      <c r="AH19" s="82">
        <v>3144888.8888888895</v>
      </c>
    </row>
    <row r="21" spans="2:34" s="59" customFormat="1">
      <c r="B21" s="77" t="s">
        <v>77</v>
      </c>
      <c r="E21" s="79"/>
    </row>
    <row r="23" spans="2:34">
      <c r="E23" s="78" t="s">
        <v>80</v>
      </c>
      <c r="G23" t="s">
        <v>79</v>
      </c>
      <c r="J23" cm="1">
        <f t="array" ref="J23:AH23">_xlfn.DROP( _xlfn.HSTACK( 0,_xlfn.ANCHORARRAY( $J$26) ),, -1)</f>
        <v>0</v>
      </c>
      <c r="K23">
        <v>1210666.6666666667</v>
      </c>
      <c r="L23">
        <v>862400</v>
      </c>
      <c r="M23">
        <v>860133.33333333337</v>
      </c>
      <c r="N23">
        <v>1537733.3333333335</v>
      </c>
      <c r="O23">
        <v>1380200</v>
      </c>
      <c r="P23">
        <v>1493133.3333333333</v>
      </c>
      <c r="Q23">
        <v>1288866.6666666665</v>
      </c>
      <c r="R23">
        <v>742666.6666666664</v>
      </c>
      <c r="S23">
        <v>810533.33333333302</v>
      </c>
      <c r="T23">
        <v>1430799.9999999995</v>
      </c>
      <c r="U23">
        <v>1448733.333333333</v>
      </c>
      <c r="V23">
        <v>1724199.9999999998</v>
      </c>
      <c r="W23">
        <v>1364466.6666666665</v>
      </c>
      <c r="X23">
        <v>1257933.3333333333</v>
      </c>
      <c r="Y23">
        <v>1392200</v>
      </c>
      <c r="Z23">
        <v>935400.00000000012</v>
      </c>
      <c r="AA23">
        <v>1532933.3333333335</v>
      </c>
      <c r="AB23">
        <v>1251666.666666667</v>
      </c>
      <c r="AC23">
        <v>1622200.0000000002</v>
      </c>
      <c r="AD23">
        <v>1668200.0000000002</v>
      </c>
      <c r="AE23">
        <v>1458000.0000000002</v>
      </c>
      <c r="AF23">
        <v>1631800.0000000002</v>
      </c>
      <c r="AG23">
        <v>1627933.3333333337</v>
      </c>
      <c r="AH23">
        <v>1229066.666666667</v>
      </c>
    </row>
    <row r="24" spans="2:34">
      <c r="E24" s="78" t="s">
        <v>78</v>
      </c>
      <c r="G24" t="s">
        <v>79</v>
      </c>
      <c r="H24" cm="1">
        <f t="array" ref="H24">_xlfn.BYROW(_xlfn.ANCHORARRAY( J24), _xleta.SUM )</f>
        <v>25342000</v>
      </c>
      <c r="J24" cm="1">
        <f t="array" ref="J24:AH24" xml:space="preserve"> IF( _xlfn.DROP( TRANSPOSE( INDEX(_xlfn.ANCHORARRAY( Calculations!$E$7),, 4 ) ),, 1 ) = "", 0, _xlfn.DROP( TRANSPOSE( INDEX(_xlfn.ANCHORARRAY( Calculations!$E$7),, 4 ) ),, 1 ) )</f>
        <v>1816000</v>
      </c>
      <c r="K24">
        <v>204000</v>
      </c>
      <c r="L24">
        <v>623000</v>
      </c>
      <c r="M24">
        <v>1690000</v>
      </c>
      <c r="N24">
        <v>849000</v>
      </c>
      <c r="O24">
        <v>1161000</v>
      </c>
      <c r="P24">
        <v>813000</v>
      </c>
      <c r="Q24">
        <v>193000</v>
      </c>
      <c r="R24">
        <v>740000</v>
      </c>
      <c r="S24">
        <v>1563000</v>
      </c>
      <c r="T24">
        <v>994000</v>
      </c>
      <c r="U24">
        <v>1447000</v>
      </c>
      <c r="V24">
        <v>724000</v>
      </c>
      <c r="W24">
        <v>919000</v>
      </c>
      <c r="X24">
        <v>1175000</v>
      </c>
      <c r="Y24">
        <v>350000</v>
      </c>
      <c r="Z24">
        <v>1645000</v>
      </c>
      <c r="AA24">
        <v>668000</v>
      </c>
      <c r="AB24">
        <v>1504000</v>
      </c>
      <c r="AC24">
        <v>1235000</v>
      </c>
      <c r="AD24">
        <v>928000</v>
      </c>
      <c r="AE24">
        <v>1370000</v>
      </c>
      <c r="AF24">
        <v>1218000</v>
      </c>
      <c r="AG24">
        <v>609000</v>
      </c>
      <c r="AH24">
        <v>904000</v>
      </c>
    </row>
    <row r="25" spans="2:34">
      <c r="E25" s="78" t="s">
        <v>83</v>
      </c>
      <c r="G25" t="s">
        <v>79</v>
      </c>
      <c r="H25" cm="1">
        <f t="array" ref="H25" xml:space="preserve"> _xlfn.BYROW(_xlfn.ANCHORARRAY( J25), _xleta.SUM )</f>
        <v>-24160800.000000004</v>
      </c>
      <c r="J25" cm="1">
        <f t="array" ref="J25:AH25">_xlfn.LET(
     _xlpm.declining,_xlfn.ANCHORARRAY(     Calculations!$J$309),
     _xlpm.straight,_xlfn.ANCHORARRAY(      Calculations!$J$339),
     _xlpm.adjusted_MACS,_xlfn.ANCHORARRAY( Calculations!$J$370),
     _xlpm.sum_of_digits,_xlfn.ANCHORARRAY( Calculations!$J$400),
     _xlpm.selector,      Answers!$F$5,
     CHOOSE( _xlpm.selector, _xlpm.declining, _xlpm.straight, _xlpm.adjusted_MACS, _xlpm.sum_of_digits ) * -1 )</f>
        <v>-605333.33333333326</v>
      </c>
      <c r="K25">
        <v>-552266.66666666674</v>
      </c>
      <c r="L25">
        <v>-625266.66666666663</v>
      </c>
      <c r="M25">
        <v>-1012400</v>
      </c>
      <c r="N25">
        <v>-1006533.3333333334</v>
      </c>
      <c r="O25">
        <v>-1048066.6666666667</v>
      </c>
      <c r="P25">
        <v>-1017266.6666666667</v>
      </c>
      <c r="Q25">
        <v>-739200.00000000012</v>
      </c>
      <c r="R25">
        <v>-672133.33333333337</v>
      </c>
      <c r="S25">
        <v>-942733.33333333337</v>
      </c>
      <c r="T25">
        <v>-976066.66666666651</v>
      </c>
      <c r="U25">
        <v>-1171533.3333333333</v>
      </c>
      <c r="V25">
        <v>-1083733.3333333333</v>
      </c>
      <c r="W25">
        <v>-1025533.3333333333</v>
      </c>
      <c r="X25">
        <v>-1040733.3333333333</v>
      </c>
      <c r="Y25">
        <v>-806799.99999999988</v>
      </c>
      <c r="Z25">
        <v>-1047466.6666666665</v>
      </c>
      <c r="AA25">
        <v>-949266.66666666663</v>
      </c>
      <c r="AB25">
        <v>-1133466.6666666667</v>
      </c>
      <c r="AC25">
        <v>-1189000</v>
      </c>
      <c r="AD25">
        <v>-1138200</v>
      </c>
      <c r="AE25">
        <v>-1196200</v>
      </c>
      <c r="AF25">
        <v>-1221866.6666666665</v>
      </c>
      <c r="AG25">
        <v>-1007866.6666666666</v>
      </c>
      <c r="AH25">
        <v>-951866.66666666651</v>
      </c>
    </row>
    <row r="26" spans="2:34">
      <c r="E26" s="81" t="s">
        <v>91</v>
      </c>
      <c r="F26" s="82"/>
      <c r="G26" s="82" t="s">
        <v>79</v>
      </c>
      <c r="H26" s="82"/>
      <c r="I26" s="82"/>
      <c r="J26" s="82" cm="1">
        <f t="array" ref="J26:AH26" xml:space="preserve"> _xlfn.LET(
      _xlpm.initial_balance,    0,
      _xlpm.movements,_xlfn.ANCHORARRAY(         $J$24) +_xlfn.ANCHORARRAY( $J$25),
      _xlfn.SCAN( _xlpm.initial_balance, _xlpm.movements, _xleta.SUM ) )</f>
        <v>1210666.6666666667</v>
      </c>
      <c r="K26" s="82">
        <v>862400</v>
      </c>
      <c r="L26" s="82">
        <v>860133.33333333337</v>
      </c>
      <c r="M26" s="82">
        <v>1537733.3333333335</v>
      </c>
      <c r="N26" s="82">
        <v>1380200</v>
      </c>
      <c r="O26" s="82">
        <v>1493133.3333333333</v>
      </c>
      <c r="P26" s="82">
        <v>1288866.6666666665</v>
      </c>
      <c r="Q26" s="82">
        <v>742666.6666666664</v>
      </c>
      <c r="R26" s="82">
        <v>810533.33333333302</v>
      </c>
      <c r="S26" s="82">
        <v>1430799.9999999995</v>
      </c>
      <c r="T26" s="82">
        <v>1448733.333333333</v>
      </c>
      <c r="U26" s="82">
        <v>1724199.9999999998</v>
      </c>
      <c r="V26" s="82">
        <v>1364466.6666666665</v>
      </c>
      <c r="W26" s="82">
        <v>1257933.3333333333</v>
      </c>
      <c r="X26" s="82">
        <v>1392200</v>
      </c>
      <c r="Y26" s="82">
        <v>935400.00000000012</v>
      </c>
      <c r="Z26" s="82">
        <v>1532933.3333333335</v>
      </c>
      <c r="AA26" s="82">
        <v>1251666.666666667</v>
      </c>
      <c r="AB26" s="82">
        <v>1622200.0000000002</v>
      </c>
      <c r="AC26" s="82">
        <v>1668200.0000000002</v>
      </c>
      <c r="AD26" s="82">
        <v>1458000.0000000002</v>
      </c>
      <c r="AE26" s="82">
        <v>1631800.0000000002</v>
      </c>
      <c r="AF26" s="82">
        <v>1627933.3333333337</v>
      </c>
      <c r="AG26" s="82">
        <v>1229066.666666667</v>
      </c>
      <c r="AH26" s="82">
        <v>1181200.0000000005</v>
      </c>
    </row>
    <row r="28" spans="2:34" s="59" customFormat="1">
      <c r="B28" s="77" t="s">
        <v>92</v>
      </c>
      <c r="E28" s="79"/>
    </row>
    <row r="30" spans="2:34">
      <c r="E30" s="78" t="s">
        <v>94</v>
      </c>
      <c r="G30" t="s">
        <v>79</v>
      </c>
      <c r="J30" cm="1">
        <f t="array" ref="J30:AH30">_xlfn.ANCHORARRAY( J9) +_xlfn.ANCHORARRAY( J16) +_xlfn.ANCHORARRAY( J23)</f>
        <v>0</v>
      </c>
      <c r="K30">
        <v>4697549.0196078429</v>
      </c>
      <c r="L30">
        <v>4555563.39869281</v>
      </c>
      <c r="M30">
        <v>5753298.3660130715</v>
      </c>
      <c r="N30">
        <v>6306552.777777778</v>
      </c>
      <c r="O30">
        <v>7067635.4575163396</v>
      </c>
      <c r="P30">
        <v>8929005.8823529407</v>
      </c>
      <c r="Q30">
        <v>8572504.7385620903</v>
      </c>
      <c r="R30">
        <v>7497857.0261437902</v>
      </c>
      <c r="S30">
        <v>7174965.5228758166</v>
      </c>
      <c r="T30">
        <v>7755820.4248366002</v>
      </c>
      <c r="U30">
        <v>8782813.398692809</v>
      </c>
      <c r="V30">
        <v>8438246.5686274506</v>
      </c>
      <c r="W30">
        <v>7511309.8039215691</v>
      </c>
      <c r="X30">
        <v>8231604.0849673199</v>
      </c>
      <c r="Y30">
        <v>9107309.4771241844</v>
      </c>
      <c r="Z30">
        <v>8121502.9411764704</v>
      </c>
      <c r="AA30">
        <v>9745024.8366013076</v>
      </c>
      <c r="AB30">
        <v>8822078.4313725494</v>
      </c>
      <c r="AC30">
        <v>8257945.0980392154</v>
      </c>
      <c r="AD30">
        <v>8235786.60130719</v>
      </c>
      <c r="AE30">
        <v>8522473.0392156877</v>
      </c>
      <c r="AF30">
        <v>8966290.1960784327</v>
      </c>
      <c r="AG30">
        <v>8830260.1307189558</v>
      </c>
      <c r="AH30">
        <v>8458944.9346405249</v>
      </c>
    </row>
    <row r="31" spans="2:34">
      <c r="E31" s="78" t="s">
        <v>93</v>
      </c>
      <c r="G31" t="s">
        <v>79</v>
      </c>
      <c r="H31" cm="1">
        <f t="array" ref="H31">_xlfn.BYROW(_xlfn.ANCHORARRAY( J31), _xleta.SUM )</f>
        <v>77679000</v>
      </c>
      <c r="J31" cm="1">
        <f t="array" ref="J31:AH31">_xlfn.ANCHORARRAY( J10) +_xlfn.ANCHORARRAY( J17) +_xlfn.ANCHORARRAY( J24)</f>
        <v>5995000</v>
      </c>
      <c r="K31">
        <v>1209000</v>
      </c>
      <c r="L31">
        <v>2870000</v>
      </c>
      <c r="M31">
        <v>2672000</v>
      </c>
      <c r="N31">
        <v>3058000</v>
      </c>
      <c r="O31">
        <v>4627000</v>
      </c>
      <c r="P31">
        <v>2343000</v>
      </c>
      <c r="Q31">
        <v>1352000</v>
      </c>
      <c r="R31">
        <v>2055000</v>
      </c>
      <c r="S31">
        <v>3298000</v>
      </c>
      <c r="T31">
        <v>4103000</v>
      </c>
      <c r="U31">
        <v>2798000</v>
      </c>
      <c r="V31">
        <v>2053000</v>
      </c>
      <c r="W31">
        <v>3741000</v>
      </c>
      <c r="X31">
        <v>4103000</v>
      </c>
      <c r="Y31">
        <v>1817000</v>
      </c>
      <c r="Z31">
        <v>4911000</v>
      </c>
      <c r="AA31">
        <v>2087000</v>
      </c>
      <c r="AB31">
        <v>2429000</v>
      </c>
      <c r="AC31">
        <v>3080000</v>
      </c>
      <c r="AD31">
        <v>3425000</v>
      </c>
      <c r="AE31">
        <v>3704000</v>
      </c>
      <c r="AF31">
        <v>3178000</v>
      </c>
      <c r="AG31">
        <v>2725000</v>
      </c>
      <c r="AH31">
        <v>4046000</v>
      </c>
    </row>
    <row r="32" spans="2:34">
      <c r="E32" s="78" t="s">
        <v>38</v>
      </c>
      <c r="G32" t="s">
        <v>79</v>
      </c>
      <c r="H32" cm="1">
        <f t="array" ref="H32">_xlfn.BYROW(_xlfn.ANCHORARRAY( J32), _xleta.SUM )</f>
        <v>-68384889.052287593</v>
      </c>
      <c r="J32" cm="1">
        <f t="array" ref="J32:AH32">_xlfn.ANCHORARRAY( J11) +_xlfn.ANCHORARRAY( J18) +_xlfn.ANCHORARRAY( J25)</f>
        <v>-1297450.9803921569</v>
      </c>
      <c r="K32">
        <v>-1350985.6209150327</v>
      </c>
      <c r="L32">
        <v>-1672265.0326797385</v>
      </c>
      <c r="M32">
        <v>-2118745.588235294</v>
      </c>
      <c r="N32">
        <v>-2296917.3202614379</v>
      </c>
      <c r="O32">
        <v>-2765629.5751633989</v>
      </c>
      <c r="P32">
        <v>-2699501.1437908495</v>
      </c>
      <c r="Q32">
        <v>-2426647.7124183006</v>
      </c>
      <c r="R32">
        <v>-2377891.5032679737</v>
      </c>
      <c r="S32">
        <v>-2717145.0980392154</v>
      </c>
      <c r="T32">
        <v>-3076007.0261437907</v>
      </c>
      <c r="U32">
        <v>-3142566.8300653594</v>
      </c>
      <c r="V32">
        <v>-2979936.7647058824</v>
      </c>
      <c r="W32">
        <v>-3020705.7189542484</v>
      </c>
      <c r="X32">
        <v>-3227294.6078431373</v>
      </c>
      <c r="Y32">
        <v>-2802806.5359477126</v>
      </c>
      <c r="Z32">
        <v>-3287478.1045751632</v>
      </c>
      <c r="AA32">
        <v>-3009946.4052287582</v>
      </c>
      <c r="AB32">
        <v>-2993133.333333333</v>
      </c>
      <c r="AC32">
        <v>-3102158.4967320263</v>
      </c>
      <c r="AD32">
        <v>-3138313.5620915033</v>
      </c>
      <c r="AE32">
        <v>-3260182.8431372549</v>
      </c>
      <c r="AF32">
        <v>-3314030.065359477</v>
      </c>
      <c r="AG32">
        <v>-3096315.1960784313</v>
      </c>
      <c r="AH32">
        <v>-3210833.9869281044</v>
      </c>
    </row>
    <row r="33" spans="2:34">
      <c r="E33" s="81" t="s">
        <v>95</v>
      </c>
      <c r="F33" s="82"/>
      <c r="G33" s="82" t="s">
        <v>79</v>
      </c>
      <c r="H33" s="82" cm="1">
        <f t="array" ref="H33">_xlfn.BYCOL(H30:H32, _xleta.SUM )</f>
        <v>9294110.9477124065</v>
      </c>
      <c r="I33" s="82"/>
      <c r="J33" s="82" cm="1">
        <f t="array" ref="J33:AH33">_xlfn.ANCHORARRAY( J12) +_xlfn.ANCHORARRAY( J19) +_xlfn.ANCHORARRAY( J26)</f>
        <v>4697549.0196078429</v>
      </c>
      <c r="K33" s="82">
        <v>4555563.39869281</v>
      </c>
      <c r="L33" s="82">
        <v>5753298.3660130715</v>
      </c>
      <c r="M33" s="82">
        <v>6306552.777777778</v>
      </c>
      <c r="N33" s="82">
        <v>7067635.4575163396</v>
      </c>
      <c r="O33" s="82">
        <v>8929005.8823529407</v>
      </c>
      <c r="P33" s="82">
        <v>8572504.7385620903</v>
      </c>
      <c r="Q33" s="82">
        <v>7497857.0261437902</v>
      </c>
      <c r="R33" s="82">
        <v>7174965.5228758166</v>
      </c>
      <c r="S33" s="82">
        <v>7755820.4248366002</v>
      </c>
      <c r="T33" s="82">
        <v>8782813.398692809</v>
      </c>
      <c r="U33" s="82">
        <v>8438246.5686274506</v>
      </c>
      <c r="V33" s="82">
        <v>7511309.8039215691</v>
      </c>
      <c r="W33" s="82">
        <v>8231604.0849673199</v>
      </c>
      <c r="X33" s="82">
        <v>9107309.4771241844</v>
      </c>
      <c r="Y33" s="82">
        <v>8121502.9411764704</v>
      </c>
      <c r="Z33" s="82">
        <v>9745024.8366013076</v>
      </c>
      <c r="AA33" s="82">
        <v>8822078.4313725494</v>
      </c>
      <c r="AB33" s="82">
        <v>8257945.0980392154</v>
      </c>
      <c r="AC33" s="82">
        <v>8235786.60130719</v>
      </c>
      <c r="AD33" s="82">
        <v>8522473.0392156877</v>
      </c>
      <c r="AE33" s="82">
        <v>8966290.1960784327</v>
      </c>
      <c r="AF33" s="82">
        <v>8830260.1307189558</v>
      </c>
      <c r="AG33" s="82">
        <v>8458944.9346405249</v>
      </c>
      <c r="AH33" s="82">
        <v>9294110.9477124196</v>
      </c>
    </row>
    <row r="35" spans="2:34" s="59" customFormat="1">
      <c r="B35" s="77" t="s">
        <v>96</v>
      </c>
      <c r="E35" s="79"/>
    </row>
    <row r="37" spans="2:34">
      <c r="E37" s="78" t="s">
        <v>38</v>
      </c>
      <c r="G37" t="s">
        <v>79</v>
      </c>
      <c r="J37" cm="1">
        <f t="array" ref="J37:AH37">_xlfn.ANCHORARRAY( J32) * -1</f>
        <v>1297450.9803921569</v>
      </c>
      <c r="K37">
        <v>1350985.6209150327</v>
      </c>
      <c r="L37">
        <v>1672265.0326797385</v>
      </c>
      <c r="M37">
        <v>2118745.588235294</v>
      </c>
      <c r="N37">
        <v>2296917.3202614379</v>
      </c>
      <c r="O37">
        <v>2765629.5751633989</v>
      </c>
      <c r="P37">
        <v>2699501.1437908495</v>
      </c>
      <c r="Q37">
        <v>2426647.7124183006</v>
      </c>
      <c r="R37">
        <v>2377891.5032679737</v>
      </c>
      <c r="S37">
        <v>2717145.0980392154</v>
      </c>
      <c r="T37">
        <v>3076007.0261437907</v>
      </c>
      <c r="U37">
        <v>3142566.8300653594</v>
      </c>
      <c r="V37">
        <v>2979936.7647058824</v>
      </c>
      <c r="W37">
        <v>3020705.7189542484</v>
      </c>
      <c r="X37">
        <v>3227294.6078431373</v>
      </c>
      <c r="Y37">
        <v>2802806.5359477126</v>
      </c>
      <c r="Z37">
        <v>3287478.1045751632</v>
      </c>
      <c r="AA37">
        <v>3009946.4052287582</v>
      </c>
      <c r="AB37">
        <v>2993133.333333333</v>
      </c>
      <c r="AC37">
        <v>3102158.4967320263</v>
      </c>
      <c r="AD37">
        <v>3138313.5620915033</v>
      </c>
      <c r="AE37">
        <v>3260182.8431372549</v>
      </c>
      <c r="AF37">
        <v>3314030.065359477</v>
      </c>
      <c r="AG37">
        <v>3096315.1960784313</v>
      </c>
      <c r="AH37">
        <v>3210833.9869281044</v>
      </c>
    </row>
    <row r="38" spans="2:34">
      <c r="E38" s="81" t="s">
        <v>96</v>
      </c>
      <c r="F38" s="82"/>
      <c r="G38" s="82" t="s">
        <v>79</v>
      </c>
      <c r="H38" s="82"/>
      <c r="I38" s="82"/>
      <c r="J38" s="82" cm="1">
        <f t="array" ref="J38:AH38" xml:space="preserve"> _xlfn.LET(
      _xlpm.tax_deduction,      CaseData!$G$7,
      _xlpm.depreciation,_xlfn.ANCHORARRAY(       Answers!$J$37),
      _xlpm.tax_deduction * _xlpm.depreciation )</f>
        <v>389235.29411764705</v>
      </c>
      <c r="K38" s="82">
        <v>405295.68627450982</v>
      </c>
      <c r="L38" s="82">
        <v>501679.50980392151</v>
      </c>
      <c r="M38" s="82">
        <v>635623.67647058819</v>
      </c>
      <c r="N38" s="82">
        <v>689075.19607843133</v>
      </c>
      <c r="O38" s="82">
        <v>829688.87254901964</v>
      </c>
      <c r="P38" s="82">
        <v>809850.34313725482</v>
      </c>
      <c r="Q38" s="82">
        <v>727994.31372549012</v>
      </c>
      <c r="R38" s="82">
        <v>713367.45098039205</v>
      </c>
      <c r="S38" s="82">
        <v>815143.52941176458</v>
      </c>
      <c r="T38" s="82">
        <v>922802.10784313723</v>
      </c>
      <c r="U38" s="82">
        <v>942770.04901960783</v>
      </c>
      <c r="V38" s="82">
        <v>893981.0294117647</v>
      </c>
      <c r="W38" s="82">
        <v>906211.71568627446</v>
      </c>
      <c r="X38" s="82">
        <v>968188.3823529412</v>
      </c>
      <c r="Y38" s="82">
        <v>840841.96078431373</v>
      </c>
      <c r="Z38" s="82">
        <v>986243.43137254892</v>
      </c>
      <c r="AA38" s="82">
        <v>902983.92156862747</v>
      </c>
      <c r="AB38" s="82">
        <v>897939.99999999988</v>
      </c>
      <c r="AC38" s="82">
        <v>930647.54901960783</v>
      </c>
      <c r="AD38" s="82">
        <v>941494.06862745096</v>
      </c>
      <c r="AE38" s="82">
        <v>978054.85294117639</v>
      </c>
      <c r="AF38" s="82">
        <v>994209.01960784302</v>
      </c>
      <c r="AG38" s="82">
        <v>928894.5588235294</v>
      </c>
      <c r="AH38" s="82">
        <v>963250.19607843133</v>
      </c>
    </row>
    <row r="41" spans="2:34">
      <c r="J41" s="85" t="s">
        <v>97</v>
      </c>
      <c r="K41" s="85" t="s">
        <v>98</v>
      </c>
    </row>
    <row r="42" spans="2:34">
      <c r="H42" s="84"/>
      <c r="I42" s="84"/>
      <c r="J42" s="84">
        <f xml:space="preserve"> _xlfn.LET(
      _xlpm.rate,      CaseData!$G$8,
      _xlpm.deduction,_xlfn.ANCHORARRAY( Answers!$J$38),
      NPV( _xlpm.rate, _xlpm.deduction ) )</f>
        <v>7119925.3717650669</v>
      </c>
      <c r="K42" s="84">
        <f xml:space="preserve"> _xlfn.LET(
      _xlpm.rate,      CaseData!$G$8,
      _xlpm.deduction,_xlfn.ANCHORARRAY( Answers!$J$38),
      XNPV( _xlpm.rate, _xlpm.deduction,_xlfn.ANCHORARRAY( J3) ) )</f>
        <v>7755756.0413488755</v>
      </c>
    </row>
    <row r="43" spans="2:34">
      <c r="H43" t="str" cm="1">
        <f t="array" ref="H43:H46">ListDepMethods</f>
        <v>Declining Balance</v>
      </c>
      <c r="I43">
        <v>1</v>
      </c>
      <c r="J43">
        <f t="dataTable" ref="J43:K46" dt2D="0" dtr="0" r1="F5"/>
        <v>6827908.4847171027</v>
      </c>
      <c r="K43">
        <v>7437668.0499854581</v>
      </c>
    </row>
    <row r="44" spans="2:34">
      <c r="H44" t="str">
        <v>Straight Line</v>
      </c>
      <c r="I44">
        <v>2</v>
      </c>
      <c r="J44">
        <v>6276501.1630772855</v>
      </c>
      <c r="K44">
        <v>6836712.6487288279</v>
      </c>
    </row>
    <row r="45" spans="2:34">
      <c r="H45" t="str">
        <v>Adjusted MACRS</v>
      </c>
      <c r="I45">
        <v>3</v>
      </c>
      <c r="J45">
        <v>6995081.2393678138</v>
      </c>
      <c r="K45">
        <v>7619765.4040544573</v>
      </c>
    </row>
    <row r="46" spans="2:34">
      <c r="H46" t="str">
        <v>Sum of Years Digits</v>
      </c>
      <c r="I46">
        <v>4</v>
      </c>
      <c r="J46">
        <v>7119925.3717650669</v>
      </c>
      <c r="K46">
        <v>7755756.0413488755</v>
      </c>
    </row>
    <row r="48" spans="2:34" s="59" customFormat="1">
      <c r="B48" s="77" t="s">
        <v>104</v>
      </c>
      <c r="E48" s="79"/>
    </row>
    <row r="50" spans="2:5">
      <c r="C50" t="s">
        <v>99</v>
      </c>
      <c r="D50" t="s">
        <v>100</v>
      </c>
      <c r="E50" s="64">
        <v>905400</v>
      </c>
    </row>
    <row r="51" spans="2:5">
      <c r="D51" t="s">
        <v>101</v>
      </c>
      <c r="E51">
        <v>650133.30983254127</v>
      </c>
    </row>
    <row r="52" spans="2:5">
      <c r="D52" t="s">
        <v>102</v>
      </c>
      <c r="E52" s="64">
        <v>24457487</v>
      </c>
    </row>
    <row r="53" spans="2:5">
      <c r="D53" t="s">
        <v>103</v>
      </c>
      <c r="E53" s="83">
        <v>4087808.823529412</v>
      </c>
    </row>
    <row r="55" spans="2:5">
      <c r="B55"/>
      <c r="E55"/>
    </row>
    <row r="56" spans="2:5">
      <c r="B56"/>
      <c r="E56"/>
    </row>
    <row r="57" spans="2:5">
      <c r="B57"/>
      <c r="E57"/>
    </row>
    <row r="58" spans="2:5">
      <c r="B58"/>
      <c r="E58"/>
    </row>
    <row r="59" spans="2:5">
      <c r="B59"/>
      <c r="E59"/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45" orientation="landscape" horizontalDpi="300" verticalDpi="300" r:id="rId1"/>
  <headerFooter>
    <oddFooter>&amp;LFinancial Modeling Institute
CFM October 2026&amp;CPage &amp;P of &amp;N&amp;R&amp;D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4</xdr:col>
                    <xdr:colOff>3086100</xdr:colOff>
                    <xdr:row>4</xdr:row>
                    <xdr:rowOff>7620</xdr:rowOff>
                  </from>
                  <to>
                    <xdr:col>6</xdr:col>
                    <xdr:colOff>350520</xdr:colOff>
                    <xdr:row>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501F-F74A-4AED-B611-DD219DB19C67}">
  <sheetPr>
    <pageSetUpPr autoPageBreaks="0"/>
  </sheetPr>
  <dimension ref="A1:AH400"/>
  <sheetViews>
    <sheetView tabSelected="1" zoomScale="85" zoomScaleNormal="85" workbookViewId="0">
      <pane xSplit="9" ySplit="3" topLeftCell="J369" activePane="bottomRight" state="frozen"/>
      <selection pane="topRight" activeCell="J1" sqref="J1"/>
      <selection pane="bottomLeft" activeCell="A4" sqref="A4"/>
      <selection pane="bottomRight" activeCell="J375" sqref="J375"/>
    </sheetView>
  </sheetViews>
  <sheetFormatPr defaultColWidth="10.59765625" defaultRowHeight="13.8"/>
  <cols>
    <col min="1" max="4" width="0.8984375" style="64" customWidth="1"/>
    <col min="5" max="5" width="20.59765625" style="64" customWidth="1"/>
    <col min="6" max="8" width="9.59765625" style="64" customWidth="1"/>
    <col min="9" max="9" width="0.8984375" style="64" customWidth="1"/>
    <col min="10" max="16384" width="10.59765625" style="64"/>
  </cols>
  <sheetData>
    <row r="1" spans="1:34" s="58" customFormat="1">
      <c r="A1" s="58" t="str" cm="1">
        <f t="array" ref="A1">company</f>
        <v>Big Dog Construction</v>
      </c>
    </row>
    <row r="2" spans="1:34" s="58" customFormat="1">
      <c r="A2" s="58" t="str" cm="1">
        <f t="array" ref="A2">topic</f>
        <v>CFM Topic: CAPEX and Depreciation</v>
      </c>
    </row>
    <row r="3" spans="1:34" s="58" customFormat="1">
      <c r="A3" s="58" t="s">
        <v>65</v>
      </c>
      <c r="F3" s="58" t="s">
        <v>52</v>
      </c>
      <c r="G3" s="58" t="s">
        <v>53</v>
      </c>
      <c r="H3" s="58" t="s">
        <v>54</v>
      </c>
      <c r="J3" s="72" cm="1">
        <f t="array" ref="J3:AH3">EOMONTH( start_date, _xlfn.SEQUENCE( 1, periods, 0, 12 ) )</f>
        <v>43861</v>
      </c>
      <c r="K3" s="72">
        <v>44227</v>
      </c>
      <c r="L3" s="72">
        <v>44592</v>
      </c>
      <c r="M3" s="72">
        <v>44957</v>
      </c>
      <c r="N3" s="72">
        <v>45322</v>
      </c>
      <c r="O3" s="72">
        <v>45688</v>
      </c>
      <c r="P3" s="72">
        <v>46053</v>
      </c>
      <c r="Q3" s="72">
        <v>46418</v>
      </c>
      <c r="R3" s="72">
        <v>46783</v>
      </c>
      <c r="S3" s="72">
        <v>47149</v>
      </c>
      <c r="T3" s="72">
        <v>47514</v>
      </c>
      <c r="U3" s="72">
        <v>47879</v>
      </c>
      <c r="V3" s="72">
        <v>48244</v>
      </c>
      <c r="W3" s="72">
        <v>48610</v>
      </c>
      <c r="X3" s="72">
        <v>48975</v>
      </c>
      <c r="Y3" s="72">
        <v>49340</v>
      </c>
      <c r="Z3" s="72">
        <v>49705</v>
      </c>
      <c r="AA3" s="72">
        <v>50071</v>
      </c>
      <c r="AB3" s="72">
        <v>50436</v>
      </c>
      <c r="AC3" s="72">
        <v>50801</v>
      </c>
      <c r="AD3" s="72">
        <v>51166</v>
      </c>
      <c r="AE3" s="72">
        <v>51532</v>
      </c>
      <c r="AF3" s="72">
        <v>51897</v>
      </c>
      <c r="AG3" s="72">
        <v>52262</v>
      </c>
      <c r="AH3" s="72">
        <v>52627</v>
      </c>
    </row>
    <row r="5" spans="1:34" s="67" customFormat="1">
      <c r="B5" s="60" t="s">
        <v>66</v>
      </c>
    </row>
    <row r="7" spans="1:34">
      <c r="E7" s="65" t="str" cm="1">
        <f t="array" ref="E7:H32">_xlfn.PIVOTBY( YEAR(CaseData!$D$134:$D$433), CaseData!$F$134:$F$433,CaseData!$E$134:$E$433, _xleta.SUM,,0,,0 )</f>
        <v/>
      </c>
      <c r="F7" s="66" t="str">
        <v>Long Term</v>
      </c>
      <c r="G7" s="66" t="str">
        <v>Medium Term</v>
      </c>
      <c r="H7" s="66" t="str">
        <v>Short Term</v>
      </c>
    </row>
    <row r="8" spans="1:34">
      <c r="E8" s="65">
        <v>2020</v>
      </c>
      <c r="F8" s="64">
        <v>2262000</v>
      </c>
      <c r="G8" s="64">
        <v>1917000</v>
      </c>
      <c r="H8" s="64">
        <v>1816000</v>
      </c>
    </row>
    <row r="9" spans="1:34">
      <c r="E9" s="65">
        <v>2021</v>
      </c>
      <c r="F9" s="64">
        <v>448000</v>
      </c>
      <c r="G9" s="64">
        <v>557000</v>
      </c>
      <c r="H9" s="64">
        <v>204000</v>
      </c>
    </row>
    <row r="10" spans="1:34">
      <c r="E10" s="65">
        <v>2022</v>
      </c>
      <c r="F10" s="64">
        <v>1553000</v>
      </c>
      <c r="G10" s="64">
        <v>694000</v>
      </c>
      <c r="H10" s="64">
        <v>623000</v>
      </c>
    </row>
    <row r="11" spans="1:34">
      <c r="E11" s="65">
        <v>2023</v>
      </c>
      <c r="F11" s="64">
        <v>378000</v>
      </c>
      <c r="G11" s="64">
        <v>604000</v>
      </c>
      <c r="H11" s="64">
        <v>1690000</v>
      </c>
    </row>
    <row r="12" spans="1:34">
      <c r="E12" s="65">
        <v>2024</v>
      </c>
      <c r="F12" s="64">
        <v>1606000</v>
      </c>
      <c r="G12" s="64">
        <v>603000</v>
      </c>
      <c r="H12" s="64">
        <v>849000</v>
      </c>
    </row>
    <row r="13" spans="1:34">
      <c r="E13" s="65">
        <v>2025</v>
      </c>
      <c r="F13" s="64">
        <v>1679000</v>
      </c>
      <c r="G13" s="64">
        <v>1787000</v>
      </c>
      <c r="H13" s="64">
        <v>1161000</v>
      </c>
    </row>
    <row r="14" spans="1:34">
      <c r="E14" s="65">
        <v>2026</v>
      </c>
      <c r="F14" s="64">
        <v>1395000</v>
      </c>
      <c r="G14" s="64">
        <v>135000</v>
      </c>
      <c r="H14" s="64">
        <v>813000</v>
      </c>
    </row>
    <row r="15" spans="1:34">
      <c r="E15" s="65">
        <v>2027</v>
      </c>
      <c r="F15" s="64">
        <v>85000</v>
      </c>
      <c r="G15" s="64">
        <v>1074000</v>
      </c>
      <c r="H15" s="64">
        <v>193000</v>
      </c>
    </row>
    <row r="16" spans="1:34">
      <c r="E16" s="65">
        <v>2028</v>
      </c>
      <c r="F16" s="64" t="str">
        <v/>
      </c>
      <c r="G16" s="64">
        <v>1315000</v>
      </c>
      <c r="H16" s="64">
        <v>740000</v>
      </c>
    </row>
    <row r="17" spans="5:8">
      <c r="E17" s="65">
        <v>2029</v>
      </c>
      <c r="F17" s="64">
        <v>571000</v>
      </c>
      <c r="G17" s="64">
        <v>1164000</v>
      </c>
      <c r="H17" s="64">
        <v>1563000</v>
      </c>
    </row>
    <row r="18" spans="5:8">
      <c r="E18" s="65">
        <v>2030</v>
      </c>
      <c r="F18" s="64">
        <v>833000</v>
      </c>
      <c r="G18" s="64">
        <v>2276000</v>
      </c>
      <c r="H18" s="64">
        <v>994000</v>
      </c>
    </row>
    <row r="19" spans="5:8">
      <c r="E19" s="65">
        <v>2031</v>
      </c>
      <c r="F19" s="64">
        <v>964000</v>
      </c>
      <c r="G19" s="64">
        <v>387000</v>
      </c>
      <c r="H19" s="64">
        <v>1447000</v>
      </c>
    </row>
    <row r="20" spans="5:8">
      <c r="E20" s="65">
        <v>2032</v>
      </c>
      <c r="F20" s="64">
        <v>390000</v>
      </c>
      <c r="G20" s="64">
        <v>939000</v>
      </c>
      <c r="H20" s="64">
        <v>724000</v>
      </c>
    </row>
    <row r="21" spans="5:8">
      <c r="E21" s="65">
        <v>2033</v>
      </c>
      <c r="F21" s="64">
        <v>1784000</v>
      </c>
      <c r="G21" s="64">
        <v>1038000</v>
      </c>
      <c r="H21" s="64">
        <v>919000</v>
      </c>
    </row>
    <row r="22" spans="5:8">
      <c r="E22" s="65">
        <v>2034</v>
      </c>
      <c r="F22" s="64">
        <v>1199000</v>
      </c>
      <c r="G22" s="64">
        <v>1729000</v>
      </c>
      <c r="H22" s="64">
        <v>1175000</v>
      </c>
    </row>
    <row r="23" spans="5:8">
      <c r="E23" s="65">
        <v>2035</v>
      </c>
      <c r="F23" s="64">
        <v>1239000</v>
      </c>
      <c r="G23" s="64">
        <v>228000</v>
      </c>
      <c r="H23" s="64">
        <v>350000</v>
      </c>
    </row>
    <row r="24" spans="5:8">
      <c r="E24" s="65">
        <v>2036</v>
      </c>
      <c r="F24" s="64">
        <v>1044000</v>
      </c>
      <c r="G24" s="64">
        <v>2222000</v>
      </c>
      <c r="H24" s="64">
        <v>1645000</v>
      </c>
    </row>
    <row r="25" spans="5:8">
      <c r="E25" s="65">
        <v>2037</v>
      </c>
      <c r="F25" s="64">
        <v>1012000</v>
      </c>
      <c r="G25" s="64">
        <v>407000</v>
      </c>
      <c r="H25" s="64">
        <v>668000</v>
      </c>
    </row>
    <row r="26" spans="5:8">
      <c r="E26" s="65">
        <v>2038</v>
      </c>
      <c r="F26" s="64">
        <v>331000</v>
      </c>
      <c r="G26" s="64">
        <v>594000</v>
      </c>
      <c r="H26" s="64">
        <v>1504000</v>
      </c>
    </row>
    <row r="27" spans="5:8">
      <c r="E27" s="65">
        <v>2039</v>
      </c>
      <c r="F27" s="64">
        <v>385000</v>
      </c>
      <c r="G27" s="64">
        <v>1460000</v>
      </c>
      <c r="H27" s="64">
        <v>1235000</v>
      </c>
    </row>
    <row r="28" spans="5:8">
      <c r="E28" s="65">
        <v>2040</v>
      </c>
      <c r="F28" s="64">
        <v>1165000</v>
      </c>
      <c r="G28" s="64">
        <v>1332000</v>
      </c>
      <c r="H28" s="64">
        <v>928000</v>
      </c>
    </row>
    <row r="29" spans="5:8">
      <c r="E29" s="65">
        <v>2041</v>
      </c>
      <c r="F29" s="64">
        <v>966000</v>
      </c>
      <c r="G29" s="64">
        <v>1368000</v>
      </c>
      <c r="H29" s="64">
        <v>1370000</v>
      </c>
    </row>
    <row r="30" spans="5:8">
      <c r="E30" s="65">
        <v>2042</v>
      </c>
      <c r="F30" s="64">
        <v>475000</v>
      </c>
      <c r="G30" s="64">
        <v>1485000</v>
      </c>
      <c r="H30" s="64">
        <v>1218000</v>
      </c>
    </row>
    <row r="31" spans="5:8">
      <c r="E31" s="65">
        <v>2043</v>
      </c>
      <c r="F31" s="64">
        <v>1241000</v>
      </c>
      <c r="G31" s="64">
        <v>875000</v>
      </c>
      <c r="H31" s="64">
        <v>609000</v>
      </c>
    </row>
    <row r="32" spans="5:8">
      <c r="E32" s="65">
        <v>2044</v>
      </c>
      <c r="F32" s="64">
        <v>1502000</v>
      </c>
      <c r="G32" s="64">
        <v>1640000</v>
      </c>
      <c r="H32" s="64">
        <v>904000</v>
      </c>
    </row>
    <row r="34" spans="2:34" s="67" customFormat="1">
      <c r="B34" s="60" t="s">
        <v>67</v>
      </c>
    </row>
    <row r="36" spans="2:34">
      <c r="C36" s="68" t="s">
        <v>71</v>
      </c>
    </row>
    <row r="37" spans="2:34">
      <c r="F37" s="64" t="s">
        <v>69</v>
      </c>
      <c r="G37" s="64" t="s">
        <v>70</v>
      </c>
      <c r="J37" s="71" cm="1">
        <f t="array" ref="J37:AH37">_xlfn.ANCHORARRAY($J$3)</f>
        <v>43861</v>
      </c>
      <c r="K37" s="71">
        <v>44227</v>
      </c>
      <c r="L37" s="71">
        <v>44592</v>
      </c>
      <c r="M37" s="71">
        <v>44957</v>
      </c>
      <c r="N37" s="71">
        <v>45322</v>
      </c>
      <c r="O37" s="71">
        <v>45688</v>
      </c>
      <c r="P37" s="71">
        <v>46053</v>
      </c>
      <c r="Q37" s="71">
        <v>46418</v>
      </c>
      <c r="R37" s="71">
        <v>46783</v>
      </c>
      <c r="S37" s="71">
        <v>47149</v>
      </c>
      <c r="T37" s="71">
        <v>47514</v>
      </c>
      <c r="U37" s="71">
        <v>47879</v>
      </c>
      <c r="V37" s="71">
        <v>48244</v>
      </c>
      <c r="W37" s="71">
        <v>48610</v>
      </c>
      <c r="X37" s="71">
        <v>48975</v>
      </c>
      <c r="Y37" s="71">
        <v>49340</v>
      </c>
      <c r="Z37" s="71">
        <v>49705</v>
      </c>
      <c r="AA37" s="71">
        <v>50071</v>
      </c>
      <c r="AB37" s="71">
        <v>50436</v>
      </c>
      <c r="AC37" s="71">
        <v>50801</v>
      </c>
      <c r="AD37" s="71">
        <v>51166</v>
      </c>
      <c r="AE37" s="71">
        <v>51532</v>
      </c>
      <c r="AF37" s="71">
        <v>51897</v>
      </c>
      <c r="AG37" s="71">
        <v>52262</v>
      </c>
      <c r="AH37" s="71">
        <v>52627</v>
      </c>
    </row>
    <row r="38" spans="2:34">
      <c r="F38" s="65" cm="1">
        <f t="array" ref="F38:G62" xml:space="preserve"> _xlfn.LET(
      _xlpm.assets,_xlfn.ANCHORARRAY(E7),
      _xlpm.long_term,    INDEX( _xlpm.assets,, 2 ),
      _xlpm.acq_date,     INDEX( _xlpm.assets,, 1 ),
      _xlfn.DROP( _xlfn.HSTACK( _xlpm.acq_date, _xlpm.long_term ), 1 ) )</f>
        <v>2020</v>
      </c>
      <c r="G38" s="64">
        <v>2262000</v>
      </c>
      <c r="H38" s="64" cm="1">
        <f t="array" ref="H38:H62">IFERROR( _xlfn.BYROW(_xlfn.ANCHORARRAY( J38), _xleta.SUM ), 0 )</f>
        <v>2181703.9972256529</v>
      </c>
      <c r="J38" s="70" cm="1">
        <f t="array" ref="J38:AH62">_xlfn.LET(
     _xlpm.acquisition_date,    INDEX(_xlfn.ANCHORARRAY( F38),, 1 ),
     _xlpm.acquisition_cost,    INDEX(_xlfn.ANCHORARRAY( F38),, 2 ),
     _xlpm.current_date,_xlfn.ANCHORARRAY(        J3),
     _xlpm.period,              YEAR( _xlpm.current_date ) - _xlpm.acquisition_date,
     _xlpm.depreciation_rate,   CaseData!$I$32,
     _xlpm.book_value,          _xlpm.acquisition_cost * ( 1 - _xlpm.depreciation_rate ) ^ _xlpm.period,
     _xlpm.depreciation,        _xlpm.depreciation_rate * _xlpm.book_value,
     IFERROR(
       IF( _xlpm.period &lt; 0, 0,
         IF( _xlpm.period &gt;= 0, _xlpm.depreciation, 0 ) ), 0 ) )</f>
        <v>282750</v>
      </c>
      <c r="K38" s="64">
        <v>247406.25</v>
      </c>
      <c r="L38" s="64">
        <v>216480.46875</v>
      </c>
      <c r="M38" s="64">
        <v>189420.41015625</v>
      </c>
      <c r="N38" s="64">
        <v>165742.85888671875</v>
      </c>
      <c r="O38" s="64">
        <v>145025.00152587891</v>
      </c>
      <c r="P38" s="64">
        <v>126896.87633514404</v>
      </c>
      <c r="Q38" s="64">
        <v>111034.76679325104</v>
      </c>
      <c r="R38" s="64">
        <v>97155.420944094658</v>
      </c>
      <c r="S38" s="64">
        <v>85010.993326082826</v>
      </c>
      <c r="T38" s="64">
        <v>74384.619160322472</v>
      </c>
      <c r="U38" s="64">
        <v>65086.541765282163</v>
      </c>
      <c r="V38" s="64">
        <v>56950.724044621893</v>
      </c>
      <c r="W38" s="64">
        <v>49831.883539044153</v>
      </c>
      <c r="X38" s="64">
        <v>43602.898096663637</v>
      </c>
      <c r="Y38" s="64">
        <v>38152.535834580682</v>
      </c>
      <c r="Z38" s="64">
        <v>33383.468855258099</v>
      </c>
      <c r="AA38" s="64">
        <v>29210.535248350836</v>
      </c>
      <c r="AB38" s="64">
        <v>25559.21834230698</v>
      </c>
      <c r="AC38" s="64">
        <v>22364.316049518609</v>
      </c>
      <c r="AD38" s="64">
        <v>19568.776543328782</v>
      </c>
      <c r="AE38" s="64">
        <v>17122.679475412686</v>
      </c>
      <c r="AF38" s="64">
        <v>14982.3445409861</v>
      </c>
      <c r="AG38" s="64">
        <v>13109.551473362835</v>
      </c>
      <c r="AH38" s="64">
        <v>11470.857539192482</v>
      </c>
    </row>
    <row r="39" spans="2:34">
      <c r="F39" s="65">
        <v>2021</v>
      </c>
      <c r="G39" s="64">
        <v>448000</v>
      </c>
      <c r="H39" s="64">
        <v>429825.13111385249</v>
      </c>
      <c r="J39" s="64">
        <v>0</v>
      </c>
      <c r="K39" s="64">
        <v>56000</v>
      </c>
      <c r="L39" s="64">
        <v>49000</v>
      </c>
      <c r="M39" s="64">
        <v>42875</v>
      </c>
      <c r="N39" s="64">
        <v>37515.625</v>
      </c>
      <c r="O39" s="64">
        <v>32826.171875</v>
      </c>
      <c r="P39" s="64">
        <v>28722.900390625</v>
      </c>
      <c r="Q39" s="64">
        <v>25132.537841796875</v>
      </c>
      <c r="R39" s="64">
        <v>21990.970611572266</v>
      </c>
      <c r="S39" s="64">
        <v>19242.099285125732</v>
      </c>
      <c r="T39" s="64">
        <v>16836.836874485016</v>
      </c>
      <c r="U39" s="64">
        <v>14732.232265174389</v>
      </c>
      <c r="V39" s="64">
        <v>12890.70323202759</v>
      </c>
      <c r="W39" s="64">
        <v>11279.365328024141</v>
      </c>
      <c r="X39" s="64">
        <v>9869.4446620211238</v>
      </c>
      <c r="Y39" s="64">
        <v>8635.7640792684833</v>
      </c>
      <c r="Z39" s="64">
        <v>7556.2935693599229</v>
      </c>
      <c r="AA39" s="64">
        <v>6611.7568731899328</v>
      </c>
      <c r="AB39" s="64">
        <v>5785.2872640411906</v>
      </c>
      <c r="AC39" s="64">
        <v>5062.1263560360421</v>
      </c>
      <c r="AD39" s="64">
        <v>4429.3605615315373</v>
      </c>
      <c r="AE39" s="64">
        <v>3875.6904913400945</v>
      </c>
      <c r="AF39" s="64">
        <v>3391.2291799225832</v>
      </c>
      <c r="AG39" s="64">
        <v>2967.3255324322604</v>
      </c>
      <c r="AH39" s="64">
        <v>2596.4098408782274</v>
      </c>
    </row>
    <row r="40" spans="2:34">
      <c r="F40" s="65">
        <v>2022</v>
      </c>
      <c r="G40" s="64">
        <v>1553000</v>
      </c>
      <c r="H40" s="64">
        <v>1480995.9913770736</v>
      </c>
      <c r="J40" s="64">
        <v>0</v>
      </c>
      <c r="K40" s="64">
        <v>0</v>
      </c>
      <c r="L40" s="64">
        <v>194125</v>
      </c>
      <c r="M40" s="64">
        <v>169859.375</v>
      </c>
      <c r="N40" s="64">
        <v>148626.953125</v>
      </c>
      <c r="O40" s="64">
        <v>130048.583984375</v>
      </c>
      <c r="P40" s="64">
        <v>113792.51098632813</v>
      </c>
      <c r="Q40" s="64">
        <v>99568.447113037109</v>
      </c>
      <c r="R40" s="64">
        <v>87122.391223907471</v>
      </c>
      <c r="S40" s="64">
        <v>76232.092320919037</v>
      </c>
      <c r="T40" s="64">
        <v>66703.080780804157</v>
      </c>
      <c r="U40" s="64">
        <v>58365.195683203638</v>
      </c>
      <c r="V40" s="64">
        <v>51069.546222803183</v>
      </c>
      <c r="W40" s="64">
        <v>44685.852944952785</v>
      </c>
      <c r="X40" s="64">
        <v>39100.121326833687</v>
      </c>
      <c r="Y40" s="64">
        <v>34212.606160979478</v>
      </c>
      <c r="Z40" s="64">
        <v>29936.030390857042</v>
      </c>
      <c r="AA40" s="64">
        <v>26194.026591999911</v>
      </c>
      <c r="AB40" s="64">
        <v>22919.773267999921</v>
      </c>
      <c r="AC40" s="64">
        <v>20054.801609499933</v>
      </c>
      <c r="AD40" s="64">
        <v>17547.951408312441</v>
      </c>
      <c r="AE40" s="64">
        <v>15354.457482273387</v>
      </c>
      <c r="AF40" s="64">
        <v>13435.150296989212</v>
      </c>
      <c r="AG40" s="64">
        <v>11755.756509865561</v>
      </c>
      <c r="AH40" s="64">
        <v>10286.286946132366</v>
      </c>
    </row>
    <row r="41" spans="2:34">
      <c r="F41" s="65">
        <v>2023</v>
      </c>
      <c r="G41" s="64">
        <v>378000</v>
      </c>
      <c r="H41" s="64">
        <v>357970.55265608215</v>
      </c>
      <c r="J41" s="64">
        <v>0</v>
      </c>
      <c r="K41" s="64">
        <v>0</v>
      </c>
      <c r="L41" s="64">
        <v>0</v>
      </c>
      <c r="M41" s="64">
        <v>47250</v>
      </c>
      <c r="N41" s="64">
        <v>41343.75</v>
      </c>
      <c r="O41" s="64">
        <v>36175.78125</v>
      </c>
      <c r="P41" s="64">
        <v>31653.80859375</v>
      </c>
      <c r="Q41" s="64">
        <v>27697.08251953125</v>
      </c>
      <c r="R41" s="64">
        <v>24234.947204589844</v>
      </c>
      <c r="S41" s="64">
        <v>21205.578804016113</v>
      </c>
      <c r="T41" s="64">
        <v>18554.881453514099</v>
      </c>
      <c r="U41" s="64">
        <v>16235.521271824837</v>
      </c>
      <c r="V41" s="64">
        <v>14206.081112846732</v>
      </c>
      <c r="W41" s="64">
        <v>12430.320973740891</v>
      </c>
      <c r="X41" s="64">
        <v>10876.530852023279</v>
      </c>
      <c r="Y41" s="64">
        <v>9516.9644955203694</v>
      </c>
      <c r="Z41" s="64">
        <v>8327.3439335803232</v>
      </c>
      <c r="AA41" s="64">
        <v>7286.4259418827824</v>
      </c>
      <c r="AB41" s="64">
        <v>6375.622699147435</v>
      </c>
      <c r="AC41" s="64">
        <v>5578.669861754006</v>
      </c>
      <c r="AD41" s="64">
        <v>4881.3361290347548</v>
      </c>
      <c r="AE41" s="64">
        <v>4271.1691129054107</v>
      </c>
      <c r="AF41" s="64">
        <v>3737.2729737922346</v>
      </c>
      <c r="AG41" s="64">
        <v>3270.1138520682048</v>
      </c>
      <c r="AH41" s="64">
        <v>2861.3496205596794</v>
      </c>
    </row>
    <row r="42" spans="2:34">
      <c r="F42" s="65">
        <v>2024</v>
      </c>
      <c r="G42" s="64">
        <v>1606000</v>
      </c>
      <c r="H42" s="64">
        <v>1508744.3917329349</v>
      </c>
      <c r="J42" s="64">
        <v>0</v>
      </c>
      <c r="K42" s="64">
        <v>0</v>
      </c>
      <c r="L42" s="64">
        <v>0</v>
      </c>
      <c r="M42" s="64">
        <v>0</v>
      </c>
      <c r="N42" s="64">
        <v>200750</v>
      </c>
      <c r="O42" s="64">
        <v>175656.25</v>
      </c>
      <c r="P42" s="64">
        <v>153699.21875</v>
      </c>
      <c r="Q42" s="64">
        <v>134486.81640625</v>
      </c>
      <c r="R42" s="64">
        <v>117675.96435546875</v>
      </c>
      <c r="S42" s="64">
        <v>102966.46881103516</v>
      </c>
      <c r="T42" s="64">
        <v>90095.660209655762</v>
      </c>
      <c r="U42" s="64">
        <v>78833.702683448792</v>
      </c>
      <c r="V42" s="64">
        <v>68979.489848017693</v>
      </c>
      <c r="W42" s="64">
        <v>60357.053617015481</v>
      </c>
      <c r="X42" s="64">
        <v>52812.421914888546</v>
      </c>
      <c r="Y42" s="64">
        <v>46210.869175527478</v>
      </c>
      <c r="Z42" s="64">
        <v>40434.510528586543</v>
      </c>
      <c r="AA42" s="64">
        <v>35380.196712513221</v>
      </c>
      <c r="AB42" s="64">
        <v>30957.672123449072</v>
      </c>
      <c r="AC42" s="64">
        <v>27087.963108017939</v>
      </c>
      <c r="AD42" s="64">
        <v>23701.967719515695</v>
      </c>
      <c r="AE42" s="64">
        <v>20739.221754576232</v>
      </c>
      <c r="AF42" s="64">
        <v>18146.819035254204</v>
      </c>
      <c r="AG42" s="64">
        <v>15878.466655847431</v>
      </c>
      <c r="AH42" s="64">
        <v>13893.658323866501</v>
      </c>
    </row>
    <row r="43" spans="2:34">
      <c r="F43" s="65">
        <v>2025</v>
      </c>
      <c r="G43" s="64">
        <v>1679000</v>
      </c>
      <c r="H43" s="64">
        <v>1562798.494018571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209875</v>
      </c>
      <c r="P43" s="64">
        <v>183640.625</v>
      </c>
      <c r="Q43" s="64">
        <v>160685.546875</v>
      </c>
      <c r="R43" s="64">
        <v>140599.853515625</v>
      </c>
      <c r="S43" s="64">
        <v>123024.87182617188</v>
      </c>
      <c r="T43" s="64">
        <v>107646.76284790039</v>
      </c>
      <c r="U43" s="64">
        <v>94190.917491912842</v>
      </c>
      <c r="V43" s="64">
        <v>82417.052805423737</v>
      </c>
      <c r="W43" s="64">
        <v>72114.92120474577</v>
      </c>
      <c r="X43" s="64">
        <v>63100.556054152548</v>
      </c>
      <c r="Y43" s="64">
        <v>55212.98654738348</v>
      </c>
      <c r="Z43" s="64">
        <v>48311.363228960545</v>
      </c>
      <c r="AA43" s="64">
        <v>42272.442825340477</v>
      </c>
      <c r="AB43" s="64">
        <v>36988.387472172915</v>
      </c>
      <c r="AC43" s="64">
        <v>32364.839038151302</v>
      </c>
      <c r="AD43" s="64">
        <v>28319.234158382391</v>
      </c>
      <c r="AE43" s="64">
        <v>24779.329888584591</v>
      </c>
      <c r="AF43" s="64">
        <v>21681.913652511517</v>
      </c>
      <c r="AG43" s="64">
        <v>18971.674445947578</v>
      </c>
      <c r="AH43" s="64">
        <v>16600.215140204131</v>
      </c>
    </row>
    <row r="44" spans="2:34">
      <c r="F44" s="65">
        <v>2026</v>
      </c>
      <c r="G44" s="64">
        <v>1395000</v>
      </c>
      <c r="H44" s="64">
        <v>1284661.4645832765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174375</v>
      </c>
      <c r="Q44" s="64">
        <v>152578.125</v>
      </c>
      <c r="R44" s="64">
        <v>133505.859375</v>
      </c>
      <c r="S44" s="64">
        <v>116817.626953125</v>
      </c>
      <c r="T44" s="64">
        <v>102215.42358398438</v>
      </c>
      <c r="U44" s="64">
        <v>89438.495635986328</v>
      </c>
      <c r="V44" s="64">
        <v>78258.683681488037</v>
      </c>
      <c r="W44" s="64">
        <v>68476.348221302032</v>
      </c>
      <c r="X44" s="64">
        <v>59916.804693639278</v>
      </c>
      <c r="Y44" s="64">
        <v>52427.204106934369</v>
      </c>
      <c r="Z44" s="64">
        <v>45873.803593567573</v>
      </c>
      <c r="AA44" s="64">
        <v>40139.578144371626</v>
      </c>
      <c r="AB44" s="64">
        <v>35122.130876325173</v>
      </c>
      <c r="AC44" s="64">
        <v>30731.864516784524</v>
      </c>
      <c r="AD44" s="64">
        <v>26890.381452186459</v>
      </c>
      <c r="AE44" s="64">
        <v>23529.083770663154</v>
      </c>
      <c r="AF44" s="64">
        <v>20587.948299330259</v>
      </c>
      <c r="AG44" s="64">
        <v>18014.454761913978</v>
      </c>
      <c r="AH44" s="64">
        <v>15762.647916674729</v>
      </c>
    </row>
    <row r="45" spans="2:34">
      <c r="F45" s="65">
        <v>2027</v>
      </c>
      <c r="G45" s="64">
        <v>85000</v>
      </c>
      <c r="H45" s="64">
        <v>77316.415352445285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10625</v>
      </c>
      <c r="R45" s="64">
        <v>9296.875</v>
      </c>
      <c r="S45" s="64">
        <v>8134.765625</v>
      </c>
      <c r="T45" s="64">
        <v>7117.919921875</v>
      </c>
      <c r="U45" s="64">
        <v>6228.179931640625</v>
      </c>
      <c r="V45" s="64">
        <v>5449.6574401855469</v>
      </c>
      <c r="W45" s="64">
        <v>4768.4502601623535</v>
      </c>
      <c r="X45" s="64">
        <v>4172.3939776420593</v>
      </c>
      <c r="Y45" s="64">
        <v>3650.8447304368019</v>
      </c>
      <c r="Z45" s="64">
        <v>3194.4891391322017</v>
      </c>
      <c r="AA45" s="64">
        <v>2795.1779967406765</v>
      </c>
      <c r="AB45" s="64">
        <v>2445.7807471480919</v>
      </c>
      <c r="AC45" s="64">
        <v>2140.0581537545804</v>
      </c>
      <c r="AD45" s="64">
        <v>1872.5508845352579</v>
      </c>
      <c r="AE45" s="64">
        <v>1638.4820239683506</v>
      </c>
      <c r="AF45" s="64">
        <v>1433.6717709723068</v>
      </c>
      <c r="AG45" s="64">
        <v>1254.4627996007684</v>
      </c>
      <c r="AH45" s="64">
        <v>1097.6549496506725</v>
      </c>
    </row>
    <row r="46" spans="2:34">
      <c r="F46" s="65">
        <v>2028</v>
      </c>
      <c r="G46" s="64" t="str">
        <v/>
      </c>
      <c r="H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0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</row>
    <row r="47" spans="2:34">
      <c r="F47" s="65">
        <v>2029</v>
      </c>
      <c r="G47" s="64">
        <v>571000</v>
      </c>
      <c r="H47" s="64">
        <v>503583.69331086695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71375</v>
      </c>
      <c r="T47" s="64">
        <v>62453.125</v>
      </c>
      <c r="U47" s="64">
        <v>54646.484375</v>
      </c>
      <c r="V47" s="64">
        <v>47815.673828125</v>
      </c>
      <c r="W47" s="64">
        <v>41838.714599609375</v>
      </c>
      <c r="X47" s="64">
        <v>36608.875274658203</v>
      </c>
      <c r="Y47" s="64">
        <v>32032.765865325928</v>
      </c>
      <c r="Z47" s="64">
        <v>28028.670132160187</v>
      </c>
      <c r="AA47" s="64">
        <v>24525.086365640163</v>
      </c>
      <c r="AB47" s="64">
        <v>21459.450569935143</v>
      </c>
      <c r="AC47" s="64">
        <v>18777.01924869325</v>
      </c>
      <c r="AD47" s="64">
        <v>16429.891842606594</v>
      </c>
      <c r="AE47" s="64">
        <v>14376.15536228077</v>
      </c>
      <c r="AF47" s="64">
        <v>12579.135941995673</v>
      </c>
      <c r="AG47" s="64">
        <v>11006.743949246214</v>
      </c>
      <c r="AH47" s="64">
        <v>9630.9009555904377</v>
      </c>
    </row>
    <row r="48" spans="2:34">
      <c r="F48" s="65">
        <v>2030</v>
      </c>
      <c r="G48" s="64">
        <v>833000</v>
      </c>
      <c r="H48" s="64">
        <v>720600.13315577118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104125</v>
      </c>
      <c r="U48" s="64">
        <v>91109.375</v>
      </c>
      <c r="V48" s="64">
        <v>79720.703125</v>
      </c>
      <c r="W48" s="64">
        <v>69755.615234375</v>
      </c>
      <c r="X48" s="64">
        <v>61036.163330078125</v>
      </c>
      <c r="Y48" s="64">
        <v>53406.642913818359</v>
      </c>
      <c r="Z48" s="64">
        <v>46730.812549591064</v>
      </c>
      <c r="AA48" s="64">
        <v>40889.460980892181</v>
      </c>
      <c r="AB48" s="64">
        <v>35778.278358280659</v>
      </c>
      <c r="AC48" s="64">
        <v>31305.993563495576</v>
      </c>
      <c r="AD48" s="64">
        <v>27392.744368058629</v>
      </c>
      <c r="AE48" s="64">
        <v>23968.651322051301</v>
      </c>
      <c r="AF48" s="64">
        <v>20972.569906794888</v>
      </c>
      <c r="AG48" s="64">
        <v>18350.998668445529</v>
      </c>
      <c r="AH48" s="64">
        <v>16057.123834889837</v>
      </c>
    </row>
    <row r="49" spans="6:34">
      <c r="F49" s="65">
        <v>2031</v>
      </c>
      <c r="G49" s="64">
        <v>964000</v>
      </c>
      <c r="H49" s="64">
        <v>815341.4897783068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120500</v>
      </c>
      <c r="V49" s="64">
        <v>105437.5</v>
      </c>
      <c r="W49" s="64">
        <v>92257.8125</v>
      </c>
      <c r="X49" s="64">
        <v>80725.5859375</v>
      </c>
      <c r="Y49" s="64">
        <v>70634.8876953125</v>
      </c>
      <c r="Z49" s="64">
        <v>61805.526733398438</v>
      </c>
      <c r="AA49" s="64">
        <v>54079.835891723633</v>
      </c>
      <c r="AB49" s="64">
        <v>47319.856405258179</v>
      </c>
      <c r="AC49" s="64">
        <v>41404.874354600906</v>
      </c>
      <c r="AD49" s="64">
        <v>36229.265060275793</v>
      </c>
      <c r="AE49" s="64">
        <v>31700.606927741319</v>
      </c>
      <c r="AF49" s="64">
        <v>27738.031061773654</v>
      </c>
      <c r="AG49" s="64">
        <v>24270.777179051947</v>
      </c>
      <c r="AH49" s="64">
        <v>21236.930031670454</v>
      </c>
    </row>
    <row r="50" spans="6:34">
      <c r="F50" s="65">
        <v>2032</v>
      </c>
      <c r="G50" s="64">
        <v>390000</v>
      </c>
      <c r="H50" s="64">
        <v>321266.36753235292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48750</v>
      </c>
      <c r="W50" s="64">
        <v>42656.25</v>
      </c>
      <c r="X50" s="64">
        <v>37324.21875</v>
      </c>
      <c r="Y50" s="64">
        <v>32658.69140625</v>
      </c>
      <c r="Z50" s="64">
        <v>28576.35498046875</v>
      </c>
      <c r="AA50" s="64">
        <v>25004.310607910156</v>
      </c>
      <c r="AB50" s="64">
        <v>21878.771781921387</v>
      </c>
      <c r="AC50" s="64">
        <v>19143.925309181213</v>
      </c>
      <c r="AD50" s="64">
        <v>16750.934645533562</v>
      </c>
      <c r="AE50" s="64">
        <v>14657.067814841866</v>
      </c>
      <c r="AF50" s="64">
        <v>12824.934337986633</v>
      </c>
      <c r="AG50" s="64">
        <v>11221.817545738304</v>
      </c>
      <c r="AH50" s="64">
        <v>9819.090352521016</v>
      </c>
    </row>
    <row r="51" spans="6:34">
      <c r="F51" s="65">
        <v>2033</v>
      </c>
      <c r="G51" s="64">
        <v>1784000</v>
      </c>
      <c r="H51" s="64">
        <v>1424671.6474072309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223000</v>
      </c>
      <c r="X51" s="64">
        <v>195125</v>
      </c>
      <c r="Y51" s="64">
        <v>170734.375</v>
      </c>
      <c r="Z51" s="64">
        <v>149392.578125</v>
      </c>
      <c r="AA51" s="64">
        <v>130718.505859375</v>
      </c>
      <c r="AB51" s="64">
        <v>114378.69262695313</v>
      </c>
      <c r="AC51" s="64">
        <v>100081.35604858398</v>
      </c>
      <c r="AD51" s="64">
        <v>87571.186542510986</v>
      </c>
      <c r="AE51" s="64">
        <v>76624.788224697113</v>
      </c>
      <c r="AF51" s="64">
        <v>67046.689696609974</v>
      </c>
      <c r="AG51" s="64">
        <v>58665.853484533727</v>
      </c>
      <c r="AH51" s="64">
        <v>51332.621798967011</v>
      </c>
    </row>
    <row r="52" spans="6:34">
      <c r="F52" s="65">
        <v>2034</v>
      </c>
      <c r="G52" s="64">
        <v>1199000</v>
      </c>
      <c r="H52" s="64">
        <v>923000.83615712356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149875</v>
      </c>
      <c r="Y52" s="64">
        <v>131140.625</v>
      </c>
      <c r="Z52" s="64">
        <v>114748.046875</v>
      </c>
      <c r="AA52" s="64">
        <v>100404.541015625</v>
      </c>
      <c r="AB52" s="64">
        <v>87853.973388671875</v>
      </c>
      <c r="AC52" s="64">
        <v>76872.226715087891</v>
      </c>
      <c r="AD52" s="64">
        <v>67263.198375701904</v>
      </c>
      <c r="AE52" s="64">
        <v>58855.298578739166</v>
      </c>
      <c r="AF52" s="64">
        <v>51498.38625639677</v>
      </c>
      <c r="AG52" s="64">
        <v>45061.087974347174</v>
      </c>
      <c r="AH52" s="64">
        <v>39428.451977553777</v>
      </c>
    </row>
    <row r="53" spans="6:34">
      <c r="F53" s="65">
        <v>2035</v>
      </c>
      <c r="G53" s="64">
        <v>1239000</v>
      </c>
      <c r="H53" s="64">
        <v>913049.36113301665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154875</v>
      </c>
      <c r="Z53" s="64">
        <v>135515.625</v>
      </c>
      <c r="AA53" s="64">
        <v>118576.171875</v>
      </c>
      <c r="AB53" s="64">
        <v>103754.150390625</v>
      </c>
      <c r="AC53" s="64">
        <v>90784.881591796875</v>
      </c>
      <c r="AD53" s="64">
        <v>79436.771392822266</v>
      </c>
      <c r="AE53" s="64">
        <v>69507.174968719482</v>
      </c>
      <c r="AF53" s="64">
        <v>60818.778097629547</v>
      </c>
      <c r="AG53" s="64">
        <v>53216.430835425854</v>
      </c>
      <c r="AH53" s="64">
        <v>46564.376980997622</v>
      </c>
    </row>
    <row r="54" spans="6:34">
      <c r="F54" s="65">
        <v>2036</v>
      </c>
      <c r="G54" s="64">
        <v>1044000</v>
      </c>
      <c r="H54" s="64">
        <v>730113.25541138649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>
        <v>130500</v>
      </c>
      <c r="AA54" s="64">
        <v>114187.5</v>
      </c>
      <c r="AB54" s="64">
        <v>99914.0625</v>
      </c>
      <c r="AC54" s="64">
        <v>87424.8046875</v>
      </c>
      <c r="AD54" s="64">
        <v>76496.7041015625</v>
      </c>
      <c r="AE54" s="64">
        <v>66934.616088867188</v>
      </c>
      <c r="AF54" s="64">
        <v>58567.789077758789</v>
      </c>
      <c r="AG54" s="64">
        <v>51246.81544303894</v>
      </c>
      <c r="AH54" s="64">
        <v>44840.963512659073</v>
      </c>
    </row>
    <row r="55" spans="6:34">
      <c r="F55" s="65">
        <v>2037</v>
      </c>
      <c r="G55" s="64">
        <v>1012000</v>
      </c>
      <c r="H55" s="64">
        <v>664267.77720451355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>
        <v>0</v>
      </c>
      <c r="AA55" s="64">
        <v>126500</v>
      </c>
      <c r="AB55" s="64">
        <v>110687.5</v>
      </c>
      <c r="AC55" s="64">
        <v>96851.5625</v>
      </c>
      <c r="AD55" s="64">
        <v>84745.1171875</v>
      </c>
      <c r="AE55" s="64">
        <v>74151.9775390625</v>
      </c>
      <c r="AF55" s="64">
        <v>64882.980346679688</v>
      </c>
      <c r="AG55" s="64">
        <v>56772.607803344727</v>
      </c>
      <c r="AH55" s="64">
        <v>49676.031827926636</v>
      </c>
    </row>
    <row r="56" spans="6:34">
      <c r="F56" s="65">
        <v>2038</v>
      </c>
      <c r="G56" s="64">
        <v>331000</v>
      </c>
      <c r="H56" s="64">
        <v>201017.65584945679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>
        <v>0</v>
      </c>
      <c r="AA56" s="64">
        <v>0</v>
      </c>
      <c r="AB56" s="64">
        <v>41375</v>
      </c>
      <c r="AC56" s="64">
        <v>36203.125</v>
      </c>
      <c r="AD56" s="64">
        <v>31677.734375</v>
      </c>
      <c r="AE56" s="64">
        <v>27718.017578125</v>
      </c>
      <c r="AF56" s="64">
        <v>24253.265380859375</v>
      </c>
      <c r="AG56" s="64">
        <v>21221.607208251953</v>
      </c>
      <c r="AH56" s="64">
        <v>18568.906307220459</v>
      </c>
    </row>
    <row r="57" spans="6:34">
      <c r="F57" s="65">
        <v>2039</v>
      </c>
      <c r="G57" s="64">
        <v>385000</v>
      </c>
      <c r="H57" s="64">
        <v>212213.80233764648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>
        <v>0</v>
      </c>
      <c r="AA57" s="64">
        <v>0</v>
      </c>
      <c r="AB57" s="64">
        <v>0</v>
      </c>
      <c r="AC57" s="64">
        <v>48125</v>
      </c>
      <c r="AD57" s="64">
        <v>42109.375</v>
      </c>
      <c r="AE57" s="64">
        <v>36845.703125</v>
      </c>
      <c r="AF57" s="64">
        <v>32239.990234375</v>
      </c>
      <c r="AG57" s="64">
        <v>28209.991455078125</v>
      </c>
      <c r="AH57" s="64">
        <v>24683.742523193359</v>
      </c>
    </row>
    <row r="58" spans="6:34">
      <c r="F58" s="65">
        <v>2040</v>
      </c>
      <c r="G58" s="64">
        <v>1165000</v>
      </c>
      <c r="H58" s="64">
        <v>567461.09008789063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0</v>
      </c>
      <c r="AC58" s="64">
        <v>0</v>
      </c>
      <c r="AD58" s="64">
        <v>145625</v>
      </c>
      <c r="AE58" s="64">
        <v>127421.875</v>
      </c>
      <c r="AF58" s="64">
        <v>111494.140625</v>
      </c>
      <c r="AG58" s="64">
        <v>97557.373046875</v>
      </c>
      <c r="AH58" s="64">
        <v>85362.701416015625</v>
      </c>
    </row>
    <row r="59" spans="6:34">
      <c r="F59" s="65">
        <v>2041</v>
      </c>
      <c r="G59" s="64">
        <v>966000</v>
      </c>
      <c r="H59" s="64">
        <v>399748.53515625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0</v>
      </c>
      <c r="AD59" s="64">
        <v>0</v>
      </c>
      <c r="AE59" s="64">
        <v>120750</v>
      </c>
      <c r="AF59" s="64">
        <v>105656.25</v>
      </c>
      <c r="AG59" s="64">
        <v>92449.21875</v>
      </c>
      <c r="AH59" s="64">
        <v>80893.06640625</v>
      </c>
    </row>
    <row r="60" spans="6:34">
      <c r="F60" s="65">
        <v>2042</v>
      </c>
      <c r="G60" s="64">
        <v>475000</v>
      </c>
      <c r="H60" s="64">
        <v>156787.109375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0</v>
      </c>
      <c r="AC60" s="64">
        <v>0</v>
      </c>
      <c r="AD60" s="64">
        <v>0</v>
      </c>
      <c r="AE60" s="64">
        <v>0</v>
      </c>
      <c r="AF60" s="64">
        <v>59375</v>
      </c>
      <c r="AG60" s="64">
        <v>51953.125</v>
      </c>
      <c r="AH60" s="64">
        <v>45458.984375</v>
      </c>
    </row>
    <row r="61" spans="6:34">
      <c r="F61" s="65">
        <v>2043</v>
      </c>
      <c r="G61" s="64">
        <v>1241000</v>
      </c>
      <c r="H61" s="64">
        <v>290859.375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0</v>
      </c>
      <c r="AC61" s="64">
        <v>0</v>
      </c>
      <c r="AD61" s="64">
        <v>0</v>
      </c>
      <c r="AE61" s="64">
        <v>0</v>
      </c>
      <c r="AF61" s="64">
        <v>0</v>
      </c>
      <c r="AG61" s="64">
        <v>155125</v>
      </c>
      <c r="AH61" s="64">
        <v>135734.375</v>
      </c>
    </row>
    <row r="62" spans="6:34">
      <c r="F62" s="65">
        <v>2044</v>
      </c>
      <c r="G62" s="64">
        <v>1502000</v>
      </c>
      <c r="H62" s="64">
        <v>187750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187750</v>
      </c>
    </row>
    <row r="63" spans="6:34">
      <c r="J63" s="69" cm="1">
        <f t="array" ref="J63:AH63">_xlfn.BYCOL(_xlfn.ANCHORARRAY( J38), _xleta.SUM )</f>
        <v>282750</v>
      </c>
      <c r="K63" s="69">
        <v>303406.25</v>
      </c>
      <c r="L63" s="69">
        <v>459605.46875</v>
      </c>
      <c r="M63" s="69">
        <v>449404.78515625</v>
      </c>
      <c r="N63" s="69">
        <v>593979.18701171875</v>
      </c>
      <c r="O63" s="69">
        <v>729606.78863525391</v>
      </c>
      <c r="P63" s="69">
        <v>812780.94005584717</v>
      </c>
      <c r="Q63" s="69">
        <v>721808.32254886627</v>
      </c>
      <c r="R63" s="69">
        <v>631582.28223025799</v>
      </c>
      <c r="S63" s="69">
        <v>624009.49695147574</v>
      </c>
      <c r="T63" s="69">
        <v>650133.30983254127</v>
      </c>
      <c r="U63" s="69">
        <v>689366.64610347361</v>
      </c>
      <c r="V63" s="69">
        <v>651945.81534053944</v>
      </c>
      <c r="W63" s="69">
        <v>793452.58842297201</v>
      </c>
      <c r="X63" s="69">
        <v>844146.01487010042</v>
      </c>
      <c r="Y63" s="69">
        <v>893502.76301133796</v>
      </c>
      <c r="Z63" s="69">
        <v>912314.91763492068</v>
      </c>
      <c r="AA63" s="69">
        <v>924775.55293055554</v>
      </c>
      <c r="AB63" s="69">
        <v>850553.60881423613</v>
      </c>
      <c r="AC63" s="69">
        <v>792359.40771245665</v>
      </c>
      <c r="AD63" s="69">
        <v>838939.48174839956</v>
      </c>
      <c r="AE63" s="69">
        <v>854822.04652984964</v>
      </c>
      <c r="AF63" s="69">
        <v>807344.29071361839</v>
      </c>
      <c r="AG63" s="69">
        <v>861551.25437441608</v>
      </c>
      <c r="AH63" s="69">
        <v>941607.34757761413</v>
      </c>
    </row>
    <row r="66" spans="3:34">
      <c r="C66" s="68" t="s">
        <v>68</v>
      </c>
    </row>
    <row r="67" spans="3:34">
      <c r="F67" s="64" t="s">
        <v>69</v>
      </c>
      <c r="G67" s="64" t="s">
        <v>70</v>
      </c>
      <c r="J67" s="71" cm="1">
        <f t="array" ref="J67:AH67">_xlfn.ANCHORARRAY($J$3)</f>
        <v>43861</v>
      </c>
      <c r="K67" s="71">
        <v>44227</v>
      </c>
      <c r="L67" s="71">
        <v>44592</v>
      </c>
      <c r="M67" s="71">
        <v>44957</v>
      </c>
      <c r="N67" s="71">
        <v>45322</v>
      </c>
      <c r="O67" s="71">
        <v>45688</v>
      </c>
      <c r="P67" s="71">
        <v>46053</v>
      </c>
      <c r="Q67" s="71">
        <v>46418</v>
      </c>
      <c r="R67" s="71">
        <v>46783</v>
      </c>
      <c r="S67" s="71">
        <v>47149</v>
      </c>
      <c r="T67" s="71">
        <v>47514</v>
      </c>
      <c r="U67" s="71">
        <v>47879</v>
      </c>
      <c r="V67" s="71">
        <v>48244</v>
      </c>
      <c r="W67" s="71">
        <v>48610</v>
      </c>
      <c r="X67" s="71">
        <v>48975</v>
      </c>
      <c r="Y67" s="71">
        <v>49340</v>
      </c>
      <c r="Z67" s="71">
        <v>49705</v>
      </c>
      <c r="AA67" s="71">
        <v>50071</v>
      </c>
      <c r="AB67" s="71">
        <v>50436</v>
      </c>
      <c r="AC67" s="71">
        <v>50801</v>
      </c>
      <c r="AD67" s="71">
        <v>51166</v>
      </c>
      <c r="AE67" s="71">
        <v>51532</v>
      </c>
      <c r="AF67" s="71">
        <v>51897</v>
      </c>
      <c r="AG67" s="71">
        <v>52262</v>
      </c>
      <c r="AH67" s="71">
        <v>52627</v>
      </c>
    </row>
    <row r="68" spans="3:34">
      <c r="F68" s="65" cm="1">
        <f t="array" ref="F68:G92" xml:space="preserve"> _xlfn.LET(
      _xlpm.assets,_xlfn.ANCHORARRAY(       $E$7),
      _xlpm.long_term,    INDEX( _xlpm.assets,, 2 ),
      _xlpm.acq_date,     INDEX( _xlpm.assets,, 1 ),
      _xlfn.DROP( _xlfn.HSTACK( _xlpm.acq_date, _xlpm.long_term ), 1 ) )</f>
        <v>2020</v>
      </c>
      <c r="G68" s="64">
        <v>2262000</v>
      </c>
      <c r="H68" s="64" cm="1">
        <f t="array" ref="H68:H92">IFERROR( _xlfn.BYROW(_xlfn.ANCHORARRAY( J68), _xleta.SUM ), 0 )</f>
        <v>2262000</v>
      </c>
      <c r="J68" s="70" cm="1">
        <f t="array" ref="J68:AH92">_xlfn.LET(
     _xlpm.acquisition_date,    INDEX(_xlfn.ANCHORARRAY( F68),, 1 ),
     _xlpm.acquisition_cost,    INDEX(_xlfn.ANCHORARRAY( F68),, 2 ),
     _xlpm.current_date,_xlfn.ANCHORARRAY(        J3),
     _xlpm.period,              YEAR( _xlpm.current_date ) - _xlpm.acquisition_date,
     _xlpm.useful_life,         CaseData!$I$33,
     _xlpm.depreciation,        _xlpm.acquisition_cost / _xlpm.useful_life,
     _xlpm.accumulated_depr,    _xlpm.acquisition_cost * ( _xlpm.period ),
     _xlpm.book_value,          _xlpm.acquisition_cost - _xlpm.accumulated_depr,
     IFERROR(
       IF( _xlpm.period &lt; 0, 0,
             IF( _xlpm.period &lt; _xlpm.useful_life, _xlpm.depreciation, IF( _xlpm.book_value &gt; 0, _xlpm.book_value, 0 ) ) ), 0 ) )</f>
        <v>141375</v>
      </c>
      <c r="K68" s="64">
        <v>141375</v>
      </c>
      <c r="L68" s="64">
        <v>141375</v>
      </c>
      <c r="M68" s="64">
        <v>141375</v>
      </c>
      <c r="N68" s="64">
        <v>141375</v>
      </c>
      <c r="O68" s="64">
        <v>141375</v>
      </c>
      <c r="P68" s="64">
        <v>141375</v>
      </c>
      <c r="Q68" s="64">
        <v>141375</v>
      </c>
      <c r="R68" s="64">
        <v>141375</v>
      </c>
      <c r="S68" s="64">
        <v>141375</v>
      </c>
      <c r="T68" s="64">
        <v>141375</v>
      </c>
      <c r="U68" s="64">
        <v>141375</v>
      </c>
      <c r="V68" s="64">
        <v>141375</v>
      </c>
      <c r="W68" s="64">
        <v>141375</v>
      </c>
      <c r="X68" s="64">
        <v>141375</v>
      </c>
      <c r="Y68" s="64">
        <v>141375</v>
      </c>
      <c r="Z68" s="64">
        <v>0</v>
      </c>
      <c r="AA68" s="64">
        <v>0</v>
      </c>
      <c r="AB68" s="64">
        <v>0</v>
      </c>
      <c r="AC68" s="64">
        <v>0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</row>
    <row r="69" spans="3:34">
      <c r="F69" s="65">
        <v>2021</v>
      </c>
      <c r="G69" s="64">
        <v>448000</v>
      </c>
      <c r="H69" s="64">
        <v>448000</v>
      </c>
      <c r="J69" s="64">
        <v>0</v>
      </c>
      <c r="K69" s="64">
        <v>28000</v>
      </c>
      <c r="L69" s="64">
        <v>28000</v>
      </c>
      <c r="M69" s="64">
        <v>28000</v>
      </c>
      <c r="N69" s="64">
        <v>28000</v>
      </c>
      <c r="O69" s="64">
        <v>28000</v>
      </c>
      <c r="P69" s="64">
        <v>28000</v>
      </c>
      <c r="Q69" s="64">
        <v>28000</v>
      </c>
      <c r="R69" s="64">
        <v>28000</v>
      </c>
      <c r="S69" s="64">
        <v>28000</v>
      </c>
      <c r="T69" s="64">
        <v>28000</v>
      </c>
      <c r="U69" s="64">
        <v>28000</v>
      </c>
      <c r="V69" s="64">
        <v>28000</v>
      </c>
      <c r="W69" s="64">
        <v>28000</v>
      </c>
      <c r="X69" s="64">
        <v>28000</v>
      </c>
      <c r="Y69" s="64">
        <v>28000</v>
      </c>
      <c r="Z69" s="64">
        <v>28000</v>
      </c>
      <c r="AA69" s="64">
        <v>0</v>
      </c>
      <c r="AB69" s="64">
        <v>0</v>
      </c>
      <c r="AC69" s="64">
        <v>0</v>
      </c>
      <c r="AD69" s="64">
        <v>0</v>
      </c>
      <c r="AE69" s="64">
        <v>0</v>
      </c>
      <c r="AF69" s="64">
        <v>0</v>
      </c>
      <c r="AG69" s="64">
        <v>0</v>
      </c>
      <c r="AH69" s="64">
        <v>0</v>
      </c>
    </row>
    <row r="70" spans="3:34">
      <c r="F70" s="65">
        <v>2022</v>
      </c>
      <c r="G70" s="64">
        <v>1553000</v>
      </c>
      <c r="H70" s="64">
        <v>1553000</v>
      </c>
      <c r="J70" s="64">
        <v>0</v>
      </c>
      <c r="K70" s="64">
        <v>0</v>
      </c>
      <c r="L70" s="64">
        <v>97062.5</v>
      </c>
      <c r="M70" s="64">
        <v>97062.5</v>
      </c>
      <c r="N70" s="64">
        <v>97062.5</v>
      </c>
      <c r="O70" s="64">
        <v>97062.5</v>
      </c>
      <c r="P70" s="64">
        <v>97062.5</v>
      </c>
      <c r="Q70" s="64">
        <v>97062.5</v>
      </c>
      <c r="R70" s="64">
        <v>97062.5</v>
      </c>
      <c r="S70" s="64">
        <v>97062.5</v>
      </c>
      <c r="T70" s="64">
        <v>97062.5</v>
      </c>
      <c r="U70" s="64">
        <v>97062.5</v>
      </c>
      <c r="V70" s="64">
        <v>97062.5</v>
      </c>
      <c r="W70" s="64">
        <v>97062.5</v>
      </c>
      <c r="X70" s="64">
        <v>97062.5</v>
      </c>
      <c r="Y70" s="64">
        <v>97062.5</v>
      </c>
      <c r="Z70" s="64">
        <v>97062.5</v>
      </c>
      <c r="AA70" s="64">
        <v>97062.5</v>
      </c>
      <c r="AB70" s="64">
        <v>0</v>
      </c>
      <c r="AC70" s="64">
        <v>0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</row>
    <row r="71" spans="3:34">
      <c r="F71" s="65">
        <v>2023</v>
      </c>
      <c r="G71" s="64">
        <v>378000</v>
      </c>
      <c r="H71" s="64">
        <v>378000</v>
      </c>
      <c r="J71" s="64">
        <v>0</v>
      </c>
      <c r="K71" s="64">
        <v>0</v>
      </c>
      <c r="L71" s="64">
        <v>0</v>
      </c>
      <c r="M71" s="64">
        <v>23625</v>
      </c>
      <c r="N71" s="64">
        <v>23625</v>
      </c>
      <c r="O71" s="64">
        <v>23625</v>
      </c>
      <c r="P71" s="64">
        <v>23625</v>
      </c>
      <c r="Q71" s="64">
        <v>23625</v>
      </c>
      <c r="R71" s="64">
        <v>23625</v>
      </c>
      <c r="S71" s="64">
        <v>23625</v>
      </c>
      <c r="T71" s="64">
        <v>23625</v>
      </c>
      <c r="U71" s="64">
        <v>23625</v>
      </c>
      <c r="V71" s="64">
        <v>23625</v>
      </c>
      <c r="W71" s="64">
        <v>23625</v>
      </c>
      <c r="X71" s="64">
        <v>23625</v>
      </c>
      <c r="Y71" s="64">
        <v>23625</v>
      </c>
      <c r="Z71" s="64">
        <v>23625</v>
      </c>
      <c r="AA71" s="64">
        <v>23625</v>
      </c>
      <c r="AB71" s="64">
        <v>23625</v>
      </c>
      <c r="AC71" s="64">
        <v>0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</row>
    <row r="72" spans="3:34">
      <c r="F72" s="65">
        <v>2024</v>
      </c>
      <c r="G72" s="64">
        <v>1606000</v>
      </c>
      <c r="H72" s="64">
        <v>1606000</v>
      </c>
      <c r="J72" s="64">
        <v>0</v>
      </c>
      <c r="K72" s="64">
        <v>0</v>
      </c>
      <c r="L72" s="64">
        <v>0</v>
      </c>
      <c r="M72" s="64">
        <v>0</v>
      </c>
      <c r="N72" s="64">
        <v>100375</v>
      </c>
      <c r="O72" s="64">
        <v>100375</v>
      </c>
      <c r="P72" s="64">
        <v>100375</v>
      </c>
      <c r="Q72" s="64">
        <v>100375</v>
      </c>
      <c r="R72" s="64">
        <v>100375</v>
      </c>
      <c r="S72" s="64">
        <v>100375</v>
      </c>
      <c r="T72" s="64">
        <v>100375</v>
      </c>
      <c r="U72" s="64">
        <v>100375</v>
      </c>
      <c r="V72" s="64">
        <v>100375</v>
      </c>
      <c r="W72" s="64">
        <v>100375</v>
      </c>
      <c r="X72" s="64">
        <v>100375</v>
      </c>
      <c r="Y72" s="64">
        <v>100375</v>
      </c>
      <c r="Z72" s="64">
        <v>100375</v>
      </c>
      <c r="AA72" s="64">
        <v>100375</v>
      </c>
      <c r="AB72" s="64">
        <v>100375</v>
      </c>
      <c r="AC72" s="64">
        <v>100375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</row>
    <row r="73" spans="3:34">
      <c r="F73" s="65">
        <v>2025</v>
      </c>
      <c r="G73" s="64">
        <v>1679000</v>
      </c>
      <c r="H73" s="64">
        <v>1679000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104937.5</v>
      </c>
      <c r="P73" s="64">
        <v>104937.5</v>
      </c>
      <c r="Q73" s="64">
        <v>104937.5</v>
      </c>
      <c r="R73" s="64">
        <v>104937.5</v>
      </c>
      <c r="S73" s="64">
        <v>104937.5</v>
      </c>
      <c r="T73" s="64">
        <v>104937.5</v>
      </c>
      <c r="U73" s="64">
        <v>104937.5</v>
      </c>
      <c r="V73" s="64">
        <v>104937.5</v>
      </c>
      <c r="W73" s="64">
        <v>104937.5</v>
      </c>
      <c r="X73" s="64">
        <v>104937.5</v>
      </c>
      <c r="Y73" s="64">
        <v>104937.5</v>
      </c>
      <c r="Z73" s="64">
        <v>104937.5</v>
      </c>
      <c r="AA73" s="64">
        <v>104937.5</v>
      </c>
      <c r="AB73" s="64">
        <v>104937.5</v>
      </c>
      <c r="AC73" s="64">
        <v>104937.5</v>
      </c>
      <c r="AD73" s="64">
        <v>104937.5</v>
      </c>
      <c r="AE73" s="64">
        <v>0</v>
      </c>
      <c r="AF73" s="64">
        <v>0</v>
      </c>
      <c r="AG73" s="64">
        <v>0</v>
      </c>
      <c r="AH73" s="64">
        <v>0</v>
      </c>
    </row>
    <row r="74" spans="3:34">
      <c r="F74" s="65">
        <v>2026</v>
      </c>
      <c r="G74" s="64">
        <v>1395000</v>
      </c>
      <c r="H74" s="64">
        <v>1395000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87187.5</v>
      </c>
      <c r="Q74" s="64">
        <v>87187.5</v>
      </c>
      <c r="R74" s="64">
        <v>87187.5</v>
      </c>
      <c r="S74" s="64">
        <v>87187.5</v>
      </c>
      <c r="T74" s="64">
        <v>87187.5</v>
      </c>
      <c r="U74" s="64">
        <v>87187.5</v>
      </c>
      <c r="V74" s="64">
        <v>87187.5</v>
      </c>
      <c r="W74" s="64">
        <v>87187.5</v>
      </c>
      <c r="X74" s="64">
        <v>87187.5</v>
      </c>
      <c r="Y74" s="64">
        <v>87187.5</v>
      </c>
      <c r="Z74" s="64">
        <v>87187.5</v>
      </c>
      <c r="AA74" s="64">
        <v>87187.5</v>
      </c>
      <c r="AB74" s="64">
        <v>87187.5</v>
      </c>
      <c r="AC74" s="64">
        <v>87187.5</v>
      </c>
      <c r="AD74" s="64">
        <v>87187.5</v>
      </c>
      <c r="AE74" s="64">
        <v>87187.5</v>
      </c>
      <c r="AF74" s="64">
        <v>0</v>
      </c>
      <c r="AG74" s="64">
        <v>0</v>
      </c>
      <c r="AH74" s="64">
        <v>0</v>
      </c>
    </row>
    <row r="75" spans="3:34">
      <c r="F75" s="65">
        <v>2027</v>
      </c>
      <c r="G75" s="64">
        <v>85000</v>
      </c>
      <c r="H75" s="64">
        <v>85000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5312.5</v>
      </c>
      <c r="R75" s="64">
        <v>5312.5</v>
      </c>
      <c r="S75" s="64">
        <v>5312.5</v>
      </c>
      <c r="T75" s="64">
        <v>5312.5</v>
      </c>
      <c r="U75" s="64">
        <v>5312.5</v>
      </c>
      <c r="V75" s="64">
        <v>5312.5</v>
      </c>
      <c r="W75" s="64">
        <v>5312.5</v>
      </c>
      <c r="X75" s="64">
        <v>5312.5</v>
      </c>
      <c r="Y75" s="64">
        <v>5312.5</v>
      </c>
      <c r="Z75" s="64">
        <v>5312.5</v>
      </c>
      <c r="AA75" s="64">
        <v>5312.5</v>
      </c>
      <c r="AB75" s="64">
        <v>5312.5</v>
      </c>
      <c r="AC75" s="64">
        <v>5312.5</v>
      </c>
      <c r="AD75" s="64">
        <v>5312.5</v>
      </c>
      <c r="AE75" s="64">
        <v>5312.5</v>
      </c>
      <c r="AF75" s="64">
        <v>5312.5</v>
      </c>
      <c r="AG75" s="64">
        <v>0</v>
      </c>
      <c r="AH75" s="64">
        <v>0</v>
      </c>
    </row>
    <row r="76" spans="3:34">
      <c r="F76" s="65">
        <v>2028</v>
      </c>
      <c r="G76" s="64" t="str">
        <v/>
      </c>
      <c r="H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0</v>
      </c>
      <c r="AC76" s="64">
        <v>0</v>
      </c>
      <c r="AD76" s="64">
        <v>0</v>
      </c>
      <c r="AE76" s="64">
        <v>0</v>
      </c>
      <c r="AF76" s="64">
        <v>0</v>
      </c>
      <c r="AG76" s="64">
        <v>0</v>
      </c>
      <c r="AH76" s="64">
        <v>0</v>
      </c>
    </row>
    <row r="77" spans="3:34">
      <c r="F77" s="65">
        <v>2029</v>
      </c>
      <c r="G77" s="64">
        <v>571000</v>
      </c>
      <c r="H77" s="64">
        <v>571000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35687.5</v>
      </c>
      <c r="T77" s="64">
        <v>35687.5</v>
      </c>
      <c r="U77" s="64">
        <v>35687.5</v>
      </c>
      <c r="V77" s="64">
        <v>35687.5</v>
      </c>
      <c r="W77" s="64">
        <v>35687.5</v>
      </c>
      <c r="X77" s="64">
        <v>35687.5</v>
      </c>
      <c r="Y77" s="64">
        <v>35687.5</v>
      </c>
      <c r="Z77" s="64">
        <v>35687.5</v>
      </c>
      <c r="AA77" s="64">
        <v>35687.5</v>
      </c>
      <c r="AB77" s="64">
        <v>35687.5</v>
      </c>
      <c r="AC77" s="64">
        <v>35687.5</v>
      </c>
      <c r="AD77" s="64">
        <v>35687.5</v>
      </c>
      <c r="AE77" s="64">
        <v>35687.5</v>
      </c>
      <c r="AF77" s="64">
        <v>35687.5</v>
      </c>
      <c r="AG77" s="64">
        <v>35687.5</v>
      </c>
      <c r="AH77" s="64">
        <v>35687.5</v>
      </c>
    </row>
    <row r="78" spans="3:34">
      <c r="F78" s="65">
        <v>2030</v>
      </c>
      <c r="G78" s="64">
        <v>833000</v>
      </c>
      <c r="H78" s="64">
        <v>780937.5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52062.5</v>
      </c>
      <c r="U78" s="64">
        <v>52062.5</v>
      </c>
      <c r="V78" s="64">
        <v>52062.5</v>
      </c>
      <c r="W78" s="64">
        <v>52062.5</v>
      </c>
      <c r="X78" s="64">
        <v>52062.5</v>
      </c>
      <c r="Y78" s="64">
        <v>52062.5</v>
      </c>
      <c r="Z78" s="64">
        <v>52062.5</v>
      </c>
      <c r="AA78" s="64">
        <v>52062.5</v>
      </c>
      <c r="AB78" s="64">
        <v>52062.5</v>
      </c>
      <c r="AC78" s="64">
        <v>52062.5</v>
      </c>
      <c r="AD78" s="64">
        <v>52062.5</v>
      </c>
      <c r="AE78" s="64">
        <v>52062.5</v>
      </c>
      <c r="AF78" s="64">
        <v>52062.5</v>
      </c>
      <c r="AG78" s="64">
        <v>52062.5</v>
      </c>
      <c r="AH78" s="64">
        <v>52062.5</v>
      </c>
    </row>
    <row r="79" spans="3:34">
      <c r="F79" s="65">
        <v>2031</v>
      </c>
      <c r="G79" s="64">
        <v>964000</v>
      </c>
      <c r="H79" s="64">
        <v>843500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60250</v>
      </c>
      <c r="V79" s="64">
        <v>60250</v>
      </c>
      <c r="W79" s="64">
        <v>60250</v>
      </c>
      <c r="X79" s="64">
        <v>60250</v>
      </c>
      <c r="Y79" s="64">
        <v>60250</v>
      </c>
      <c r="Z79" s="64">
        <v>60250</v>
      </c>
      <c r="AA79" s="64">
        <v>60250</v>
      </c>
      <c r="AB79" s="64">
        <v>60250</v>
      </c>
      <c r="AC79" s="64">
        <v>60250</v>
      </c>
      <c r="AD79" s="64">
        <v>60250</v>
      </c>
      <c r="AE79" s="64">
        <v>60250</v>
      </c>
      <c r="AF79" s="64">
        <v>60250</v>
      </c>
      <c r="AG79" s="64">
        <v>60250</v>
      </c>
      <c r="AH79" s="64">
        <v>60250</v>
      </c>
    </row>
    <row r="80" spans="3:34">
      <c r="F80" s="65">
        <v>2032</v>
      </c>
      <c r="G80" s="64">
        <v>390000</v>
      </c>
      <c r="H80" s="64">
        <v>316875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24375</v>
      </c>
      <c r="W80" s="64">
        <v>24375</v>
      </c>
      <c r="X80" s="64">
        <v>24375</v>
      </c>
      <c r="Y80" s="64">
        <v>24375</v>
      </c>
      <c r="Z80" s="64">
        <v>24375</v>
      </c>
      <c r="AA80" s="64">
        <v>24375</v>
      </c>
      <c r="AB80" s="64">
        <v>24375</v>
      </c>
      <c r="AC80" s="64">
        <v>24375</v>
      </c>
      <c r="AD80" s="64">
        <v>24375</v>
      </c>
      <c r="AE80" s="64">
        <v>24375</v>
      </c>
      <c r="AF80" s="64">
        <v>24375</v>
      </c>
      <c r="AG80" s="64">
        <v>24375</v>
      </c>
      <c r="AH80" s="64">
        <v>24375</v>
      </c>
    </row>
    <row r="81" spans="6:34">
      <c r="F81" s="65">
        <v>2033</v>
      </c>
      <c r="G81" s="64">
        <v>1784000</v>
      </c>
      <c r="H81" s="64">
        <v>1338000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111500</v>
      </c>
      <c r="X81" s="64">
        <v>111500</v>
      </c>
      <c r="Y81" s="64">
        <v>111500</v>
      </c>
      <c r="Z81" s="64">
        <v>111500</v>
      </c>
      <c r="AA81" s="64">
        <v>111500</v>
      </c>
      <c r="AB81" s="64">
        <v>111500</v>
      </c>
      <c r="AC81" s="64">
        <v>111500</v>
      </c>
      <c r="AD81" s="64">
        <v>111500</v>
      </c>
      <c r="AE81" s="64">
        <v>111500</v>
      </c>
      <c r="AF81" s="64">
        <v>111500</v>
      </c>
      <c r="AG81" s="64">
        <v>111500</v>
      </c>
      <c r="AH81" s="64">
        <v>111500</v>
      </c>
    </row>
    <row r="82" spans="6:34">
      <c r="F82" s="65">
        <v>2034</v>
      </c>
      <c r="G82" s="64">
        <v>1199000</v>
      </c>
      <c r="H82" s="64">
        <v>824312.5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74937.5</v>
      </c>
      <c r="Y82" s="64">
        <v>74937.5</v>
      </c>
      <c r="Z82" s="64">
        <v>74937.5</v>
      </c>
      <c r="AA82" s="64">
        <v>74937.5</v>
      </c>
      <c r="AB82" s="64">
        <v>74937.5</v>
      </c>
      <c r="AC82" s="64">
        <v>74937.5</v>
      </c>
      <c r="AD82" s="64">
        <v>74937.5</v>
      </c>
      <c r="AE82" s="64">
        <v>74937.5</v>
      </c>
      <c r="AF82" s="64">
        <v>74937.5</v>
      </c>
      <c r="AG82" s="64">
        <v>74937.5</v>
      </c>
      <c r="AH82" s="64">
        <v>74937.5</v>
      </c>
    </row>
    <row r="83" spans="6:34">
      <c r="F83" s="65">
        <v>2035</v>
      </c>
      <c r="G83" s="64">
        <v>1239000</v>
      </c>
      <c r="H83" s="64">
        <v>774375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77437.5</v>
      </c>
      <c r="Z83" s="64">
        <v>77437.5</v>
      </c>
      <c r="AA83" s="64">
        <v>77437.5</v>
      </c>
      <c r="AB83" s="64">
        <v>77437.5</v>
      </c>
      <c r="AC83" s="64">
        <v>77437.5</v>
      </c>
      <c r="AD83" s="64">
        <v>77437.5</v>
      </c>
      <c r="AE83" s="64">
        <v>77437.5</v>
      </c>
      <c r="AF83" s="64">
        <v>77437.5</v>
      </c>
      <c r="AG83" s="64">
        <v>77437.5</v>
      </c>
      <c r="AH83" s="64">
        <v>77437.5</v>
      </c>
    </row>
    <row r="84" spans="6:34">
      <c r="F84" s="65">
        <v>2036</v>
      </c>
      <c r="G84" s="64">
        <v>1044000</v>
      </c>
      <c r="H84" s="64">
        <v>587250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>
        <v>65250</v>
      </c>
      <c r="AA84" s="64">
        <v>65250</v>
      </c>
      <c r="AB84" s="64">
        <v>65250</v>
      </c>
      <c r="AC84" s="64">
        <v>65250</v>
      </c>
      <c r="AD84" s="64">
        <v>65250</v>
      </c>
      <c r="AE84" s="64">
        <v>65250</v>
      </c>
      <c r="AF84" s="64">
        <v>65250</v>
      </c>
      <c r="AG84" s="64">
        <v>65250</v>
      </c>
      <c r="AH84" s="64">
        <v>65250</v>
      </c>
    </row>
    <row r="85" spans="6:34">
      <c r="F85" s="65">
        <v>2037</v>
      </c>
      <c r="G85" s="64">
        <v>1012000</v>
      </c>
      <c r="H85" s="64">
        <v>506000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>
        <v>0</v>
      </c>
      <c r="AA85" s="64">
        <v>63250</v>
      </c>
      <c r="AB85" s="64">
        <v>63250</v>
      </c>
      <c r="AC85" s="64">
        <v>63250</v>
      </c>
      <c r="AD85" s="64">
        <v>63250</v>
      </c>
      <c r="AE85" s="64">
        <v>63250</v>
      </c>
      <c r="AF85" s="64">
        <v>63250</v>
      </c>
      <c r="AG85" s="64">
        <v>63250</v>
      </c>
      <c r="AH85" s="64">
        <v>63250</v>
      </c>
    </row>
    <row r="86" spans="6:34">
      <c r="F86" s="65">
        <v>2038</v>
      </c>
      <c r="G86" s="64">
        <v>331000</v>
      </c>
      <c r="H86" s="64">
        <v>144812.5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20687.5</v>
      </c>
      <c r="AC86" s="64">
        <v>20687.5</v>
      </c>
      <c r="AD86" s="64">
        <v>20687.5</v>
      </c>
      <c r="AE86" s="64">
        <v>20687.5</v>
      </c>
      <c r="AF86" s="64">
        <v>20687.5</v>
      </c>
      <c r="AG86" s="64">
        <v>20687.5</v>
      </c>
      <c r="AH86" s="64">
        <v>20687.5</v>
      </c>
    </row>
    <row r="87" spans="6:34">
      <c r="F87" s="65">
        <v>2039</v>
      </c>
      <c r="G87" s="64">
        <v>385000</v>
      </c>
      <c r="H87" s="64">
        <v>144375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24062.5</v>
      </c>
      <c r="AD87" s="64">
        <v>24062.5</v>
      </c>
      <c r="AE87" s="64">
        <v>24062.5</v>
      </c>
      <c r="AF87" s="64">
        <v>24062.5</v>
      </c>
      <c r="AG87" s="64">
        <v>24062.5</v>
      </c>
      <c r="AH87" s="64">
        <v>24062.5</v>
      </c>
    </row>
    <row r="88" spans="6:34">
      <c r="F88" s="65">
        <v>2040</v>
      </c>
      <c r="G88" s="64">
        <v>1165000</v>
      </c>
      <c r="H88" s="64">
        <v>364062.5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0</v>
      </c>
      <c r="AC88" s="64">
        <v>0</v>
      </c>
      <c r="AD88" s="64">
        <v>72812.5</v>
      </c>
      <c r="AE88" s="64">
        <v>72812.5</v>
      </c>
      <c r="AF88" s="64">
        <v>72812.5</v>
      </c>
      <c r="AG88" s="64">
        <v>72812.5</v>
      </c>
      <c r="AH88" s="64">
        <v>72812.5</v>
      </c>
    </row>
    <row r="89" spans="6:34">
      <c r="F89" s="65">
        <v>2041</v>
      </c>
      <c r="G89" s="64">
        <v>966000</v>
      </c>
      <c r="H89" s="64">
        <v>241500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0</v>
      </c>
      <c r="AC89" s="64">
        <v>0</v>
      </c>
      <c r="AD89" s="64">
        <v>0</v>
      </c>
      <c r="AE89" s="64">
        <v>60375</v>
      </c>
      <c r="AF89" s="64">
        <v>60375</v>
      </c>
      <c r="AG89" s="64">
        <v>60375</v>
      </c>
      <c r="AH89" s="64">
        <v>60375</v>
      </c>
    </row>
    <row r="90" spans="6:34">
      <c r="F90" s="65">
        <v>2042</v>
      </c>
      <c r="G90" s="64">
        <v>475000</v>
      </c>
      <c r="H90" s="64">
        <v>89062.5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0</v>
      </c>
      <c r="AD90" s="64">
        <v>0</v>
      </c>
      <c r="AE90" s="64">
        <v>0</v>
      </c>
      <c r="AF90" s="64">
        <v>29687.5</v>
      </c>
      <c r="AG90" s="64">
        <v>29687.5</v>
      </c>
      <c r="AH90" s="64">
        <v>29687.5</v>
      </c>
    </row>
    <row r="91" spans="6:34">
      <c r="F91" s="65">
        <v>2043</v>
      </c>
      <c r="G91" s="64">
        <v>1241000</v>
      </c>
      <c r="H91" s="64">
        <v>155125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0</v>
      </c>
      <c r="AC91" s="64">
        <v>0</v>
      </c>
      <c r="AD91" s="64">
        <v>0</v>
      </c>
      <c r="AE91" s="64">
        <v>0</v>
      </c>
      <c r="AF91" s="64">
        <v>0</v>
      </c>
      <c r="AG91" s="64">
        <v>77562.5</v>
      </c>
      <c r="AH91" s="64">
        <v>77562.5</v>
      </c>
    </row>
    <row r="92" spans="6:34">
      <c r="F92" s="65">
        <v>2044</v>
      </c>
      <c r="G92" s="64">
        <v>1502000</v>
      </c>
      <c r="H92" s="64">
        <v>93875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0</v>
      </c>
      <c r="AD92" s="64">
        <v>0</v>
      </c>
      <c r="AE92" s="64">
        <v>0</v>
      </c>
      <c r="AF92" s="64">
        <v>0</v>
      </c>
      <c r="AG92" s="64">
        <v>0</v>
      </c>
      <c r="AH92" s="64">
        <v>93875</v>
      </c>
    </row>
    <row r="93" spans="6:34">
      <c r="F93" s="65"/>
      <c r="J93" s="69" cm="1">
        <f t="array" ref="J93:AH93">_xlfn.BYCOL(_xlfn.ANCHORARRAY( J68), _xleta.SUM )</f>
        <v>141375</v>
      </c>
      <c r="K93" s="69">
        <v>169375</v>
      </c>
      <c r="L93" s="69">
        <v>266437.5</v>
      </c>
      <c r="M93" s="69">
        <v>290062.5</v>
      </c>
      <c r="N93" s="69">
        <v>390437.5</v>
      </c>
      <c r="O93" s="69">
        <v>495375</v>
      </c>
      <c r="P93" s="69">
        <v>582562.5</v>
      </c>
      <c r="Q93" s="69">
        <v>587875</v>
      </c>
      <c r="R93" s="69">
        <v>587875</v>
      </c>
      <c r="S93" s="69">
        <v>623562.5</v>
      </c>
      <c r="T93" s="69">
        <v>675625</v>
      </c>
      <c r="U93" s="69">
        <v>735875</v>
      </c>
      <c r="V93" s="69">
        <v>760250</v>
      </c>
      <c r="W93" s="69">
        <v>871750</v>
      </c>
      <c r="X93" s="69">
        <v>946687.5</v>
      </c>
      <c r="Y93" s="69">
        <v>1024125</v>
      </c>
      <c r="Z93" s="69">
        <v>948000</v>
      </c>
      <c r="AA93" s="69">
        <v>983250</v>
      </c>
      <c r="AB93" s="69">
        <v>906875</v>
      </c>
      <c r="AC93" s="69">
        <v>907312.5</v>
      </c>
      <c r="AD93" s="69">
        <v>879750</v>
      </c>
      <c r="AE93" s="69">
        <v>835187.5</v>
      </c>
      <c r="AF93" s="69">
        <v>777687.5</v>
      </c>
      <c r="AG93" s="69">
        <v>849937.5</v>
      </c>
      <c r="AH93" s="69">
        <v>943812.5</v>
      </c>
    </row>
    <row r="94" spans="6:34">
      <c r="F94" s="65"/>
    </row>
    <row r="95" spans="6:34">
      <c r="F95" s="65"/>
    </row>
    <row r="97" spans="3:34">
      <c r="C97" s="68" t="s">
        <v>72</v>
      </c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</row>
    <row r="98" spans="3:34">
      <c r="F98" s="64" t="s">
        <v>69</v>
      </c>
      <c r="G98" s="64" t="s">
        <v>70</v>
      </c>
      <c r="J98" s="71" cm="1">
        <f t="array" ref="J98:AH98">_xlfn.ANCHORARRAY($J$3)</f>
        <v>43861</v>
      </c>
      <c r="K98" s="71">
        <v>44227</v>
      </c>
      <c r="L98" s="71">
        <v>44592</v>
      </c>
      <c r="M98" s="71">
        <v>44957</v>
      </c>
      <c r="N98" s="71">
        <v>45322</v>
      </c>
      <c r="O98" s="71">
        <v>45688</v>
      </c>
      <c r="P98" s="71">
        <v>46053</v>
      </c>
      <c r="Q98" s="71">
        <v>46418</v>
      </c>
      <c r="R98" s="71">
        <v>46783</v>
      </c>
      <c r="S98" s="71">
        <v>47149</v>
      </c>
      <c r="T98" s="71">
        <v>47514</v>
      </c>
      <c r="U98" s="71">
        <v>47879</v>
      </c>
      <c r="V98" s="71">
        <v>48244</v>
      </c>
      <c r="W98" s="71">
        <v>48610</v>
      </c>
      <c r="X98" s="71">
        <v>48975</v>
      </c>
      <c r="Y98" s="71">
        <v>49340</v>
      </c>
      <c r="Z98" s="71">
        <v>49705</v>
      </c>
      <c r="AA98" s="71">
        <v>50071</v>
      </c>
      <c r="AB98" s="71">
        <v>50436</v>
      </c>
      <c r="AC98" s="71">
        <v>50801</v>
      </c>
      <c r="AD98" s="71">
        <v>51166</v>
      </c>
      <c r="AE98" s="71">
        <v>51532</v>
      </c>
      <c r="AF98" s="71">
        <v>51897</v>
      </c>
      <c r="AG98" s="71">
        <v>52262</v>
      </c>
      <c r="AH98" s="71">
        <v>52627</v>
      </c>
    </row>
    <row r="99" spans="3:34">
      <c r="F99" s="65" cm="1">
        <f t="array" ref="F99:G123" xml:space="preserve"> _xlfn.LET(
      _xlpm.assets,_xlfn.ANCHORARRAY(       $E$7),
      _xlpm.long_term,    INDEX( _xlpm.assets,, 2 ),
      _xlpm.acq_date,     INDEX( _xlpm.assets,, 1 ),
      _xlfn.DROP( _xlfn.HSTACK( _xlpm.acq_date, _xlpm.long_term ), 1 ) )</f>
        <v>2020</v>
      </c>
      <c r="G99" s="64">
        <v>2262000</v>
      </c>
      <c r="H99" s="64" cm="1">
        <f t="array" ref="H99:H123">_xlfn.BYROW(_xlfn.ANCHORARRAY( J99), _xleta.SUM )</f>
        <v>2261999.9999999995</v>
      </c>
      <c r="J99" s="70" cm="1">
        <f t="array" ref="J99:AH123" xml:space="preserve"> _xlfn.LET(
     _xlpm.acquisition_date,    INDEX(_xlfn.ANCHORARRAY( F99),, 1 ),
     _xlpm.acquisition_cost,    INDEX(_xlfn.ANCHORARRAY( F99),, 2 ),
     _xlpm.current_date,_xlfn.ANCHORARRAY(        $J$3),
     _xlpm.period,              YEAR( _xlpm.current_date ) - _xlpm.acquisition_date + 1,
     _xlpm.current_class,       CaseData!$I$34,
     _xlpm.classes,             CaseData!$E$39:$T$39,
     _xlpm.class_year,          CaseData!$D$41:$D$60,
     _xlpm.class_percentage,    CaseData!$E$41:$T$60,
     _xlpm.rate,                INDEX( _xlpm.class_percentage, MATCH( _xlpm.period, _xlpm.class_year, 0 ), MATCH( _xlpm.current_class, _xlpm.classes, 0 ) ),
     IFERROR( IF( _xlpm.period &lt; 0, 0, _xlpm.acquisition_cost * _xlpm.rate ), 0 ) )</f>
        <v>282750</v>
      </c>
      <c r="K99" s="64">
        <v>246558</v>
      </c>
      <c r="L99" s="64">
        <v>217152</v>
      </c>
      <c r="M99" s="64">
        <v>190008</v>
      </c>
      <c r="N99" s="64">
        <v>165126</v>
      </c>
      <c r="O99" s="64">
        <v>144768</v>
      </c>
      <c r="P99" s="64">
        <v>126672</v>
      </c>
      <c r="Q99" s="64">
        <v>110838</v>
      </c>
      <c r="R99" s="64">
        <v>97265.999999999985</v>
      </c>
      <c r="S99" s="64">
        <v>97265.999999999985</v>
      </c>
      <c r="T99" s="64">
        <v>97265.999999999985</v>
      </c>
      <c r="U99" s="64">
        <v>97265.999999999985</v>
      </c>
      <c r="V99" s="64">
        <v>97265.999999999985</v>
      </c>
      <c r="W99" s="64">
        <v>97265.999999999985</v>
      </c>
      <c r="X99" s="64">
        <v>97265.999999999985</v>
      </c>
      <c r="Y99" s="64">
        <v>97265.999999999331</v>
      </c>
      <c r="Z99" s="64">
        <v>0</v>
      </c>
      <c r="AA99" s="64">
        <v>0</v>
      </c>
      <c r="AB99" s="64">
        <v>0</v>
      </c>
      <c r="AC99" s="64">
        <v>0</v>
      </c>
      <c r="AD99" s="64">
        <v>0</v>
      </c>
      <c r="AE99" s="64">
        <v>0</v>
      </c>
      <c r="AF99" s="64">
        <v>0</v>
      </c>
      <c r="AG99" s="64">
        <v>0</v>
      </c>
      <c r="AH99" s="64">
        <v>0</v>
      </c>
    </row>
    <row r="100" spans="3:34">
      <c r="F100" s="65">
        <v>2021</v>
      </c>
      <c r="G100" s="64">
        <v>448000</v>
      </c>
      <c r="H100" s="64">
        <v>447999.99999999988</v>
      </c>
      <c r="J100" s="64">
        <v>0</v>
      </c>
      <c r="K100" s="64">
        <v>56000</v>
      </c>
      <c r="L100" s="64">
        <v>48832</v>
      </c>
      <c r="M100" s="64">
        <v>43008</v>
      </c>
      <c r="N100" s="64">
        <v>37632</v>
      </c>
      <c r="O100" s="64">
        <v>32703.999999999996</v>
      </c>
      <c r="P100" s="64">
        <v>28672</v>
      </c>
      <c r="Q100" s="64">
        <v>25088</v>
      </c>
      <c r="R100" s="64">
        <v>21952</v>
      </c>
      <c r="S100" s="64">
        <v>19264</v>
      </c>
      <c r="T100" s="64">
        <v>19264</v>
      </c>
      <c r="U100" s="64">
        <v>19264</v>
      </c>
      <c r="V100" s="64">
        <v>19264</v>
      </c>
      <c r="W100" s="64">
        <v>19264</v>
      </c>
      <c r="X100" s="64">
        <v>19264</v>
      </c>
      <c r="Y100" s="64">
        <v>19264</v>
      </c>
      <c r="Z100" s="64">
        <v>19263.999999999869</v>
      </c>
      <c r="AA100" s="64">
        <v>0</v>
      </c>
      <c r="AB100" s="64">
        <v>0</v>
      </c>
      <c r="AC100" s="64">
        <v>0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</row>
    <row r="101" spans="3:34">
      <c r="F101" s="65">
        <v>2022</v>
      </c>
      <c r="G101" s="64">
        <v>1553000</v>
      </c>
      <c r="H101" s="64">
        <v>1552999.9999999995</v>
      </c>
      <c r="J101" s="64">
        <v>0</v>
      </c>
      <c r="K101" s="64">
        <v>0</v>
      </c>
      <c r="L101" s="64">
        <v>194125</v>
      </c>
      <c r="M101" s="64">
        <v>169277</v>
      </c>
      <c r="N101" s="64">
        <v>149088</v>
      </c>
      <c r="O101" s="64">
        <v>130452.00000000001</v>
      </c>
      <c r="P101" s="64">
        <v>113369</v>
      </c>
      <c r="Q101" s="64">
        <v>99392</v>
      </c>
      <c r="R101" s="64">
        <v>86968</v>
      </c>
      <c r="S101" s="64">
        <v>76097</v>
      </c>
      <c r="T101" s="64">
        <v>66779</v>
      </c>
      <c r="U101" s="64">
        <v>66779</v>
      </c>
      <c r="V101" s="64">
        <v>66779</v>
      </c>
      <c r="W101" s="64">
        <v>66779</v>
      </c>
      <c r="X101" s="64">
        <v>66779</v>
      </c>
      <c r="Y101" s="64">
        <v>66779</v>
      </c>
      <c r="Z101" s="64">
        <v>66779</v>
      </c>
      <c r="AA101" s="64">
        <v>66778.999999999549</v>
      </c>
      <c r="AB101" s="64">
        <v>0</v>
      </c>
      <c r="AC101" s="64">
        <v>0</v>
      </c>
      <c r="AD101" s="64">
        <v>0</v>
      </c>
      <c r="AE101" s="64">
        <v>0</v>
      </c>
      <c r="AF101" s="64">
        <v>0</v>
      </c>
      <c r="AG101" s="64">
        <v>0</v>
      </c>
      <c r="AH101" s="64">
        <v>0</v>
      </c>
    </row>
    <row r="102" spans="3:34">
      <c r="F102" s="65">
        <v>2023</v>
      </c>
      <c r="G102" s="64">
        <v>378000</v>
      </c>
      <c r="H102" s="64">
        <v>377999.99999999988</v>
      </c>
      <c r="J102" s="64">
        <v>0</v>
      </c>
      <c r="K102" s="64">
        <v>0</v>
      </c>
      <c r="L102" s="64">
        <v>0</v>
      </c>
      <c r="M102" s="64">
        <v>47250</v>
      </c>
      <c r="N102" s="64">
        <v>41202</v>
      </c>
      <c r="O102" s="64">
        <v>36288</v>
      </c>
      <c r="P102" s="64">
        <v>31752.000000000004</v>
      </c>
      <c r="Q102" s="64">
        <v>27594</v>
      </c>
      <c r="R102" s="64">
        <v>24192</v>
      </c>
      <c r="S102" s="64">
        <v>21168</v>
      </c>
      <c r="T102" s="64">
        <v>18522</v>
      </c>
      <c r="U102" s="64">
        <v>16253.999999999998</v>
      </c>
      <c r="V102" s="64">
        <v>16253.999999999998</v>
      </c>
      <c r="W102" s="64">
        <v>16253.999999999998</v>
      </c>
      <c r="X102" s="64">
        <v>16253.999999999998</v>
      </c>
      <c r="Y102" s="64">
        <v>16253.999999999998</v>
      </c>
      <c r="Z102" s="64">
        <v>16253.999999999998</v>
      </c>
      <c r="AA102" s="64">
        <v>16253.999999999998</v>
      </c>
      <c r="AB102" s="64">
        <v>16253.999999999889</v>
      </c>
      <c r="AC102" s="64">
        <v>0</v>
      </c>
      <c r="AD102" s="64">
        <v>0</v>
      </c>
      <c r="AE102" s="64">
        <v>0</v>
      </c>
      <c r="AF102" s="64">
        <v>0</v>
      </c>
      <c r="AG102" s="64">
        <v>0</v>
      </c>
      <c r="AH102" s="64">
        <v>0</v>
      </c>
    </row>
    <row r="103" spans="3:34">
      <c r="F103" s="65">
        <v>2024</v>
      </c>
      <c r="G103" s="64">
        <v>1606000</v>
      </c>
      <c r="H103" s="64">
        <v>1605999.9999999995</v>
      </c>
      <c r="J103" s="64">
        <v>0</v>
      </c>
      <c r="K103" s="64">
        <v>0</v>
      </c>
      <c r="L103" s="64">
        <v>0</v>
      </c>
      <c r="M103" s="64">
        <v>0</v>
      </c>
      <c r="N103" s="64">
        <v>200750</v>
      </c>
      <c r="O103" s="64">
        <v>175054</v>
      </c>
      <c r="P103" s="64">
        <v>154176</v>
      </c>
      <c r="Q103" s="64">
        <v>134904</v>
      </c>
      <c r="R103" s="64">
        <v>117237.99999999999</v>
      </c>
      <c r="S103" s="64">
        <v>102784</v>
      </c>
      <c r="T103" s="64">
        <v>89936</v>
      </c>
      <c r="U103" s="64">
        <v>78694</v>
      </c>
      <c r="V103" s="64">
        <v>69058</v>
      </c>
      <c r="W103" s="64">
        <v>69058</v>
      </c>
      <c r="X103" s="64">
        <v>69058</v>
      </c>
      <c r="Y103" s="64">
        <v>69058</v>
      </c>
      <c r="Z103" s="64">
        <v>69058</v>
      </c>
      <c r="AA103" s="64">
        <v>69058</v>
      </c>
      <c r="AB103" s="64">
        <v>69058</v>
      </c>
      <c r="AC103" s="64">
        <v>69057.99999999952</v>
      </c>
      <c r="AD103" s="64">
        <v>0</v>
      </c>
      <c r="AE103" s="64">
        <v>0</v>
      </c>
      <c r="AF103" s="64">
        <v>0</v>
      </c>
      <c r="AG103" s="64">
        <v>0</v>
      </c>
      <c r="AH103" s="64">
        <v>0</v>
      </c>
    </row>
    <row r="104" spans="3:34">
      <c r="F104" s="65">
        <v>2025</v>
      </c>
      <c r="G104" s="64">
        <v>1679000</v>
      </c>
      <c r="H104" s="64">
        <v>1678999.9999999995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209875</v>
      </c>
      <c r="P104" s="64">
        <v>183011</v>
      </c>
      <c r="Q104" s="64">
        <v>161184</v>
      </c>
      <c r="R104" s="64">
        <v>141036</v>
      </c>
      <c r="S104" s="64">
        <v>122566.99999999999</v>
      </c>
      <c r="T104" s="64">
        <v>107456</v>
      </c>
      <c r="U104" s="64">
        <v>94024</v>
      </c>
      <c r="V104" s="64">
        <v>82271</v>
      </c>
      <c r="W104" s="64">
        <v>72197</v>
      </c>
      <c r="X104" s="64">
        <v>72197</v>
      </c>
      <c r="Y104" s="64">
        <v>72197</v>
      </c>
      <c r="Z104" s="64">
        <v>72197</v>
      </c>
      <c r="AA104" s="64">
        <v>72197</v>
      </c>
      <c r="AB104" s="64">
        <v>72197</v>
      </c>
      <c r="AC104" s="64">
        <v>72197</v>
      </c>
      <c r="AD104" s="64">
        <v>72196.999999999505</v>
      </c>
      <c r="AE104" s="64">
        <v>0</v>
      </c>
      <c r="AF104" s="64">
        <v>0</v>
      </c>
      <c r="AG104" s="64">
        <v>0</v>
      </c>
      <c r="AH104" s="64">
        <v>0</v>
      </c>
    </row>
    <row r="105" spans="3:34">
      <c r="F105" s="65">
        <v>2026</v>
      </c>
      <c r="G105" s="64">
        <v>1395000</v>
      </c>
      <c r="H105" s="64">
        <v>1394999.9999999995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174375</v>
      </c>
      <c r="Q105" s="64">
        <v>152055</v>
      </c>
      <c r="R105" s="64">
        <v>133920</v>
      </c>
      <c r="S105" s="64">
        <v>117180</v>
      </c>
      <c r="T105" s="64">
        <v>101835</v>
      </c>
      <c r="U105" s="64">
        <v>89280</v>
      </c>
      <c r="V105" s="64">
        <v>78120</v>
      </c>
      <c r="W105" s="64">
        <v>68355</v>
      </c>
      <c r="X105" s="64">
        <v>59984.999999999993</v>
      </c>
      <c r="Y105" s="64">
        <v>59984.999999999993</v>
      </c>
      <c r="Z105" s="64">
        <v>59984.999999999993</v>
      </c>
      <c r="AA105" s="64">
        <v>59984.999999999993</v>
      </c>
      <c r="AB105" s="64">
        <v>59984.999999999993</v>
      </c>
      <c r="AC105" s="64">
        <v>59984.999999999993</v>
      </c>
      <c r="AD105" s="64">
        <v>59984.999999999993</v>
      </c>
      <c r="AE105" s="64">
        <v>59984.999999999585</v>
      </c>
      <c r="AF105" s="64">
        <v>0</v>
      </c>
      <c r="AG105" s="64">
        <v>0</v>
      </c>
      <c r="AH105" s="64">
        <v>0</v>
      </c>
    </row>
    <row r="106" spans="3:34">
      <c r="F106" s="65">
        <v>2027</v>
      </c>
      <c r="G106" s="64">
        <v>85000</v>
      </c>
      <c r="H106" s="64">
        <v>84999.999999999971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10625</v>
      </c>
      <c r="R106" s="64">
        <v>9265</v>
      </c>
      <c r="S106" s="64">
        <v>8160</v>
      </c>
      <c r="T106" s="64">
        <v>7140</v>
      </c>
      <c r="U106" s="64">
        <v>6205</v>
      </c>
      <c r="V106" s="64">
        <v>5440</v>
      </c>
      <c r="W106" s="64">
        <v>4760</v>
      </c>
      <c r="X106" s="64">
        <v>4165</v>
      </c>
      <c r="Y106" s="64">
        <v>3654.9999999999995</v>
      </c>
      <c r="Z106" s="64">
        <v>3654.9999999999995</v>
      </c>
      <c r="AA106" s="64">
        <v>3654.9999999999995</v>
      </c>
      <c r="AB106" s="64">
        <v>3654.9999999999995</v>
      </c>
      <c r="AC106" s="64">
        <v>3654.9999999999995</v>
      </c>
      <c r="AD106" s="64">
        <v>3654.9999999999995</v>
      </c>
      <c r="AE106" s="64">
        <v>3654.9999999999995</v>
      </c>
      <c r="AF106" s="64">
        <v>3654.999999999975</v>
      </c>
      <c r="AG106" s="64">
        <v>0</v>
      </c>
      <c r="AH106" s="64">
        <v>0</v>
      </c>
    </row>
    <row r="107" spans="3:34">
      <c r="F107" s="65">
        <v>2028</v>
      </c>
      <c r="G107" s="64" t="str">
        <v/>
      </c>
      <c r="H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>
        <v>0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0</v>
      </c>
    </row>
    <row r="108" spans="3:34">
      <c r="F108" s="65">
        <v>2029</v>
      </c>
      <c r="G108" s="64">
        <v>571000</v>
      </c>
      <c r="H108" s="64">
        <v>570999.99999999988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71375</v>
      </c>
      <c r="T108" s="64">
        <v>62239</v>
      </c>
      <c r="U108" s="64">
        <v>54816</v>
      </c>
      <c r="V108" s="64">
        <v>47964</v>
      </c>
      <c r="W108" s="64">
        <v>41683</v>
      </c>
      <c r="X108" s="64">
        <v>36544</v>
      </c>
      <c r="Y108" s="64">
        <v>31976</v>
      </c>
      <c r="Z108" s="64">
        <v>27979</v>
      </c>
      <c r="AA108" s="64">
        <v>24552.999999999996</v>
      </c>
      <c r="AB108" s="64">
        <v>24552.999999999996</v>
      </c>
      <c r="AC108" s="64">
        <v>24552.999999999996</v>
      </c>
      <c r="AD108" s="64">
        <v>24552.999999999996</v>
      </c>
      <c r="AE108" s="64">
        <v>24552.999999999996</v>
      </c>
      <c r="AF108" s="64">
        <v>24552.999999999996</v>
      </c>
      <c r="AG108" s="64">
        <v>24552.999999999996</v>
      </c>
      <c r="AH108" s="64">
        <v>24552.999999999833</v>
      </c>
    </row>
    <row r="109" spans="3:34">
      <c r="F109" s="65">
        <v>2030</v>
      </c>
      <c r="G109" s="64">
        <v>833000</v>
      </c>
      <c r="H109" s="64">
        <v>797181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104125</v>
      </c>
      <c r="U109" s="64">
        <v>90797</v>
      </c>
      <c r="V109" s="64">
        <v>79968</v>
      </c>
      <c r="W109" s="64">
        <v>69972</v>
      </c>
      <c r="X109" s="64">
        <v>60808.999999999993</v>
      </c>
      <c r="Y109" s="64">
        <v>53312</v>
      </c>
      <c r="Z109" s="64">
        <v>46648</v>
      </c>
      <c r="AA109" s="64">
        <v>40817</v>
      </c>
      <c r="AB109" s="64">
        <v>35819</v>
      </c>
      <c r="AC109" s="64">
        <v>35819</v>
      </c>
      <c r="AD109" s="64">
        <v>35819</v>
      </c>
      <c r="AE109" s="64">
        <v>35819</v>
      </c>
      <c r="AF109" s="64">
        <v>35819</v>
      </c>
      <c r="AG109" s="64">
        <v>35819</v>
      </c>
      <c r="AH109" s="64">
        <v>35819</v>
      </c>
    </row>
    <row r="110" spans="3:34">
      <c r="F110" s="65">
        <v>2031</v>
      </c>
      <c r="G110" s="64">
        <v>964000</v>
      </c>
      <c r="H110" s="64">
        <v>881096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120500</v>
      </c>
      <c r="V110" s="64">
        <v>105076</v>
      </c>
      <c r="W110" s="64">
        <v>92544</v>
      </c>
      <c r="X110" s="64">
        <v>80976</v>
      </c>
      <c r="Y110" s="64">
        <v>70372</v>
      </c>
      <c r="Z110" s="64">
        <v>61696</v>
      </c>
      <c r="AA110" s="64">
        <v>53984</v>
      </c>
      <c r="AB110" s="64">
        <v>47236</v>
      </c>
      <c r="AC110" s="64">
        <v>41452</v>
      </c>
      <c r="AD110" s="64">
        <v>41452</v>
      </c>
      <c r="AE110" s="64">
        <v>41452</v>
      </c>
      <c r="AF110" s="64">
        <v>41452</v>
      </c>
      <c r="AG110" s="64">
        <v>41452</v>
      </c>
      <c r="AH110" s="64">
        <v>41452</v>
      </c>
    </row>
    <row r="111" spans="3:34">
      <c r="F111" s="65">
        <v>2032</v>
      </c>
      <c r="G111" s="64">
        <v>390000</v>
      </c>
      <c r="H111" s="64">
        <v>339690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48750</v>
      </c>
      <c r="W111" s="64">
        <v>42510</v>
      </c>
      <c r="X111" s="64">
        <v>37440</v>
      </c>
      <c r="Y111" s="64">
        <v>32760.000000000004</v>
      </c>
      <c r="Z111" s="64">
        <v>28470</v>
      </c>
      <c r="AA111" s="64">
        <v>24960</v>
      </c>
      <c r="AB111" s="64">
        <v>21840</v>
      </c>
      <c r="AC111" s="64">
        <v>19110</v>
      </c>
      <c r="AD111" s="64">
        <v>16770</v>
      </c>
      <c r="AE111" s="64">
        <v>16770</v>
      </c>
      <c r="AF111" s="64">
        <v>16770</v>
      </c>
      <c r="AG111" s="64">
        <v>16770</v>
      </c>
      <c r="AH111" s="64">
        <v>16770</v>
      </c>
    </row>
    <row r="112" spans="3:34">
      <c r="F112" s="65">
        <v>2033</v>
      </c>
      <c r="G112" s="64">
        <v>1784000</v>
      </c>
      <c r="H112" s="64">
        <v>1477152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223000</v>
      </c>
      <c r="X112" s="64">
        <v>194456</v>
      </c>
      <c r="Y112" s="64">
        <v>171264</v>
      </c>
      <c r="Z112" s="64">
        <v>149856</v>
      </c>
      <c r="AA112" s="64">
        <v>130231.99999999999</v>
      </c>
      <c r="AB112" s="64">
        <v>114176</v>
      </c>
      <c r="AC112" s="64">
        <v>99904</v>
      </c>
      <c r="AD112" s="64">
        <v>87416</v>
      </c>
      <c r="AE112" s="64">
        <v>76712</v>
      </c>
      <c r="AF112" s="64">
        <v>76712</v>
      </c>
      <c r="AG112" s="64">
        <v>76712</v>
      </c>
      <c r="AH112" s="64">
        <v>76712</v>
      </c>
    </row>
    <row r="113" spans="3:34">
      <c r="F113" s="65">
        <v>2034</v>
      </c>
      <c r="G113" s="64">
        <v>1199000</v>
      </c>
      <c r="H113" s="64">
        <v>941215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149875</v>
      </c>
      <c r="Y113" s="64">
        <v>130691</v>
      </c>
      <c r="Z113" s="64">
        <v>115104</v>
      </c>
      <c r="AA113" s="64">
        <v>100716</v>
      </c>
      <c r="AB113" s="64">
        <v>87527</v>
      </c>
      <c r="AC113" s="64">
        <v>76736</v>
      </c>
      <c r="AD113" s="64">
        <v>67144</v>
      </c>
      <c r="AE113" s="64">
        <v>58751</v>
      </c>
      <c r="AF113" s="64">
        <v>51556.999999999993</v>
      </c>
      <c r="AG113" s="64">
        <v>51556.999999999993</v>
      </c>
      <c r="AH113" s="64">
        <v>51556.999999999993</v>
      </c>
    </row>
    <row r="114" spans="3:34">
      <c r="F114" s="65">
        <v>2035</v>
      </c>
      <c r="G114" s="64">
        <v>1239000</v>
      </c>
      <c r="H114" s="64">
        <v>919338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154875</v>
      </c>
      <c r="Z114" s="64">
        <v>135051</v>
      </c>
      <c r="AA114" s="64">
        <v>118944</v>
      </c>
      <c r="AB114" s="64">
        <v>104076</v>
      </c>
      <c r="AC114" s="64">
        <v>90447</v>
      </c>
      <c r="AD114" s="64">
        <v>79296</v>
      </c>
      <c r="AE114" s="64">
        <v>69384</v>
      </c>
      <c r="AF114" s="64">
        <v>60711</v>
      </c>
      <c r="AG114" s="64">
        <v>53276.999999999993</v>
      </c>
      <c r="AH114" s="64">
        <v>53276.999999999993</v>
      </c>
    </row>
    <row r="115" spans="3:34">
      <c r="F115" s="65">
        <v>2036</v>
      </c>
      <c r="G115" s="64">
        <v>1044000</v>
      </c>
      <c r="H115" s="64">
        <v>729756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>
        <v>130500</v>
      </c>
      <c r="AA115" s="64">
        <v>113796</v>
      </c>
      <c r="AB115" s="64">
        <v>100224</v>
      </c>
      <c r="AC115" s="64">
        <v>87696</v>
      </c>
      <c r="AD115" s="64">
        <v>76212</v>
      </c>
      <c r="AE115" s="64">
        <v>66816</v>
      </c>
      <c r="AF115" s="64">
        <v>58464</v>
      </c>
      <c r="AG115" s="64">
        <v>51156</v>
      </c>
      <c r="AH115" s="64">
        <v>44892</v>
      </c>
    </row>
    <row r="116" spans="3:34">
      <c r="F116" s="65">
        <v>2037</v>
      </c>
      <c r="G116" s="64">
        <v>1012000</v>
      </c>
      <c r="H116" s="64">
        <v>663872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>
        <v>0</v>
      </c>
      <c r="AA116" s="64">
        <v>126500</v>
      </c>
      <c r="AB116" s="64">
        <v>110308</v>
      </c>
      <c r="AC116" s="64">
        <v>97152</v>
      </c>
      <c r="AD116" s="64">
        <v>85008</v>
      </c>
      <c r="AE116" s="64">
        <v>73876</v>
      </c>
      <c r="AF116" s="64">
        <v>64768</v>
      </c>
      <c r="AG116" s="64">
        <v>56672</v>
      </c>
      <c r="AH116" s="64">
        <v>49588</v>
      </c>
    </row>
    <row r="117" spans="3:34">
      <c r="F117" s="65">
        <v>2038</v>
      </c>
      <c r="G117" s="64">
        <v>331000</v>
      </c>
      <c r="H117" s="64">
        <v>200917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>
        <v>0</v>
      </c>
      <c r="AA117" s="64">
        <v>0</v>
      </c>
      <c r="AB117" s="64">
        <v>41375</v>
      </c>
      <c r="AC117" s="64">
        <v>36079</v>
      </c>
      <c r="AD117" s="64">
        <v>31776</v>
      </c>
      <c r="AE117" s="64">
        <v>27804</v>
      </c>
      <c r="AF117" s="64">
        <v>24163</v>
      </c>
      <c r="AG117" s="64">
        <v>21184</v>
      </c>
      <c r="AH117" s="64">
        <v>18536</v>
      </c>
    </row>
    <row r="118" spans="3:34">
      <c r="F118" s="65">
        <v>2039</v>
      </c>
      <c r="G118" s="64">
        <v>385000</v>
      </c>
      <c r="H118" s="64">
        <v>212135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>
        <v>0</v>
      </c>
      <c r="AA118" s="64">
        <v>0</v>
      </c>
      <c r="AB118" s="64">
        <v>0</v>
      </c>
      <c r="AC118" s="64">
        <v>48125</v>
      </c>
      <c r="AD118" s="64">
        <v>41965</v>
      </c>
      <c r="AE118" s="64">
        <v>36960</v>
      </c>
      <c r="AF118" s="64">
        <v>32340.000000000004</v>
      </c>
      <c r="AG118" s="64">
        <v>28105</v>
      </c>
      <c r="AH118" s="64">
        <v>24640</v>
      </c>
    </row>
    <row r="119" spans="3:34">
      <c r="F119" s="65">
        <v>2040</v>
      </c>
      <c r="G119" s="64">
        <v>1165000</v>
      </c>
      <c r="H119" s="64">
        <v>567355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>
        <v>0</v>
      </c>
      <c r="AA119" s="64">
        <v>0</v>
      </c>
      <c r="AB119" s="64">
        <v>0</v>
      </c>
      <c r="AC119" s="64">
        <v>0</v>
      </c>
      <c r="AD119" s="64">
        <v>145625</v>
      </c>
      <c r="AE119" s="64">
        <v>126985</v>
      </c>
      <c r="AF119" s="64">
        <v>111840</v>
      </c>
      <c r="AG119" s="64">
        <v>97860</v>
      </c>
      <c r="AH119" s="64">
        <v>85045</v>
      </c>
    </row>
    <row r="120" spans="3:34">
      <c r="F120" s="65">
        <v>2041</v>
      </c>
      <c r="G120" s="64">
        <v>966000</v>
      </c>
      <c r="H120" s="64">
        <v>399924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>
        <v>0</v>
      </c>
      <c r="AA120" s="64">
        <v>0</v>
      </c>
      <c r="AB120" s="64">
        <v>0</v>
      </c>
      <c r="AC120" s="64">
        <v>0</v>
      </c>
      <c r="AD120" s="64">
        <v>0</v>
      </c>
      <c r="AE120" s="64">
        <v>120750</v>
      </c>
      <c r="AF120" s="64">
        <v>105294</v>
      </c>
      <c r="AG120" s="64">
        <v>92736</v>
      </c>
      <c r="AH120" s="64">
        <v>81144</v>
      </c>
    </row>
    <row r="121" spans="3:34">
      <c r="F121" s="65">
        <v>2042</v>
      </c>
      <c r="G121" s="64">
        <v>475000</v>
      </c>
      <c r="H121" s="64">
        <v>156750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>
        <v>0</v>
      </c>
      <c r="AA121" s="64">
        <v>0</v>
      </c>
      <c r="AB121" s="64">
        <v>0</v>
      </c>
      <c r="AC121" s="64">
        <v>0</v>
      </c>
      <c r="AD121" s="64">
        <v>0</v>
      </c>
      <c r="AE121" s="64">
        <v>0</v>
      </c>
      <c r="AF121" s="64">
        <v>59375</v>
      </c>
      <c r="AG121" s="64">
        <v>51775</v>
      </c>
      <c r="AH121" s="64">
        <v>45600</v>
      </c>
    </row>
    <row r="122" spans="3:34">
      <c r="F122" s="65">
        <v>2043</v>
      </c>
      <c r="G122" s="64">
        <v>1241000</v>
      </c>
      <c r="H122" s="64">
        <v>290394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0</v>
      </c>
      <c r="AC122" s="64">
        <v>0</v>
      </c>
      <c r="AD122" s="64">
        <v>0</v>
      </c>
      <c r="AE122" s="64">
        <v>0</v>
      </c>
      <c r="AF122" s="64">
        <v>0</v>
      </c>
      <c r="AG122" s="64">
        <v>155125</v>
      </c>
      <c r="AH122" s="64">
        <v>135269</v>
      </c>
    </row>
    <row r="123" spans="3:34">
      <c r="F123" s="65">
        <v>2044</v>
      </c>
      <c r="G123" s="64">
        <v>1502000</v>
      </c>
      <c r="H123" s="64">
        <v>187750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>
        <v>0</v>
      </c>
      <c r="AA123" s="64">
        <v>0</v>
      </c>
      <c r="AB123" s="64">
        <v>0</v>
      </c>
      <c r="AC123" s="64">
        <v>0</v>
      </c>
      <c r="AD123" s="64">
        <v>0</v>
      </c>
      <c r="AE123" s="64">
        <v>0</v>
      </c>
      <c r="AF123" s="64">
        <v>0</v>
      </c>
      <c r="AG123" s="64">
        <v>0</v>
      </c>
      <c r="AH123" s="64">
        <v>187750</v>
      </c>
    </row>
    <row r="124" spans="3:34">
      <c r="J124" s="69" cm="1">
        <f t="array" ref="J124:AH124">_xlfn.BYCOL(_xlfn.ANCHORARRAY( J99), _xleta.SUM )</f>
        <v>282750</v>
      </c>
      <c r="K124" s="69">
        <v>302558</v>
      </c>
      <c r="L124" s="69">
        <v>460109</v>
      </c>
      <c r="M124" s="69">
        <v>449543</v>
      </c>
      <c r="N124" s="69">
        <v>593798</v>
      </c>
      <c r="O124" s="69">
        <v>729141</v>
      </c>
      <c r="P124" s="69">
        <v>812027</v>
      </c>
      <c r="Q124" s="69">
        <v>721680</v>
      </c>
      <c r="R124" s="69">
        <v>631837</v>
      </c>
      <c r="S124" s="69">
        <v>635861</v>
      </c>
      <c r="T124" s="69">
        <v>674562</v>
      </c>
      <c r="U124" s="69">
        <v>733879</v>
      </c>
      <c r="V124" s="69">
        <v>716210</v>
      </c>
      <c r="W124" s="69">
        <v>883642</v>
      </c>
      <c r="X124" s="69">
        <v>965068</v>
      </c>
      <c r="Y124" s="69">
        <v>1049707.9999999993</v>
      </c>
      <c r="Z124" s="69">
        <v>1002495.9999999999</v>
      </c>
      <c r="AA124" s="69">
        <v>1022429.9999999995</v>
      </c>
      <c r="AB124" s="69">
        <v>908282.99999999988</v>
      </c>
      <c r="AC124" s="69">
        <v>861967.99999999953</v>
      </c>
      <c r="AD124" s="69">
        <v>868872.99999999953</v>
      </c>
      <c r="AE124" s="69">
        <v>840271.99999999953</v>
      </c>
      <c r="AF124" s="69">
        <v>767473</v>
      </c>
      <c r="AG124" s="69">
        <v>854753</v>
      </c>
      <c r="AH124" s="69">
        <v>972603.99999999977</v>
      </c>
    </row>
    <row r="127" spans="3:34">
      <c r="C127" s="68" t="s">
        <v>73</v>
      </c>
    </row>
    <row r="128" spans="3:34">
      <c r="F128" s="64" t="s">
        <v>69</v>
      </c>
      <c r="G128" s="64" t="s">
        <v>70</v>
      </c>
      <c r="J128" s="71" cm="1">
        <f t="array" ref="J128:AH128">_xlfn.ANCHORARRAY($J$3)</f>
        <v>43861</v>
      </c>
      <c r="K128" s="71">
        <v>44227</v>
      </c>
      <c r="L128" s="71">
        <v>44592</v>
      </c>
      <c r="M128" s="71">
        <v>44957</v>
      </c>
      <c r="N128" s="71">
        <v>45322</v>
      </c>
      <c r="O128" s="71">
        <v>45688</v>
      </c>
      <c r="P128" s="71">
        <v>46053</v>
      </c>
      <c r="Q128" s="71">
        <v>46418</v>
      </c>
      <c r="R128" s="71">
        <v>46783</v>
      </c>
      <c r="S128" s="71">
        <v>47149</v>
      </c>
      <c r="T128" s="71">
        <v>47514</v>
      </c>
      <c r="U128" s="71">
        <v>47879</v>
      </c>
      <c r="V128" s="71">
        <v>48244</v>
      </c>
      <c r="W128" s="71">
        <v>48610</v>
      </c>
      <c r="X128" s="71">
        <v>48975</v>
      </c>
      <c r="Y128" s="71">
        <v>49340</v>
      </c>
      <c r="Z128" s="71">
        <v>49705</v>
      </c>
      <c r="AA128" s="71">
        <v>50071</v>
      </c>
      <c r="AB128" s="71">
        <v>50436</v>
      </c>
      <c r="AC128" s="71">
        <v>50801</v>
      </c>
      <c r="AD128" s="71">
        <v>51166</v>
      </c>
      <c r="AE128" s="71">
        <v>51532</v>
      </c>
      <c r="AF128" s="71">
        <v>51897</v>
      </c>
      <c r="AG128" s="71">
        <v>52262</v>
      </c>
      <c r="AH128" s="71">
        <v>52627</v>
      </c>
    </row>
    <row r="129" spans="6:34">
      <c r="F129" s="65" cm="1">
        <f t="array" ref="F129:G153" xml:space="preserve"> _xlfn.LET(
      _xlpm.assets,_xlfn.ANCHORARRAY(       $E$7),
      _xlpm.long_term,    INDEX( _xlpm.assets,, 2 ),
      _xlpm.acq_date,     INDEX( _xlpm.assets,, 1 ),
      _xlfn.DROP( _xlfn.HSTACK( _xlpm.acq_date, _xlpm.long_term ), 1 ) )</f>
        <v>2020</v>
      </c>
      <c r="G129" s="64">
        <v>2262000</v>
      </c>
      <c r="H129" s="64" cm="1">
        <f t="array" ref="H129:H153">_xlfn.BYROW(_xlfn.ANCHORARRAY( J129), _xleta.SUM )</f>
        <v>2262000</v>
      </c>
      <c r="J129" s="70" cm="1">
        <f t="array" ref="J129:AH153" xml:space="preserve"> _xlfn.LET(
     _xlpm.acquisition_date,    INDEX(_xlfn.ANCHORARRAY( F129),, 1 ),
     _xlpm.acquisition_cost,    INDEX(_xlfn.ANCHORARRAY( F129),, 2 ),
     _xlpm.current_date,_xlfn.ANCHORARRAY(        $J$3),
     _xlpm.period,              YEAR( _xlpm.current_date ) - _xlpm.acquisition_date + 1,
     _xlpm.useful_life,         CaseData!$I$35,
     _xlpm.useful_life_digit,   CaseData!$E$64:$T$64,
     _xlpm.useful_life_year,    CaseData!$D$66:$D$85,
     _xlpm.useful_life_percent, CaseData!$E$66:$T$85,
     _xlpm.rate,                INDEX( _xlpm.useful_life_percent, MATCH( _xlpm.period, _xlpm.useful_life_year, 0 ), MATCH( _xlpm.useful_life, _xlpm.useful_life_digit, 0 ) ),
     IFERROR( IF( _xlpm.period &lt; 0, 0, _xlpm.acquisition_cost * _xlpm.rate ), 0 ) )</f>
        <v>266117.64705882355</v>
      </c>
      <c r="K129" s="64">
        <v>249485.29411764705</v>
      </c>
      <c r="L129" s="64">
        <v>232852.94117647057</v>
      </c>
      <c r="M129" s="64">
        <v>216220.5882352941</v>
      </c>
      <c r="N129" s="64">
        <v>199588.23529411765</v>
      </c>
      <c r="O129" s="64">
        <v>182955.88235294117</v>
      </c>
      <c r="P129" s="64">
        <v>166323.5294117647</v>
      </c>
      <c r="Q129" s="64">
        <v>149691.17647058822</v>
      </c>
      <c r="R129" s="64">
        <v>133058.82352941178</v>
      </c>
      <c r="S129" s="64">
        <v>116426.47058823529</v>
      </c>
      <c r="T129" s="64">
        <v>99794.117647058825</v>
      </c>
      <c r="U129" s="64">
        <v>83161.76470588235</v>
      </c>
      <c r="V129" s="64">
        <v>66529.411764705888</v>
      </c>
      <c r="W129" s="64">
        <v>49897.058823529413</v>
      </c>
      <c r="X129" s="64">
        <v>33264.705882352944</v>
      </c>
      <c r="Y129" s="64">
        <v>16632.352941176472</v>
      </c>
      <c r="Z129" s="64">
        <v>0</v>
      </c>
      <c r="AA129" s="64">
        <v>0</v>
      </c>
      <c r="AB129" s="64">
        <v>0</v>
      </c>
      <c r="AC129" s="64">
        <v>0</v>
      </c>
      <c r="AD129" s="64">
        <v>0</v>
      </c>
      <c r="AE129" s="64">
        <v>0</v>
      </c>
      <c r="AF129" s="64">
        <v>0</v>
      </c>
      <c r="AG129" s="64">
        <v>0</v>
      </c>
      <c r="AH129" s="64">
        <v>0</v>
      </c>
    </row>
    <row r="130" spans="6:34">
      <c r="F130" s="65">
        <v>2021</v>
      </c>
      <c r="G130" s="64">
        <v>448000</v>
      </c>
      <c r="H130" s="64">
        <v>447999.99999999994</v>
      </c>
      <c r="J130" s="64">
        <v>0</v>
      </c>
      <c r="K130" s="64">
        <v>52705.882352941175</v>
      </c>
      <c r="L130" s="64">
        <v>49411.76470588235</v>
      </c>
      <c r="M130" s="64">
        <v>46117.647058823524</v>
      </c>
      <c r="N130" s="64">
        <v>42823.529411764706</v>
      </c>
      <c r="O130" s="64">
        <v>39529.411764705888</v>
      </c>
      <c r="P130" s="64">
        <v>36235.294117647063</v>
      </c>
      <c r="Q130" s="64">
        <v>32941.176470588238</v>
      </c>
      <c r="R130" s="64">
        <v>29647.058823529413</v>
      </c>
      <c r="S130" s="64">
        <v>26352.941176470587</v>
      </c>
      <c r="T130" s="64">
        <v>23058.823529411762</v>
      </c>
      <c r="U130" s="64">
        <v>19764.705882352944</v>
      </c>
      <c r="V130" s="64">
        <v>16470.588235294119</v>
      </c>
      <c r="W130" s="64">
        <v>13176.470588235294</v>
      </c>
      <c r="X130" s="64">
        <v>9882.3529411764721</v>
      </c>
      <c r="Y130" s="64">
        <v>6588.2352941176468</v>
      </c>
      <c r="Z130" s="64">
        <v>3294.1176470588234</v>
      </c>
      <c r="AA130" s="64">
        <v>0</v>
      </c>
      <c r="AB130" s="64">
        <v>0</v>
      </c>
      <c r="AC130" s="64">
        <v>0</v>
      </c>
      <c r="AD130" s="64">
        <v>0</v>
      </c>
      <c r="AE130" s="64">
        <v>0</v>
      </c>
      <c r="AF130" s="64">
        <v>0</v>
      </c>
      <c r="AG130" s="64">
        <v>0</v>
      </c>
      <c r="AH130" s="64">
        <v>0</v>
      </c>
    </row>
    <row r="131" spans="6:34">
      <c r="F131" s="65">
        <v>2022</v>
      </c>
      <c r="G131" s="64">
        <v>1553000</v>
      </c>
      <c r="H131" s="64">
        <v>1553000</v>
      </c>
      <c r="J131" s="64">
        <v>0</v>
      </c>
      <c r="K131" s="64">
        <v>0</v>
      </c>
      <c r="L131" s="64">
        <v>182705.88235294117</v>
      </c>
      <c r="M131" s="64">
        <v>171286.76470588235</v>
      </c>
      <c r="N131" s="64">
        <v>159867.64705882352</v>
      </c>
      <c r="O131" s="64">
        <v>148448.5294117647</v>
      </c>
      <c r="P131" s="64">
        <v>137029.4117647059</v>
      </c>
      <c r="Q131" s="64">
        <v>125610.29411764706</v>
      </c>
      <c r="R131" s="64">
        <v>114191.17647058824</v>
      </c>
      <c r="S131" s="64">
        <v>102772.05882352941</v>
      </c>
      <c r="T131" s="64">
        <v>91352.941176470587</v>
      </c>
      <c r="U131" s="64">
        <v>79933.823529411762</v>
      </c>
      <c r="V131" s="64">
        <v>68514.705882352951</v>
      </c>
      <c r="W131" s="64">
        <v>57095.588235294119</v>
      </c>
      <c r="X131" s="64">
        <v>45676.470588235294</v>
      </c>
      <c r="Y131" s="64">
        <v>34257.352941176476</v>
      </c>
      <c r="Z131" s="64">
        <v>22838.235294117647</v>
      </c>
      <c r="AA131" s="64">
        <v>11419.117647058823</v>
      </c>
      <c r="AB131" s="64">
        <v>0</v>
      </c>
      <c r="AC131" s="64">
        <v>0</v>
      </c>
      <c r="AD131" s="64">
        <v>0</v>
      </c>
      <c r="AE131" s="64">
        <v>0</v>
      </c>
      <c r="AF131" s="64">
        <v>0</v>
      </c>
      <c r="AG131" s="64">
        <v>0</v>
      </c>
      <c r="AH131" s="64">
        <v>0</v>
      </c>
    </row>
    <row r="132" spans="6:34">
      <c r="F132" s="65">
        <v>2023</v>
      </c>
      <c r="G132" s="64">
        <v>378000</v>
      </c>
      <c r="H132" s="64">
        <v>377999.99999999994</v>
      </c>
      <c r="J132" s="64">
        <v>0</v>
      </c>
      <c r="K132" s="64">
        <v>0</v>
      </c>
      <c r="L132" s="64">
        <v>0</v>
      </c>
      <c r="M132" s="64">
        <v>44470.588235294119</v>
      </c>
      <c r="N132" s="64">
        <v>41691.176470588231</v>
      </c>
      <c r="O132" s="64">
        <v>38911.76470588235</v>
      </c>
      <c r="P132" s="64">
        <v>36132.352941176468</v>
      </c>
      <c r="Q132" s="64">
        <v>33352.941176470587</v>
      </c>
      <c r="R132" s="64">
        <v>30573.529411764706</v>
      </c>
      <c r="S132" s="64">
        <v>27794.117647058825</v>
      </c>
      <c r="T132" s="64">
        <v>25014.705882352941</v>
      </c>
      <c r="U132" s="64">
        <v>22235.294117647059</v>
      </c>
      <c r="V132" s="64">
        <v>19455.882352941175</v>
      </c>
      <c r="W132" s="64">
        <v>16676.470588235294</v>
      </c>
      <c r="X132" s="64">
        <v>13897.058823529413</v>
      </c>
      <c r="Y132" s="64">
        <v>11117.64705882353</v>
      </c>
      <c r="Z132" s="64">
        <v>8338.2352941176468</v>
      </c>
      <c r="AA132" s="64">
        <v>5558.8235294117649</v>
      </c>
      <c r="AB132" s="64">
        <v>2779.4117647058824</v>
      </c>
      <c r="AC132" s="64">
        <v>0</v>
      </c>
      <c r="AD132" s="64">
        <v>0</v>
      </c>
      <c r="AE132" s="64">
        <v>0</v>
      </c>
      <c r="AF132" s="64">
        <v>0</v>
      </c>
      <c r="AG132" s="64">
        <v>0</v>
      </c>
      <c r="AH132" s="64">
        <v>0</v>
      </c>
    </row>
    <row r="133" spans="6:34">
      <c r="F133" s="65">
        <v>2024</v>
      </c>
      <c r="G133" s="64">
        <v>1606000</v>
      </c>
      <c r="H133" s="64">
        <v>1606000</v>
      </c>
      <c r="J133" s="64">
        <v>0</v>
      </c>
      <c r="K133" s="64">
        <v>0</v>
      </c>
      <c r="L133" s="64">
        <v>0</v>
      </c>
      <c r="M133" s="64">
        <v>0</v>
      </c>
      <c r="N133" s="64">
        <v>188941.17647058822</v>
      </c>
      <c r="O133" s="64">
        <v>177132.35294117648</v>
      </c>
      <c r="P133" s="64">
        <v>165323.5294117647</v>
      </c>
      <c r="Q133" s="64">
        <v>153514.70588235292</v>
      </c>
      <c r="R133" s="64">
        <v>141705.88235294117</v>
      </c>
      <c r="S133" s="64">
        <v>129897.05882352941</v>
      </c>
      <c r="T133" s="64">
        <v>118088.23529411765</v>
      </c>
      <c r="U133" s="64">
        <v>106279.41176470589</v>
      </c>
      <c r="V133" s="64">
        <v>94470.588235294112</v>
      </c>
      <c r="W133" s="64">
        <v>82661.76470588235</v>
      </c>
      <c r="X133" s="64">
        <v>70852.941176470587</v>
      </c>
      <c r="Y133" s="64">
        <v>59044.117647058825</v>
      </c>
      <c r="Z133" s="64">
        <v>47235.294117647056</v>
      </c>
      <c r="AA133" s="64">
        <v>35426.470588235294</v>
      </c>
      <c r="AB133" s="64">
        <v>23617.647058823528</v>
      </c>
      <c r="AC133" s="64">
        <v>11808.823529411764</v>
      </c>
      <c r="AD133" s="64">
        <v>0</v>
      </c>
      <c r="AE133" s="64">
        <v>0</v>
      </c>
      <c r="AF133" s="64">
        <v>0</v>
      </c>
      <c r="AG133" s="64">
        <v>0</v>
      </c>
      <c r="AH133" s="64">
        <v>0</v>
      </c>
    </row>
    <row r="134" spans="6:34">
      <c r="F134" s="65">
        <v>2025</v>
      </c>
      <c r="G134" s="64">
        <v>1679000</v>
      </c>
      <c r="H134" s="64">
        <v>1679000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197529.41176470587</v>
      </c>
      <c r="P134" s="64">
        <v>185183.82352941175</v>
      </c>
      <c r="Q134" s="64">
        <v>172838.23529411765</v>
      </c>
      <c r="R134" s="64">
        <v>160492.64705882352</v>
      </c>
      <c r="S134" s="64">
        <v>148147.05882352943</v>
      </c>
      <c r="T134" s="64">
        <v>135801.4705882353</v>
      </c>
      <c r="U134" s="64">
        <v>123455.88235294117</v>
      </c>
      <c r="V134" s="64">
        <v>111110.29411764706</v>
      </c>
      <c r="W134" s="64">
        <v>98764.705882352937</v>
      </c>
      <c r="X134" s="64">
        <v>86419.117647058825</v>
      </c>
      <c r="Y134" s="64">
        <v>74073.529411764714</v>
      </c>
      <c r="Z134" s="64">
        <v>61727.941176470587</v>
      </c>
      <c r="AA134" s="64">
        <v>49382.352941176468</v>
      </c>
      <c r="AB134" s="64">
        <v>37036.764705882357</v>
      </c>
      <c r="AC134" s="64">
        <v>24691.176470588234</v>
      </c>
      <c r="AD134" s="64">
        <v>12345.588235294117</v>
      </c>
      <c r="AE134" s="64">
        <v>0</v>
      </c>
      <c r="AF134" s="64">
        <v>0</v>
      </c>
      <c r="AG134" s="64">
        <v>0</v>
      </c>
      <c r="AH134" s="64">
        <v>0</v>
      </c>
    </row>
    <row r="135" spans="6:34">
      <c r="F135" s="65">
        <v>2026</v>
      </c>
      <c r="G135" s="64">
        <v>1395000</v>
      </c>
      <c r="H135" s="64">
        <v>1394999.9999999998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164117.64705882352</v>
      </c>
      <c r="Q135" s="64">
        <v>153860.29411764705</v>
      </c>
      <c r="R135" s="64">
        <v>143602.94117647057</v>
      </c>
      <c r="S135" s="64">
        <v>133345.5882352941</v>
      </c>
      <c r="T135" s="64">
        <v>123088.23529411765</v>
      </c>
      <c r="U135" s="64">
        <v>112830.88235294119</v>
      </c>
      <c r="V135" s="64">
        <v>102573.52941176471</v>
      </c>
      <c r="W135" s="64">
        <v>92316.176470588238</v>
      </c>
      <c r="X135" s="64">
        <v>82058.823529411762</v>
      </c>
      <c r="Y135" s="64">
        <v>71801.470588235286</v>
      </c>
      <c r="Z135" s="64">
        <v>61544.117647058825</v>
      </c>
      <c r="AA135" s="64">
        <v>51286.764705882357</v>
      </c>
      <c r="AB135" s="64">
        <v>41029.411764705881</v>
      </c>
      <c r="AC135" s="64">
        <v>30772.058823529413</v>
      </c>
      <c r="AD135" s="64">
        <v>20514.705882352941</v>
      </c>
      <c r="AE135" s="64">
        <v>10257.35294117647</v>
      </c>
      <c r="AF135" s="64">
        <v>0</v>
      </c>
      <c r="AG135" s="64">
        <v>0</v>
      </c>
      <c r="AH135" s="64">
        <v>0</v>
      </c>
    </row>
    <row r="136" spans="6:34">
      <c r="F136" s="65">
        <v>2027</v>
      </c>
      <c r="G136" s="64">
        <v>85000</v>
      </c>
      <c r="H136" s="64">
        <v>85000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10000</v>
      </c>
      <c r="R136" s="64">
        <v>9375</v>
      </c>
      <c r="S136" s="64">
        <v>8750</v>
      </c>
      <c r="T136" s="64">
        <v>8124.9999999999991</v>
      </c>
      <c r="U136" s="64">
        <v>7500.0000000000009</v>
      </c>
      <c r="V136" s="64">
        <v>6875</v>
      </c>
      <c r="W136" s="64">
        <v>6250</v>
      </c>
      <c r="X136" s="64">
        <v>5625</v>
      </c>
      <c r="Y136" s="64">
        <v>5000</v>
      </c>
      <c r="Z136" s="64">
        <v>4375</v>
      </c>
      <c r="AA136" s="64">
        <v>3750.0000000000005</v>
      </c>
      <c r="AB136" s="64">
        <v>3125</v>
      </c>
      <c r="AC136" s="64">
        <v>2500</v>
      </c>
      <c r="AD136" s="64">
        <v>1875.0000000000002</v>
      </c>
      <c r="AE136" s="64">
        <v>1250</v>
      </c>
      <c r="AF136" s="64">
        <v>625</v>
      </c>
      <c r="AG136" s="64">
        <v>0</v>
      </c>
      <c r="AH136" s="64">
        <v>0</v>
      </c>
    </row>
    <row r="137" spans="6:34">
      <c r="F137" s="65">
        <v>2028</v>
      </c>
      <c r="G137" s="64" t="str">
        <v/>
      </c>
      <c r="H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0</v>
      </c>
      <c r="AG137" s="64">
        <v>0</v>
      </c>
      <c r="AH137" s="64">
        <v>0</v>
      </c>
    </row>
    <row r="138" spans="6:34">
      <c r="F138" s="65">
        <v>2029</v>
      </c>
      <c r="G138" s="64">
        <v>571000</v>
      </c>
      <c r="H138" s="64">
        <v>570999.99999999988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67176.470588235286</v>
      </c>
      <c r="T138" s="64">
        <v>62977.941176470587</v>
      </c>
      <c r="U138" s="64">
        <v>58779.411764705881</v>
      </c>
      <c r="V138" s="64">
        <v>54580.882352941175</v>
      </c>
      <c r="W138" s="64">
        <v>50382.352941176476</v>
      </c>
      <c r="X138" s="64">
        <v>46183.823529411769</v>
      </c>
      <c r="Y138" s="64">
        <v>41985.294117647063</v>
      </c>
      <c r="Z138" s="64">
        <v>37786.764705882357</v>
      </c>
      <c r="AA138" s="64">
        <v>33588.235294117643</v>
      </c>
      <c r="AB138" s="64">
        <v>29389.705882352941</v>
      </c>
      <c r="AC138" s="64">
        <v>25191.176470588238</v>
      </c>
      <c r="AD138" s="64">
        <v>20992.647058823532</v>
      </c>
      <c r="AE138" s="64">
        <v>16794.117647058822</v>
      </c>
      <c r="AF138" s="64">
        <v>12595.588235294119</v>
      </c>
      <c r="AG138" s="64">
        <v>8397.0588235294108</v>
      </c>
      <c r="AH138" s="64">
        <v>4198.5294117647054</v>
      </c>
    </row>
    <row r="139" spans="6:34">
      <c r="F139" s="65">
        <v>2030</v>
      </c>
      <c r="G139" s="64">
        <v>833000</v>
      </c>
      <c r="H139" s="64">
        <v>826875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98000</v>
      </c>
      <c r="U139" s="64">
        <v>91875</v>
      </c>
      <c r="V139" s="64">
        <v>85750</v>
      </c>
      <c r="W139" s="64">
        <v>79625</v>
      </c>
      <c r="X139" s="64">
        <v>73500</v>
      </c>
      <c r="Y139" s="64">
        <v>67375</v>
      </c>
      <c r="Z139" s="64">
        <v>61250</v>
      </c>
      <c r="AA139" s="64">
        <v>55125</v>
      </c>
      <c r="AB139" s="64">
        <v>49000</v>
      </c>
      <c r="AC139" s="64">
        <v>42875</v>
      </c>
      <c r="AD139" s="64">
        <v>36750</v>
      </c>
      <c r="AE139" s="64">
        <v>30625</v>
      </c>
      <c r="AF139" s="64">
        <v>24500</v>
      </c>
      <c r="AG139" s="64">
        <v>18375</v>
      </c>
      <c r="AH139" s="64">
        <v>12250</v>
      </c>
    </row>
    <row r="140" spans="6:34">
      <c r="F140" s="65">
        <v>2031</v>
      </c>
      <c r="G140" s="64">
        <v>964000</v>
      </c>
      <c r="H140" s="64">
        <v>942735.29411764699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113411.76470588235</v>
      </c>
      <c r="V140" s="64">
        <v>106323.5294117647</v>
      </c>
      <c r="W140" s="64">
        <v>99235.294117647049</v>
      </c>
      <c r="X140" s="64">
        <v>92147.058823529413</v>
      </c>
      <c r="Y140" s="64">
        <v>85058.823529411777</v>
      </c>
      <c r="Z140" s="64">
        <v>77970.588235294126</v>
      </c>
      <c r="AA140" s="64">
        <v>70882.352941176476</v>
      </c>
      <c r="AB140" s="64">
        <v>63794.117647058825</v>
      </c>
      <c r="AC140" s="64">
        <v>56705.882352941175</v>
      </c>
      <c r="AD140" s="64">
        <v>49617.647058823524</v>
      </c>
      <c r="AE140" s="64">
        <v>42529.411764705888</v>
      </c>
      <c r="AF140" s="64">
        <v>35441.176470588238</v>
      </c>
      <c r="AG140" s="64">
        <v>28352.941176470587</v>
      </c>
      <c r="AH140" s="64">
        <v>21264.705882352944</v>
      </c>
    </row>
    <row r="141" spans="6:34">
      <c r="F141" s="65">
        <v>2032</v>
      </c>
      <c r="G141" s="64">
        <v>390000</v>
      </c>
      <c r="H141" s="64">
        <v>372794.11764705885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45882.352941176468</v>
      </c>
      <c r="W141" s="64">
        <v>43014.705882352937</v>
      </c>
      <c r="X141" s="64">
        <v>40147.058823529413</v>
      </c>
      <c r="Y141" s="64">
        <v>37279.411764705881</v>
      </c>
      <c r="Z141" s="64">
        <v>34411.764705882357</v>
      </c>
      <c r="AA141" s="64">
        <v>31544.117647058825</v>
      </c>
      <c r="AB141" s="64">
        <v>28676.470588235294</v>
      </c>
      <c r="AC141" s="64">
        <v>25808.823529411766</v>
      </c>
      <c r="AD141" s="64">
        <v>22941.176470588234</v>
      </c>
      <c r="AE141" s="64">
        <v>20073.529411764706</v>
      </c>
      <c r="AF141" s="64">
        <v>17205.882352941178</v>
      </c>
      <c r="AG141" s="64">
        <v>14338.235294117647</v>
      </c>
      <c r="AH141" s="64">
        <v>11470.588235294117</v>
      </c>
    </row>
    <row r="142" spans="6:34">
      <c r="F142" s="65">
        <v>2033</v>
      </c>
      <c r="G142" s="64">
        <v>1784000</v>
      </c>
      <c r="H142" s="64">
        <v>1652823.5294117648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209882.35294117648</v>
      </c>
      <c r="X142" s="64">
        <v>196764.70588235292</v>
      </c>
      <c r="Y142" s="64">
        <v>183647.0588235294</v>
      </c>
      <c r="Z142" s="64">
        <v>170529.41176470587</v>
      </c>
      <c r="AA142" s="64">
        <v>157411.76470588235</v>
      </c>
      <c r="AB142" s="64">
        <v>144294.11764705883</v>
      </c>
      <c r="AC142" s="64">
        <v>131176.4705882353</v>
      </c>
      <c r="AD142" s="64">
        <v>118058.82352941176</v>
      </c>
      <c r="AE142" s="64">
        <v>104941.17647058824</v>
      </c>
      <c r="AF142" s="64">
        <v>91823.529411764699</v>
      </c>
      <c r="AG142" s="64">
        <v>78705.882352941175</v>
      </c>
      <c r="AH142" s="64">
        <v>65588.23529411765</v>
      </c>
    </row>
    <row r="143" spans="6:34">
      <c r="F143" s="65">
        <v>2034</v>
      </c>
      <c r="G143" s="64">
        <v>1199000</v>
      </c>
      <c r="H143" s="64">
        <v>1066757.3529411764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141058.82352941178</v>
      </c>
      <c r="Y143" s="64">
        <v>132242.64705882352</v>
      </c>
      <c r="Z143" s="64">
        <v>123426.47058823529</v>
      </c>
      <c r="AA143" s="64">
        <v>114610.29411764705</v>
      </c>
      <c r="AB143" s="64">
        <v>105794.11764705883</v>
      </c>
      <c r="AC143" s="64">
        <v>96977.941176470587</v>
      </c>
      <c r="AD143" s="64">
        <v>88161.76470588235</v>
      </c>
      <c r="AE143" s="64">
        <v>79345.588235294112</v>
      </c>
      <c r="AF143" s="64">
        <v>70529.411764705888</v>
      </c>
      <c r="AG143" s="64">
        <v>61713.235294117643</v>
      </c>
      <c r="AH143" s="64">
        <v>52897.058823529413</v>
      </c>
    </row>
    <row r="144" spans="6:34">
      <c r="F144" s="65">
        <v>2035</v>
      </c>
      <c r="G144" s="64">
        <v>1239000</v>
      </c>
      <c r="H144" s="64">
        <v>1047683.8235294118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145764.70588235295</v>
      </c>
      <c r="Z144" s="64">
        <v>136654.41176470587</v>
      </c>
      <c r="AA144" s="64">
        <v>127544.11764705881</v>
      </c>
      <c r="AB144" s="64">
        <v>118433.82352941176</v>
      </c>
      <c r="AC144" s="64">
        <v>109323.52941176471</v>
      </c>
      <c r="AD144" s="64">
        <v>100213.23529411765</v>
      </c>
      <c r="AE144" s="64">
        <v>91102.941176470587</v>
      </c>
      <c r="AF144" s="64">
        <v>81992.647058823524</v>
      </c>
      <c r="AG144" s="64">
        <v>72882.352941176476</v>
      </c>
      <c r="AH144" s="64">
        <v>63772.058823529405</v>
      </c>
    </row>
    <row r="145" spans="2:34">
      <c r="F145" s="65">
        <v>2036</v>
      </c>
      <c r="G145" s="64">
        <v>1044000</v>
      </c>
      <c r="H145" s="64">
        <v>829058.82352941157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>
        <v>122823.5294117647</v>
      </c>
      <c r="AA145" s="64">
        <v>115147.05882352941</v>
      </c>
      <c r="AB145" s="64">
        <v>107470.58823529411</v>
      </c>
      <c r="AC145" s="64">
        <v>99794.117647058811</v>
      </c>
      <c r="AD145" s="64">
        <v>92117.647058823539</v>
      </c>
      <c r="AE145" s="64">
        <v>84441.176470588238</v>
      </c>
      <c r="AF145" s="64">
        <v>76764.705882352937</v>
      </c>
      <c r="AG145" s="64">
        <v>69088.23529411765</v>
      </c>
      <c r="AH145" s="64">
        <v>61411.76470588235</v>
      </c>
    </row>
    <row r="146" spans="2:34">
      <c r="F146" s="65">
        <v>2037</v>
      </c>
      <c r="G146" s="64">
        <v>1012000</v>
      </c>
      <c r="H146" s="64">
        <v>744117.6470588235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>
        <v>0</v>
      </c>
      <c r="AA146" s="64">
        <v>119058.82352941176</v>
      </c>
      <c r="AB146" s="64">
        <v>111617.64705882352</v>
      </c>
      <c r="AC146" s="64">
        <v>104176.47058823529</v>
      </c>
      <c r="AD146" s="64">
        <v>96735.294117647049</v>
      </c>
      <c r="AE146" s="64">
        <v>89294.117647058825</v>
      </c>
      <c r="AF146" s="64">
        <v>81852.941176470587</v>
      </c>
      <c r="AG146" s="64">
        <v>74411.76470588235</v>
      </c>
      <c r="AH146" s="64">
        <v>66970.588235294112</v>
      </c>
    </row>
    <row r="147" spans="2:34">
      <c r="F147" s="65">
        <v>2038</v>
      </c>
      <c r="G147" s="64">
        <v>331000</v>
      </c>
      <c r="H147" s="64">
        <v>221477.9411764706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>
        <v>0</v>
      </c>
      <c r="AA147" s="64">
        <v>0</v>
      </c>
      <c r="AB147" s="64">
        <v>38941.176470588238</v>
      </c>
      <c r="AC147" s="64">
        <v>36507.352941176468</v>
      </c>
      <c r="AD147" s="64">
        <v>34073.529411764706</v>
      </c>
      <c r="AE147" s="64">
        <v>31639.705882352941</v>
      </c>
      <c r="AF147" s="64">
        <v>29205.882352941178</v>
      </c>
      <c r="AG147" s="64">
        <v>26772.058823529413</v>
      </c>
      <c r="AH147" s="64">
        <v>24338.235294117647</v>
      </c>
    </row>
    <row r="148" spans="2:34">
      <c r="F148" s="65">
        <v>2039</v>
      </c>
      <c r="G148" s="64">
        <v>385000</v>
      </c>
      <c r="H148" s="64">
        <v>229301.47058823533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>
        <v>0</v>
      </c>
      <c r="AA148" s="64">
        <v>0</v>
      </c>
      <c r="AB148" s="64">
        <v>0</v>
      </c>
      <c r="AC148" s="64">
        <v>45294.117647058825</v>
      </c>
      <c r="AD148" s="64">
        <v>42463.235294117643</v>
      </c>
      <c r="AE148" s="64">
        <v>39632.352941176468</v>
      </c>
      <c r="AF148" s="64">
        <v>36801.470588235294</v>
      </c>
      <c r="AG148" s="64">
        <v>33970.588235294119</v>
      </c>
      <c r="AH148" s="64">
        <v>31139.705882352944</v>
      </c>
    </row>
    <row r="149" spans="2:34">
      <c r="F149" s="65">
        <v>2040</v>
      </c>
      <c r="G149" s="64">
        <v>1165000</v>
      </c>
      <c r="H149" s="64">
        <v>599632.3529411765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>
        <v>0</v>
      </c>
      <c r="AA149" s="64">
        <v>0</v>
      </c>
      <c r="AB149" s="64">
        <v>0</v>
      </c>
      <c r="AC149" s="64">
        <v>0</v>
      </c>
      <c r="AD149" s="64">
        <v>137058.82352941178</v>
      </c>
      <c r="AE149" s="64">
        <v>128492.64705882352</v>
      </c>
      <c r="AF149" s="64">
        <v>119926.47058823529</v>
      </c>
      <c r="AG149" s="64">
        <v>111360.29411764705</v>
      </c>
      <c r="AH149" s="64">
        <v>102794.11764705883</v>
      </c>
    </row>
    <row r="150" spans="2:34">
      <c r="F150" s="65">
        <v>2041</v>
      </c>
      <c r="G150" s="64">
        <v>966000</v>
      </c>
      <c r="H150" s="64">
        <v>411970.58823529416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>
        <v>0</v>
      </c>
      <c r="AA150" s="64">
        <v>0</v>
      </c>
      <c r="AB150" s="64">
        <v>0</v>
      </c>
      <c r="AC150" s="64">
        <v>0</v>
      </c>
      <c r="AD150" s="64">
        <v>0</v>
      </c>
      <c r="AE150" s="64">
        <v>113647.05882352941</v>
      </c>
      <c r="AF150" s="64">
        <v>106544.11764705883</v>
      </c>
      <c r="AG150" s="64">
        <v>99441.176470588223</v>
      </c>
      <c r="AH150" s="64">
        <v>92338.235294117636</v>
      </c>
    </row>
    <row r="151" spans="2:34">
      <c r="F151" s="65">
        <v>2042</v>
      </c>
      <c r="G151" s="64">
        <v>475000</v>
      </c>
      <c r="H151" s="64">
        <v>157169.1176470588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>
        <v>0</v>
      </c>
      <c r="AA151" s="64">
        <v>0</v>
      </c>
      <c r="AB151" s="64">
        <v>0</v>
      </c>
      <c r="AC151" s="64">
        <v>0</v>
      </c>
      <c r="AD151" s="64">
        <v>0</v>
      </c>
      <c r="AE151" s="64">
        <v>0</v>
      </c>
      <c r="AF151" s="64">
        <v>55882.352941176468</v>
      </c>
      <c r="AG151" s="64">
        <v>52389.705882352937</v>
      </c>
      <c r="AH151" s="64">
        <v>48897.058823529413</v>
      </c>
    </row>
    <row r="152" spans="2:34">
      <c r="F152" s="65">
        <v>2043</v>
      </c>
      <c r="G152" s="64">
        <v>1241000</v>
      </c>
      <c r="H152" s="64">
        <v>282875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  <c r="Z152" s="64">
        <v>0</v>
      </c>
      <c r="AA152" s="64">
        <v>0</v>
      </c>
      <c r="AB152" s="64">
        <v>0</v>
      </c>
      <c r="AC152" s="64">
        <v>0</v>
      </c>
      <c r="AD152" s="64">
        <v>0</v>
      </c>
      <c r="AE152" s="64">
        <v>0</v>
      </c>
      <c r="AF152" s="64">
        <v>0</v>
      </c>
      <c r="AG152" s="64">
        <v>146000</v>
      </c>
      <c r="AH152" s="64">
        <v>136875</v>
      </c>
    </row>
    <row r="153" spans="2:34">
      <c r="F153" s="65">
        <v>2044</v>
      </c>
      <c r="G153" s="64">
        <v>1502000</v>
      </c>
      <c r="H153" s="64">
        <v>176705.88235294117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>
        <v>0</v>
      </c>
      <c r="AA153" s="64">
        <v>0</v>
      </c>
      <c r="AB153" s="64">
        <v>0</v>
      </c>
      <c r="AC153" s="64">
        <v>0</v>
      </c>
      <c r="AD153" s="64">
        <v>0</v>
      </c>
      <c r="AE153" s="64">
        <v>0</v>
      </c>
      <c r="AF153" s="64">
        <v>0</v>
      </c>
      <c r="AG153" s="64">
        <v>0</v>
      </c>
      <c r="AH153" s="64">
        <v>176705.88235294117</v>
      </c>
    </row>
    <row r="154" spans="2:34">
      <c r="J154" s="69" cm="1">
        <f t="array" ref="J154:AH154">_xlfn.BYCOL(_xlfn.ANCHORARRAY( J129), _xleta.SUM )</f>
        <v>266117.64705882355</v>
      </c>
      <c r="K154" s="69">
        <v>302191.17647058819</v>
      </c>
      <c r="L154" s="69">
        <v>464970.5882352941</v>
      </c>
      <c r="M154" s="69">
        <v>478095.58823529404</v>
      </c>
      <c r="N154" s="69">
        <v>632911.76470588241</v>
      </c>
      <c r="O154" s="69">
        <v>784507.3529411765</v>
      </c>
      <c r="P154" s="69">
        <v>890345.5882352941</v>
      </c>
      <c r="Q154" s="69">
        <v>831808.82352941157</v>
      </c>
      <c r="R154" s="69">
        <v>762647.0588235294</v>
      </c>
      <c r="S154" s="69">
        <v>760661.76470588229</v>
      </c>
      <c r="T154" s="69">
        <v>785301.47058823542</v>
      </c>
      <c r="U154" s="69">
        <v>819227.9411764706</v>
      </c>
      <c r="V154" s="69">
        <v>778536.76470588241</v>
      </c>
      <c r="W154" s="69">
        <v>898977.9411764706</v>
      </c>
      <c r="X154" s="69">
        <v>937477.9411764706</v>
      </c>
      <c r="Y154" s="69">
        <v>971867.64705882361</v>
      </c>
      <c r="Z154" s="69">
        <v>974205.88235294109</v>
      </c>
      <c r="AA154" s="69">
        <v>981735.29411764699</v>
      </c>
      <c r="AB154" s="69">
        <v>904999.99999999988</v>
      </c>
      <c r="AC154" s="69">
        <v>843602.9411764706</v>
      </c>
      <c r="AD154" s="69">
        <v>873919.11764705868</v>
      </c>
      <c r="AE154" s="69">
        <v>884066.17647058819</v>
      </c>
      <c r="AF154" s="69">
        <v>841691.17647058819</v>
      </c>
      <c r="AG154" s="69">
        <v>896198.52941176458</v>
      </c>
      <c r="AH154" s="69">
        <v>972911.76470588229</v>
      </c>
    </row>
    <row r="157" spans="2:34" s="67" customFormat="1">
      <c r="B157" s="60" t="s">
        <v>74</v>
      </c>
    </row>
    <row r="159" spans="2:34">
      <c r="C159" s="68" t="s">
        <v>71</v>
      </c>
    </row>
    <row r="160" spans="2:34">
      <c r="F160" s="64" t="s">
        <v>69</v>
      </c>
      <c r="G160" s="64" t="s">
        <v>70</v>
      </c>
      <c r="J160" s="71" cm="1">
        <f t="array" ref="J160:AH160">_xlfn.ANCHORARRAY($J$3)</f>
        <v>43861</v>
      </c>
      <c r="K160" s="71">
        <v>44227</v>
      </c>
      <c r="L160" s="71">
        <v>44592</v>
      </c>
      <c r="M160" s="71">
        <v>44957</v>
      </c>
      <c r="N160" s="71">
        <v>45322</v>
      </c>
      <c r="O160" s="71">
        <v>45688</v>
      </c>
      <c r="P160" s="71">
        <v>46053</v>
      </c>
      <c r="Q160" s="71">
        <v>46418</v>
      </c>
      <c r="R160" s="71">
        <v>46783</v>
      </c>
      <c r="S160" s="71">
        <v>47149</v>
      </c>
      <c r="T160" s="71">
        <v>47514</v>
      </c>
      <c r="U160" s="71">
        <v>47879</v>
      </c>
      <c r="V160" s="71">
        <v>48244</v>
      </c>
      <c r="W160" s="71">
        <v>48610</v>
      </c>
      <c r="X160" s="71">
        <v>48975</v>
      </c>
      <c r="Y160" s="71">
        <v>49340</v>
      </c>
      <c r="Z160" s="71">
        <v>49705</v>
      </c>
      <c r="AA160" s="71">
        <v>50071</v>
      </c>
      <c r="AB160" s="71">
        <v>50436</v>
      </c>
      <c r="AC160" s="71">
        <v>50801</v>
      </c>
      <c r="AD160" s="71">
        <v>51166</v>
      </c>
      <c r="AE160" s="71">
        <v>51532</v>
      </c>
      <c r="AF160" s="71">
        <v>51897</v>
      </c>
      <c r="AG160" s="71">
        <v>52262</v>
      </c>
      <c r="AH160" s="71">
        <v>52627</v>
      </c>
    </row>
    <row r="161" spans="6:34">
      <c r="F161" s="65" cm="1">
        <f t="array" ref="F161:G185" xml:space="preserve"> _xlfn.LET(
      _xlpm.assets,_xlfn.ANCHORARRAY(       $E$7),
      _xlpm.mid_term,     INDEX( _xlpm.assets,, 3 ),
      _xlpm.acq_date,     INDEX( _xlpm.assets,, 1 ),
      _xlfn.DROP( _xlfn.HSTACK( _xlpm.acq_date, _xlpm.mid_term ), 1 ) )</f>
        <v>2020</v>
      </c>
      <c r="G161" s="64">
        <v>1917000</v>
      </c>
      <c r="H161" s="64" cm="1">
        <f t="array" ref="H161:H185">IFERROR( _xlfn.BYROW(_xlfn.ANCHORARRAY( J161), _xleta.SUM ), 0 )</f>
        <v>1915557.3741906977</v>
      </c>
      <c r="J161" s="70" cm="1">
        <f t="array" ref="J161:AH185">_xlfn.LET(
     _xlpm.acquisition_date,    INDEX(_xlfn.ANCHORARRAY( F161),, 1 ),
     _xlpm.acquisition_cost,    INDEX(_xlfn.ANCHORARRAY( F161),, 2 ),
     _xlpm.current_date,_xlfn.ANCHORARRAY(        $J$3),
     _xlpm.period,              YEAR( _xlpm.current_date ) - _xlpm.acquisition_date,
     _xlpm.depreciation_rate,   CaseData!$H$32,
     _xlpm.model_life,          CaseData!$G$11,
     _xlpm.book_value,          _xlpm.acquisition_cost * ( 1 - _xlpm.depreciation_rate ) ^ _xlpm.period,
     _xlpm.depreciation,        _xlpm.depreciation_rate * _xlpm.book_value,
     IFERROR(
       IF( _xlpm.period &lt; 0, 0,
         IF( _xlpm.period &gt;= 0, _xlpm.depreciation, 0 ) ), 0 ) )</f>
        <v>479250</v>
      </c>
      <c r="K161" s="64">
        <v>359437.5</v>
      </c>
      <c r="L161" s="64">
        <v>269578.125</v>
      </c>
      <c r="M161" s="64">
        <v>202183.59375</v>
      </c>
      <c r="N161" s="64">
        <v>151637.6953125</v>
      </c>
      <c r="O161" s="64">
        <v>113728.271484375</v>
      </c>
      <c r="P161" s="64">
        <v>85296.20361328125</v>
      </c>
      <c r="Q161" s="64">
        <v>63972.152709960938</v>
      </c>
      <c r="R161" s="64">
        <v>47979.114532470703</v>
      </c>
      <c r="S161" s="64">
        <v>35984.335899353027</v>
      </c>
      <c r="T161" s="64">
        <v>26988.251924514771</v>
      </c>
      <c r="U161" s="64">
        <v>20241.188943386078</v>
      </c>
      <c r="V161" s="64">
        <v>15180.891707539558</v>
      </c>
      <c r="W161" s="64">
        <v>11385.668780654669</v>
      </c>
      <c r="X161" s="64">
        <v>8539.2515854910016</v>
      </c>
      <c r="Y161" s="64">
        <v>6404.4386891182512</v>
      </c>
      <c r="Z161" s="64">
        <v>4803.3290168386884</v>
      </c>
      <c r="AA161" s="64">
        <v>3602.4967626290163</v>
      </c>
      <c r="AB161" s="64">
        <v>2701.8725719717622</v>
      </c>
      <c r="AC161" s="64">
        <v>2026.4044289788217</v>
      </c>
      <c r="AD161" s="64">
        <v>1519.8033217341163</v>
      </c>
      <c r="AE161" s="64">
        <v>1139.8524913005872</v>
      </c>
      <c r="AF161" s="64">
        <v>854.88936847544039</v>
      </c>
      <c r="AG161" s="64">
        <v>641.16702635658032</v>
      </c>
      <c r="AH161" s="64">
        <v>480.87526976743521</v>
      </c>
    </row>
    <row r="162" spans="6:34">
      <c r="F162" s="65">
        <v>2021</v>
      </c>
      <c r="G162" s="64">
        <v>557000</v>
      </c>
      <c r="H162" s="64">
        <v>556441.11105840269</v>
      </c>
      <c r="J162" s="64">
        <v>0</v>
      </c>
      <c r="K162" s="64">
        <v>139250</v>
      </c>
      <c r="L162" s="64">
        <v>104437.5</v>
      </c>
      <c r="M162" s="64">
        <v>78328.125</v>
      </c>
      <c r="N162" s="64">
        <v>58746.09375</v>
      </c>
      <c r="O162" s="64">
        <v>44059.5703125</v>
      </c>
      <c r="P162" s="64">
        <v>33044.677734375</v>
      </c>
      <c r="Q162" s="64">
        <v>24783.50830078125</v>
      </c>
      <c r="R162" s="64">
        <v>18587.631225585938</v>
      </c>
      <c r="S162" s="64">
        <v>13940.723419189453</v>
      </c>
      <c r="T162" s="64">
        <v>10455.54256439209</v>
      </c>
      <c r="U162" s="64">
        <v>7841.6569232940674</v>
      </c>
      <c r="V162" s="64">
        <v>5881.2426924705505</v>
      </c>
      <c r="W162" s="64">
        <v>4410.9320193529129</v>
      </c>
      <c r="X162" s="64">
        <v>3308.1990145146847</v>
      </c>
      <c r="Y162" s="64">
        <v>2481.1492608860135</v>
      </c>
      <c r="Z162" s="64">
        <v>1860.8619456645101</v>
      </c>
      <c r="AA162" s="64">
        <v>1395.6464592483826</v>
      </c>
      <c r="AB162" s="64">
        <v>1046.7348444362869</v>
      </c>
      <c r="AC162" s="64">
        <v>785.05113332721521</v>
      </c>
      <c r="AD162" s="64">
        <v>588.78834999541141</v>
      </c>
      <c r="AE162" s="64">
        <v>441.59126249655856</v>
      </c>
      <c r="AF162" s="64">
        <v>331.19344687241892</v>
      </c>
      <c r="AG162" s="64">
        <v>248.39508515431419</v>
      </c>
      <c r="AH162" s="64">
        <v>186.29631386573564</v>
      </c>
    </row>
    <row r="163" spans="6:34">
      <c r="F163" s="65">
        <v>2022</v>
      </c>
      <c r="G163" s="64">
        <v>694000</v>
      </c>
      <c r="H163" s="64">
        <v>693071.52860450407</v>
      </c>
      <c r="J163" s="64">
        <v>0</v>
      </c>
      <c r="K163" s="64">
        <v>0</v>
      </c>
      <c r="L163" s="64">
        <v>173500</v>
      </c>
      <c r="M163" s="64">
        <v>130125</v>
      </c>
      <c r="N163" s="64">
        <v>97593.75</v>
      </c>
      <c r="O163" s="64">
        <v>73195.3125</v>
      </c>
      <c r="P163" s="64">
        <v>54896.484375</v>
      </c>
      <c r="Q163" s="64">
        <v>41172.36328125</v>
      </c>
      <c r="R163" s="64">
        <v>30879.2724609375</v>
      </c>
      <c r="S163" s="64">
        <v>23159.454345703125</v>
      </c>
      <c r="T163" s="64">
        <v>17369.590759277344</v>
      </c>
      <c r="U163" s="64">
        <v>13027.193069458008</v>
      </c>
      <c r="V163" s="64">
        <v>9770.3948020935059</v>
      </c>
      <c r="W163" s="64">
        <v>7327.7961015701294</v>
      </c>
      <c r="X163" s="64">
        <v>5495.847076177597</v>
      </c>
      <c r="Y163" s="64">
        <v>4121.8853071331978</v>
      </c>
      <c r="Z163" s="64">
        <v>3091.4139803498983</v>
      </c>
      <c r="AA163" s="64">
        <v>2318.5604852624238</v>
      </c>
      <c r="AB163" s="64">
        <v>1738.9203639468178</v>
      </c>
      <c r="AC163" s="64">
        <v>1304.1902729601134</v>
      </c>
      <c r="AD163" s="64">
        <v>978.14270472008502</v>
      </c>
      <c r="AE163" s="64">
        <v>733.60702854006377</v>
      </c>
      <c r="AF163" s="64">
        <v>550.20527140504782</v>
      </c>
      <c r="AG163" s="64">
        <v>412.65395355378587</v>
      </c>
      <c r="AH163" s="64">
        <v>309.4904651653394</v>
      </c>
    </row>
    <row r="164" spans="6:34">
      <c r="F164" s="65">
        <v>2023</v>
      </c>
      <c r="G164" s="64">
        <v>604000</v>
      </c>
      <c r="H164" s="64">
        <v>602922.58074374718</v>
      </c>
      <c r="J164" s="64">
        <v>0</v>
      </c>
      <c r="K164" s="64">
        <v>0</v>
      </c>
      <c r="L164" s="64">
        <v>0</v>
      </c>
      <c r="M164" s="64">
        <v>151000</v>
      </c>
      <c r="N164" s="64">
        <v>113250</v>
      </c>
      <c r="O164" s="64">
        <v>84937.5</v>
      </c>
      <c r="P164" s="64">
        <v>63703.125</v>
      </c>
      <c r="Q164" s="64">
        <v>47777.34375</v>
      </c>
      <c r="R164" s="64">
        <v>35833.0078125</v>
      </c>
      <c r="S164" s="64">
        <v>26874.755859375</v>
      </c>
      <c r="T164" s="64">
        <v>20156.06689453125</v>
      </c>
      <c r="U164" s="64">
        <v>15117.050170898438</v>
      </c>
      <c r="V164" s="64">
        <v>11337.787628173828</v>
      </c>
      <c r="W164" s="64">
        <v>8503.3407211303711</v>
      </c>
      <c r="X164" s="64">
        <v>6377.5055408477783</v>
      </c>
      <c r="Y164" s="64">
        <v>4783.1291556358337</v>
      </c>
      <c r="Z164" s="64">
        <v>3587.3468667268753</v>
      </c>
      <c r="AA164" s="64">
        <v>2690.5101500451565</v>
      </c>
      <c r="AB164" s="64">
        <v>2017.8826125338674</v>
      </c>
      <c r="AC164" s="64">
        <v>1513.4119594004005</v>
      </c>
      <c r="AD164" s="64">
        <v>1135.0589695503004</v>
      </c>
      <c r="AE164" s="64">
        <v>851.29422716272529</v>
      </c>
      <c r="AF164" s="64">
        <v>638.47067037204397</v>
      </c>
      <c r="AG164" s="64">
        <v>478.85300277903298</v>
      </c>
      <c r="AH164" s="64">
        <v>359.13975208427473</v>
      </c>
    </row>
    <row r="165" spans="6:34">
      <c r="F165" s="65">
        <v>2024</v>
      </c>
      <c r="G165" s="64">
        <v>603000</v>
      </c>
      <c r="H165" s="64">
        <v>601565.81940061704</v>
      </c>
      <c r="J165" s="64">
        <v>0</v>
      </c>
      <c r="K165" s="64">
        <v>0</v>
      </c>
      <c r="L165" s="64">
        <v>0</v>
      </c>
      <c r="M165" s="64">
        <v>0</v>
      </c>
      <c r="N165" s="64">
        <v>150750</v>
      </c>
      <c r="O165" s="64">
        <v>113062.5</v>
      </c>
      <c r="P165" s="64">
        <v>84796.875</v>
      </c>
      <c r="Q165" s="64">
        <v>63597.65625</v>
      </c>
      <c r="R165" s="64">
        <v>47698.2421875</v>
      </c>
      <c r="S165" s="64">
        <v>35773.681640625</v>
      </c>
      <c r="T165" s="64">
        <v>26830.26123046875</v>
      </c>
      <c r="U165" s="64">
        <v>20122.695922851563</v>
      </c>
      <c r="V165" s="64">
        <v>15092.021942138672</v>
      </c>
      <c r="W165" s="64">
        <v>11319.016456604004</v>
      </c>
      <c r="X165" s="64">
        <v>8489.2623424530029</v>
      </c>
      <c r="Y165" s="64">
        <v>6366.9467568397522</v>
      </c>
      <c r="Z165" s="64">
        <v>4775.2100676298141</v>
      </c>
      <c r="AA165" s="64">
        <v>3581.4075507223606</v>
      </c>
      <c r="AB165" s="64">
        <v>2686.0556630417705</v>
      </c>
      <c r="AC165" s="64">
        <v>2014.5417472813278</v>
      </c>
      <c r="AD165" s="64">
        <v>1510.9063104609959</v>
      </c>
      <c r="AE165" s="64">
        <v>1133.1797328457469</v>
      </c>
      <c r="AF165" s="64">
        <v>849.88479963431018</v>
      </c>
      <c r="AG165" s="64">
        <v>637.41359972573264</v>
      </c>
      <c r="AH165" s="64">
        <v>478.06019979429948</v>
      </c>
    </row>
    <row r="166" spans="6:34">
      <c r="F166" s="65">
        <v>2025</v>
      </c>
      <c r="G166" s="64">
        <v>1787000</v>
      </c>
      <c r="H166" s="64">
        <v>1781333.0442651249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446750</v>
      </c>
      <c r="P166" s="64">
        <v>335062.5</v>
      </c>
      <c r="Q166" s="64">
        <v>251296.875</v>
      </c>
      <c r="R166" s="64">
        <v>188472.65625</v>
      </c>
      <c r="S166" s="64">
        <v>141354.4921875</v>
      </c>
      <c r="T166" s="64">
        <v>106015.869140625</v>
      </c>
      <c r="U166" s="64">
        <v>79511.90185546875</v>
      </c>
      <c r="V166" s="64">
        <v>59633.926391601563</v>
      </c>
      <c r="W166" s="64">
        <v>44725.444793701172</v>
      </c>
      <c r="X166" s="64">
        <v>33544.083595275879</v>
      </c>
      <c r="Y166" s="64">
        <v>25158.062696456909</v>
      </c>
      <c r="Z166" s="64">
        <v>18868.547022342682</v>
      </c>
      <c r="AA166" s="64">
        <v>14151.410266757011</v>
      </c>
      <c r="AB166" s="64">
        <v>10613.557700067759</v>
      </c>
      <c r="AC166" s="64">
        <v>7960.1682750508189</v>
      </c>
      <c r="AD166" s="64">
        <v>5970.1262062881142</v>
      </c>
      <c r="AE166" s="64">
        <v>4477.5946547160856</v>
      </c>
      <c r="AF166" s="64">
        <v>3358.1959910370642</v>
      </c>
      <c r="AG166" s="64">
        <v>2518.6469932777982</v>
      </c>
      <c r="AH166" s="64">
        <v>1888.9852449583486</v>
      </c>
    </row>
    <row r="167" spans="6:34">
      <c r="F167" s="65">
        <v>2026</v>
      </c>
      <c r="G167" s="64">
        <v>135000</v>
      </c>
      <c r="H167" s="64">
        <v>134429.18185099188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33750</v>
      </c>
      <c r="Q167" s="64">
        <v>25312.5</v>
      </c>
      <c r="R167" s="64">
        <v>18984.375</v>
      </c>
      <c r="S167" s="64">
        <v>14238.28125</v>
      </c>
      <c r="T167" s="64">
        <v>10678.7109375</v>
      </c>
      <c r="U167" s="64">
        <v>8009.033203125</v>
      </c>
      <c r="V167" s="64">
        <v>6006.77490234375</v>
      </c>
      <c r="W167" s="64">
        <v>4505.0811767578125</v>
      </c>
      <c r="X167" s="64">
        <v>3378.8108825683594</v>
      </c>
      <c r="Y167" s="64">
        <v>2534.1081619262695</v>
      </c>
      <c r="Z167" s="64">
        <v>1900.5811214447021</v>
      </c>
      <c r="AA167" s="64">
        <v>1425.4358410835266</v>
      </c>
      <c r="AB167" s="64">
        <v>1069.076880812645</v>
      </c>
      <c r="AC167" s="64">
        <v>801.80766060948372</v>
      </c>
      <c r="AD167" s="64">
        <v>601.35574545711279</v>
      </c>
      <c r="AE167" s="64">
        <v>451.01680909283459</v>
      </c>
      <c r="AF167" s="64">
        <v>338.26260681962594</v>
      </c>
      <c r="AG167" s="64">
        <v>253.69695511471946</v>
      </c>
      <c r="AH167" s="64">
        <v>190.27271633603959</v>
      </c>
    </row>
    <row r="168" spans="6:34">
      <c r="F168" s="65">
        <v>2027</v>
      </c>
      <c r="G168" s="64">
        <v>1074000</v>
      </c>
      <c r="H168" s="64">
        <v>1067945.0993379287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268500</v>
      </c>
      <c r="R168" s="64">
        <v>201375</v>
      </c>
      <c r="S168" s="64">
        <v>151031.25</v>
      </c>
      <c r="T168" s="64">
        <v>113273.4375</v>
      </c>
      <c r="U168" s="64">
        <v>84955.078125</v>
      </c>
      <c r="V168" s="64">
        <v>63716.30859375</v>
      </c>
      <c r="W168" s="64">
        <v>47787.2314453125</v>
      </c>
      <c r="X168" s="64">
        <v>35840.423583984375</v>
      </c>
      <c r="Y168" s="64">
        <v>26880.317687988281</v>
      </c>
      <c r="Z168" s="64">
        <v>20160.238265991211</v>
      </c>
      <c r="AA168" s="64">
        <v>15120.178699493408</v>
      </c>
      <c r="AB168" s="64">
        <v>11340.134024620056</v>
      </c>
      <c r="AC168" s="64">
        <v>8505.1005184650421</v>
      </c>
      <c r="AD168" s="64">
        <v>6378.8253888487816</v>
      </c>
      <c r="AE168" s="64">
        <v>4784.1190416365862</v>
      </c>
      <c r="AF168" s="64">
        <v>3588.0892812274396</v>
      </c>
      <c r="AG168" s="64">
        <v>2691.0669609205797</v>
      </c>
      <c r="AH168" s="64">
        <v>2018.3002206904348</v>
      </c>
    </row>
    <row r="169" spans="6:34">
      <c r="F169" s="65">
        <v>2028</v>
      </c>
      <c r="G169" s="64">
        <v>1315000</v>
      </c>
      <c r="H169" s="64">
        <v>1305115.2149340487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328750</v>
      </c>
      <c r="S169" s="64">
        <v>246562.5</v>
      </c>
      <c r="T169" s="64">
        <v>184921.875</v>
      </c>
      <c r="U169" s="64">
        <v>138691.40625</v>
      </c>
      <c r="V169" s="64">
        <v>104018.5546875</v>
      </c>
      <c r="W169" s="64">
        <v>78013.916015625</v>
      </c>
      <c r="X169" s="64">
        <v>58510.43701171875</v>
      </c>
      <c r="Y169" s="64">
        <v>43882.827758789063</v>
      </c>
      <c r="Z169" s="64">
        <v>32912.120819091797</v>
      </c>
      <c r="AA169" s="64">
        <v>24684.090614318848</v>
      </c>
      <c r="AB169" s="64">
        <v>18513.067960739136</v>
      </c>
      <c r="AC169" s="64">
        <v>13884.800970554352</v>
      </c>
      <c r="AD169" s="64">
        <v>10413.600727915764</v>
      </c>
      <c r="AE169" s="64">
        <v>7810.2005459368229</v>
      </c>
      <c r="AF169" s="64">
        <v>5857.6504094526172</v>
      </c>
      <c r="AG169" s="64">
        <v>4393.2378070894629</v>
      </c>
      <c r="AH169" s="64">
        <v>3294.9283553170972</v>
      </c>
    </row>
    <row r="170" spans="6:34">
      <c r="F170" s="65">
        <v>2029</v>
      </c>
      <c r="G170" s="64">
        <v>1164000</v>
      </c>
      <c r="H170" s="64">
        <v>1152333.698538132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291000</v>
      </c>
      <c r="T170" s="64">
        <v>218250</v>
      </c>
      <c r="U170" s="64">
        <v>163687.5</v>
      </c>
      <c r="V170" s="64">
        <v>122765.625</v>
      </c>
      <c r="W170" s="64">
        <v>92074.21875</v>
      </c>
      <c r="X170" s="64">
        <v>69055.6640625</v>
      </c>
      <c r="Y170" s="64">
        <v>51791.748046875</v>
      </c>
      <c r="Z170" s="64">
        <v>38843.81103515625</v>
      </c>
      <c r="AA170" s="64">
        <v>29132.858276367188</v>
      </c>
      <c r="AB170" s="64">
        <v>21849.643707275391</v>
      </c>
      <c r="AC170" s="64">
        <v>16387.232780456543</v>
      </c>
      <c r="AD170" s="64">
        <v>12290.424585342407</v>
      </c>
      <c r="AE170" s="64">
        <v>9217.8184390068054</v>
      </c>
      <c r="AF170" s="64">
        <v>6913.3638292551041</v>
      </c>
      <c r="AG170" s="64">
        <v>5185.022871941328</v>
      </c>
      <c r="AH170" s="64">
        <v>3888.767153955996</v>
      </c>
    </row>
    <row r="171" spans="6:34">
      <c r="F171" s="65">
        <v>2030</v>
      </c>
      <c r="G171" s="64">
        <v>2276000</v>
      </c>
      <c r="H171" s="64">
        <v>2245584.7627408803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569000</v>
      </c>
      <c r="U171" s="64">
        <v>426750</v>
      </c>
      <c r="V171" s="64">
        <v>320062.5</v>
      </c>
      <c r="W171" s="64">
        <v>240046.875</v>
      </c>
      <c r="X171" s="64">
        <v>180035.15625</v>
      </c>
      <c r="Y171" s="64">
        <v>135026.3671875</v>
      </c>
      <c r="Z171" s="64">
        <v>101269.775390625</v>
      </c>
      <c r="AA171" s="64">
        <v>75952.33154296875</v>
      </c>
      <c r="AB171" s="64">
        <v>56964.248657226563</v>
      </c>
      <c r="AC171" s="64">
        <v>42723.186492919922</v>
      </c>
      <c r="AD171" s="64">
        <v>32042.389869689941</v>
      </c>
      <c r="AE171" s="64">
        <v>24031.792402267456</v>
      </c>
      <c r="AF171" s="64">
        <v>18023.844301700592</v>
      </c>
      <c r="AG171" s="64">
        <v>13517.883226275444</v>
      </c>
      <c r="AH171" s="64">
        <v>10138.412419706583</v>
      </c>
    </row>
    <row r="172" spans="6:34">
      <c r="F172" s="65">
        <v>2031</v>
      </c>
      <c r="G172" s="64">
        <v>387000</v>
      </c>
      <c r="H172" s="64">
        <v>380104.45411875844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96750</v>
      </c>
      <c r="V172" s="64">
        <v>72562.5</v>
      </c>
      <c r="W172" s="64">
        <v>54421.875</v>
      </c>
      <c r="X172" s="64">
        <v>40816.40625</v>
      </c>
      <c r="Y172" s="64">
        <v>30612.3046875</v>
      </c>
      <c r="Z172" s="64">
        <v>22959.228515625</v>
      </c>
      <c r="AA172" s="64">
        <v>17219.42138671875</v>
      </c>
      <c r="AB172" s="64">
        <v>12914.566040039063</v>
      </c>
      <c r="AC172" s="64">
        <v>9685.9245300292969</v>
      </c>
      <c r="AD172" s="64">
        <v>7264.4433975219727</v>
      </c>
      <c r="AE172" s="64">
        <v>5448.3325481414795</v>
      </c>
      <c r="AF172" s="64">
        <v>4086.2494111061096</v>
      </c>
      <c r="AG172" s="64">
        <v>3064.6870583295822</v>
      </c>
      <c r="AH172" s="64">
        <v>2298.5152937471867</v>
      </c>
    </row>
    <row r="173" spans="6:34">
      <c r="F173" s="65">
        <v>2032</v>
      </c>
      <c r="G173" s="64">
        <v>939000</v>
      </c>
      <c r="H173" s="64">
        <v>916691.92908704281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234750</v>
      </c>
      <c r="W173" s="64">
        <v>176062.5</v>
      </c>
      <c r="X173" s="64">
        <v>132046.875</v>
      </c>
      <c r="Y173" s="64">
        <v>99035.15625</v>
      </c>
      <c r="Z173" s="64">
        <v>74276.3671875</v>
      </c>
      <c r="AA173" s="64">
        <v>55707.275390625</v>
      </c>
      <c r="AB173" s="64">
        <v>41780.45654296875</v>
      </c>
      <c r="AC173" s="64">
        <v>31335.342407226563</v>
      </c>
      <c r="AD173" s="64">
        <v>23501.506805419922</v>
      </c>
      <c r="AE173" s="64">
        <v>17626.130104064941</v>
      </c>
      <c r="AF173" s="64">
        <v>13219.597578048706</v>
      </c>
      <c r="AG173" s="64">
        <v>9914.6981835365295</v>
      </c>
      <c r="AH173" s="64">
        <v>7436.0236376523972</v>
      </c>
    </row>
    <row r="174" spans="6:34">
      <c r="F174" s="65">
        <v>2033</v>
      </c>
      <c r="G174" s="64">
        <v>1038000</v>
      </c>
      <c r="H174" s="64">
        <v>1005119.9465990067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259500</v>
      </c>
      <c r="X174" s="64">
        <v>194625</v>
      </c>
      <c r="Y174" s="64">
        <v>145968.75</v>
      </c>
      <c r="Z174" s="64">
        <v>109476.5625</v>
      </c>
      <c r="AA174" s="64">
        <v>82107.421875</v>
      </c>
      <c r="AB174" s="64">
        <v>61580.56640625</v>
      </c>
      <c r="AC174" s="64">
        <v>46185.4248046875</v>
      </c>
      <c r="AD174" s="64">
        <v>34639.068603515625</v>
      </c>
      <c r="AE174" s="64">
        <v>25979.301452636719</v>
      </c>
      <c r="AF174" s="64">
        <v>19484.476089477539</v>
      </c>
      <c r="AG174" s="64">
        <v>14613.357067108154</v>
      </c>
      <c r="AH174" s="64">
        <v>10960.017800331116</v>
      </c>
    </row>
    <row r="175" spans="6:34">
      <c r="F175" s="65">
        <v>2034</v>
      </c>
      <c r="G175" s="64">
        <v>1729000</v>
      </c>
      <c r="H175" s="64">
        <v>1655975.4498004913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432250</v>
      </c>
      <c r="Y175" s="64">
        <v>324187.5</v>
      </c>
      <c r="Z175" s="64">
        <v>243140.625</v>
      </c>
      <c r="AA175" s="64">
        <v>182355.46875</v>
      </c>
      <c r="AB175" s="64">
        <v>136766.6015625</v>
      </c>
      <c r="AC175" s="64">
        <v>102574.951171875</v>
      </c>
      <c r="AD175" s="64">
        <v>76931.21337890625</v>
      </c>
      <c r="AE175" s="64">
        <v>57698.410034179688</v>
      </c>
      <c r="AF175" s="64">
        <v>43273.807525634766</v>
      </c>
      <c r="AG175" s="64">
        <v>32455.355644226074</v>
      </c>
      <c r="AH175" s="64">
        <v>24341.516733169556</v>
      </c>
    </row>
    <row r="176" spans="6:34">
      <c r="F176" s="65">
        <v>2035</v>
      </c>
      <c r="G176" s="64">
        <v>228000</v>
      </c>
      <c r="H176" s="64">
        <v>215160.51864624023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57000</v>
      </c>
      <c r="Z176" s="64">
        <v>42750</v>
      </c>
      <c r="AA176" s="64">
        <v>32062.5</v>
      </c>
      <c r="AB176" s="64">
        <v>24046.875</v>
      </c>
      <c r="AC176" s="64">
        <v>18035.15625</v>
      </c>
      <c r="AD176" s="64">
        <v>13526.3671875</v>
      </c>
      <c r="AE176" s="64">
        <v>10144.775390625</v>
      </c>
      <c r="AF176" s="64">
        <v>7608.58154296875</v>
      </c>
      <c r="AG176" s="64">
        <v>5706.4361572265625</v>
      </c>
      <c r="AH176" s="64">
        <v>4279.8271179199219</v>
      </c>
    </row>
    <row r="177" spans="3:34">
      <c r="F177" s="65">
        <v>2036</v>
      </c>
      <c r="G177" s="64">
        <v>2222000</v>
      </c>
      <c r="H177" s="64">
        <v>2055161.8270874023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>
        <v>555500</v>
      </c>
      <c r="AA177" s="64">
        <v>416625</v>
      </c>
      <c r="AB177" s="64">
        <v>312468.75</v>
      </c>
      <c r="AC177" s="64">
        <v>234351.5625</v>
      </c>
      <c r="AD177" s="64">
        <v>175763.671875</v>
      </c>
      <c r="AE177" s="64">
        <v>131822.75390625</v>
      </c>
      <c r="AF177" s="64">
        <v>98867.0654296875</v>
      </c>
      <c r="AG177" s="64">
        <v>74150.299072265625</v>
      </c>
      <c r="AH177" s="64">
        <v>55612.724304199219</v>
      </c>
    </row>
    <row r="178" spans="3:34">
      <c r="F178" s="65">
        <v>2037</v>
      </c>
      <c r="G178" s="64">
        <v>407000</v>
      </c>
      <c r="H178" s="64">
        <v>366254.04357910156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>
        <v>0</v>
      </c>
      <c r="AA178" s="64">
        <v>101750</v>
      </c>
      <c r="AB178" s="64">
        <v>76312.5</v>
      </c>
      <c r="AC178" s="64">
        <v>57234.375</v>
      </c>
      <c r="AD178" s="64">
        <v>42925.78125</v>
      </c>
      <c r="AE178" s="64">
        <v>32194.3359375</v>
      </c>
      <c r="AF178" s="64">
        <v>24145.751953125</v>
      </c>
      <c r="AG178" s="64">
        <v>18109.31396484375</v>
      </c>
      <c r="AH178" s="64">
        <v>13581.985473632813</v>
      </c>
    </row>
    <row r="179" spans="3:34">
      <c r="F179" s="65">
        <v>2038</v>
      </c>
      <c r="G179" s="64">
        <v>594000</v>
      </c>
      <c r="H179" s="64">
        <v>514710.5712890625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>
        <v>0</v>
      </c>
      <c r="AA179" s="64">
        <v>0</v>
      </c>
      <c r="AB179" s="64">
        <v>148500</v>
      </c>
      <c r="AC179" s="64">
        <v>111375</v>
      </c>
      <c r="AD179" s="64">
        <v>83531.25</v>
      </c>
      <c r="AE179" s="64">
        <v>62648.4375</v>
      </c>
      <c r="AF179" s="64">
        <v>46986.328125</v>
      </c>
      <c r="AG179" s="64">
        <v>35239.74609375</v>
      </c>
      <c r="AH179" s="64">
        <v>26429.8095703125</v>
      </c>
    </row>
    <row r="180" spans="3:34">
      <c r="F180" s="65">
        <v>2039</v>
      </c>
      <c r="G180" s="64">
        <v>1460000</v>
      </c>
      <c r="H180" s="64">
        <v>1200151.3671875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>
        <v>0</v>
      </c>
      <c r="AA180" s="64">
        <v>0</v>
      </c>
      <c r="AB180" s="64">
        <v>0</v>
      </c>
      <c r="AC180" s="64">
        <v>365000</v>
      </c>
      <c r="AD180" s="64">
        <v>273750</v>
      </c>
      <c r="AE180" s="64">
        <v>205312.5</v>
      </c>
      <c r="AF180" s="64">
        <v>153984.375</v>
      </c>
      <c r="AG180" s="64">
        <v>115488.28125</v>
      </c>
      <c r="AH180" s="64">
        <v>86616.2109375</v>
      </c>
    </row>
    <row r="181" spans="3:34">
      <c r="F181" s="65">
        <v>2040</v>
      </c>
      <c r="G181" s="64">
        <v>1332000</v>
      </c>
      <c r="H181" s="64">
        <v>1015910.15625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>
        <v>0</v>
      </c>
      <c r="AA181" s="64">
        <v>0</v>
      </c>
      <c r="AB181" s="64">
        <v>0</v>
      </c>
      <c r="AC181" s="64">
        <v>0</v>
      </c>
      <c r="AD181" s="64">
        <v>333000</v>
      </c>
      <c r="AE181" s="64">
        <v>249750</v>
      </c>
      <c r="AF181" s="64">
        <v>187312.5</v>
      </c>
      <c r="AG181" s="64">
        <v>140484.375</v>
      </c>
      <c r="AH181" s="64">
        <v>105363.28125</v>
      </c>
    </row>
    <row r="182" spans="3:34">
      <c r="F182" s="65">
        <v>2041</v>
      </c>
      <c r="G182" s="64">
        <v>1368000</v>
      </c>
      <c r="H182" s="64">
        <v>935156.25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>
        <v>0</v>
      </c>
      <c r="AA182" s="64">
        <v>0</v>
      </c>
      <c r="AB182" s="64">
        <v>0</v>
      </c>
      <c r="AC182" s="64">
        <v>0</v>
      </c>
      <c r="AD182" s="64">
        <v>0</v>
      </c>
      <c r="AE182" s="64">
        <v>342000</v>
      </c>
      <c r="AF182" s="64">
        <v>256500</v>
      </c>
      <c r="AG182" s="64">
        <v>192375</v>
      </c>
      <c r="AH182" s="64">
        <v>144281.25</v>
      </c>
    </row>
    <row r="183" spans="3:34">
      <c r="F183" s="65">
        <v>2042</v>
      </c>
      <c r="G183" s="64">
        <v>1485000</v>
      </c>
      <c r="H183" s="64">
        <v>858515.625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>
        <v>0</v>
      </c>
      <c r="AA183" s="64">
        <v>0</v>
      </c>
      <c r="AB183" s="64">
        <v>0</v>
      </c>
      <c r="AC183" s="64">
        <v>0</v>
      </c>
      <c r="AD183" s="64">
        <v>0</v>
      </c>
      <c r="AE183" s="64">
        <v>0</v>
      </c>
      <c r="AF183" s="64">
        <v>371250</v>
      </c>
      <c r="AG183" s="64">
        <v>278437.5</v>
      </c>
      <c r="AH183" s="64">
        <v>208828.125</v>
      </c>
    </row>
    <row r="184" spans="3:34">
      <c r="F184" s="65">
        <v>2043</v>
      </c>
      <c r="G184" s="64">
        <v>875000</v>
      </c>
      <c r="H184" s="64">
        <v>382812.5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>
        <v>0</v>
      </c>
      <c r="AA184" s="64">
        <v>0</v>
      </c>
      <c r="AB184" s="64">
        <v>0</v>
      </c>
      <c r="AC184" s="64">
        <v>0</v>
      </c>
      <c r="AD184" s="64">
        <v>0</v>
      </c>
      <c r="AE184" s="64">
        <v>0</v>
      </c>
      <c r="AF184" s="64">
        <v>0</v>
      </c>
      <c r="AG184" s="64">
        <v>218750</v>
      </c>
      <c r="AH184" s="64">
        <v>164062.5</v>
      </c>
    </row>
    <row r="185" spans="3:34">
      <c r="F185" s="65">
        <v>2044</v>
      </c>
      <c r="G185" s="64">
        <v>1640000</v>
      </c>
      <c r="H185" s="64">
        <v>410000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410000</v>
      </c>
    </row>
    <row r="186" spans="3:34">
      <c r="J186" s="69" cm="1">
        <f t="array" ref="J186:AH186">_xlfn.BYCOL(_xlfn.ANCHORARRAY( J161), _xleta.SUM )</f>
        <v>479250</v>
      </c>
      <c r="K186" s="69">
        <v>498687.5</v>
      </c>
      <c r="L186" s="69">
        <v>547515.625</v>
      </c>
      <c r="M186" s="69">
        <v>561636.71875</v>
      </c>
      <c r="N186" s="69">
        <v>571977.5390625</v>
      </c>
      <c r="O186" s="69">
        <v>875733.154296875</v>
      </c>
      <c r="P186" s="69">
        <v>690549.86572265625</v>
      </c>
      <c r="Q186" s="69">
        <v>786412.39929199219</v>
      </c>
      <c r="R186" s="69">
        <v>918559.29946899414</v>
      </c>
      <c r="S186" s="69">
        <v>979919.47460174561</v>
      </c>
      <c r="T186" s="69">
        <v>1303939.6059513092</v>
      </c>
      <c r="U186" s="69">
        <v>1074704.7044634819</v>
      </c>
      <c r="V186" s="69">
        <v>1040778.5283476114</v>
      </c>
      <c r="W186" s="69">
        <v>1040083.8962607086</v>
      </c>
      <c r="X186" s="69">
        <v>1212312.9221955314</v>
      </c>
      <c r="Y186" s="69">
        <v>966234.69164664857</v>
      </c>
      <c r="Z186" s="69">
        <v>1280176.0187349864</v>
      </c>
      <c r="AA186" s="69">
        <v>1061882.0140512399</v>
      </c>
      <c r="AB186" s="69">
        <v>944911.51053842984</v>
      </c>
      <c r="AC186" s="69">
        <v>1073683.6329038225</v>
      </c>
      <c r="AD186" s="69">
        <v>1138262.7246778668</v>
      </c>
      <c r="AE186" s="69">
        <v>1195697.0435084002</v>
      </c>
      <c r="AF186" s="69">
        <v>1268022.7826312999</v>
      </c>
      <c r="AG186" s="69">
        <v>1169767.0869734751</v>
      </c>
      <c r="AH186" s="69">
        <v>1287325.3152301062</v>
      </c>
    </row>
    <row r="189" spans="3:34">
      <c r="C189" s="68" t="s">
        <v>68</v>
      </c>
    </row>
    <row r="190" spans="3:34">
      <c r="F190" s="64" t="s">
        <v>69</v>
      </c>
      <c r="G190" s="64" t="s">
        <v>70</v>
      </c>
      <c r="J190" s="71" cm="1">
        <f t="array" ref="J190:AH190">_xlfn.ANCHORARRAY($J$3)</f>
        <v>43861</v>
      </c>
      <c r="K190" s="71">
        <v>44227</v>
      </c>
      <c r="L190" s="71">
        <v>44592</v>
      </c>
      <c r="M190" s="71">
        <v>44957</v>
      </c>
      <c r="N190" s="71">
        <v>45322</v>
      </c>
      <c r="O190" s="71">
        <v>45688</v>
      </c>
      <c r="P190" s="71">
        <v>46053</v>
      </c>
      <c r="Q190" s="71">
        <v>46418</v>
      </c>
      <c r="R190" s="71">
        <v>46783</v>
      </c>
      <c r="S190" s="71">
        <v>47149</v>
      </c>
      <c r="T190" s="71">
        <v>47514</v>
      </c>
      <c r="U190" s="71">
        <v>47879</v>
      </c>
      <c r="V190" s="71">
        <v>48244</v>
      </c>
      <c r="W190" s="71">
        <v>48610</v>
      </c>
      <c r="X190" s="71">
        <v>48975</v>
      </c>
      <c r="Y190" s="71">
        <v>49340</v>
      </c>
      <c r="Z190" s="71">
        <v>49705</v>
      </c>
      <c r="AA190" s="71">
        <v>50071</v>
      </c>
      <c r="AB190" s="71">
        <v>50436</v>
      </c>
      <c r="AC190" s="71">
        <v>50801</v>
      </c>
      <c r="AD190" s="71">
        <v>51166</v>
      </c>
      <c r="AE190" s="71">
        <v>51532</v>
      </c>
      <c r="AF190" s="71">
        <v>51897</v>
      </c>
      <c r="AG190" s="71">
        <v>52262</v>
      </c>
      <c r="AH190" s="71">
        <v>52627</v>
      </c>
    </row>
    <row r="191" spans="3:34">
      <c r="F191" s="65" cm="1">
        <f t="array" ref="F191:G215" xml:space="preserve"> _xlfn.LET(
      _xlpm.assets,_xlfn.ANCHORARRAY(       $E$7),
      _xlpm.mid_term,     INDEX( _xlpm.assets,, 3 ),
      _xlpm.acq_date,     INDEX( _xlpm.assets,, 1 ),
      _xlfn.DROP( _xlfn.HSTACK( _xlpm.acq_date, _xlpm.mid_term ), 1 ) )</f>
        <v>2020</v>
      </c>
      <c r="G191" s="64">
        <v>1917000</v>
      </c>
      <c r="H191" s="64" cm="1">
        <f t="array" ref="H191:H215">IFERROR( _xlfn.BYROW(_xlfn.ANCHORARRAY( J191), _xleta.SUM ), 0 )</f>
        <v>1917000</v>
      </c>
      <c r="J191" s="70" cm="1">
        <f t="array" ref="J191:AH215">_xlfn.LET(
     _xlpm.acquisition_date,    INDEX(_xlfn.ANCHORARRAY( F191),, 1 ),
     _xlpm.acquisition_cost,    INDEX(_xlfn.ANCHORARRAY( F191),, 2 ),
     _xlpm.current_date,_xlfn.ANCHORARRAY(        $J$3),
     _xlpm.period,              YEAR( _xlpm.current_date ) - _xlpm.acquisition_date,
     _xlpm.useful_life,         CaseData!$H$33,
     _xlpm.depreciation,        _xlpm.acquisition_cost / _xlpm.useful_life,
     _xlpm.accumulated_depr,    _xlpm.acquisition_cost * ( _xlpm.period ),
     _xlpm.book_value,          _xlpm.acquisition_cost - _xlpm.accumulated_depr,
     IFERROR(
       IF( _xlpm.period &lt; 0, 0,
             IF( _xlpm.period &lt; _xlpm.useful_life, _xlpm.depreciation, IF( _xlpm.book_value &gt; 0, _xlpm.book_value, 0 ) ) ), 0 ) )</f>
        <v>239625</v>
      </c>
      <c r="K191" s="64">
        <v>239625</v>
      </c>
      <c r="L191" s="64">
        <v>239625</v>
      </c>
      <c r="M191" s="64">
        <v>239625</v>
      </c>
      <c r="N191" s="64">
        <v>239625</v>
      </c>
      <c r="O191" s="64">
        <v>239625</v>
      </c>
      <c r="P191" s="64">
        <v>239625</v>
      </c>
      <c r="Q191" s="64">
        <v>239625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>
        <v>0</v>
      </c>
      <c r="AA191" s="64">
        <v>0</v>
      </c>
      <c r="AB191" s="64">
        <v>0</v>
      </c>
      <c r="AC191" s="64">
        <v>0</v>
      </c>
      <c r="AD191" s="64">
        <v>0</v>
      </c>
      <c r="AE191" s="64">
        <v>0</v>
      </c>
      <c r="AF191" s="64">
        <v>0</v>
      </c>
      <c r="AG191" s="64">
        <v>0</v>
      </c>
      <c r="AH191" s="64">
        <v>0</v>
      </c>
    </row>
    <row r="192" spans="3:34">
      <c r="F192" s="65">
        <v>2021</v>
      </c>
      <c r="G192" s="64">
        <v>557000</v>
      </c>
      <c r="H192" s="64">
        <v>557000</v>
      </c>
      <c r="J192" s="64">
        <v>0</v>
      </c>
      <c r="K192" s="64">
        <v>69625</v>
      </c>
      <c r="L192" s="64">
        <v>69625</v>
      </c>
      <c r="M192" s="64">
        <v>69625</v>
      </c>
      <c r="N192" s="64">
        <v>69625</v>
      </c>
      <c r="O192" s="64">
        <v>69625</v>
      </c>
      <c r="P192" s="64">
        <v>69625</v>
      </c>
      <c r="Q192" s="64">
        <v>69625</v>
      </c>
      <c r="R192" s="64">
        <v>69625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>
        <v>0</v>
      </c>
      <c r="AA192" s="64">
        <v>0</v>
      </c>
      <c r="AB192" s="64">
        <v>0</v>
      </c>
      <c r="AC192" s="64">
        <v>0</v>
      </c>
      <c r="AD192" s="64">
        <v>0</v>
      </c>
      <c r="AE192" s="64">
        <v>0</v>
      </c>
      <c r="AF192" s="64">
        <v>0</v>
      </c>
      <c r="AG192" s="64">
        <v>0</v>
      </c>
      <c r="AH192" s="64">
        <v>0</v>
      </c>
    </row>
    <row r="193" spans="6:34">
      <c r="F193" s="65">
        <v>2022</v>
      </c>
      <c r="G193" s="64">
        <v>694000</v>
      </c>
      <c r="H193" s="64">
        <v>694000</v>
      </c>
      <c r="J193" s="64">
        <v>0</v>
      </c>
      <c r="K193" s="64">
        <v>0</v>
      </c>
      <c r="L193" s="64">
        <v>86750</v>
      </c>
      <c r="M193" s="64">
        <v>86750</v>
      </c>
      <c r="N193" s="64">
        <v>86750</v>
      </c>
      <c r="O193" s="64">
        <v>86750</v>
      </c>
      <c r="P193" s="64">
        <v>86750</v>
      </c>
      <c r="Q193" s="64">
        <v>86750</v>
      </c>
      <c r="R193" s="64">
        <v>86750</v>
      </c>
      <c r="S193" s="64">
        <v>86750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0</v>
      </c>
      <c r="AE193" s="64">
        <v>0</v>
      </c>
      <c r="AF193" s="64">
        <v>0</v>
      </c>
      <c r="AG193" s="64">
        <v>0</v>
      </c>
      <c r="AH193" s="64">
        <v>0</v>
      </c>
    </row>
    <row r="194" spans="6:34">
      <c r="F194" s="65">
        <v>2023</v>
      </c>
      <c r="G194" s="64">
        <v>604000</v>
      </c>
      <c r="H194" s="64">
        <v>604000</v>
      </c>
      <c r="J194" s="64">
        <v>0</v>
      </c>
      <c r="K194" s="64">
        <v>0</v>
      </c>
      <c r="L194" s="64">
        <v>0</v>
      </c>
      <c r="M194" s="64">
        <v>75500</v>
      </c>
      <c r="N194" s="64">
        <v>75500</v>
      </c>
      <c r="O194" s="64">
        <v>75500</v>
      </c>
      <c r="P194" s="64">
        <v>75500</v>
      </c>
      <c r="Q194" s="64">
        <v>75500</v>
      </c>
      <c r="R194" s="64">
        <v>75500</v>
      </c>
      <c r="S194" s="64">
        <v>75500</v>
      </c>
      <c r="T194" s="64">
        <v>75500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>
        <v>0</v>
      </c>
      <c r="AA194" s="64">
        <v>0</v>
      </c>
      <c r="AB194" s="64">
        <v>0</v>
      </c>
      <c r="AC194" s="64">
        <v>0</v>
      </c>
      <c r="AD194" s="64">
        <v>0</v>
      </c>
      <c r="AE194" s="64">
        <v>0</v>
      </c>
      <c r="AF194" s="64">
        <v>0</v>
      </c>
      <c r="AG194" s="64">
        <v>0</v>
      </c>
      <c r="AH194" s="64">
        <v>0</v>
      </c>
    </row>
    <row r="195" spans="6:34">
      <c r="F195" s="65">
        <v>2024</v>
      </c>
      <c r="G195" s="64">
        <v>603000</v>
      </c>
      <c r="H195" s="64">
        <v>603000</v>
      </c>
      <c r="J195" s="64">
        <v>0</v>
      </c>
      <c r="K195" s="64">
        <v>0</v>
      </c>
      <c r="L195" s="64">
        <v>0</v>
      </c>
      <c r="M195" s="64">
        <v>0</v>
      </c>
      <c r="N195" s="64">
        <v>75375</v>
      </c>
      <c r="O195" s="64">
        <v>75375</v>
      </c>
      <c r="P195" s="64">
        <v>75375</v>
      </c>
      <c r="Q195" s="64">
        <v>75375</v>
      </c>
      <c r="R195" s="64">
        <v>75375</v>
      </c>
      <c r="S195" s="64">
        <v>75375</v>
      </c>
      <c r="T195" s="64">
        <v>75375</v>
      </c>
      <c r="U195" s="64">
        <v>75375</v>
      </c>
      <c r="V195" s="64">
        <v>0</v>
      </c>
      <c r="W195" s="64">
        <v>0</v>
      </c>
      <c r="X195" s="64">
        <v>0</v>
      </c>
      <c r="Y195" s="64">
        <v>0</v>
      </c>
      <c r="Z195" s="64">
        <v>0</v>
      </c>
      <c r="AA195" s="64">
        <v>0</v>
      </c>
      <c r="AB195" s="64">
        <v>0</v>
      </c>
      <c r="AC195" s="64">
        <v>0</v>
      </c>
      <c r="AD195" s="64">
        <v>0</v>
      </c>
      <c r="AE195" s="64">
        <v>0</v>
      </c>
      <c r="AF195" s="64">
        <v>0</v>
      </c>
      <c r="AG195" s="64">
        <v>0</v>
      </c>
      <c r="AH195" s="64">
        <v>0</v>
      </c>
    </row>
    <row r="196" spans="6:34">
      <c r="F196" s="65">
        <v>2025</v>
      </c>
      <c r="G196" s="64">
        <v>1787000</v>
      </c>
      <c r="H196" s="64">
        <v>1787000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223375</v>
      </c>
      <c r="P196" s="64">
        <v>223375</v>
      </c>
      <c r="Q196" s="64">
        <v>223375</v>
      </c>
      <c r="R196" s="64">
        <v>223375</v>
      </c>
      <c r="S196" s="64">
        <v>223375</v>
      </c>
      <c r="T196" s="64">
        <v>223375</v>
      </c>
      <c r="U196" s="64">
        <v>223375</v>
      </c>
      <c r="V196" s="64">
        <v>223375</v>
      </c>
      <c r="W196" s="64">
        <v>0</v>
      </c>
      <c r="X196" s="64">
        <v>0</v>
      </c>
      <c r="Y196" s="64">
        <v>0</v>
      </c>
      <c r="Z196" s="64">
        <v>0</v>
      </c>
      <c r="AA196" s="64">
        <v>0</v>
      </c>
      <c r="AB196" s="64">
        <v>0</v>
      </c>
      <c r="AC196" s="64">
        <v>0</v>
      </c>
      <c r="AD196" s="64">
        <v>0</v>
      </c>
      <c r="AE196" s="64">
        <v>0</v>
      </c>
      <c r="AF196" s="64">
        <v>0</v>
      </c>
      <c r="AG196" s="64">
        <v>0</v>
      </c>
      <c r="AH196" s="64">
        <v>0</v>
      </c>
    </row>
    <row r="197" spans="6:34">
      <c r="F197" s="65">
        <v>2026</v>
      </c>
      <c r="G197" s="64">
        <v>135000</v>
      </c>
      <c r="H197" s="64">
        <v>135000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16875</v>
      </c>
      <c r="Q197" s="64">
        <v>16875</v>
      </c>
      <c r="R197" s="64">
        <v>16875</v>
      </c>
      <c r="S197" s="64">
        <v>16875</v>
      </c>
      <c r="T197" s="64">
        <v>16875</v>
      </c>
      <c r="U197" s="64">
        <v>16875</v>
      </c>
      <c r="V197" s="64">
        <v>16875</v>
      </c>
      <c r="W197" s="64">
        <v>16875</v>
      </c>
      <c r="X197" s="64">
        <v>0</v>
      </c>
      <c r="Y197" s="64">
        <v>0</v>
      </c>
      <c r="Z197" s="64">
        <v>0</v>
      </c>
      <c r="AA197" s="64">
        <v>0</v>
      </c>
      <c r="AB197" s="64">
        <v>0</v>
      </c>
      <c r="AC197" s="64">
        <v>0</v>
      </c>
      <c r="AD197" s="64">
        <v>0</v>
      </c>
      <c r="AE197" s="64">
        <v>0</v>
      </c>
      <c r="AF197" s="64">
        <v>0</v>
      </c>
      <c r="AG197" s="64">
        <v>0</v>
      </c>
      <c r="AH197" s="64">
        <v>0</v>
      </c>
    </row>
    <row r="198" spans="6:34">
      <c r="F198" s="65">
        <v>2027</v>
      </c>
      <c r="G198" s="64">
        <v>1074000</v>
      </c>
      <c r="H198" s="64">
        <v>1074000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134250</v>
      </c>
      <c r="R198" s="64">
        <v>134250</v>
      </c>
      <c r="S198" s="64">
        <v>134250</v>
      </c>
      <c r="T198" s="64">
        <v>134250</v>
      </c>
      <c r="U198" s="64">
        <v>134250</v>
      </c>
      <c r="V198" s="64">
        <v>134250</v>
      </c>
      <c r="W198" s="64">
        <v>134250</v>
      </c>
      <c r="X198" s="64">
        <v>134250</v>
      </c>
      <c r="Y198" s="64">
        <v>0</v>
      </c>
      <c r="Z198" s="64">
        <v>0</v>
      </c>
      <c r="AA198" s="64">
        <v>0</v>
      </c>
      <c r="AB198" s="64">
        <v>0</v>
      </c>
      <c r="AC198" s="64">
        <v>0</v>
      </c>
      <c r="AD198" s="64">
        <v>0</v>
      </c>
      <c r="AE198" s="64">
        <v>0</v>
      </c>
      <c r="AF198" s="64">
        <v>0</v>
      </c>
      <c r="AG198" s="64">
        <v>0</v>
      </c>
      <c r="AH198" s="64">
        <v>0</v>
      </c>
    </row>
    <row r="199" spans="6:34">
      <c r="F199" s="65">
        <v>2028</v>
      </c>
      <c r="G199" s="64">
        <v>1315000</v>
      </c>
      <c r="H199" s="64">
        <v>1315000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164375</v>
      </c>
      <c r="S199" s="64">
        <v>164375</v>
      </c>
      <c r="T199" s="64">
        <v>164375</v>
      </c>
      <c r="U199" s="64">
        <v>164375</v>
      </c>
      <c r="V199" s="64">
        <v>164375</v>
      </c>
      <c r="W199" s="64">
        <v>164375</v>
      </c>
      <c r="X199" s="64">
        <v>164375</v>
      </c>
      <c r="Y199" s="64">
        <v>164375</v>
      </c>
      <c r="Z199" s="64">
        <v>0</v>
      </c>
      <c r="AA199" s="64">
        <v>0</v>
      </c>
      <c r="AB199" s="64">
        <v>0</v>
      </c>
      <c r="AC199" s="64">
        <v>0</v>
      </c>
      <c r="AD199" s="64">
        <v>0</v>
      </c>
      <c r="AE199" s="64">
        <v>0</v>
      </c>
      <c r="AF199" s="64">
        <v>0</v>
      </c>
      <c r="AG199" s="64">
        <v>0</v>
      </c>
      <c r="AH199" s="64">
        <v>0</v>
      </c>
    </row>
    <row r="200" spans="6:34">
      <c r="F200" s="65">
        <v>2029</v>
      </c>
      <c r="G200" s="64">
        <v>1164000</v>
      </c>
      <c r="H200" s="64">
        <v>1164000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145500</v>
      </c>
      <c r="T200" s="64">
        <v>145500</v>
      </c>
      <c r="U200" s="64">
        <v>145500</v>
      </c>
      <c r="V200" s="64">
        <v>145500</v>
      </c>
      <c r="W200" s="64">
        <v>145500</v>
      </c>
      <c r="X200" s="64">
        <v>145500</v>
      </c>
      <c r="Y200" s="64">
        <v>145500</v>
      </c>
      <c r="Z200" s="64">
        <v>145500</v>
      </c>
      <c r="AA200" s="64">
        <v>0</v>
      </c>
      <c r="AB200" s="64">
        <v>0</v>
      </c>
      <c r="AC200" s="64">
        <v>0</v>
      </c>
      <c r="AD200" s="64">
        <v>0</v>
      </c>
      <c r="AE200" s="64">
        <v>0</v>
      </c>
      <c r="AF200" s="64">
        <v>0</v>
      </c>
      <c r="AG200" s="64">
        <v>0</v>
      </c>
      <c r="AH200" s="64">
        <v>0</v>
      </c>
    </row>
    <row r="201" spans="6:34">
      <c r="F201" s="65">
        <v>2030</v>
      </c>
      <c r="G201" s="64">
        <v>2276000</v>
      </c>
      <c r="H201" s="64">
        <v>2276000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284500</v>
      </c>
      <c r="U201" s="64">
        <v>284500</v>
      </c>
      <c r="V201" s="64">
        <v>284500</v>
      </c>
      <c r="W201" s="64">
        <v>284500</v>
      </c>
      <c r="X201" s="64">
        <v>284500</v>
      </c>
      <c r="Y201" s="64">
        <v>284500</v>
      </c>
      <c r="Z201" s="64">
        <v>284500</v>
      </c>
      <c r="AA201" s="64">
        <v>284500</v>
      </c>
      <c r="AB201" s="64">
        <v>0</v>
      </c>
      <c r="AC201" s="64">
        <v>0</v>
      </c>
      <c r="AD201" s="64">
        <v>0</v>
      </c>
      <c r="AE201" s="64">
        <v>0</v>
      </c>
      <c r="AF201" s="64">
        <v>0</v>
      </c>
      <c r="AG201" s="64">
        <v>0</v>
      </c>
      <c r="AH201" s="64">
        <v>0</v>
      </c>
    </row>
    <row r="202" spans="6:34">
      <c r="F202" s="65">
        <v>2031</v>
      </c>
      <c r="G202" s="64">
        <v>387000</v>
      </c>
      <c r="H202" s="64">
        <v>387000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48375</v>
      </c>
      <c r="V202" s="64">
        <v>48375</v>
      </c>
      <c r="W202" s="64">
        <v>48375</v>
      </c>
      <c r="X202" s="64">
        <v>48375</v>
      </c>
      <c r="Y202" s="64">
        <v>48375</v>
      </c>
      <c r="Z202" s="64">
        <v>48375</v>
      </c>
      <c r="AA202" s="64">
        <v>48375</v>
      </c>
      <c r="AB202" s="64">
        <v>48375</v>
      </c>
      <c r="AC202" s="64">
        <v>0</v>
      </c>
      <c r="AD202" s="64">
        <v>0</v>
      </c>
      <c r="AE202" s="64">
        <v>0</v>
      </c>
      <c r="AF202" s="64">
        <v>0</v>
      </c>
      <c r="AG202" s="64">
        <v>0</v>
      </c>
      <c r="AH202" s="64">
        <v>0</v>
      </c>
    </row>
    <row r="203" spans="6:34">
      <c r="F203" s="65">
        <v>2032</v>
      </c>
      <c r="G203" s="64">
        <v>939000</v>
      </c>
      <c r="H203" s="64">
        <v>939000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117375</v>
      </c>
      <c r="W203" s="64">
        <v>117375</v>
      </c>
      <c r="X203" s="64">
        <v>117375</v>
      </c>
      <c r="Y203" s="64">
        <v>117375</v>
      </c>
      <c r="Z203" s="64">
        <v>117375</v>
      </c>
      <c r="AA203" s="64">
        <v>117375</v>
      </c>
      <c r="AB203" s="64">
        <v>117375</v>
      </c>
      <c r="AC203" s="64">
        <v>117375</v>
      </c>
      <c r="AD203" s="64">
        <v>0</v>
      </c>
      <c r="AE203" s="64">
        <v>0</v>
      </c>
      <c r="AF203" s="64">
        <v>0</v>
      </c>
      <c r="AG203" s="64">
        <v>0</v>
      </c>
      <c r="AH203" s="64">
        <v>0</v>
      </c>
    </row>
    <row r="204" spans="6:34">
      <c r="F204" s="65">
        <v>2033</v>
      </c>
      <c r="G204" s="64">
        <v>1038000</v>
      </c>
      <c r="H204" s="64">
        <v>1038000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129750</v>
      </c>
      <c r="X204" s="64">
        <v>129750</v>
      </c>
      <c r="Y204" s="64">
        <v>129750</v>
      </c>
      <c r="Z204" s="64">
        <v>129750</v>
      </c>
      <c r="AA204" s="64">
        <v>129750</v>
      </c>
      <c r="AB204" s="64">
        <v>129750</v>
      </c>
      <c r="AC204" s="64">
        <v>129750</v>
      </c>
      <c r="AD204" s="64">
        <v>129750</v>
      </c>
      <c r="AE204" s="64">
        <v>0</v>
      </c>
      <c r="AF204" s="64">
        <v>0</v>
      </c>
      <c r="AG204" s="64">
        <v>0</v>
      </c>
      <c r="AH204" s="64">
        <v>0</v>
      </c>
    </row>
    <row r="205" spans="6:34">
      <c r="F205" s="65">
        <v>2034</v>
      </c>
      <c r="G205" s="64">
        <v>1729000</v>
      </c>
      <c r="H205" s="64">
        <v>1729000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216125</v>
      </c>
      <c r="Y205" s="64">
        <v>216125</v>
      </c>
      <c r="Z205" s="64">
        <v>216125</v>
      </c>
      <c r="AA205" s="64">
        <v>216125</v>
      </c>
      <c r="AB205" s="64">
        <v>216125</v>
      </c>
      <c r="AC205" s="64">
        <v>216125</v>
      </c>
      <c r="AD205" s="64">
        <v>216125</v>
      </c>
      <c r="AE205" s="64">
        <v>216125</v>
      </c>
      <c r="AF205" s="64">
        <v>0</v>
      </c>
      <c r="AG205" s="64">
        <v>0</v>
      </c>
      <c r="AH205" s="64">
        <v>0</v>
      </c>
    </row>
    <row r="206" spans="6:34">
      <c r="F206" s="65">
        <v>2035</v>
      </c>
      <c r="G206" s="64">
        <v>228000</v>
      </c>
      <c r="H206" s="64">
        <v>228000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28500</v>
      </c>
      <c r="Z206" s="64">
        <v>28500</v>
      </c>
      <c r="AA206" s="64">
        <v>28500</v>
      </c>
      <c r="AB206" s="64">
        <v>28500</v>
      </c>
      <c r="AC206" s="64">
        <v>28500</v>
      </c>
      <c r="AD206" s="64">
        <v>28500</v>
      </c>
      <c r="AE206" s="64">
        <v>28500</v>
      </c>
      <c r="AF206" s="64">
        <v>28500</v>
      </c>
      <c r="AG206" s="64">
        <v>0</v>
      </c>
      <c r="AH206" s="64">
        <v>0</v>
      </c>
    </row>
    <row r="207" spans="6:34">
      <c r="F207" s="65">
        <v>2036</v>
      </c>
      <c r="G207" s="64">
        <v>2222000</v>
      </c>
      <c r="H207" s="64">
        <v>2222000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>
        <v>277750</v>
      </c>
      <c r="AA207" s="64">
        <v>277750</v>
      </c>
      <c r="AB207" s="64">
        <v>277750</v>
      </c>
      <c r="AC207" s="64">
        <v>277750</v>
      </c>
      <c r="AD207" s="64">
        <v>277750</v>
      </c>
      <c r="AE207" s="64">
        <v>277750</v>
      </c>
      <c r="AF207" s="64">
        <v>277750</v>
      </c>
      <c r="AG207" s="64">
        <v>277750</v>
      </c>
      <c r="AH207" s="64">
        <v>0</v>
      </c>
    </row>
    <row r="208" spans="6:34">
      <c r="F208" s="65">
        <v>2037</v>
      </c>
      <c r="G208" s="64">
        <v>407000</v>
      </c>
      <c r="H208" s="64">
        <v>407000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>
        <v>0</v>
      </c>
      <c r="AA208" s="64">
        <v>50875</v>
      </c>
      <c r="AB208" s="64">
        <v>50875</v>
      </c>
      <c r="AC208" s="64">
        <v>50875</v>
      </c>
      <c r="AD208" s="64">
        <v>50875</v>
      </c>
      <c r="AE208" s="64">
        <v>50875</v>
      </c>
      <c r="AF208" s="64">
        <v>50875</v>
      </c>
      <c r="AG208" s="64">
        <v>50875</v>
      </c>
      <c r="AH208" s="64">
        <v>50875</v>
      </c>
    </row>
    <row r="209" spans="3:34">
      <c r="F209" s="65">
        <v>2038</v>
      </c>
      <c r="G209" s="64">
        <v>594000</v>
      </c>
      <c r="H209" s="64">
        <v>519750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>
        <v>0</v>
      </c>
      <c r="AA209" s="64">
        <v>0</v>
      </c>
      <c r="AB209" s="64">
        <v>74250</v>
      </c>
      <c r="AC209" s="64">
        <v>74250</v>
      </c>
      <c r="AD209" s="64">
        <v>74250</v>
      </c>
      <c r="AE209" s="64">
        <v>74250</v>
      </c>
      <c r="AF209" s="64">
        <v>74250</v>
      </c>
      <c r="AG209" s="64">
        <v>74250</v>
      </c>
      <c r="AH209" s="64">
        <v>74250</v>
      </c>
    </row>
    <row r="210" spans="3:34">
      <c r="F210" s="65">
        <v>2039</v>
      </c>
      <c r="G210" s="64">
        <v>1460000</v>
      </c>
      <c r="H210" s="64">
        <v>1095000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>
        <v>0</v>
      </c>
      <c r="AA210" s="64">
        <v>0</v>
      </c>
      <c r="AB210" s="64">
        <v>0</v>
      </c>
      <c r="AC210" s="64">
        <v>182500</v>
      </c>
      <c r="AD210" s="64">
        <v>182500</v>
      </c>
      <c r="AE210" s="64">
        <v>182500</v>
      </c>
      <c r="AF210" s="64">
        <v>182500</v>
      </c>
      <c r="AG210" s="64">
        <v>182500</v>
      </c>
      <c r="AH210" s="64">
        <v>182500</v>
      </c>
    </row>
    <row r="211" spans="3:34">
      <c r="F211" s="65">
        <v>2040</v>
      </c>
      <c r="G211" s="64">
        <v>1332000</v>
      </c>
      <c r="H211" s="64">
        <v>832500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>
        <v>0</v>
      </c>
      <c r="AA211" s="64">
        <v>0</v>
      </c>
      <c r="AB211" s="64">
        <v>0</v>
      </c>
      <c r="AC211" s="64">
        <v>0</v>
      </c>
      <c r="AD211" s="64">
        <v>166500</v>
      </c>
      <c r="AE211" s="64">
        <v>166500</v>
      </c>
      <c r="AF211" s="64">
        <v>166500</v>
      </c>
      <c r="AG211" s="64">
        <v>166500</v>
      </c>
      <c r="AH211" s="64">
        <v>166500</v>
      </c>
    </row>
    <row r="212" spans="3:34">
      <c r="F212" s="65">
        <v>2041</v>
      </c>
      <c r="G212" s="64">
        <v>1368000</v>
      </c>
      <c r="H212" s="64">
        <v>684000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>
        <v>0</v>
      </c>
      <c r="AA212" s="64">
        <v>0</v>
      </c>
      <c r="AB212" s="64">
        <v>0</v>
      </c>
      <c r="AC212" s="64">
        <v>0</v>
      </c>
      <c r="AD212" s="64">
        <v>0</v>
      </c>
      <c r="AE212" s="64">
        <v>171000</v>
      </c>
      <c r="AF212" s="64">
        <v>171000</v>
      </c>
      <c r="AG212" s="64">
        <v>171000</v>
      </c>
      <c r="AH212" s="64">
        <v>171000</v>
      </c>
    </row>
    <row r="213" spans="3:34">
      <c r="F213" s="65">
        <v>2042</v>
      </c>
      <c r="G213" s="64">
        <v>1485000</v>
      </c>
      <c r="H213" s="64">
        <v>556875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>
        <v>0</v>
      </c>
      <c r="AA213" s="64">
        <v>0</v>
      </c>
      <c r="AB213" s="64">
        <v>0</v>
      </c>
      <c r="AC213" s="64">
        <v>0</v>
      </c>
      <c r="AD213" s="64">
        <v>0</v>
      </c>
      <c r="AE213" s="64">
        <v>0</v>
      </c>
      <c r="AF213" s="64">
        <v>185625</v>
      </c>
      <c r="AG213" s="64">
        <v>185625</v>
      </c>
      <c r="AH213" s="64">
        <v>185625</v>
      </c>
    </row>
    <row r="214" spans="3:34">
      <c r="F214" s="65">
        <v>2043</v>
      </c>
      <c r="G214" s="64">
        <v>875000</v>
      </c>
      <c r="H214" s="64">
        <v>218750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  <c r="Z214" s="64">
        <v>0</v>
      </c>
      <c r="AA214" s="64">
        <v>0</v>
      </c>
      <c r="AB214" s="64">
        <v>0</v>
      </c>
      <c r="AC214" s="64">
        <v>0</v>
      </c>
      <c r="AD214" s="64">
        <v>0</v>
      </c>
      <c r="AE214" s="64">
        <v>0</v>
      </c>
      <c r="AF214" s="64">
        <v>0</v>
      </c>
      <c r="AG214" s="64">
        <v>109375</v>
      </c>
      <c r="AH214" s="64">
        <v>109375</v>
      </c>
    </row>
    <row r="215" spans="3:34">
      <c r="F215" s="65">
        <v>2044</v>
      </c>
      <c r="G215" s="64">
        <v>1640000</v>
      </c>
      <c r="H215" s="64">
        <v>205000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>
        <v>0</v>
      </c>
      <c r="AA215" s="64">
        <v>0</v>
      </c>
      <c r="AB215" s="64">
        <v>0</v>
      </c>
      <c r="AC215" s="64">
        <v>0</v>
      </c>
      <c r="AD215" s="64">
        <v>0</v>
      </c>
      <c r="AE215" s="64">
        <v>0</v>
      </c>
      <c r="AF215" s="64">
        <v>0</v>
      </c>
      <c r="AG215" s="64">
        <v>0</v>
      </c>
      <c r="AH215" s="64">
        <v>205000</v>
      </c>
    </row>
    <row r="216" spans="3:34">
      <c r="F216" s="65"/>
      <c r="J216" s="69" cm="1">
        <f t="array" ref="J216:AH216">_xlfn.BYCOL(_xlfn.ANCHORARRAY( J191), _xleta.SUM )</f>
        <v>239625</v>
      </c>
      <c r="K216" s="69">
        <v>309250</v>
      </c>
      <c r="L216" s="69">
        <v>396000</v>
      </c>
      <c r="M216" s="69">
        <v>471500</v>
      </c>
      <c r="N216" s="69">
        <v>546875</v>
      </c>
      <c r="O216" s="69">
        <v>770250</v>
      </c>
      <c r="P216" s="69">
        <v>787125</v>
      </c>
      <c r="Q216" s="69">
        <v>921375</v>
      </c>
      <c r="R216" s="69">
        <v>846125</v>
      </c>
      <c r="S216" s="69">
        <v>922000</v>
      </c>
      <c r="T216" s="69">
        <v>1119750</v>
      </c>
      <c r="U216" s="69">
        <v>1092625</v>
      </c>
      <c r="V216" s="69">
        <v>1134625</v>
      </c>
      <c r="W216" s="69">
        <v>1041000</v>
      </c>
      <c r="X216" s="69">
        <v>1240250</v>
      </c>
      <c r="Y216" s="69">
        <v>1134500</v>
      </c>
      <c r="Z216" s="69">
        <v>1247875</v>
      </c>
      <c r="AA216" s="69">
        <v>1153250</v>
      </c>
      <c r="AB216" s="69">
        <v>943000</v>
      </c>
      <c r="AC216" s="69">
        <v>1077125</v>
      </c>
      <c r="AD216" s="69">
        <v>1126250</v>
      </c>
      <c r="AE216" s="69">
        <v>1167500</v>
      </c>
      <c r="AF216" s="69">
        <v>1137000</v>
      </c>
      <c r="AG216" s="69">
        <v>1217875</v>
      </c>
      <c r="AH216" s="69">
        <v>1145125</v>
      </c>
    </row>
    <row r="217" spans="3:34">
      <c r="F217" s="65"/>
    </row>
    <row r="218" spans="3:34">
      <c r="F218" s="65"/>
    </row>
    <row r="220" spans="3:34">
      <c r="C220" s="68" t="s">
        <v>72</v>
      </c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</row>
    <row r="221" spans="3:34">
      <c r="F221" s="64" t="s">
        <v>69</v>
      </c>
      <c r="G221" s="64" t="s">
        <v>70</v>
      </c>
      <c r="J221" s="71" cm="1">
        <f t="array" ref="J221:AH221">_xlfn.ANCHORARRAY($J$3)</f>
        <v>43861</v>
      </c>
      <c r="K221" s="71">
        <v>44227</v>
      </c>
      <c r="L221" s="71">
        <v>44592</v>
      </c>
      <c r="M221" s="71">
        <v>44957</v>
      </c>
      <c r="N221" s="71">
        <v>45322</v>
      </c>
      <c r="O221" s="71">
        <v>45688</v>
      </c>
      <c r="P221" s="71">
        <v>46053</v>
      </c>
      <c r="Q221" s="71">
        <v>46418</v>
      </c>
      <c r="R221" s="71">
        <v>46783</v>
      </c>
      <c r="S221" s="71">
        <v>47149</v>
      </c>
      <c r="T221" s="71">
        <v>47514</v>
      </c>
      <c r="U221" s="71">
        <v>47879</v>
      </c>
      <c r="V221" s="71">
        <v>48244</v>
      </c>
      <c r="W221" s="71">
        <v>48610</v>
      </c>
      <c r="X221" s="71">
        <v>48975</v>
      </c>
      <c r="Y221" s="71">
        <v>49340</v>
      </c>
      <c r="Z221" s="71">
        <v>49705</v>
      </c>
      <c r="AA221" s="71">
        <v>50071</v>
      </c>
      <c r="AB221" s="71">
        <v>50436</v>
      </c>
      <c r="AC221" s="71">
        <v>50801</v>
      </c>
      <c r="AD221" s="71">
        <v>51166</v>
      </c>
      <c r="AE221" s="71">
        <v>51532</v>
      </c>
      <c r="AF221" s="71">
        <v>51897</v>
      </c>
      <c r="AG221" s="71">
        <v>52262</v>
      </c>
      <c r="AH221" s="71">
        <v>52627</v>
      </c>
    </row>
    <row r="222" spans="3:34">
      <c r="F222" s="65" cm="1">
        <f t="array" ref="F222:G246" xml:space="preserve"> _xlfn.LET(
      _xlpm.assets,_xlfn.ANCHORARRAY(       $E$7),
      _xlpm.mid_term,     INDEX( _xlpm.assets,, 3 ),
      _xlpm.acq_date,     INDEX( _xlpm.assets,, 1 ),
      _xlfn.DROP( _xlfn.HSTACK( _xlpm.acq_date, _xlpm.mid_term ), 1 ) )</f>
        <v>2020</v>
      </c>
      <c r="G222" s="64">
        <v>1917000</v>
      </c>
      <c r="H222" s="64" cm="1">
        <f t="array" ref="H222:H246">_xlfn.BYROW(_xlfn.ANCHORARRAY( J222), _xleta.SUM )</f>
        <v>1917000.0000000005</v>
      </c>
      <c r="J222" s="70" cm="1">
        <f t="array" ref="J222:AH246" xml:space="preserve"> _xlfn.LET(
     _xlpm.acquisition_date,    INDEX(_xlfn.ANCHORARRAY( F222),, 1 ),
     _xlpm.acquisition_cost,    INDEX(_xlfn.ANCHORARRAY( F222),, 2 ),
     _xlpm.current_date,_xlfn.ANCHORARRAY(        $J$3),
     _xlpm.period,              YEAR( _xlpm.current_date ) - _xlpm.acquisition_date + 1,
     _xlpm.current_class,       CaseData!$H$34,
     _xlpm.classes,             CaseData!$E$39:$T$39,
     _xlpm.class_year,          CaseData!$D$41:$D$60,
     _xlpm.class_percentage,    CaseData!$E$41:$T$60,
     _xlpm.rate,                INDEX( _xlpm.class_percentage, MATCH( _xlpm.period, _xlpm.class_year, 0 ), MATCH( _xlpm.current_class, _xlpm.classes, 0 ) ),
     IFERROR( IF( _xlpm.period &lt; 0, 0, _xlpm.acquisition_cost * _xlpm.rate ), 0 ) )</f>
        <v>479250</v>
      </c>
      <c r="K222" s="64">
        <v>360396</v>
      </c>
      <c r="L222" s="64">
        <v>270297</v>
      </c>
      <c r="M222" s="64">
        <v>201285</v>
      </c>
      <c r="N222" s="64">
        <v>151443</v>
      </c>
      <c r="O222" s="64">
        <v>151443</v>
      </c>
      <c r="P222" s="64">
        <v>151443</v>
      </c>
      <c r="Q222" s="64">
        <v>151443.00000000035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>
        <v>0</v>
      </c>
      <c r="AA222" s="64">
        <v>0</v>
      </c>
      <c r="AB222" s="64">
        <v>0</v>
      </c>
      <c r="AC222" s="64">
        <v>0</v>
      </c>
      <c r="AD222" s="64">
        <v>0</v>
      </c>
      <c r="AE222" s="64">
        <v>0</v>
      </c>
      <c r="AF222" s="64">
        <v>0</v>
      </c>
      <c r="AG222" s="64">
        <v>0</v>
      </c>
      <c r="AH222" s="64">
        <v>0</v>
      </c>
    </row>
    <row r="223" spans="3:34">
      <c r="F223" s="65">
        <v>2021</v>
      </c>
      <c r="G223" s="64">
        <v>557000</v>
      </c>
      <c r="H223" s="64">
        <v>557000.00000000012</v>
      </c>
      <c r="J223" s="64">
        <v>0</v>
      </c>
      <c r="K223" s="64">
        <v>139250</v>
      </c>
      <c r="L223" s="64">
        <v>104716</v>
      </c>
      <c r="M223" s="64">
        <v>78536.999999999985</v>
      </c>
      <c r="N223" s="64">
        <v>58485</v>
      </c>
      <c r="O223" s="64">
        <v>44003</v>
      </c>
      <c r="P223" s="64">
        <v>44003</v>
      </c>
      <c r="Q223" s="64">
        <v>44003</v>
      </c>
      <c r="R223" s="64">
        <v>44003.000000000102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>
        <v>0</v>
      </c>
      <c r="AA223" s="64">
        <v>0</v>
      </c>
      <c r="AB223" s="64">
        <v>0</v>
      </c>
      <c r="AC223" s="64">
        <v>0</v>
      </c>
      <c r="AD223" s="64">
        <v>0</v>
      </c>
      <c r="AE223" s="64">
        <v>0</v>
      </c>
      <c r="AF223" s="64">
        <v>0</v>
      </c>
      <c r="AG223" s="64">
        <v>0</v>
      </c>
      <c r="AH223" s="64">
        <v>0</v>
      </c>
    </row>
    <row r="224" spans="3:34">
      <c r="F224" s="65">
        <v>2022</v>
      </c>
      <c r="G224" s="64">
        <v>694000</v>
      </c>
      <c r="H224" s="64">
        <v>694000.00000000012</v>
      </c>
      <c r="J224" s="64">
        <v>0</v>
      </c>
      <c r="K224" s="64">
        <v>0</v>
      </c>
      <c r="L224" s="64">
        <v>173500</v>
      </c>
      <c r="M224" s="64">
        <v>130472</v>
      </c>
      <c r="N224" s="64">
        <v>97853.999999999985</v>
      </c>
      <c r="O224" s="64">
        <v>72870</v>
      </c>
      <c r="P224" s="64">
        <v>54826</v>
      </c>
      <c r="Q224" s="64">
        <v>54826</v>
      </c>
      <c r="R224" s="64">
        <v>54826</v>
      </c>
      <c r="S224" s="64">
        <v>54826.000000000124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>
        <v>0</v>
      </c>
      <c r="AA224" s="64">
        <v>0</v>
      </c>
      <c r="AB224" s="64">
        <v>0</v>
      </c>
      <c r="AC224" s="64">
        <v>0</v>
      </c>
      <c r="AD224" s="64">
        <v>0</v>
      </c>
      <c r="AE224" s="64">
        <v>0</v>
      </c>
      <c r="AF224" s="64">
        <v>0</v>
      </c>
      <c r="AG224" s="64">
        <v>0</v>
      </c>
      <c r="AH224" s="64">
        <v>0</v>
      </c>
    </row>
    <row r="225" spans="6:34">
      <c r="F225" s="65">
        <v>2023</v>
      </c>
      <c r="G225" s="64">
        <v>604000</v>
      </c>
      <c r="H225" s="64">
        <v>604000.00000000012</v>
      </c>
      <c r="J225" s="64">
        <v>0</v>
      </c>
      <c r="K225" s="64">
        <v>0</v>
      </c>
      <c r="L225" s="64">
        <v>0</v>
      </c>
      <c r="M225" s="64">
        <v>151000</v>
      </c>
      <c r="N225" s="64">
        <v>113552</v>
      </c>
      <c r="O225" s="64">
        <v>85163.999999999985</v>
      </c>
      <c r="P225" s="64">
        <v>63420</v>
      </c>
      <c r="Q225" s="64">
        <v>47716</v>
      </c>
      <c r="R225" s="64">
        <v>47716</v>
      </c>
      <c r="S225" s="64">
        <v>47716</v>
      </c>
      <c r="T225" s="64">
        <v>47716.000000000109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>
        <v>0</v>
      </c>
      <c r="AA225" s="64">
        <v>0</v>
      </c>
      <c r="AB225" s="64">
        <v>0</v>
      </c>
      <c r="AC225" s="64">
        <v>0</v>
      </c>
      <c r="AD225" s="64">
        <v>0</v>
      </c>
      <c r="AE225" s="64">
        <v>0</v>
      </c>
      <c r="AF225" s="64">
        <v>0</v>
      </c>
      <c r="AG225" s="64">
        <v>0</v>
      </c>
      <c r="AH225" s="64">
        <v>0</v>
      </c>
    </row>
    <row r="226" spans="6:34">
      <c r="F226" s="65">
        <v>2024</v>
      </c>
      <c r="G226" s="64">
        <v>603000</v>
      </c>
      <c r="H226" s="64">
        <v>603000.00000000012</v>
      </c>
      <c r="J226" s="64">
        <v>0</v>
      </c>
      <c r="K226" s="64">
        <v>0</v>
      </c>
      <c r="L226" s="64">
        <v>0</v>
      </c>
      <c r="M226" s="64">
        <v>0</v>
      </c>
      <c r="N226" s="64">
        <v>150750</v>
      </c>
      <c r="O226" s="64">
        <v>113364</v>
      </c>
      <c r="P226" s="64">
        <v>85022.999999999985</v>
      </c>
      <c r="Q226" s="64">
        <v>63315</v>
      </c>
      <c r="R226" s="64">
        <v>47637</v>
      </c>
      <c r="S226" s="64">
        <v>47637</v>
      </c>
      <c r="T226" s="64">
        <v>47637</v>
      </c>
      <c r="U226" s="64">
        <v>47637.000000000109</v>
      </c>
      <c r="V226" s="64">
        <v>0</v>
      </c>
      <c r="W226" s="64">
        <v>0</v>
      </c>
      <c r="X226" s="64">
        <v>0</v>
      </c>
      <c r="Y226" s="64">
        <v>0</v>
      </c>
      <c r="Z226" s="64">
        <v>0</v>
      </c>
      <c r="AA226" s="64">
        <v>0</v>
      </c>
      <c r="AB226" s="64">
        <v>0</v>
      </c>
      <c r="AC226" s="64">
        <v>0</v>
      </c>
      <c r="AD226" s="64">
        <v>0</v>
      </c>
      <c r="AE226" s="64">
        <v>0</v>
      </c>
      <c r="AF226" s="64">
        <v>0</v>
      </c>
      <c r="AG226" s="64">
        <v>0</v>
      </c>
      <c r="AH226" s="64">
        <v>0</v>
      </c>
    </row>
    <row r="227" spans="6:34">
      <c r="F227" s="65">
        <v>2025</v>
      </c>
      <c r="G227" s="64">
        <v>1787000</v>
      </c>
      <c r="H227" s="64">
        <v>1787000.0000000002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446750</v>
      </c>
      <c r="P227" s="64">
        <v>335956</v>
      </c>
      <c r="Q227" s="64">
        <v>251966.99999999997</v>
      </c>
      <c r="R227" s="64">
        <v>187635</v>
      </c>
      <c r="S227" s="64">
        <v>141173</v>
      </c>
      <c r="T227" s="64">
        <v>141173</v>
      </c>
      <c r="U227" s="64">
        <v>141173</v>
      </c>
      <c r="V227" s="64">
        <v>141173.00000000032</v>
      </c>
      <c r="W227" s="64">
        <v>0</v>
      </c>
      <c r="X227" s="64">
        <v>0</v>
      </c>
      <c r="Y227" s="64">
        <v>0</v>
      </c>
      <c r="Z227" s="64">
        <v>0</v>
      </c>
      <c r="AA227" s="64">
        <v>0</v>
      </c>
      <c r="AB227" s="64">
        <v>0</v>
      </c>
      <c r="AC227" s="64">
        <v>0</v>
      </c>
      <c r="AD227" s="64">
        <v>0</v>
      </c>
      <c r="AE227" s="64">
        <v>0</v>
      </c>
      <c r="AF227" s="64">
        <v>0</v>
      </c>
      <c r="AG227" s="64">
        <v>0</v>
      </c>
      <c r="AH227" s="64">
        <v>0</v>
      </c>
    </row>
    <row r="228" spans="6:34">
      <c r="F228" s="65">
        <v>2026</v>
      </c>
      <c r="G228" s="64">
        <v>135000</v>
      </c>
      <c r="H228" s="64">
        <v>135000.00000000003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33750</v>
      </c>
      <c r="Q228" s="64">
        <v>25380</v>
      </c>
      <c r="R228" s="64">
        <v>19034.999999999996</v>
      </c>
      <c r="S228" s="64">
        <v>14175</v>
      </c>
      <c r="T228" s="64">
        <v>10665</v>
      </c>
      <c r="U228" s="64">
        <v>10665</v>
      </c>
      <c r="V228" s="64">
        <v>10665</v>
      </c>
      <c r="W228" s="64">
        <v>10665.000000000024</v>
      </c>
      <c r="X228" s="64">
        <v>0</v>
      </c>
      <c r="Y228" s="64">
        <v>0</v>
      </c>
      <c r="Z228" s="64">
        <v>0</v>
      </c>
      <c r="AA228" s="64">
        <v>0</v>
      </c>
      <c r="AB228" s="64">
        <v>0</v>
      </c>
      <c r="AC228" s="64">
        <v>0</v>
      </c>
      <c r="AD228" s="64">
        <v>0</v>
      </c>
      <c r="AE228" s="64">
        <v>0</v>
      </c>
      <c r="AF228" s="64">
        <v>0</v>
      </c>
      <c r="AG228" s="64">
        <v>0</v>
      </c>
      <c r="AH228" s="64">
        <v>0</v>
      </c>
    </row>
    <row r="229" spans="6:34">
      <c r="F229" s="65">
        <v>2027</v>
      </c>
      <c r="G229" s="64">
        <v>1074000</v>
      </c>
      <c r="H229" s="64">
        <v>1074000.0000000002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268500</v>
      </c>
      <c r="R229" s="64">
        <v>201912</v>
      </c>
      <c r="S229" s="64">
        <v>151434</v>
      </c>
      <c r="T229" s="64">
        <v>112770</v>
      </c>
      <c r="U229" s="64">
        <v>84846</v>
      </c>
      <c r="V229" s="64">
        <v>84846</v>
      </c>
      <c r="W229" s="64">
        <v>84846</v>
      </c>
      <c r="X229" s="64">
        <v>84846.000000000189</v>
      </c>
      <c r="Y229" s="64">
        <v>0</v>
      </c>
      <c r="Z229" s="64">
        <v>0</v>
      </c>
      <c r="AA229" s="64">
        <v>0</v>
      </c>
      <c r="AB229" s="64">
        <v>0</v>
      </c>
      <c r="AC229" s="64">
        <v>0</v>
      </c>
      <c r="AD229" s="64">
        <v>0</v>
      </c>
      <c r="AE229" s="64">
        <v>0</v>
      </c>
      <c r="AF229" s="64">
        <v>0</v>
      </c>
      <c r="AG229" s="64">
        <v>0</v>
      </c>
      <c r="AH229" s="64">
        <v>0</v>
      </c>
    </row>
    <row r="230" spans="6:34">
      <c r="F230" s="65">
        <v>2028</v>
      </c>
      <c r="G230" s="64">
        <v>1315000</v>
      </c>
      <c r="H230" s="64">
        <v>1315000.0000000002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328750</v>
      </c>
      <c r="S230" s="64">
        <v>247220</v>
      </c>
      <c r="T230" s="64">
        <v>185414.99999999997</v>
      </c>
      <c r="U230" s="64">
        <v>138075</v>
      </c>
      <c r="V230" s="64">
        <v>103885</v>
      </c>
      <c r="W230" s="64">
        <v>103885</v>
      </c>
      <c r="X230" s="64">
        <v>103885</v>
      </c>
      <c r="Y230" s="64">
        <v>103885.00000000023</v>
      </c>
      <c r="Z230" s="64">
        <v>0</v>
      </c>
      <c r="AA230" s="64">
        <v>0</v>
      </c>
      <c r="AB230" s="64">
        <v>0</v>
      </c>
      <c r="AC230" s="64">
        <v>0</v>
      </c>
      <c r="AD230" s="64">
        <v>0</v>
      </c>
      <c r="AE230" s="64">
        <v>0</v>
      </c>
      <c r="AF230" s="64">
        <v>0</v>
      </c>
      <c r="AG230" s="64">
        <v>0</v>
      </c>
      <c r="AH230" s="64">
        <v>0</v>
      </c>
    </row>
    <row r="231" spans="6:34">
      <c r="F231" s="65">
        <v>2029</v>
      </c>
      <c r="G231" s="64">
        <v>1164000</v>
      </c>
      <c r="H231" s="64">
        <v>1164000.0000000002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291000</v>
      </c>
      <c r="T231" s="64">
        <v>218832</v>
      </c>
      <c r="U231" s="64">
        <v>164123.99999999997</v>
      </c>
      <c r="V231" s="64">
        <v>122220</v>
      </c>
      <c r="W231" s="64">
        <v>91956</v>
      </c>
      <c r="X231" s="64">
        <v>91956</v>
      </c>
      <c r="Y231" s="64">
        <v>91956</v>
      </c>
      <c r="Z231" s="64">
        <v>91956.000000000204</v>
      </c>
      <c r="AA231" s="64">
        <v>0</v>
      </c>
      <c r="AB231" s="64">
        <v>0</v>
      </c>
      <c r="AC231" s="64">
        <v>0</v>
      </c>
      <c r="AD231" s="64">
        <v>0</v>
      </c>
      <c r="AE231" s="64">
        <v>0</v>
      </c>
      <c r="AF231" s="64">
        <v>0</v>
      </c>
      <c r="AG231" s="64">
        <v>0</v>
      </c>
      <c r="AH231" s="64">
        <v>0</v>
      </c>
    </row>
    <row r="232" spans="6:34">
      <c r="F232" s="65">
        <v>2030</v>
      </c>
      <c r="G232" s="64">
        <v>2276000</v>
      </c>
      <c r="H232" s="64">
        <v>2276000.0000000005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569000</v>
      </c>
      <c r="U232" s="64">
        <v>427888</v>
      </c>
      <c r="V232" s="64">
        <v>320915.99999999994</v>
      </c>
      <c r="W232" s="64">
        <v>238980</v>
      </c>
      <c r="X232" s="64">
        <v>179804</v>
      </c>
      <c r="Y232" s="64">
        <v>179804</v>
      </c>
      <c r="Z232" s="64">
        <v>179804</v>
      </c>
      <c r="AA232" s="64">
        <v>179804.00000000041</v>
      </c>
      <c r="AB232" s="64">
        <v>0</v>
      </c>
      <c r="AC232" s="64">
        <v>0</v>
      </c>
      <c r="AD232" s="64">
        <v>0</v>
      </c>
      <c r="AE232" s="64">
        <v>0</v>
      </c>
      <c r="AF232" s="64">
        <v>0</v>
      </c>
      <c r="AG232" s="64">
        <v>0</v>
      </c>
      <c r="AH232" s="64">
        <v>0</v>
      </c>
    </row>
    <row r="233" spans="6:34">
      <c r="F233" s="65">
        <v>2031</v>
      </c>
      <c r="G233" s="64">
        <v>387000</v>
      </c>
      <c r="H233" s="64">
        <v>387000.00000000006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96750</v>
      </c>
      <c r="V233" s="64">
        <v>72756</v>
      </c>
      <c r="W233" s="64">
        <v>54566.999999999993</v>
      </c>
      <c r="X233" s="64">
        <v>40635</v>
      </c>
      <c r="Y233" s="64">
        <v>30573</v>
      </c>
      <c r="Z233" s="64">
        <v>30573</v>
      </c>
      <c r="AA233" s="64">
        <v>30573</v>
      </c>
      <c r="AB233" s="64">
        <v>30573.000000000069</v>
      </c>
      <c r="AC233" s="64">
        <v>0</v>
      </c>
      <c r="AD233" s="64">
        <v>0</v>
      </c>
      <c r="AE233" s="64">
        <v>0</v>
      </c>
      <c r="AF233" s="64">
        <v>0</v>
      </c>
      <c r="AG233" s="64">
        <v>0</v>
      </c>
      <c r="AH233" s="64">
        <v>0</v>
      </c>
    </row>
    <row r="234" spans="6:34">
      <c r="F234" s="65">
        <v>2032</v>
      </c>
      <c r="G234" s="64">
        <v>939000</v>
      </c>
      <c r="H234" s="64">
        <v>939000.00000000023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234750</v>
      </c>
      <c r="W234" s="64">
        <v>176532</v>
      </c>
      <c r="X234" s="64">
        <v>132399</v>
      </c>
      <c r="Y234" s="64">
        <v>98595</v>
      </c>
      <c r="Z234" s="64">
        <v>74181</v>
      </c>
      <c r="AA234" s="64">
        <v>74181</v>
      </c>
      <c r="AB234" s="64">
        <v>74181</v>
      </c>
      <c r="AC234" s="64">
        <v>74181.000000000175</v>
      </c>
      <c r="AD234" s="64">
        <v>0</v>
      </c>
      <c r="AE234" s="64">
        <v>0</v>
      </c>
      <c r="AF234" s="64">
        <v>0</v>
      </c>
      <c r="AG234" s="64">
        <v>0</v>
      </c>
      <c r="AH234" s="64">
        <v>0</v>
      </c>
    </row>
    <row r="235" spans="6:34">
      <c r="F235" s="65">
        <v>2033</v>
      </c>
      <c r="G235" s="64">
        <v>1038000</v>
      </c>
      <c r="H235" s="64">
        <v>1038000.0000000002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259500</v>
      </c>
      <c r="X235" s="64">
        <v>195144</v>
      </c>
      <c r="Y235" s="64">
        <v>146358</v>
      </c>
      <c r="Z235" s="64">
        <v>108990</v>
      </c>
      <c r="AA235" s="64">
        <v>82002</v>
      </c>
      <c r="AB235" s="64">
        <v>82002</v>
      </c>
      <c r="AC235" s="64">
        <v>82002</v>
      </c>
      <c r="AD235" s="64">
        <v>82002.000000000189</v>
      </c>
      <c r="AE235" s="64">
        <v>0</v>
      </c>
      <c r="AF235" s="64">
        <v>0</v>
      </c>
      <c r="AG235" s="64">
        <v>0</v>
      </c>
      <c r="AH235" s="64">
        <v>0</v>
      </c>
    </row>
    <row r="236" spans="6:34">
      <c r="F236" s="65">
        <v>2034</v>
      </c>
      <c r="G236" s="64">
        <v>1729000</v>
      </c>
      <c r="H236" s="64">
        <v>1729000.0000000002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432250</v>
      </c>
      <c r="Y236" s="64">
        <v>325052</v>
      </c>
      <c r="Z236" s="64">
        <v>243788.99999999997</v>
      </c>
      <c r="AA236" s="64">
        <v>181545</v>
      </c>
      <c r="AB236" s="64">
        <v>136591</v>
      </c>
      <c r="AC236" s="64">
        <v>136591</v>
      </c>
      <c r="AD236" s="64">
        <v>136591</v>
      </c>
      <c r="AE236" s="64">
        <v>136591.00000000032</v>
      </c>
      <c r="AF236" s="64">
        <v>0</v>
      </c>
      <c r="AG236" s="64">
        <v>0</v>
      </c>
      <c r="AH236" s="64">
        <v>0</v>
      </c>
    </row>
    <row r="237" spans="6:34">
      <c r="F237" s="65">
        <v>2035</v>
      </c>
      <c r="G237" s="64">
        <v>228000</v>
      </c>
      <c r="H237" s="64">
        <v>228000.00000000003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57000</v>
      </c>
      <c r="Z237" s="64">
        <v>42864</v>
      </c>
      <c r="AA237" s="64">
        <v>32147.999999999996</v>
      </c>
      <c r="AB237" s="64">
        <v>23940</v>
      </c>
      <c r="AC237" s="64">
        <v>18012</v>
      </c>
      <c r="AD237" s="64">
        <v>18012</v>
      </c>
      <c r="AE237" s="64">
        <v>18012</v>
      </c>
      <c r="AF237" s="64">
        <v>18012.00000000004</v>
      </c>
      <c r="AG237" s="64">
        <v>0</v>
      </c>
      <c r="AH237" s="64">
        <v>0</v>
      </c>
    </row>
    <row r="238" spans="6:34">
      <c r="F238" s="65">
        <v>2036</v>
      </c>
      <c r="G238" s="64">
        <v>2222000</v>
      </c>
      <c r="H238" s="64">
        <v>2222000.0000000005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>
        <v>555500</v>
      </c>
      <c r="AA238" s="64">
        <v>417736</v>
      </c>
      <c r="AB238" s="64">
        <v>313301.99999999994</v>
      </c>
      <c r="AC238" s="64">
        <v>233310</v>
      </c>
      <c r="AD238" s="64">
        <v>175538</v>
      </c>
      <c r="AE238" s="64">
        <v>175538</v>
      </c>
      <c r="AF238" s="64">
        <v>175538</v>
      </c>
      <c r="AG238" s="64">
        <v>175538.00000000041</v>
      </c>
      <c r="AH238" s="64">
        <v>0</v>
      </c>
    </row>
    <row r="239" spans="6:34">
      <c r="F239" s="65">
        <v>2037</v>
      </c>
      <c r="G239" s="64">
        <v>407000</v>
      </c>
      <c r="H239" s="64">
        <v>407000.00000000006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  <c r="Z239" s="64">
        <v>0</v>
      </c>
      <c r="AA239" s="64">
        <v>101750</v>
      </c>
      <c r="AB239" s="64">
        <v>76516</v>
      </c>
      <c r="AC239" s="64">
        <v>57386.999999999993</v>
      </c>
      <c r="AD239" s="64">
        <v>42735</v>
      </c>
      <c r="AE239" s="64">
        <v>32153</v>
      </c>
      <c r="AF239" s="64">
        <v>32153</v>
      </c>
      <c r="AG239" s="64">
        <v>32153</v>
      </c>
      <c r="AH239" s="64">
        <v>32153.000000000073</v>
      </c>
    </row>
    <row r="240" spans="6:34">
      <c r="F240" s="65">
        <v>2038</v>
      </c>
      <c r="G240" s="64">
        <v>594000</v>
      </c>
      <c r="H240" s="64">
        <v>547074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>
        <v>0</v>
      </c>
      <c r="AA240" s="64">
        <v>0</v>
      </c>
      <c r="AB240" s="64">
        <v>148500</v>
      </c>
      <c r="AC240" s="64">
        <v>111672</v>
      </c>
      <c r="AD240" s="64">
        <v>83753.999999999985</v>
      </c>
      <c r="AE240" s="64">
        <v>62370</v>
      </c>
      <c r="AF240" s="64">
        <v>46926</v>
      </c>
      <c r="AG240" s="64">
        <v>46926</v>
      </c>
      <c r="AH240" s="64">
        <v>46926</v>
      </c>
    </row>
    <row r="241" spans="3:34">
      <c r="F241" s="65">
        <v>2039</v>
      </c>
      <c r="G241" s="64">
        <v>1460000</v>
      </c>
      <c r="H241" s="64">
        <v>1229320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>
        <v>0</v>
      </c>
      <c r="AA241" s="64">
        <v>0</v>
      </c>
      <c r="AB241" s="64">
        <v>0</v>
      </c>
      <c r="AC241" s="64">
        <v>365000</v>
      </c>
      <c r="AD241" s="64">
        <v>274480</v>
      </c>
      <c r="AE241" s="64">
        <v>205859.99999999997</v>
      </c>
      <c r="AF241" s="64">
        <v>153300</v>
      </c>
      <c r="AG241" s="64">
        <v>115340</v>
      </c>
      <c r="AH241" s="64">
        <v>115340</v>
      </c>
    </row>
    <row r="242" spans="3:34">
      <c r="F242" s="65">
        <v>2040</v>
      </c>
      <c r="G242" s="64">
        <v>1332000</v>
      </c>
      <c r="H242" s="64">
        <v>1016316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>
        <v>0</v>
      </c>
      <c r="AA242" s="64">
        <v>0</v>
      </c>
      <c r="AB242" s="64">
        <v>0</v>
      </c>
      <c r="AC242" s="64">
        <v>0</v>
      </c>
      <c r="AD242" s="64">
        <v>333000</v>
      </c>
      <c r="AE242" s="64">
        <v>250416</v>
      </c>
      <c r="AF242" s="64">
        <v>187811.99999999997</v>
      </c>
      <c r="AG242" s="64">
        <v>139860</v>
      </c>
      <c r="AH242" s="64">
        <v>105228</v>
      </c>
    </row>
    <row r="243" spans="3:34">
      <c r="F243" s="65">
        <v>2041</v>
      </c>
      <c r="G243" s="64">
        <v>1368000</v>
      </c>
      <c r="H243" s="64">
        <v>935712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>
        <v>0</v>
      </c>
      <c r="AA243" s="64">
        <v>0</v>
      </c>
      <c r="AB243" s="64">
        <v>0</v>
      </c>
      <c r="AC243" s="64">
        <v>0</v>
      </c>
      <c r="AD243" s="64">
        <v>0</v>
      </c>
      <c r="AE243" s="64">
        <v>342000</v>
      </c>
      <c r="AF243" s="64">
        <v>257184</v>
      </c>
      <c r="AG243" s="64">
        <v>192887.99999999997</v>
      </c>
      <c r="AH243" s="64">
        <v>143640</v>
      </c>
    </row>
    <row r="244" spans="3:34">
      <c r="F244" s="65">
        <v>2042</v>
      </c>
      <c r="G244" s="64">
        <v>1485000</v>
      </c>
      <c r="H244" s="64">
        <v>859815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>
        <v>0</v>
      </c>
      <c r="AA244" s="64">
        <v>0</v>
      </c>
      <c r="AB244" s="64">
        <v>0</v>
      </c>
      <c r="AC244" s="64">
        <v>0</v>
      </c>
      <c r="AD244" s="64">
        <v>0</v>
      </c>
      <c r="AE244" s="64">
        <v>0</v>
      </c>
      <c r="AF244" s="64">
        <v>371250</v>
      </c>
      <c r="AG244" s="64">
        <v>279180</v>
      </c>
      <c r="AH244" s="64">
        <v>209384.99999999997</v>
      </c>
    </row>
    <row r="245" spans="3:34">
      <c r="F245" s="65">
        <v>2043</v>
      </c>
      <c r="G245" s="64">
        <v>875000</v>
      </c>
      <c r="H245" s="64">
        <v>383250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  <c r="Z245" s="64">
        <v>0</v>
      </c>
      <c r="AA245" s="64">
        <v>0</v>
      </c>
      <c r="AB245" s="64">
        <v>0</v>
      </c>
      <c r="AC245" s="64">
        <v>0</v>
      </c>
      <c r="AD245" s="64">
        <v>0</v>
      </c>
      <c r="AE245" s="64">
        <v>0</v>
      </c>
      <c r="AF245" s="64">
        <v>0</v>
      </c>
      <c r="AG245" s="64">
        <v>218750</v>
      </c>
      <c r="AH245" s="64">
        <v>164500</v>
      </c>
    </row>
    <row r="246" spans="3:34">
      <c r="F246" s="65">
        <v>2044</v>
      </c>
      <c r="G246" s="64">
        <v>1640000</v>
      </c>
      <c r="H246" s="64">
        <v>410000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>
        <v>0</v>
      </c>
      <c r="AA246" s="64">
        <v>0</v>
      </c>
      <c r="AB246" s="64">
        <v>0</v>
      </c>
      <c r="AC246" s="64">
        <v>0</v>
      </c>
      <c r="AD246" s="64">
        <v>0</v>
      </c>
      <c r="AE246" s="64">
        <v>0</v>
      </c>
      <c r="AF246" s="64">
        <v>0</v>
      </c>
      <c r="AG246" s="64">
        <v>0</v>
      </c>
      <c r="AH246" s="64">
        <v>410000</v>
      </c>
    </row>
    <row r="247" spans="3:34">
      <c r="J247" s="69" cm="1">
        <f t="array" ref="J247:AH247">_xlfn.BYCOL(_xlfn.ANCHORARRAY( J222), _xleta.SUM )</f>
        <v>479250</v>
      </c>
      <c r="K247" s="69">
        <v>499646</v>
      </c>
      <c r="L247" s="69">
        <v>548513</v>
      </c>
      <c r="M247" s="69">
        <v>561294</v>
      </c>
      <c r="N247" s="69">
        <v>572084</v>
      </c>
      <c r="O247" s="69">
        <v>913594</v>
      </c>
      <c r="P247" s="69">
        <v>768421</v>
      </c>
      <c r="Q247" s="69">
        <v>907150.00000000035</v>
      </c>
      <c r="R247" s="69">
        <v>931514.00000000012</v>
      </c>
      <c r="S247" s="69">
        <v>995181.00000000012</v>
      </c>
      <c r="T247" s="69">
        <v>1333208</v>
      </c>
      <c r="U247" s="69">
        <v>1111158</v>
      </c>
      <c r="V247" s="69">
        <v>1091211.0000000002</v>
      </c>
      <c r="W247" s="69">
        <v>1020931</v>
      </c>
      <c r="X247" s="69">
        <v>1260919.0000000002</v>
      </c>
      <c r="Y247" s="69">
        <v>1033223.0000000002</v>
      </c>
      <c r="Z247" s="69">
        <v>1327657.0000000002</v>
      </c>
      <c r="AA247" s="69">
        <v>1099739.0000000005</v>
      </c>
      <c r="AB247" s="69">
        <v>885605</v>
      </c>
      <c r="AC247" s="69">
        <v>1078155.0000000002</v>
      </c>
      <c r="AD247" s="69">
        <v>1146112</v>
      </c>
      <c r="AE247" s="69">
        <v>1222940.0000000005</v>
      </c>
      <c r="AF247" s="69">
        <v>1242175</v>
      </c>
      <c r="AG247" s="69">
        <v>1200635.0000000005</v>
      </c>
      <c r="AH247" s="69">
        <v>1227172</v>
      </c>
    </row>
    <row r="250" spans="3:34">
      <c r="C250" s="68" t="s">
        <v>73</v>
      </c>
    </row>
    <row r="251" spans="3:34">
      <c r="F251" s="64" t="s">
        <v>69</v>
      </c>
      <c r="G251" s="64" t="s">
        <v>70</v>
      </c>
      <c r="J251" s="71" cm="1">
        <f t="array" ref="J251:AH251">_xlfn.ANCHORARRAY($J$3)</f>
        <v>43861</v>
      </c>
      <c r="K251" s="71">
        <v>44227</v>
      </c>
      <c r="L251" s="71">
        <v>44592</v>
      </c>
      <c r="M251" s="71">
        <v>44957</v>
      </c>
      <c r="N251" s="71">
        <v>45322</v>
      </c>
      <c r="O251" s="71">
        <v>45688</v>
      </c>
      <c r="P251" s="71">
        <v>46053</v>
      </c>
      <c r="Q251" s="71">
        <v>46418</v>
      </c>
      <c r="R251" s="71">
        <v>46783</v>
      </c>
      <c r="S251" s="71">
        <v>47149</v>
      </c>
      <c r="T251" s="71">
        <v>47514</v>
      </c>
      <c r="U251" s="71">
        <v>47879</v>
      </c>
      <c r="V251" s="71">
        <v>48244</v>
      </c>
      <c r="W251" s="71">
        <v>48610</v>
      </c>
      <c r="X251" s="71">
        <v>48975</v>
      </c>
      <c r="Y251" s="71">
        <v>49340</v>
      </c>
      <c r="Z251" s="71">
        <v>49705</v>
      </c>
      <c r="AA251" s="71">
        <v>50071</v>
      </c>
      <c r="AB251" s="71">
        <v>50436</v>
      </c>
      <c r="AC251" s="71">
        <v>50801</v>
      </c>
      <c r="AD251" s="71">
        <v>51166</v>
      </c>
      <c r="AE251" s="71">
        <v>51532</v>
      </c>
      <c r="AF251" s="71">
        <v>51897</v>
      </c>
      <c r="AG251" s="71">
        <v>52262</v>
      </c>
      <c r="AH251" s="71">
        <v>52627</v>
      </c>
    </row>
    <row r="252" spans="3:34">
      <c r="F252" s="65" cm="1">
        <f t="array" ref="F252:G276" xml:space="preserve"> _xlfn.LET(
      _xlpm.assets,_xlfn.ANCHORARRAY(       $E$7),
      _xlpm.mid_term,     INDEX( _xlpm.assets,, 3 ),
      _xlpm.acq_date,     INDEX( _xlpm.assets,, 1 ),
      _xlfn.DROP( _xlfn.HSTACK( _xlpm.acq_date, _xlpm.mid_term ), 1 ) )</f>
        <v>2020</v>
      </c>
      <c r="G252" s="64">
        <v>1917000</v>
      </c>
      <c r="H252" s="64" cm="1">
        <f t="array" ref="H252:H276">_xlfn.BYROW(_xlfn.ANCHORARRAY( J252), _xleta.SUM )</f>
        <v>1917000</v>
      </c>
      <c r="J252" s="70" cm="1">
        <f t="array" ref="J252:AH276" xml:space="preserve"> _xlfn.LET(
     _xlpm.acquisition_date,    INDEX(_xlfn.ANCHORARRAY( F252),, 1 ),
     _xlpm.acquisition_cost,    INDEX(_xlfn.ANCHORARRAY( F252),, 2 ),
     _xlpm.current_date,_xlfn.ANCHORARRAY(        $J$3),
     _xlpm.period,              YEAR( _xlpm.current_date ) - _xlpm.acquisition_date + 1,
     _xlpm.useful_life,         CaseData!$H$35,
     _xlpm.useful_life_digit,   CaseData!$E$64:$T$64,
     _xlpm.useful_life_year,    CaseData!$D$66:$D$85,
     _xlpm.useful_life_percent, CaseData!$E$66:$T$85,
     _xlpm.rate,                INDEX( _xlpm.useful_life_percent, MATCH( _xlpm.period, _xlpm.useful_life_year, 0 ), MATCH( _xlpm.useful_life, _xlpm.useful_life_digit, 0 ) ),
     IFERROR( IF( _xlpm.period &lt; 0, 0, _xlpm.acquisition_cost * _xlpm.rate ), 0 ) )</f>
        <v>426000</v>
      </c>
      <c r="K252" s="64">
        <v>372750</v>
      </c>
      <c r="L252" s="64">
        <v>319500</v>
      </c>
      <c r="M252" s="64">
        <v>266250</v>
      </c>
      <c r="N252" s="64">
        <v>213000</v>
      </c>
      <c r="O252" s="64">
        <v>159750</v>
      </c>
      <c r="P252" s="64">
        <v>106500</v>
      </c>
      <c r="Q252" s="64">
        <v>53250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>
        <v>0</v>
      </c>
      <c r="AA252" s="64">
        <v>0</v>
      </c>
      <c r="AB252" s="64">
        <v>0</v>
      </c>
      <c r="AC252" s="64">
        <v>0</v>
      </c>
      <c r="AD252" s="64">
        <v>0</v>
      </c>
      <c r="AE252" s="64">
        <v>0</v>
      </c>
      <c r="AF252" s="64">
        <v>0</v>
      </c>
      <c r="AG252" s="64">
        <v>0</v>
      </c>
      <c r="AH252" s="64">
        <v>0</v>
      </c>
    </row>
    <row r="253" spans="3:34">
      <c r="F253" s="65">
        <v>2021</v>
      </c>
      <c r="G253" s="64">
        <v>557000</v>
      </c>
      <c r="H253" s="64">
        <v>557000</v>
      </c>
      <c r="J253" s="64">
        <v>0</v>
      </c>
      <c r="K253" s="64">
        <v>123777.77777777777</v>
      </c>
      <c r="L253" s="64">
        <v>108305.55555555556</v>
      </c>
      <c r="M253" s="64">
        <v>92833.333333333328</v>
      </c>
      <c r="N253" s="64">
        <v>77361.111111111109</v>
      </c>
      <c r="O253" s="64">
        <v>61888.888888888883</v>
      </c>
      <c r="P253" s="64">
        <v>46416.666666666664</v>
      </c>
      <c r="Q253" s="64">
        <v>30944.444444444442</v>
      </c>
      <c r="R253" s="64">
        <v>15472.222222222221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>
        <v>0</v>
      </c>
      <c r="AA253" s="64">
        <v>0</v>
      </c>
      <c r="AB253" s="64">
        <v>0</v>
      </c>
      <c r="AC253" s="64">
        <v>0</v>
      </c>
      <c r="AD253" s="64">
        <v>0</v>
      </c>
      <c r="AE253" s="64">
        <v>0</v>
      </c>
      <c r="AF253" s="64">
        <v>0</v>
      </c>
      <c r="AG253" s="64">
        <v>0</v>
      </c>
      <c r="AH253" s="64">
        <v>0</v>
      </c>
    </row>
    <row r="254" spans="3:34">
      <c r="F254" s="65">
        <v>2022</v>
      </c>
      <c r="G254" s="64">
        <v>694000</v>
      </c>
      <c r="H254" s="64">
        <v>693999.99999999988</v>
      </c>
      <c r="J254" s="64">
        <v>0</v>
      </c>
      <c r="K254" s="64">
        <v>0</v>
      </c>
      <c r="L254" s="64">
        <v>154222.22222222222</v>
      </c>
      <c r="M254" s="64">
        <v>134944.44444444444</v>
      </c>
      <c r="N254" s="64">
        <v>115666.66666666666</v>
      </c>
      <c r="O254" s="64">
        <v>96388.888888888891</v>
      </c>
      <c r="P254" s="64">
        <v>77111.111111111109</v>
      </c>
      <c r="Q254" s="64">
        <v>57833.333333333328</v>
      </c>
      <c r="R254" s="64">
        <v>38555.555555555555</v>
      </c>
      <c r="S254" s="64">
        <v>19277.777777777777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>
        <v>0</v>
      </c>
      <c r="AA254" s="64">
        <v>0</v>
      </c>
      <c r="AB254" s="64">
        <v>0</v>
      </c>
      <c r="AC254" s="64">
        <v>0</v>
      </c>
      <c r="AD254" s="64">
        <v>0</v>
      </c>
      <c r="AE254" s="64">
        <v>0</v>
      </c>
      <c r="AF254" s="64">
        <v>0</v>
      </c>
      <c r="AG254" s="64">
        <v>0</v>
      </c>
      <c r="AH254" s="64">
        <v>0</v>
      </c>
    </row>
    <row r="255" spans="3:34">
      <c r="F255" s="65">
        <v>2023</v>
      </c>
      <c r="G255" s="64">
        <v>604000</v>
      </c>
      <c r="H255" s="64">
        <v>604000</v>
      </c>
      <c r="J255" s="64">
        <v>0</v>
      </c>
      <c r="K255" s="64">
        <v>0</v>
      </c>
      <c r="L255" s="64">
        <v>0</v>
      </c>
      <c r="M255" s="64">
        <v>134222.22222222222</v>
      </c>
      <c r="N255" s="64">
        <v>117444.44444444445</v>
      </c>
      <c r="O255" s="64">
        <v>100666.66666666666</v>
      </c>
      <c r="P255" s="64">
        <v>83888.888888888891</v>
      </c>
      <c r="Q255" s="64">
        <v>67111.111111111109</v>
      </c>
      <c r="R255" s="64">
        <v>50333.333333333328</v>
      </c>
      <c r="S255" s="64">
        <v>33555.555555555555</v>
      </c>
      <c r="T255" s="64">
        <v>16777.777777777777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>
        <v>0</v>
      </c>
      <c r="AA255" s="64">
        <v>0</v>
      </c>
      <c r="AB255" s="64">
        <v>0</v>
      </c>
      <c r="AC255" s="64">
        <v>0</v>
      </c>
      <c r="AD255" s="64">
        <v>0</v>
      </c>
      <c r="AE255" s="64">
        <v>0</v>
      </c>
      <c r="AF255" s="64">
        <v>0</v>
      </c>
      <c r="AG255" s="64">
        <v>0</v>
      </c>
      <c r="AH255" s="64">
        <v>0</v>
      </c>
    </row>
    <row r="256" spans="3:34">
      <c r="F256" s="65">
        <v>2024</v>
      </c>
      <c r="G256" s="64">
        <v>603000</v>
      </c>
      <c r="H256" s="64">
        <v>603000</v>
      </c>
      <c r="J256" s="64">
        <v>0</v>
      </c>
      <c r="K256" s="64">
        <v>0</v>
      </c>
      <c r="L256" s="64">
        <v>0</v>
      </c>
      <c r="M256" s="64">
        <v>0</v>
      </c>
      <c r="N256" s="64">
        <v>134000</v>
      </c>
      <c r="O256" s="64">
        <v>117250</v>
      </c>
      <c r="P256" s="64">
        <v>100500</v>
      </c>
      <c r="Q256" s="64">
        <v>83750</v>
      </c>
      <c r="R256" s="64">
        <v>67000</v>
      </c>
      <c r="S256" s="64">
        <v>50250</v>
      </c>
      <c r="T256" s="64">
        <v>33500</v>
      </c>
      <c r="U256" s="64">
        <v>16750</v>
      </c>
      <c r="V256" s="64">
        <v>0</v>
      </c>
      <c r="W256" s="64">
        <v>0</v>
      </c>
      <c r="X256" s="64">
        <v>0</v>
      </c>
      <c r="Y256" s="64">
        <v>0</v>
      </c>
      <c r="Z256" s="64">
        <v>0</v>
      </c>
      <c r="AA256" s="64">
        <v>0</v>
      </c>
      <c r="AB256" s="64">
        <v>0</v>
      </c>
      <c r="AC256" s="64">
        <v>0</v>
      </c>
      <c r="AD256" s="64">
        <v>0</v>
      </c>
      <c r="AE256" s="64">
        <v>0</v>
      </c>
      <c r="AF256" s="64">
        <v>0</v>
      </c>
      <c r="AG256" s="64">
        <v>0</v>
      </c>
      <c r="AH256" s="64">
        <v>0</v>
      </c>
    </row>
    <row r="257" spans="6:34">
      <c r="F257" s="65">
        <v>2025</v>
      </c>
      <c r="G257" s="64">
        <v>1787000</v>
      </c>
      <c r="H257" s="64">
        <v>1787000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397111.11111111107</v>
      </c>
      <c r="P257" s="64">
        <v>347472.22222222225</v>
      </c>
      <c r="Q257" s="64">
        <v>297833.33333333331</v>
      </c>
      <c r="R257" s="64">
        <v>248194.44444444447</v>
      </c>
      <c r="S257" s="64">
        <v>198555.55555555553</v>
      </c>
      <c r="T257" s="64">
        <v>148916.66666666666</v>
      </c>
      <c r="U257" s="64">
        <v>99277.777777777766</v>
      </c>
      <c r="V257" s="64">
        <v>49638.888888888883</v>
      </c>
      <c r="W257" s="64">
        <v>0</v>
      </c>
      <c r="X257" s="64">
        <v>0</v>
      </c>
      <c r="Y257" s="64">
        <v>0</v>
      </c>
      <c r="Z257" s="64">
        <v>0</v>
      </c>
      <c r="AA257" s="64">
        <v>0</v>
      </c>
      <c r="AB257" s="64">
        <v>0</v>
      </c>
      <c r="AC257" s="64">
        <v>0</v>
      </c>
      <c r="AD257" s="64">
        <v>0</v>
      </c>
      <c r="AE257" s="64">
        <v>0</v>
      </c>
      <c r="AF257" s="64">
        <v>0</v>
      </c>
      <c r="AG257" s="64">
        <v>0</v>
      </c>
      <c r="AH257" s="64">
        <v>0</v>
      </c>
    </row>
    <row r="258" spans="6:34">
      <c r="F258" s="65">
        <v>2026</v>
      </c>
      <c r="G258" s="64">
        <v>135000</v>
      </c>
      <c r="H258" s="64">
        <v>135000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30000</v>
      </c>
      <c r="Q258" s="64">
        <v>26250</v>
      </c>
      <c r="R258" s="64">
        <v>22500</v>
      </c>
      <c r="S258" s="64">
        <v>18750</v>
      </c>
      <c r="T258" s="64">
        <v>15000</v>
      </c>
      <c r="U258" s="64">
        <v>11250</v>
      </c>
      <c r="V258" s="64">
        <v>7500</v>
      </c>
      <c r="W258" s="64">
        <v>3750</v>
      </c>
      <c r="X258" s="64">
        <v>0</v>
      </c>
      <c r="Y258" s="64">
        <v>0</v>
      </c>
      <c r="Z258" s="64">
        <v>0</v>
      </c>
      <c r="AA258" s="64">
        <v>0</v>
      </c>
      <c r="AB258" s="64">
        <v>0</v>
      </c>
      <c r="AC258" s="64">
        <v>0</v>
      </c>
      <c r="AD258" s="64">
        <v>0</v>
      </c>
      <c r="AE258" s="64">
        <v>0</v>
      </c>
      <c r="AF258" s="64">
        <v>0</v>
      </c>
      <c r="AG258" s="64">
        <v>0</v>
      </c>
      <c r="AH258" s="64">
        <v>0</v>
      </c>
    </row>
    <row r="259" spans="6:34">
      <c r="F259" s="65">
        <v>2027</v>
      </c>
      <c r="G259" s="64">
        <v>1074000</v>
      </c>
      <c r="H259" s="64">
        <v>1074000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238666.66666666666</v>
      </c>
      <c r="R259" s="64">
        <v>208833.33333333334</v>
      </c>
      <c r="S259" s="64">
        <v>179000</v>
      </c>
      <c r="T259" s="64">
        <v>149166.66666666669</v>
      </c>
      <c r="U259" s="64">
        <v>119333.33333333333</v>
      </c>
      <c r="V259" s="64">
        <v>89500</v>
      </c>
      <c r="W259" s="64">
        <v>59666.666666666664</v>
      </c>
      <c r="X259" s="64">
        <v>29833.333333333332</v>
      </c>
      <c r="Y259" s="64">
        <v>0</v>
      </c>
      <c r="Z259" s="64">
        <v>0</v>
      </c>
      <c r="AA259" s="64">
        <v>0</v>
      </c>
      <c r="AB259" s="64">
        <v>0</v>
      </c>
      <c r="AC259" s="64">
        <v>0</v>
      </c>
      <c r="AD259" s="64">
        <v>0</v>
      </c>
      <c r="AE259" s="64">
        <v>0</v>
      </c>
      <c r="AF259" s="64">
        <v>0</v>
      </c>
      <c r="AG259" s="64">
        <v>0</v>
      </c>
      <c r="AH259" s="64">
        <v>0</v>
      </c>
    </row>
    <row r="260" spans="6:34">
      <c r="F260" s="65">
        <v>2028</v>
      </c>
      <c r="G260" s="64">
        <v>1315000</v>
      </c>
      <c r="H260" s="64">
        <v>1314999.9999999998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292222.22222222219</v>
      </c>
      <c r="S260" s="64">
        <v>255694.44444444444</v>
      </c>
      <c r="T260" s="64">
        <v>219166.66666666666</v>
      </c>
      <c r="U260" s="64">
        <v>182638.88888888891</v>
      </c>
      <c r="V260" s="64">
        <v>146111.11111111109</v>
      </c>
      <c r="W260" s="64">
        <v>109583.33333333333</v>
      </c>
      <c r="X260" s="64">
        <v>73055.555555555547</v>
      </c>
      <c r="Y260" s="64">
        <v>36527.777777777774</v>
      </c>
      <c r="Z260" s="64">
        <v>0</v>
      </c>
      <c r="AA260" s="64">
        <v>0</v>
      </c>
      <c r="AB260" s="64">
        <v>0</v>
      </c>
      <c r="AC260" s="64">
        <v>0</v>
      </c>
      <c r="AD260" s="64">
        <v>0</v>
      </c>
      <c r="AE260" s="64">
        <v>0</v>
      </c>
      <c r="AF260" s="64">
        <v>0</v>
      </c>
      <c r="AG260" s="64">
        <v>0</v>
      </c>
      <c r="AH260" s="64">
        <v>0</v>
      </c>
    </row>
    <row r="261" spans="6:34">
      <c r="F261" s="65">
        <v>2029</v>
      </c>
      <c r="G261" s="64">
        <v>1164000</v>
      </c>
      <c r="H261" s="64">
        <v>1164000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258666.66666666666</v>
      </c>
      <c r="T261" s="64">
        <v>226333.33333333334</v>
      </c>
      <c r="U261" s="64">
        <v>194000</v>
      </c>
      <c r="V261" s="64">
        <v>161666.66666666669</v>
      </c>
      <c r="W261" s="64">
        <v>129333.33333333333</v>
      </c>
      <c r="X261" s="64">
        <v>97000</v>
      </c>
      <c r="Y261" s="64">
        <v>64666.666666666664</v>
      </c>
      <c r="Z261" s="64">
        <v>32333.333333333332</v>
      </c>
      <c r="AA261" s="64">
        <v>0</v>
      </c>
      <c r="AB261" s="64">
        <v>0</v>
      </c>
      <c r="AC261" s="64">
        <v>0</v>
      </c>
      <c r="AD261" s="64">
        <v>0</v>
      </c>
      <c r="AE261" s="64">
        <v>0</v>
      </c>
      <c r="AF261" s="64">
        <v>0</v>
      </c>
      <c r="AG261" s="64">
        <v>0</v>
      </c>
      <c r="AH261" s="64">
        <v>0</v>
      </c>
    </row>
    <row r="262" spans="6:34">
      <c r="F262" s="65">
        <v>2030</v>
      </c>
      <c r="G262" s="64">
        <v>2276000</v>
      </c>
      <c r="H262" s="64">
        <v>2275999.9999999995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505777.77777777775</v>
      </c>
      <c r="U262" s="64">
        <v>442555.55555555556</v>
      </c>
      <c r="V262" s="64">
        <v>379333.33333333331</v>
      </c>
      <c r="W262" s="64">
        <v>316111.11111111112</v>
      </c>
      <c r="X262" s="64">
        <v>252888.88888888888</v>
      </c>
      <c r="Y262" s="64">
        <v>189666.66666666666</v>
      </c>
      <c r="Z262" s="64">
        <v>126444.44444444444</v>
      </c>
      <c r="AA262" s="64">
        <v>63222.222222222219</v>
      </c>
      <c r="AB262" s="64">
        <v>0</v>
      </c>
      <c r="AC262" s="64">
        <v>0</v>
      </c>
      <c r="AD262" s="64">
        <v>0</v>
      </c>
      <c r="AE262" s="64">
        <v>0</v>
      </c>
      <c r="AF262" s="64">
        <v>0</v>
      </c>
      <c r="AG262" s="64">
        <v>0</v>
      </c>
      <c r="AH262" s="64">
        <v>0</v>
      </c>
    </row>
    <row r="263" spans="6:34">
      <c r="F263" s="65">
        <v>2031</v>
      </c>
      <c r="G263" s="64">
        <v>387000</v>
      </c>
      <c r="H263" s="64">
        <v>387000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86000</v>
      </c>
      <c r="V263" s="64">
        <v>75250</v>
      </c>
      <c r="W263" s="64">
        <v>64500</v>
      </c>
      <c r="X263" s="64">
        <v>53750</v>
      </c>
      <c r="Y263" s="64">
        <v>43000</v>
      </c>
      <c r="Z263" s="64">
        <v>32250</v>
      </c>
      <c r="AA263" s="64">
        <v>21500</v>
      </c>
      <c r="AB263" s="64">
        <v>10750</v>
      </c>
      <c r="AC263" s="64">
        <v>0</v>
      </c>
      <c r="AD263" s="64">
        <v>0</v>
      </c>
      <c r="AE263" s="64">
        <v>0</v>
      </c>
      <c r="AF263" s="64">
        <v>0</v>
      </c>
      <c r="AG263" s="64">
        <v>0</v>
      </c>
      <c r="AH263" s="64">
        <v>0</v>
      </c>
    </row>
    <row r="264" spans="6:34">
      <c r="F264" s="65">
        <v>2032</v>
      </c>
      <c r="G264" s="64">
        <v>939000</v>
      </c>
      <c r="H264" s="64">
        <v>939000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208666.66666666666</v>
      </c>
      <c r="W264" s="64">
        <v>182583.33333333334</v>
      </c>
      <c r="X264" s="64">
        <v>156500</v>
      </c>
      <c r="Y264" s="64">
        <v>130416.66666666667</v>
      </c>
      <c r="Z264" s="64">
        <v>104333.33333333333</v>
      </c>
      <c r="AA264" s="64">
        <v>78250</v>
      </c>
      <c r="AB264" s="64">
        <v>52166.666666666664</v>
      </c>
      <c r="AC264" s="64">
        <v>26083.333333333332</v>
      </c>
      <c r="AD264" s="64">
        <v>0</v>
      </c>
      <c r="AE264" s="64">
        <v>0</v>
      </c>
      <c r="AF264" s="64">
        <v>0</v>
      </c>
      <c r="AG264" s="64">
        <v>0</v>
      </c>
      <c r="AH264" s="64">
        <v>0</v>
      </c>
    </row>
    <row r="265" spans="6:34">
      <c r="F265" s="65">
        <v>2033</v>
      </c>
      <c r="G265" s="64">
        <v>1038000</v>
      </c>
      <c r="H265" s="64">
        <v>1038000.0000000001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230666.66666666666</v>
      </c>
      <c r="X265" s="64">
        <v>201833.33333333334</v>
      </c>
      <c r="Y265" s="64">
        <v>173000</v>
      </c>
      <c r="Z265" s="64">
        <v>144166.66666666669</v>
      </c>
      <c r="AA265" s="64">
        <v>115333.33333333333</v>
      </c>
      <c r="AB265" s="64">
        <v>86500</v>
      </c>
      <c r="AC265" s="64">
        <v>57666.666666666664</v>
      </c>
      <c r="AD265" s="64">
        <v>28833.333333333332</v>
      </c>
      <c r="AE265" s="64">
        <v>0</v>
      </c>
      <c r="AF265" s="64">
        <v>0</v>
      </c>
      <c r="AG265" s="64">
        <v>0</v>
      </c>
      <c r="AH265" s="64">
        <v>0</v>
      </c>
    </row>
    <row r="266" spans="6:34">
      <c r="F266" s="65">
        <v>2034</v>
      </c>
      <c r="G266" s="64">
        <v>1729000</v>
      </c>
      <c r="H266" s="64">
        <v>1728999.9999999998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384222.22222222219</v>
      </c>
      <c r="Y266" s="64">
        <v>336194.44444444444</v>
      </c>
      <c r="Z266" s="64">
        <v>288166.66666666663</v>
      </c>
      <c r="AA266" s="64">
        <v>240138.88888888891</v>
      </c>
      <c r="AB266" s="64">
        <v>192111.11111111109</v>
      </c>
      <c r="AC266" s="64">
        <v>144083.33333333331</v>
      </c>
      <c r="AD266" s="64">
        <v>96055.555555555547</v>
      </c>
      <c r="AE266" s="64">
        <v>48027.777777777774</v>
      </c>
      <c r="AF266" s="64">
        <v>0</v>
      </c>
      <c r="AG266" s="64">
        <v>0</v>
      </c>
      <c r="AH266" s="64">
        <v>0</v>
      </c>
    </row>
    <row r="267" spans="6:34">
      <c r="F267" s="65">
        <v>2035</v>
      </c>
      <c r="G267" s="64">
        <v>228000</v>
      </c>
      <c r="H267" s="64">
        <v>228000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50666.666666666664</v>
      </c>
      <c r="Z267" s="64">
        <v>44333.333333333336</v>
      </c>
      <c r="AA267" s="64">
        <v>38000</v>
      </c>
      <c r="AB267" s="64">
        <v>31666.666666666668</v>
      </c>
      <c r="AC267" s="64">
        <v>25333.333333333332</v>
      </c>
      <c r="AD267" s="64">
        <v>19000</v>
      </c>
      <c r="AE267" s="64">
        <v>12666.666666666666</v>
      </c>
      <c r="AF267" s="64">
        <v>6333.333333333333</v>
      </c>
      <c r="AG267" s="64">
        <v>0</v>
      </c>
      <c r="AH267" s="64">
        <v>0</v>
      </c>
    </row>
    <row r="268" spans="6:34">
      <c r="F268" s="65">
        <v>2036</v>
      </c>
      <c r="G268" s="64">
        <v>2222000</v>
      </c>
      <c r="H268" s="64">
        <v>2221999.9999999995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  <c r="Z268" s="64">
        <v>493777.77777777775</v>
      </c>
      <c r="AA268" s="64">
        <v>432055.55555555556</v>
      </c>
      <c r="AB268" s="64">
        <v>370333.33333333331</v>
      </c>
      <c r="AC268" s="64">
        <v>308611.11111111112</v>
      </c>
      <c r="AD268" s="64">
        <v>246888.88888888888</v>
      </c>
      <c r="AE268" s="64">
        <v>185166.66666666666</v>
      </c>
      <c r="AF268" s="64">
        <v>123444.44444444444</v>
      </c>
      <c r="AG268" s="64">
        <v>61722.222222222219</v>
      </c>
      <c r="AH268" s="64">
        <v>0</v>
      </c>
    </row>
    <row r="269" spans="6:34">
      <c r="F269" s="65">
        <v>2037</v>
      </c>
      <c r="G269" s="64">
        <v>407000</v>
      </c>
      <c r="H269" s="64">
        <v>407000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  <c r="Z269" s="64">
        <v>0</v>
      </c>
      <c r="AA269" s="64">
        <v>90444.444444444438</v>
      </c>
      <c r="AB269" s="64">
        <v>79138.888888888891</v>
      </c>
      <c r="AC269" s="64">
        <v>67833.333333333328</v>
      </c>
      <c r="AD269" s="64">
        <v>56527.777777777781</v>
      </c>
      <c r="AE269" s="64">
        <v>45222.222222222219</v>
      </c>
      <c r="AF269" s="64">
        <v>33916.666666666664</v>
      </c>
      <c r="AG269" s="64">
        <v>22611.111111111109</v>
      </c>
      <c r="AH269" s="64">
        <v>11305.555555555555</v>
      </c>
    </row>
    <row r="270" spans="6:34">
      <c r="F270" s="65">
        <v>2038</v>
      </c>
      <c r="G270" s="64">
        <v>594000</v>
      </c>
      <c r="H270" s="64">
        <v>577500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  <c r="Z270" s="64">
        <v>0</v>
      </c>
      <c r="AA270" s="64">
        <v>0</v>
      </c>
      <c r="AB270" s="64">
        <v>132000</v>
      </c>
      <c r="AC270" s="64">
        <v>115500</v>
      </c>
      <c r="AD270" s="64">
        <v>99000</v>
      </c>
      <c r="AE270" s="64">
        <v>82500</v>
      </c>
      <c r="AF270" s="64">
        <v>66000</v>
      </c>
      <c r="AG270" s="64">
        <v>49500</v>
      </c>
      <c r="AH270" s="64">
        <v>33000</v>
      </c>
    </row>
    <row r="271" spans="6:34">
      <c r="F271" s="65">
        <v>2039</v>
      </c>
      <c r="G271" s="64">
        <v>1460000</v>
      </c>
      <c r="H271" s="64">
        <v>1338333.3333333333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  <c r="Z271" s="64">
        <v>0</v>
      </c>
      <c r="AA271" s="64">
        <v>0</v>
      </c>
      <c r="AB271" s="64">
        <v>0</v>
      </c>
      <c r="AC271" s="64">
        <v>324444.44444444444</v>
      </c>
      <c r="AD271" s="64">
        <v>283888.88888888888</v>
      </c>
      <c r="AE271" s="64">
        <v>243333.33333333331</v>
      </c>
      <c r="AF271" s="64">
        <v>202777.77777777778</v>
      </c>
      <c r="AG271" s="64">
        <v>162222.22222222222</v>
      </c>
      <c r="AH271" s="64">
        <v>121666.66666666666</v>
      </c>
    </row>
    <row r="272" spans="6:34">
      <c r="F272" s="65">
        <v>2040</v>
      </c>
      <c r="G272" s="64">
        <v>1332000</v>
      </c>
      <c r="H272" s="64">
        <v>1110000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  <c r="Z272" s="64">
        <v>0</v>
      </c>
      <c r="AA272" s="64">
        <v>0</v>
      </c>
      <c r="AB272" s="64">
        <v>0</v>
      </c>
      <c r="AC272" s="64">
        <v>0</v>
      </c>
      <c r="AD272" s="64">
        <v>296000</v>
      </c>
      <c r="AE272" s="64">
        <v>259000</v>
      </c>
      <c r="AF272" s="64">
        <v>222000</v>
      </c>
      <c r="AG272" s="64">
        <v>185000</v>
      </c>
      <c r="AH272" s="64">
        <v>148000</v>
      </c>
    </row>
    <row r="273" spans="2:34">
      <c r="F273" s="65">
        <v>2041</v>
      </c>
      <c r="G273" s="64">
        <v>1368000</v>
      </c>
      <c r="H273" s="64">
        <v>988000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  <c r="Z273" s="64">
        <v>0</v>
      </c>
      <c r="AA273" s="64">
        <v>0</v>
      </c>
      <c r="AB273" s="64">
        <v>0</v>
      </c>
      <c r="AC273" s="64">
        <v>0</v>
      </c>
      <c r="AD273" s="64">
        <v>0</v>
      </c>
      <c r="AE273" s="64">
        <v>304000</v>
      </c>
      <c r="AF273" s="64">
        <v>266000</v>
      </c>
      <c r="AG273" s="64">
        <v>228000</v>
      </c>
      <c r="AH273" s="64">
        <v>190000</v>
      </c>
    </row>
    <row r="274" spans="2:34">
      <c r="F274" s="65">
        <v>2042</v>
      </c>
      <c r="G274" s="64">
        <v>1485000</v>
      </c>
      <c r="H274" s="64">
        <v>866250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  <c r="Z274" s="64">
        <v>0</v>
      </c>
      <c r="AA274" s="64">
        <v>0</v>
      </c>
      <c r="AB274" s="64">
        <v>0</v>
      </c>
      <c r="AC274" s="64">
        <v>0</v>
      </c>
      <c r="AD274" s="64">
        <v>0</v>
      </c>
      <c r="AE274" s="64">
        <v>0</v>
      </c>
      <c r="AF274" s="64">
        <v>330000</v>
      </c>
      <c r="AG274" s="64">
        <v>288750</v>
      </c>
      <c r="AH274" s="64">
        <v>247500</v>
      </c>
    </row>
    <row r="275" spans="2:34">
      <c r="F275" s="65">
        <v>2043</v>
      </c>
      <c r="G275" s="64">
        <v>875000</v>
      </c>
      <c r="H275" s="64">
        <v>364583.33333333337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  <c r="Z275" s="64">
        <v>0</v>
      </c>
      <c r="AA275" s="64">
        <v>0</v>
      </c>
      <c r="AB275" s="64">
        <v>0</v>
      </c>
      <c r="AC275" s="64">
        <v>0</v>
      </c>
      <c r="AD275" s="64">
        <v>0</v>
      </c>
      <c r="AE275" s="64">
        <v>0</v>
      </c>
      <c r="AF275" s="64">
        <v>0</v>
      </c>
      <c r="AG275" s="64">
        <v>194444.44444444444</v>
      </c>
      <c r="AH275" s="64">
        <v>170138.88888888891</v>
      </c>
    </row>
    <row r="276" spans="2:34">
      <c r="F276" s="65">
        <v>2044</v>
      </c>
      <c r="G276" s="64">
        <v>1640000</v>
      </c>
      <c r="H276" s="64">
        <v>364444.44444444444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  <c r="Z276" s="64">
        <v>0</v>
      </c>
      <c r="AA276" s="64">
        <v>0</v>
      </c>
      <c r="AB276" s="64">
        <v>0</v>
      </c>
      <c r="AC276" s="64">
        <v>0</v>
      </c>
      <c r="AD276" s="64">
        <v>0</v>
      </c>
      <c r="AE276" s="64">
        <v>0</v>
      </c>
      <c r="AF276" s="64">
        <v>0</v>
      </c>
      <c r="AG276" s="64">
        <v>0</v>
      </c>
      <c r="AH276" s="64">
        <v>364444.44444444444</v>
      </c>
    </row>
    <row r="277" spans="2:34">
      <c r="J277" s="69" cm="1">
        <f t="array" ref="J277:AH277">_xlfn.BYCOL(_xlfn.ANCHORARRAY( J252), _xleta.SUM )</f>
        <v>426000</v>
      </c>
      <c r="K277" s="69">
        <v>496527.77777777775</v>
      </c>
      <c r="L277" s="69">
        <v>582027.77777777775</v>
      </c>
      <c r="M277" s="69">
        <v>628250</v>
      </c>
      <c r="N277" s="69">
        <v>657472.22222222225</v>
      </c>
      <c r="O277" s="69">
        <v>933055.5555555555</v>
      </c>
      <c r="P277" s="69">
        <v>791888.88888888888</v>
      </c>
      <c r="Q277" s="69">
        <v>855638.88888888888</v>
      </c>
      <c r="R277" s="69">
        <v>943111.11111111101</v>
      </c>
      <c r="S277" s="69">
        <v>1013749.9999999999</v>
      </c>
      <c r="T277" s="69">
        <v>1314638.888888889</v>
      </c>
      <c r="U277" s="69">
        <v>1151805.5555555555</v>
      </c>
      <c r="V277" s="69">
        <v>1117666.6666666667</v>
      </c>
      <c r="W277" s="69">
        <v>1096194.4444444445</v>
      </c>
      <c r="X277" s="69">
        <v>1249083.3333333333</v>
      </c>
      <c r="Y277" s="69">
        <v>1024138.8888888889</v>
      </c>
      <c r="Z277" s="69">
        <v>1265805.5555555555</v>
      </c>
      <c r="AA277" s="69">
        <v>1078944.4444444445</v>
      </c>
      <c r="AB277" s="69">
        <v>954666.66666666663</v>
      </c>
      <c r="AC277" s="69">
        <v>1069555.5555555555</v>
      </c>
      <c r="AD277" s="69">
        <v>1126194.4444444445</v>
      </c>
      <c r="AE277" s="69">
        <v>1179916.6666666665</v>
      </c>
      <c r="AF277" s="69">
        <v>1250472.2222222222</v>
      </c>
      <c r="AG277" s="69">
        <v>1192250</v>
      </c>
      <c r="AH277" s="69">
        <v>1286055.5555555555</v>
      </c>
    </row>
    <row r="280" spans="2:34" s="67" customFormat="1">
      <c r="B280" s="60" t="s">
        <v>75</v>
      </c>
    </row>
    <row r="282" spans="2:34">
      <c r="C282" s="68" t="s">
        <v>71</v>
      </c>
    </row>
    <row r="283" spans="2:34">
      <c r="F283" s="64" t="s">
        <v>69</v>
      </c>
      <c r="G283" s="64" t="s">
        <v>70</v>
      </c>
      <c r="J283" s="71" cm="1">
        <f t="array" ref="J283:AH283">_xlfn.ANCHORARRAY($J$3)</f>
        <v>43861</v>
      </c>
      <c r="K283" s="71">
        <v>44227</v>
      </c>
      <c r="L283" s="71">
        <v>44592</v>
      </c>
      <c r="M283" s="71">
        <v>44957</v>
      </c>
      <c r="N283" s="71">
        <v>45322</v>
      </c>
      <c r="O283" s="71">
        <v>45688</v>
      </c>
      <c r="P283" s="71">
        <v>46053</v>
      </c>
      <c r="Q283" s="71">
        <v>46418</v>
      </c>
      <c r="R283" s="71">
        <v>46783</v>
      </c>
      <c r="S283" s="71">
        <v>47149</v>
      </c>
      <c r="T283" s="71">
        <v>47514</v>
      </c>
      <c r="U283" s="71">
        <v>47879</v>
      </c>
      <c r="V283" s="71">
        <v>48244</v>
      </c>
      <c r="W283" s="71">
        <v>48610</v>
      </c>
      <c r="X283" s="71">
        <v>48975</v>
      </c>
      <c r="Y283" s="71">
        <v>49340</v>
      </c>
      <c r="Z283" s="71">
        <v>49705</v>
      </c>
      <c r="AA283" s="71">
        <v>50071</v>
      </c>
      <c r="AB283" s="71">
        <v>50436</v>
      </c>
      <c r="AC283" s="71">
        <v>50801</v>
      </c>
      <c r="AD283" s="71">
        <v>51166</v>
      </c>
      <c r="AE283" s="71">
        <v>51532</v>
      </c>
      <c r="AF283" s="71">
        <v>51897</v>
      </c>
      <c r="AG283" s="71">
        <v>52262</v>
      </c>
      <c r="AH283" s="71">
        <v>52627</v>
      </c>
    </row>
    <row r="284" spans="2:34">
      <c r="F284" s="65" cm="1">
        <f t="array" ref="F284:G308" xml:space="preserve"> _xlfn.LET(
      _xlpm.assets,_xlfn.ANCHORARRAY(       $E$7),
      _xlpm.short_term,   INDEX( _xlpm.assets,, 4 ),
      _xlpm.acq_date,     INDEX( _xlpm.assets,, 1 ),
      _xlfn.DROP( _xlfn.HSTACK( _xlpm.acq_date, _xlpm.short_term ), 1 ) )</f>
        <v>2020</v>
      </c>
      <c r="G284" s="64">
        <v>1816000</v>
      </c>
      <c r="H284" s="64" cm="1">
        <f t="array" ref="H284:H308">IFERROR( _xlfn.BYROW(_xlfn.ANCHORARRAY( J284), _xleta.SUM ), 0 )</f>
        <v>1815994.8370596939</v>
      </c>
      <c r="J284" s="70" cm="1">
        <f t="array" ref="J284:AH308">_xlfn.LET(
     _xlpm.acquisition_date,    INDEX(_xlfn.ANCHORARRAY( F284),, 1 ),
     _xlpm.acquisition_cost,    INDEX(_xlfn.ANCHORARRAY( F284),, 2 ),
     _xlpm.current_date,_xlfn.ANCHORARRAY(        $J$3),
     _xlpm.period,              YEAR( _xlpm.current_date ) - _xlpm.acquisition_date,
     _xlpm.depreciation_rate,   CaseData!$G$32,
     _xlpm.model_life,          CaseData!$G$11,
     _xlpm.book_value,          _xlpm.acquisition_cost * ( 1 - _xlpm.depreciation_rate ) ^ _xlpm.period,
     _xlpm.depreciation,        _xlpm.depreciation_rate * _xlpm.book_value,
     IFERROR(
       IF( _xlpm.period &lt; 0, 0,
         IF( _xlpm.period &gt;= 0, _xlpm.depreciation, 0 ) ), 0 ) )</f>
        <v>726400</v>
      </c>
      <c r="K284" s="64">
        <v>435840</v>
      </c>
      <c r="L284" s="64">
        <v>261504</v>
      </c>
      <c r="M284" s="64">
        <v>156902.39999999999</v>
      </c>
      <c r="N284" s="64">
        <v>94141.440000000002</v>
      </c>
      <c r="O284" s="64">
        <v>56484.864000000001</v>
      </c>
      <c r="P284" s="64">
        <v>33890.918399999995</v>
      </c>
      <c r="Q284" s="64">
        <v>20334.551039999998</v>
      </c>
      <c r="R284" s="64">
        <v>12200.730623999998</v>
      </c>
      <c r="S284" s="64">
        <v>7320.4383743999997</v>
      </c>
      <c r="T284" s="64">
        <v>4392.2630246399995</v>
      </c>
      <c r="U284" s="64">
        <v>2635.3578147839999</v>
      </c>
      <c r="V284" s="64">
        <v>1581.2146888703996</v>
      </c>
      <c r="W284" s="64">
        <v>948.72881332223994</v>
      </c>
      <c r="X284" s="64">
        <v>569.2372879933439</v>
      </c>
      <c r="Y284" s="64">
        <v>341.54237279600636</v>
      </c>
      <c r="Z284" s="64">
        <v>204.92542367760376</v>
      </c>
      <c r="AA284" s="64">
        <v>122.95525420656227</v>
      </c>
      <c r="AB284" s="64">
        <v>73.773152523937355</v>
      </c>
      <c r="AC284" s="64">
        <v>44.26389151436242</v>
      </c>
      <c r="AD284" s="64">
        <v>26.558334908617454</v>
      </c>
      <c r="AE284" s="64">
        <v>15.93500094517047</v>
      </c>
      <c r="AF284" s="64">
        <v>9.5610005671022815</v>
      </c>
      <c r="AG284" s="64">
        <v>5.7366003402613686</v>
      </c>
      <c r="AH284" s="64">
        <v>3.4419602041568207</v>
      </c>
    </row>
    <row r="285" spans="2:34">
      <c r="F285" s="65">
        <v>2021</v>
      </c>
      <c r="G285" s="64">
        <v>204000</v>
      </c>
      <c r="H285" s="64">
        <v>203999.03337020703</v>
      </c>
      <c r="J285" s="64">
        <v>0</v>
      </c>
      <c r="K285" s="64">
        <v>81600</v>
      </c>
      <c r="L285" s="64">
        <v>48960</v>
      </c>
      <c r="M285" s="64">
        <v>29376</v>
      </c>
      <c r="N285" s="64">
        <v>17625.600000000002</v>
      </c>
      <c r="O285" s="64">
        <v>10575.36</v>
      </c>
      <c r="P285" s="64">
        <v>6345.2160000000003</v>
      </c>
      <c r="Q285" s="64">
        <v>3807.1295999999998</v>
      </c>
      <c r="R285" s="64">
        <v>2284.2777599999999</v>
      </c>
      <c r="S285" s="64">
        <v>1370.566656</v>
      </c>
      <c r="T285" s="64">
        <v>822.33999360000007</v>
      </c>
      <c r="U285" s="64">
        <v>493.40399615999996</v>
      </c>
      <c r="V285" s="64">
        <v>296.04239769599997</v>
      </c>
      <c r="W285" s="64">
        <v>177.62543861759997</v>
      </c>
      <c r="X285" s="64">
        <v>106.57526317055998</v>
      </c>
      <c r="Y285" s="64">
        <v>63.945157902335986</v>
      </c>
      <c r="Z285" s="64">
        <v>38.367094741401594</v>
      </c>
      <c r="AA285" s="64">
        <v>23.020256844840954</v>
      </c>
      <c r="AB285" s="64">
        <v>13.812154106904572</v>
      </c>
      <c r="AC285" s="64">
        <v>8.2872924641427428</v>
      </c>
      <c r="AD285" s="64">
        <v>4.9723754784856453</v>
      </c>
      <c r="AE285" s="64">
        <v>2.9834252870913875</v>
      </c>
      <c r="AF285" s="64">
        <v>1.7900551722548323</v>
      </c>
      <c r="AG285" s="64">
        <v>1.0740331033528994</v>
      </c>
      <c r="AH285" s="64">
        <v>0.64441986201173962</v>
      </c>
    </row>
    <row r="286" spans="2:34">
      <c r="F286" s="65">
        <v>2022</v>
      </c>
      <c r="G286" s="64">
        <v>623000</v>
      </c>
      <c r="H286" s="64">
        <v>622995.07998071017</v>
      </c>
      <c r="J286" s="64">
        <v>0</v>
      </c>
      <c r="K286" s="64">
        <v>0</v>
      </c>
      <c r="L286" s="64">
        <v>249200</v>
      </c>
      <c r="M286" s="64">
        <v>149520</v>
      </c>
      <c r="N286" s="64">
        <v>89712</v>
      </c>
      <c r="O286" s="64">
        <v>53827.200000000004</v>
      </c>
      <c r="P286" s="64">
        <v>32296.319999999996</v>
      </c>
      <c r="Q286" s="64">
        <v>19377.791999999998</v>
      </c>
      <c r="R286" s="64">
        <v>11626.6752</v>
      </c>
      <c r="S286" s="64">
        <v>6976.0051199999989</v>
      </c>
      <c r="T286" s="64">
        <v>4185.6030719999999</v>
      </c>
      <c r="U286" s="64">
        <v>2511.3618431999998</v>
      </c>
      <c r="V286" s="64">
        <v>1506.8171059199999</v>
      </c>
      <c r="W286" s="64">
        <v>904.0902635519999</v>
      </c>
      <c r="X286" s="64">
        <v>542.45415813119996</v>
      </c>
      <c r="Y286" s="64">
        <v>325.47249487872</v>
      </c>
      <c r="Z286" s="64">
        <v>195.28349692723197</v>
      </c>
      <c r="AA286" s="64">
        <v>117.17009815633918</v>
      </c>
      <c r="AB286" s="64">
        <v>70.302058893803505</v>
      </c>
      <c r="AC286" s="64">
        <v>42.1812353362821</v>
      </c>
      <c r="AD286" s="64">
        <v>25.308741201769259</v>
      </c>
      <c r="AE286" s="64">
        <v>15.185244721061554</v>
      </c>
      <c r="AF286" s="64">
        <v>9.1111468326369334</v>
      </c>
      <c r="AG286" s="64">
        <v>5.4666880995821598</v>
      </c>
      <c r="AH286" s="64">
        <v>3.280012859749295</v>
      </c>
    </row>
    <row r="287" spans="2:34">
      <c r="F287" s="65">
        <v>2023</v>
      </c>
      <c r="G287" s="64">
        <v>1690000</v>
      </c>
      <c r="H287" s="64">
        <v>1689977.7559320505</v>
      </c>
      <c r="J287" s="64">
        <v>0</v>
      </c>
      <c r="K287" s="64">
        <v>0</v>
      </c>
      <c r="L287" s="64">
        <v>0</v>
      </c>
      <c r="M287" s="64">
        <v>676000</v>
      </c>
      <c r="N287" s="64">
        <v>405600</v>
      </c>
      <c r="O287" s="64">
        <v>243360</v>
      </c>
      <c r="P287" s="64">
        <v>146016</v>
      </c>
      <c r="Q287" s="64">
        <v>87609.600000000006</v>
      </c>
      <c r="R287" s="64">
        <v>52565.760000000002</v>
      </c>
      <c r="S287" s="64">
        <v>31539.456000000002</v>
      </c>
      <c r="T287" s="64">
        <v>18923.673599999998</v>
      </c>
      <c r="U287" s="64">
        <v>11354.204159999999</v>
      </c>
      <c r="V287" s="64">
        <v>6812.5224959999996</v>
      </c>
      <c r="W287" s="64">
        <v>4087.5134975999995</v>
      </c>
      <c r="X287" s="64">
        <v>2452.5080985599993</v>
      </c>
      <c r="Y287" s="64">
        <v>1471.5048591359998</v>
      </c>
      <c r="Z287" s="64">
        <v>882.90291548159985</v>
      </c>
      <c r="AA287" s="64">
        <v>529.7417492889598</v>
      </c>
      <c r="AB287" s="64">
        <v>317.84504957337595</v>
      </c>
      <c r="AC287" s="64">
        <v>190.70702974402553</v>
      </c>
      <c r="AD287" s="64">
        <v>114.42421784641532</v>
      </c>
      <c r="AE287" s="64">
        <v>68.65453070784919</v>
      </c>
      <c r="AF287" s="64">
        <v>41.192718424709518</v>
      </c>
      <c r="AG287" s="64">
        <v>24.71563105482571</v>
      </c>
      <c r="AH287" s="64">
        <v>14.829378632895425</v>
      </c>
    </row>
    <row r="288" spans="2:34">
      <c r="F288" s="65">
        <v>2024</v>
      </c>
      <c r="G288" s="64">
        <v>849000</v>
      </c>
      <c r="H288" s="64">
        <v>848981.37552890636</v>
      </c>
      <c r="J288" s="64">
        <v>0</v>
      </c>
      <c r="K288" s="64">
        <v>0</v>
      </c>
      <c r="L288" s="64">
        <v>0</v>
      </c>
      <c r="M288" s="64">
        <v>0</v>
      </c>
      <c r="N288" s="64">
        <v>339600</v>
      </c>
      <c r="O288" s="64">
        <v>203760</v>
      </c>
      <c r="P288" s="64">
        <v>122256</v>
      </c>
      <c r="Q288" s="64">
        <v>73353.600000000006</v>
      </c>
      <c r="R288" s="64">
        <v>44012.160000000003</v>
      </c>
      <c r="S288" s="64">
        <v>26407.295999999998</v>
      </c>
      <c r="T288" s="64">
        <v>15844.3776</v>
      </c>
      <c r="U288" s="64">
        <v>9506.6265599999988</v>
      </c>
      <c r="V288" s="64">
        <v>5703.9759359999989</v>
      </c>
      <c r="W288" s="64">
        <v>3422.3855615999996</v>
      </c>
      <c r="X288" s="64">
        <v>2053.43133696</v>
      </c>
      <c r="Y288" s="64">
        <v>1232.058802176</v>
      </c>
      <c r="Z288" s="64">
        <v>739.23528130559987</v>
      </c>
      <c r="AA288" s="64">
        <v>443.54116878335992</v>
      </c>
      <c r="AB288" s="64">
        <v>266.12470127001592</v>
      </c>
      <c r="AC288" s="64">
        <v>159.67482076200957</v>
      </c>
      <c r="AD288" s="64">
        <v>95.804892457205725</v>
      </c>
      <c r="AE288" s="64">
        <v>57.48293547432344</v>
      </c>
      <c r="AF288" s="64">
        <v>34.48976128459406</v>
      </c>
      <c r="AG288" s="64">
        <v>20.69385677075644</v>
      </c>
      <c r="AH288" s="64">
        <v>12.416314062453864</v>
      </c>
    </row>
    <row r="289" spans="6:34">
      <c r="F289" s="65">
        <v>2025</v>
      </c>
      <c r="G289" s="64">
        <v>1161000</v>
      </c>
      <c r="H289" s="64">
        <v>1160957.552000511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464400</v>
      </c>
      <c r="P289" s="64">
        <v>278640</v>
      </c>
      <c r="Q289" s="64">
        <v>167184</v>
      </c>
      <c r="R289" s="64">
        <v>100310.40000000001</v>
      </c>
      <c r="S289" s="64">
        <v>60186.240000000005</v>
      </c>
      <c r="T289" s="64">
        <v>36111.743999999999</v>
      </c>
      <c r="U289" s="64">
        <v>21667.046399999999</v>
      </c>
      <c r="V289" s="64">
        <v>13000.22784</v>
      </c>
      <c r="W289" s="64">
        <v>7800.1367039999986</v>
      </c>
      <c r="X289" s="64">
        <v>4680.0820223999999</v>
      </c>
      <c r="Y289" s="64">
        <v>2808.0492134399997</v>
      </c>
      <c r="Z289" s="64">
        <v>1684.829528064</v>
      </c>
      <c r="AA289" s="64">
        <v>1010.8977168383998</v>
      </c>
      <c r="AB289" s="64">
        <v>606.53863010303985</v>
      </c>
      <c r="AC289" s="64">
        <v>363.92317806182393</v>
      </c>
      <c r="AD289" s="64">
        <v>218.35390683709434</v>
      </c>
      <c r="AE289" s="64">
        <v>131.01234410225661</v>
      </c>
      <c r="AF289" s="64">
        <v>78.60740646135396</v>
      </c>
      <c r="AG289" s="64">
        <v>47.164443876812378</v>
      </c>
      <c r="AH289" s="64">
        <v>28.298666326087428</v>
      </c>
    </row>
    <row r="290" spans="6:34">
      <c r="F290" s="65">
        <v>2026</v>
      </c>
      <c r="G290" s="64">
        <v>813000</v>
      </c>
      <c r="H290" s="64">
        <v>812950.45905313699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325200</v>
      </c>
      <c r="Q290" s="64">
        <v>195120</v>
      </c>
      <c r="R290" s="64">
        <v>117072</v>
      </c>
      <c r="S290" s="64">
        <v>70243.199999999997</v>
      </c>
      <c r="T290" s="64">
        <v>42145.919999999998</v>
      </c>
      <c r="U290" s="64">
        <v>25287.552</v>
      </c>
      <c r="V290" s="64">
        <v>15172.531199999998</v>
      </c>
      <c r="W290" s="64">
        <v>9103.5187199999982</v>
      </c>
      <c r="X290" s="64">
        <v>5462.1112319999993</v>
      </c>
      <c r="Y290" s="64">
        <v>3277.2667391999998</v>
      </c>
      <c r="Z290" s="64">
        <v>1966.3600435199999</v>
      </c>
      <c r="AA290" s="64">
        <v>1179.8160261119999</v>
      </c>
      <c r="AB290" s="64">
        <v>707.88961566719991</v>
      </c>
      <c r="AC290" s="64">
        <v>424.73376940031994</v>
      </c>
      <c r="AD290" s="64">
        <v>254.84026164019193</v>
      </c>
      <c r="AE290" s="64">
        <v>152.90415698411516</v>
      </c>
      <c r="AF290" s="64">
        <v>91.742494190469088</v>
      </c>
      <c r="AG290" s="64">
        <v>55.04549651428146</v>
      </c>
      <c r="AH290" s="64">
        <v>33.027297908568869</v>
      </c>
    </row>
    <row r="291" spans="6:34">
      <c r="F291" s="65">
        <v>2027</v>
      </c>
      <c r="G291" s="64">
        <v>193000</v>
      </c>
      <c r="H291" s="64">
        <v>192980.39892836302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77200</v>
      </c>
      <c r="R291" s="64">
        <v>46320</v>
      </c>
      <c r="S291" s="64">
        <v>27792</v>
      </c>
      <c r="T291" s="64">
        <v>16675.2</v>
      </c>
      <c r="U291" s="64">
        <v>10005.120000000001</v>
      </c>
      <c r="V291" s="64">
        <v>6003.0720000000001</v>
      </c>
      <c r="W291" s="64">
        <v>3601.8431999999993</v>
      </c>
      <c r="X291" s="64">
        <v>2161.1059199999995</v>
      </c>
      <c r="Y291" s="64">
        <v>1296.663552</v>
      </c>
      <c r="Z291" s="64">
        <v>777.99813119999999</v>
      </c>
      <c r="AA291" s="64">
        <v>466.79887871999995</v>
      </c>
      <c r="AB291" s="64">
        <v>280.07932723199997</v>
      </c>
      <c r="AC291" s="64">
        <v>168.04759633919997</v>
      </c>
      <c r="AD291" s="64">
        <v>100.82855780351998</v>
      </c>
      <c r="AE291" s="64">
        <v>60.497134682111984</v>
      </c>
      <c r="AF291" s="64">
        <v>36.29828080926719</v>
      </c>
      <c r="AG291" s="64">
        <v>21.778968485560313</v>
      </c>
      <c r="AH291" s="64">
        <v>13.067381091336188</v>
      </c>
    </row>
    <row r="292" spans="6:34">
      <c r="F292" s="65">
        <v>2028</v>
      </c>
      <c r="G292" s="64">
        <v>740000</v>
      </c>
      <c r="H292" s="64">
        <v>739874.74272010894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296000</v>
      </c>
      <c r="S292" s="64">
        <v>177600</v>
      </c>
      <c r="T292" s="64">
        <v>106560</v>
      </c>
      <c r="U292" s="64">
        <v>63936</v>
      </c>
      <c r="V292" s="64">
        <v>38361.599999999999</v>
      </c>
      <c r="W292" s="64">
        <v>23016.959999999999</v>
      </c>
      <c r="X292" s="64">
        <v>13810.175999999999</v>
      </c>
      <c r="Y292" s="64">
        <v>8286.1056000000008</v>
      </c>
      <c r="Z292" s="64">
        <v>4971.6633599999996</v>
      </c>
      <c r="AA292" s="64">
        <v>2982.9980159999996</v>
      </c>
      <c r="AB292" s="64">
        <v>1789.7988095999999</v>
      </c>
      <c r="AC292" s="64">
        <v>1073.8792857599999</v>
      </c>
      <c r="AD292" s="64">
        <v>644.32757145599987</v>
      </c>
      <c r="AE292" s="64">
        <v>386.59654287359996</v>
      </c>
      <c r="AF292" s="64">
        <v>231.95792572415996</v>
      </c>
      <c r="AG292" s="64">
        <v>139.17475543449598</v>
      </c>
      <c r="AH292" s="64">
        <v>83.504853260697573</v>
      </c>
    </row>
    <row r="293" spans="6:34">
      <c r="F293" s="65">
        <v>2029</v>
      </c>
      <c r="G293" s="64">
        <v>1563000</v>
      </c>
      <c r="H293" s="64">
        <v>1562559.0605214643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625200</v>
      </c>
      <c r="T293" s="64">
        <v>375120</v>
      </c>
      <c r="U293" s="64">
        <v>225072</v>
      </c>
      <c r="V293" s="64">
        <v>135043.20000000001</v>
      </c>
      <c r="W293" s="64">
        <v>81025.919999999998</v>
      </c>
      <c r="X293" s="64">
        <v>48615.551999999996</v>
      </c>
      <c r="Y293" s="64">
        <v>29169.331200000001</v>
      </c>
      <c r="Z293" s="64">
        <v>17501.598719999998</v>
      </c>
      <c r="AA293" s="64">
        <v>10500.959231999999</v>
      </c>
      <c r="AB293" s="64">
        <v>6300.5755391999992</v>
      </c>
      <c r="AC293" s="64">
        <v>3780.3453235199995</v>
      </c>
      <c r="AD293" s="64">
        <v>2268.2071941119998</v>
      </c>
      <c r="AE293" s="64">
        <v>1360.9243164671998</v>
      </c>
      <c r="AF293" s="64">
        <v>816.5545898803199</v>
      </c>
      <c r="AG293" s="64">
        <v>489.93275392819191</v>
      </c>
      <c r="AH293" s="64">
        <v>293.95965235691517</v>
      </c>
    </row>
    <row r="294" spans="6:34">
      <c r="F294" s="65">
        <v>2030</v>
      </c>
      <c r="G294" s="64">
        <v>994000</v>
      </c>
      <c r="H294" s="64">
        <v>993532.6361253314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397600</v>
      </c>
      <c r="U294" s="64">
        <v>238560</v>
      </c>
      <c r="V294" s="64">
        <v>143136</v>
      </c>
      <c r="W294" s="64">
        <v>85881.600000000006</v>
      </c>
      <c r="X294" s="64">
        <v>51528.959999999999</v>
      </c>
      <c r="Y294" s="64">
        <v>30917.376000000004</v>
      </c>
      <c r="Z294" s="64">
        <v>18550.425599999999</v>
      </c>
      <c r="AA294" s="64">
        <v>11130.255359999999</v>
      </c>
      <c r="AB294" s="64">
        <v>6678.1532159999988</v>
      </c>
      <c r="AC294" s="64">
        <v>4006.8919295999995</v>
      </c>
      <c r="AD294" s="64">
        <v>2404.1351577599994</v>
      </c>
      <c r="AE294" s="64">
        <v>1442.4810946559999</v>
      </c>
      <c r="AF294" s="64">
        <v>865.48865679359994</v>
      </c>
      <c r="AG294" s="64">
        <v>519.29319407615992</v>
      </c>
      <c r="AH294" s="64">
        <v>311.57591644569595</v>
      </c>
    </row>
    <row r="295" spans="6:34">
      <c r="F295" s="65">
        <v>2031</v>
      </c>
      <c r="G295" s="64">
        <v>1447000</v>
      </c>
      <c r="H295" s="64">
        <v>1445866.0705455304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578800</v>
      </c>
      <c r="V295" s="64">
        <v>347280</v>
      </c>
      <c r="W295" s="64">
        <v>208368</v>
      </c>
      <c r="X295" s="64">
        <v>125020.8</v>
      </c>
      <c r="Y295" s="64">
        <v>75012.479999999996</v>
      </c>
      <c r="Z295" s="64">
        <v>45007.488000000005</v>
      </c>
      <c r="AA295" s="64">
        <v>27004.492799999996</v>
      </c>
      <c r="AB295" s="64">
        <v>16202.695679999999</v>
      </c>
      <c r="AC295" s="64">
        <v>9721.6174079999982</v>
      </c>
      <c r="AD295" s="64">
        <v>5832.9704448000002</v>
      </c>
      <c r="AE295" s="64">
        <v>3499.7822668799995</v>
      </c>
      <c r="AF295" s="64">
        <v>2099.8693601279997</v>
      </c>
      <c r="AG295" s="64">
        <v>1259.9216160767999</v>
      </c>
      <c r="AH295" s="64">
        <v>755.95296964607996</v>
      </c>
    </row>
    <row r="296" spans="6:34">
      <c r="F296" s="65">
        <v>2032</v>
      </c>
      <c r="G296" s="64">
        <v>724000</v>
      </c>
      <c r="H296" s="64">
        <v>723054.40575324162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289600</v>
      </c>
      <c r="W296" s="64">
        <v>173760</v>
      </c>
      <c r="X296" s="64">
        <v>104256</v>
      </c>
      <c r="Y296" s="64">
        <v>62553.600000000006</v>
      </c>
      <c r="Z296" s="64">
        <v>37532.159999999996</v>
      </c>
      <c r="AA296" s="64">
        <v>22519.296000000002</v>
      </c>
      <c r="AB296" s="64">
        <v>13511.577599999999</v>
      </c>
      <c r="AC296" s="64">
        <v>8106.9465600000003</v>
      </c>
      <c r="AD296" s="64">
        <v>4864.1679359999998</v>
      </c>
      <c r="AE296" s="64">
        <v>2918.5007615999998</v>
      </c>
      <c r="AF296" s="64">
        <v>1751.10045696</v>
      </c>
      <c r="AG296" s="64">
        <v>1050.6602741759998</v>
      </c>
      <c r="AH296" s="64">
        <v>630.39616450559993</v>
      </c>
    </row>
    <row r="297" spans="6:34">
      <c r="F297" s="65">
        <v>2033</v>
      </c>
      <c r="G297" s="64">
        <v>919000</v>
      </c>
      <c r="H297" s="64">
        <v>916999.53703321598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367600</v>
      </c>
      <c r="X297" s="64">
        <v>220560</v>
      </c>
      <c r="Y297" s="64">
        <v>132336</v>
      </c>
      <c r="Z297" s="64">
        <v>79401.600000000006</v>
      </c>
      <c r="AA297" s="64">
        <v>47640.959999999999</v>
      </c>
      <c r="AB297" s="64">
        <v>28584.576000000001</v>
      </c>
      <c r="AC297" s="64">
        <v>17150.745599999998</v>
      </c>
      <c r="AD297" s="64">
        <v>10290.447359999998</v>
      </c>
      <c r="AE297" s="64">
        <v>6174.268415999999</v>
      </c>
      <c r="AF297" s="64">
        <v>3704.5610495999995</v>
      </c>
      <c r="AG297" s="64">
        <v>2222.7366297599997</v>
      </c>
      <c r="AH297" s="64">
        <v>1333.6419778559998</v>
      </c>
    </row>
    <row r="298" spans="6:34">
      <c r="F298" s="65">
        <v>2034</v>
      </c>
      <c r="G298" s="64">
        <v>1175000</v>
      </c>
      <c r="H298" s="64">
        <v>1170737.1345919999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470000</v>
      </c>
      <c r="Y298" s="64">
        <v>282000</v>
      </c>
      <c r="Z298" s="64">
        <v>169200</v>
      </c>
      <c r="AA298" s="64">
        <v>101520</v>
      </c>
      <c r="AB298" s="64">
        <v>60912</v>
      </c>
      <c r="AC298" s="64">
        <v>36547.200000000004</v>
      </c>
      <c r="AD298" s="64">
        <v>21928.32</v>
      </c>
      <c r="AE298" s="64">
        <v>13156.991999999998</v>
      </c>
      <c r="AF298" s="64">
        <v>7894.1951999999992</v>
      </c>
      <c r="AG298" s="64">
        <v>4736.5171199999995</v>
      </c>
      <c r="AH298" s="64">
        <v>2841.9102719999996</v>
      </c>
    </row>
    <row r="299" spans="6:34">
      <c r="F299" s="65">
        <v>2035</v>
      </c>
      <c r="G299" s="64">
        <v>350000</v>
      </c>
      <c r="H299" s="64">
        <v>347883.68384000007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140000</v>
      </c>
      <c r="Z299" s="64">
        <v>84000</v>
      </c>
      <c r="AA299" s="64">
        <v>50400</v>
      </c>
      <c r="AB299" s="64">
        <v>30240</v>
      </c>
      <c r="AC299" s="64">
        <v>18144</v>
      </c>
      <c r="AD299" s="64">
        <v>10886.400000000001</v>
      </c>
      <c r="AE299" s="64">
        <v>6531.84</v>
      </c>
      <c r="AF299" s="64">
        <v>3919.1039999999994</v>
      </c>
      <c r="AG299" s="64">
        <v>2351.4623999999999</v>
      </c>
      <c r="AH299" s="64">
        <v>1410.87744</v>
      </c>
    </row>
    <row r="300" spans="6:34">
      <c r="F300" s="65">
        <v>2036</v>
      </c>
      <c r="G300" s="64">
        <v>1645000</v>
      </c>
      <c r="H300" s="64">
        <v>1628422.1900800001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  <c r="Z300" s="64">
        <v>658000</v>
      </c>
      <c r="AA300" s="64">
        <v>394800</v>
      </c>
      <c r="AB300" s="64">
        <v>236880</v>
      </c>
      <c r="AC300" s="64">
        <v>142128</v>
      </c>
      <c r="AD300" s="64">
        <v>85276.800000000003</v>
      </c>
      <c r="AE300" s="64">
        <v>51166.080000000002</v>
      </c>
      <c r="AF300" s="64">
        <v>30699.648000000001</v>
      </c>
      <c r="AG300" s="64">
        <v>18419.788799999998</v>
      </c>
      <c r="AH300" s="64">
        <v>11051.87328</v>
      </c>
    </row>
    <row r="301" spans="6:34">
      <c r="F301" s="65">
        <v>2037</v>
      </c>
      <c r="G301" s="64">
        <v>668000</v>
      </c>
      <c r="H301" s="64">
        <v>656780.1651199999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  <c r="Z301" s="64">
        <v>0</v>
      </c>
      <c r="AA301" s="64">
        <v>267200</v>
      </c>
      <c r="AB301" s="64">
        <v>160320</v>
      </c>
      <c r="AC301" s="64">
        <v>96192</v>
      </c>
      <c r="AD301" s="64">
        <v>57715.200000000004</v>
      </c>
      <c r="AE301" s="64">
        <v>34629.119999999995</v>
      </c>
      <c r="AF301" s="64">
        <v>20777.472000000002</v>
      </c>
      <c r="AG301" s="64">
        <v>12466.483200000001</v>
      </c>
      <c r="AH301" s="64">
        <v>7479.8899199999987</v>
      </c>
    </row>
    <row r="302" spans="6:34">
      <c r="F302" s="65">
        <v>2038</v>
      </c>
      <c r="G302" s="64">
        <v>1504000</v>
      </c>
      <c r="H302" s="64">
        <v>1461897.6256000001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  <c r="Z302" s="64">
        <v>0</v>
      </c>
      <c r="AA302" s="64">
        <v>0</v>
      </c>
      <c r="AB302" s="64">
        <v>601600</v>
      </c>
      <c r="AC302" s="64">
        <v>360960</v>
      </c>
      <c r="AD302" s="64">
        <v>216576</v>
      </c>
      <c r="AE302" s="64">
        <v>129945.60000000001</v>
      </c>
      <c r="AF302" s="64">
        <v>77967.360000000001</v>
      </c>
      <c r="AG302" s="64">
        <v>46780.415999999997</v>
      </c>
      <c r="AH302" s="64">
        <v>28068.249599999999</v>
      </c>
    </row>
    <row r="303" spans="6:34">
      <c r="F303" s="65">
        <v>2039</v>
      </c>
      <c r="G303" s="64">
        <v>1235000</v>
      </c>
      <c r="H303" s="64">
        <v>1177379.8399999999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  <c r="Z303" s="64">
        <v>0</v>
      </c>
      <c r="AA303" s="64">
        <v>0</v>
      </c>
      <c r="AB303" s="64">
        <v>0</v>
      </c>
      <c r="AC303" s="64">
        <v>494000</v>
      </c>
      <c r="AD303" s="64">
        <v>296400</v>
      </c>
      <c r="AE303" s="64">
        <v>177840</v>
      </c>
      <c r="AF303" s="64">
        <v>106704</v>
      </c>
      <c r="AG303" s="64">
        <v>64022.400000000001</v>
      </c>
      <c r="AH303" s="64">
        <v>38413.439999999995</v>
      </c>
    </row>
    <row r="304" spans="6:34">
      <c r="F304" s="65">
        <v>2040</v>
      </c>
      <c r="G304" s="64">
        <v>928000</v>
      </c>
      <c r="H304" s="64">
        <v>855838.71999999997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  <c r="Z304" s="64">
        <v>0</v>
      </c>
      <c r="AA304" s="64">
        <v>0</v>
      </c>
      <c r="AB304" s="64">
        <v>0</v>
      </c>
      <c r="AC304" s="64">
        <v>0</v>
      </c>
      <c r="AD304" s="64">
        <v>371200</v>
      </c>
      <c r="AE304" s="64">
        <v>222720</v>
      </c>
      <c r="AF304" s="64">
        <v>133632</v>
      </c>
      <c r="AG304" s="64">
        <v>80179.200000000012</v>
      </c>
      <c r="AH304" s="64">
        <v>48107.519999999997</v>
      </c>
    </row>
    <row r="305" spans="3:34">
      <c r="F305" s="65">
        <v>2041</v>
      </c>
      <c r="G305" s="64">
        <v>1370000</v>
      </c>
      <c r="H305" s="64">
        <v>1192448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  <c r="Z305" s="64">
        <v>0</v>
      </c>
      <c r="AA305" s="64">
        <v>0</v>
      </c>
      <c r="AB305" s="64">
        <v>0</v>
      </c>
      <c r="AC305" s="64">
        <v>0</v>
      </c>
      <c r="AD305" s="64">
        <v>0</v>
      </c>
      <c r="AE305" s="64">
        <v>548000</v>
      </c>
      <c r="AF305" s="64">
        <v>328800</v>
      </c>
      <c r="AG305" s="64">
        <v>197280</v>
      </c>
      <c r="AH305" s="64">
        <v>118368</v>
      </c>
    </row>
    <row r="306" spans="3:34">
      <c r="F306" s="65">
        <v>2042</v>
      </c>
      <c r="G306" s="64">
        <v>1218000</v>
      </c>
      <c r="H306" s="64">
        <v>954912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  <c r="Z306" s="64">
        <v>0</v>
      </c>
      <c r="AA306" s="64">
        <v>0</v>
      </c>
      <c r="AB306" s="64">
        <v>0</v>
      </c>
      <c r="AC306" s="64">
        <v>0</v>
      </c>
      <c r="AD306" s="64">
        <v>0</v>
      </c>
      <c r="AE306" s="64">
        <v>0</v>
      </c>
      <c r="AF306" s="64">
        <v>487200</v>
      </c>
      <c r="AG306" s="64">
        <v>292320</v>
      </c>
      <c r="AH306" s="64">
        <v>175392</v>
      </c>
    </row>
    <row r="307" spans="3:34">
      <c r="F307" s="65">
        <v>2043</v>
      </c>
      <c r="G307" s="64">
        <v>609000</v>
      </c>
      <c r="H307" s="64">
        <v>389760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  <c r="Z307" s="64">
        <v>0</v>
      </c>
      <c r="AA307" s="64">
        <v>0</v>
      </c>
      <c r="AB307" s="64">
        <v>0</v>
      </c>
      <c r="AC307" s="64">
        <v>0</v>
      </c>
      <c r="AD307" s="64">
        <v>0</v>
      </c>
      <c r="AE307" s="64">
        <v>0</v>
      </c>
      <c r="AF307" s="64">
        <v>0</v>
      </c>
      <c r="AG307" s="64">
        <v>243600</v>
      </c>
      <c r="AH307" s="64">
        <v>146160</v>
      </c>
    </row>
    <row r="308" spans="3:34">
      <c r="F308" s="65">
        <v>2044</v>
      </c>
      <c r="G308" s="64">
        <v>904000</v>
      </c>
      <c r="H308" s="64">
        <v>361600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  <c r="Z308" s="64">
        <v>0</v>
      </c>
      <c r="AA308" s="64">
        <v>0</v>
      </c>
      <c r="AB308" s="64">
        <v>0</v>
      </c>
      <c r="AC308" s="64">
        <v>0</v>
      </c>
      <c r="AD308" s="64">
        <v>0</v>
      </c>
      <c r="AE308" s="64">
        <v>0</v>
      </c>
      <c r="AF308" s="64">
        <v>0</v>
      </c>
      <c r="AG308" s="64">
        <v>0</v>
      </c>
      <c r="AH308" s="64">
        <v>361600</v>
      </c>
    </row>
    <row r="309" spans="3:34">
      <c r="J309" s="69" cm="1">
        <f t="array" ref="J309:AH309">_xlfn.BYCOL(_xlfn.ANCHORARRAY( J284), _xleta.SUM )</f>
        <v>726400</v>
      </c>
      <c r="K309" s="69">
        <v>517440</v>
      </c>
      <c r="L309" s="69">
        <v>559664</v>
      </c>
      <c r="M309" s="69">
        <v>1011798.4</v>
      </c>
      <c r="N309" s="69">
        <v>946679.04</v>
      </c>
      <c r="O309" s="69">
        <v>1032407.424</v>
      </c>
      <c r="P309" s="69">
        <v>944644.45439999993</v>
      </c>
      <c r="Q309" s="69">
        <v>643986.67264</v>
      </c>
      <c r="R309" s="69">
        <v>682392.00358400005</v>
      </c>
      <c r="S309" s="69">
        <v>1034635.2021504</v>
      </c>
      <c r="T309" s="69">
        <v>1018381.12129024</v>
      </c>
      <c r="U309" s="69">
        <v>1189828.672774144</v>
      </c>
      <c r="V309" s="69">
        <v>1003497.2036644864</v>
      </c>
      <c r="W309" s="69">
        <v>969698.32219869178</v>
      </c>
      <c r="X309" s="69">
        <v>1051818.993319215</v>
      </c>
      <c r="Y309" s="69">
        <v>771091.39599152911</v>
      </c>
      <c r="Z309" s="69">
        <v>1120654.8375949175</v>
      </c>
      <c r="AA309" s="69">
        <v>939592.90255695046</v>
      </c>
      <c r="AB309" s="69">
        <v>1165355.7415341702</v>
      </c>
      <c r="AC309" s="69">
        <v>1193213.4449205021</v>
      </c>
      <c r="AD309" s="69">
        <v>1087128.0669523012</v>
      </c>
      <c r="AE309" s="69">
        <v>1200276.8401713809</v>
      </c>
      <c r="AF309" s="69">
        <v>1207366.1041028285</v>
      </c>
      <c r="AG309" s="69">
        <v>968019.66246169712</v>
      </c>
      <c r="AH309" s="69">
        <v>942411.7974770182</v>
      </c>
    </row>
    <row r="312" spans="3:34">
      <c r="C312" s="68" t="s">
        <v>68</v>
      </c>
    </row>
    <row r="313" spans="3:34">
      <c r="F313" s="64" t="s">
        <v>69</v>
      </c>
      <c r="G313" s="64" t="s">
        <v>70</v>
      </c>
      <c r="J313" s="71" cm="1">
        <f t="array" ref="J313:AH313">_xlfn.ANCHORARRAY($J$3)</f>
        <v>43861</v>
      </c>
      <c r="K313" s="71">
        <v>44227</v>
      </c>
      <c r="L313" s="71">
        <v>44592</v>
      </c>
      <c r="M313" s="71">
        <v>44957</v>
      </c>
      <c r="N313" s="71">
        <v>45322</v>
      </c>
      <c r="O313" s="71">
        <v>45688</v>
      </c>
      <c r="P313" s="71">
        <v>46053</v>
      </c>
      <c r="Q313" s="71">
        <v>46418</v>
      </c>
      <c r="R313" s="71">
        <v>46783</v>
      </c>
      <c r="S313" s="71">
        <v>47149</v>
      </c>
      <c r="T313" s="71">
        <v>47514</v>
      </c>
      <c r="U313" s="71">
        <v>47879</v>
      </c>
      <c r="V313" s="71">
        <v>48244</v>
      </c>
      <c r="W313" s="71">
        <v>48610</v>
      </c>
      <c r="X313" s="71">
        <v>48975</v>
      </c>
      <c r="Y313" s="71">
        <v>49340</v>
      </c>
      <c r="Z313" s="71">
        <v>49705</v>
      </c>
      <c r="AA313" s="71">
        <v>50071</v>
      </c>
      <c r="AB313" s="71">
        <v>50436</v>
      </c>
      <c r="AC313" s="71">
        <v>50801</v>
      </c>
      <c r="AD313" s="71">
        <v>51166</v>
      </c>
      <c r="AE313" s="71">
        <v>51532</v>
      </c>
      <c r="AF313" s="71">
        <v>51897</v>
      </c>
      <c r="AG313" s="71">
        <v>52262</v>
      </c>
      <c r="AH313" s="71">
        <v>52627</v>
      </c>
    </row>
    <row r="314" spans="3:34">
      <c r="F314" s="65" cm="1">
        <f t="array" ref="F314:G338" xml:space="preserve"> _xlfn.LET(
      _xlpm.assets,_xlfn.ANCHORARRAY(       $E$7),
      _xlpm.short_term,   INDEX( _xlpm.assets,, 4 ),
      _xlpm.acq_date,     INDEX( _xlpm.assets,, 1 ),
      _xlfn.DROP( _xlfn.HSTACK( _xlpm.acq_date, _xlpm.short_term ), 1 ) )</f>
        <v>2020</v>
      </c>
      <c r="G314" s="64">
        <v>1816000</v>
      </c>
      <c r="H314" s="64" cm="1">
        <f t="array" ref="H314:H338">IFERROR( _xlfn.BYROW(_xlfn.ANCHORARRAY( J314), _xleta.SUM ), 0 )</f>
        <v>1816000</v>
      </c>
      <c r="J314" s="70" cm="1">
        <f t="array" ref="J314:AH338">_xlfn.LET(
     _xlpm.acquisition_date,    INDEX(_xlfn.ANCHORARRAY( F314),, 1 ),
     _xlpm.acquisition_cost,    INDEX(_xlfn.ANCHORARRAY( F314),, 2 ),
     _xlpm.current_date,_xlfn.ANCHORARRAY(        $J$3),
     _xlpm.period,              YEAR( _xlpm.current_date ) - _xlpm.acquisition_date,
     _xlpm.useful_life,         CaseData!$G$33,
     _xlpm.depreciation,        _xlpm.acquisition_cost / _xlpm.useful_life,
     _xlpm.accumulated_depr,    _xlpm.acquisition_cost * ( _xlpm.period ),
     _xlpm.book_value,          _xlpm.acquisition_cost - _xlpm.accumulated_depr,
     IFERROR(
       IF( _xlpm.period &lt; 0, 0,
             IF( _xlpm.period &lt; _xlpm.useful_life, _xlpm.depreciation, IF( _xlpm.book_value &gt; 0, _xlpm.book_value, 0 ) ) ), 0 ) )</f>
        <v>363200</v>
      </c>
      <c r="K314" s="64">
        <v>363200</v>
      </c>
      <c r="L314" s="64">
        <v>363200</v>
      </c>
      <c r="M314" s="64">
        <v>363200</v>
      </c>
      <c r="N314" s="64">
        <v>363200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  <c r="Z314" s="64">
        <v>0</v>
      </c>
      <c r="AA314" s="64">
        <v>0</v>
      </c>
      <c r="AB314" s="64">
        <v>0</v>
      </c>
      <c r="AC314" s="64">
        <v>0</v>
      </c>
      <c r="AD314" s="64">
        <v>0</v>
      </c>
      <c r="AE314" s="64">
        <v>0</v>
      </c>
      <c r="AF314" s="64">
        <v>0</v>
      </c>
      <c r="AG314" s="64">
        <v>0</v>
      </c>
      <c r="AH314" s="64">
        <v>0</v>
      </c>
    </row>
    <row r="315" spans="3:34">
      <c r="F315" s="65">
        <v>2021</v>
      </c>
      <c r="G315" s="64">
        <v>204000</v>
      </c>
      <c r="H315" s="64">
        <v>204000</v>
      </c>
      <c r="J315" s="64">
        <v>0</v>
      </c>
      <c r="K315" s="64">
        <v>40800</v>
      </c>
      <c r="L315" s="64">
        <v>40800</v>
      </c>
      <c r="M315" s="64">
        <v>40800</v>
      </c>
      <c r="N315" s="64">
        <v>40800</v>
      </c>
      <c r="O315" s="64">
        <v>40800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  <c r="Z315" s="64">
        <v>0</v>
      </c>
      <c r="AA315" s="64">
        <v>0</v>
      </c>
      <c r="AB315" s="64">
        <v>0</v>
      </c>
      <c r="AC315" s="64">
        <v>0</v>
      </c>
      <c r="AD315" s="64">
        <v>0</v>
      </c>
      <c r="AE315" s="64">
        <v>0</v>
      </c>
      <c r="AF315" s="64">
        <v>0</v>
      </c>
      <c r="AG315" s="64">
        <v>0</v>
      </c>
      <c r="AH315" s="64">
        <v>0</v>
      </c>
    </row>
    <row r="316" spans="3:34">
      <c r="F316" s="65">
        <v>2022</v>
      </c>
      <c r="G316" s="64">
        <v>623000</v>
      </c>
      <c r="H316" s="64">
        <v>623000</v>
      </c>
      <c r="J316" s="64">
        <v>0</v>
      </c>
      <c r="K316" s="64">
        <v>0</v>
      </c>
      <c r="L316" s="64">
        <v>124600</v>
      </c>
      <c r="M316" s="64">
        <v>124600</v>
      </c>
      <c r="N316" s="64">
        <v>124600</v>
      </c>
      <c r="O316" s="64">
        <v>124600</v>
      </c>
      <c r="P316" s="64">
        <v>124600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  <c r="Z316" s="64">
        <v>0</v>
      </c>
      <c r="AA316" s="64">
        <v>0</v>
      </c>
      <c r="AB316" s="64">
        <v>0</v>
      </c>
      <c r="AC316" s="64">
        <v>0</v>
      </c>
      <c r="AD316" s="64">
        <v>0</v>
      </c>
      <c r="AE316" s="64">
        <v>0</v>
      </c>
      <c r="AF316" s="64">
        <v>0</v>
      </c>
      <c r="AG316" s="64">
        <v>0</v>
      </c>
      <c r="AH316" s="64">
        <v>0</v>
      </c>
    </row>
    <row r="317" spans="3:34">
      <c r="F317" s="65">
        <v>2023</v>
      </c>
      <c r="G317" s="64">
        <v>1690000</v>
      </c>
      <c r="H317" s="64">
        <v>1690000</v>
      </c>
      <c r="J317" s="64">
        <v>0</v>
      </c>
      <c r="K317" s="64">
        <v>0</v>
      </c>
      <c r="L317" s="64">
        <v>0</v>
      </c>
      <c r="M317" s="64">
        <v>338000</v>
      </c>
      <c r="N317" s="64">
        <v>338000</v>
      </c>
      <c r="O317" s="64">
        <v>338000</v>
      </c>
      <c r="P317" s="64">
        <v>338000</v>
      </c>
      <c r="Q317" s="64">
        <v>338000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  <c r="Z317" s="64">
        <v>0</v>
      </c>
      <c r="AA317" s="64">
        <v>0</v>
      </c>
      <c r="AB317" s="64">
        <v>0</v>
      </c>
      <c r="AC317" s="64">
        <v>0</v>
      </c>
      <c r="AD317" s="64">
        <v>0</v>
      </c>
      <c r="AE317" s="64">
        <v>0</v>
      </c>
      <c r="AF317" s="64">
        <v>0</v>
      </c>
      <c r="AG317" s="64">
        <v>0</v>
      </c>
      <c r="AH317" s="64">
        <v>0</v>
      </c>
    </row>
    <row r="318" spans="3:34">
      <c r="F318" s="65">
        <v>2024</v>
      </c>
      <c r="G318" s="64">
        <v>849000</v>
      </c>
      <c r="H318" s="64">
        <v>849000</v>
      </c>
      <c r="J318" s="64">
        <v>0</v>
      </c>
      <c r="K318" s="64">
        <v>0</v>
      </c>
      <c r="L318" s="64">
        <v>0</v>
      </c>
      <c r="M318" s="64">
        <v>0</v>
      </c>
      <c r="N318" s="64">
        <v>169800</v>
      </c>
      <c r="O318" s="64">
        <v>169800</v>
      </c>
      <c r="P318" s="64">
        <v>169800</v>
      </c>
      <c r="Q318" s="64">
        <v>169800</v>
      </c>
      <c r="R318" s="64">
        <v>169800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  <c r="Z318" s="64">
        <v>0</v>
      </c>
      <c r="AA318" s="64">
        <v>0</v>
      </c>
      <c r="AB318" s="64">
        <v>0</v>
      </c>
      <c r="AC318" s="64">
        <v>0</v>
      </c>
      <c r="AD318" s="64">
        <v>0</v>
      </c>
      <c r="AE318" s="64">
        <v>0</v>
      </c>
      <c r="AF318" s="64">
        <v>0</v>
      </c>
      <c r="AG318" s="64">
        <v>0</v>
      </c>
      <c r="AH318" s="64">
        <v>0</v>
      </c>
    </row>
    <row r="319" spans="3:34">
      <c r="F319" s="65">
        <v>2025</v>
      </c>
      <c r="G319" s="64">
        <v>1161000</v>
      </c>
      <c r="H319" s="64">
        <v>1161000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232200</v>
      </c>
      <c r="P319" s="64">
        <v>232200</v>
      </c>
      <c r="Q319" s="64">
        <v>232200</v>
      </c>
      <c r="R319" s="64">
        <v>232200</v>
      </c>
      <c r="S319" s="64">
        <v>232200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  <c r="Z319" s="64">
        <v>0</v>
      </c>
      <c r="AA319" s="64">
        <v>0</v>
      </c>
      <c r="AB319" s="64">
        <v>0</v>
      </c>
      <c r="AC319" s="64">
        <v>0</v>
      </c>
      <c r="AD319" s="64">
        <v>0</v>
      </c>
      <c r="AE319" s="64">
        <v>0</v>
      </c>
      <c r="AF319" s="64">
        <v>0</v>
      </c>
      <c r="AG319" s="64">
        <v>0</v>
      </c>
      <c r="AH319" s="64">
        <v>0</v>
      </c>
    </row>
    <row r="320" spans="3:34">
      <c r="F320" s="65">
        <v>2026</v>
      </c>
      <c r="G320" s="64">
        <v>813000</v>
      </c>
      <c r="H320" s="64">
        <v>813000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162600</v>
      </c>
      <c r="Q320" s="64">
        <v>162600</v>
      </c>
      <c r="R320" s="64">
        <v>162600</v>
      </c>
      <c r="S320" s="64">
        <v>162600</v>
      </c>
      <c r="T320" s="64">
        <v>162600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  <c r="Z320" s="64">
        <v>0</v>
      </c>
      <c r="AA320" s="64">
        <v>0</v>
      </c>
      <c r="AB320" s="64">
        <v>0</v>
      </c>
      <c r="AC320" s="64">
        <v>0</v>
      </c>
      <c r="AD320" s="64">
        <v>0</v>
      </c>
      <c r="AE320" s="64">
        <v>0</v>
      </c>
      <c r="AF320" s="64">
        <v>0</v>
      </c>
      <c r="AG320" s="64">
        <v>0</v>
      </c>
      <c r="AH320" s="64">
        <v>0</v>
      </c>
    </row>
    <row r="321" spans="6:34">
      <c r="F321" s="65">
        <v>2027</v>
      </c>
      <c r="G321" s="64">
        <v>193000</v>
      </c>
      <c r="H321" s="64">
        <v>193000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38600</v>
      </c>
      <c r="R321" s="64">
        <v>38600</v>
      </c>
      <c r="S321" s="64">
        <v>38600</v>
      </c>
      <c r="T321" s="64">
        <v>38600</v>
      </c>
      <c r="U321" s="64">
        <v>38600</v>
      </c>
      <c r="V321" s="64">
        <v>0</v>
      </c>
      <c r="W321" s="64">
        <v>0</v>
      </c>
      <c r="X321" s="64">
        <v>0</v>
      </c>
      <c r="Y321" s="64">
        <v>0</v>
      </c>
      <c r="Z321" s="64">
        <v>0</v>
      </c>
      <c r="AA321" s="64">
        <v>0</v>
      </c>
      <c r="AB321" s="64">
        <v>0</v>
      </c>
      <c r="AC321" s="64">
        <v>0</v>
      </c>
      <c r="AD321" s="64">
        <v>0</v>
      </c>
      <c r="AE321" s="64">
        <v>0</v>
      </c>
      <c r="AF321" s="64">
        <v>0</v>
      </c>
      <c r="AG321" s="64">
        <v>0</v>
      </c>
      <c r="AH321" s="64">
        <v>0</v>
      </c>
    </row>
    <row r="322" spans="6:34">
      <c r="F322" s="65">
        <v>2028</v>
      </c>
      <c r="G322" s="64">
        <v>740000</v>
      </c>
      <c r="H322" s="64">
        <v>740000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148000</v>
      </c>
      <c r="S322" s="64">
        <v>148000</v>
      </c>
      <c r="T322" s="64">
        <v>148000</v>
      </c>
      <c r="U322" s="64">
        <v>148000</v>
      </c>
      <c r="V322" s="64">
        <v>148000</v>
      </c>
      <c r="W322" s="64">
        <v>0</v>
      </c>
      <c r="X322" s="64">
        <v>0</v>
      </c>
      <c r="Y322" s="64">
        <v>0</v>
      </c>
      <c r="Z322" s="64">
        <v>0</v>
      </c>
      <c r="AA322" s="64">
        <v>0</v>
      </c>
      <c r="AB322" s="64">
        <v>0</v>
      </c>
      <c r="AC322" s="64">
        <v>0</v>
      </c>
      <c r="AD322" s="64">
        <v>0</v>
      </c>
      <c r="AE322" s="64">
        <v>0</v>
      </c>
      <c r="AF322" s="64">
        <v>0</v>
      </c>
      <c r="AG322" s="64">
        <v>0</v>
      </c>
      <c r="AH322" s="64">
        <v>0</v>
      </c>
    </row>
    <row r="323" spans="6:34">
      <c r="F323" s="65">
        <v>2029</v>
      </c>
      <c r="G323" s="64">
        <v>1563000</v>
      </c>
      <c r="H323" s="64">
        <v>1563000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312600</v>
      </c>
      <c r="T323" s="64">
        <v>312600</v>
      </c>
      <c r="U323" s="64">
        <v>312600</v>
      </c>
      <c r="V323" s="64">
        <v>312600</v>
      </c>
      <c r="W323" s="64">
        <v>312600</v>
      </c>
      <c r="X323" s="64">
        <v>0</v>
      </c>
      <c r="Y323" s="64">
        <v>0</v>
      </c>
      <c r="Z323" s="64">
        <v>0</v>
      </c>
      <c r="AA323" s="64">
        <v>0</v>
      </c>
      <c r="AB323" s="64">
        <v>0</v>
      </c>
      <c r="AC323" s="64">
        <v>0</v>
      </c>
      <c r="AD323" s="64">
        <v>0</v>
      </c>
      <c r="AE323" s="64">
        <v>0</v>
      </c>
      <c r="AF323" s="64">
        <v>0</v>
      </c>
      <c r="AG323" s="64">
        <v>0</v>
      </c>
      <c r="AH323" s="64">
        <v>0</v>
      </c>
    </row>
    <row r="324" spans="6:34">
      <c r="F324" s="65">
        <v>2030</v>
      </c>
      <c r="G324" s="64">
        <v>994000</v>
      </c>
      <c r="H324" s="64">
        <v>994000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198800</v>
      </c>
      <c r="U324" s="64">
        <v>198800</v>
      </c>
      <c r="V324" s="64">
        <v>198800</v>
      </c>
      <c r="W324" s="64">
        <v>198800</v>
      </c>
      <c r="X324" s="64">
        <v>198800</v>
      </c>
      <c r="Y324" s="64">
        <v>0</v>
      </c>
      <c r="Z324" s="64">
        <v>0</v>
      </c>
      <c r="AA324" s="64">
        <v>0</v>
      </c>
      <c r="AB324" s="64">
        <v>0</v>
      </c>
      <c r="AC324" s="64">
        <v>0</v>
      </c>
      <c r="AD324" s="64">
        <v>0</v>
      </c>
      <c r="AE324" s="64">
        <v>0</v>
      </c>
      <c r="AF324" s="64">
        <v>0</v>
      </c>
      <c r="AG324" s="64">
        <v>0</v>
      </c>
      <c r="AH324" s="64">
        <v>0</v>
      </c>
    </row>
    <row r="325" spans="6:34">
      <c r="F325" s="65">
        <v>2031</v>
      </c>
      <c r="G325" s="64">
        <v>1447000</v>
      </c>
      <c r="H325" s="64">
        <v>1447000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289400</v>
      </c>
      <c r="V325" s="64">
        <v>289400</v>
      </c>
      <c r="W325" s="64">
        <v>289400</v>
      </c>
      <c r="X325" s="64">
        <v>289400</v>
      </c>
      <c r="Y325" s="64">
        <v>289400</v>
      </c>
      <c r="Z325" s="64">
        <v>0</v>
      </c>
      <c r="AA325" s="64">
        <v>0</v>
      </c>
      <c r="AB325" s="64">
        <v>0</v>
      </c>
      <c r="AC325" s="64">
        <v>0</v>
      </c>
      <c r="AD325" s="64">
        <v>0</v>
      </c>
      <c r="AE325" s="64">
        <v>0</v>
      </c>
      <c r="AF325" s="64">
        <v>0</v>
      </c>
      <c r="AG325" s="64">
        <v>0</v>
      </c>
      <c r="AH325" s="64">
        <v>0</v>
      </c>
    </row>
    <row r="326" spans="6:34">
      <c r="F326" s="65">
        <v>2032</v>
      </c>
      <c r="G326" s="64">
        <v>724000</v>
      </c>
      <c r="H326" s="64">
        <v>724000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144800</v>
      </c>
      <c r="W326" s="64">
        <v>144800</v>
      </c>
      <c r="X326" s="64">
        <v>144800</v>
      </c>
      <c r="Y326" s="64">
        <v>144800</v>
      </c>
      <c r="Z326" s="64">
        <v>144800</v>
      </c>
      <c r="AA326" s="64">
        <v>0</v>
      </c>
      <c r="AB326" s="64">
        <v>0</v>
      </c>
      <c r="AC326" s="64">
        <v>0</v>
      </c>
      <c r="AD326" s="64">
        <v>0</v>
      </c>
      <c r="AE326" s="64">
        <v>0</v>
      </c>
      <c r="AF326" s="64">
        <v>0</v>
      </c>
      <c r="AG326" s="64">
        <v>0</v>
      </c>
      <c r="AH326" s="64">
        <v>0</v>
      </c>
    </row>
    <row r="327" spans="6:34">
      <c r="F327" s="65">
        <v>2033</v>
      </c>
      <c r="G327" s="64">
        <v>919000</v>
      </c>
      <c r="H327" s="64">
        <v>919000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183800</v>
      </c>
      <c r="X327" s="64">
        <v>183800</v>
      </c>
      <c r="Y327" s="64">
        <v>183800</v>
      </c>
      <c r="Z327" s="64">
        <v>183800</v>
      </c>
      <c r="AA327" s="64">
        <v>183800</v>
      </c>
      <c r="AB327" s="64">
        <v>0</v>
      </c>
      <c r="AC327" s="64">
        <v>0</v>
      </c>
      <c r="AD327" s="64">
        <v>0</v>
      </c>
      <c r="AE327" s="64">
        <v>0</v>
      </c>
      <c r="AF327" s="64">
        <v>0</v>
      </c>
      <c r="AG327" s="64">
        <v>0</v>
      </c>
      <c r="AH327" s="64">
        <v>0</v>
      </c>
    </row>
    <row r="328" spans="6:34">
      <c r="F328" s="65">
        <v>2034</v>
      </c>
      <c r="G328" s="64">
        <v>1175000</v>
      </c>
      <c r="H328" s="64">
        <v>1175000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235000</v>
      </c>
      <c r="Y328" s="64">
        <v>235000</v>
      </c>
      <c r="Z328" s="64">
        <v>235000</v>
      </c>
      <c r="AA328" s="64">
        <v>235000</v>
      </c>
      <c r="AB328" s="64">
        <v>235000</v>
      </c>
      <c r="AC328" s="64">
        <v>0</v>
      </c>
      <c r="AD328" s="64">
        <v>0</v>
      </c>
      <c r="AE328" s="64">
        <v>0</v>
      </c>
      <c r="AF328" s="64">
        <v>0</v>
      </c>
      <c r="AG328" s="64">
        <v>0</v>
      </c>
      <c r="AH328" s="64">
        <v>0</v>
      </c>
    </row>
    <row r="329" spans="6:34">
      <c r="F329" s="65">
        <v>2035</v>
      </c>
      <c r="G329" s="64">
        <v>350000</v>
      </c>
      <c r="H329" s="64">
        <v>350000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70000</v>
      </c>
      <c r="Z329" s="64">
        <v>70000</v>
      </c>
      <c r="AA329" s="64">
        <v>70000</v>
      </c>
      <c r="AB329" s="64">
        <v>70000</v>
      </c>
      <c r="AC329" s="64">
        <v>70000</v>
      </c>
      <c r="AD329" s="64">
        <v>0</v>
      </c>
      <c r="AE329" s="64">
        <v>0</v>
      </c>
      <c r="AF329" s="64">
        <v>0</v>
      </c>
      <c r="AG329" s="64">
        <v>0</v>
      </c>
      <c r="AH329" s="64">
        <v>0</v>
      </c>
    </row>
    <row r="330" spans="6:34">
      <c r="F330" s="65">
        <v>2036</v>
      </c>
      <c r="G330" s="64">
        <v>1645000</v>
      </c>
      <c r="H330" s="64">
        <v>1645000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  <c r="Z330" s="64">
        <v>329000</v>
      </c>
      <c r="AA330" s="64">
        <v>329000</v>
      </c>
      <c r="AB330" s="64">
        <v>329000</v>
      </c>
      <c r="AC330" s="64">
        <v>329000</v>
      </c>
      <c r="AD330" s="64">
        <v>329000</v>
      </c>
      <c r="AE330" s="64">
        <v>0</v>
      </c>
      <c r="AF330" s="64">
        <v>0</v>
      </c>
      <c r="AG330" s="64">
        <v>0</v>
      </c>
      <c r="AH330" s="64">
        <v>0</v>
      </c>
    </row>
    <row r="331" spans="6:34">
      <c r="F331" s="65">
        <v>2037</v>
      </c>
      <c r="G331" s="64">
        <v>668000</v>
      </c>
      <c r="H331" s="64">
        <v>668000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  <c r="Z331" s="64">
        <v>0</v>
      </c>
      <c r="AA331" s="64">
        <v>133600</v>
      </c>
      <c r="AB331" s="64">
        <v>133600</v>
      </c>
      <c r="AC331" s="64">
        <v>133600</v>
      </c>
      <c r="AD331" s="64">
        <v>133600</v>
      </c>
      <c r="AE331" s="64">
        <v>133600</v>
      </c>
      <c r="AF331" s="64">
        <v>0</v>
      </c>
      <c r="AG331" s="64">
        <v>0</v>
      </c>
      <c r="AH331" s="64">
        <v>0</v>
      </c>
    </row>
    <row r="332" spans="6:34">
      <c r="F332" s="65">
        <v>2038</v>
      </c>
      <c r="G332" s="64">
        <v>1504000</v>
      </c>
      <c r="H332" s="64">
        <v>1504000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  <c r="Z332" s="64">
        <v>0</v>
      </c>
      <c r="AA332" s="64">
        <v>0</v>
      </c>
      <c r="AB332" s="64">
        <v>300800</v>
      </c>
      <c r="AC332" s="64">
        <v>300800</v>
      </c>
      <c r="AD332" s="64">
        <v>300800</v>
      </c>
      <c r="AE332" s="64">
        <v>300800</v>
      </c>
      <c r="AF332" s="64">
        <v>300800</v>
      </c>
      <c r="AG332" s="64">
        <v>0</v>
      </c>
      <c r="AH332" s="64">
        <v>0</v>
      </c>
    </row>
    <row r="333" spans="6:34">
      <c r="F333" s="65">
        <v>2039</v>
      </c>
      <c r="G333" s="64">
        <v>1235000</v>
      </c>
      <c r="H333" s="64">
        <v>1235000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  <c r="Z333" s="64">
        <v>0</v>
      </c>
      <c r="AA333" s="64">
        <v>0</v>
      </c>
      <c r="AB333" s="64">
        <v>0</v>
      </c>
      <c r="AC333" s="64">
        <v>247000</v>
      </c>
      <c r="AD333" s="64">
        <v>247000</v>
      </c>
      <c r="AE333" s="64">
        <v>247000</v>
      </c>
      <c r="AF333" s="64">
        <v>247000</v>
      </c>
      <c r="AG333" s="64">
        <v>247000</v>
      </c>
      <c r="AH333" s="64">
        <v>0</v>
      </c>
    </row>
    <row r="334" spans="6:34">
      <c r="F334" s="65">
        <v>2040</v>
      </c>
      <c r="G334" s="64">
        <v>928000</v>
      </c>
      <c r="H334" s="64">
        <v>928000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  <c r="Z334" s="64">
        <v>0</v>
      </c>
      <c r="AA334" s="64">
        <v>0</v>
      </c>
      <c r="AB334" s="64">
        <v>0</v>
      </c>
      <c r="AC334" s="64">
        <v>0</v>
      </c>
      <c r="AD334" s="64">
        <v>185600</v>
      </c>
      <c r="AE334" s="64">
        <v>185600</v>
      </c>
      <c r="AF334" s="64">
        <v>185600</v>
      </c>
      <c r="AG334" s="64">
        <v>185600</v>
      </c>
      <c r="AH334" s="64">
        <v>185600</v>
      </c>
    </row>
    <row r="335" spans="6:34">
      <c r="F335" s="65">
        <v>2041</v>
      </c>
      <c r="G335" s="64">
        <v>1370000</v>
      </c>
      <c r="H335" s="64">
        <v>1096000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  <c r="Z335" s="64">
        <v>0</v>
      </c>
      <c r="AA335" s="64">
        <v>0</v>
      </c>
      <c r="AB335" s="64">
        <v>0</v>
      </c>
      <c r="AC335" s="64">
        <v>0</v>
      </c>
      <c r="AD335" s="64">
        <v>0</v>
      </c>
      <c r="AE335" s="64">
        <v>274000</v>
      </c>
      <c r="AF335" s="64">
        <v>274000</v>
      </c>
      <c r="AG335" s="64">
        <v>274000</v>
      </c>
      <c r="AH335" s="64">
        <v>274000</v>
      </c>
    </row>
    <row r="336" spans="6:34">
      <c r="F336" s="65">
        <v>2042</v>
      </c>
      <c r="G336" s="64">
        <v>1218000</v>
      </c>
      <c r="H336" s="64">
        <v>730800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>
        <v>0</v>
      </c>
      <c r="AA336" s="64">
        <v>0</v>
      </c>
      <c r="AB336" s="64">
        <v>0</v>
      </c>
      <c r="AC336" s="64">
        <v>0</v>
      </c>
      <c r="AD336" s="64">
        <v>0</v>
      </c>
      <c r="AE336" s="64">
        <v>0</v>
      </c>
      <c r="AF336" s="64">
        <v>243600</v>
      </c>
      <c r="AG336" s="64">
        <v>243600</v>
      </c>
      <c r="AH336" s="64">
        <v>243600</v>
      </c>
    </row>
    <row r="337" spans="3:34">
      <c r="F337" s="65">
        <v>2043</v>
      </c>
      <c r="G337" s="64">
        <v>609000</v>
      </c>
      <c r="H337" s="64">
        <v>243600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  <c r="Z337" s="64">
        <v>0</v>
      </c>
      <c r="AA337" s="64">
        <v>0</v>
      </c>
      <c r="AB337" s="64">
        <v>0</v>
      </c>
      <c r="AC337" s="64">
        <v>0</v>
      </c>
      <c r="AD337" s="64">
        <v>0</v>
      </c>
      <c r="AE337" s="64">
        <v>0</v>
      </c>
      <c r="AF337" s="64">
        <v>0</v>
      </c>
      <c r="AG337" s="64">
        <v>121800</v>
      </c>
      <c r="AH337" s="64">
        <v>121800</v>
      </c>
    </row>
    <row r="338" spans="3:34">
      <c r="F338" s="65">
        <v>2044</v>
      </c>
      <c r="G338" s="64">
        <v>904000</v>
      </c>
      <c r="H338" s="64">
        <v>180800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  <c r="Z338" s="64">
        <v>0</v>
      </c>
      <c r="AA338" s="64">
        <v>0</v>
      </c>
      <c r="AB338" s="64">
        <v>0</v>
      </c>
      <c r="AC338" s="64">
        <v>0</v>
      </c>
      <c r="AD338" s="64">
        <v>0</v>
      </c>
      <c r="AE338" s="64">
        <v>0</v>
      </c>
      <c r="AF338" s="64">
        <v>0</v>
      </c>
      <c r="AG338" s="64">
        <v>0</v>
      </c>
      <c r="AH338" s="64">
        <v>180800</v>
      </c>
    </row>
    <row r="339" spans="3:34">
      <c r="F339" s="65"/>
      <c r="J339" s="69" cm="1">
        <f t="array" ref="J339:AH339">_xlfn.BYCOL(_xlfn.ANCHORARRAY( J314), _xleta.SUM )</f>
        <v>363200</v>
      </c>
      <c r="K339" s="69">
        <v>404000</v>
      </c>
      <c r="L339" s="69">
        <v>528600</v>
      </c>
      <c r="M339" s="69">
        <v>866600</v>
      </c>
      <c r="N339" s="69">
        <v>1036400</v>
      </c>
      <c r="O339" s="69">
        <v>905400</v>
      </c>
      <c r="P339" s="69">
        <v>1027200</v>
      </c>
      <c r="Q339" s="69">
        <v>941200</v>
      </c>
      <c r="R339" s="69">
        <v>751200</v>
      </c>
      <c r="S339" s="69">
        <v>894000</v>
      </c>
      <c r="T339" s="69">
        <v>860600</v>
      </c>
      <c r="U339" s="69">
        <v>987400</v>
      </c>
      <c r="V339" s="69">
        <v>1093600</v>
      </c>
      <c r="W339" s="69">
        <v>1129400</v>
      </c>
      <c r="X339" s="69">
        <v>1051800</v>
      </c>
      <c r="Y339" s="69">
        <v>923000</v>
      </c>
      <c r="Z339" s="69">
        <v>962600</v>
      </c>
      <c r="AA339" s="69">
        <v>951400</v>
      </c>
      <c r="AB339" s="69">
        <v>1068400</v>
      </c>
      <c r="AC339" s="69">
        <v>1080400</v>
      </c>
      <c r="AD339" s="69">
        <v>1196000</v>
      </c>
      <c r="AE339" s="69">
        <v>1141000</v>
      </c>
      <c r="AF339" s="69">
        <v>1251000</v>
      </c>
      <c r="AG339" s="69">
        <v>1072000</v>
      </c>
      <c r="AH339" s="69">
        <v>1005800</v>
      </c>
    </row>
    <row r="340" spans="3:34">
      <c r="F340" s="65"/>
    </row>
    <row r="341" spans="3:34">
      <c r="F341" s="65"/>
    </row>
    <row r="343" spans="3:34">
      <c r="C343" s="68" t="s">
        <v>72</v>
      </c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</row>
    <row r="344" spans="3:34">
      <c r="F344" s="64" t="s">
        <v>69</v>
      </c>
      <c r="G344" s="64" t="s">
        <v>70</v>
      </c>
      <c r="J344" s="71" cm="1">
        <f t="array" ref="J344:AH344">_xlfn.ANCHORARRAY($J$3)</f>
        <v>43861</v>
      </c>
      <c r="K344" s="71">
        <v>44227</v>
      </c>
      <c r="L344" s="71">
        <v>44592</v>
      </c>
      <c r="M344" s="71">
        <v>44957</v>
      </c>
      <c r="N344" s="71">
        <v>45322</v>
      </c>
      <c r="O344" s="71">
        <v>45688</v>
      </c>
      <c r="P344" s="71">
        <v>46053</v>
      </c>
      <c r="Q344" s="71">
        <v>46418</v>
      </c>
      <c r="R344" s="71">
        <v>46783</v>
      </c>
      <c r="S344" s="71">
        <v>47149</v>
      </c>
      <c r="T344" s="71">
        <v>47514</v>
      </c>
      <c r="U344" s="71">
        <v>47879</v>
      </c>
      <c r="V344" s="71">
        <v>48244</v>
      </c>
      <c r="W344" s="71">
        <v>48610</v>
      </c>
      <c r="X344" s="71">
        <v>48975</v>
      </c>
      <c r="Y344" s="71">
        <v>49340</v>
      </c>
      <c r="Z344" s="71">
        <v>49705</v>
      </c>
      <c r="AA344" s="71">
        <v>50071</v>
      </c>
      <c r="AB344" s="71">
        <v>50436</v>
      </c>
      <c r="AC344" s="71">
        <v>50801</v>
      </c>
      <c r="AD344" s="71">
        <v>51166</v>
      </c>
      <c r="AE344" s="71">
        <v>51532</v>
      </c>
      <c r="AF344" s="71">
        <v>51897</v>
      </c>
      <c r="AG344" s="71">
        <v>52262</v>
      </c>
      <c r="AH344" s="71">
        <v>52627</v>
      </c>
    </row>
    <row r="345" spans="3:34">
      <c r="F345" s="65" cm="1">
        <f t="array" ref="F345:G369" xml:space="preserve"> _xlfn.LET(
      _xlpm.assets,_xlfn.ANCHORARRAY(       $E$7),
      _xlpm.short_term,   INDEX( _xlpm.assets,, 4 ),
      _xlpm.acq_date,     INDEX( _xlpm.assets,, 1 ),
      _xlfn.DROP( _xlfn.HSTACK( _xlpm.acq_date, _xlpm.short_term ), 1 ) )</f>
        <v>2020</v>
      </c>
      <c r="G345" s="64">
        <v>1816000</v>
      </c>
      <c r="H345" s="64" cm="1">
        <f t="array" ref="H345:H369">_xlfn.BYROW(_xlfn.ANCHORARRAY( J345), _xleta.SUM )</f>
        <v>1816000</v>
      </c>
      <c r="J345" s="70" cm="1">
        <f t="array" ref="J345:AH369" xml:space="preserve"> _xlfn.LET(
     _xlpm.acquisition_date,    INDEX(_xlfn.ANCHORARRAY( F345),, 1 ),
     _xlpm.acquisition_cost,    INDEX(_xlfn.ANCHORARRAY( F345),, 2 ),
     _xlpm.current_date,_xlfn.ANCHORARRAY(        $J$3),
     _xlpm.period,              YEAR( _xlpm.current_date ) - _xlpm.acquisition_date + 1,
     _xlpm.current_class,       CaseData!$G$34,
     _xlpm.classes,             CaseData!$E$39:$T$39,
     _xlpm.class_year,          CaseData!$D$41:$D$60,
     _xlpm.class_percentage,    CaseData!$E$41:$T$60,
     _xlpm.rate,                INDEX( _xlpm.class_percentage, MATCH( _xlpm.period, _xlpm.class_year, 0 ), MATCH( _xlpm.current_class, _xlpm.classes, 0 ) ),
     IFERROR( IF( _xlpm.period &lt; 0, 0, _xlpm.acquisition_cost * _xlpm.rate ), 0 ) )</f>
        <v>726400</v>
      </c>
      <c r="K345" s="64">
        <v>435840</v>
      </c>
      <c r="L345" s="64">
        <v>261503.99999999997</v>
      </c>
      <c r="M345" s="64">
        <v>196128</v>
      </c>
      <c r="N345" s="64">
        <v>196127.99999999997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  <c r="Z345" s="64">
        <v>0</v>
      </c>
      <c r="AA345" s="64">
        <v>0</v>
      </c>
      <c r="AB345" s="64">
        <v>0</v>
      </c>
      <c r="AC345" s="64">
        <v>0</v>
      </c>
      <c r="AD345" s="64">
        <v>0</v>
      </c>
      <c r="AE345" s="64">
        <v>0</v>
      </c>
      <c r="AF345" s="64">
        <v>0</v>
      </c>
      <c r="AG345" s="64">
        <v>0</v>
      </c>
      <c r="AH345" s="64">
        <v>0</v>
      </c>
    </row>
    <row r="346" spans="3:34">
      <c r="F346" s="65">
        <v>2021</v>
      </c>
      <c r="G346" s="64">
        <v>204000</v>
      </c>
      <c r="H346" s="64">
        <v>204000</v>
      </c>
      <c r="J346" s="64">
        <v>0</v>
      </c>
      <c r="K346" s="64">
        <v>81600</v>
      </c>
      <c r="L346" s="64">
        <v>48960</v>
      </c>
      <c r="M346" s="64">
        <v>29375.999999999996</v>
      </c>
      <c r="N346" s="64">
        <v>22032</v>
      </c>
      <c r="O346" s="64">
        <v>22031.999999999996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  <c r="Z346" s="64">
        <v>0</v>
      </c>
      <c r="AA346" s="64">
        <v>0</v>
      </c>
      <c r="AB346" s="64">
        <v>0</v>
      </c>
      <c r="AC346" s="64">
        <v>0</v>
      </c>
      <c r="AD346" s="64">
        <v>0</v>
      </c>
      <c r="AE346" s="64">
        <v>0</v>
      </c>
      <c r="AF346" s="64">
        <v>0</v>
      </c>
      <c r="AG346" s="64">
        <v>0</v>
      </c>
      <c r="AH346" s="64">
        <v>0</v>
      </c>
    </row>
    <row r="347" spans="3:34">
      <c r="F347" s="65">
        <v>2022</v>
      </c>
      <c r="G347" s="64">
        <v>623000</v>
      </c>
      <c r="H347" s="64">
        <v>623000</v>
      </c>
      <c r="J347" s="64">
        <v>0</v>
      </c>
      <c r="K347" s="64">
        <v>0</v>
      </c>
      <c r="L347" s="64">
        <v>249200</v>
      </c>
      <c r="M347" s="64">
        <v>149520</v>
      </c>
      <c r="N347" s="64">
        <v>89712</v>
      </c>
      <c r="O347" s="64">
        <v>67284</v>
      </c>
      <c r="P347" s="64">
        <v>67283.999999999985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  <c r="Z347" s="64">
        <v>0</v>
      </c>
      <c r="AA347" s="64">
        <v>0</v>
      </c>
      <c r="AB347" s="64">
        <v>0</v>
      </c>
      <c r="AC347" s="64">
        <v>0</v>
      </c>
      <c r="AD347" s="64">
        <v>0</v>
      </c>
      <c r="AE347" s="64">
        <v>0</v>
      </c>
      <c r="AF347" s="64">
        <v>0</v>
      </c>
      <c r="AG347" s="64">
        <v>0</v>
      </c>
      <c r="AH347" s="64">
        <v>0</v>
      </c>
    </row>
    <row r="348" spans="3:34">
      <c r="F348" s="65">
        <v>2023</v>
      </c>
      <c r="G348" s="64">
        <v>1690000</v>
      </c>
      <c r="H348" s="64">
        <v>1690000</v>
      </c>
      <c r="J348" s="64">
        <v>0</v>
      </c>
      <c r="K348" s="64">
        <v>0</v>
      </c>
      <c r="L348" s="64">
        <v>0</v>
      </c>
      <c r="M348" s="64">
        <v>676000</v>
      </c>
      <c r="N348" s="64">
        <v>405600</v>
      </c>
      <c r="O348" s="64">
        <v>243359.99999999997</v>
      </c>
      <c r="P348" s="64">
        <v>182520</v>
      </c>
      <c r="Q348" s="64">
        <v>182519.99999999997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  <c r="Z348" s="64">
        <v>0</v>
      </c>
      <c r="AA348" s="64">
        <v>0</v>
      </c>
      <c r="AB348" s="64">
        <v>0</v>
      </c>
      <c r="AC348" s="64">
        <v>0</v>
      </c>
      <c r="AD348" s="64">
        <v>0</v>
      </c>
      <c r="AE348" s="64">
        <v>0</v>
      </c>
      <c r="AF348" s="64">
        <v>0</v>
      </c>
      <c r="AG348" s="64">
        <v>0</v>
      </c>
      <c r="AH348" s="64">
        <v>0</v>
      </c>
    </row>
    <row r="349" spans="3:34">
      <c r="F349" s="65">
        <v>2024</v>
      </c>
      <c r="G349" s="64">
        <v>849000</v>
      </c>
      <c r="H349" s="64">
        <v>849000</v>
      </c>
      <c r="J349" s="64">
        <v>0</v>
      </c>
      <c r="K349" s="64">
        <v>0</v>
      </c>
      <c r="L349" s="64">
        <v>0</v>
      </c>
      <c r="M349" s="64">
        <v>0</v>
      </c>
      <c r="N349" s="64">
        <v>339600</v>
      </c>
      <c r="O349" s="64">
        <v>203760</v>
      </c>
      <c r="P349" s="64">
        <v>122255.99999999999</v>
      </c>
      <c r="Q349" s="64">
        <v>91692</v>
      </c>
      <c r="R349" s="64">
        <v>91691.999999999985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  <c r="Z349" s="64">
        <v>0</v>
      </c>
      <c r="AA349" s="64">
        <v>0</v>
      </c>
      <c r="AB349" s="64">
        <v>0</v>
      </c>
      <c r="AC349" s="64">
        <v>0</v>
      </c>
      <c r="AD349" s="64">
        <v>0</v>
      </c>
      <c r="AE349" s="64">
        <v>0</v>
      </c>
      <c r="AF349" s="64">
        <v>0</v>
      </c>
      <c r="AG349" s="64">
        <v>0</v>
      </c>
      <c r="AH349" s="64">
        <v>0</v>
      </c>
    </row>
    <row r="350" spans="3:34">
      <c r="F350" s="65">
        <v>2025</v>
      </c>
      <c r="G350" s="64">
        <v>1161000</v>
      </c>
      <c r="H350" s="64">
        <v>1161000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464400</v>
      </c>
      <c r="P350" s="64">
        <v>278640</v>
      </c>
      <c r="Q350" s="64">
        <v>167184</v>
      </c>
      <c r="R350" s="64">
        <v>125388</v>
      </c>
      <c r="S350" s="64">
        <v>125387.99999999999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  <c r="Z350" s="64">
        <v>0</v>
      </c>
      <c r="AA350" s="64">
        <v>0</v>
      </c>
      <c r="AB350" s="64">
        <v>0</v>
      </c>
      <c r="AC350" s="64">
        <v>0</v>
      </c>
      <c r="AD350" s="64">
        <v>0</v>
      </c>
      <c r="AE350" s="64">
        <v>0</v>
      </c>
      <c r="AF350" s="64">
        <v>0</v>
      </c>
      <c r="AG350" s="64">
        <v>0</v>
      </c>
      <c r="AH350" s="64">
        <v>0</v>
      </c>
    </row>
    <row r="351" spans="3:34">
      <c r="F351" s="65">
        <v>2026</v>
      </c>
      <c r="G351" s="64">
        <v>813000</v>
      </c>
      <c r="H351" s="64">
        <v>813000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325200</v>
      </c>
      <c r="Q351" s="64">
        <v>195120</v>
      </c>
      <c r="R351" s="64">
        <v>117071.99999999999</v>
      </c>
      <c r="S351" s="64">
        <v>87804</v>
      </c>
      <c r="T351" s="64">
        <v>87803.999999999985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  <c r="Z351" s="64">
        <v>0</v>
      </c>
      <c r="AA351" s="64">
        <v>0</v>
      </c>
      <c r="AB351" s="64">
        <v>0</v>
      </c>
      <c r="AC351" s="64">
        <v>0</v>
      </c>
      <c r="AD351" s="64">
        <v>0</v>
      </c>
      <c r="AE351" s="64">
        <v>0</v>
      </c>
      <c r="AF351" s="64">
        <v>0</v>
      </c>
      <c r="AG351" s="64">
        <v>0</v>
      </c>
      <c r="AH351" s="64">
        <v>0</v>
      </c>
    </row>
    <row r="352" spans="3:34">
      <c r="F352" s="65">
        <v>2027</v>
      </c>
      <c r="G352" s="64">
        <v>193000</v>
      </c>
      <c r="H352" s="64">
        <v>193000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77200</v>
      </c>
      <c r="R352" s="64">
        <v>46320</v>
      </c>
      <c r="S352" s="64">
        <v>27791.999999999996</v>
      </c>
      <c r="T352" s="64">
        <v>20844</v>
      </c>
      <c r="U352" s="64">
        <v>20843.999999999996</v>
      </c>
      <c r="V352" s="64">
        <v>0</v>
      </c>
      <c r="W352" s="64">
        <v>0</v>
      </c>
      <c r="X352" s="64">
        <v>0</v>
      </c>
      <c r="Y352" s="64">
        <v>0</v>
      </c>
      <c r="Z352" s="64">
        <v>0</v>
      </c>
      <c r="AA352" s="64">
        <v>0</v>
      </c>
      <c r="AB352" s="64">
        <v>0</v>
      </c>
      <c r="AC352" s="64">
        <v>0</v>
      </c>
      <c r="AD352" s="64">
        <v>0</v>
      </c>
      <c r="AE352" s="64">
        <v>0</v>
      </c>
      <c r="AF352" s="64">
        <v>0</v>
      </c>
      <c r="AG352" s="64">
        <v>0</v>
      </c>
      <c r="AH352" s="64">
        <v>0</v>
      </c>
    </row>
    <row r="353" spans="6:34">
      <c r="F353" s="65">
        <v>2028</v>
      </c>
      <c r="G353" s="64">
        <v>740000</v>
      </c>
      <c r="H353" s="64">
        <v>740000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296000</v>
      </c>
      <c r="S353" s="64">
        <v>177600</v>
      </c>
      <c r="T353" s="64">
        <v>106559.99999999999</v>
      </c>
      <c r="U353" s="64">
        <v>79920</v>
      </c>
      <c r="V353" s="64">
        <v>79919.999999999985</v>
      </c>
      <c r="W353" s="64">
        <v>0</v>
      </c>
      <c r="X353" s="64">
        <v>0</v>
      </c>
      <c r="Y353" s="64">
        <v>0</v>
      </c>
      <c r="Z353" s="64">
        <v>0</v>
      </c>
      <c r="AA353" s="64">
        <v>0</v>
      </c>
      <c r="AB353" s="64">
        <v>0</v>
      </c>
      <c r="AC353" s="64">
        <v>0</v>
      </c>
      <c r="AD353" s="64">
        <v>0</v>
      </c>
      <c r="AE353" s="64">
        <v>0</v>
      </c>
      <c r="AF353" s="64">
        <v>0</v>
      </c>
      <c r="AG353" s="64">
        <v>0</v>
      </c>
      <c r="AH353" s="64">
        <v>0</v>
      </c>
    </row>
    <row r="354" spans="6:34">
      <c r="F354" s="65">
        <v>2029</v>
      </c>
      <c r="G354" s="64">
        <v>1563000</v>
      </c>
      <c r="H354" s="64">
        <v>1563000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625200</v>
      </c>
      <c r="T354" s="64">
        <v>375120</v>
      </c>
      <c r="U354" s="64">
        <v>225071.99999999997</v>
      </c>
      <c r="V354" s="64">
        <v>168804</v>
      </c>
      <c r="W354" s="64">
        <v>168803.99999999997</v>
      </c>
      <c r="X354" s="64">
        <v>0</v>
      </c>
      <c r="Y354" s="64">
        <v>0</v>
      </c>
      <c r="Z354" s="64">
        <v>0</v>
      </c>
      <c r="AA354" s="64">
        <v>0</v>
      </c>
      <c r="AB354" s="64">
        <v>0</v>
      </c>
      <c r="AC354" s="64">
        <v>0</v>
      </c>
      <c r="AD354" s="64">
        <v>0</v>
      </c>
      <c r="AE354" s="64">
        <v>0</v>
      </c>
      <c r="AF354" s="64">
        <v>0</v>
      </c>
      <c r="AG354" s="64">
        <v>0</v>
      </c>
      <c r="AH354" s="64">
        <v>0</v>
      </c>
    </row>
    <row r="355" spans="6:34">
      <c r="F355" s="65">
        <v>2030</v>
      </c>
      <c r="G355" s="64">
        <v>994000</v>
      </c>
      <c r="H355" s="64">
        <v>994000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397600</v>
      </c>
      <c r="U355" s="64">
        <v>238560</v>
      </c>
      <c r="V355" s="64">
        <v>143136</v>
      </c>
      <c r="W355" s="64">
        <v>107352</v>
      </c>
      <c r="X355" s="64">
        <v>107351.99999999999</v>
      </c>
      <c r="Y355" s="64">
        <v>0</v>
      </c>
      <c r="Z355" s="64">
        <v>0</v>
      </c>
      <c r="AA355" s="64">
        <v>0</v>
      </c>
      <c r="AB355" s="64">
        <v>0</v>
      </c>
      <c r="AC355" s="64">
        <v>0</v>
      </c>
      <c r="AD355" s="64">
        <v>0</v>
      </c>
      <c r="AE355" s="64">
        <v>0</v>
      </c>
      <c r="AF355" s="64">
        <v>0</v>
      </c>
      <c r="AG355" s="64">
        <v>0</v>
      </c>
      <c r="AH355" s="64">
        <v>0</v>
      </c>
    </row>
    <row r="356" spans="6:34">
      <c r="F356" s="65">
        <v>2031</v>
      </c>
      <c r="G356" s="64">
        <v>1447000</v>
      </c>
      <c r="H356" s="64">
        <v>1447000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578800</v>
      </c>
      <c r="V356" s="64">
        <v>347280</v>
      </c>
      <c r="W356" s="64">
        <v>208367.99999999997</v>
      </c>
      <c r="X356" s="64">
        <v>156276</v>
      </c>
      <c r="Y356" s="64">
        <v>156275.99999999997</v>
      </c>
      <c r="Z356" s="64">
        <v>0</v>
      </c>
      <c r="AA356" s="64">
        <v>0</v>
      </c>
      <c r="AB356" s="64">
        <v>0</v>
      </c>
      <c r="AC356" s="64">
        <v>0</v>
      </c>
      <c r="AD356" s="64">
        <v>0</v>
      </c>
      <c r="AE356" s="64">
        <v>0</v>
      </c>
      <c r="AF356" s="64">
        <v>0</v>
      </c>
      <c r="AG356" s="64">
        <v>0</v>
      </c>
      <c r="AH356" s="64">
        <v>0</v>
      </c>
    </row>
    <row r="357" spans="6:34">
      <c r="F357" s="65">
        <v>2032</v>
      </c>
      <c r="G357" s="64">
        <v>724000</v>
      </c>
      <c r="H357" s="64">
        <v>724000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289600</v>
      </c>
      <c r="W357" s="64">
        <v>173760</v>
      </c>
      <c r="X357" s="64">
        <v>104255.99999999999</v>
      </c>
      <c r="Y357" s="64">
        <v>78192</v>
      </c>
      <c r="Z357" s="64">
        <v>78191.999999999985</v>
      </c>
      <c r="AA357" s="64">
        <v>0</v>
      </c>
      <c r="AB357" s="64">
        <v>0</v>
      </c>
      <c r="AC357" s="64">
        <v>0</v>
      </c>
      <c r="AD357" s="64">
        <v>0</v>
      </c>
      <c r="AE357" s="64">
        <v>0</v>
      </c>
      <c r="AF357" s="64">
        <v>0</v>
      </c>
      <c r="AG357" s="64">
        <v>0</v>
      </c>
      <c r="AH357" s="64">
        <v>0</v>
      </c>
    </row>
    <row r="358" spans="6:34">
      <c r="F358" s="65">
        <v>2033</v>
      </c>
      <c r="G358" s="64">
        <v>919000</v>
      </c>
      <c r="H358" s="64">
        <v>919000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367600</v>
      </c>
      <c r="X358" s="64">
        <v>220560</v>
      </c>
      <c r="Y358" s="64">
        <v>132336</v>
      </c>
      <c r="Z358" s="64">
        <v>99252</v>
      </c>
      <c r="AA358" s="64">
        <v>99251.999999999985</v>
      </c>
      <c r="AB358" s="64">
        <v>0</v>
      </c>
      <c r="AC358" s="64">
        <v>0</v>
      </c>
      <c r="AD358" s="64">
        <v>0</v>
      </c>
      <c r="AE358" s="64">
        <v>0</v>
      </c>
      <c r="AF358" s="64">
        <v>0</v>
      </c>
      <c r="AG358" s="64">
        <v>0</v>
      </c>
      <c r="AH358" s="64">
        <v>0</v>
      </c>
    </row>
    <row r="359" spans="6:34">
      <c r="F359" s="65">
        <v>2034</v>
      </c>
      <c r="G359" s="64">
        <v>1175000</v>
      </c>
      <c r="H359" s="64">
        <v>1175000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470000</v>
      </c>
      <c r="Y359" s="64">
        <v>282000</v>
      </c>
      <c r="Z359" s="64">
        <v>169200</v>
      </c>
      <c r="AA359" s="64">
        <v>126900</v>
      </c>
      <c r="AB359" s="64">
        <v>126899.99999999999</v>
      </c>
      <c r="AC359" s="64">
        <v>0</v>
      </c>
      <c r="AD359" s="64">
        <v>0</v>
      </c>
      <c r="AE359" s="64">
        <v>0</v>
      </c>
      <c r="AF359" s="64">
        <v>0</v>
      </c>
      <c r="AG359" s="64">
        <v>0</v>
      </c>
      <c r="AH359" s="64">
        <v>0</v>
      </c>
    </row>
    <row r="360" spans="6:34">
      <c r="F360" s="65">
        <v>2035</v>
      </c>
      <c r="G360" s="64">
        <v>350000</v>
      </c>
      <c r="H360" s="64">
        <v>350000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140000</v>
      </c>
      <c r="Z360" s="64">
        <v>84000</v>
      </c>
      <c r="AA360" s="64">
        <v>50399.999999999993</v>
      </c>
      <c r="AB360" s="64">
        <v>37800</v>
      </c>
      <c r="AC360" s="64">
        <v>37799.999999999993</v>
      </c>
      <c r="AD360" s="64">
        <v>0</v>
      </c>
      <c r="AE360" s="64">
        <v>0</v>
      </c>
      <c r="AF360" s="64">
        <v>0</v>
      </c>
      <c r="AG360" s="64">
        <v>0</v>
      </c>
      <c r="AH360" s="64">
        <v>0</v>
      </c>
    </row>
    <row r="361" spans="6:34">
      <c r="F361" s="65">
        <v>2036</v>
      </c>
      <c r="G361" s="64">
        <v>1645000</v>
      </c>
      <c r="H361" s="64">
        <v>1645000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  <c r="Z361" s="64">
        <v>658000</v>
      </c>
      <c r="AA361" s="64">
        <v>394800</v>
      </c>
      <c r="AB361" s="64">
        <v>236879.99999999997</v>
      </c>
      <c r="AC361" s="64">
        <v>177660</v>
      </c>
      <c r="AD361" s="64">
        <v>177659.99999999997</v>
      </c>
      <c r="AE361" s="64">
        <v>0</v>
      </c>
      <c r="AF361" s="64">
        <v>0</v>
      </c>
      <c r="AG361" s="64">
        <v>0</v>
      </c>
      <c r="AH361" s="64">
        <v>0</v>
      </c>
    </row>
    <row r="362" spans="6:34">
      <c r="F362" s="65">
        <v>2037</v>
      </c>
      <c r="G362" s="64">
        <v>668000</v>
      </c>
      <c r="H362" s="64">
        <v>668000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  <c r="Z362" s="64">
        <v>0</v>
      </c>
      <c r="AA362" s="64">
        <v>267200</v>
      </c>
      <c r="AB362" s="64">
        <v>160320</v>
      </c>
      <c r="AC362" s="64">
        <v>96192</v>
      </c>
      <c r="AD362" s="64">
        <v>72144</v>
      </c>
      <c r="AE362" s="64">
        <v>72143.999999999985</v>
      </c>
      <c r="AF362" s="64">
        <v>0</v>
      </c>
      <c r="AG362" s="64">
        <v>0</v>
      </c>
      <c r="AH362" s="64">
        <v>0</v>
      </c>
    </row>
    <row r="363" spans="6:34">
      <c r="F363" s="65">
        <v>2038</v>
      </c>
      <c r="G363" s="64">
        <v>1504000</v>
      </c>
      <c r="H363" s="64">
        <v>1504000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  <c r="Z363" s="64">
        <v>0</v>
      </c>
      <c r="AA363" s="64">
        <v>0</v>
      </c>
      <c r="AB363" s="64">
        <v>601600</v>
      </c>
      <c r="AC363" s="64">
        <v>360960</v>
      </c>
      <c r="AD363" s="64">
        <v>216575.99999999997</v>
      </c>
      <c r="AE363" s="64">
        <v>162432</v>
      </c>
      <c r="AF363" s="64">
        <v>162431.99999999997</v>
      </c>
      <c r="AG363" s="64">
        <v>0</v>
      </c>
      <c r="AH363" s="64">
        <v>0</v>
      </c>
    </row>
    <row r="364" spans="6:34">
      <c r="F364" s="65">
        <v>2039</v>
      </c>
      <c r="G364" s="64">
        <v>1235000</v>
      </c>
      <c r="H364" s="64">
        <v>1235000</v>
      </c>
      <c r="J364" s="64">
        <v>0</v>
      </c>
      <c r="K364" s="64">
        <v>0</v>
      </c>
      <c r="L364" s="64">
        <v>0</v>
      </c>
      <c r="M364" s="64">
        <v>0</v>
      </c>
      <c r="N364" s="64">
        <v>0</v>
      </c>
      <c r="O364" s="64">
        <v>0</v>
      </c>
      <c r="P364" s="64">
        <v>0</v>
      </c>
      <c r="Q364" s="64">
        <v>0</v>
      </c>
      <c r="R364" s="64">
        <v>0</v>
      </c>
      <c r="S364" s="64">
        <v>0</v>
      </c>
      <c r="T364" s="64">
        <v>0</v>
      </c>
      <c r="U364" s="64">
        <v>0</v>
      </c>
      <c r="V364" s="64">
        <v>0</v>
      </c>
      <c r="W364" s="64">
        <v>0</v>
      </c>
      <c r="X364" s="64">
        <v>0</v>
      </c>
      <c r="Y364" s="64">
        <v>0</v>
      </c>
      <c r="Z364" s="64">
        <v>0</v>
      </c>
      <c r="AA364" s="64">
        <v>0</v>
      </c>
      <c r="AB364" s="64">
        <v>0</v>
      </c>
      <c r="AC364" s="64">
        <v>494000</v>
      </c>
      <c r="AD364" s="64">
        <v>296400</v>
      </c>
      <c r="AE364" s="64">
        <v>177840</v>
      </c>
      <c r="AF364" s="64">
        <v>133380</v>
      </c>
      <c r="AG364" s="64">
        <v>133379.99999999997</v>
      </c>
      <c r="AH364" s="64">
        <v>0</v>
      </c>
    </row>
    <row r="365" spans="6:34">
      <c r="F365" s="65">
        <v>2040</v>
      </c>
      <c r="G365" s="64">
        <v>928000</v>
      </c>
      <c r="H365" s="64">
        <v>928000</v>
      </c>
      <c r="J365" s="64">
        <v>0</v>
      </c>
      <c r="K365" s="64">
        <v>0</v>
      </c>
      <c r="L365" s="64">
        <v>0</v>
      </c>
      <c r="M365" s="64">
        <v>0</v>
      </c>
      <c r="N365" s="64">
        <v>0</v>
      </c>
      <c r="O365" s="64">
        <v>0</v>
      </c>
      <c r="P365" s="64">
        <v>0</v>
      </c>
      <c r="Q365" s="64">
        <v>0</v>
      </c>
      <c r="R365" s="64">
        <v>0</v>
      </c>
      <c r="S365" s="64">
        <v>0</v>
      </c>
      <c r="T365" s="64">
        <v>0</v>
      </c>
      <c r="U365" s="64">
        <v>0</v>
      </c>
      <c r="V365" s="64">
        <v>0</v>
      </c>
      <c r="W365" s="64">
        <v>0</v>
      </c>
      <c r="X365" s="64">
        <v>0</v>
      </c>
      <c r="Y365" s="64">
        <v>0</v>
      </c>
      <c r="Z365" s="64">
        <v>0</v>
      </c>
      <c r="AA365" s="64">
        <v>0</v>
      </c>
      <c r="AB365" s="64">
        <v>0</v>
      </c>
      <c r="AC365" s="64">
        <v>0</v>
      </c>
      <c r="AD365" s="64">
        <v>371200</v>
      </c>
      <c r="AE365" s="64">
        <v>222720</v>
      </c>
      <c r="AF365" s="64">
        <v>133632</v>
      </c>
      <c r="AG365" s="64">
        <v>100224</v>
      </c>
      <c r="AH365" s="64">
        <v>100223.99999999999</v>
      </c>
    </row>
    <row r="366" spans="6:34">
      <c r="F366" s="65">
        <v>2041</v>
      </c>
      <c r="G366" s="64">
        <v>1370000</v>
      </c>
      <c r="H366" s="64">
        <v>1222040</v>
      </c>
      <c r="J366" s="64">
        <v>0</v>
      </c>
      <c r="K366" s="64">
        <v>0</v>
      </c>
      <c r="L366" s="64">
        <v>0</v>
      </c>
      <c r="M366" s="64">
        <v>0</v>
      </c>
      <c r="N366" s="64">
        <v>0</v>
      </c>
      <c r="O366" s="64">
        <v>0</v>
      </c>
      <c r="P366" s="64">
        <v>0</v>
      </c>
      <c r="Q366" s="64">
        <v>0</v>
      </c>
      <c r="R366" s="64">
        <v>0</v>
      </c>
      <c r="S366" s="64">
        <v>0</v>
      </c>
      <c r="T366" s="64">
        <v>0</v>
      </c>
      <c r="U366" s="64">
        <v>0</v>
      </c>
      <c r="V366" s="64">
        <v>0</v>
      </c>
      <c r="W366" s="64">
        <v>0</v>
      </c>
      <c r="X366" s="64">
        <v>0</v>
      </c>
      <c r="Y366" s="64">
        <v>0</v>
      </c>
      <c r="Z366" s="64">
        <v>0</v>
      </c>
      <c r="AA366" s="64">
        <v>0</v>
      </c>
      <c r="AB366" s="64">
        <v>0</v>
      </c>
      <c r="AC366" s="64">
        <v>0</v>
      </c>
      <c r="AD366" s="64">
        <v>0</v>
      </c>
      <c r="AE366" s="64">
        <v>548000</v>
      </c>
      <c r="AF366" s="64">
        <v>328800</v>
      </c>
      <c r="AG366" s="64">
        <v>197279.99999999997</v>
      </c>
      <c r="AH366" s="64">
        <v>147960</v>
      </c>
    </row>
    <row r="367" spans="6:34">
      <c r="F367" s="65">
        <v>2042</v>
      </c>
      <c r="G367" s="64">
        <v>1218000</v>
      </c>
      <c r="H367" s="64">
        <v>954912</v>
      </c>
      <c r="J367" s="64">
        <v>0</v>
      </c>
      <c r="K367" s="64">
        <v>0</v>
      </c>
      <c r="L367" s="64">
        <v>0</v>
      </c>
      <c r="M367" s="64">
        <v>0</v>
      </c>
      <c r="N367" s="64">
        <v>0</v>
      </c>
      <c r="O367" s="64">
        <v>0</v>
      </c>
      <c r="P367" s="64">
        <v>0</v>
      </c>
      <c r="Q367" s="64">
        <v>0</v>
      </c>
      <c r="R367" s="64">
        <v>0</v>
      </c>
      <c r="S367" s="64">
        <v>0</v>
      </c>
      <c r="T367" s="64">
        <v>0</v>
      </c>
      <c r="U367" s="64">
        <v>0</v>
      </c>
      <c r="V367" s="64">
        <v>0</v>
      </c>
      <c r="W367" s="64">
        <v>0</v>
      </c>
      <c r="X367" s="64">
        <v>0</v>
      </c>
      <c r="Y367" s="64">
        <v>0</v>
      </c>
      <c r="Z367" s="64">
        <v>0</v>
      </c>
      <c r="AA367" s="64">
        <v>0</v>
      </c>
      <c r="AB367" s="64">
        <v>0</v>
      </c>
      <c r="AC367" s="64">
        <v>0</v>
      </c>
      <c r="AD367" s="64">
        <v>0</v>
      </c>
      <c r="AE367" s="64">
        <v>0</v>
      </c>
      <c r="AF367" s="64">
        <v>487200</v>
      </c>
      <c r="AG367" s="64">
        <v>292320</v>
      </c>
      <c r="AH367" s="64">
        <v>175392</v>
      </c>
    </row>
    <row r="368" spans="6:34">
      <c r="F368" s="65">
        <v>2043</v>
      </c>
      <c r="G368" s="64">
        <v>609000</v>
      </c>
      <c r="H368" s="64">
        <v>389760</v>
      </c>
      <c r="J368" s="64">
        <v>0</v>
      </c>
      <c r="K368" s="64">
        <v>0</v>
      </c>
      <c r="L368" s="64">
        <v>0</v>
      </c>
      <c r="M368" s="64">
        <v>0</v>
      </c>
      <c r="N368" s="64">
        <v>0</v>
      </c>
      <c r="O368" s="64">
        <v>0</v>
      </c>
      <c r="P368" s="64">
        <v>0</v>
      </c>
      <c r="Q368" s="64">
        <v>0</v>
      </c>
      <c r="R368" s="64">
        <v>0</v>
      </c>
      <c r="S368" s="64">
        <v>0</v>
      </c>
      <c r="T368" s="64">
        <v>0</v>
      </c>
      <c r="U368" s="64">
        <v>0</v>
      </c>
      <c r="V368" s="64">
        <v>0</v>
      </c>
      <c r="W368" s="64">
        <v>0</v>
      </c>
      <c r="X368" s="64">
        <v>0</v>
      </c>
      <c r="Y368" s="64">
        <v>0</v>
      </c>
      <c r="Z368" s="64">
        <v>0</v>
      </c>
      <c r="AA368" s="64">
        <v>0</v>
      </c>
      <c r="AB368" s="64">
        <v>0</v>
      </c>
      <c r="AC368" s="64">
        <v>0</v>
      </c>
      <c r="AD368" s="64">
        <v>0</v>
      </c>
      <c r="AE368" s="64">
        <v>0</v>
      </c>
      <c r="AF368" s="64">
        <v>0</v>
      </c>
      <c r="AG368" s="64">
        <v>243600</v>
      </c>
      <c r="AH368" s="64">
        <v>146160</v>
      </c>
    </row>
    <row r="369" spans="3:34">
      <c r="F369" s="65">
        <v>2044</v>
      </c>
      <c r="G369" s="64">
        <v>904000</v>
      </c>
      <c r="H369" s="64">
        <v>361600</v>
      </c>
      <c r="J369" s="64">
        <v>0</v>
      </c>
      <c r="K369" s="64">
        <v>0</v>
      </c>
      <c r="L369" s="64">
        <v>0</v>
      </c>
      <c r="M369" s="64">
        <v>0</v>
      </c>
      <c r="N369" s="64">
        <v>0</v>
      </c>
      <c r="O369" s="64">
        <v>0</v>
      </c>
      <c r="P369" s="64">
        <v>0</v>
      </c>
      <c r="Q369" s="64">
        <v>0</v>
      </c>
      <c r="R369" s="64">
        <v>0</v>
      </c>
      <c r="S369" s="64">
        <v>0</v>
      </c>
      <c r="T369" s="64">
        <v>0</v>
      </c>
      <c r="U369" s="64">
        <v>0</v>
      </c>
      <c r="V369" s="64">
        <v>0</v>
      </c>
      <c r="W369" s="64">
        <v>0</v>
      </c>
      <c r="X369" s="64">
        <v>0</v>
      </c>
      <c r="Y369" s="64">
        <v>0</v>
      </c>
      <c r="Z369" s="64">
        <v>0</v>
      </c>
      <c r="AA369" s="64">
        <v>0</v>
      </c>
      <c r="AB369" s="64">
        <v>0</v>
      </c>
      <c r="AC369" s="64">
        <v>0</v>
      </c>
      <c r="AD369" s="64">
        <v>0</v>
      </c>
      <c r="AE369" s="64">
        <v>0</v>
      </c>
      <c r="AF369" s="64">
        <v>0</v>
      </c>
      <c r="AG369" s="64">
        <v>0</v>
      </c>
      <c r="AH369" s="64">
        <v>361600</v>
      </c>
    </row>
    <row r="370" spans="3:34">
      <c r="J370" s="69" cm="1">
        <f t="array" ref="J370:AH370">_xlfn.BYCOL(_xlfn.ANCHORARRAY( J345), _xleta.SUM )</f>
        <v>726400</v>
      </c>
      <c r="K370" s="69">
        <v>517440</v>
      </c>
      <c r="L370" s="69">
        <v>559664</v>
      </c>
      <c r="M370" s="69">
        <v>1051024</v>
      </c>
      <c r="N370" s="69">
        <v>1053072</v>
      </c>
      <c r="O370" s="69">
        <v>1000836</v>
      </c>
      <c r="P370" s="69">
        <v>975900</v>
      </c>
      <c r="Q370" s="69">
        <v>713716</v>
      </c>
      <c r="R370" s="69">
        <v>676472</v>
      </c>
      <c r="S370" s="69">
        <v>1043784</v>
      </c>
      <c r="T370" s="69">
        <v>987928</v>
      </c>
      <c r="U370" s="69">
        <v>1143196</v>
      </c>
      <c r="V370" s="69">
        <v>1028740</v>
      </c>
      <c r="W370" s="69">
        <v>1025884</v>
      </c>
      <c r="X370" s="69">
        <v>1058444</v>
      </c>
      <c r="Y370" s="69">
        <v>788804</v>
      </c>
      <c r="Z370" s="69">
        <v>1088644</v>
      </c>
      <c r="AA370" s="69">
        <v>938552</v>
      </c>
      <c r="AB370" s="69">
        <v>1163500</v>
      </c>
      <c r="AC370" s="69">
        <v>1166612</v>
      </c>
      <c r="AD370" s="69">
        <v>1133980</v>
      </c>
      <c r="AE370" s="69">
        <v>1183136</v>
      </c>
      <c r="AF370" s="69">
        <v>1245444</v>
      </c>
      <c r="AG370" s="69">
        <v>966804</v>
      </c>
      <c r="AH370" s="69">
        <v>931336</v>
      </c>
    </row>
    <row r="373" spans="3:34">
      <c r="C373" s="68" t="s">
        <v>73</v>
      </c>
    </row>
    <row r="374" spans="3:34">
      <c r="F374" s="64" t="s">
        <v>69</v>
      </c>
      <c r="G374" s="64" t="s">
        <v>70</v>
      </c>
      <c r="J374" s="71" cm="1">
        <f t="array" ref="J374:AH374">_xlfn.ANCHORARRAY($J$3)</f>
        <v>43861</v>
      </c>
      <c r="K374" s="71">
        <v>44227</v>
      </c>
      <c r="L374" s="71">
        <v>44592</v>
      </c>
      <c r="M374" s="71">
        <v>44957</v>
      </c>
      <c r="N374" s="71">
        <v>45322</v>
      </c>
      <c r="O374" s="71">
        <v>45688</v>
      </c>
      <c r="P374" s="71">
        <v>46053</v>
      </c>
      <c r="Q374" s="71">
        <v>46418</v>
      </c>
      <c r="R374" s="71">
        <v>46783</v>
      </c>
      <c r="S374" s="71">
        <v>47149</v>
      </c>
      <c r="T374" s="71">
        <v>47514</v>
      </c>
      <c r="U374" s="71">
        <v>47879</v>
      </c>
      <c r="V374" s="71">
        <v>48244</v>
      </c>
      <c r="W374" s="71">
        <v>48610</v>
      </c>
      <c r="X374" s="71">
        <v>48975</v>
      </c>
      <c r="Y374" s="71">
        <v>49340</v>
      </c>
      <c r="Z374" s="71">
        <v>49705</v>
      </c>
      <c r="AA374" s="71">
        <v>50071</v>
      </c>
      <c r="AB374" s="71">
        <v>50436</v>
      </c>
      <c r="AC374" s="71">
        <v>50801</v>
      </c>
      <c r="AD374" s="71">
        <v>51166</v>
      </c>
      <c r="AE374" s="71">
        <v>51532</v>
      </c>
      <c r="AF374" s="71">
        <v>51897</v>
      </c>
      <c r="AG374" s="71">
        <v>52262</v>
      </c>
      <c r="AH374" s="71">
        <v>52627</v>
      </c>
    </row>
    <row r="375" spans="3:34">
      <c r="F375" s="65" cm="1">
        <f t="array" ref="F375:G399" xml:space="preserve"> _xlfn.LET(
      _xlpm.assets,_xlfn.ANCHORARRAY(       $E$7),
      _xlpm.short_term,   INDEX( _xlpm.assets,, 4 ),
      _xlpm.acq_date,     INDEX( _xlpm.assets,, 1 ),
      _xlfn.DROP( _xlfn.HSTACK( _xlpm.acq_date, _xlpm.short_term ), 1 ) )</f>
        <v>2020</v>
      </c>
      <c r="G375" s="64">
        <v>1816000</v>
      </c>
      <c r="H375" s="64" cm="1">
        <f t="array" ref="H375:H399">_xlfn.BYROW(_xlfn.ANCHORARRAY( J375), _xleta.SUM )</f>
        <v>1816000</v>
      </c>
      <c r="J375" s="70" cm="1">
        <f t="array" ref="J375:AH399" xml:space="preserve"> _xlfn.LET(
     _xlpm.acquisition_date,    INDEX(_xlfn.ANCHORARRAY( F375),, 1 ),
     _xlpm.acquisition_cost,    INDEX(_xlfn.ANCHORARRAY( F375),, 2 ),
     _xlpm.current_date,_xlfn.ANCHORARRAY(        $J$3),
     _xlpm.period,              YEAR( _xlpm.current_date ) - _xlpm.acquisition_date + 1,
     _xlpm.useful_life,         CaseData!$G$35,
     _xlpm.useful_life_digit,   CaseData!$E$64:$T$64,
     _xlpm.useful_life_year,    CaseData!$D$66:$D$85,
     _xlpm.useful_life_percent, CaseData!$E$66:$T$85,
     _xlpm.rate,                INDEX( _xlpm.useful_life_percent, MATCH( _xlpm.period, _xlpm.useful_life_year, 0 ), MATCH( _xlpm.useful_life, _xlpm.useful_life_digit, 0 ) ),
     IFERROR( IF( _xlpm.period &lt; 0, 0, _xlpm.acquisition_cost * _xlpm.rate ), 0 ) )</f>
        <v>605333.33333333326</v>
      </c>
      <c r="K375" s="64">
        <v>484266.66666666669</v>
      </c>
      <c r="L375" s="64">
        <v>363200</v>
      </c>
      <c r="M375" s="64">
        <v>242133.33333333334</v>
      </c>
      <c r="N375" s="64">
        <v>121066.66666666667</v>
      </c>
      <c r="O375" s="64">
        <v>0</v>
      </c>
      <c r="P375" s="64">
        <v>0</v>
      </c>
      <c r="Q375" s="64">
        <v>0</v>
      </c>
      <c r="R375" s="64">
        <v>0</v>
      </c>
      <c r="S375" s="64">
        <v>0</v>
      </c>
      <c r="T375" s="64">
        <v>0</v>
      </c>
      <c r="U375" s="64">
        <v>0</v>
      </c>
      <c r="V375" s="64">
        <v>0</v>
      </c>
      <c r="W375" s="64">
        <v>0</v>
      </c>
      <c r="X375" s="64">
        <v>0</v>
      </c>
      <c r="Y375" s="64">
        <v>0</v>
      </c>
      <c r="Z375" s="64">
        <v>0</v>
      </c>
      <c r="AA375" s="64">
        <v>0</v>
      </c>
      <c r="AB375" s="64">
        <v>0</v>
      </c>
      <c r="AC375" s="64">
        <v>0</v>
      </c>
      <c r="AD375" s="64">
        <v>0</v>
      </c>
      <c r="AE375" s="64">
        <v>0</v>
      </c>
      <c r="AF375" s="64">
        <v>0</v>
      </c>
      <c r="AG375" s="64">
        <v>0</v>
      </c>
      <c r="AH375" s="64">
        <v>0</v>
      </c>
    </row>
    <row r="376" spans="3:34">
      <c r="F376" s="65">
        <v>2021</v>
      </c>
      <c r="G376" s="64">
        <v>204000</v>
      </c>
      <c r="H376" s="64">
        <v>204000</v>
      </c>
      <c r="J376" s="64">
        <v>0</v>
      </c>
      <c r="K376" s="64">
        <v>68000</v>
      </c>
      <c r="L376" s="64">
        <v>54400</v>
      </c>
      <c r="M376" s="64">
        <v>40800</v>
      </c>
      <c r="N376" s="64">
        <v>27200</v>
      </c>
      <c r="O376" s="64">
        <v>13600</v>
      </c>
      <c r="P376" s="64">
        <v>0</v>
      </c>
      <c r="Q376" s="64">
        <v>0</v>
      </c>
      <c r="R376" s="64">
        <v>0</v>
      </c>
      <c r="S376" s="64">
        <v>0</v>
      </c>
      <c r="T376" s="64">
        <v>0</v>
      </c>
      <c r="U376" s="64">
        <v>0</v>
      </c>
      <c r="V376" s="64">
        <v>0</v>
      </c>
      <c r="W376" s="64">
        <v>0</v>
      </c>
      <c r="X376" s="64">
        <v>0</v>
      </c>
      <c r="Y376" s="64">
        <v>0</v>
      </c>
      <c r="Z376" s="64">
        <v>0</v>
      </c>
      <c r="AA376" s="64">
        <v>0</v>
      </c>
      <c r="AB376" s="64">
        <v>0</v>
      </c>
      <c r="AC376" s="64">
        <v>0</v>
      </c>
      <c r="AD376" s="64">
        <v>0</v>
      </c>
      <c r="AE376" s="64">
        <v>0</v>
      </c>
      <c r="AF376" s="64">
        <v>0</v>
      </c>
      <c r="AG376" s="64">
        <v>0</v>
      </c>
      <c r="AH376" s="64">
        <v>0</v>
      </c>
    </row>
    <row r="377" spans="3:34">
      <c r="F377" s="65">
        <v>2022</v>
      </c>
      <c r="G377" s="64">
        <v>623000</v>
      </c>
      <c r="H377" s="64">
        <v>623000</v>
      </c>
      <c r="J377" s="64">
        <v>0</v>
      </c>
      <c r="K377" s="64">
        <v>0</v>
      </c>
      <c r="L377" s="64">
        <v>207666.66666666666</v>
      </c>
      <c r="M377" s="64">
        <v>166133.33333333334</v>
      </c>
      <c r="N377" s="64">
        <v>124600</v>
      </c>
      <c r="O377" s="64">
        <v>83066.666666666672</v>
      </c>
      <c r="P377" s="64">
        <v>41533.333333333336</v>
      </c>
      <c r="Q377" s="64">
        <v>0</v>
      </c>
      <c r="R377" s="64">
        <v>0</v>
      </c>
      <c r="S377" s="64">
        <v>0</v>
      </c>
      <c r="T377" s="64">
        <v>0</v>
      </c>
      <c r="U377" s="64">
        <v>0</v>
      </c>
      <c r="V377" s="64">
        <v>0</v>
      </c>
      <c r="W377" s="64">
        <v>0</v>
      </c>
      <c r="X377" s="64">
        <v>0</v>
      </c>
      <c r="Y377" s="64">
        <v>0</v>
      </c>
      <c r="Z377" s="64">
        <v>0</v>
      </c>
      <c r="AA377" s="64">
        <v>0</v>
      </c>
      <c r="AB377" s="64">
        <v>0</v>
      </c>
      <c r="AC377" s="64">
        <v>0</v>
      </c>
      <c r="AD377" s="64">
        <v>0</v>
      </c>
      <c r="AE377" s="64">
        <v>0</v>
      </c>
      <c r="AF377" s="64">
        <v>0</v>
      </c>
      <c r="AG377" s="64">
        <v>0</v>
      </c>
      <c r="AH377" s="64">
        <v>0</v>
      </c>
    </row>
    <row r="378" spans="3:34">
      <c r="F378" s="65">
        <v>2023</v>
      </c>
      <c r="G378" s="64">
        <v>1690000</v>
      </c>
      <c r="H378" s="64">
        <v>1690000</v>
      </c>
      <c r="J378" s="64">
        <v>0</v>
      </c>
      <c r="K378" s="64">
        <v>0</v>
      </c>
      <c r="L378" s="64">
        <v>0</v>
      </c>
      <c r="M378" s="64">
        <v>563333.33333333326</v>
      </c>
      <c r="N378" s="64">
        <v>450666.66666666669</v>
      </c>
      <c r="O378" s="64">
        <v>338000</v>
      </c>
      <c r="P378" s="64">
        <v>225333.33333333334</v>
      </c>
      <c r="Q378" s="64">
        <v>112666.66666666667</v>
      </c>
      <c r="R378" s="64">
        <v>0</v>
      </c>
      <c r="S378" s="64">
        <v>0</v>
      </c>
      <c r="T378" s="64">
        <v>0</v>
      </c>
      <c r="U378" s="64">
        <v>0</v>
      </c>
      <c r="V378" s="64">
        <v>0</v>
      </c>
      <c r="W378" s="64">
        <v>0</v>
      </c>
      <c r="X378" s="64">
        <v>0</v>
      </c>
      <c r="Y378" s="64">
        <v>0</v>
      </c>
      <c r="Z378" s="64">
        <v>0</v>
      </c>
      <c r="AA378" s="64">
        <v>0</v>
      </c>
      <c r="AB378" s="64">
        <v>0</v>
      </c>
      <c r="AC378" s="64">
        <v>0</v>
      </c>
      <c r="AD378" s="64">
        <v>0</v>
      </c>
      <c r="AE378" s="64">
        <v>0</v>
      </c>
      <c r="AF378" s="64">
        <v>0</v>
      </c>
      <c r="AG378" s="64">
        <v>0</v>
      </c>
      <c r="AH378" s="64">
        <v>0</v>
      </c>
    </row>
    <row r="379" spans="3:34">
      <c r="F379" s="65">
        <v>2024</v>
      </c>
      <c r="G379" s="64">
        <v>849000</v>
      </c>
      <c r="H379" s="64">
        <v>849000</v>
      </c>
      <c r="J379" s="64">
        <v>0</v>
      </c>
      <c r="K379" s="64">
        <v>0</v>
      </c>
      <c r="L379" s="64">
        <v>0</v>
      </c>
      <c r="M379" s="64">
        <v>0</v>
      </c>
      <c r="N379" s="64">
        <v>283000</v>
      </c>
      <c r="O379" s="64">
        <v>226400</v>
      </c>
      <c r="P379" s="64">
        <v>169800</v>
      </c>
      <c r="Q379" s="64">
        <v>113200</v>
      </c>
      <c r="R379" s="64">
        <v>56600</v>
      </c>
      <c r="S379" s="64">
        <v>0</v>
      </c>
      <c r="T379" s="64">
        <v>0</v>
      </c>
      <c r="U379" s="64">
        <v>0</v>
      </c>
      <c r="V379" s="64">
        <v>0</v>
      </c>
      <c r="W379" s="64">
        <v>0</v>
      </c>
      <c r="X379" s="64">
        <v>0</v>
      </c>
      <c r="Y379" s="64">
        <v>0</v>
      </c>
      <c r="Z379" s="64">
        <v>0</v>
      </c>
      <c r="AA379" s="64">
        <v>0</v>
      </c>
      <c r="AB379" s="64">
        <v>0</v>
      </c>
      <c r="AC379" s="64">
        <v>0</v>
      </c>
      <c r="AD379" s="64">
        <v>0</v>
      </c>
      <c r="AE379" s="64">
        <v>0</v>
      </c>
      <c r="AF379" s="64">
        <v>0</v>
      </c>
      <c r="AG379" s="64">
        <v>0</v>
      </c>
      <c r="AH379" s="64">
        <v>0</v>
      </c>
    </row>
    <row r="380" spans="3:34">
      <c r="F380" s="65">
        <v>2025</v>
      </c>
      <c r="G380" s="64">
        <v>1161000</v>
      </c>
      <c r="H380" s="64">
        <v>1161000</v>
      </c>
      <c r="J380" s="64">
        <v>0</v>
      </c>
      <c r="K380" s="64">
        <v>0</v>
      </c>
      <c r="L380" s="64">
        <v>0</v>
      </c>
      <c r="M380" s="64">
        <v>0</v>
      </c>
      <c r="N380" s="64">
        <v>0</v>
      </c>
      <c r="O380" s="64">
        <v>387000</v>
      </c>
      <c r="P380" s="64">
        <v>309600</v>
      </c>
      <c r="Q380" s="64">
        <v>232200</v>
      </c>
      <c r="R380" s="64">
        <v>154800</v>
      </c>
      <c r="S380" s="64">
        <v>77400</v>
      </c>
      <c r="T380" s="64">
        <v>0</v>
      </c>
      <c r="U380" s="64">
        <v>0</v>
      </c>
      <c r="V380" s="64">
        <v>0</v>
      </c>
      <c r="W380" s="64">
        <v>0</v>
      </c>
      <c r="X380" s="64">
        <v>0</v>
      </c>
      <c r="Y380" s="64">
        <v>0</v>
      </c>
      <c r="Z380" s="64">
        <v>0</v>
      </c>
      <c r="AA380" s="64">
        <v>0</v>
      </c>
      <c r="AB380" s="64">
        <v>0</v>
      </c>
      <c r="AC380" s="64">
        <v>0</v>
      </c>
      <c r="AD380" s="64">
        <v>0</v>
      </c>
      <c r="AE380" s="64">
        <v>0</v>
      </c>
      <c r="AF380" s="64">
        <v>0</v>
      </c>
      <c r="AG380" s="64">
        <v>0</v>
      </c>
      <c r="AH380" s="64">
        <v>0</v>
      </c>
    </row>
    <row r="381" spans="3:34">
      <c r="F381" s="65">
        <v>2026</v>
      </c>
      <c r="G381" s="64">
        <v>813000</v>
      </c>
      <c r="H381" s="64">
        <v>813000</v>
      </c>
      <c r="J381" s="64">
        <v>0</v>
      </c>
      <c r="K381" s="64">
        <v>0</v>
      </c>
      <c r="L381" s="64">
        <v>0</v>
      </c>
      <c r="M381" s="64">
        <v>0</v>
      </c>
      <c r="N381" s="64">
        <v>0</v>
      </c>
      <c r="O381" s="64">
        <v>0</v>
      </c>
      <c r="P381" s="64">
        <v>271000</v>
      </c>
      <c r="Q381" s="64">
        <v>216800</v>
      </c>
      <c r="R381" s="64">
        <v>162600</v>
      </c>
      <c r="S381" s="64">
        <v>108400</v>
      </c>
      <c r="T381" s="64">
        <v>54200</v>
      </c>
      <c r="U381" s="64">
        <v>0</v>
      </c>
      <c r="V381" s="64">
        <v>0</v>
      </c>
      <c r="W381" s="64">
        <v>0</v>
      </c>
      <c r="X381" s="64">
        <v>0</v>
      </c>
      <c r="Y381" s="64">
        <v>0</v>
      </c>
      <c r="Z381" s="64">
        <v>0</v>
      </c>
      <c r="AA381" s="64">
        <v>0</v>
      </c>
      <c r="AB381" s="64">
        <v>0</v>
      </c>
      <c r="AC381" s="64">
        <v>0</v>
      </c>
      <c r="AD381" s="64">
        <v>0</v>
      </c>
      <c r="AE381" s="64">
        <v>0</v>
      </c>
      <c r="AF381" s="64">
        <v>0</v>
      </c>
      <c r="AG381" s="64">
        <v>0</v>
      </c>
      <c r="AH381" s="64">
        <v>0</v>
      </c>
    </row>
    <row r="382" spans="3:34">
      <c r="F382" s="65">
        <v>2027</v>
      </c>
      <c r="G382" s="64">
        <v>193000</v>
      </c>
      <c r="H382" s="64">
        <v>193000</v>
      </c>
      <c r="J382" s="64">
        <v>0</v>
      </c>
      <c r="K382" s="64">
        <v>0</v>
      </c>
      <c r="L382" s="64">
        <v>0</v>
      </c>
      <c r="M382" s="64">
        <v>0</v>
      </c>
      <c r="N382" s="64">
        <v>0</v>
      </c>
      <c r="O382" s="64">
        <v>0</v>
      </c>
      <c r="P382" s="64">
        <v>0</v>
      </c>
      <c r="Q382" s="64">
        <v>64333.333333333328</v>
      </c>
      <c r="R382" s="64">
        <v>51466.666666666664</v>
      </c>
      <c r="S382" s="64">
        <v>38600</v>
      </c>
      <c r="T382" s="64">
        <v>25733.333333333332</v>
      </c>
      <c r="U382" s="64">
        <v>12866.666666666666</v>
      </c>
      <c r="V382" s="64">
        <v>0</v>
      </c>
      <c r="W382" s="64">
        <v>0</v>
      </c>
      <c r="X382" s="64">
        <v>0</v>
      </c>
      <c r="Y382" s="64">
        <v>0</v>
      </c>
      <c r="Z382" s="64">
        <v>0</v>
      </c>
      <c r="AA382" s="64">
        <v>0</v>
      </c>
      <c r="AB382" s="64">
        <v>0</v>
      </c>
      <c r="AC382" s="64">
        <v>0</v>
      </c>
      <c r="AD382" s="64">
        <v>0</v>
      </c>
      <c r="AE382" s="64">
        <v>0</v>
      </c>
      <c r="AF382" s="64">
        <v>0</v>
      </c>
      <c r="AG382" s="64">
        <v>0</v>
      </c>
      <c r="AH382" s="64">
        <v>0</v>
      </c>
    </row>
    <row r="383" spans="3:34">
      <c r="F383" s="65">
        <v>2028</v>
      </c>
      <c r="G383" s="64">
        <v>740000</v>
      </c>
      <c r="H383" s="64">
        <v>740000</v>
      </c>
      <c r="J383" s="64">
        <v>0</v>
      </c>
      <c r="K383" s="64">
        <v>0</v>
      </c>
      <c r="L383" s="64">
        <v>0</v>
      </c>
      <c r="M383" s="64">
        <v>0</v>
      </c>
      <c r="N383" s="64">
        <v>0</v>
      </c>
      <c r="O383" s="64">
        <v>0</v>
      </c>
      <c r="P383" s="64">
        <v>0</v>
      </c>
      <c r="Q383" s="64">
        <v>0</v>
      </c>
      <c r="R383" s="64">
        <v>246666.66666666666</v>
      </c>
      <c r="S383" s="64">
        <v>197333.33333333334</v>
      </c>
      <c r="T383" s="64">
        <v>148000</v>
      </c>
      <c r="U383" s="64">
        <v>98666.666666666672</v>
      </c>
      <c r="V383" s="64">
        <v>49333.333333333336</v>
      </c>
      <c r="W383" s="64">
        <v>0</v>
      </c>
      <c r="X383" s="64">
        <v>0</v>
      </c>
      <c r="Y383" s="64">
        <v>0</v>
      </c>
      <c r="Z383" s="64">
        <v>0</v>
      </c>
      <c r="AA383" s="64">
        <v>0</v>
      </c>
      <c r="AB383" s="64">
        <v>0</v>
      </c>
      <c r="AC383" s="64">
        <v>0</v>
      </c>
      <c r="AD383" s="64">
        <v>0</v>
      </c>
      <c r="AE383" s="64">
        <v>0</v>
      </c>
      <c r="AF383" s="64">
        <v>0</v>
      </c>
      <c r="AG383" s="64">
        <v>0</v>
      </c>
      <c r="AH383" s="64">
        <v>0</v>
      </c>
    </row>
    <row r="384" spans="3:34">
      <c r="F384" s="65">
        <v>2029</v>
      </c>
      <c r="G384" s="64">
        <v>1563000</v>
      </c>
      <c r="H384" s="64">
        <v>1563000</v>
      </c>
      <c r="J384" s="64">
        <v>0</v>
      </c>
      <c r="K384" s="64">
        <v>0</v>
      </c>
      <c r="L384" s="64">
        <v>0</v>
      </c>
      <c r="M384" s="64">
        <v>0</v>
      </c>
      <c r="N384" s="64">
        <v>0</v>
      </c>
      <c r="O384" s="64">
        <v>0</v>
      </c>
      <c r="P384" s="64">
        <v>0</v>
      </c>
      <c r="Q384" s="64">
        <v>0</v>
      </c>
      <c r="R384" s="64">
        <v>0</v>
      </c>
      <c r="S384" s="64">
        <v>521000</v>
      </c>
      <c r="T384" s="64">
        <v>416800</v>
      </c>
      <c r="U384" s="64">
        <v>312600</v>
      </c>
      <c r="V384" s="64">
        <v>208400</v>
      </c>
      <c r="W384" s="64">
        <v>104200</v>
      </c>
      <c r="X384" s="64">
        <v>0</v>
      </c>
      <c r="Y384" s="64">
        <v>0</v>
      </c>
      <c r="Z384" s="64">
        <v>0</v>
      </c>
      <c r="AA384" s="64">
        <v>0</v>
      </c>
      <c r="AB384" s="64">
        <v>0</v>
      </c>
      <c r="AC384" s="64">
        <v>0</v>
      </c>
      <c r="AD384" s="64">
        <v>0</v>
      </c>
      <c r="AE384" s="64">
        <v>0</v>
      </c>
      <c r="AF384" s="64">
        <v>0</v>
      </c>
      <c r="AG384" s="64">
        <v>0</v>
      </c>
      <c r="AH384" s="64">
        <v>0</v>
      </c>
    </row>
    <row r="385" spans="6:34">
      <c r="F385" s="65">
        <v>2030</v>
      </c>
      <c r="G385" s="64">
        <v>994000</v>
      </c>
      <c r="H385" s="64">
        <v>994000</v>
      </c>
      <c r="J385" s="64">
        <v>0</v>
      </c>
      <c r="K385" s="64">
        <v>0</v>
      </c>
      <c r="L385" s="64">
        <v>0</v>
      </c>
      <c r="M385" s="64">
        <v>0</v>
      </c>
      <c r="N385" s="64">
        <v>0</v>
      </c>
      <c r="O385" s="64">
        <v>0</v>
      </c>
      <c r="P385" s="64">
        <v>0</v>
      </c>
      <c r="Q385" s="64">
        <v>0</v>
      </c>
      <c r="R385" s="64">
        <v>0</v>
      </c>
      <c r="S385" s="64">
        <v>0</v>
      </c>
      <c r="T385" s="64">
        <v>331333.33333333331</v>
      </c>
      <c r="U385" s="64">
        <v>265066.66666666669</v>
      </c>
      <c r="V385" s="64">
        <v>198800</v>
      </c>
      <c r="W385" s="64">
        <v>132533.33333333334</v>
      </c>
      <c r="X385" s="64">
        <v>66266.666666666672</v>
      </c>
      <c r="Y385" s="64">
        <v>0</v>
      </c>
      <c r="Z385" s="64">
        <v>0</v>
      </c>
      <c r="AA385" s="64">
        <v>0</v>
      </c>
      <c r="AB385" s="64">
        <v>0</v>
      </c>
      <c r="AC385" s="64">
        <v>0</v>
      </c>
      <c r="AD385" s="64">
        <v>0</v>
      </c>
      <c r="AE385" s="64">
        <v>0</v>
      </c>
      <c r="AF385" s="64">
        <v>0</v>
      </c>
      <c r="AG385" s="64">
        <v>0</v>
      </c>
      <c r="AH385" s="64">
        <v>0</v>
      </c>
    </row>
    <row r="386" spans="6:34">
      <c r="F386" s="65">
        <v>2031</v>
      </c>
      <c r="G386" s="64">
        <v>1447000</v>
      </c>
      <c r="H386" s="64">
        <v>1447000</v>
      </c>
      <c r="J386" s="64">
        <v>0</v>
      </c>
      <c r="K386" s="64">
        <v>0</v>
      </c>
      <c r="L386" s="64">
        <v>0</v>
      </c>
      <c r="M386" s="64">
        <v>0</v>
      </c>
      <c r="N386" s="64">
        <v>0</v>
      </c>
      <c r="O386" s="64">
        <v>0</v>
      </c>
      <c r="P386" s="64">
        <v>0</v>
      </c>
      <c r="Q386" s="64">
        <v>0</v>
      </c>
      <c r="R386" s="64">
        <v>0</v>
      </c>
      <c r="S386" s="64">
        <v>0</v>
      </c>
      <c r="T386" s="64">
        <v>0</v>
      </c>
      <c r="U386" s="64">
        <v>482333.33333333331</v>
      </c>
      <c r="V386" s="64">
        <v>385866.66666666669</v>
      </c>
      <c r="W386" s="64">
        <v>289400</v>
      </c>
      <c r="X386" s="64">
        <v>192933.33333333334</v>
      </c>
      <c r="Y386" s="64">
        <v>96466.666666666672</v>
      </c>
      <c r="Z386" s="64">
        <v>0</v>
      </c>
      <c r="AA386" s="64">
        <v>0</v>
      </c>
      <c r="AB386" s="64">
        <v>0</v>
      </c>
      <c r="AC386" s="64">
        <v>0</v>
      </c>
      <c r="AD386" s="64">
        <v>0</v>
      </c>
      <c r="AE386" s="64">
        <v>0</v>
      </c>
      <c r="AF386" s="64">
        <v>0</v>
      </c>
      <c r="AG386" s="64">
        <v>0</v>
      </c>
      <c r="AH386" s="64">
        <v>0</v>
      </c>
    </row>
    <row r="387" spans="6:34">
      <c r="F387" s="65">
        <v>2032</v>
      </c>
      <c r="G387" s="64">
        <v>724000</v>
      </c>
      <c r="H387" s="64">
        <v>724000</v>
      </c>
      <c r="J387" s="64">
        <v>0</v>
      </c>
      <c r="K387" s="64">
        <v>0</v>
      </c>
      <c r="L387" s="64">
        <v>0</v>
      </c>
      <c r="M387" s="64">
        <v>0</v>
      </c>
      <c r="N387" s="64">
        <v>0</v>
      </c>
      <c r="O387" s="64">
        <v>0</v>
      </c>
      <c r="P387" s="64">
        <v>0</v>
      </c>
      <c r="Q387" s="64">
        <v>0</v>
      </c>
      <c r="R387" s="64">
        <v>0</v>
      </c>
      <c r="S387" s="64">
        <v>0</v>
      </c>
      <c r="T387" s="64">
        <v>0</v>
      </c>
      <c r="U387" s="64">
        <v>0</v>
      </c>
      <c r="V387" s="64">
        <v>241333.33333333331</v>
      </c>
      <c r="W387" s="64">
        <v>193066.66666666666</v>
      </c>
      <c r="X387" s="64">
        <v>144800</v>
      </c>
      <c r="Y387" s="64">
        <v>96533.333333333328</v>
      </c>
      <c r="Z387" s="64">
        <v>48266.666666666664</v>
      </c>
      <c r="AA387" s="64">
        <v>0</v>
      </c>
      <c r="AB387" s="64">
        <v>0</v>
      </c>
      <c r="AC387" s="64">
        <v>0</v>
      </c>
      <c r="AD387" s="64">
        <v>0</v>
      </c>
      <c r="AE387" s="64">
        <v>0</v>
      </c>
      <c r="AF387" s="64">
        <v>0</v>
      </c>
      <c r="AG387" s="64">
        <v>0</v>
      </c>
      <c r="AH387" s="64">
        <v>0</v>
      </c>
    </row>
    <row r="388" spans="6:34">
      <c r="F388" s="65">
        <v>2033</v>
      </c>
      <c r="G388" s="64">
        <v>919000</v>
      </c>
      <c r="H388" s="64">
        <v>919000</v>
      </c>
      <c r="J388" s="64">
        <v>0</v>
      </c>
      <c r="K388" s="64">
        <v>0</v>
      </c>
      <c r="L388" s="64">
        <v>0</v>
      </c>
      <c r="M388" s="64">
        <v>0</v>
      </c>
      <c r="N388" s="64">
        <v>0</v>
      </c>
      <c r="O388" s="64">
        <v>0</v>
      </c>
      <c r="P388" s="64">
        <v>0</v>
      </c>
      <c r="Q388" s="64">
        <v>0</v>
      </c>
      <c r="R388" s="64">
        <v>0</v>
      </c>
      <c r="S388" s="64">
        <v>0</v>
      </c>
      <c r="T388" s="64">
        <v>0</v>
      </c>
      <c r="U388" s="64">
        <v>0</v>
      </c>
      <c r="V388" s="64">
        <v>0</v>
      </c>
      <c r="W388" s="64">
        <v>306333.33333333331</v>
      </c>
      <c r="X388" s="64">
        <v>245066.66666666666</v>
      </c>
      <c r="Y388" s="64">
        <v>183800</v>
      </c>
      <c r="Z388" s="64">
        <v>122533.33333333333</v>
      </c>
      <c r="AA388" s="64">
        <v>61266.666666666664</v>
      </c>
      <c r="AB388" s="64">
        <v>0</v>
      </c>
      <c r="AC388" s="64">
        <v>0</v>
      </c>
      <c r="AD388" s="64">
        <v>0</v>
      </c>
      <c r="AE388" s="64">
        <v>0</v>
      </c>
      <c r="AF388" s="64">
        <v>0</v>
      </c>
      <c r="AG388" s="64">
        <v>0</v>
      </c>
      <c r="AH388" s="64">
        <v>0</v>
      </c>
    </row>
    <row r="389" spans="6:34">
      <c r="F389" s="65">
        <v>2034</v>
      </c>
      <c r="G389" s="64">
        <v>1175000</v>
      </c>
      <c r="H389" s="64">
        <v>1175000</v>
      </c>
      <c r="J389" s="64">
        <v>0</v>
      </c>
      <c r="K389" s="64">
        <v>0</v>
      </c>
      <c r="L389" s="64">
        <v>0</v>
      </c>
      <c r="M389" s="64">
        <v>0</v>
      </c>
      <c r="N389" s="64">
        <v>0</v>
      </c>
      <c r="O389" s="64">
        <v>0</v>
      </c>
      <c r="P389" s="64">
        <v>0</v>
      </c>
      <c r="Q389" s="64">
        <v>0</v>
      </c>
      <c r="R389" s="64">
        <v>0</v>
      </c>
      <c r="S389" s="64">
        <v>0</v>
      </c>
      <c r="T389" s="64">
        <v>0</v>
      </c>
      <c r="U389" s="64">
        <v>0</v>
      </c>
      <c r="V389" s="64">
        <v>0</v>
      </c>
      <c r="W389" s="64">
        <v>0</v>
      </c>
      <c r="X389" s="64">
        <v>391666.66666666663</v>
      </c>
      <c r="Y389" s="64">
        <v>313333.33333333331</v>
      </c>
      <c r="Z389" s="64">
        <v>235000</v>
      </c>
      <c r="AA389" s="64">
        <v>156666.66666666666</v>
      </c>
      <c r="AB389" s="64">
        <v>78333.333333333328</v>
      </c>
      <c r="AC389" s="64">
        <v>0</v>
      </c>
      <c r="AD389" s="64">
        <v>0</v>
      </c>
      <c r="AE389" s="64">
        <v>0</v>
      </c>
      <c r="AF389" s="64">
        <v>0</v>
      </c>
      <c r="AG389" s="64">
        <v>0</v>
      </c>
      <c r="AH389" s="64">
        <v>0</v>
      </c>
    </row>
    <row r="390" spans="6:34">
      <c r="F390" s="65">
        <v>2035</v>
      </c>
      <c r="G390" s="64">
        <v>350000</v>
      </c>
      <c r="H390" s="64">
        <v>350000</v>
      </c>
      <c r="J390" s="64">
        <v>0</v>
      </c>
      <c r="K390" s="64">
        <v>0</v>
      </c>
      <c r="L390" s="64">
        <v>0</v>
      </c>
      <c r="M390" s="64">
        <v>0</v>
      </c>
      <c r="N390" s="64">
        <v>0</v>
      </c>
      <c r="O390" s="64">
        <v>0</v>
      </c>
      <c r="P390" s="64">
        <v>0</v>
      </c>
      <c r="Q390" s="64">
        <v>0</v>
      </c>
      <c r="R390" s="64">
        <v>0</v>
      </c>
      <c r="S390" s="64">
        <v>0</v>
      </c>
      <c r="T390" s="64">
        <v>0</v>
      </c>
      <c r="U390" s="64">
        <v>0</v>
      </c>
      <c r="V390" s="64">
        <v>0</v>
      </c>
      <c r="W390" s="64">
        <v>0</v>
      </c>
      <c r="X390" s="64">
        <v>0</v>
      </c>
      <c r="Y390" s="64">
        <v>116666.66666666666</v>
      </c>
      <c r="Z390" s="64">
        <v>93333.333333333328</v>
      </c>
      <c r="AA390" s="64">
        <v>70000</v>
      </c>
      <c r="AB390" s="64">
        <v>46666.666666666664</v>
      </c>
      <c r="AC390" s="64">
        <v>23333.333333333332</v>
      </c>
      <c r="AD390" s="64">
        <v>0</v>
      </c>
      <c r="AE390" s="64">
        <v>0</v>
      </c>
      <c r="AF390" s="64">
        <v>0</v>
      </c>
      <c r="AG390" s="64">
        <v>0</v>
      </c>
      <c r="AH390" s="64">
        <v>0</v>
      </c>
    </row>
    <row r="391" spans="6:34">
      <c r="F391" s="65">
        <v>2036</v>
      </c>
      <c r="G391" s="64">
        <v>1645000</v>
      </c>
      <c r="H391" s="64">
        <v>1645000</v>
      </c>
      <c r="J391" s="64">
        <v>0</v>
      </c>
      <c r="K391" s="64">
        <v>0</v>
      </c>
      <c r="L391" s="64">
        <v>0</v>
      </c>
      <c r="M391" s="64">
        <v>0</v>
      </c>
      <c r="N391" s="64">
        <v>0</v>
      </c>
      <c r="O391" s="64">
        <v>0</v>
      </c>
      <c r="P391" s="64">
        <v>0</v>
      </c>
      <c r="Q391" s="64">
        <v>0</v>
      </c>
      <c r="R391" s="64">
        <v>0</v>
      </c>
      <c r="S391" s="64">
        <v>0</v>
      </c>
      <c r="T391" s="64">
        <v>0</v>
      </c>
      <c r="U391" s="64">
        <v>0</v>
      </c>
      <c r="V391" s="64">
        <v>0</v>
      </c>
      <c r="W391" s="64">
        <v>0</v>
      </c>
      <c r="X391" s="64">
        <v>0</v>
      </c>
      <c r="Y391" s="64">
        <v>0</v>
      </c>
      <c r="Z391" s="64">
        <v>548333.33333333326</v>
      </c>
      <c r="AA391" s="64">
        <v>438666.66666666669</v>
      </c>
      <c r="AB391" s="64">
        <v>329000</v>
      </c>
      <c r="AC391" s="64">
        <v>219333.33333333334</v>
      </c>
      <c r="AD391" s="64">
        <v>109666.66666666667</v>
      </c>
      <c r="AE391" s="64">
        <v>0</v>
      </c>
      <c r="AF391" s="64">
        <v>0</v>
      </c>
      <c r="AG391" s="64">
        <v>0</v>
      </c>
      <c r="AH391" s="64">
        <v>0</v>
      </c>
    </row>
    <row r="392" spans="6:34">
      <c r="F392" s="65">
        <v>2037</v>
      </c>
      <c r="G392" s="64">
        <v>668000</v>
      </c>
      <c r="H392" s="64">
        <v>668000</v>
      </c>
      <c r="J392" s="64">
        <v>0</v>
      </c>
      <c r="K392" s="64">
        <v>0</v>
      </c>
      <c r="L392" s="64">
        <v>0</v>
      </c>
      <c r="M392" s="64">
        <v>0</v>
      </c>
      <c r="N392" s="64">
        <v>0</v>
      </c>
      <c r="O392" s="64">
        <v>0</v>
      </c>
      <c r="P392" s="64">
        <v>0</v>
      </c>
      <c r="Q392" s="64">
        <v>0</v>
      </c>
      <c r="R392" s="64">
        <v>0</v>
      </c>
      <c r="S392" s="64">
        <v>0</v>
      </c>
      <c r="T392" s="64">
        <v>0</v>
      </c>
      <c r="U392" s="64">
        <v>0</v>
      </c>
      <c r="V392" s="64">
        <v>0</v>
      </c>
      <c r="W392" s="64">
        <v>0</v>
      </c>
      <c r="X392" s="64">
        <v>0</v>
      </c>
      <c r="Y392" s="64">
        <v>0</v>
      </c>
      <c r="Z392" s="64">
        <v>0</v>
      </c>
      <c r="AA392" s="64">
        <v>222666.66666666666</v>
      </c>
      <c r="AB392" s="64">
        <v>178133.33333333334</v>
      </c>
      <c r="AC392" s="64">
        <v>133600</v>
      </c>
      <c r="AD392" s="64">
        <v>89066.666666666672</v>
      </c>
      <c r="AE392" s="64">
        <v>44533.333333333336</v>
      </c>
      <c r="AF392" s="64">
        <v>0</v>
      </c>
      <c r="AG392" s="64">
        <v>0</v>
      </c>
      <c r="AH392" s="64">
        <v>0</v>
      </c>
    </row>
    <row r="393" spans="6:34">
      <c r="F393" s="65">
        <v>2038</v>
      </c>
      <c r="G393" s="64">
        <v>1504000</v>
      </c>
      <c r="H393" s="64">
        <v>1504000</v>
      </c>
      <c r="J393" s="64">
        <v>0</v>
      </c>
      <c r="K393" s="64">
        <v>0</v>
      </c>
      <c r="L393" s="64">
        <v>0</v>
      </c>
      <c r="M393" s="64">
        <v>0</v>
      </c>
      <c r="N393" s="64">
        <v>0</v>
      </c>
      <c r="O393" s="64">
        <v>0</v>
      </c>
      <c r="P393" s="64">
        <v>0</v>
      </c>
      <c r="Q393" s="64">
        <v>0</v>
      </c>
      <c r="R393" s="64">
        <v>0</v>
      </c>
      <c r="S393" s="64">
        <v>0</v>
      </c>
      <c r="T393" s="64">
        <v>0</v>
      </c>
      <c r="U393" s="64">
        <v>0</v>
      </c>
      <c r="V393" s="64">
        <v>0</v>
      </c>
      <c r="W393" s="64">
        <v>0</v>
      </c>
      <c r="X393" s="64">
        <v>0</v>
      </c>
      <c r="Y393" s="64">
        <v>0</v>
      </c>
      <c r="Z393" s="64">
        <v>0</v>
      </c>
      <c r="AA393" s="64">
        <v>0</v>
      </c>
      <c r="AB393" s="64">
        <v>501333.33333333331</v>
      </c>
      <c r="AC393" s="64">
        <v>401066.66666666669</v>
      </c>
      <c r="AD393" s="64">
        <v>300800</v>
      </c>
      <c r="AE393" s="64">
        <v>200533.33333333334</v>
      </c>
      <c r="AF393" s="64">
        <v>100266.66666666667</v>
      </c>
      <c r="AG393" s="64">
        <v>0</v>
      </c>
      <c r="AH393" s="64">
        <v>0</v>
      </c>
    </row>
    <row r="394" spans="6:34">
      <c r="F394" s="65">
        <v>2039</v>
      </c>
      <c r="G394" s="64">
        <v>1235000</v>
      </c>
      <c r="H394" s="64">
        <v>1235000</v>
      </c>
      <c r="J394" s="64">
        <v>0</v>
      </c>
      <c r="K394" s="64">
        <v>0</v>
      </c>
      <c r="L394" s="64">
        <v>0</v>
      </c>
      <c r="M394" s="64">
        <v>0</v>
      </c>
      <c r="N394" s="64">
        <v>0</v>
      </c>
      <c r="O394" s="64">
        <v>0</v>
      </c>
      <c r="P394" s="64">
        <v>0</v>
      </c>
      <c r="Q394" s="64">
        <v>0</v>
      </c>
      <c r="R394" s="64">
        <v>0</v>
      </c>
      <c r="S394" s="64">
        <v>0</v>
      </c>
      <c r="T394" s="64">
        <v>0</v>
      </c>
      <c r="U394" s="64">
        <v>0</v>
      </c>
      <c r="V394" s="64">
        <v>0</v>
      </c>
      <c r="W394" s="64">
        <v>0</v>
      </c>
      <c r="X394" s="64">
        <v>0</v>
      </c>
      <c r="Y394" s="64">
        <v>0</v>
      </c>
      <c r="Z394" s="64">
        <v>0</v>
      </c>
      <c r="AA394" s="64">
        <v>0</v>
      </c>
      <c r="AB394" s="64">
        <v>0</v>
      </c>
      <c r="AC394" s="64">
        <v>411666.66666666663</v>
      </c>
      <c r="AD394" s="64">
        <v>329333.33333333331</v>
      </c>
      <c r="AE394" s="64">
        <v>247000</v>
      </c>
      <c r="AF394" s="64">
        <v>164666.66666666666</v>
      </c>
      <c r="AG394" s="64">
        <v>82333.333333333328</v>
      </c>
      <c r="AH394" s="64">
        <v>0</v>
      </c>
    </row>
    <row r="395" spans="6:34">
      <c r="F395" s="65">
        <v>2040</v>
      </c>
      <c r="G395" s="64">
        <v>928000</v>
      </c>
      <c r="H395" s="64">
        <v>928000</v>
      </c>
      <c r="J395" s="64">
        <v>0</v>
      </c>
      <c r="K395" s="64">
        <v>0</v>
      </c>
      <c r="L395" s="64">
        <v>0</v>
      </c>
      <c r="M395" s="64">
        <v>0</v>
      </c>
      <c r="N395" s="64">
        <v>0</v>
      </c>
      <c r="O395" s="64">
        <v>0</v>
      </c>
      <c r="P395" s="64">
        <v>0</v>
      </c>
      <c r="Q395" s="64">
        <v>0</v>
      </c>
      <c r="R395" s="64">
        <v>0</v>
      </c>
      <c r="S395" s="64">
        <v>0</v>
      </c>
      <c r="T395" s="64">
        <v>0</v>
      </c>
      <c r="U395" s="64">
        <v>0</v>
      </c>
      <c r="V395" s="64">
        <v>0</v>
      </c>
      <c r="W395" s="64">
        <v>0</v>
      </c>
      <c r="X395" s="64">
        <v>0</v>
      </c>
      <c r="Y395" s="64">
        <v>0</v>
      </c>
      <c r="Z395" s="64">
        <v>0</v>
      </c>
      <c r="AA395" s="64">
        <v>0</v>
      </c>
      <c r="AB395" s="64">
        <v>0</v>
      </c>
      <c r="AC395" s="64">
        <v>0</v>
      </c>
      <c r="AD395" s="64">
        <v>309333.33333333331</v>
      </c>
      <c r="AE395" s="64">
        <v>247466.66666666666</v>
      </c>
      <c r="AF395" s="64">
        <v>185600</v>
      </c>
      <c r="AG395" s="64">
        <v>123733.33333333333</v>
      </c>
      <c r="AH395" s="64">
        <v>61866.666666666664</v>
      </c>
    </row>
    <row r="396" spans="6:34">
      <c r="F396" s="65">
        <v>2041</v>
      </c>
      <c r="G396" s="64">
        <v>1370000</v>
      </c>
      <c r="H396" s="64">
        <v>1278666.6666666667</v>
      </c>
      <c r="J396" s="64">
        <v>0</v>
      </c>
      <c r="K396" s="64">
        <v>0</v>
      </c>
      <c r="L396" s="64">
        <v>0</v>
      </c>
      <c r="M396" s="64">
        <v>0</v>
      </c>
      <c r="N396" s="64">
        <v>0</v>
      </c>
      <c r="O396" s="64">
        <v>0</v>
      </c>
      <c r="P396" s="64">
        <v>0</v>
      </c>
      <c r="Q396" s="64">
        <v>0</v>
      </c>
      <c r="R396" s="64">
        <v>0</v>
      </c>
      <c r="S396" s="64">
        <v>0</v>
      </c>
      <c r="T396" s="64">
        <v>0</v>
      </c>
      <c r="U396" s="64">
        <v>0</v>
      </c>
      <c r="V396" s="64">
        <v>0</v>
      </c>
      <c r="W396" s="64">
        <v>0</v>
      </c>
      <c r="X396" s="64">
        <v>0</v>
      </c>
      <c r="Y396" s="64">
        <v>0</v>
      </c>
      <c r="Z396" s="64">
        <v>0</v>
      </c>
      <c r="AA396" s="64">
        <v>0</v>
      </c>
      <c r="AB396" s="64">
        <v>0</v>
      </c>
      <c r="AC396" s="64">
        <v>0</v>
      </c>
      <c r="AD396" s="64">
        <v>0</v>
      </c>
      <c r="AE396" s="64">
        <v>456666.66666666663</v>
      </c>
      <c r="AF396" s="64">
        <v>365333.33333333331</v>
      </c>
      <c r="AG396" s="64">
        <v>274000</v>
      </c>
      <c r="AH396" s="64">
        <v>182666.66666666666</v>
      </c>
    </row>
    <row r="397" spans="6:34">
      <c r="F397" s="65">
        <v>2042</v>
      </c>
      <c r="G397" s="64">
        <v>1218000</v>
      </c>
      <c r="H397" s="64">
        <v>974400</v>
      </c>
      <c r="J397" s="64">
        <v>0</v>
      </c>
      <c r="K397" s="64">
        <v>0</v>
      </c>
      <c r="L397" s="64">
        <v>0</v>
      </c>
      <c r="M397" s="64">
        <v>0</v>
      </c>
      <c r="N397" s="64">
        <v>0</v>
      </c>
      <c r="O397" s="64">
        <v>0</v>
      </c>
      <c r="P397" s="64">
        <v>0</v>
      </c>
      <c r="Q397" s="64">
        <v>0</v>
      </c>
      <c r="R397" s="64">
        <v>0</v>
      </c>
      <c r="S397" s="64">
        <v>0</v>
      </c>
      <c r="T397" s="64">
        <v>0</v>
      </c>
      <c r="U397" s="64">
        <v>0</v>
      </c>
      <c r="V397" s="64">
        <v>0</v>
      </c>
      <c r="W397" s="64">
        <v>0</v>
      </c>
      <c r="X397" s="64">
        <v>0</v>
      </c>
      <c r="Y397" s="64">
        <v>0</v>
      </c>
      <c r="Z397" s="64">
        <v>0</v>
      </c>
      <c r="AA397" s="64">
        <v>0</v>
      </c>
      <c r="AB397" s="64">
        <v>0</v>
      </c>
      <c r="AC397" s="64">
        <v>0</v>
      </c>
      <c r="AD397" s="64">
        <v>0</v>
      </c>
      <c r="AE397" s="64">
        <v>0</v>
      </c>
      <c r="AF397" s="64">
        <v>406000</v>
      </c>
      <c r="AG397" s="64">
        <v>324800</v>
      </c>
      <c r="AH397" s="64">
        <v>243600</v>
      </c>
    </row>
    <row r="398" spans="6:34">
      <c r="F398" s="65">
        <v>2043</v>
      </c>
      <c r="G398" s="64">
        <v>609000</v>
      </c>
      <c r="H398" s="64">
        <v>365400</v>
      </c>
      <c r="J398" s="64">
        <v>0</v>
      </c>
      <c r="K398" s="64">
        <v>0</v>
      </c>
      <c r="L398" s="64">
        <v>0</v>
      </c>
      <c r="M398" s="64">
        <v>0</v>
      </c>
      <c r="N398" s="64">
        <v>0</v>
      </c>
      <c r="O398" s="64">
        <v>0</v>
      </c>
      <c r="P398" s="64">
        <v>0</v>
      </c>
      <c r="Q398" s="64">
        <v>0</v>
      </c>
      <c r="R398" s="64">
        <v>0</v>
      </c>
      <c r="S398" s="64">
        <v>0</v>
      </c>
      <c r="T398" s="64">
        <v>0</v>
      </c>
      <c r="U398" s="64">
        <v>0</v>
      </c>
      <c r="V398" s="64">
        <v>0</v>
      </c>
      <c r="W398" s="64">
        <v>0</v>
      </c>
      <c r="X398" s="64">
        <v>0</v>
      </c>
      <c r="Y398" s="64">
        <v>0</v>
      </c>
      <c r="Z398" s="64">
        <v>0</v>
      </c>
      <c r="AA398" s="64">
        <v>0</v>
      </c>
      <c r="AB398" s="64">
        <v>0</v>
      </c>
      <c r="AC398" s="64">
        <v>0</v>
      </c>
      <c r="AD398" s="64">
        <v>0</v>
      </c>
      <c r="AE398" s="64">
        <v>0</v>
      </c>
      <c r="AF398" s="64">
        <v>0</v>
      </c>
      <c r="AG398" s="64">
        <v>203000</v>
      </c>
      <c r="AH398" s="64">
        <v>162400</v>
      </c>
    </row>
    <row r="399" spans="6:34">
      <c r="F399" s="65">
        <v>2044</v>
      </c>
      <c r="G399" s="64">
        <v>904000</v>
      </c>
      <c r="H399" s="64">
        <v>301333.33333333331</v>
      </c>
      <c r="J399" s="64">
        <v>0</v>
      </c>
      <c r="K399" s="64">
        <v>0</v>
      </c>
      <c r="L399" s="64">
        <v>0</v>
      </c>
      <c r="M399" s="64">
        <v>0</v>
      </c>
      <c r="N399" s="64">
        <v>0</v>
      </c>
      <c r="O399" s="64">
        <v>0</v>
      </c>
      <c r="P399" s="64">
        <v>0</v>
      </c>
      <c r="Q399" s="64">
        <v>0</v>
      </c>
      <c r="R399" s="64">
        <v>0</v>
      </c>
      <c r="S399" s="64">
        <v>0</v>
      </c>
      <c r="T399" s="64">
        <v>0</v>
      </c>
      <c r="U399" s="64">
        <v>0</v>
      </c>
      <c r="V399" s="64">
        <v>0</v>
      </c>
      <c r="W399" s="64">
        <v>0</v>
      </c>
      <c r="X399" s="64">
        <v>0</v>
      </c>
      <c r="Y399" s="64">
        <v>0</v>
      </c>
      <c r="Z399" s="64">
        <v>0</v>
      </c>
      <c r="AA399" s="64">
        <v>0</v>
      </c>
      <c r="AB399" s="64">
        <v>0</v>
      </c>
      <c r="AC399" s="64">
        <v>0</v>
      </c>
      <c r="AD399" s="64">
        <v>0</v>
      </c>
      <c r="AE399" s="64">
        <v>0</v>
      </c>
      <c r="AF399" s="64">
        <v>0</v>
      </c>
      <c r="AG399" s="64">
        <v>0</v>
      </c>
      <c r="AH399" s="64">
        <v>301333.33333333331</v>
      </c>
    </row>
    <row r="400" spans="6:34">
      <c r="J400" s="69" cm="1">
        <f t="array" ref="J400:AH400">_xlfn.BYCOL(_xlfn.ANCHORARRAY( J375), _xleta.SUM )</f>
        <v>605333.33333333326</v>
      </c>
      <c r="K400" s="69">
        <v>552266.66666666674</v>
      </c>
      <c r="L400" s="69">
        <v>625266.66666666663</v>
      </c>
      <c r="M400" s="69">
        <v>1012400</v>
      </c>
      <c r="N400" s="69">
        <v>1006533.3333333334</v>
      </c>
      <c r="O400" s="69">
        <v>1048066.6666666667</v>
      </c>
      <c r="P400" s="69">
        <v>1017266.6666666667</v>
      </c>
      <c r="Q400" s="69">
        <v>739200.00000000012</v>
      </c>
      <c r="R400" s="69">
        <v>672133.33333333337</v>
      </c>
      <c r="S400" s="69">
        <v>942733.33333333337</v>
      </c>
      <c r="T400" s="69">
        <v>976066.66666666651</v>
      </c>
      <c r="U400" s="69">
        <v>1171533.3333333333</v>
      </c>
      <c r="V400" s="69">
        <v>1083733.3333333333</v>
      </c>
      <c r="W400" s="69">
        <v>1025533.3333333333</v>
      </c>
      <c r="X400" s="69">
        <v>1040733.3333333333</v>
      </c>
      <c r="Y400" s="69">
        <v>806799.99999999988</v>
      </c>
      <c r="Z400" s="69">
        <v>1047466.6666666665</v>
      </c>
      <c r="AA400" s="69">
        <v>949266.66666666663</v>
      </c>
      <c r="AB400" s="69">
        <v>1133466.6666666667</v>
      </c>
      <c r="AC400" s="69">
        <v>1189000</v>
      </c>
      <c r="AD400" s="69">
        <v>1138200</v>
      </c>
      <c r="AE400" s="69">
        <v>1196200</v>
      </c>
      <c r="AF400" s="69">
        <v>1221866.6666666665</v>
      </c>
      <c r="AG400" s="69">
        <v>1007866.6666666666</v>
      </c>
      <c r="AH400" s="69">
        <v>951866.66666666651</v>
      </c>
    </row>
  </sheetData>
  <printOptions horizontalCentered="1"/>
  <pageMargins left="0" right="0" top="0.19685039370078741" bottom="0.39370078740157483" header="0.15748031496062992" footer="0.15748031496062992"/>
  <pageSetup paperSize="9" scale="45" fitToHeight="0" orientation="landscape" horizontalDpi="300" verticalDpi="300" r:id="rId1"/>
  <headerFooter>
    <oddFooter>&amp;LFinancial Modeling Institute
CFM October 2026&amp;CPage &amp;P of &amp;N&amp;R&amp;D</oddFooter>
  </headerFooter>
  <rowBreaks count="3" manualBreakCount="3">
    <brk id="33" max="16383" man="1"/>
    <brk id="156" max="16383" man="1"/>
    <brk id="27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9CA8-5601-43F2-9D61-965067DADFCD}">
  <dimension ref="A1:AH7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7" sqref="J7"/>
    </sheetView>
  </sheetViews>
  <sheetFormatPr defaultRowHeight="13.8"/>
  <cols>
    <col min="1" max="4" width="1.59765625" customWidth="1"/>
    <col min="5" max="5" width="40.59765625" customWidth="1"/>
    <col min="6" max="8" width="10.59765625" customWidth="1"/>
    <col min="9" max="9" width="1.59765625" customWidth="1"/>
    <col min="10" max="10" width="12.59765625" customWidth="1"/>
    <col min="11" max="34" width="11.8984375" bestFit="1" customWidth="1"/>
  </cols>
  <sheetData>
    <row r="1" spans="1:34" s="58" customFormat="1">
      <c r="A1" s="58" t="str" cm="1">
        <f t="array" ref="A1">company</f>
        <v>Big Dog Construction</v>
      </c>
    </row>
    <row r="2" spans="1:34" s="58" customFormat="1">
      <c r="A2" s="58" t="str" cm="1">
        <f t="array" ref="A2">topic</f>
        <v>CFM Topic: CAPEX and Depreciation</v>
      </c>
    </row>
    <row r="3" spans="1:34" s="58" customFormat="1">
      <c r="A3" s="58" t="s">
        <v>59</v>
      </c>
      <c r="F3" s="58" t="s">
        <v>52</v>
      </c>
      <c r="G3" s="58" t="s">
        <v>53</v>
      </c>
      <c r="H3" s="58" t="s">
        <v>54</v>
      </c>
      <c r="J3" s="63" cm="1">
        <f t="array" ref="J3:AH3">EOMONTH( start_date, _xlfn.SEQUENCE( 1, periods, 0, 12 ) )</f>
        <v>43861</v>
      </c>
      <c r="K3" s="63">
        <v>44227</v>
      </c>
      <c r="L3" s="63">
        <v>44592</v>
      </c>
      <c r="M3" s="63">
        <v>44957</v>
      </c>
      <c r="N3" s="63">
        <v>45322</v>
      </c>
      <c r="O3" s="63">
        <v>45688</v>
      </c>
      <c r="P3" s="63">
        <v>46053</v>
      </c>
      <c r="Q3" s="63">
        <v>46418</v>
      </c>
      <c r="R3" s="63">
        <v>46783</v>
      </c>
      <c r="S3" s="63">
        <v>47149</v>
      </c>
      <c r="T3" s="63">
        <v>47514</v>
      </c>
      <c r="U3" s="63">
        <v>47879</v>
      </c>
      <c r="V3" s="63">
        <v>48244</v>
      </c>
      <c r="W3" s="63">
        <v>48610</v>
      </c>
      <c r="X3" s="63">
        <v>48975</v>
      </c>
      <c r="Y3" s="63">
        <v>49340</v>
      </c>
      <c r="Z3" s="63">
        <v>49705</v>
      </c>
      <c r="AA3" s="63">
        <v>50071</v>
      </c>
      <c r="AB3" s="63">
        <v>50436</v>
      </c>
      <c r="AC3" s="63">
        <v>50801</v>
      </c>
      <c r="AD3" s="63">
        <v>51166</v>
      </c>
      <c r="AE3" s="63">
        <v>51532</v>
      </c>
      <c r="AF3" s="63">
        <v>51897</v>
      </c>
      <c r="AG3" s="63">
        <v>52262</v>
      </c>
      <c r="AH3" s="63">
        <v>52627</v>
      </c>
    </row>
    <row r="5" spans="1:34" s="59" customFormat="1">
      <c r="B5" s="60" t="s">
        <v>60</v>
      </c>
    </row>
    <row r="7" spans="1:34">
      <c r="E7" t="s">
        <v>61</v>
      </c>
      <c r="G7" t="s">
        <v>62</v>
      </c>
      <c r="J7" s="62" cm="1">
        <f t="array" ref="J7:AH7">EOMONTH( start_date, _xlfn.SEQUENCE( 1, periods, 0, 12 ) )</f>
        <v>43861</v>
      </c>
      <c r="K7" s="62">
        <v>44227</v>
      </c>
      <c r="L7" s="62">
        <v>44592</v>
      </c>
      <c r="M7" s="62">
        <v>44957</v>
      </c>
      <c r="N7" s="62">
        <v>45322</v>
      </c>
      <c r="O7" s="62">
        <v>45688</v>
      </c>
      <c r="P7" s="62">
        <v>46053</v>
      </c>
      <c r="Q7" s="62">
        <v>46418</v>
      </c>
      <c r="R7" s="62">
        <v>46783</v>
      </c>
      <c r="S7" s="62">
        <v>47149</v>
      </c>
      <c r="T7" s="62">
        <v>47514</v>
      </c>
      <c r="U7" s="62">
        <v>47879</v>
      </c>
      <c r="V7" s="62">
        <v>48244</v>
      </c>
      <c r="W7" s="62">
        <v>48610</v>
      </c>
      <c r="X7" s="62">
        <v>48975</v>
      </c>
      <c r="Y7" s="62">
        <v>49340</v>
      </c>
      <c r="Z7" s="62">
        <v>49705</v>
      </c>
      <c r="AA7" s="62">
        <v>50071</v>
      </c>
      <c r="AB7" s="62">
        <v>50436</v>
      </c>
      <c r="AC7" s="62">
        <v>50801</v>
      </c>
      <c r="AD7" s="62">
        <v>51166</v>
      </c>
      <c r="AE7" s="62">
        <v>51532</v>
      </c>
      <c r="AF7" s="62">
        <v>51897</v>
      </c>
      <c r="AG7" s="62">
        <v>52262</v>
      </c>
      <c r="AH7" s="62">
        <v>52627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3B19-EBC6-42AA-A360-803E9A434647}">
  <dimension ref="A1:AH3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3" sqref="J3"/>
    </sheetView>
  </sheetViews>
  <sheetFormatPr defaultRowHeight="13.8"/>
  <cols>
    <col min="1" max="4" width="1.59765625" customWidth="1"/>
    <col min="5" max="5" width="40.59765625" customWidth="1"/>
    <col min="6" max="8" width="10.59765625" customWidth="1"/>
    <col min="9" max="9" width="1.59765625" customWidth="1"/>
    <col min="10" max="34" width="12.59765625" customWidth="1"/>
  </cols>
  <sheetData>
    <row r="1" spans="1:34" s="58" customFormat="1">
      <c r="A1" s="58" t="str" cm="1">
        <f t="array" ref="A1">company</f>
        <v>Big Dog Construction</v>
      </c>
    </row>
    <row r="2" spans="1:34" s="58" customFormat="1">
      <c r="A2" s="58" t="str" cm="1">
        <f t="array" ref="A2">topic</f>
        <v>CFM Topic: CAPEX and Depreciation</v>
      </c>
    </row>
    <row r="3" spans="1:34" s="58" customFormat="1">
      <c r="A3" s="58" t="s">
        <v>51</v>
      </c>
      <c r="F3" s="58" t="s">
        <v>52</v>
      </c>
      <c r="G3" s="58" t="s">
        <v>53</v>
      </c>
      <c r="H3" s="58" t="s">
        <v>54</v>
      </c>
      <c r="J3" s="63" cm="1">
        <f t="array" ref="J3:AH3">EOMONTH( start_date, _xlfn.SEQUENCE( 1, periods, 0, 12 ) )</f>
        <v>43861</v>
      </c>
      <c r="K3" s="63">
        <v>44227</v>
      </c>
      <c r="L3" s="63">
        <v>44592</v>
      </c>
      <c r="M3" s="63">
        <v>44957</v>
      </c>
      <c r="N3" s="63">
        <v>45322</v>
      </c>
      <c r="O3" s="63">
        <v>45688</v>
      </c>
      <c r="P3" s="63">
        <v>46053</v>
      </c>
      <c r="Q3" s="63">
        <v>46418</v>
      </c>
      <c r="R3" s="63">
        <v>46783</v>
      </c>
      <c r="S3" s="63">
        <v>47149</v>
      </c>
      <c r="T3" s="63">
        <v>47514</v>
      </c>
      <c r="U3" s="63">
        <v>47879</v>
      </c>
      <c r="V3" s="63">
        <v>48244</v>
      </c>
      <c r="W3" s="63">
        <v>48610</v>
      </c>
      <c r="X3" s="63">
        <v>48975</v>
      </c>
      <c r="Y3" s="63">
        <v>49340</v>
      </c>
      <c r="Z3" s="63">
        <v>49705</v>
      </c>
      <c r="AA3" s="63">
        <v>50071</v>
      </c>
      <c r="AB3" s="63">
        <v>50436</v>
      </c>
      <c r="AC3" s="63">
        <v>50801</v>
      </c>
      <c r="AD3" s="63">
        <v>51166</v>
      </c>
      <c r="AE3" s="63">
        <v>51532</v>
      </c>
      <c r="AF3" s="63">
        <v>51897</v>
      </c>
      <c r="AG3" s="63">
        <v>52262</v>
      </c>
      <c r="AH3" s="63">
        <v>52627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paperSize="9" scale="45" orientation="landscape" horizontalDpi="300" verticalDpi="300" r:id="rId1"/>
  <headerFooter>
    <oddFooter>&amp;LFinancial Modeling Institute
CFM October 2026&amp;CPage &amp;P of &amp;N&amp;R&amp;D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1231-A39D-48C8-805B-FECDA732A10F}">
  <sheetPr>
    <outlinePr summaryBelow="0"/>
  </sheetPr>
  <dimension ref="A1:AH437"/>
  <sheetViews>
    <sheetView showGridLines="0" topLeftCell="A54" zoomScale="85" zoomScaleNormal="85" workbookViewId="0">
      <selection activeCell="E64" sqref="E64"/>
    </sheetView>
  </sheetViews>
  <sheetFormatPr defaultColWidth="12.69921875" defaultRowHeight="13.2"/>
  <cols>
    <col min="1" max="2" width="3.69921875" style="1" customWidth="1"/>
    <col min="3" max="3" width="30.69921875" style="1" customWidth="1"/>
    <col min="4" max="7" width="12.69921875" style="1"/>
    <col min="8" max="8" width="12.69921875" style="1" customWidth="1"/>
    <col min="9" max="16384" width="12.69921875" style="1"/>
  </cols>
  <sheetData>
    <row r="1" spans="1:21">
      <c r="A1" s="4" t="s">
        <v>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3" spans="1:21">
      <c r="C3" s="1" t="s">
        <v>55</v>
      </c>
      <c r="G3" s="9" t="s">
        <v>56</v>
      </c>
    </row>
    <row r="4" spans="1:21">
      <c r="C4" s="1" t="s">
        <v>57</v>
      </c>
      <c r="G4" s="9" t="s">
        <v>58</v>
      </c>
    </row>
    <row r="6" spans="1:21" ht="13.8">
      <c r="C6" s="3" t="s">
        <v>8</v>
      </c>
      <c r="E6" s="7" t="s">
        <v>3</v>
      </c>
      <c r="G6" s="12">
        <v>43831</v>
      </c>
    </row>
    <row r="7" spans="1:21">
      <c r="C7" s="1" t="s">
        <v>9</v>
      </c>
      <c r="E7" s="7" t="s">
        <v>10</v>
      </c>
      <c r="G7" s="9">
        <v>0.3</v>
      </c>
    </row>
    <row r="8" spans="1:21">
      <c r="C8" s="1" t="s">
        <v>50</v>
      </c>
      <c r="E8" s="7" t="s">
        <v>10</v>
      </c>
      <c r="G8" s="9">
        <v>0.09</v>
      </c>
    </row>
    <row r="9" spans="1:21">
      <c r="C9" s="1" t="s">
        <v>11</v>
      </c>
      <c r="E9" s="7" t="s">
        <v>3</v>
      </c>
      <c r="G9" s="10">
        <f>G6-1</f>
        <v>43830</v>
      </c>
    </row>
    <row r="10" spans="1:21">
      <c r="E10" s="7"/>
      <c r="G10" s="10"/>
    </row>
    <row r="11" spans="1:21">
      <c r="C11" s="1" t="s">
        <v>63</v>
      </c>
      <c r="E11" s="7" t="s">
        <v>64</v>
      </c>
      <c r="G11" s="61">
        <v>25</v>
      </c>
    </row>
    <row r="13" spans="1:21">
      <c r="B13" s="6" t="s">
        <v>12</v>
      </c>
    </row>
    <row r="14" spans="1:21">
      <c r="B14" s="6"/>
      <c r="C14" s="13" t="s">
        <v>13</v>
      </c>
    </row>
    <row r="15" spans="1:21">
      <c r="C15" s="14" t="s">
        <v>14</v>
      </c>
    </row>
    <row r="16" spans="1:21">
      <c r="C16" s="14" t="s">
        <v>15</v>
      </c>
    </row>
    <row r="17" spans="1:21">
      <c r="C17" s="14" t="s">
        <v>16</v>
      </c>
    </row>
    <row r="20" spans="1:21">
      <c r="B20" s="6" t="s">
        <v>17</v>
      </c>
    </row>
    <row r="21" spans="1:21">
      <c r="B21" s="6"/>
      <c r="C21" s="13" t="s">
        <v>18</v>
      </c>
    </row>
    <row r="22" spans="1:21">
      <c r="C22" s="14" t="s">
        <v>19</v>
      </c>
    </row>
    <row r="23" spans="1:21">
      <c r="C23" s="14" t="s">
        <v>20</v>
      </c>
    </row>
    <row r="24" spans="1:21">
      <c r="C24" s="14" t="s">
        <v>21</v>
      </c>
    </row>
    <row r="25" spans="1:21">
      <c r="C25" s="14" t="s">
        <v>22</v>
      </c>
    </row>
    <row r="28" spans="1:21">
      <c r="A28" s="4" t="s">
        <v>23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30" spans="1:21" ht="15.6">
      <c r="B30" s="5" t="s">
        <v>24</v>
      </c>
    </row>
    <row r="31" spans="1:21">
      <c r="G31" s="15" t="str">
        <f t="array" ref="G31:I31">TRANSPOSE(ListAssetClasses)</f>
        <v>Short Term</v>
      </c>
      <c r="H31" s="16" t="str">
        <v>Medium Term</v>
      </c>
      <c r="I31" s="17" t="str">
        <v>Long Term</v>
      </c>
    </row>
    <row r="32" spans="1:21">
      <c r="C32" s="1" t="str">
        <f t="array" ref="C32:C35">ListDepMethods</f>
        <v>Declining Balance</v>
      </c>
      <c r="E32" s="2" t="s">
        <v>25</v>
      </c>
      <c r="F32" s="7" t="s">
        <v>10</v>
      </c>
      <c r="G32" s="18">
        <v>0.4</v>
      </c>
      <c r="H32" s="18">
        <v>0.25</v>
      </c>
      <c r="I32" s="18">
        <v>0.125</v>
      </c>
    </row>
    <row r="33" spans="2:20">
      <c r="C33" s="1" t="str">
        <v>Straight Line</v>
      </c>
      <c r="E33" s="2" t="s">
        <v>26</v>
      </c>
      <c r="F33" s="7" t="s">
        <v>5</v>
      </c>
      <c r="G33" s="8">
        <v>5</v>
      </c>
      <c r="H33" s="8">
        <v>8</v>
      </c>
      <c r="I33" s="8">
        <v>16</v>
      </c>
    </row>
    <row r="34" spans="2:20">
      <c r="C34" s="1" t="str">
        <v>Adjusted MACRS</v>
      </c>
      <c r="D34" s="2" t="s">
        <v>27</v>
      </c>
      <c r="E34" s="2" t="s">
        <v>28</v>
      </c>
      <c r="F34" s="7" t="s">
        <v>1</v>
      </c>
      <c r="G34" s="8">
        <v>5</v>
      </c>
      <c r="H34" s="8">
        <v>8</v>
      </c>
      <c r="I34" s="8">
        <v>16</v>
      </c>
    </row>
    <row r="35" spans="2:20">
      <c r="C35" s="1" t="str">
        <v>Sum of Years Digits</v>
      </c>
      <c r="D35" s="2" t="s">
        <v>27</v>
      </c>
      <c r="E35" s="2" t="s">
        <v>26</v>
      </c>
      <c r="F35" s="7" t="s">
        <v>5</v>
      </c>
      <c r="G35" s="8">
        <v>5</v>
      </c>
      <c r="H35" s="8">
        <v>8</v>
      </c>
      <c r="I35" s="8">
        <v>16</v>
      </c>
    </row>
    <row r="38" spans="2:20" ht="15.6">
      <c r="B38" s="5" t="str">
        <f>$C$24&amp;" Tables"</f>
        <v>Adjusted MACRS Tables</v>
      </c>
    </row>
    <row r="39" spans="2:20">
      <c r="D39" s="19" t="s">
        <v>29</v>
      </c>
      <c r="E39" s="20">
        <v>5</v>
      </c>
      <c r="F39" s="20">
        <f t="shared" ref="F39:T39" si="0">E39+1</f>
        <v>6</v>
      </c>
      <c r="G39" s="20">
        <f t="shared" si="0"/>
        <v>7</v>
      </c>
      <c r="H39" s="20">
        <f t="shared" si="0"/>
        <v>8</v>
      </c>
      <c r="I39" s="20">
        <f t="shared" si="0"/>
        <v>9</v>
      </c>
      <c r="J39" s="20">
        <f t="shared" si="0"/>
        <v>10</v>
      </c>
      <c r="K39" s="20">
        <f t="shared" si="0"/>
        <v>11</v>
      </c>
      <c r="L39" s="20">
        <f t="shared" si="0"/>
        <v>12</v>
      </c>
      <c r="M39" s="20">
        <f t="shared" si="0"/>
        <v>13</v>
      </c>
      <c r="N39" s="20">
        <f t="shared" si="0"/>
        <v>14</v>
      </c>
      <c r="O39" s="20">
        <f t="shared" si="0"/>
        <v>15</v>
      </c>
      <c r="P39" s="20">
        <f t="shared" si="0"/>
        <v>16</v>
      </c>
      <c r="Q39" s="20">
        <f t="shared" si="0"/>
        <v>17</v>
      </c>
      <c r="R39" s="20">
        <f t="shared" si="0"/>
        <v>18</v>
      </c>
      <c r="S39" s="20">
        <f t="shared" si="0"/>
        <v>19</v>
      </c>
      <c r="T39" s="21">
        <f t="shared" si="0"/>
        <v>20</v>
      </c>
    </row>
    <row r="40" spans="2:20">
      <c r="D40" s="22" t="s">
        <v>30</v>
      </c>
    </row>
    <row r="41" spans="2:20">
      <c r="D41" s="23">
        <v>1</v>
      </c>
      <c r="E41" s="24">
        <v>0.4</v>
      </c>
      <c r="F41" s="25">
        <v>0.33300000000000002</v>
      </c>
      <c r="G41" s="25">
        <v>0.28599999999999998</v>
      </c>
      <c r="H41" s="25">
        <v>0.25</v>
      </c>
      <c r="I41" s="25">
        <v>0.222</v>
      </c>
      <c r="J41" s="25">
        <v>0.2</v>
      </c>
      <c r="K41" s="25">
        <v>0.182</v>
      </c>
      <c r="L41" s="25">
        <v>0.16700000000000001</v>
      </c>
      <c r="M41" s="25">
        <v>0.154</v>
      </c>
      <c r="N41" s="25">
        <v>0.14299999999999999</v>
      </c>
      <c r="O41" s="25">
        <v>0.13300000000000001</v>
      </c>
      <c r="P41" s="25">
        <v>0.125</v>
      </c>
      <c r="Q41" s="25">
        <v>0.11799999999999999</v>
      </c>
      <c r="R41" s="25">
        <v>0.111</v>
      </c>
      <c r="S41" s="25">
        <v>0.105</v>
      </c>
      <c r="T41" s="26">
        <v>0.1</v>
      </c>
    </row>
    <row r="42" spans="2:20">
      <c r="D42" s="23">
        <f t="shared" ref="D42:D60" si="1">D41+1</f>
        <v>2</v>
      </c>
      <c r="E42" s="27">
        <v>0.24</v>
      </c>
      <c r="F42" s="28">
        <v>0.222</v>
      </c>
      <c r="G42" s="28">
        <v>0.20399999999999999</v>
      </c>
      <c r="H42" s="28">
        <v>0.188</v>
      </c>
      <c r="I42" s="28">
        <v>0.17299999999999999</v>
      </c>
      <c r="J42" s="28">
        <v>0.16</v>
      </c>
      <c r="K42" s="28">
        <v>0.14899999999999999</v>
      </c>
      <c r="L42" s="28">
        <v>0.13900000000000001</v>
      </c>
      <c r="M42" s="28">
        <v>0.13</v>
      </c>
      <c r="N42" s="28">
        <v>0.122</v>
      </c>
      <c r="O42" s="28">
        <v>0.11600000000000001</v>
      </c>
      <c r="P42" s="28">
        <v>0.109</v>
      </c>
      <c r="Q42" s="28">
        <v>0.104</v>
      </c>
      <c r="R42" s="28">
        <v>9.9000000000000005E-2</v>
      </c>
      <c r="S42" s="28">
        <v>9.4E-2</v>
      </c>
      <c r="T42" s="29">
        <v>0.09</v>
      </c>
    </row>
    <row r="43" spans="2:20">
      <c r="D43" s="23">
        <f t="shared" si="1"/>
        <v>3</v>
      </c>
      <c r="E43" s="27">
        <v>0.14399999999999999</v>
      </c>
      <c r="F43" s="28">
        <v>0.14799999999999999</v>
      </c>
      <c r="G43" s="28">
        <v>0.14599999999999999</v>
      </c>
      <c r="H43" s="28">
        <v>0.14099999999999999</v>
      </c>
      <c r="I43" s="28">
        <v>0.13400000000000001</v>
      </c>
      <c r="J43" s="28">
        <v>0.128</v>
      </c>
      <c r="K43" s="28">
        <v>0.122</v>
      </c>
      <c r="L43" s="28">
        <v>0.11600000000000001</v>
      </c>
      <c r="M43" s="28">
        <v>0.11</v>
      </c>
      <c r="N43" s="28">
        <v>0.105</v>
      </c>
      <c r="O43" s="28">
        <v>0.1</v>
      </c>
      <c r="P43" s="28">
        <v>9.6000000000000002E-2</v>
      </c>
      <c r="Q43" s="28">
        <v>9.1999999999999998E-2</v>
      </c>
      <c r="R43" s="28">
        <v>8.7999999999999995E-2</v>
      </c>
      <c r="S43" s="28">
        <v>8.4000000000000005E-2</v>
      </c>
      <c r="T43" s="29">
        <v>8.1000000000000003E-2</v>
      </c>
    </row>
    <row r="44" spans="2:20">
      <c r="D44" s="23">
        <f t="shared" si="1"/>
        <v>4</v>
      </c>
      <c r="E44" s="27">
        <v>0.108</v>
      </c>
      <c r="F44" s="28">
        <v>9.9000000000000005E-2</v>
      </c>
      <c r="G44" s="28">
        <v>0.104</v>
      </c>
      <c r="H44" s="28">
        <v>0.105</v>
      </c>
      <c r="I44" s="28">
        <v>0.105</v>
      </c>
      <c r="J44" s="28">
        <v>0.10199999999999999</v>
      </c>
      <c r="K44" s="28">
        <v>0.1</v>
      </c>
      <c r="L44" s="28">
        <v>9.6000000000000002E-2</v>
      </c>
      <c r="M44" s="28">
        <v>9.2999999999999999E-2</v>
      </c>
      <c r="N44" s="28">
        <v>0.09</v>
      </c>
      <c r="O44" s="28">
        <v>8.6999999999999994E-2</v>
      </c>
      <c r="P44" s="28">
        <v>8.4000000000000005E-2</v>
      </c>
      <c r="Q44" s="28">
        <v>8.1000000000000003E-2</v>
      </c>
      <c r="R44" s="28">
        <v>7.8E-2</v>
      </c>
      <c r="S44" s="28">
        <v>7.4999999999999997E-2</v>
      </c>
      <c r="T44" s="29">
        <v>7.2999999999999995E-2</v>
      </c>
    </row>
    <row r="45" spans="2:20">
      <c r="D45" s="23">
        <f t="shared" si="1"/>
        <v>5</v>
      </c>
      <c r="E45" s="27">
        <v>0.10799999999999998</v>
      </c>
      <c r="F45" s="28">
        <v>9.9000000000000005E-2</v>
      </c>
      <c r="G45" s="28">
        <v>8.6999999999999994E-2</v>
      </c>
      <c r="H45" s="28">
        <v>7.9000000000000001E-2</v>
      </c>
      <c r="I45" s="28">
        <v>8.1000000000000003E-2</v>
      </c>
      <c r="J45" s="28">
        <v>8.2000000000000003E-2</v>
      </c>
      <c r="K45" s="28">
        <v>8.1000000000000003E-2</v>
      </c>
      <c r="L45" s="28">
        <v>0.08</v>
      </c>
      <c r="M45" s="28">
        <v>7.9000000000000001E-2</v>
      </c>
      <c r="N45" s="28">
        <v>7.6999999999999999E-2</v>
      </c>
      <c r="O45" s="28">
        <v>7.4999999999999997E-2</v>
      </c>
      <c r="P45" s="28">
        <v>7.2999999999999995E-2</v>
      </c>
      <c r="Q45" s="28">
        <v>7.0999999999999994E-2</v>
      </c>
      <c r="R45" s="28">
        <v>6.9000000000000006E-2</v>
      </c>
      <c r="S45" s="28">
        <v>6.7000000000000004E-2</v>
      </c>
      <c r="T45" s="29">
        <v>6.6000000000000003E-2</v>
      </c>
    </row>
    <row r="46" spans="2:20">
      <c r="D46" s="23">
        <f t="shared" si="1"/>
        <v>6</v>
      </c>
      <c r="E46" s="27">
        <v>0</v>
      </c>
      <c r="F46" s="28">
        <v>9.8999999999999977E-2</v>
      </c>
      <c r="G46" s="28">
        <v>8.6999999999999994E-2</v>
      </c>
      <c r="H46" s="28">
        <v>7.9000000000000001E-2</v>
      </c>
      <c r="I46" s="28">
        <v>7.0999999999999994E-2</v>
      </c>
      <c r="J46" s="28">
        <v>6.6000000000000003E-2</v>
      </c>
      <c r="K46" s="28">
        <v>6.7000000000000004E-2</v>
      </c>
      <c r="L46" s="28">
        <v>6.7000000000000004E-2</v>
      </c>
      <c r="M46" s="28">
        <v>6.7000000000000004E-2</v>
      </c>
      <c r="N46" s="28">
        <v>6.6000000000000003E-2</v>
      </c>
      <c r="O46" s="28">
        <v>6.5000000000000002E-2</v>
      </c>
      <c r="P46" s="28">
        <v>6.4000000000000001E-2</v>
      </c>
      <c r="Q46" s="28">
        <v>6.3E-2</v>
      </c>
      <c r="R46" s="28">
        <v>6.2E-2</v>
      </c>
      <c r="S46" s="28">
        <v>0.06</v>
      </c>
      <c r="T46" s="29">
        <v>5.8999999999999997E-2</v>
      </c>
    </row>
    <row r="47" spans="2:20">
      <c r="D47" s="23">
        <f t="shared" si="1"/>
        <v>7</v>
      </c>
      <c r="E47" s="27">
        <v>0</v>
      </c>
      <c r="F47" s="28">
        <v>0</v>
      </c>
      <c r="G47" s="28">
        <v>8.6000000000000076E-2</v>
      </c>
      <c r="H47" s="28">
        <v>7.9000000000000001E-2</v>
      </c>
      <c r="I47" s="28">
        <v>7.0999999999999994E-2</v>
      </c>
      <c r="J47" s="28">
        <v>6.6000000000000003E-2</v>
      </c>
      <c r="K47" s="28">
        <v>0.06</v>
      </c>
      <c r="L47" s="28">
        <v>5.6000000000000001E-2</v>
      </c>
      <c r="M47" s="28">
        <v>5.6000000000000001E-2</v>
      </c>
      <c r="N47" s="28">
        <v>5.7000000000000002E-2</v>
      </c>
      <c r="O47" s="28">
        <v>5.7000000000000002E-2</v>
      </c>
      <c r="P47" s="28">
        <v>5.6000000000000001E-2</v>
      </c>
      <c r="Q47" s="28">
        <v>5.6000000000000001E-2</v>
      </c>
      <c r="R47" s="28">
        <v>5.5E-2</v>
      </c>
      <c r="S47" s="28">
        <v>5.3999999999999999E-2</v>
      </c>
      <c r="T47" s="29">
        <v>5.2999999999999999E-2</v>
      </c>
    </row>
    <row r="48" spans="2:20">
      <c r="D48" s="23">
        <f t="shared" si="1"/>
        <v>8</v>
      </c>
      <c r="E48" s="27">
        <v>0</v>
      </c>
      <c r="F48" s="28">
        <v>0</v>
      </c>
      <c r="G48" s="28">
        <v>0</v>
      </c>
      <c r="H48" s="28">
        <v>7.9000000000000181E-2</v>
      </c>
      <c r="I48" s="28">
        <v>7.0999999999999994E-2</v>
      </c>
      <c r="J48" s="28">
        <v>6.6000000000000003E-2</v>
      </c>
      <c r="K48" s="28">
        <v>0.06</v>
      </c>
      <c r="L48" s="28">
        <v>5.6000000000000001E-2</v>
      </c>
      <c r="M48" s="28">
        <v>5.1999999999999998E-2</v>
      </c>
      <c r="N48" s="28">
        <v>4.9000000000000002E-2</v>
      </c>
      <c r="O48" s="28">
        <v>4.9000000000000002E-2</v>
      </c>
      <c r="P48" s="28">
        <v>4.9000000000000002E-2</v>
      </c>
      <c r="Q48" s="28">
        <v>4.9000000000000002E-2</v>
      </c>
      <c r="R48" s="28">
        <v>4.9000000000000002E-2</v>
      </c>
      <c r="S48" s="28">
        <v>4.8000000000000001E-2</v>
      </c>
      <c r="T48" s="29">
        <v>4.8000000000000001E-2</v>
      </c>
    </row>
    <row r="49" spans="2:20">
      <c r="D49" s="23">
        <f t="shared" si="1"/>
        <v>9</v>
      </c>
      <c r="E49" s="27">
        <v>0</v>
      </c>
      <c r="F49" s="28">
        <v>0</v>
      </c>
      <c r="G49" s="28">
        <v>0</v>
      </c>
      <c r="H49" s="28">
        <v>0</v>
      </c>
      <c r="I49" s="28">
        <v>7.2000000000000175E-2</v>
      </c>
      <c r="J49" s="28">
        <v>6.6000000000000003E-2</v>
      </c>
      <c r="K49" s="28">
        <v>0.06</v>
      </c>
      <c r="L49" s="28">
        <v>5.6000000000000001E-2</v>
      </c>
      <c r="M49" s="28">
        <v>5.1999999999999998E-2</v>
      </c>
      <c r="N49" s="28">
        <v>4.9000000000000002E-2</v>
      </c>
      <c r="O49" s="28">
        <v>4.4999999999999998E-2</v>
      </c>
      <c r="P49" s="28">
        <v>4.2999999999999997E-2</v>
      </c>
      <c r="Q49" s="28">
        <v>4.2999999999999997E-2</v>
      </c>
      <c r="R49" s="28">
        <v>4.2999999999999997E-2</v>
      </c>
      <c r="S49" s="28">
        <v>4.2999999999999997E-2</v>
      </c>
      <c r="T49" s="29">
        <v>4.2999999999999997E-2</v>
      </c>
    </row>
    <row r="50" spans="2:20">
      <c r="D50" s="23">
        <f t="shared" si="1"/>
        <v>10</v>
      </c>
      <c r="E50" s="27">
        <v>0</v>
      </c>
      <c r="F50" s="28">
        <v>0</v>
      </c>
      <c r="G50" s="28">
        <v>0</v>
      </c>
      <c r="H50" s="28">
        <v>0</v>
      </c>
      <c r="I50" s="28">
        <v>0</v>
      </c>
      <c r="J50" s="28">
        <v>6.3999999999999835E-2</v>
      </c>
      <c r="K50" s="28">
        <v>0.06</v>
      </c>
      <c r="L50" s="28">
        <v>5.6000000000000001E-2</v>
      </c>
      <c r="M50" s="28">
        <v>5.1999999999999998E-2</v>
      </c>
      <c r="N50" s="28">
        <v>4.9000000000000002E-2</v>
      </c>
      <c r="O50" s="28">
        <v>4.4999999999999998E-2</v>
      </c>
      <c r="P50" s="28">
        <v>4.2999999999999997E-2</v>
      </c>
      <c r="Q50" s="28">
        <v>4.1000000000000002E-2</v>
      </c>
      <c r="R50" s="28">
        <v>3.7999999999999999E-2</v>
      </c>
      <c r="S50" s="28">
        <v>3.9E-2</v>
      </c>
      <c r="T50" s="29">
        <v>3.9E-2</v>
      </c>
    </row>
    <row r="51" spans="2:20">
      <c r="D51" s="23">
        <f t="shared" si="1"/>
        <v>11</v>
      </c>
      <c r="E51" s="27">
        <v>0</v>
      </c>
      <c r="F51" s="28">
        <v>0</v>
      </c>
      <c r="G51" s="28">
        <v>0</v>
      </c>
      <c r="H51" s="28">
        <v>0</v>
      </c>
      <c r="I51" s="28">
        <v>0</v>
      </c>
      <c r="J51" s="28">
        <v>0</v>
      </c>
      <c r="K51" s="28">
        <v>5.8999999999999941E-2</v>
      </c>
      <c r="L51" s="28">
        <v>5.6000000000000001E-2</v>
      </c>
      <c r="M51" s="28">
        <v>5.1999999999999998E-2</v>
      </c>
      <c r="N51" s="28">
        <v>4.9000000000000002E-2</v>
      </c>
      <c r="O51" s="28">
        <v>4.4999999999999998E-2</v>
      </c>
      <c r="P51" s="28">
        <v>4.2999999999999997E-2</v>
      </c>
      <c r="Q51" s="28">
        <v>4.1000000000000002E-2</v>
      </c>
      <c r="R51" s="28">
        <v>3.7999999999999999E-2</v>
      </c>
      <c r="S51" s="28">
        <v>3.6999999999999998E-2</v>
      </c>
      <c r="T51" s="29">
        <v>3.5000000000000003E-2</v>
      </c>
    </row>
    <row r="52" spans="2:20">
      <c r="D52" s="23">
        <f t="shared" si="1"/>
        <v>12</v>
      </c>
      <c r="E52" s="27">
        <v>0</v>
      </c>
      <c r="F52" s="28">
        <v>0</v>
      </c>
      <c r="G52" s="28">
        <v>0</v>
      </c>
      <c r="H52" s="28">
        <v>0</v>
      </c>
      <c r="I52" s="28">
        <v>0</v>
      </c>
      <c r="J52" s="28">
        <v>0</v>
      </c>
      <c r="K52" s="28">
        <v>0</v>
      </c>
      <c r="L52" s="28">
        <v>5.4999999999999716E-2</v>
      </c>
      <c r="M52" s="28">
        <v>5.1999999999999998E-2</v>
      </c>
      <c r="N52" s="28">
        <v>4.9000000000000002E-2</v>
      </c>
      <c r="O52" s="28">
        <v>4.4999999999999998E-2</v>
      </c>
      <c r="P52" s="28">
        <v>4.2999999999999997E-2</v>
      </c>
      <c r="Q52" s="28">
        <v>4.1000000000000002E-2</v>
      </c>
      <c r="R52" s="28">
        <v>3.7999999999999999E-2</v>
      </c>
      <c r="S52" s="28">
        <v>3.6999999999999998E-2</v>
      </c>
      <c r="T52" s="29">
        <v>3.5000000000000003E-2</v>
      </c>
    </row>
    <row r="53" spans="2:20">
      <c r="C53" s="1">
        <v>0</v>
      </c>
      <c r="D53" s="23">
        <f t="shared" si="1"/>
        <v>13</v>
      </c>
      <c r="E53" s="27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0</v>
      </c>
      <c r="L53" s="28">
        <v>0</v>
      </c>
      <c r="M53" s="28">
        <v>5.0999999999999712E-2</v>
      </c>
      <c r="N53" s="28">
        <v>4.9000000000000002E-2</v>
      </c>
      <c r="O53" s="28">
        <v>4.4999999999999998E-2</v>
      </c>
      <c r="P53" s="28">
        <v>4.2999999999999997E-2</v>
      </c>
      <c r="Q53" s="28">
        <v>4.1000000000000002E-2</v>
      </c>
      <c r="R53" s="28">
        <v>3.7999999999999999E-2</v>
      </c>
      <c r="S53" s="28">
        <v>3.6999999999999998E-2</v>
      </c>
      <c r="T53" s="29">
        <v>3.5000000000000003E-2</v>
      </c>
    </row>
    <row r="54" spans="2:20">
      <c r="D54" s="23">
        <f t="shared" si="1"/>
        <v>14</v>
      </c>
      <c r="E54" s="27">
        <v>0</v>
      </c>
      <c r="F54" s="28">
        <v>0</v>
      </c>
      <c r="G54" s="28">
        <v>0</v>
      </c>
      <c r="H54" s="28">
        <v>0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4.5999999999999708E-2</v>
      </c>
      <c r="O54" s="28">
        <v>4.4999999999999998E-2</v>
      </c>
      <c r="P54" s="28">
        <v>4.2999999999999997E-2</v>
      </c>
      <c r="Q54" s="28">
        <v>4.1000000000000002E-2</v>
      </c>
      <c r="R54" s="28">
        <v>3.7999999999999999E-2</v>
      </c>
      <c r="S54" s="28">
        <v>3.6999999999999998E-2</v>
      </c>
      <c r="T54" s="29">
        <v>3.5000000000000003E-2</v>
      </c>
    </row>
    <row r="55" spans="2:20">
      <c r="D55" s="23">
        <f t="shared" si="1"/>
        <v>15</v>
      </c>
      <c r="E55" s="27">
        <v>0</v>
      </c>
      <c r="F55" s="28">
        <v>0</v>
      </c>
      <c r="G55" s="28">
        <v>0</v>
      </c>
      <c r="H55" s="28">
        <v>0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4.7999999999999821E-2</v>
      </c>
      <c r="P55" s="28">
        <v>4.2999999999999997E-2</v>
      </c>
      <c r="Q55" s="28">
        <v>4.1000000000000002E-2</v>
      </c>
      <c r="R55" s="28">
        <v>3.7999999999999999E-2</v>
      </c>
      <c r="S55" s="28">
        <v>3.6999999999999998E-2</v>
      </c>
      <c r="T55" s="29">
        <v>3.5000000000000003E-2</v>
      </c>
    </row>
    <row r="56" spans="2:20">
      <c r="D56" s="23">
        <f t="shared" si="1"/>
        <v>16</v>
      </c>
      <c r="E56" s="27">
        <v>0</v>
      </c>
      <c r="F56" s="28">
        <v>0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4.2999999999999705E-2</v>
      </c>
      <c r="Q56" s="28">
        <v>4.1000000000000002E-2</v>
      </c>
      <c r="R56" s="28">
        <v>3.7999999999999999E-2</v>
      </c>
      <c r="S56" s="28">
        <v>3.6999999999999998E-2</v>
      </c>
      <c r="T56" s="29">
        <v>3.5000000000000003E-2</v>
      </c>
    </row>
    <row r="57" spans="2:20">
      <c r="D57" s="23">
        <f t="shared" si="1"/>
        <v>17</v>
      </c>
      <c r="E57" s="27">
        <v>0</v>
      </c>
      <c r="F57" s="28">
        <v>0</v>
      </c>
      <c r="G57" s="28">
        <v>0</v>
      </c>
      <c r="H57" s="28">
        <v>0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>
        <v>3.5999999999999699E-2</v>
      </c>
      <c r="R57" s="28">
        <v>3.7999999999999999E-2</v>
      </c>
      <c r="S57" s="28">
        <v>3.6999999999999998E-2</v>
      </c>
      <c r="T57" s="29">
        <v>3.5000000000000003E-2</v>
      </c>
    </row>
    <row r="58" spans="2:20">
      <c r="D58" s="23">
        <f t="shared" si="1"/>
        <v>18</v>
      </c>
      <c r="E58" s="27">
        <v>0</v>
      </c>
      <c r="F58" s="28">
        <v>0</v>
      </c>
      <c r="G58" s="28">
        <v>0</v>
      </c>
      <c r="H58" s="28">
        <v>0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>
        <v>0</v>
      </c>
      <c r="R58" s="28">
        <v>4.1999999999999482E-2</v>
      </c>
      <c r="S58" s="28">
        <v>3.6999999999999998E-2</v>
      </c>
      <c r="T58" s="29">
        <v>3.5000000000000003E-2</v>
      </c>
    </row>
    <row r="59" spans="2:20">
      <c r="D59" s="23">
        <f t="shared" si="1"/>
        <v>19</v>
      </c>
      <c r="E59" s="27">
        <v>0</v>
      </c>
      <c r="F59" s="28">
        <v>0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3.4999999999999587E-2</v>
      </c>
      <c r="T59" s="29">
        <v>3.5000000000000003E-2</v>
      </c>
    </row>
    <row r="60" spans="2:20">
      <c r="D60" s="30">
        <f t="shared" si="1"/>
        <v>20</v>
      </c>
      <c r="E60" s="31">
        <v>0</v>
      </c>
      <c r="F60" s="32">
        <v>0</v>
      </c>
      <c r="G60" s="32">
        <v>0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33">
        <v>3.2999999999999585E-2</v>
      </c>
    </row>
    <row r="63" spans="2:20" ht="15.6">
      <c r="B63" s="5" t="str">
        <f>$C$25&amp;" Tables"</f>
        <v>Sum of Years Digits Tables</v>
      </c>
    </row>
    <row r="64" spans="2:20">
      <c r="D64" s="19" t="s">
        <v>31</v>
      </c>
      <c r="E64" s="34">
        <v>5</v>
      </c>
      <c r="F64" s="35">
        <f t="shared" ref="F64:T64" si="2">E64+1</f>
        <v>6</v>
      </c>
      <c r="G64" s="35">
        <f t="shared" si="2"/>
        <v>7</v>
      </c>
      <c r="H64" s="35">
        <f t="shared" si="2"/>
        <v>8</v>
      </c>
      <c r="I64" s="35">
        <f t="shared" si="2"/>
        <v>9</v>
      </c>
      <c r="J64" s="35">
        <f t="shared" si="2"/>
        <v>10</v>
      </c>
      <c r="K64" s="35">
        <f t="shared" si="2"/>
        <v>11</v>
      </c>
      <c r="L64" s="35">
        <f t="shared" si="2"/>
        <v>12</v>
      </c>
      <c r="M64" s="35">
        <f t="shared" si="2"/>
        <v>13</v>
      </c>
      <c r="N64" s="35">
        <f t="shared" si="2"/>
        <v>14</v>
      </c>
      <c r="O64" s="35">
        <f t="shared" si="2"/>
        <v>15</v>
      </c>
      <c r="P64" s="35">
        <f t="shared" si="2"/>
        <v>16</v>
      </c>
      <c r="Q64" s="35">
        <f t="shared" si="2"/>
        <v>17</v>
      </c>
      <c r="R64" s="35">
        <f t="shared" si="2"/>
        <v>18</v>
      </c>
      <c r="S64" s="35">
        <f t="shared" si="2"/>
        <v>19</v>
      </c>
      <c r="T64" s="36">
        <f t="shared" si="2"/>
        <v>20</v>
      </c>
    </row>
    <row r="65" spans="4:20">
      <c r="D65" s="22" t="s">
        <v>30</v>
      </c>
      <c r="E65" s="37">
        <f t="shared" ref="E65:T65" si="3">E$64*(E$64+1)/2</f>
        <v>15</v>
      </c>
      <c r="F65" s="38">
        <f t="shared" si="3"/>
        <v>21</v>
      </c>
      <c r="G65" s="38">
        <f t="shared" si="3"/>
        <v>28</v>
      </c>
      <c r="H65" s="38">
        <f t="shared" si="3"/>
        <v>36</v>
      </c>
      <c r="I65" s="38">
        <f t="shared" si="3"/>
        <v>45</v>
      </c>
      <c r="J65" s="38">
        <f t="shared" si="3"/>
        <v>55</v>
      </c>
      <c r="K65" s="38">
        <f t="shared" si="3"/>
        <v>66</v>
      </c>
      <c r="L65" s="38">
        <f t="shared" si="3"/>
        <v>78</v>
      </c>
      <c r="M65" s="38">
        <f t="shared" si="3"/>
        <v>91</v>
      </c>
      <c r="N65" s="38">
        <f t="shared" si="3"/>
        <v>105</v>
      </c>
      <c r="O65" s="38">
        <f t="shared" si="3"/>
        <v>120</v>
      </c>
      <c r="P65" s="38">
        <f t="shared" si="3"/>
        <v>136</v>
      </c>
      <c r="Q65" s="38">
        <f t="shared" si="3"/>
        <v>153</v>
      </c>
      <c r="R65" s="38">
        <f t="shared" si="3"/>
        <v>171</v>
      </c>
      <c r="S65" s="38">
        <f t="shared" si="3"/>
        <v>190</v>
      </c>
      <c r="T65" s="39">
        <f t="shared" si="3"/>
        <v>210</v>
      </c>
    </row>
    <row r="66" spans="4:20">
      <c r="D66" s="23">
        <v>1</v>
      </c>
      <c r="E66" s="40">
        <f>MAX(0,E$64+1-$D66)/E$65</f>
        <v>0.33333333333333331</v>
      </c>
      <c r="F66" s="41">
        <f t="shared" ref="F66:T66" si="4">MAX(0,F$64+1-$D66)/F$65</f>
        <v>0.2857142857142857</v>
      </c>
      <c r="G66" s="41">
        <f t="shared" si="4"/>
        <v>0.25</v>
      </c>
      <c r="H66" s="41">
        <f t="shared" si="4"/>
        <v>0.22222222222222221</v>
      </c>
      <c r="I66" s="41">
        <f t="shared" si="4"/>
        <v>0.2</v>
      </c>
      <c r="J66" s="41">
        <f t="shared" si="4"/>
        <v>0.18181818181818182</v>
      </c>
      <c r="K66" s="41">
        <f t="shared" si="4"/>
        <v>0.16666666666666666</v>
      </c>
      <c r="L66" s="41">
        <f t="shared" si="4"/>
        <v>0.15384615384615385</v>
      </c>
      <c r="M66" s="41">
        <f t="shared" si="4"/>
        <v>0.14285714285714285</v>
      </c>
      <c r="N66" s="41">
        <f t="shared" si="4"/>
        <v>0.13333333333333333</v>
      </c>
      <c r="O66" s="41">
        <f t="shared" si="4"/>
        <v>0.125</v>
      </c>
      <c r="P66" s="41">
        <f t="shared" si="4"/>
        <v>0.11764705882352941</v>
      </c>
      <c r="Q66" s="41">
        <f t="shared" si="4"/>
        <v>0.1111111111111111</v>
      </c>
      <c r="R66" s="41">
        <f t="shared" si="4"/>
        <v>0.10526315789473684</v>
      </c>
      <c r="S66" s="41">
        <f t="shared" si="4"/>
        <v>0.1</v>
      </c>
      <c r="T66" s="42">
        <f t="shared" si="4"/>
        <v>9.5238095238095233E-2</v>
      </c>
    </row>
    <row r="67" spans="4:20">
      <c r="D67" s="23">
        <f t="shared" ref="D67:D85" si="5">D66+1</f>
        <v>2</v>
      </c>
      <c r="E67" s="43">
        <f t="shared" ref="E67:T82" si="6">MAX(0,E$64+1-$D67)/E$65</f>
        <v>0.26666666666666666</v>
      </c>
      <c r="F67" s="44">
        <f t="shared" si="6"/>
        <v>0.23809523809523808</v>
      </c>
      <c r="G67" s="44">
        <f t="shared" si="6"/>
        <v>0.21428571428571427</v>
      </c>
      <c r="H67" s="44">
        <f t="shared" si="6"/>
        <v>0.19444444444444445</v>
      </c>
      <c r="I67" s="44">
        <f t="shared" si="6"/>
        <v>0.17777777777777778</v>
      </c>
      <c r="J67" s="44">
        <f t="shared" si="6"/>
        <v>0.16363636363636364</v>
      </c>
      <c r="K67" s="44">
        <f t="shared" si="6"/>
        <v>0.15151515151515152</v>
      </c>
      <c r="L67" s="44">
        <f t="shared" si="6"/>
        <v>0.14102564102564102</v>
      </c>
      <c r="M67" s="44">
        <f t="shared" si="6"/>
        <v>0.13186813186813187</v>
      </c>
      <c r="N67" s="44">
        <f t="shared" si="6"/>
        <v>0.12380952380952381</v>
      </c>
      <c r="O67" s="44">
        <f t="shared" si="6"/>
        <v>0.11666666666666667</v>
      </c>
      <c r="P67" s="44">
        <f t="shared" si="6"/>
        <v>0.11029411764705882</v>
      </c>
      <c r="Q67" s="44">
        <f t="shared" si="6"/>
        <v>0.10457516339869281</v>
      </c>
      <c r="R67" s="44">
        <f t="shared" si="6"/>
        <v>9.9415204678362568E-2</v>
      </c>
      <c r="S67" s="44">
        <f t="shared" si="6"/>
        <v>9.4736842105263161E-2</v>
      </c>
      <c r="T67" s="45">
        <f t="shared" si="6"/>
        <v>9.0476190476190474E-2</v>
      </c>
    </row>
    <row r="68" spans="4:20">
      <c r="D68" s="23">
        <f t="shared" si="5"/>
        <v>3</v>
      </c>
      <c r="E68" s="43">
        <f t="shared" si="6"/>
        <v>0.2</v>
      </c>
      <c r="F68" s="44">
        <f t="shared" si="6"/>
        <v>0.19047619047619047</v>
      </c>
      <c r="G68" s="44">
        <f t="shared" si="6"/>
        <v>0.17857142857142858</v>
      </c>
      <c r="H68" s="44">
        <f t="shared" si="6"/>
        <v>0.16666666666666666</v>
      </c>
      <c r="I68" s="44">
        <f t="shared" si="6"/>
        <v>0.15555555555555556</v>
      </c>
      <c r="J68" s="44">
        <f t="shared" si="6"/>
        <v>0.14545454545454545</v>
      </c>
      <c r="K68" s="44">
        <f t="shared" si="6"/>
        <v>0.13636363636363635</v>
      </c>
      <c r="L68" s="44">
        <f t="shared" si="6"/>
        <v>0.12820512820512819</v>
      </c>
      <c r="M68" s="44">
        <f t="shared" si="6"/>
        <v>0.12087912087912088</v>
      </c>
      <c r="N68" s="44">
        <f t="shared" si="6"/>
        <v>0.11428571428571428</v>
      </c>
      <c r="O68" s="44">
        <f t="shared" si="6"/>
        <v>0.10833333333333334</v>
      </c>
      <c r="P68" s="44">
        <f t="shared" si="6"/>
        <v>0.10294117647058823</v>
      </c>
      <c r="Q68" s="44">
        <f t="shared" si="6"/>
        <v>9.8039215686274508E-2</v>
      </c>
      <c r="R68" s="44">
        <f t="shared" si="6"/>
        <v>9.3567251461988299E-2</v>
      </c>
      <c r="S68" s="44">
        <f t="shared" si="6"/>
        <v>8.9473684210526316E-2</v>
      </c>
      <c r="T68" s="45">
        <f t="shared" si="6"/>
        <v>8.5714285714285715E-2</v>
      </c>
    </row>
    <row r="69" spans="4:20">
      <c r="D69" s="23">
        <f t="shared" si="5"/>
        <v>4</v>
      </c>
      <c r="E69" s="43">
        <f t="shared" si="6"/>
        <v>0.13333333333333333</v>
      </c>
      <c r="F69" s="44">
        <f t="shared" si="6"/>
        <v>0.14285714285714285</v>
      </c>
      <c r="G69" s="44">
        <f t="shared" si="6"/>
        <v>0.14285714285714285</v>
      </c>
      <c r="H69" s="44">
        <f t="shared" si="6"/>
        <v>0.1388888888888889</v>
      </c>
      <c r="I69" s="44">
        <f t="shared" si="6"/>
        <v>0.13333333333333333</v>
      </c>
      <c r="J69" s="44">
        <f t="shared" si="6"/>
        <v>0.12727272727272726</v>
      </c>
      <c r="K69" s="44">
        <f t="shared" si="6"/>
        <v>0.12121212121212122</v>
      </c>
      <c r="L69" s="44">
        <f t="shared" si="6"/>
        <v>0.11538461538461539</v>
      </c>
      <c r="M69" s="44">
        <f t="shared" si="6"/>
        <v>0.10989010989010989</v>
      </c>
      <c r="N69" s="44">
        <f t="shared" si="6"/>
        <v>0.10476190476190476</v>
      </c>
      <c r="O69" s="44">
        <f t="shared" si="6"/>
        <v>0.1</v>
      </c>
      <c r="P69" s="44">
        <f t="shared" si="6"/>
        <v>9.5588235294117641E-2</v>
      </c>
      <c r="Q69" s="44">
        <f t="shared" si="6"/>
        <v>9.1503267973856203E-2</v>
      </c>
      <c r="R69" s="44">
        <f t="shared" si="6"/>
        <v>8.771929824561403E-2</v>
      </c>
      <c r="S69" s="44">
        <f t="shared" si="6"/>
        <v>8.4210526315789472E-2</v>
      </c>
      <c r="T69" s="45">
        <f t="shared" si="6"/>
        <v>8.0952380952380956E-2</v>
      </c>
    </row>
    <row r="70" spans="4:20">
      <c r="D70" s="23">
        <f t="shared" si="5"/>
        <v>5</v>
      </c>
      <c r="E70" s="43">
        <f t="shared" si="6"/>
        <v>6.6666666666666666E-2</v>
      </c>
      <c r="F70" s="44">
        <f t="shared" si="6"/>
        <v>9.5238095238095233E-2</v>
      </c>
      <c r="G70" s="44">
        <f t="shared" si="6"/>
        <v>0.10714285714285714</v>
      </c>
      <c r="H70" s="44">
        <f t="shared" si="6"/>
        <v>0.1111111111111111</v>
      </c>
      <c r="I70" s="44">
        <f t="shared" si="6"/>
        <v>0.1111111111111111</v>
      </c>
      <c r="J70" s="44">
        <f t="shared" si="6"/>
        <v>0.10909090909090909</v>
      </c>
      <c r="K70" s="44">
        <f t="shared" si="6"/>
        <v>0.10606060606060606</v>
      </c>
      <c r="L70" s="44">
        <f t="shared" si="6"/>
        <v>0.10256410256410256</v>
      </c>
      <c r="M70" s="44">
        <f t="shared" si="6"/>
        <v>9.8901098901098897E-2</v>
      </c>
      <c r="N70" s="44">
        <f t="shared" si="6"/>
        <v>9.5238095238095233E-2</v>
      </c>
      <c r="O70" s="44">
        <f t="shared" si="6"/>
        <v>9.166666666666666E-2</v>
      </c>
      <c r="P70" s="44">
        <f t="shared" si="6"/>
        <v>8.8235294117647065E-2</v>
      </c>
      <c r="Q70" s="44">
        <f t="shared" si="6"/>
        <v>8.4967320261437912E-2</v>
      </c>
      <c r="R70" s="44">
        <f t="shared" si="6"/>
        <v>8.1871345029239762E-2</v>
      </c>
      <c r="S70" s="44">
        <f t="shared" si="6"/>
        <v>7.8947368421052627E-2</v>
      </c>
      <c r="T70" s="45">
        <f t="shared" si="6"/>
        <v>7.6190476190476197E-2</v>
      </c>
    </row>
    <row r="71" spans="4:20">
      <c r="D71" s="23">
        <f t="shared" si="5"/>
        <v>6</v>
      </c>
      <c r="E71" s="43">
        <f t="shared" si="6"/>
        <v>0</v>
      </c>
      <c r="F71" s="44">
        <f t="shared" si="6"/>
        <v>4.7619047619047616E-2</v>
      </c>
      <c r="G71" s="44">
        <f t="shared" si="6"/>
        <v>7.1428571428571425E-2</v>
      </c>
      <c r="H71" s="44">
        <f t="shared" si="6"/>
        <v>8.3333333333333329E-2</v>
      </c>
      <c r="I71" s="44">
        <f t="shared" si="6"/>
        <v>8.8888888888888892E-2</v>
      </c>
      <c r="J71" s="44">
        <f t="shared" si="6"/>
        <v>9.0909090909090912E-2</v>
      </c>
      <c r="K71" s="44">
        <f t="shared" si="6"/>
        <v>9.0909090909090912E-2</v>
      </c>
      <c r="L71" s="44">
        <f t="shared" si="6"/>
        <v>8.9743589743589744E-2</v>
      </c>
      <c r="M71" s="44">
        <f t="shared" si="6"/>
        <v>8.7912087912087919E-2</v>
      </c>
      <c r="N71" s="44">
        <f t="shared" si="6"/>
        <v>8.5714285714285715E-2</v>
      </c>
      <c r="O71" s="44">
        <f t="shared" si="6"/>
        <v>8.3333333333333329E-2</v>
      </c>
      <c r="P71" s="44">
        <f t="shared" si="6"/>
        <v>8.0882352941176475E-2</v>
      </c>
      <c r="Q71" s="44">
        <f t="shared" si="6"/>
        <v>7.8431372549019607E-2</v>
      </c>
      <c r="R71" s="44">
        <f t="shared" si="6"/>
        <v>7.6023391812865493E-2</v>
      </c>
      <c r="S71" s="44">
        <f t="shared" si="6"/>
        <v>7.3684210526315783E-2</v>
      </c>
      <c r="T71" s="45">
        <f t="shared" si="6"/>
        <v>7.1428571428571425E-2</v>
      </c>
    </row>
    <row r="72" spans="4:20">
      <c r="D72" s="23">
        <f t="shared" si="5"/>
        <v>7</v>
      </c>
      <c r="E72" s="43">
        <f t="shared" si="6"/>
        <v>0</v>
      </c>
      <c r="F72" s="44">
        <f t="shared" si="6"/>
        <v>0</v>
      </c>
      <c r="G72" s="44">
        <f t="shared" si="6"/>
        <v>3.5714285714285712E-2</v>
      </c>
      <c r="H72" s="44">
        <f t="shared" si="6"/>
        <v>5.5555555555555552E-2</v>
      </c>
      <c r="I72" s="44">
        <f t="shared" si="6"/>
        <v>6.6666666666666666E-2</v>
      </c>
      <c r="J72" s="44">
        <f t="shared" si="6"/>
        <v>7.2727272727272724E-2</v>
      </c>
      <c r="K72" s="44">
        <f t="shared" si="6"/>
        <v>7.575757575757576E-2</v>
      </c>
      <c r="L72" s="44">
        <f t="shared" si="6"/>
        <v>7.6923076923076927E-2</v>
      </c>
      <c r="M72" s="44">
        <f t="shared" si="6"/>
        <v>7.6923076923076927E-2</v>
      </c>
      <c r="N72" s="44">
        <f t="shared" si="6"/>
        <v>7.6190476190476197E-2</v>
      </c>
      <c r="O72" s="44">
        <f t="shared" si="6"/>
        <v>7.4999999999999997E-2</v>
      </c>
      <c r="P72" s="44">
        <f t="shared" si="6"/>
        <v>7.3529411764705885E-2</v>
      </c>
      <c r="Q72" s="44">
        <f t="shared" si="6"/>
        <v>7.1895424836601302E-2</v>
      </c>
      <c r="R72" s="44">
        <f t="shared" si="6"/>
        <v>7.0175438596491224E-2</v>
      </c>
      <c r="S72" s="44">
        <f t="shared" si="6"/>
        <v>6.8421052631578952E-2</v>
      </c>
      <c r="T72" s="45">
        <f t="shared" si="6"/>
        <v>6.6666666666666666E-2</v>
      </c>
    </row>
    <row r="73" spans="4:20">
      <c r="D73" s="23">
        <f t="shared" si="5"/>
        <v>8</v>
      </c>
      <c r="E73" s="43">
        <f t="shared" si="6"/>
        <v>0</v>
      </c>
      <c r="F73" s="44">
        <f t="shared" si="6"/>
        <v>0</v>
      </c>
      <c r="G73" s="44">
        <f t="shared" si="6"/>
        <v>0</v>
      </c>
      <c r="H73" s="44">
        <f t="shared" si="6"/>
        <v>2.7777777777777776E-2</v>
      </c>
      <c r="I73" s="44">
        <f t="shared" si="6"/>
        <v>4.4444444444444446E-2</v>
      </c>
      <c r="J73" s="44">
        <f t="shared" si="6"/>
        <v>5.4545454545454543E-2</v>
      </c>
      <c r="K73" s="44">
        <f t="shared" si="6"/>
        <v>6.0606060606060608E-2</v>
      </c>
      <c r="L73" s="44">
        <f t="shared" si="6"/>
        <v>6.4102564102564097E-2</v>
      </c>
      <c r="M73" s="44">
        <f t="shared" si="6"/>
        <v>6.5934065934065936E-2</v>
      </c>
      <c r="N73" s="44">
        <f t="shared" si="6"/>
        <v>6.6666666666666666E-2</v>
      </c>
      <c r="O73" s="44">
        <f t="shared" si="6"/>
        <v>6.6666666666666666E-2</v>
      </c>
      <c r="P73" s="44">
        <f t="shared" si="6"/>
        <v>6.6176470588235295E-2</v>
      </c>
      <c r="Q73" s="44">
        <f t="shared" si="6"/>
        <v>6.535947712418301E-2</v>
      </c>
      <c r="R73" s="44">
        <f t="shared" si="6"/>
        <v>6.4327485380116955E-2</v>
      </c>
      <c r="S73" s="44">
        <f t="shared" si="6"/>
        <v>6.3157894736842107E-2</v>
      </c>
      <c r="T73" s="45">
        <f t="shared" si="6"/>
        <v>6.1904761904761907E-2</v>
      </c>
    </row>
    <row r="74" spans="4:20">
      <c r="D74" s="23">
        <f t="shared" si="5"/>
        <v>9</v>
      </c>
      <c r="E74" s="43">
        <f t="shared" si="6"/>
        <v>0</v>
      </c>
      <c r="F74" s="44">
        <f t="shared" si="6"/>
        <v>0</v>
      </c>
      <c r="G74" s="44">
        <f t="shared" si="6"/>
        <v>0</v>
      </c>
      <c r="H74" s="44">
        <f t="shared" si="6"/>
        <v>0</v>
      </c>
      <c r="I74" s="44">
        <f t="shared" si="6"/>
        <v>2.2222222222222223E-2</v>
      </c>
      <c r="J74" s="44">
        <f t="shared" si="6"/>
        <v>3.6363636363636362E-2</v>
      </c>
      <c r="K74" s="44">
        <f t="shared" si="6"/>
        <v>4.5454545454545456E-2</v>
      </c>
      <c r="L74" s="44">
        <f t="shared" si="6"/>
        <v>5.128205128205128E-2</v>
      </c>
      <c r="M74" s="44">
        <f t="shared" si="6"/>
        <v>5.4945054945054944E-2</v>
      </c>
      <c r="N74" s="44">
        <f t="shared" si="6"/>
        <v>5.7142857142857141E-2</v>
      </c>
      <c r="O74" s="44">
        <f t="shared" si="6"/>
        <v>5.8333333333333334E-2</v>
      </c>
      <c r="P74" s="44">
        <f t="shared" si="6"/>
        <v>5.8823529411764705E-2</v>
      </c>
      <c r="Q74" s="44">
        <f t="shared" si="6"/>
        <v>5.8823529411764705E-2</v>
      </c>
      <c r="R74" s="44">
        <f t="shared" si="6"/>
        <v>5.8479532163742687E-2</v>
      </c>
      <c r="S74" s="44">
        <f t="shared" si="6"/>
        <v>5.7894736842105263E-2</v>
      </c>
      <c r="T74" s="45">
        <f t="shared" si="6"/>
        <v>5.7142857142857141E-2</v>
      </c>
    </row>
    <row r="75" spans="4:20">
      <c r="D75" s="23">
        <f t="shared" si="5"/>
        <v>10</v>
      </c>
      <c r="E75" s="43">
        <f t="shared" si="6"/>
        <v>0</v>
      </c>
      <c r="F75" s="44">
        <f t="shared" si="6"/>
        <v>0</v>
      </c>
      <c r="G75" s="44">
        <f t="shared" si="6"/>
        <v>0</v>
      </c>
      <c r="H75" s="44">
        <f t="shared" si="6"/>
        <v>0</v>
      </c>
      <c r="I75" s="44">
        <f t="shared" si="6"/>
        <v>0</v>
      </c>
      <c r="J75" s="44">
        <f t="shared" si="6"/>
        <v>1.8181818181818181E-2</v>
      </c>
      <c r="K75" s="44">
        <f t="shared" si="6"/>
        <v>3.0303030303030304E-2</v>
      </c>
      <c r="L75" s="44">
        <f t="shared" si="6"/>
        <v>3.8461538461538464E-2</v>
      </c>
      <c r="M75" s="44">
        <f t="shared" si="6"/>
        <v>4.3956043956043959E-2</v>
      </c>
      <c r="N75" s="44">
        <f t="shared" si="6"/>
        <v>4.7619047619047616E-2</v>
      </c>
      <c r="O75" s="44">
        <f t="shared" si="6"/>
        <v>0.05</v>
      </c>
      <c r="P75" s="44">
        <f t="shared" si="6"/>
        <v>5.1470588235294115E-2</v>
      </c>
      <c r="Q75" s="44">
        <f t="shared" si="6"/>
        <v>5.2287581699346407E-2</v>
      </c>
      <c r="R75" s="44">
        <f t="shared" si="6"/>
        <v>5.2631578947368418E-2</v>
      </c>
      <c r="S75" s="44">
        <f t="shared" si="6"/>
        <v>5.2631578947368418E-2</v>
      </c>
      <c r="T75" s="45">
        <f t="shared" si="6"/>
        <v>5.2380952380952382E-2</v>
      </c>
    </row>
    <row r="76" spans="4:20">
      <c r="D76" s="23">
        <f t="shared" si="5"/>
        <v>11</v>
      </c>
      <c r="E76" s="43">
        <f t="shared" si="6"/>
        <v>0</v>
      </c>
      <c r="F76" s="44">
        <f t="shared" si="6"/>
        <v>0</v>
      </c>
      <c r="G76" s="44">
        <f t="shared" si="6"/>
        <v>0</v>
      </c>
      <c r="H76" s="44">
        <f t="shared" si="6"/>
        <v>0</v>
      </c>
      <c r="I76" s="44">
        <f t="shared" si="6"/>
        <v>0</v>
      </c>
      <c r="J76" s="44">
        <f t="shared" si="6"/>
        <v>0</v>
      </c>
      <c r="K76" s="44">
        <f t="shared" si="6"/>
        <v>1.5151515151515152E-2</v>
      </c>
      <c r="L76" s="44">
        <f t="shared" si="6"/>
        <v>2.564102564102564E-2</v>
      </c>
      <c r="M76" s="44">
        <f t="shared" si="6"/>
        <v>3.2967032967032968E-2</v>
      </c>
      <c r="N76" s="44">
        <f t="shared" si="6"/>
        <v>3.8095238095238099E-2</v>
      </c>
      <c r="O76" s="44">
        <f t="shared" si="6"/>
        <v>4.1666666666666664E-2</v>
      </c>
      <c r="P76" s="44">
        <f t="shared" si="6"/>
        <v>4.4117647058823532E-2</v>
      </c>
      <c r="Q76" s="44">
        <f t="shared" si="6"/>
        <v>4.5751633986928102E-2</v>
      </c>
      <c r="R76" s="44">
        <f t="shared" si="6"/>
        <v>4.6783625730994149E-2</v>
      </c>
      <c r="S76" s="44">
        <f t="shared" si="6"/>
        <v>4.736842105263158E-2</v>
      </c>
      <c r="T76" s="45">
        <f t="shared" si="6"/>
        <v>4.7619047619047616E-2</v>
      </c>
    </row>
    <row r="77" spans="4:20">
      <c r="D77" s="23">
        <f t="shared" si="5"/>
        <v>12</v>
      </c>
      <c r="E77" s="43">
        <f t="shared" si="6"/>
        <v>0</v>
      </c>
      <c r="F77" s="44">
        <f t="shared" si="6"/>
        <v>0</v>
      </c>
      <c r="G77" s="44">
        <f t="shared" si="6"/>
        <v>0</v>
      </c>
      <c r="H77" s="44">
        <f t="shared" si="6"/>
        <v>0</v>
      </c>
      <c r="I77" s="44">
        <f t="shared" si="6"/>
        <v>0</v>
      </c>
      <c r="J77" s="44">
        <f t="shared" si="6"/>
        <v>0</v>
      </c>
      <c r="K77" s="44">
        <f t="shared" si="6"/>
        <v>0</v>
      </c>
      <c r="L77" s="44">
        <f t="shared" si="6"/>
        <v>1.282051282051282E-2</v>
      </c>
      <c r="M77" s="44">
        <f t="shared" si="6"/>
        <v>2.197802197802198E-2</v>
      </c>
      <c r="N77" s="44">
        <f t="shared" si="6"/>
        <v>2.8571428571428571E-2</v>
      </c>
      <c r="O77" s="44">
        <f t="shared" si="6"/>
        <v>3.3333333333333333E-2</v>
      </c>
      <c r="P77" s="44">
        <f t="shared" si="6"/>
        <v>3.6764705882352942E-2</v>
      </c>
      <c r="Q77" s="44">
        <f t="shared" si="6"/>
        <v>3.9215686274509803E-2</v>
      </c>
      <c r="R77" s="44">
        <f t="shared" si="6"/>
        <v>4.0935672514619881E-2</v>
      </c>
      <c r="S77" s="44">
        <f t="shared" si="6"/>
        <v>4.2105263157894736E-2</v>
      </c>
      <c r="T77" s="45">
        <f t="shared" si="6"/>
        <v>4.2857142857142858E-2</v>
      </c>
    </row>
    <row r="78" spans="4:20">
      <c r="D78" s="23">
        <f t="shared" si="5"/>
        <v>13</v>
      </c>
      <c r="E78" s="43">
        <f t="shared" si="6"/>
        <v>0</v>
      </c>
      <c r="F78" s="44">
        <f t="shared" si="6"/>
        <v>0</v>
      </c>
      <c r="G78" s="44">
        <f t="shared" si="6"/>
        <v>0</v>
      </c>
      <c r="H78" s="44">
        <f t="shared" si="6"/>
        <v>0</v>
      </c>
      <c r="I78" s="44">
        <f t="shared" si="6"/>
        <v>0</v>
      </c>
      <c r="J78" s="44">
        <f t="shared" si="6"/>
        <v>0</v>
      </c>
      <c r="K78" s="44">
        <f t="shared" si="6"/>
        <v>0</v>
      </c>
      <c r="L78" s="44">
        <f t="shared" si="6"/>
        <v>0</v>
      </c>
      <c r="M78" s="44">
        <f t="shared" si="6"/>
        <v>1.098901098901099E-2</v>
      </c>
      <c r="N78" s="44">
        <f t="shared" si="6"/>
        <v>1.9047619047619049E-2</v>
      </c>
      <c r="O78" s="44">
        <f t="shared" si="6"/>
        <v>2.5000000000000001E-2</v>
      </c>
      <c r="P78" s="44">
        <f t="shared" si="6"/>
        <v>2.9411764705882353E-2</v>
      </c>
      <c r="Q78" s="44">
        <f t="shared" si="6"/>
        <v>3.2679738562091505E-2</v>
      </c>
      <c r="R78" s="44">
        <f t="shared" si="6"/>
        <v>3.5087719298245612E-2</v>
      </c>
      <c r="S78" s="44">
        <f t="shared" si="6"/>
        <v>3.6842105263157891E-2</v>
      </c>
      <c r="T78" s="45">
        <f t="shared" si="6"/>
        <v>3.8095238095238099E-2</v>
      </c>
    </row>
    <row r="79" spans="4:20">
      <c r="D79" s="23">
        <f t="shared" si="5"/>
        <v>14</v>
      </c>
      <c r="E79" s="43">
        <f t="shared" si="6"/>
        <v>0</v>
      </c>
      <c r="F79" s="44">
        <f t="shared" si="6"/>
        <v>0</v>
      </c>
      <c r="G79" s="44">
        <f t="shared" si="6"/>
        <v>0</v>
      </c>
      <c r="H79" s="44">
        <f t="shared" si="6"/>
        <v>0</v>
      </c>
      <c r="I79" s="44">
        <f t="shared" si="6"/>
        <v>0</v>
      </c>
      <c r="J79" s="44">
        <f t="shared" si="6"/>
        <v>0</v>
      </c>
      <c r="K79" s="44">
        <f t="shared" si="6"/>
        <v>0</v>
      </c>
      <c r="L79" s="44">
        <f t="shared" si="6"/>
        <v>0</v>
      </c>
      <c r="M79" s="44">
        <f t="shared" si="6"/>
        <v>0</v>
      </c>
      <c r="N79" s="44">
        <f t="shared" si="6"/>
        <v>9.5238095238095247E-3</v>
      </c>
      <c r="O79" s="44">
        <f t="shared" si="6"/>
        <v>1.6666666666666666E-2</v>
      </c>
      <c r="P79" s="44">
        <f t="shared" si="6"/>
        <v>2.2058823529411766E-2</v>
      </c>
      <c r="Q79" s="44">
        <f t="shared" si="6"/>
        <v>2.6143790849673203E-2</v>
      </c>
      <c r="R79" s="44">
        <f t="shared" si="6"/>
        <v>2.9239766081871343E-2</v>
      </c>
      <c r="S79" s="44">
        <f t="shared" si="6"/>
        <v>3.1578947368421054E-2</v>
      </c>
      <c r="T79" s="45">
        <f t="shared" si="6"/>
        <v>3.3333333333333333E-2</v>
      </c>
    </row>
    <row r="80" spans="4:20">
      <c r="D80" s="23">
        <f t="shared" si="5"/>
        <v>15</v>
      </c>
      <c r="E80" s="43">
        <f t="shared" si="6"/>
        <v>0</v>
      </c>
      <c r="F80" s="44">
        <f t="shared" si="6"/>
        <v>0</v>
      </c>
      <c r="G80" s="44">
        <f t="shared" si="6"/>
        <v>0</v>
      </c>
      <c r="H80" s="44">
        <f t="shared" si="6"/>
        <v>0</v>
      </c>
      <c r="I80" s="44">
        <f t="shared" si="6"/>
        <v>0</v>
      </c>
      <c r="J80" s="44">
        <f t="shared" si="6"/>
        <v>0</v>
      </c>
      <c r="K80" s="44">
        <f t="shared" si="6"/>
        <v>0</v>
      </c>
      <c r="L80" s="44">
        <f t="shared" si="6"/>
        <v>0</v>
      </c>
      <c r="M80" s="44">
        <f t="shared" si="6"/>
        <v>0</v>
      </c>
      <c r="N80" s="44">
        <f t="shared" si="6"/>
        <v>0</v>
      </c>
      <c r="O80" s="44">
        <f t="shared" si="6"/>
        <v>8.3333333333333332E-3</v>
      </c>
      <c r="P80" s="44">
        <f t="shared" si="6"/>
        <v>1.4705882352941176E-2</v>
      </c>
      <c r="Q80" s="44">
        <f t="shared" si="6"/>
        <v>1.9607843137254902E-2</v>
      </c>
      <c r="R80" s="44">
        <f t="shared" si="6"/>
        <v>2.3391812865497075E-2</v>
      </c>
      <c r="S80" s="44">
        <f t="shared" si="6"/>
        <v>2.6315789473684209E-2</v>
      </c>
      <c r="T80" s="45">
        <f t="shared" si="6"/>
        <v>2.8571428571428571E-2</v>
      </c>
    </row>
    <row r="81" spans="2:20">
      <c r="D81" s="23">
        <f t="shared" si="5"/>
        <v>16</v>
      </c>
      <c r="E81" s="43">
        <f t="shared" si="6"/>
        <v>0</v>
      </c>
      <c r="F81" s="44">
        <f t="shared" si="6"/>
        <v>0</v>
      </c>
      <c r="G81" s="44">
        <f t="shared" si="6"/>
        <v>0</v>
      </c>
      <c r="H81" s="44">
        <f t="shared" si="6"/>
        <v>0</v>
      </c>
      <c r="I81" s="44">
        <f t="shared" si="6"/>
        <v>0</v>
      </c>
      <c r="J81" s="44">
        <f t="shared" si="6"/>
        <v>0</v>
      </c>
      <c r="K81" s="44">
        <f t="shared" si="6"/>
        <v>0</v>
      </c>
      <c r="L81" s="44">
        <f t="shared" si="6"/>
        <v>0</v>
      </c>
      <c r="M81" s="44">
        <f t="shared" si="6"/>
        <v>0</v>
      </c>
      <c r="N81" s="44">
        <f t="shared" si="6"/>
        <v>0</v>
      </c>
      <c r="O81" s="44">
        <f t="shared" si="6"/>
        <v>0</v>
      </c>
      <c r="P81" s="44">
        <f t="shared" si="6"/>
        <v>7.3529411764705881E-3</v>
      </c>
      <c r="Q81" s="44">
        <f t="shared" si="6"/>
        <v>1.3071895424836602E-2</v>
      </c>
      <c r="R81" s="44">
        <f t="shared" si="6"/>
        <v>1.7543859649122806E-2</v>
      </c>
      <c r="S81" s="44">
        <f t="shared" si="6"/>
        <v>2.1052631578947368E-2</v>
      </c>
      <c r="T81" s="45">
        <f t="shared" si="6"/>
        <v>2.3809523809523808E-2</v>
      </c>
    </row>
    <row r="82" spans="2:20">
      <c r="D82" s="23">
        <f t="shared" si="5"/>
        <v>17</v>
      </c>
      <c r="E82" s="43">
        <f t="shared" si="6"/>
        <v>0</v>
      </c>
      <c r="F82" s="44">
        <f t="shared" si="6"/>
        <v>0</v>
      </c>
      <c r="G82" s="44">
        <f t="shared" si="6"/>
        <v>0</v>
      </c>
      <c r="H82" s="44">
        <f t="shared" si="6"/>
        <v>0</v>
      </c>
      <c r="I82" s="44">
        <f t="shared" si="6"/>
        <v>0</v>
      </c>
      <c r="J82" s="44">
        <f t="shared" si="6"/>
        <v>0</v>
      </c>
      <c r="K82" s="44">
        <f t="shared" si="6"/>
        <v>0</v>
      </c>
      <c r="L82" s="44">
        <f t="shared" si="6"/>
        <v>0</v>
      </c>
      <c r="M82" s="44">
        <f t="shared" si="6"/>
        <v>0</v>
      </c>
      <c r="N82" s="44">
        <f t="shared" si="6"/>
        <v>0</v>
      </c>
      <c r="O82" s="44">
        <f t="shared" si="6"/>
        <v>0</v>
      </c>
      <c r="P82" s="44">
        <f t="shared" si="6"/>
        <v>0</v>
      </c>
      <c r="Q82" s="44">
        <f t="shared" si="6"/>
        <v>6.5359477124183009E-3</v>
      </c>
      <c r="R82" s="44">
        <f t="shared" si="6"/>
        <v>1.1695906432748537E-2</v>
      </c>
      <c r="S82" s="44">
        <f t="shared" si="6"/>
        <v>1.5789473684210527E-2</v>
      </c>
      <c r="T82" s="45">
        <f t="shared" ref="T82" si="7">MAX(0,T$64+1-$D82)/T$65</f>
        <v>1.9047619047619049E-2</v>
      </c>
    </row>
    <row r="83" spans="2:20">
      <c r="D83" s="23">
        <f t="shared" si="5"/>
        <v>18</v>
      </c>
      <c r="E83" s="43">
        <f t="shared" ref="E83:T85" si="8">MAX(0,E$64+1-$D83)/E$65</f>
        <v>0</v>
      </c>
      <c r="F83" s="44">
        <f t="shared" si="8"/>
        <v>0</v>
      </c>
      <c r="G83" s="44">
        <f t="shared" si="8"/>
        <v>0</v>
      </c>
      <c r="H83" s="44">
        <f t="shared" si="8"/>
        <v>0</v>
      </c>
      <c r="I83" s="44">
        <f t="shared" si="8"/>
        <v>0</v>
      </c>
      <c r="J83" s="44">
        <f t="shared" si="8"/>
        <v>0</v>
      </c>
      <c r="K83" s="44">
        <f t="shared" si="8"/>
        <v>0</v>
      </c>
      <c r="L83" s="44">
        <f t="shared" si="8"/>
        <v>0</v>
      </c>
      <c r="M83" s="44">
        <f t="shared" si="8"/>
        <v>0</v>
      </c>
      <c r="N83" s="44">
        <f t="shared" si="8"/>
        <v>0</v>
      </c>
      <c r="O83" s="44">
        <f t="shared" si="8"/>
        <v>0</v>
      </c>
      <c r="P83" s="44">
        <f t="shared" si="8"/>
        <v>0</v>
      </c>
      <c r="Q83" s="44">
        <f t="shared" si="8"/>
        <v>0</v>
      </c>
      <c r="R83" s="44">
        <f t="shared" si="8"/>
        <v>5.8479532163742687E-3</v>
      </c>
      <c r="S83" s="44">
        <f t="shared" si="8"/>
        <v>1.0526315789473684E-2</v>
      </c>
      <c r="T83" s="45">
        <f t="shared" si="8"/>
        <v>1.4285714285714285E-2</v>
      </c>
    </row>
    <row r="84" spans="2:20">
      <c r="D84" s="23">
        <f t="shared" si="5"/>
        <v>19</v>
      </c>
      <c r="E84" s="43">
        <f t="shared" si="8"/>
        <v>0</v>
      </c>
      <c r="F84" s="44">
        <f t="shared" si="8"/>
        <v>0</v>
      </c>
      <c r="G84" s="44">
        <f t="shared" si="8"/>
        <v>0</v>
      </c>
      <c r="H84" s="44">
        <f t="shared" si="8"/>
        <v>0</v>
      </c>
      <c r="I84" s="44">
        <f t="shared" si="8"/>
        <v>0</v>
      </c>
      <c r="J84" s="44">
        <f t="shared" si="8"/>
        <v>0</v>
      </c>
      <c r="K84" s="44">
        <f t="shared" si="8"/>
        <v>0</v>
      </c>
      <c r="L84" s="44">
        <f t="shared" si="8"/>
        <v>0</v>
      </c>
      <c r="M84" s="44">
        <f t="shared" si="8"/>
        <v>0</v>
      </c>
      <c r="N84" s="44">
        <f t="shared" si="8"/>
        <v>0</v>
      </c>
      <c r="O84" s="44">
        <f t="shared" si="8"/>
        <v>0</v>
      </c>
      <c r="P84" s="44">
        <f t="shared" si="8"/>
        <v>0</v>
      </c>
      <c r="Q84" s="44">
        <f t="shared" si="8"/>
        <v>0</v>
      </c>
      <c r="R84" s="44">
        <f t="shared" si="8"/>
        <v>0</v>
      </c>
      <c r="S84" s="44">
        <f t="shared" si="8"/>
        <v>5.263157894736842E-3</v>
      </c>
      <c r="T84" s="45">
        <f t="shared" si="8"/>
        <v>9.5238095238095247E-3</v>
      </c>
    </row>
    <row r="85" spans="2:20">
      <c r="D85" s="30">
        <f t="shared" si="5"/>
        <v>20</v>
      </c>
      <c r="E85" s="46">
        <f t="shared" si="8"/>
        <v>0</v>
      </c>
      <c r="F85" s="47">
        <f t="shared" si="8"/>
        <v>0</v>
      </c>
      <c r="G85" s="47">
        <f t="shared" si="8"/>
        <v>0</v>
      </c>
      <c r="H85" s="47">
        <f t="shared" si="8"/>
        <v>0</v>
      </c>
      <c r="I85" s="47">
        <f t="shared" si="8"/>
        <v>0</v>
      </c>
      <c r="J85" s="47">
        <f t="shared" si="8"/>
        <v>0</v>
      </c>
      <c r="K85" s="47">
        <f t="shared" si="8"/>
        <v>0</v>
      </c>
      <c r="L85" s="47">
        <f t="shared" si="8"/>
        <v>0</v>
      </c>
      <c r="M85" s="47">
        <f t="shared" si="8"/>
        <v>0</v>
      </c>
      <c r="N85" s="47">
        <f t="shared" si="8"/>
        <v>0</v>
      </c>
      <c r="O85" s="47">
        <f t="shared" si="8"/>
        <v>0</v>
      </c>
      <c r="P85" s="47">
        <f t="shared" si="8"/>
        <v>0</v>
      </c>
      <c r="Q85" s="47">
        <f t="shared" si="8"/>
        <v>0</v>
      </c>
      <c r="R85" s="47">
        <f t="shared" si="8"/>
        <v>0</v>
      </c>
      <c r="S85" s="47">
        <f t="shared" si="8"/>
        <v>0</v>
      </c>
      <c r="T85" s="48">
        <f t="shared" si="8"/>
        <v>4.7619047619047623E-3</v>
      </c>
    </row>
    <row r="88" spans="2:20" ht="15.6">
      <c r="B88" s="5" t="s">
        <v>32</v>
      </c>
    </row>
    <row r="89" spans="2:20">
      <c r="B89" s="6"/>
      <c r="C89" s="1" t="s">
        <v>33</v>
      </c>
    </row>
    <row r="90" spans="2:20">
      <c r="B90" s="6"/>
    </row>
    <row r="91" spans="2:20">
      <c r="B91" s="6">
        <v>1</v>
      </c>
      <c r="C91" s="6" t="str">
        <f>INDEX(ListDepMethods,B91)</f>
        <v>Declining Balance</v>
      </c>
    </row>
    <row r="92" spans="2:20">
      <c r="C92" s="1" t="s">
        <v>34</v>
      </c>
    </row>
    <row r="93" spans="2:20">
      <c r="C93" s="49" t="s">
        <v>35</v>
      </c>
      <c r="D93" s="50">
        <v>2020</v>
      </c>
      <c r="E93" s="50">
        <v>2021</v>
      </c>
      <c r="F93" s="50">
        <v>2022</v>
      </c>
      <c r="G93" s="50">
        <v>2023</v>
      </c>
    </row>
    <row r="94" spans="2:20">
      <c r="C94" s="51" t="s">
        <v>36</v>
      </c>
      <c r="D94" s="52">
        <v>0</v>
      </c>
      <c r="E94" s="52">
        <v>70</v>
      </c>
      <c r="F94" s="52">
        <v>49</v>
      </c>
      <c r="G94" s="52">
        <v>34.299999999999997</v>
      </c>
    </row>
    <row r="95" spans="2:20">
      <c r="C95" s="53" t="s">
        <v>37</v>
      </c>
      <c r="D95" s="54">
        <v>100</v>
      </c>
      <c r="E95" s="54">
        <v>0</v>
      </c>
      <c r="F95" s="54">
        <v>0</v>
      </c>
      <c r="G95" s="54">
        <v>0</v>
      </c>
    </row>
    <row r="96" spans="2:20">
      <c r="C96" s="53" t="s">
        <v>38</v>
      </c>
      <c r="D96" s="54">
        <v>-30</v>
      </c>
      <c r="E96" s="54">
        <v>-21</v>
      </c>
      <c r="F96" s="54">
        <v>-14.7</v>
      </c>
      <c r="G96" s="54">
        <v>-10.29</v>
      </c>
    </row>
    <row r="97" spans="2:7">
      <c r="C97" s="53" t="s">
        <v>6</v>
      </c>
      <c r="D97" s="54">
        <v>70</v>
      </c>
      <c r="E97" s="54">
        <v>49</v>
      </c>
      <c r="F97" s="54">
        <v>34.299999999999997</v>
      </c>
      <c r="G97" s="54">
        <v>24.009999999999998</v>
      </c>
    </row>
    <row r="99" spans="2:7">
      <c r="B99" s="6">
        <v>2</v>
      </c>
      <c r="C99" s="6" t="str">
        <f>INDEX(ListDepMethods,B99)</f>
        <v>Straight Line</v>
      </c>
    </row>
    <row r="100" spans="2:7">
      <c r="C100" s="1" t="s">
        <v>39</v>
      </c>
    </row>
    <row r="101" spans="2:7">
      <c r="C101" s="49" t="s">
        <v>40</v>
      </c>
      <c r="D101" s="50">
        <v>2020</v>
      </c>
      <c r="E101" s="50">
        <v>2021</v>
      </c>
      <c r="F101" s="50">
        <v>2022</v>
      </c>
      <c r="G101" s="50">
        <v>2023</v>
      </c>
    </row>
    <row r="102" spans="2:7">
      <c r="C102" s="51" t="s">
        <v>36</v>
      </c>
      <c r="D102" s="52">
        <v>0</v>
      </c>
      <c r="E102" s="52">
        <v>66.666666666666657</v>
      </c>
      <c r="F102" s="52">
        <v>33.333333333333321</v>
      </c>
      <c r="G102" s="52">
        <v>0</v>
      </c>
    </row>
    <row r="103" spans="2:7">
      <c r="C103" s="53" t="s">
        <v>37</v>
      </c>
      <c r="D103" s="54">
        <v>100</v>
      </c>
      <c r="E103" s="54">
        <v>0</v>
      </c>
      <c r="F103" s="54">
        <v>0</v>
      </c>
      <c r="G103" s="54">
        <v>0</v>
      </c>
    </row>
    <row r="104" spans="2:7">
      <c r="C104" s="53" t="s">
        <v>38</v>
      </c>
      <c r="D104" s="54">
        <v>-33.333333333333336</v>
      </c>
      <c r="E104" s="54">
        <v>-33.333333333333336</v>
      </c>
      <c r="F104" s="54">
        <v>-33.333333333333336</v>
      </c>
      <c r="G104" s="54">
        <v>0</v>
      </c>
    </row>
    <row r="105" spans="2:7">
      <c r="C105" s="53" t="s">
        <v>6</v>
      </c>
      <c r="D105" s="54">
        <v>66.666666666666657</v>
      </c>
      <c r="E105" s="54">
        <v>33.333333333333321</v>
      </c>
      <c r="F105" s="54">
        <v>0</v>
      </c>
      <c r="G105" s="54">
        <v>0</v>
      </c>
    </row>
    <row r="107" spans="2:7">
      <c r="B107" s="6">
        <v>3</v>
      </c>
      <c r="C107" s="6" t="str">
        <f>INDEX(ListDepMethods,B107)</f>
        <v>Adjusted MACRS</v>
      </c>
    </row>
    <row r="108" spans="2:7">
      <c r="C108" s="1" t="s">
        <v>41</v>
      </c>
    </row>
    <row r="109" spans="2:7">
      <c r="C109" s="1" t="s">
        <v>42</v>
      </c>
    </row>
    <row r="110" spans="2:7">
      <c r="C110" s="49" t="s">
        <v>43</v>
      </c>
      <c r="D110" s="50">
        <v>2020</v>
      </c>
      <c r="E110" s="50">
        <v>2021</v>
      </c>
      <c r="F110" s="50">
        <v>2022</v>
      </c>
      <c r="G110" s="50">
        <v>2023</v>
      </c>
    </row>
    <row r="111" spans="2:7">
      <c r="C111" s="51" t="s">
        <v>36</v>
      </c>
      <c r="D111" s="52">
        <v>0</v>
      </c>
      <c r="E111" s="52">
        <v>60</v>
      </c>
      <c r="F111" s="52">
        <v>36</v>
      </c>
      <c r="G111" s="52">
        <v>21.6</v>
      </c>
    </row>
    <row r="112" spans="2:7">
      <c r="C112" s="53" t="s">
        <v>37</v>
      </c>
      <c r="D112" s="54">
        <v>100</v>
      </c>
      <c r="E112" s="54">
        <v>0</v>
      </c>
      <c r="F112" s="54">
        <v>0</v>
      </c>
      <c r="G112" s="54">
        <v>0</v>
      </c>
    </row>
    <row r="113" spans="2:7">
      <c r="C113" s="53" t="s">
        <v>38</v>
      </c>
      <c r="D113" s="54">
        <v>-40</v>
      </c>
      <c r="E113" s="54">
        <v>-24</v>
      </c>
      <c r="F113" s="54">
        <v>-14.4</v>
      </c>
      <c r="G113" s="54">
        <v>-10.8</v>
      </c>
    </row>
    <row r="114" spans="2:7">
      <c r="C114" s="53" t="s">
        <v>6</v>
      </c>
      <c r="D114" s="54">
        <v>60</v>
      </c>
      <c r="E114" s="54">
        <v>36</v>
      </c>
      <c r="F114" s="54">
        <v>21.6</v>
      </c>
      <c r="G114" s="54">
        <v>10.8</v>
      </c>
    </row>
    <row r="116" spans="2:7">
      <c r="B116" s="6">
        <v>4</v>
      </c>
      <c r="C116" s="6" t="str">
        <f>INDEX(ListDepMethods,B116)</f>
        <v>Sum of Years Digits</v>
      </c>
    </row>
    <row r="117" spans="2:7">
      <c r="C117" s="1" t="s">
        <v>41</v>
      </c>
    </row>
    <row r="118" spans="2:7">
      <c r="C118" s="1" t="s">
        <v>42</v>
      </c>
    </row>
    <row r="119" spans="2:7">
      <c r="C119" s="49" t="s">
        <v>44</v>
      </c>
      <c r="D119" s="50">
        <v>2020</v>
      </c>
      <c r="E119" s="50">
        <v>2021</v>
      </c>
      <c r="F119" s="50">
        <v>2022</v>
      </c>
      <c r="G119" s="50">
        <v>2023</v>
      </c>
    </row>
    <row r="120" spans="2:7">
      <c r="C120" s="51" t="s">
        <v>36</v>
      </c>
      <c r="D120" s="52">
        <v>0</v>
      </c>
      <c r="E120" s="52">
        <v>66.666666666666671</v>
      </c>
      <c r="F120" s="52">
        <v>40</v>
      </c>
      <c r="G120" s="52">
        <v>20</v>
      </c>
    </row>
    <row r="121" spans="2:7">
      <c r="C121" s="53" t="s">
        <v>37</v>
      </c>
      <c r="D121" s="54">
        <v>100</v>
      </c>
      <c r="E121" s="54">
        <v>0</v>
      </c>
      <c r="F121" s="54">
        <v>0</v>
      </c>
      <c r="G121" s="54">
        <v>0</v>
      </c>
    </row>
    <row r="122" spans="2:7">
      <c r="C122" s="53" t="s">
        <v>38</v>
      </c>
      <c r="D122" s="54">
        <v>-33.333333333333329</v>
      </c>
      <c r="E122" s="54">
        <v>-26.666666666666668</v>
      </c>
      <c r="F122" s="54">
        <v>-20</v>
      </c>
      <c r="G122" s="54">
        <v>-13.333333333333334</v>
      </c>
    </row>
    <row r="123" spans="2:7">
      <c r="C123" s="53" t="s">
        <v>6</v>
      </c>
      <c r="D123" s="54">
        <v>66.666666666666671</v>
      </c>
      <c r="E123" s="54">
        <v>40</v>
      </c>
      <c r="F123" s="54">
        <v>20</v>
      </c>
      <c r="G123" s="54">
        <v>6.6666666666666661</v>
      </c>
    </row>
    <row r="129" spans="1:34">
      <c r="A129" s="4" t="s">
        <v>45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spans="1:34">
      <c r="E130" s="7"/>
    </row>
    <row r="131" spans="1:34" ht="15.6">
      <c r="B131" s="5" t="s">
        <v>49</v>
      </c>
      <c r="E131" s="7"/>
    </row>
    <row r="132" spans="1:34">
      <c r="D132" s="55" t="s">
        <v>46</v>
      </c>
      <c r="E132" s="55" t="s">
        <v>47</v>
      </c>
      <c r="F132" s="6" t="s">
        <v>48</v>
      </c>
    </row>
    <row r="133" spans="1:34">
      <c r="D133" s="7" t="s">
        <v>3</v>
      </c>
      <c r="E133" s="7" t="s">
        <v>0</v>
      </c>
      <c r="F133" s="56" t="s">
        <v>2</v>
      </c>
    </row>
    <row r="134" spans="1:34">
      <c r="D134" s="11">
        <v>43851</v>
      </c>
      <c r="E134" s="8">
        <v>14000</v>
      </c>
      <c r="F134" s="8" t="s">
        <v>16</v>
      </c>
    </row>
    <row r="135" spans="1:34">
      <c r="D135" s="11">
        <v>43852</v>
      </c>
      <c r="E135" s="8">
        <v>375000</v>
      </c>
      <c r="F135" s="8" t="s">
        <v>15</v>
      </c>
    </row>
    <row r="136" spans="1:34">
      <c r="D136" s="11">
        <v>43872</v>
      </c>
      <c r="E136" s="8">
        <v>125000</v>
      </c>
      <c r="F136" s="8" t="s">
        <v>16</v>
      </c>
    </row>
    <row r="137" spans="1:34">
      <c r="D137" s="11">
        <v>43881</v>
      </c>
      <c r="E137" s="8">
        <v>316000</v>
      </c>
      <c r="F137" s="8" t="s">
        <v>14</v>
      </c>
    </row>
    <row r="138" spans="1:34">
      <c r="D138" s="11">
        <v>43904</v>
      </c>
      <c r="E138" s="8">
        <v>109000</v>
      </c>
      <c r="F138" s="8" t="s">
        <v>16</v>
      </c>
    </row>
    <row r="139" spans="1:34">
      <c r="D139" s="11">
        <v>43907</v>
      </c>
      <c r="E139" s="8">
        <v>299000</v>
      </c>
      <c r="F139" s="8" t="s">
        <v>16</v>
      </c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</row>
    <row r="140" spans="1:34">
      <c r="D140" s="11">
        <v>43911</v>
      </c>
      <c r="E140" s="8">
        <v>359000</v>
      </c>
      <c r="F140" s="8" t="s">
        <v>14</v>
      </c>
      <c r="H140" s="57"/>
    </row>
    <row r="141" spans="1:34">
      <c r="D141" s="11">
        <v>43918</v>
      </c>
      <c r="E141" s="8">
        <v>485000</v>
      </c>
      <c r="F141" s="8" t="s">
        <v>14</v>
      </c>
      <c r="H141" s="57"/>
    </row>
    <row r="142" spans="1:34">
      <c r="D142" s="11">
        <v>43957</v>
      </c>
      <c r="E142" s="8">
        <v>259000</v>
      </c>
      <c r="F142" s="8" t="s">
        <v>16</v>
      </c>
      <c r="H142" s="57"/>
    </row>
    <row r="143" spans="1:34">
      <c r="D143" s="11">
        <v>43969</v>
      </c>
      <c r="E143" s="8">
        <v>166000</v>
      </c>
      <c r="F143" s="8" t="s">
        <v>15</v>
      </c>
      <c r="H143" s="57"/>
    </row>
    <row r="144" spans="1:34">
      <c r="D144" s="11">
        <v>43983</v>
      </c>
      <c r="E144" s="8">
        <v>119000</v>
      </c>
      <c r="F144" s="8" t="s">
        <v>14</v>
      </c>
      <c r="H144" s="57"/>
    </row>
    <row r="145" spans="4:8">
      <c r="D145" s="11">
        <v>43998</v>
      </c>
      <c r="E145" s="8">
        <v>311000</v>
      </c>
      <c r="F145" s="8" t="s">
        <v>16</v>
      </c>
      <c r="H145" s="57"/>
    </row>
    <row r="146" spans="4:8">
      <c r="D146" s="11">
        <v>44011</v>
      </c>
      <c r="E146" s="8">
        <v>250000</v>
      </c>
      <c r="F146" s="8" t="s">
        <v>15</v>
      </c>
      <c r="H146" s="57"/>
    </row>
    <row r="147" spans="4:8">
      <c r="D147" s="11">
        <v>44033</v>
      </c>
      <c r="E147" s="8">
        <v>375000</v>
      </c>
      <c r="F147" s="8" t="s">
        <v>14</v>
      </c>
      <c r="H147" s="57"/>
    </row>
    <row r="148" spans="4:8">
      <c r="D148" s="11">
        <v>44067</v>
      </c>
      <c r="E148" s="8">
        <v>287000</v>
      </c>
      <c r="F148" s="8" t="s">
        <v>16</v>
      </c>
      <c r="H148" s="57"/>
    </row>
    <row r="149" spans="4:8">
      <c r="D149" s="11">
        <v>44077</v>
      </c>
      <c r="E149" s="8">
        <v>318000</v>
      </c>
      <c r="F149" s="8" t="s">
        <v>15</v>
      </c>
      <c r="H149" s="57"/>
    </row>
    <row r="150" spans="4:8">
      <c r="D150" s="11">
        <v>44085</v>
      </c>
      <c r="E150" s="8">
        <v>435000</v>
      </c>
      <c r="F150" s="8" t="s">
        <v>16</v>
      </c>
      <c r="H150" s="57"/>
    </row>
    <row r="151" spans="4:8">
      <c r="D151" s="11">
        <v>44093</v>
      </c>
      <c r="E151" s="8">
        <v>149000</v>
      </c>
      <c r="F151" s="8" t="s">
        <v>16</v>
      </c>
      <c r="H151" s="57"/>
    </row>
    <row r="152" spans="4:8">
      <c r="D152" s="11">
        <v>44122</v>
      </c>
      <c r="E152" s="8">
        <v>162000</v>
      </c>
      <c r="F152" s="8" t="s">
        <v>14</v>
      </c>
      <c r="H152" s="57"/>
    </row>
    <row r="153" spans="4:8">
      <c r="D153" s="11">
        <v>44160</v>
      </c>
      <c r="E153" s="8">
        <v>447000</v>
      </c>
      <c r="F153" s="8" t="s">
        <v>15</v>
      </c>
      <c r="H153" s="57"/>
    </row>
    <row r="154" spans="4:8">
      <c r="D154" s="11">
        <v>44188</v>
      </c>
      <c r="E154" s="8">
        <v>81000</v>
      </c>
      <c r="F154" s="8" t="s">
        <v>15</v>
      </c>
      <c r="H154" s="57"/>
    </row>
    <row r="155" spans="4:8">
      <c r="D155" s="11">
        <v>44189</v>
      </c>
      <c r="E155" s="8">
        <v>274000</v>
      </c>
      <c r="F155" s="8" t="s">
        <v>16</v>
      </c>
      <c r="H155" s="57"/>
    </row>
    <row r="156" spans="4:8">
      <c r="D156" s="11">
        <v>44194</v>
      </c>
      <c r="E156" s="8">
        <v>280000</v>
      </c>
      <c r="F156" s="8" t="s">
        <v>15</v>
      </c>
      <c r="H156" s="57"/>
    </row>
    <row r="157" spans="4:8">
      <c r="D157" s="11">
        <v>44211</v>
      </c>
      <c r="E157" s="8">
        <v>396000</v>
      </c>
      <c r="F157" s="8" t="s">
        <v>15</v>
      </c>
      <c r="H157" s="57"/>
    </row>
    <row r="158" spans="4:8">
      <c r="D158" s="11">
        <v>44240</v>
      </c>
      <c r="E158" s="8">
        <v>204000</v>
      </c>
      <c r="F158" s="8" t="s">
        <v>14</v>
      </c>
      <c r="H158" s="57"/>
    </row>
    <row r="159" spans="4:8">
      <c r="D159" s="11">
        <v>44272</v>
      </c>
      <c r="E159" s="8">
        <v>161000</v>
      </c>
      <c r="F159" s="8" t="s">
        <v>15</v>
      </c>
      <c r="H159" s="57"/>
    </row>
    <row r="160" spans="4:8">
      <c r="D160" s="11">
        <v>44419</v>
      </c>
      <c r="E160" s="8">
        <v>448000</v>
      </c>
      <c r="F160" s="8" t="s">
        <v>16</v>
      </c>
      <c r="H160" s="57"/>
    </row>
    <row r="161" spans="4:8">
      <c r="D161" s="11">
        <v>44586</v>
      </c>
      <c r="E161" s="8">
        <v>353000</v>
      </c>
      <c r="F161" s="8" t="s">
        <v>15</v>
      </c>
      <c r="H161" s="57"/>
    </row>
    <row r="162" spans="4:8">
      <c r="D162" s="11">
        <v>44676</v>
      </c>
      <c r="E162" s="8">
        <v>378000</v>
      </c>
      <c r="F162" s="8" t="s">
        <v>16</v>
      </c>
      <c r="H162" s="57"/>
    </row>
    <row r="163" spans="4:8">
      <c r="D163" s="11">
        <v>44691</v>
      </c>
      <c r="E163" s="8">
        <v>360000</v>
      </c>
      <c r="F163" s="8" t="s">
        <v>16</v>
      </c>
      <c r="H163" s="57"/>
    </row>
    <row r="164" spans="4:8">
      <c r="D164" s="11">
        <v>44707</v>
      </c>
      <c r="E164" s="8">
        <v>416000</v>
      </c>
      <c r="F164" s="8" t="s">
        <v>16</v>
      </c>
      <c r="H164" s="57"/>
    </row>
    <row r="165" spans="4:8">
      <c r="D165" s="11">
        <v>44720</v>
      </c>
      <c r="E165" s="8">
        <v>143000</v>
      </c>
      <c r="F165" s="8" t="s">
        <v>14</v>
      </c>
    </row>
    <row r="166" spans="4:8">
      <c r="D166" s="11">
        <v>44728</v>
      </c>
      <c r="E166" s="8">
        <v>80000</v>
      </c>
      <c r="F166" s="8" t="s">
        <v>15</v>
      </c>
    </row>
    <row r="167" spans="4:8">
      <c r="D167" s="11">
        <v>44836</v>
      </c>
      <c r="E167" s="8">
        <v>399000</v>
      </c>
      <c r="F167" s="8" t="s">
        <v>16</v>
      </c>
    </row>
    <row r="168" spans="4:8">
      <c r="D168" s="11">
        <v>44852</v>
      </c>
      <c r="E168" s="8">
        <v>140000</v>
      </c>
      <c r="F168" s="8" t="s">
        <v>15</v>
      </c>
    </row>
    <row r="169" spans="4:8">
      <c r="D169" s="11">
        <v>44855</v>
      </c>
      <c r="E169" s="8">
        <v>121000</v>
      </c>
      <c r="F169" s="8" t="s">
        <v>15</v>
      </c>
    </row>
    <row r="170" spans="4:8">
      <c r="D170" s="11">
        <v>44869</v>
      </c>
      <c r="E170" s="8">
        <v>158000</v>
      </c>
      <c r="F170" s="8" t="s">
        <v>14</v>
      </c>
    </row>
    <row r="171" spans="4:8">
      <c r="D171" s="11">
        <v>44871</v>
      </c>
      <c r="E171" s="8">
        <v>181000</v>
      </c>
      <c r="F171" s="8" t="s">
        <v>14</v>
      </c>
    </row>
    <row r="172" spans="4:8">
      <c r="D172" s="11">
        <v>44874</v>
      </c>
      <c r="E172" s="8">
        <v>141000</v>
      </c>
      <c r="F172" s="8" t="s">
        <v>14</v>
      </c>
    </row>
    <row r="173" spans="4:8">
      <c r="D173" s="11">
        <v>44941</v>
      </c>
      <c r="E173" s="8">
        <v>138000</v>
      </c>
      <c r="F173" s="8" t="s">
        <v>16</v>
      </c>
    </row>
    <row r="174" spans="4:8">
      <c r="D174" s="11">
        <v>44966</v>
      </c>
      <c r="E174" s="8">
        <v>426000</v>
      </c>
      <c r="F174" s="8" t="s">
        <v>14</v>
      </c>
    </row>
    <row r="175" spans="4:8">
      <c r="D175" s="11">
        <v>45032</v>
      </c>
      <c r="E175" s="8">
        <v>231000</v>
      </c>
      <c r="F175" s="8" t="s">
        <v>14</v>
      </c>
    </row>
    <row r="176" spans="4:8">
      <c r="D176" s="11">
        <v>45043</v>
      </c>
      <c r="E176" s="8">
        <v>217000</v>
      </c>
      <c r="F176" s="8" t="s">
        <v>14</v>
      </c>
    </row>
    <row r="177" spans="4:6">
      <c r="D177" s="11">
        <v>45046</v>
      </c>
      <c r="E177" s="8">
        <v>31000</v>
      </c>
      <c r="F177" s="8" t="s">
        <v>15</v>
      </c>
    </row>
    <row r="178" spans="4:6">
      <c r="D178" s="11">
        <v>45069</v>
      </c>
      <c r="E178" s="8">
        <v>318000</v>
      </c>
      <c r="F178" s="8" t="s">
        <v>14</v>
      </c>
    </row>
    <row r="179" spans="4:6">
      <c r="D179" s="11">
        <v>45125</v>
      </c>
      <c r="E179" s="8">
        <v>426000</v>
      </c>
      <c r="F179" s="8" t="s">
        <v>15</v>
      </c>
    </row>
    <row r="180" spans="4:6">
      <c r="D180" s="11">
        <v>45166</v>
      </c>
      <c r="E180" s="8">
        <v>23000</v>
      </c>
      <c r="F180" s="8" t="s">
        <v>16</v>
      </c>
    </row>
    <row r="181" spans="4:6">
      <c r="D181" s="11">
        <v>45185</v>
      </c>
      <c r="E181" s="8">
        <v>479000</v>
      </c>
      <c r="F181" s="8" t="s">
        <v>14</v>
      </c>
    </row>
    <row r="182" spans="4:6">
      <c r="D182" s="11">
        <v>45222</v>
      </c>
      <c r="E182" s="8">
        <v>147000</v>
      </c>
      <c r="F182" s="8" t="s">
        <v>15</v>
      </c>
    </row>
    <row r="183" spans="4:6">
      <c r="D183" s="11">
        <v>45264</v>
      </c>
      <c r="E183" s="8">
        <v>217000</v>
      </c>
      <c r="F183" s="8" t="s">
        <v>16</v>
      </c>
    </row>
    <row r="184" spans="4:6">
      <c r="D184" s="11">
        <v>45284</v>
      </c>
      <c r="E184" s="8">
        <v>19000</v>
      </c>
      <c r="F184" s="8" t="s">
        <v>14</v>
      </c>
    </row>
    <row r="185" spans="4:6">
      <c r="D185" s="11">
        <v>45313</v>
      </c>
      <c r="E185" s="8">
        <v>370000</v>
      </c>
      <c r="F185" s="8" t="s">
        <v>16</v>
      </c>
    </row>
    <row r="186" spans="4:6">
      <c r="D186" s="11">
        <v>45316</v>
      </c>
      <c r="E186" s="8">
        <v>12000</v>
      </c>
      <c r="F186" s="8" t="s">
        <v>16</v>
      </c>
    </row>
    <row r="187" spans="4:6">
      <c r="D187" s="11">
        <v>45320</v>
      </c>
      <c r="E187" s="8">
        <v>137000</v>
      </c>
      <c r="F187" s="8" t="s">
        <v>14</v>
      </c>
    </row>
    <row r="188" spans="4:6">
      <c r="D188" s="11">
        <v>45379</v>
      </c>
      <c r="E188" s="8">
        <v>345000</v>
      </c>
      <c r="F188" s="8" t="s">
        <v>16</v>
      </c>
    </row>
    <row r="189" spans="4:6">
      <c r="D189" s="11">
        <v>45394</v>
      </c>
      <c r="E189" s="8">
        <v>339000</v>
      </c>
      <c r="F189" s="8" t="s">
        <v>14</v>
      </c>
    </row>
    <row r="190" spans="4:6">
      <c r="D190" s="11">
        <v>45404</v>
      </c>
      <c r="E190" s="8">
        <v>88000</v>
      </c>
      <c r="F190" s="8" t="s">
        <v>14</v>
      </c>
    </row>
    <row r="191" spans="4:6">
      <c r="D191" s="11">
        <v>45430</v>
      </c>
      <c r="E191" s="8">
        <v>165000</v>
      </c>
      <c r="F191" s="8" t="s">
        <v>14</v>
      </c>
    </row>
    <row r="192" spans="4:6">
      <c r="D192" s="11">
        <v>45436</v>
      </c>
      <c r="E192" s="8">
        <v>192000</v>
      </c>
      <c r="F192" s="8" t="s">
        <v>15</v>
      </c>
    </row>
    <row r="193" spans="4:6">
      <c r="D193" s="11">
        <v>45474</v>
      </c>
      <c r="E193" s="8">
        <v>395000</v>
      </c>
      <c r="F193" s="8" t="s">
        <v>16</v>
      </c>
    </row>
    <row r="194" spans="4:6">
      <c r="D194" s="11">
        <v>45482</v>
      </c>
      <c r="E194" s="8">
        <v>120000</v>
      </c>
      <c r="F194" s="8" t="s">
        <v>14</v>
      </c>
    </row>
    <row r="195" spans="4:6">
      <c r="D195" s="11">
        <v>45525</v>
      </c>
      <c r="E195" s="8">
        <v>52000</v>
      </c>
      <c r="F195" s="8" t="s">
        <v>15</v>
      </c>
    </row>
    <row r="196" spans="4:6">
      <c r="D196" s="11">
        <v>45581</v>
      </c>
      <c r="E196" s="8">
        <v>359000</v>
      </c>
      <c r="F196" s="8" t="s">
        <v>15</v>
      </c>
    </row>
    <row r="197" spans="4:6">
      <c r="D197" s="11">
        <v>45649</v>
      </c>
      <c r="E197" s="8">
        <v>484000</v>
      </c>
      <c r="F197" s="8" t="s">
        <v>16</v>
      </c>
    </row>
    <row r="198" spans="4:6">
      <c r="D198" s="11">
        <v>45667</v>
      </c>
      <c r="E198" s="8">
        <v>168000</v>
      </c>
      <c r="F198" s="8" t="s">
        <v>15</v>
      </c>
    </row>
    <row r="199" spans="4:6">
      <c r="D199" s="11">
        <v>45698</v>
      </c>
      <c r="E199" s="8">
        <v>66000</v>
      </c>
      <c r="F199" s="8" t="s">
        <v>15</v>
      </c>
    </row>
    <row r="200" spans="4:6">
      <c r="D200" s="11">
        <v>45781</v>
      </c>
      <c r="E200" s="8">
        <v>312000</v>
      </c>
      <c r="F200" s="8" t="s">
        <v>16</v>
      </c>
    </row>
    <row r="201" spans="4:6">
      <c r="D201" s="11">
        <v>45786</v>
      </c>
      <c r="E201" s="8">
        <v>416000</v>
      </c>
      <c r="F201" s="8" t="s">
        <v>15</v>
      </c>
    </row>
    <row r="202" spans="4:6">
      <c r="D202" s="11">
        <v>45789</v>
      </c>
      <c r="E202" s="8">
        <v>419000</v>
      </c>
      <c r="F202" s="8" t="s">
        <v>15</v>
      </c>
    </row>
    <row r="203" spans="4:6">
      <c r="D203" s="11">
        <v>45793</v>
      </c>
      <c r="E203" s="8">
        <v>190000</v>
      </c>
      <c r="F203" s="8" t="s">
        <v>16</v>
      </c>
    </row>
    <row r="204" spans="4:6">
      <c r="D204" s="11">
        <v>45798</v>
      </c>
      <c r="E204" s="8">
        <v>261000</v>
      </c>
      <c r="F204" s="8" t="s">
        <v>16</v>
      </c>
    </row>
    <row r="205" spans="4:6">
      <c r="D205" s="11">
        <v>45823</v>
      </c>
      <c r="E205" s="8">
        <v>275000</v>
      </c>
      <c r="F205" s="8" t="s">
        <v>16</v>
      </c>
    </row>
    <row r="206" spans="4:6">
      <c r="D206" s="11">
        <v>45833</v>
      </c>
      <c r="E206" s="8">
        <v>353000</v>
      </c>
      <c r="F206" s="8" t="s">
        <v>15</v>
      </c>
    </row>
    <row r="207" spans="4:6">
      <c r="D207" s="11">
        <v>45853</v>
      </c>
      <c r="E207" s="8">
        <v>191000</v>
      </c>
      <c r="F207" s="8" t="s">
        <v>16</v>
      </c>
    </row>
    <row r="208" spans="4:6">
      <c r="D208" s="11">
        <v>45853</v>
      </c>
      <c r="E208" s="8">
        <v>421000</v>
      </c>
      <c r="F208" s="8" t="s">
        <v>14</v>
      </c>
    </row>
    <row r="209" spans="4:6">
      <c r="D209" s="11">
        <v>45920</v>
      </c>
      <c r="E209" s="8">
        <v>210000</v>
      </c>
      <c r="F209" s="8" t="s">
        <v>14</v>
      </c>
    </row>
    <row r="210" spans="4:6">
      <c r="D210" s="11">
        <v>45937</v>
      </c>
      <c r="E210" s="8">
        <v>178000</v>
      </c>
      <c r="F210" s="8" t="s">
        <v>15</v>
      </c>
    </row>
    <row r="211" spans="4:6">
      <c r="D211" s="11">
        <v>45941</v>
      </c>
      <c r="E211" s="8">
        <v>187000</v>
      </c>
      <c r="F211" s="8" t="s">
        <v>15</v>
      </c>
    </row>
    <row r="212" spans="4:6">
      <c r="D212" s="11">
        <v>45950</v>
      </c>
      <c r="E212" s="8">
        <v>96000</v>
      </c>
      <c r="F212" s="8" t="s">
        <v>14</v>
      </c>
    </row>
    <row r="213" spans="4:6">
      <c r="D213" s="11">
        <v>45990</v>
      </c>
      <c r="E213" s="8">
        <v>450000</v>
      </c>
      <c r="F213" s="8" t="s">
        <v>16</v>
      </c>
    </row>
    <row r="214" spans="4:6">
      <c r="D214" s="11">
        <v>46007</v>
      </c>
      <c r="E214" s="8">
        <v>434000</v>
      </c>
      <c r="F214" s="8" t="s">
        <v>14</v>
      </c>
    </row>
    <row r="215" spans="4:6">
      <c r="D215" s="11">
        <v>46051</v>
      </c>
      <c r="E215" s="8">
        <v>63000</v>
      </c>
      <c r="F215" s="8" t="s">
        <v>16</v>
      </c>
    </row>
    <row r="216" spans="4:6">
      <c r="D216" s="11">
        <v>46079</v>
      </c>
      <c r="E216" s="8">
        <v>50000</v>
      </c>
      <c r="F216" s="8" t="s">
        <v>16</v>
      </c>
    </row>
    <row r="217" spans="4:6">
      <c r="D217" s="11">
        <v>46137</v>
      </c>
      <c r="E217" s="8">
        <v>24000</v>
      </c>
      <c r="F217" s="8" t="s">
        <v>14</v>
      </c>
    </row>
    <row r="218" spans="4:6">
      <c r="D218" s="11">
        <v>46161</v>
      </c>
      <c r="E218" s="8">
        <v>87000</v>
      </c>
      <c r="F218" s="8" t="s">
        <v>15</v>
      </c>
    </row>
    <row r="219" spans="4:6">
      <c r="D219" s="11">
        <v>46173</v>
      </c>
      <c r="E219" s="8">
        <v>48000</v>
      </c>
      <c r="F219" s="8" t="s">
        <v>15</v>
      </c>
    </row>
    <row r="220" spans="4:6">
      <c r="D220" s="11">
        <v>46178</v>
      </c>
      <c r="E220" s="8">
        <v>398000</v>
      </c>
      <c r="F220" s="8" t="s">
        <v>16</v>
      </c>
    </row>
    <row r="221" spans="4:6">
      <c r="D221" s="11">
        <v>46236</v>
      </c>
      <c r="E221" s="8">
        <v>328000</v>
      </c>
      <c r="F221" s="8" t="s">
        <v>14</v>
      </c>
    </row>
    <row r="222" spans="4:6">
      <c r="D222" s="11">
        <v>46268</v>
      </c>
      <c r="E222" s="8">
        <v>474000</v>
      </c>
      <c r="F222" s="8" t="s">
        <v>16</v>
      </c>
    </row>
    <row r="223" spans="4:6">
      <c r="D223" s="11">
        <v>46276</v>
      </c>
      <c r="E223" s="8">
        <v>410000</v>
      </c>
      <c r="F223" s="8" t="s">
        <v>16</v>
      </c>
    </row>
    <row r="224" spans="4:6">
      <c r="D224" s="11">
        <v>46365</v>
      </c>
      <c r="E224" s="8">
        <v>461000</v>
      </c>
      <c r="F224" s="8" t="s">
        <v>14</v>
      </c>
    </row>
    <row r="225" spans="4:6">
      <c r="D225" s="11">
        <v>46476</v>
      </c>
      <c r="E225" s="8">
        <v>63000</v>
      </c>
      <c r="F225" s="8" t="s">
        <v>14</v>
      </c>
    </row>
    <row r="226" spans="4:6">
      <c r="D226" s="11">
        <v>46549</v>
      </c>
      <c r="E226" s="8">
        <v>359000</v>
      </c>
      <c r="F226" s="8" t="s">
        <v>15</v>
      </c>
    </row>
    <row r="227" spans="4:6">
      <c r="D227" s="11">
        <v>46560</v>
      </c>
      <c r="E227" s="8">
        <v>338000</v>
      </c>
      <c r="F227" s="8" t="s">
        <v>15</v>
      </c>
    </row>
    <row r="228" spans="4:6">
      <c r="D228" s="11">
        <v>46637</v>
      </c>
      <c r="E228" s="8">
        <v>85000</v>
      </c>
      <c r="F228" s="8" t="s">
        <v>16</v>
      </c>
    </row>
    <row r="229" spans="4:6">
      <c r="D229" s="11">
        <v>46640</v>
      </c>
      <c r="E229" s="8">
        <v>260000</v>
      </c>
      <c r="F229" s="8" t="s">
        <v>15</v>
      </c>
    </row>
    <row r="230" spans="4:6">
      <c r="D230" s="11">
        <v>46641</v>
      </c>
      <c r="E230" s="8">
        <v>117000</v>
      </c>
      <c r="F230" s="8" t="s">
        <v>15</v>
      </c>
    </row>
    <row r="231" spans="4:6">
      <c r="D231" s="11">
        <v>46687</v>
      </c>
      <c r="E231" s="8">
        <v>130000</v>
      </c>
      <c r="F231" s="8" t="s">
        <v>14</v>
      </c>
    </row>
    <row r="232" spans="4:6">
      <c r="D232" s="11">
        <v>46824</v>
      </c>
      <c r="E232" s="8">
        <v>235000</v>
      </c>
      <c r="F232" s="8" t="s">
        <v>15</v>
      </c>
    </row>
    <row r="233" spans="4:6">
      <c r="D233" s="11">
        <v>46909</v>
      </c>
      <c r="E233" s="8">
        <v>393000</v>
      </c>
      <c r="F233" s="8" t="s">
        <v>15</v>
      </c>
    </row>
    <row r="234" spans="4:6">
      <c r="D234" s="11">
        <v>46912</v>
      </c>
      <c r="E234" s="8">
        <v>297000</v>
      </c>
      <c r="F234" s="8" t="s">
        <v>14</v>
      </c>
    </row>
    <row r="235" spans="4:6">
      <c r="D235" s="11">
        <v>46959</v>
      </c>
      <c r="E235" s="8">
        <v>159000</v>
      </c>
      <c r="F235" s="8" t="s">
        <v>14</v>
      </c>
    </row>
    <row r="236" spans="4:6">
      <c r="D236" s="11">
        <v>47016</v>
      </c>
      <c r="E236" s="8">
        <v>127000</v>
      </c>
      <c r="F236" s="8" t="s">
        <v>15</v>
      </c>
    </row>
    <row r="237" spans="4:6">
      <c r="D237" s="11">
        <v>47049</v>
      </c>
      <c r="E237" s="8">
        <v>450000</v>
      </c>
      <c r="F237" s="8" t="s">
        <v>15</v>
      </c>
    </row>
    <row r="238" spans="4:6">
      <c r="D238" s="11">
        <v>47097</v>
      </c>
      <c r="E238" s="8">
        <v>190000</v>
      </c>
      <c r="F238" s="8" t="s">
        <v>14</v>
      </c>
    </row>
    <row r="239" spans="4:6">
      <c r="D239" s="11">
        <v>47103</v>
      </c>
      <c r="E239" s="8">
        <v>110000</v>
      </c>
      <c r="F239" s="8" t="s">
        <v>15</v>
      </c>
    </row>
    <row r="240" spans="4:6">
      <c r="D240" s="11">
        <v>47113</v>
      </c>
      <c r="E240" s="8">
        <v>94000</v>
      </c>
      <c r="F240" s="8" t="s">
        <v>14</v>
      </c>
    </row>
    <row r="241" spans="4:6">
      <c r="D241" s="11">
        <v>47142</v>
      </c>
      <c r="E241" s="8">
        <v>304000</v>
      </c>
      <c r="F241" s="8" t="s">
        <v>15</v>
      </c>
    </row>
    <row r="242" spans="4:6">
      <c r="D242" s="11">
        <v>47147</v>
      </c>
      <c r="E242" s="8">
        <v>290000</v>
      </c>
      <c r="F242" s="8" t="s">
        <v>16</v>
      </c>
    </row>
    <row r="243" spans="4:6">
      <c r="D243" s="11">
        <v>47151</v>
      </c>
      <c r="E243" s="8">
        <v>95000</v>
      </c>
      <c r="F243" s="8" t="s">
        <v>14</v>
      </c>
    </row>
    <row r="244" spans="4:6">
      <c r="D244" s="11">
        <v>47172</v>
      </c>
      <c r="E244" s="8">
        <v>210000</v>
      </c>
      <c r="F244" s="8" t="s">
        <v>16</v>
      </c>
    </row>
    <row r="245" spans="4:6">
      <c r="D245" s="11">
        <v>47263</v>
      </c>
      <c r="E245" s="8">
        <v>220000</v>
      </c>
      <c r="F245" s="8" t="s">
        <v>15</v>
      </c>
    </row>
    <row r="246" spans="4:6">
      <c r="D246" s="11">
        <v>47291</v>
      </c>
      <c r="E246" s="8">
        <v>71000</v>
      </c>
      <c r="F246" s="8" t="s">
        <v>16</v>
      </c>
    </row>
    <row r="247" spans="4:6">
      <c r="D247" s="11">
        <v>47324</v>
      </c>
      <c r="E247" s="8">
        <v>295000</v>
      </c>
      <c r="F247" s="8" t="s">
        <v>15</v>
      </c>
    </row>
    <row r="248" spans="4:6">
      <c r="D248" s="11">
        <v>47363</v>
      </c>
      <c r="E248" s="8">
        <v>495000</v>
      </c>
      <c r="F248" s="8" t="s">
        <v>14</v>
      </c>
    </row>
    <row r="249" spans="4:6">
      <c r="D249" s="11">
        <v>47390</v>
      </c>
      <c r="E249" s="8">
        <v>205000</v>
      </c>
      <c r="F249" s="8" t="s">
        <v>15</v>
      </c>
    </row>
    <row r="250" spans="4:6">
      <c r="D250" s="11">
        <v>47405</v>
      </c>
      <c r="E250" s="8">
        <v>332000</v>
      </c>
      <c r="F250" s="8" t="s">
        <v>14</v>
      </c>
    </row>
    <row r="251" spans="4:6">
      <c r="D251" s="11">
        <v>47434</v>
      </c>
      <c r="E251" s="8">
        <v>304000</v>
      </c>
      <c r="F251" s="8" t="s">
        <v>14</v>
      </c>
    </row>
    <row r="252" spans="4:6">
      <c r="D252" s="11">
        <v>47435</v>
      </c>
      <c r="E252" s="8">
        <v>140000</v>
      </c>
      <c r="F252" s="8" t="s">
        <v>15</v>
      </c>
    </row>
    <row r="253" spans="4:6">
      <c r="D253" s="11">
        <v>47446</v>
      </c>
      <c r="E253" s="8">
        <v>337000</v>
      </c>
      <c r="F253" s="8" t="s">
        <v>14</v>
      </c>
    </row>
    <row r="254" spans="4:6">
      <c r="D254" s="11">
        <v>47496</v>
      </c>
      <c r="E254" s="8">
        <v>498000</v>
      </c>
      <c r="F254" s="8" t="s">
        <v>15</v>
      </c>
    </row>
    <row r="255" spans="4:6">
      <c r="D255" s="11">
        <v>47502</v>
      </c>
      <c r="E255" s="8">
        <v>103000</v>
      </c>
      <c r="F255" s="8" t="s">
        <v>15</v>
      </c>
    </row>
    <row r="256" spans="4:6">
      <c r="D256" s="11">
        <v>47504</v>
      </c>
      <c r="E256" s="8">
        <v>402000</v>
      </c>
      <c r="F256" s="8" t="s">
        <v>16</v>
      </c>
    </row>
    <row r="257" spans="4:6">
      <c r="D257" s="11">
        <v>47505</v>
      </c>
      <c r="E257" s="8">
        <v>379000</v>
      </c>
      <c r="F257" s="8" t="s">
        <v>14</v>
      </c>
    </row>
    <row r="258" spans="4:6">
      <c r="D258" s="11">
        <v>47549</v>
      </c>
      <c r="E258" s="8">
        <v>482000</v>
      </c>
      <c r="F258" s="8" t="s">
        <v>14</v>
      </c>
    </row>
    <row r="259" spans="4:6">
      <c r="D259" s="11">
        <v>47570</v>
      </c>
      <c r="E259" s="8">
        <v>112000</v>
      </c>
      <c r="F259" s="8" t="s">
        <v>15</v>
      </c>
    </row>
    <row r="260" spans="4:6">
      <c r="D260" s="11">
        <v>47600</v>
      </c>
      <c r="E260" s="8">
        <v>266000</v>
      </c>
      <c r="F260" s="8" t="s">
        <v>15</v>
      </c>
    </row>
    <row r="261" spans="4:6">
      <c r="D261" s="11">
        <v>47607</v>
      </c>
      <c r="E261" s="8">
        <v>431000</v>
      </c>
      <c r="F261" s="8" t="s">
        <v>16</v>
      </c>
    </row>
    <row r="262" spans="4:6">
      <c r="D262" s="11">
        <v>47649</v>
      </c>
      <c r="E262" s="8">
        <v>133000</v>
      </c>
      <c r="F262" s="8" t="s">
        <v>14</v>
      </c>
    </row>
    <row r="263" spans="4:6">
      <c r="D263" s="11">
        <v>47710</v>
      </c>
      <c r="E263" s="8">
        <v>327000</v>
      </c>
      <c r="F263" s="8" t="s">
        <v>15</v>
      </c>
    </row>
    <row r="264" spans="4:6">
      <c r="D264" s="11">
        <v>47750</v>
      </c>
      <c r="E264" s="8">
        <v>68000</v>
      </c>
      <c r="F264" s="8" t="s">
        <v>15</v>
      </c>
    </row>
    <row r="265" spans="4:6">
      <c r="D265" s="11">
        <v>47768</v>
      </c>
      <c r="E265" s="8">
        <v>375000</v>
      </c>
      <c r="F265" s="8" t="s">
        <v>15</v>
      </c>
    </row>
    <row r="266" spans="4:6">
      <c r="D266" s="11">
        <v>47828</v>
      </c>
      <c r="E266" s="8">
        <v>249000</v>
      </c>
      <c r="F266" s="8" t="s">
        <v>15</v>
      </c>
    </row>
    <row r="267" spans="4:6">
      <c r="D267" s="11">
        <v>47841</v>
      </c>
      <c r="E267" s="8">
        <v>278000</v>
      </c>
      <c r="F267" s="8" t="s">
        <v>15</v>
      </c>
    </row>
    <row r="268" spans="4:6">
      <c r="D268" s="11">
        <v>47864</v>
      </c>
      <c r="E268" s="8">
        <v>110000</v>
      </c>
      <c r="F268" s="8" t="s">
        <v>14</v>
      </c>
    </row>
    <row r="269" spans="4:6">
      <c r="D269" s="11">
        <v>47886</v>
      </c>
      <c r="E269" s="8">
        <v>202000</v>
      </c>
      <c r="F269" s="8" t="s">
        <v>14</v>
      </c>
    </row>
    <row r="270" spans="4:6">
      <c r="D270" s="11">
        <v>47901</v>
      </c>
      <c r="E270" s="8">
        <v>159000</v>
      </c>
      <c r="F270" s="8" t="s">
        <v>14</v>
      </c>
    </row>
    <row r="271" spans="4:6">
      <c r="D271" s="11">
        <v>47943</v>
      </c>
      <c r="E271" s="8">
        <v>160000</v>
      </c>
      <c r="F271" s="8" t="s">
        <v>14</v>
      </c>
    </row>
    <row r="272" spans="4:6">
      <c r="D272" s="11">
        <v>47951</v>
      </c>
      <c r="E272" s="8">
        <v>115000</v>
      </c>
      <c r="F272" s="8" t="s">
        <v>16</v>
      </c>
    </row>
    <row r="273" spans="4:6">
      <c r="D273" s="11">
        <v>48039</v>
      </c>
      <c r="E273" s="8">
        <v>132000</v>
      </c>
      <c r="F273" s="8" t="s">
        <v>16</v>
      </c>
    </row>
    <row r="274" spans="4:6">
      <c r="D274" s="11">
        <v>48040</v>
      </c>
      <c r="E274" s="8">
        <v>387000</v>
      </c>
      <c r="F274" s="8" t="s">
        <v>15</v>
      </c>
    </row>
    <row r="275" spans="4:6">
      <c r="D275" s="11">
        <v>48057</v>
      </c>
      <c r="E275" s="8">
        <v>483000</v>
      </c>
      <c r="F275" s="8" t="s">
        <v>14</v>
      </c>
    </row>
    <row r="276" spans="4:6">
      <c r="D276" s="11">
        <v>48096</v>
      </c>
      <c r="E276" s="8">
        <v>147000</v>
      </c>
      <c r="F276" s="8" t="s">
        <v>14</v>
      </c>
    </row>
    <row r="277" spans="4:6">
      <c r="D277" s="11">
        <v>48112</v>
      </c>
      <c r="E277" s="8">
        <v>411000</v>
      </c>
      <c r="F277" s="8" t="s">
        <v>16</v>
      </c>
    </row>
    <row r="278" spans="4:6">
      <c r="D278" s="11">
        <v>48128</v>
      </c>
      <c r="E278" s="8">
        <v>306000</v>
      </c>
      <c r="F278" s="8" t="s">
        <v>16</v>
      </c>
    </row>
    <row r="279" spans="4:6">
      <c r="D279" s="11">
        <v>48150</v>
      </c>
      <c r="E279" s="8">
        <v>21000</v>
      </c>
      <c r="F279" s="8" t="s">
        <v>14</v>
      </c>
    </row>
    <row r="280" spans="4:6">
      <c r="D280" s="11">
        <v>48166</v>
      </c>
      <c r="E280" s="8">
        <v>165000</v>
      </c>
      <c r="F280" s="8" t="s">
        <v>14</v>
      </c>
    </row>
    <row r="281" spans="4:6">
      <c r="D281" s="11">
        <v>48215</v>
      </c>
      <c r="E281" s="8">
        <v>492000</v>
      </c>
      <c r="F281" s="8" t="s">
        <v>15</v>
      </c>
    </row>
    <row r="282" spans="4:6">
      <c r="D282" s="11">
        <v>48238</v>
      </c>
      <c r="E282" s="8">
        <v>283000</v>
      </c>
      <c r="F282" s="8" t="s">
        <v>14</v>
      </c>
    </row>
    <row r="283" spans="4:6">
      <c r="D283" s="11">
        <v>48410</v>
      </c>
      <c r="E283" s="8">
        <v>202000</v>
      </c>
      <c r="F283" s="8" t="s">
        <v>16</v>
      </c>
    </row>
    <row r="284" spans="4:6">
      <c r="D284" s="11">
        <v>48437</v>
      </c>
      <c r="E284" s="8">
        <v>391000</v>
      </c>
      <c r="F284" s="8" t="s">
        <v>15</v>
      </c>
    </row>
    <row r="285" spans="4:6">
      <c r="D285" s="11">
        <v>48501</v>
      </c>
      <c r="E285" s="8">
        <v>56000</v>
      </c>
      <c r="F285" s="8" t="s">
        <v>15</v>
      </c>
    </row>
    <row r="286" spans="4:6">
      <c r="D286" s="11">
        <v>48528</v>
      </c>
      <c r="E286" s="8">
        <v>188000</v>
      </c>
      <c r="F286" s="8" t="s">
        <v>16</v>
      </c>
    </row>
    <row r="287" spans="4:6">
      <c r="D287" s="11">
        <v>48538</v>
      </c>
      <c r="E287" s="8">
        <v>441000</v>
      </c>
      <c r="F287" s="8" t="s">
        <v>14</v>
      </c>
    </row>
    <row r="288" spans="4:6">
      <c r="D288" s="11">
        <v>48617</v>
      </c>
      <c r="E288" s="8">
        <v>297000</v>
      </c>
      <c r="F288" s="8" t="s">
        <v>16</v>
      </c>
    </row>
    <row r="289" spans="4:6">
      <c r="D289" s="11">
        <v>48630</v>
      </c>
      <c r="E289" s="8">
        <v>95000</v>
      </c>
      <c r="F289" s="8" t="s">
        <v>15</v>
      </c>
    </row>
    <row r="290" spans="4:6">
      <c r="D290" s="11">
        <v>48634</v>
      </c>
      <c r="E290" s="8">
        <v>29000</v>
      </c>
      <c r="F290" s="8" t="s">
        <v>14</v>
      </c>
    </row>
    <row r="291" spans="4:6">
      <c r="D291" s="11">
        <v>48659</v>
      </c>
      <c r="E291" s="8">
        <v>405000</v>
      </c>
      <c r="F291" s="8" t="s">
        <v>16</v>
      </c>
    </row>
    <row r="292" spans="4:6">
      <c r="D292" s="11">
        <v>48671</v>
      </c>
      <c r="E292" s="8">
        <v>159000</v>
      </c>
      <c r="F292" s="8" t="s">
        <v>16</v>
      </c>
    </row>
    <row r="293" spans="4:6">
      <c r="D293" s="11">
        <v>48703</v>
      </c>
      <c r="E293" s="8">
        <v>282000</v>
      </c>
      <c r="F293" s="8" t="s">
        <v>15</v>
      </c>
    </row>
    <row r="294" spans="4:6">
      <c r="D294" s="11">
        <v>48789</v>
      </c>
      <c r="E294" s="8">
        <v>107000</v>
      </c>
      <c r="F294" s="8" t="s">
        <v>14</v>
      </c>
    </row>
    <row r="295" spans="4:6">
      <c r="D295" s="11">
        <v>48792</v>
      </c>
      <c r="E295" s="8">
        <v>218000</v>
      </c>
      <c r="F295" s="8" t="s">
        <v>16</v>
      </c>
    </row>
    <row r="296" spans="4:6">
      <c r="D296" s="11">
        <v>48802</v>
      </c>
      <c r="E296" s="8">
        <v>176000</v>
      </c>
      <c r="F296" s="8" t="s">
        <v>15</v>
      </c>
    </row>
    <row r="297" spans="4:6">
      <c r="D297" s="11">
        <v>48822</v>
      </c>
      <c r="E297" s="8">
        <v>282000</v>
      </c>
      <c r="F297" s="8" t="s">
        <v>16</v>
      </c>
    </row>
    <row r="298" spans="4:6">
      <c r="D298" s="11">
        <v>48844</v>
      </c>
      <c r="E298" s="8">
        <v>486000</v>
      </c>
      <c r="F298" s="8" t="s">
        <v>14</v>
      </c>
    </row>
    <row r="299" spans="4:6">
      <c r="D299" s="11">
        <v>48856</v>
      </c>
      <c r="E299" s="8">
        <v>257000</v>
      </c>
      <c r="F299" s="8" t="s">
        <v>15</v>
      </c>
    </row>
    <row r="300" spans="4:6">
      <c r="D300" s="11">
        <v>48864</v>
      </c>
      <c r="E300" s="8">
        <v>284000</v>
      </c>
      <c r="F300" s="8" t="s">
        <v>14</v>
      </c>
    </row>
    <row r="301" spans="4:6">
      <c r="D301" s="11">
        <v>48894</v>
      </c>
      <c r="E301" s="8">
        <v>22000</v>
      </c>
      <c r="F301" s="8" t="s">
        <v>16</v>
      </c>
    </row>
    <row r="302" spans="4:6">
      <c r="D302" s="11">
        <v>48901</v>
      </c>
      <c r="E302" s="8">
        <v>401000</v>
      </c>
      <c r="F302" s="8" t="s">
        <v>16</v>
      </c>
    </row>
    <row r="303" spans="4:6">
      <c r="D303" s="11">
        <v>48910</v>
      </c>
      <c r="E303" s="8">
        <v>13000</v>
      </c>
      <c r="F303" s="8" t="s">
        <v>14</v>
      </c>
    </row>
    <row r="304" spans="4:6">
      <c r="D304" s="11">
        <v>48919</v>
      </c>
      <c r="E304" s="8">
        <v>228000</v>
      </c>
      <c r="F304" s="8" t="s">
        <v>15</v>
      </c>
    </row>
    <row r="305" spans="4:6">
      <c r="D305" s="11">
        <v>48951</v>
      </c>
      <c r="E305" s="8">
        <v>76000</v>
      </c>
      <c r="F305" s="8" t="s">
        <v>16</v>
      </c>
    </row>
    <row r="306" spans="4:6">
      <c r="D306" s="11">
        <v>49024</v>
      </c>
      <c r="E306" s="8">
        <v>347000</v>
      </c>
      <c r="F306" s="8" t="s">
        <v>15</v>
      </c>
    </row>
    <row r="307" spans="4:6">
      <c r="D307" s="11">
        <v>49059</v>
      </c>
      <c r="E307" s="8">
        <v>268000</v>
      </c>
      <c r="F307" s="8" t="s">
        <v>14</v>
      </c>
    </row>
    <row r="308" spans="4:6">
      <c r="D308" s="11">
        <v>49108</v>
      </c>
      <c r="E308" s="8">
        <v>44000</v>
      </c>
      <c r="F308" s="8" t="s">
        <v>15</v>
      </c>
    </row>
    <row r="309" spans="4:6">
      <c r="D309" s="11">
        <v>49119</v>
      </c>
      <c r="E309" s="8">
        <v>320000</v>
      </c>
      <c r="F309" s="8" t="s">
        <v>14</v>
      </c>
    </row>
    <row r="310" spans="4:6">
      <c r="D310" s="11">
        <v>49122</v>
      </c>
      <c r="E310" s="8">
        <v>77000</v>
      </c>
      <c r="F310" s="8" t="s">
        <v>14</v>
      </c>
    </row>
    <row r="311" spans="4:6">
      <c r="D311" s="11">
        <v>49127</v>
      </c>
      <c r="E311" s="8">
        <v>330000</v>
      </c>
      <c r="F311" s="8" t="s">
        <v>16</v>
      </c>
    </row>
    <row r="312" spans="4:6">
      <c r="D312" s="11">
        <v>49134</v>
      </c>
      <c r="E312" s="8">
        <v>496000</v>
      </c>
      <c r="F312" s="8" t="s">
        <v>15</v>
      </c>
    </row>
    <row r="313" spans="4:6">
      <c r="D313" s="11">
        <v>49135</v>
      </c>
      <c r="E313" s="8">
        <v>32000</v>
      </c>
      <c r="F313" s="8" t="s">
        <v>16</v>
      </c>
    </row>
    <row r="314" spans="4:6">
      <c r="D314" s="11">
        <v>49140</v>
      </c>
      <c r="E314" s="8">
        <v>342000</v>
      </c>
      <c r="F314" s="8" t="s">
        <v>16</v>
      </c>
    </row>
    <row r="315" spans="4:6">
      <c r="D315" s="11">
        <v>49193</v>
      </c>
      <c r="E315" s="8">
        <v>462000</v>
      </c>
      <c r="F315" s="8" t="s">
        <v>14</v>
      </c>
    </row>
    <row r="316" spans="4:6">
      <c r="D316" s="11">
        <v>49212</v>
      </c>
      <c r="E316" s="8">
        <v>48000</v>
      </c>
      <c r="F316" s="8" t="s">
        <v>14</v>
      </c>
    </row>
    <row r="317" spans="4:6">
      <c r="D317" s="11">
        <v>49243</v>
      </c>
      <c r="E317" s="8">
        <v>451000</v>
      </c>
      <c r="F317" s="8" t="s">
        <v>15</v>
      </c>
    </row>
    <row r="318" spans="4:6">
      <c r="D318" s="11">
        <v>49244</v>
      </c>
      <c r="E318" s="8">
        <v>419000</v>
      </c>
      <c r="F318" s="8" t="s">
        <v>16</v>
      </c>
    </row>
    <row r="319" spans="4:6">
      <c r="D319" s="11">
        <v>49258</v>
      </c>
      <c r="E319" s="8">
        <v>391000</v>
      </c>
      <c r="F319" s="8" t="s">
        <v>15</v>
      </c>
    </row>
    <row r="320" spans="4:6">
      <c r="D320" s="11">
        <v>49318</v>
      </c>
      <c r="E320" s="8">
        <v>324000</v>
      </c>
      <c r="F320" s="8" t="s">
        <v>14</v>
      </c>
    </row>
    <row r="321" spans="4:6">
      <c r="D321" s="11">
        <v>49335</v>
      </c>
      <c r="E321" s="8">
        <v>26000</v>
      </c>
      <c r="F321" s="8" t="s">
        <v>14</v>
      </c>
    </row>
    <row r="322" spans="4:6">
      <c r="D322" s="11">
        <v>49345</v>
      </c>
      <c r="E322" s="8">
        <v>370000</v>
      </c>
      <c r="F322" s="8" t="s">
        <v>16</v>
      </c>
    </row>
    <row r="323" spans="4:6">
      <c r="D323" s="11">
        <v>49398</v>
      </c>
      <c r="E323" s="8">
        <v>88000</v>
      </c>
      <c r="F323" s="8" t="s">
        <v>16</v>
      </c>
    </row>
    <row r="324" spans="4:6">
      <c r="D324" s="11">
        <v>49406</v>
      </c>
      <c r="E324" s="8">
        <v>188000</v>
      </c>
      <c r="F324" s="8" t="s">
        <v>16</v>
      </c>
    </row>
    <row r="325" spans="4:6">
      <c r="D325" s="11">
        <v>49606</v>
      </c>
      <c r="E325" s="8">
        <v>86000</v>
      </c>
      <c r="F325" s="8" t="s">
        <v>15</v>
      </c>
    </row>
    <row r="326" spans="4:6">
      <c r="D326" s="11">
        <v>49608</v>
      </c>
      <c r="E326" s="8">
        <v>430000</v>
      </c>
      <c r="F326" s="8" t="s">
        <v>16</v>
      </c>
    </row>
    <row r="327" spans="4:6">
      <c r="D327" s="11">
        <v>49621</v>
      </c>
      <c r="E327" s="8">
        <v>163000</v>
      </c>
      <c r="F327" s="8" t="s">
        <v>16</v>
      </c>
    </row>
    <row r="328" spans="4:6">
      <c r="D328" s="11">
        <v>49672</v>
      </c>
      <c r="E328" s="8">
        <v>142000</v>
      </c>
      <c r="F328" s="8" t="s">
        <v>15</v>
      </c>
    </row>
    <row r="329" spans="4:6">
      <c r="D329" s="11">
        <v>49721</v>
      </c>
      <c r="E329" s="8">
        <v>198000</v>
      </c>
      <c r="F329" s="8" t="s">
        <v>15</v>
      </c>
    </row>
    <row r="330" spans="4:6">
      <c r="D330" s="11">
        <v>49729</v>
      </c>
      <c r="E330" s="8">
        <v>326000</v>
      </c>
      <c r="F330" s="8" t="s">
        <v>16</v>
      </c>
    </row>
    <row r="331" spans="4:6">
      <c r="D331" s="11">
        <v>49749</v>
      </c>
      <c r="E331" s="8">
        <v>433000</v>
      </c>
      <c r="F331" s="8" t="s">
        <v>16</v>
      </c>
    </row>
    <row r="332" spans="4:6">
      <c r="D332" s="11">
        <v>49771</v>
      </c>
      <c r="E332" s="8">
        <v>184000</v>
      </c>
      <c r="F332" s="8" t="s">
        <v>14</v>
      </c>
    </row>
    <row r="333" spans="4:6">
      <c r="D333" s="11">
        <v>49789</v>
      </c>
      <c r="E333" s="8">
        <v>431000</v>
      </c>
      <c r="F333" s="8" t="s">
        <v>15</v>
      </c>
    </row>
    <row r="334" spans="4:6">
      <c r="D334" s="11">
        <v>49827</v>
      </c>
      <c r="E334" s="8">
        <v>285000</v>
      </c>
      <c r="F334" s="8" t="s">
        <v>16</v>
      </c>
    </row>
    <row r="335" spans="4:6">
      <c r="D335" s="11">
        <v>49842</v>
      </c>
      <c r="E335" s="8">
        <v>24000</v>
      </c>
      <c r="F335" s="8" t="s">
        <v>15</v>
      </c>
    </row>
    <row r="336" spans="4:6">
      <c r="D336" s="11">
        <v>49858</v>
      </c>
      <c r="E336" s="8">
        <v>446000</v>
      </c>
      <c r="F336" s="8" t="s">
        <v>14</v>
      </c>
    </row>
    <row r="337" spans="4:6">
      <c r="D337" s="11">
        <v>49878</v>
      </c>
      <c r="E337" s="8">
        <v>339000</v>
      </c>
      <c r="F337" s="8" t="s">
        <v>14</v>
      </c>
    </row>
    <row r="338" spans="4:6">
      <c r="D338" s="11">
        <v>49891</v>
      </c>
      <c r="E338" s="8">
        <v>281000</v>
      </c>
      <c r="F338" s="8" t="s">
        <v>15</v>
      </c>
    </row>
    <row r="339" spans="4:6">
      <c r="D339" s="11">
        <v>49977</v>
      </c>
      <c r="E339" s="8">
        <v>405000</v>
      </c>
      <c r="F339" s="8" t="s">
        <v>14</v>
      </c>
    </row>
    <row r="340" spans="4:6">
      <c r="D340" s="11">
        <v>49994</v>
      </c>
      <c r="E340" s="8">
        <v>276000</v>
      </c>
      <c r="F340" s="8" t="s">
        <v>15</v>
      </c>
    </row>
    <row r="341" spans="4:6">
      <c r="D341" s="11">
        <v>50011</v>
      </c>
      <c r="E341" s="8">
        <v>271000</v>
      </c>
      <c r="F341" s="8" t="s">
        <v>14</v>
      </c>
    </row>
    <row r="342" spans="4:6">
      <c r="D342" s="11">
        <v>50012</v>
      </c>
      <c r="E342" s="8">
        <v>303000</v>
      </c>
      <c r="F342" s="8" t="s">
        <v>15</v>
      </c>
    </row>
    <row r="343" spans="4:6">
      <c r="D343" s="11">
        <v>50023</v>
      </c>
      <c r="E343" s="8">
        <v>250000</v>
      </c>
      <c r="F343" s="8" t="s">
        <v>15</v>
      </c>
    </row>
    <row r="344" spans="4:6">
      <c r="D344" s="11">
        <v>50024</v>
      </c>
      <c r="E344" s="8">
        <v>283000</v>
      </c>
      <c r="F344" s="8" t="s">
        <v>15</v>
      </c>
    </row>
    <row r="345" spans="4:6">
      <c r="D345" s="11">
        <v>50033</v>
      </c>
      <c r="E345" s="8">
        <v>176000</v>
      </c>
      <c r="F345" s="8" t="s">
        <v>15</v>
      </c>
    </row>
    <row r="346" spans="4:6">
      <c r="D346" s="11">
        <v>50055</v>
      </c>
      <c r="E346" s="8">
        <v>318000</v>
      </c>
      <c r="F346" s="8" t="s">
        <v>16</v>
      </c>
    </row>
    <row r="347" spans="4:6">
      <c r="D347" s="11">
        <v>50144</v>
      </c>
      <c r="E347" s="8">
        <v>430000</v>
      </c>
      <c r="F347" s="8" t="s">
        <v>14</v>
      </c>
    </row>
    <row r="348" spans="4:6">
      <c r="D348" s="11">
        <v>50192</v>
      </c>
      <c r="E348" s="8">
        <v>423000</v>
      </c>
      <c r="F348" s="8" t="s">
        <v>16</v>
      </c>
    </row>
    <row r="349" spans="4:6">
      <c r="D349" s="11">
        <v>50214</v>
      </c>
      <c r="E349" s="8">
        <v>115000</v>
      </c>
      <c r="F349" s="8" t="s">
        <v>16</v>
      </c>
    </row>
    <row r="350" spans="4:6">
      <c r="D350" s="11">
        <v>50218</v>
      </c>
      <c r="E350" s="8">
        <v>407000</v>
      </c>
      <c r="F350" s="8" t="s">
        <v>15</v>
      </c>
    </row>
    <row r="351" spans="4:6">
      <c r="D351" s="11">
        <v>50254</v>
      </c>
      <c r="E351" s="8">
        <v>238000</v>
      </c>
      <c r="F351" s="8" t="s">
        <v>14</v>
      </c>
    </row>
    <row r="352" spans="4:6">
      <c r="D352" s="11">
        <v>50372</v>
      </c>
      <c r="E352" s="8">
        <v>156000</v>
      </c>
      <c r="F352" s="8" t="s">
        <v>16</v>
      </c>
    </row>
    <row r="353" spans="4:6">
      <c r="D353" s="11">
        <v>50423</v>
      </c>
      <c r="E353" s="8">
        <v>248000</v>
      </c>
      <c r="F353" s="8" t="s">
        <v>16</v>
      </c>
    </row>
    <row r="354" spans="4:6">
      <c r="D354" s="11">
        <v>50430</v>
      </c>
      <c r="E354" s="8">
        <v>266000</v>
      </c>
      <c r="F354" s="8" t="s">
        <v>14</v>
      </c>
    </row>
    <row r="355" spans="4:6">
      <c r="D355" s="11">
        <v>50434</v>
      </c>
      <c r="E355" s="8">
        <v>39000</v>
      </c>
      <c r="F355" s="8" t="s">
        <v>14</v>
      </c>
    </row>
    <row r="356" spans="4:6">
      <c r="D356" s="11">
        <v>50504</v>
      </c>
      <c r="E356" s="8">
        <v>257000</v>
      </c>
      <c r="F356" s="8" t="s">
        <v>15</v>
      </c>
    </row>
    <row r="357" spans="4:6">
      <c r="D357" s="11">
        <v>50521</v>
      </c>
      <c r="E357" s="8">
        <v>492000</v>
      </c>
      <c r="F357" s="8" t="s">
        <v>14</v>
      </c>
    </row>
    <row r="358" spans="4:6">
      <c r="D358" s="11">
        <v>50679</v>
      </c>
      <c r="E358" s="8">
        <v>83000</v>
      </c>
      <c r="F358" s="8" t="s">
        <v>16</v>
      </c>
    </row>
    <row r="359" spans="4:6">
      <c r="D359" s="11">
        <v>50735</v>
      </c>
      <c r="E359" s="8">
        <v>337000</v>
      </c>
      <c r="F359" s="8" t="s">
        <v>15</v>
      </c>
    </row>
    <row r="360" spans="4:6">
      <c r="D360" s="11">
        <v>50735</v>
      </c>
      <c r="E360" s="8">
        <v>349000</v>
      </c>
      <c r="F360" s="8" t="s">
        <v>14</v>
      </c>
    </row>
    <row r="361" spans="4:6">
      <c r="D361" s="11">
        <v>50745</v>
      </c>
      <c r="E361" s="8">
        <v>358000</v>
      </c>
      <c r="F361" s="8" t="s">
        <v>14</v>
      </c>
    </row>
    <row r="362" spans="4:6">
      <c r="D362" s="11">
        <v>50820</v>
      </c>
      <c r="E362" s="8">
        <v>307000</v>
      </c>
      <c r="F362" s="8" t="s">
        <v>16</v>
      </c>
    </row>
    <row r="363" spans="4:6">
      <c r="D363" s="11">
        <v>50823</v>
      </c>
      <c r="E363" s="8">
        <v>457000</v>
      </c>
      <c r="F363" s="8" t="s">
        <v>14</v>
      </c>
    </row>
    <row r="364" spans="4:6">
      <c r="D364" s="11">
        <v>50879</v>
      </c>
      <c r="E364" s="8">
        <v>117000</v>
      </c>
      <c r="F364" s="8" t="s">
        <v>15</v>
      </c>
    </row>
    <row r="365" spans="4:6">
      <c r="D365" s="11">
        <v>50880</v>
      </c>
      <c r="E365" s="8">
        <v>78000</v>
      </c>
      <c r="F365" s="8" t="s">
        <v>16</v>
      </c>
    </row>
    <row r="366" spans="4:6">
      <c r="D366" s="11">
        <v>50889</v>
      </c>
      <c r="E366" s="8">
        <v>464000</v>
      </c>
      <c r="F366" s="8" t="s">
        <v>15</v>
      </c>
    </row>
    <row r="367" spans="4:6">
      <c r="D367" s="11">
        <v>50903</v>
      </c>
      <c r="E367" s="8">
        <v>266000</v>
      </c>
      <c r="F367" s="8" t="s">
        <v>15</v>
      </c>
    </row>
    <row r="368" spans="4:6">
      <c r="D368" s="11">
        <v>50925</v>
      </c>
      <c r="E368" s="8">
        <v>34000</v>
      </c>
      <c r="F368" s="8" t="s">
        <v>14</v>
      </c>
    </row>
    <row r="369" spans="4:6">
      <c r="D369" s="11">
        <v>50963</v>
      </c>
      <c r="E369" s="8">
        <v>383000</v>
      </c>
      <c r="F369" s="8" t="s">
        <v>14</v>
      </c>
    </row>
    <row r="370" spans="4:6">
      <c r="D370" s="11">
        <v>50968</v>
      </c>
      <c r="E370" s="8">
        <v>341000</v>
      </c>
      <c r="F370" s="8" t="s">
        <v>15</v>
      </c>
    </row>
    <row r="371" spans="4:6">
      <c r="D371" s="11">
        <v>51021</v>
      </c>
      <c r="E371" s="8">
        <v>272000</v>
      </c>
      <c r="F371" s="8" t="s">
        <v>15</v>
      </c>
    </row>
    <row r="372" spans="4:6">
      <c r="D372" s="11">
        <v>51108</v>
      </c>
      <c r="E372" s="8">
        <v>116000</v>
      </c>
      <c r="F372" s="8" t="s">
        <v>14</v>
      </c>
    </row>
    <row r="373" spans="4:6">
      <c r="D373" s="11">
        <v>51113</v>
      </c>
      <c r="E373" s="8">
        <v>245000</v>
      </c>
      <c r="F373" s="8" t="s">
        <v>14</v>
      </c>
    </row>
    <row r="374" spans="4:6">
      <c r="D374" s="11">
        <v>51146</v>
      </c>
      <c r="E374" s="8">
        <v>281000</v>
      </c>
      <c r="F374" s="8" t="s">
        <v>16</v>
      </c>
    </row>
    <row r="375" spans="4:6">
      <c r="D375" s="11">
        <v>51172</v>
      </c>
      <c r="E375" s="8">
        <v>292000</v>
      </c>
      <c r="F375" s="8" t="s">
        <v>16</v>
      </c>
    </row>
    <row r="376" spans="4:6">
      <c r="D376" s="11">
        <v>51194</v>
      </c>
      <c r="E376" s="8">
        <v>352000</v>
      </c>
      <c r="F376" s="8" t="s">
        <v>16</v>
      </c>
    </row>
    <row r="377" spans="4:6">
      <c r="D377" s="11">
        <v>51214</v>
      </c>
      <c r="E377" s="8">
        <v>63000</v>
      </c>
      <c r="F377" s="8" t="s">
        <v>14</v>
      </c>
    </row>
    <row r="378" spans="4:6">
      <c r="D378" s="11">
        <v>51217</v>
      </c>
      <c r="E378" s="8">
        <v>115000</v>
      </c>
      <c r="F378" s="8" t="s">
        <v>16</v>
      </c>
    </row>
    <row r="379" spans="4:6">
      <c r="D379" s="11">
        <v>51220</v>
      </c>
      <c r="E379" s="8">
        <v>319000</v>
      </c>
      <c r="F379" s="8" t="s">
        <v>15</v>
      </c>
    </row>
    <row r="380" spans="4:6">
      <c r="D380" s="11">
        <v>51304</v>
      </c>
      <c r="E380" s="8">
        <v>414000</v>
      </c>
      <c r="F380" s="8" t="s">
        <v>15</v>
      </c>
    </row>
    <row r="381" spans="4:6">
      <c r="D381" s="11">
        <v>51346</v>
      </c>
      <c r="E381" s="8">
        <v>271000</v>
      </c>
      <c r="F381" s="8" t="s">
        <v>14</v>
      </c>
    </row>
    <row r="382" spans="4:6">
      <c r="D382" s="11">
        <v>51348</v>
      </c>
      <c r="E382" s="8">
        <v>70000</v>
      </c>
      <c r="F382" s="8" t="s">
        <v>14</v>
      </c>
    </row>
    <row r="383" spans="4:6">
      <c r="D383" s="11">
        <v>51353</v>
      </c>
      <c r="E383" s="8">
        <v>99000</v>
      </c>
      <c r="F383" s="8" t="s">
        <v>15</v>
      </c>
    </row>
    <row r="384" spans="4:6">
      <c r="D384" s="11">
        <v>51402</v>
      </c>
      <c r="E384" s="8">
        <v>220000</v>
      </c>
      <c r="F384" s="8" t="s">
        <v>14</v>
      </c>
    </row>
    <row r="385" spans="4:6">
      <c r="D385" s="11">
        <v>51404</v>
      </c>
      <c r="E385" s="8">
        <v>304000</v>
      </c>
      <c r="F385" s="8" t="s">
        <v>14</v>
      </c>
    </row>
    <row r="386" spans="4:6">
      <c r="D386" s="11">
        <v>51476</v>
      </c>
      <c r="E386" s="8">
        <v>125000</v>
      </c>
      <c r="F386" s="8" t="s">
        <v>16</v>
      </c>
    </row>
    <row r="387" spans="4:6">
      <c r="D387" s="11">
        <v>51495</v>
      </c>
      <c r="E387" s="8">
        <v>500000</v>
      </c>
      <c r="F387" s="8" t="s">
        <v>15</v>
      </c>
    </row>
    <row r="388" spans="4:6">
      <c r="D388" s="11">
        <v>51523</v>
      </c>
      <c r="E388" s="8">
        <v>315000</v>
      </c>
      <c r="F388" s="8" t="s">
        <v>14</v>
      </c>
    </row>
    <row r="389" spans="4:6">
      <c r="D389" s="11">
        <v>51529</v>
      </c>
      <c r="E389" s="8">
        <v>356000</v>
      </c>
      <c r="F389" s="8" t="s">
        <v>15</v>
      </c>
    </row>
    <row r="390" spans="4:6">
      <c r="D390" s="11">
        <v>51529</v>
      </c>
      <c r="E390" s="8">
        <v>19000</v>
      </c>
      <c r="F390" s="8" t="s">
        <v>16</v>
      </c>
    </row>
    <row r="391" spans="4:6">
      <c r="D391" s="11">
        <v>51578</v>
      </c>
      <c r="E391" s="8">
        <v>467000</v>
      </c>
      <c r="F391" s="8" t="s">
        <v>14</v>
      </c>
    </row>
    <row r="392" spans="4:6">
      <c r="D392" s="11">
        <v>51610</v>
      </c>
      <c r="E392" s="8">
        <v>303000</v>
      </c>
      <c r="F392" s="8" t="s">
        <v>15</v>
      </c>
    </row>
    <row r="393" spans="4:6">
      <c r="D393" s="11">
        <v>51633</v>
      </c>
      <c r="E393" s="8">
        <v>137000</v>
      </c>
      <c r="F393" s="8" t="s">
        <v>14</v>
      </c>
    </row>
    <row r="394" spans="4:6">
      <c r="D394" s="11">
        <v>51675</v>
      </c>
      <c r="E394" s="8">
        <v>85000</v>
      </c>
      <c r="F394" s="8" t="s">
        <v>14</v>
      </c>
    </row>
    <row r="395" spans="4:6">
      <c r="D395" s="11">
        <v>51690</v>
      </c>
      <c r="E395" s="8">
        <v>481000</v>
      </c>
      <c r="F395" s="8" t="s">
        <v>16</v>
      </c>
    </row>
    <row r="396" spans="4:6">
      <c r="D396" s="11">
        <v>51767</v>
      </c>
      <c r="E396" s="8">
        <v>271000</v>
      </c>
      <c r="F396" s="8" t="s">
        <v>15</v>
      </c>
    </row>
    <row r="397" spans="4:6">
      <c r="D397" s="11">
        <v>51806</v>
      </c>
      <c r="E397" s="8">
        <v>425000</v>
      </c>
      <c r="F397" s="8" t="s">
        <v>16</v>
      </c>
    </row>
    <row r="398" spans="4:6">
      <c r="D398" s="11">
        <v>51809</v>
      </c>
      <c r="E398" s="8">
        <v>41000</v>
      </c>
      <c r="F398" s="8" t="s">
        <v>16</v>
      </c>
    </row>
    <row r="399" spans="4:6">
      <c r="D399" s="11">
        <v>51828</v>
      </c>
      <c r="E399" s="8">
        <v>438000</v>
      </c>
      <c r="F399" s="8" t="s">
        <v>15</v>
      </c>
    </row>
    <row r="400" spans="4:6">
      <c r="D400" s="11">
        <v>51830</v>
      </c>
      <c r="E400" s="8">
        <v>366000</v>
      </c>
      <c r="F400" s="8" t="s">
        <v>14</v>
      </c>
    </row>
    <row r="401" spans="4:6">
      <c r="D401" s="11">
        <v>51895</v>
      </c>
      <c r="E401" s="8">
        <v>274000</v>
      </c>
      <c r="F401" s="8" t="s">
        <v>15</v>
      </c>
    </row>
    <row r="402" spans="4:6">
      <c r="D402" s="11">
        <v>52063</v>
      </c>
      <c r="E402" s="8">
        <v>475000</v>
      </c>
      <c r="F402" s="8" t="s">
        <v>16</v>
      </c>
    </row>
    <row r="403" spans="4:6">
      <c r="D403" s="11">
        <v>52098</v>
      </c>
      <c r="E403" s="8">
        <v>476000</v>
      </c>
      <c r="F403" s="8" t="s">
        <v>14</v>
      </c>
    </row>
    <row r="404" spans="4:6">
      <c r="D404" s="11">
        <v>52166</v>
      </c>
      <c r="E404" s="8">
        <v>456000</v>
      </c>
      <c r="F404" s="8" t="s">
        <v>15</v>
      </c>
    </row>
    <row r="405" spans="4:6">
      <c r="D405" s="11">
        <v>52186</v>
      </c>
      <c r="E405" s="8">
        <v>281000</v>
      </c>
      <c r="F405" s="8" t="s">
        <v>14</v>
      </c>
    </row>
    <row r="406" spans="4:6">
      <c r="D406" s="11">
        <v>52212</v>
      </c>
      <c r="E406" s="8">
        <v>461000</v>
      </c>
      <c r="F406" s="8" t="s">
        <v>14</v>
      </c>
    </row>
    <row r="407" spans="4:6">
      <c r="D407" s="11">
        <v>52219</v>
      </c>
      <c r="E407" s="8">
        <v>216000</v>
      </c>
      <c r="F407" s="8" t="s">
        <v>15</v>
      </c>
    </row>
    <row r="408" spans="4:6">
      <c r="D408" s="11">
        <v>52219</v>
      </c>
      <c r="E408" s="8">
        <v>243000</v>
      </c>
      <c r="F408" s="8" t="s">
        <v>15</v>
      </c>
    </row>
    <row r="409" spans="4:6">
      <c r="D409" s="11">
        <v>52225</v>
      </c>
      <c r="E409" s="8">
        <v>296000</v>
      </c>
      <c r="F409" s="8" t="s">
        <v>15</v>
      </c>
    </row>
    <row r="410" spans="4:6">
      <c r="D410" s="11">
        <v>52319</v>
      </c>
      <c r="E410" s="8">
        <v>335000</v>
      </c>
      <c r="F410" s="8" t="s">
        <v>16</v>
      </c>
    </row>
    <row r="411" spans="4:6">
      <c r="D411" s="11">
        <v>52363</v>
      </c>
      <c r="E411" s="8">
        <v>58000</v>
      </c>
      <c r="F411" s="8" t="s">
        <v>16</v>
      </c>
    </row>
    <row r="412" spans="4:6">
      <c r="D412" s="11">
        <v>52390</v>
      </c>
      <c r="E412" s="8">
        <v>386000</v>
      </c>
      <c r="F412" s="8" t="s">
        <v>14</v>
      </c>
    </row>
    <row r="413" spans="4:6">
      <c r="D413" s="11">
        <v>52398</v>
      </c>
      <c r="E413" s="8">
        <v>139000</v>
      </c>
      <c r="F413" s="8" t="s">
        <v>16</v>
      </c>
    </row>
    <row r="414" spans="4:6">
      <c r="D414" s="11">
        <v>52428</v>
      </c>
      <c r="E414" s="8">
        <v>457000</v>
      </c>
      <c r="F414" s="8" t="s">
        <v>15</v>
      </c>
    </row>
    <row r="415" spans="4:6">
      <c r="D415" s="11">
        <v>52553</v>
      </c>
      <c r="E415" s="8">
        <v>223000</v>
      </c>
      <c r="F415" s="8" t="s">
        <v>14</v>
      </c>
    </row>
    <row r="416" spans="4:6">
      <c r="D416" s="11">
        <v>52557</v>
      </c>
      <c r="E416" s="8">
        <v>471000</v>
      </c>
      <c r="F416" s="8" t="s">
        <v>16</v>
      </c>
    </row>
    <row r="417" spans="4:6">
      <c r="D417" s="11">
        <v>52558</v>
      </c>
      <c r="E417" s="8">
        <v>199000</v>
      </c>
      <c r="F417" s="8" t="s">
        <v>15</v>
      </c>
    </row>
    <row r="418" spans="4:6">
      <c r="D418" s="11">
        <v>52575</v>
      </c>
      <c r="E418" s="8">
        <v>17000</v>
      </c>
      <c r="F418" s="8" t="s">
        <v>16</v>
      </c>
    </row>
    <row r="419" spans="4:6">
      <c r="D419" s="11">
        <v>52584</v>
      </c>
      <c r="E419" s="8">
        <v>221000</v>
      </c>
      <c r="F419" s="8" t="s">
        <v>16</v>
      </c>
    </row>
    <row r="420" spans="4:6">
      <c r="D420" s="11">
        <v>52587</v>
      </c>
      <c r="E420" s="8">
        <v>219000</v>
      </c>
      <c r="F420" s="8" t="s">
        <v>15</v>
      </c>
    </row>
    <row r="421" spans="4:6">
      <c r="D421" s="11">
        <v>52607</v>
      </c>
      <c r="E421" s="8">
        <v>96000</v>
      </c>
      <c r="F421" s="8" t="s">
        <v>14</v>
      </c>
    </row>
    <row r="422" spans="4:6">
      <c r="D422" s="11">
        <v>52620</v>
      </c>
      <c r="E422" s="8">
        <v>493000</v>
      </c>
      <c r="F422" s="8" t="s">
        <v>16</v>
      </c>
    </row>
    <row r="423" spans="4:6">
      <c r="D423" s="11">
        <v>52653</v>
      </c>
      <c r="E423" s="8">
        <v>432000</v>
      </c>
      <c r="F423" s="8" t="s">
        <v>16</v>
      </c>
    </row>
    <row r="424" spans="4:6">
      <c r="D424" s="11">
        <v>52662</v>
      </c>
      <c r="E424" s="8">
        <v>485000</v>
      </c>
      <c r="F424" s="8" t="s">
        <v>14</v>
      </c>
    </row>
    <row r="425" spans="4:6">
      <c r="D425" s="11">
        <v>52673</v>
      </c>
      <c r="E425" s="8">
        <v>126000</v>
      </c>
      <c r="F425" s="8" t="s">
        <v>14</v>
      </c>
    </row>
    <row r="426" spans="4:6">
      <c r="D426" s="11">
        <v>52733</v>
      </c>
      <c r="E426" s="8">
        <v>472000</v>
      </c>
      <c r="F426" s="8" t="s">
        <v>15</v>
      </c>
    </row>
    <row r="427" spans="4:6">
      <c r="D427" s="11">
        <v>52737</v>
      </c>
      <c r="E427" s="8">
        <v>77000</v>
      </c>
      <c r="F427" s="8" t="s">
        <v>16</v>
      </c>
    </row>
    <row r="428" spans="4:6">
      <c r="D428" s="11">
        <v>52826</v>
      </c>
      <c r="E428" s="8">
        <v>197000</v>
      </c>
      <c r="F428" s="8" t="s">
        <v>14</v>
      </c>
    </row>
    <row r="429" spans="4:6">
      <c r="D429" s="11">
        <v>52844</v>
      </c>
      <c r="E429" s="8">
        <v>121000</v>
      </c>
      <c r="F429" s="8" t="s">
        <v>16</v>
      </c>
    </row>
    <row r="430" spans="4:6">
      <c r="D430" s="11">
        <v>52876</v>
      </c>
      <c r="E430" s="8">
        <v>374000</v>
      </c>
      <c r="F430" s="8" t="s">
        <v>15</v>
      </c>
    </row>
    <row r="431" spans="4:6">
      <c r="D431" s="11">
        <v>52889</v>
      </c>
      <c r="E431" s="8">
        <v>400000</v>
      </c>
      <c r="F431" s="8" t="s">
        <v>15</v>
      </c>
    </row>
    <row r="432" spans="4:6">
      <c r="D432" s="11">
        <v>52938</v>
      </c>
      <c r="E432" s="8">
        <v>379000</v>
      </c>
      <c r="F432" s="8" t="s">
        <v>16</v>
      </c>
    </row>
    <row r="433" spans="1:21">
      <c r="D433" s="11">
        <v>52957</v>
      </c>
      <c r="E433" s="8">
        <v>394000</v>
      </c>
      <c r="F433" s="8" t="s">
        <v>15</v>
      </c>
    </row>
    <row r="437" spans="1:21">
      <c r="A437" s="4" t="s">
        <v>4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Answers</vt:lpstr>
      <vt:lpstr>Calculations</vt:lpstr>
      <vt:lpstr>Time</vt:lpstr>
      <vt:lpstr>Tmp</vt:lpstr>
      <vt:lpstr>CaseData</vt:lpstr>
      <vt:lpstr>company</vt:lpstr>
      <vt:lpstr>ListAssetClasses</vt:lpstr>
      <vt:lpstr>ListDepMethods</vt:lpstr>
      <vt:lpstr>periods</vt:lpstr>
      <vt:lpstr>Answers!Print_Titles</vt:lpstr>
      <vt:lpstr>Calculations!Print_Titles</vt:lpstr>
      <vt:lpstr>Tmp!Print_Titles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2026-07-26T21:06:58Z</dcterms:modified>
</cp:coreProperties>
</file>