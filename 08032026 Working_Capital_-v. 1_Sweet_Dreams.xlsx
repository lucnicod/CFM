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403"/>
  <workbookPr filterPrivacy="1" defaultThemeVersion="124226"/>
  <xr:revisionPtr revIDLastSave="774" documentId="13_ncr:1_{6C109EE8-0276-4B95-AB9C-E1552F190E04}" xr6:coauthVersionLast="47" xr6:coauthVersionMax="47" xr10:uidLastSave="{C392DBC2-8022-4542-82EF-E9E3827F4F47}"/>
  <bookViews>
    <workbookView xWindow="28680" yWindow="-120" windowWidth="29040" windowHeight="16440" xr2:uid="{00000000-000D-0000-FFFF-FFFF00000000}"/>
  </bookViews>
  <sheets>
    <sheet name="Working Capital" sheetId="46" r:id="rId1"/>
    <sheet name="Accounts Payable" sheetId="45" r:id="rId2"/>
    <sheet name="Purchasing Plan" sheetId="44" r:id="rId3"/>
    <sheet name="Inventory" sheetId="42" r:id="rId4"/>
    <sheet name="Accounts Receivables" sheetId="41" r:id="rId5"/>
    <sheet name="CaseData" sheetId="39" r:id="rId6"/>
    <sheet name="Tmp" sheetId="40" r:id="rId7"/>
  </sheets>
  <definedNames>
    <definedName name="company">CaseData!$C$55</definedName>
    <definedName name="days_per_month">CaseData!$L$33</definedName>
    <definedName name="IQ_ADDIN" hidden="1">"AUTO"</definedName>
    <definedName name="IQ_CH" hidden="1">110000</definedName>
    <definedName name="IQ_CQ" hidden="1">5000</definedName>
    <definedName name="IQ_CY" hidden="1">10000</definedName>
    <definedName name="IQ_DAILY" hidden="1">500000</definedName>
    <definedName name="IQ_FH" hidden="1">100000</definedName>
    <definedName name="IQ_FQ" hidden="1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 hidden="1">1000</definedName>
    <definedName name="IQ_LATESTK" hidden="1">1000</definedName>
    <definedName name="IQ_LATESTQ" hidden="1">500</definedName>
    <definedName name="IQ_LTM" hidden="1">2000</definedName>
    <definedName name="IQ_LTMMONTH" hidden="1">120000</definedName>
    <definedName name="IQ_MONTH" hidden="1">15000</definedName>
    <definedName name="IQ_NAMES_REVISION_DATE_" hidden="1">40869.3787037037</definedName>
    <definedName name="IQ_NTM" hidden="1">6000</definedName>
    <definedName name="IQ_OPENED55" hidden="1">1</definedName>
    <definedName name="IQ_TODAY" hidden="1">0</definedName>
    <definedName name="IQ_WEEK" hidden="1">50000</definedName>
    <definedName name="IQ_YTD" hidden="1">3000</definedName>
    <definedName name="IQ_YTDMONTH" hidden="1">130000</definedName>
    <definedName name="IQRA8" hidden="1">"$A$9:$A$261"</definedName>
    <definedName name="IQRB8" hidden="1">"$B$9:$B$261"</definedName>
    <definedName name="IQRC8" hidden="1">"$C$9:$C$261"</definedName>
    <definedName name="periods">CaseData!$C$57</definedName>
    <definedName name="_xlnm.Print_Area" localSheetId="1">'Accounts Payable'!$A$1:$U$178</definedName>
    <definedName name="_xlnm.Print_Area" localSheetId="4">'Accounts Receivables'!$A$1:$U$128</definedName>
    <definedName name="_xlnm.Print_Area" localSheetId="3">Inventory!$A$1:$U$185</definedName>
    <definedName name="_xlnm.Print_Area" localSheetId="2">'Purchasing Plan'!$A$1:$U$175</definedName>
    <definedName name="_xlnm.Print_Titles" localSheetId="1">'Accounts Payable'!$1:$4</definedName>
    <definedName name="_xlnm.Print_Titles" localSheetId="4">'Accounts Receivables'!$1:$4</definedName>
    <definedName name="_xlnm.Print_Titles" localSheetId="3">Inventory!$1:$4</definedName>
    <definedName name="_xlnm.Print_Titles" localSheetId="2">'Purchasing Plan'!$1:$4</definedName>
    <definedName name="_xlnm.Print_Titles" localSheetId="6">Tmp!$1:$4</definedName>
    <definedName name="_xlnm.Print_Titles" localSheetId="0">'Working Capital'!$1:$4</definedName>
    <definedName name="start_date">CaseData!$C$3</definedName>
    <definedName name="topic">"CFM Topic: " &amp; CaseData!$C$56</definedName>
  </definedNames>
  <calcPr calcId="191029" calcMode="autoNoTable" calcOnSave="0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9" i="42" l="1" a="1"/>
  <c r="J3" i="42" a="1"/>
  <c r="J9" i="42" a="1"/>
  <c r="E26" i="42" a="1"/>
  <c r="J26" i="42" a="1"/>
  <c r="J43" i="42" a="1"/>
  <c r="E43" i="42" a="1"/>
  <c r="E59" i="42" a="1"/>
  <c r="J59" i="42" a="1"/>
  <c r="J70" i="42" a="1"/>
  <c r="J67" i="42" a="1"/>
  <c r="J69" i="42" a="1"/>
  <c r="J68" i="42" a="1"/>
  <c r="J91" i="42" a="1"/>
  <c r="F9" i="44" a="1"/>
  <c r="J9" i="44" a="1"/>
  <c r="J78" i="42" a="1"/>
  <c r="J75" i="42" a="1"/>
  <c r="J77" i="42" a="1"/>
  <c r="J76" i="42" a="1"/>
  <c r="J92" i="42" a="1"/>
  <c r="F23" i="44" a="1"/>
  <c r="J23" i="44" a="1"/>
  <c r="J86" i="42" a="1"/>
  <c r="J83" i="42" a="1"/>
  <c r="J85" i="42" a="1"/>
  <c r="J84" i="42" a="1"/>
  <c r="J93" i="42" a="1"/>
  <c r="F37" i="44" a="1"/>
  <c r="J37" i="44" a="1"/>
  <c r="E86" i="44" a="1"/>
  <c r="H86" i="44" a="1"/>
  <c r="E9" i="44" a="1"/>
  <c r="E23" i="44" a="1"/>
  <c r="E37" i="44" a="1"/>
  <c r="E108" i="44" a="1"/>
  <c r="J108" i="44" a="1"/>
  <c r="E118" i="44" a="1"/>
  <c r="J118" i="44" a="1"/>
  <c r="J128" i="44" a="1"/>
  <c r="J135" i="44" a="1"/>
  <c r="J104" i="42" a="1"/>
  <c r="J125" i="42" a="1"/>
  <c r="J112" i="42" a="1"/>
  <c r="J126" i="42" a="1"/>
  <c r="J120" i="42" a="1"/>
  <c r="J127" i="42" a="1"/>
  <c r="J128" i="42" a="1"/>
  <c r="J9" i="46" a="1"/>
  <c r="J17" i="44" a="1"/>
  <c r="J18" i="44" a="1"/>
  <c r="J31" i="44" a="1"/>
  <c r="J32" i="44" a="1"/>
  <c r="J8" i="46" a="1"/>
  <c r="A2" i="46" a="1"/>
  <c r="A1" i="46"/>
  <c r="J3" i="46" a="1"/>
  <c r="E125" i="42" a="1"/>
  <c r="J101" i="42" a="1"/>
  <c r="J102" i="42" a="1"/>
  <c r="J103" i="42" a="1"/>
  <c r="J109" i="42" a="1"/>
  <c r="J110" i="42" a="1"/>
  <c r="J111" i="42" a="1"/>
  <c r="J117" i="42" a="1"/>
  <c r="J118" i="42" a="1"/>
  <c r="J119" i="42" a="1"/>
  <c r="E135" i="44" a="1"/>
  <c r="E128" i="44" a="1"/>
  <c r="E53" i="44" a="1"/>
  <c r="J13" i="45" a="1"/>
  <c r="F15" i="45" a="1"/>
  <c r="F14" i="45"/>
  <c r="F11" i="45"/>
  <c r="J14" i="45" a="1"/>
  <c r="G14" i="45"/>
  <c r="J40" i="45" a="1"/>
  <c r="F42" i="45" a="1"/>
  <c r="F41" i="45"/>
  <c r="F38" i="45"/>
  <c r="J41" i="45" a="1"/>
  <c r="G41" i="45"/>
  <c r="J67" i="45" a="1"/>
  <c r="F69" i="45" a="1"/>
  <c r="F68" i="45"/>
  <c r="F65" i="45"/>
  <c r="J68" i="45" a="1"/>
  <c r="G68" i="45"/>
  <c r="J94" i="45" a="1"/>
  <c r="F96" i="45" a="1"/>
  <c r="F95" i="45"/>
  <c r="F92" i="45"/>
  <c r="J95" i="45" a="1"/>
  <c r="G95" i="45"/>
  <c r="J121" i="45" a="1"/>
  <c r="F123" i="45" a="1"/>
  <c r="F122" i="45"/>
  <c r="F119" i="45"/>
  <c r="J122" i="45" a="1"/>
  <c r="G122" i="45"/>
  <c r="J71" i="41" a="1"/>
  <c r="F17" i="41" a="1"/>
  <c r="F16" i="41"/>
  <c r="F15" i="41"/>
  <c r="F14" i="41"/>
  <c r="F69" i="41"/>
  <c r="J72" i="41" a="1"/>
  <c r="F11" i="41"/>
  <c r="J3" i="41" a="1"/>
  <c r="G75" i="41" a="1"/>
  <c r="G72" i="41" a="1"/>
  <c r="J87" i="41" a="1"/>
  <c r="J42" i="41" a="1"/>
  <c r="F40" i="41"/>
  <c r="J43" i="41" a="1"/>
  <c r="G46" i="41" a="1"/>
  <c r="G43" i="41" a="1"/>
  <c r="J58" i="41" a="1"/>
  <c r="J13" i="41" a="1"/>
  <c r="J14" i="41" a="1"/>
  <c r="G17" i="41" a="1"/>
  <c r="G14" i="41" a="1"/>
  <c r="J29" i="41" a="1"/>
  <c r="A2" i="45" a="1"/>
  <c r="A1" i="45"/>
  <c r="J3" i="45" a="1"/>
  <c r="E75" i="44" a="1"/>
  <c r="F86" i="44" a="1"/>
  <c r="E66" i="44" a="1"/>
  <c r="E99" i="44" a="1"/>
  <c r="J94" i="42" a="1"/>
  <c r="E91" i="42" a="1"/>
  <c r="A2" i="44" a="1"/>
  <c r="A1" i="44"/>
  <c r="J3" i="44" a="1"/>
  <c r="A2" i="42" a="1"/>
  <c r="A1" i="42" a="1"/>
  <c r="J33" i="41" a="1"/>
  <c r="J62" i="41" a="1"/>
  <c r="J91" i="41" a="1"/>
  <c r="J101" i="41" a="1"/>
  <c r="F75" i="41" a="1"/>
  <c r="F74" i="41"/>
  <c r="F73" i="41"/>
  <c r="F72" i="41"/>
  <c r="C65" i="39"/>
  <c r="F46" i="41" a="1"/>
  <c r="F45" i="41"/>
  <c r="F44" i="41"/>
  <c r="F43" i="41"/>
  <c r="C64" i="39"/>
  <c r="C63" i="39"/>
  <c r="A2" i="41" a="1"/>
  <c r="A1" i="41" a="1"/>
  <c r="J3" i="40" a="1"/>
  <c r="C68" i="39" a="1"/>
  <c r="E71" i="39"/>
  <c r="D71" i="39"/>
  <c r="C71" i="39"/>
  <c r="C17" i="39"/>
  <c r="C78" i="39"/>
  <c r="E78" i="39"/>
  <c r="D78" i="39"/>
  <c r="E84" i="39" a="1"/>
  <c r="E70" i="39"/>
  <c r="D70" i="39"/>
  <c r="C70" i="39"/>
  <c r="C12" i="39"/>
  <c r="C77" i="39"/>
  <c r="E77" i="39"/>
  <c r="D77" i="39"/>
  <c r="E83" i="39" a="1"/>
  <c r="E69" i="39"/>
  <c r="D69" i="39"/>
  <c r="C69" i="39"/>
  <c r="C7" i="39"/>
  <c r="C76" i="39"/>
  <c r="E76" i="39"/>
  <c r="D76" i="39"/>
  <c r="E82" i="39" a="1"/>
  <c r="D65" i="39"/>
  <c r="D64" i="39"/>
  <c r="D63" i="39"/>
  <c r="C81" i="39"/>
  <c r="D75" i="39" a="1"/>
  <c r="D81" i="39"/>
  <c r="E81" i="39"/>
  <c r="J69" i="39"/>
  <c r="K69" i="39"/>
  <c r="L69" i="39"/>
  <c r="M69" i="39"/>
  <c r="N69" i="39"/>
  <c r="J70" i="39"/>
  <c r="K70" i="39"/>
  <c r="L70" i="39"/>
  <c r="M70" i="39"/>
  <c r="N70" i="39"/>
  <c r="J71" i="39"/>
  <c r="K71" i="39"/>
  <c r="L71" i="39"/>
  <c r="M71" i="39"/>
  <c r="N71" i="39"/>
  <c r="I71" i="39"/>
  <c r="H71" i="39"/>
  <c r="G71" i="39"/>
  <c r="I70" i="39"/>
  <c r="H70" i="39"/>
  <c r="G70" i="39"/>
  <c r="I69" i="39"/>
  <c r="H69" i="39"/>
  <c r="G69" i="39"/>
  <c r="F71" i="39"/>
  <c r="F70" i="39"/>
  <c r="F69" i="39"/>
  <c r="O20" i="39"/>
  <c r="O19" i="39"/>
  <c r="O18" i="39"/>
  <c r="N17" i="39"/>
  <c r="M17" i="39"/>
  <c r="L17" i="39"/>
  <c r="K17" i="39"/>
  <c r="J17" i="39"/>
  <c r="I17" i="39"/>
  <c r="H17" i="39"/>
  <c r="G17" i="39"/>
  <c r="F17" i="39"/>
  <c r="E17" i="39"/>
  <c r="D17" i="39"/>
  <c r="O15" i="39"/>
  <c r="O14" i="39"/>
  <c r="O13" i="39"/>
  <c r="N12" i="39"/>
  <c r="M12" i="39"/>
  <c r="L12" i="39"/>
  <c r="K12" i="39"/>
  <c r="J12" i="39"/>
  <c r="I12" i="39"/>
  <c r="H12" i="39"/>
  <c r="G12" i="39"/>
  <c r="F12" i="39"/>
  <c r="E12" i="39"/>
  <c r="D12" i="39"/>
  <c r="O10" i="39"/>
  <c r="O9" i="39"/>
  <c r="O8" i="39"/>
  <c r="O7" i="39"/>
  <c r="N7" i="39"/>
  <c r="M7" i="39"/>
  <c r="L7" i="39"/>
  <c r="K7" i="39"/>
  <c r="J7" i="39"/>
  <c r="I7" i="39"/>
  <c r="H7" i="39"/>
  <c r="G7" i="39"/>
  <c r="F7" i="39"/>
  <c r="E7" i="39"/>
  <c r="D7" i="39"/>
  <c r="D3" i="39"/>
  <c r="I5" i="39"/>
  <c r="L5" i="39"/>
  <c r="M5" i="39"/>
  <c r="O17" i="39"/>
  <c r="E5" i="39"/>
  <c r="O12" i="39"/>
  <c r="D5" i="39"/>
  <c r="F5" i="39"/>
  <c r="G5" i="39"/>
  <c r="H5" i="39"/>
  <c r="C5" i="39"/>
  <c r="N5" i="39"/>
  <c r="O5" i="39"/>
  <c r="K5" i="39"/>
  <c r="E3" i="39"/>
  <c r="J5" i="39"/>
  <c r="F3" i="39"/>
  <c r="G3" i="39"/>
  <c r="H3" i="39"/>
  <c r="I3" i="39"/>
  <c r="J3" i="39"/>
  <c r="K3" i="39"/>
  <c r="L3" i="39"/>
  <c r="M3" i="39"/>
  <c r="N3" i="39"/>
  <c r="J93" i="41" a="1"/>
  <c r="J90" i="41" a="1"/>
  <c r="J64" i="41" a="1"/>
  <c r="J61" i="41" a="1"/>
  <c r="J35" i="41" a="1"/>
  <c r="J32" i="41" a="1"/>
  <c r="J103" i="41" a="1"/>
  <c r="J92" i="41" a="1"/>
  <c r="J34" i="41" a="1"/>
  <c r="J63" i="41" a="1"/>
  <c r="J102" i="41" a="1"/>
  <c r="J100" i="41" a="1"/>
  <c r="J75" i="44" a="1"/>
  <c r="J78" i="44" a="1"/>
  <c r="J131" i="44" a="1"/>
  <c r="J121" i="44" a="1"/>
  <c r="J111" i="44" a="1"/>
  <c r="J45" i="44" a="1"/>
  <c r="J46" i="44" a="1"/>
  <c r="J53" i="44" a="1"/>
  <c r="J86" i="44" a="1"/>
  <c r="J99" i="44" a="1"/>
  <c r="G15" i="45" a="1"/>
  <c r="J27" i="45" a="1"/>
  <c r="J33" i="45" a="1"/>
  <c r="G42" i="45" a="1"/>
  <c r="J54" i="45" a="1"/>
  <c r="J60" i="45" a="1"/>
  <c r="G69" i="45" a="1"/>
  <c r="J81" i="45" a="1"/>
  <c r="J87" i="45" a="1"/>
  <c r="G96" i="45" a="1"/>
  <c r="J108" i="45" a="1"/>
  <c r="J114" i="45" a="1"/>
  <c r="G123" i="45" a="1"/>
  <c r="J135" i="45" a="1"/>
  <c r="J141" i="45" a="1"/>
  <c r="J151" i="45" a="1"/>
  <c r="J10" i="46" a="1"/>
  <c r="J12" i="46" a="1"/>
  <c r="J30" i="45" a="1"/>
  <c r="J31" i="45" a="1"/>
  <c r="J32" i="45" a="1"/>
  <c r="J57" i="45" a="1"/>
  <c r="J58" i="45" a="1"/>
  <c r="J59" i="45" a="1"/>
  <c r="J84" i="45" a="1"/>
  <c r="J85" i="45" a="1"/>
  <c r="J86" i="45" a="1"/>
  <c r="J111" i="45" a="1"/>
  <c r="J112" i="45" a="1"/>
  <c r="J113" i="45" a="1"/>
  <c r="J138" i="45" a="1"/>
  <c r="J139" i="45" a="1"/>
  <c r="J140" i="45" a="1"/>
  <c r="J150" i="45" a="1"/>
  <c r="J149" i="45" a="1"/>
  <c r="J148" i="45" a="1"/>
  <c r="J66" i="44" a="1"/>
  <c r="J70" i="44" a="1"/>
  <c r="J61" i="44" a="1"/>
  <c r="J103" i="44" a="1"/>
  <c r="J94" i="44" a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tc={D129C725-860A-4E07-B1E9-DD545595DBE8}</author>
    <author>tc={482DAA7C-DEDD-4290-A25B-21D58C033154}</author>
  </authors>
  <commentList>
    <comment ref="X73" authorId="0" shapeId="0" xr:uid="{D129C725-860A-4E07-B1E9-DD545595DBE8}">
      <text>
        <t>[Threaded comment]
Your version of Excel allows you to read this threaded comment; however, any edits to it will get removed if the file is opened in a newer version of Excel. Learn more: https://go.microsoft.com/fwlink/?linkid=870924
Comment:
    =LET(
    ingredients,        $J$9:$U$46,
    current_ingredient, $E$66#,
    current_row,        E88#,
    ingredients_list,   TRANSPOSE( CaseData!$C$39:$J$39 ),
    product_list,       CaseData!$A$40:$A$42,
    list_price,         H66#,
    product_fill,       SCAN( "", current_row, LAMBDA(carry,lbl, IF( COUNTIF( ingredients_list, lbl ) &gt; 0, lbl, carry ) ) ),
    is_ingredients_row, COUNTIF( product_list, current_row ) &gt; 0,
    kg,                 IFERROR( ingredients * XLOOKUP( current_ingredient, ingredients_list, list_price ), 0 ),
    MAKEARRAY( ROWS( current_row ), COLUMNS( kg ),
        LAMBDA(r,c,
            IF( INDEX( current_row, r, 1 ) = "", "",
                IF( INDEX( is_ingredients_row, r, 1 ),
                    SUMPRODUCT( ( product_fill = INDEX( product_fill, r, 1 ) ) * INDEX( kg, 0, c ) ),
                    INDEX( kg, r, c ) ) ) ) ) )</t>
      </text>
    </comment>
    <comment ref="X106" authorId="1" shapeId="0" xr:uid="{482DAA7C-DEDD-4290-A25B-21D58C033154}">
      <text>
        <t>[Threaded comment]
Your version of Excel allows you to read this threaded comment; however, any edits to it will get removed if the file is opened in a newer version of Excel. Learn more: https://go.microsoft.com/fwlink/?linkid=870924
Comment:
    =LET(
    ingredients,        $J$9:$U$46,
    current_ingredient, $E$66#,
    current_row,        E88#,
    ingredients_list,   TRANSPOSE( CaseData!$C$39:$J$39 ),
    product_list,       CaseData!$A$40:$A$42,
    list_price,         H66#,
    product_fill,       SCAN( "", current_row, LAMBDA(carry,lbl, IF( COUNTIF( ingredients_list, lbl ) &gt; 0, lbl, carry ) ) ),
    is_ingredients_row, COUNTIF( product_list, current_row ) &gt; 0,
    kg,                 IFERROR( ingredients * XLOOKUP( current_ingredient, ingredients_list, list_price ), 0 ),
    MAKEARRAY( ROWS( current_row ), COLUMNS( kg ),
        LAMBDA(r,c,
            IF( INDEX( current_row, r, 1 ) = "", "",
                IF( INDEX( is_ingredients_row, r, 1 ),
                    SUMPRODUCT( ( product_fill = INDEX( product_fill, r, 1 ) ) * INDEX( kg, 0, c ) ),
                    INDEX( kg, r, c ) ) ) ) ) )</t>
      </text>
    </comment>
  </commentList>
</comment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<sst xmlns="http://schemas.openxmlformats.org/spreadsheetml/2006/main" count="560" uniqueCount="139">
  <si>
    <t>[$]</t>
  </si>
  <si>
    <t>%</t>
  </si>
  <si>
    <t>Discount</t>
  </si>
  <si>
    <t>1. Sales Assumptions</t>
  </si>
  <si>
    <t>Retailer/Product - Base Case Scenario</t>
  </si>
  <si>
    <t>Total</t>
  </si>
  <si>
    <t>Total Sales</t>
  </si>
  <si>
    <t>Retailer 1</t>
  </si>
  <si>
    <t>Product A</t>
  </si>
  <si>
    <t>Product B</t>
  </si>
  <si>
    <t>Product C</t>
  </si>
  <si>
    <t>Retailer 2</t>
  </si>
  <si>
    <t>Retailer 3</t>
  </si>
  <si>
    <t>2. Working Capital Assumptions</t>
  </si>
  <si>
    <t>Retailer Deferred Payment Days and Price Discounts</t>
  </si>
  <si>
    <t>Supplier Deferred Payment Days and Opening A/P</t>
  </si>
  <si>
    <t>Days</t>
  </si>
  <si>
    <t>Opening A/P</t>
  </si>
  <si>
    <t>[days]</t>
  </si>
  <si>
    <t>Supplier I</t>
  </si>
  <si>
    <t>Supplier II</t>
  </si>
  <si>
    <t>Supplier III</t>
  </si>
  <si>
    <t>Supplier IV</t>
  </si>
  <si>
    <t>Product Target Inventory (% of next month's unit sales) and List Prices</t>
  </si>
  <si>
    <t>Supplier V</t>
  </si>
  <si>
    <t>[%]</t>
  </si>
  <si>
    <t>Days per Month</t>
  </si>
  <si>
    <t>3. Other Assumptions</t>
  </si>
  <si>
    <t>Product Ingredients</t>
  </si>
  <si>
    <t>Product</t>
  </si>
  <si>
    <t>Flour</t>
  </si>
  <si>
    <t>Sugar</t>
  </si>
  <si>
    <t>Butter</t>
  </si>
  <si>
    <t>Milk</t>
  </si>
  <si>
    <t>Eggs</t>
  </si>
  <si>
    <t>Chocolate</t>
  </si>
  <si>
    <t>Raisins</t>
  </si>
  <si>
    <t>Bananas</t>
  </si>
  <si>
    <t>[kg]</t>
  </si>
  <si>
    <t>Supplier Prices</t>
  </si>
  <si>
    <t>[$/kg]</t>
  </si>
  <si>
    <t>Other Direct Costs</t>
  </si>
  <si>
    <t>(as % of Ingredient Cost)</t>
  </si>
  <si>
    <t>Ingredients (per 1 kg of Product)</t>
  </si>
  <si>
    <t>List Price ($/kg)</t>
  </si>
  <si>
    <t>Days Segmented by Month</t>
  </si>
  <si>
    <t>Supporting assumptions</t>
  </si>
  <si>
    <t>Max deferred days</t>
  </si>
  <si>
    <t>2021 Revenue</t>
  </si>
  <si>
    <t>Model periods</t>
  </si>
  <si>
    <t>months</t>
  </si>
  <si>
    <t>[months]</t>
  </si>
  <si>
    <r>
      <t>(</t>
    </r>
    <r>
      <rPr>
        <i/>
        <sz val="10"/>
        <color theme="1"/>
        <rFont val="Calibri"/>
        <family val="2"/>
      </rPr>
      <t>assumed to be exactly equal to January 2022 sales )</t>
    </r>
  </si>
  <si>
    <t>2021 Accounts receivable balance</t>
  </si>
  <si>
    <t>End of schedule</t>
  </si>
  <si>
    <t>Constant</t>
  </si>
  <si>
    <t>Unit</t>
  </si>
  <si>
    <t>Company name</t>
  </si>
  <si>
    <t>[name]</t>
  </si>
  <si>
    <t>Sweet Dreams Co.</t>
  </si>
  <si>
    <t>CFM Topic</t>
  </si>
  <si>
    <t>Working Capital</t>
  </si>
  <si>
    <t>Payment terms</t>
  </si>
  <si>
    <t>Months</t>
  </si>
  <si>
    <t>Sales</t>
  </si>
  <si>
    <t>Accounts receivables</t>
  </si>
  <si>
    <t>Accounts receivable closing balance</t>
  </si>
  <si>
    <t>Accounts receivable opening balance</t>
  </si>
  <si>
    <t>minus</t>
  </si>
  <si>
    <t>plus</t>
  </si>
  <si>
    <t>Retailer 1: Accounts receivable closing balance</t>
  </si>
  <si>
    <t>Retailer 2: Accounts receivable closing balance</t>
  </si>
  <si>
    <t>Retailer 3: Accounts receivable closing balance</t>
  </si>
  <si>
    <t>Payment Terms</t>
  </si>
  <si>
    <t>Opening balance</t>
  </si>
  <si>
    <t>USD m</t>
  </si>
  <si>
    <t>ACCOUNTS RECEIVABLE SCHEDULE</t>
  </si>
  <si>
    <t>SUMMARY</t>
  </si>
  <si>
    <t>Closing balance</t>
  </si>
  <si>
    <t>Product sales (after discount)</t>
  </si>
  <si>
    <t>Product sales (before discount)</t>
  </si>
  <si>
    <t>USD</t>
  </si>
  <si>
    <t>Volume sold</t>
  </si>
  <si>
    <t>kg</t>
  </si>
  <si>
    <t>INVENTORY SCHEDULE</t>
  </si>
  <si>
    <t>Product sold</t>
  </si>
  <si>
    <t>add</t>
  </si>
  <si>
    <t>less</t>
  </si>
  <si>
    <t>Product manufactured</t>
  </si>
  <si>
    <t>PURCHASING PLAN SCHEDULE</t>
  </si>
  <si>
    <t>Total product manufactured</t>
  </si>
  <si>
    <t>Total ingredients</t>
  </si>
  <si>
    <t>of which lost due to baking</t>
  </si>
  <si>
    <t>Ingredients used in product manufactured</t>
  </si>
  <si>
    <t>Supplier</t>
  </si>
  <si>
    <t>Ingredient</t>
  </si>
  <si>
    <t xml:space="preserve">USD </t>
  </si>
  <si>
    <t>Purchase orders by supplier</t>
  </si>
  <si>
    <t>Purchase orders by ingredient</t>
  </si>
  <si>
    <t>Selected</t>
  </si>
  <si>
    <t>Price</t>
  </si>
  <si>
    <t>Total purchase orders by supplier</t>
  </si>
  <si>
    <t>Purchase orders by product</t>
  </si>
  <si>
    <t>Total purchase orders by product</t>
  </si>
  <si>
    <t>Currency</t>
  </si>
  <si>
    <t>Purchase plan (in USD)</t>
  </si>
  <si>
    <t>Purchase plan (in kg)</t>
  </si>
  <si>
    <t>Total purchase orders by ingredients</t>
  </si>
  <si>
    <t>Total purchase order by ingredients</t>
  </si>
  <si>
    <t>ACCOUNTS PAYABLE SCHEDULE</t>
  </si>
  <si>
    <t>Accounts payable</t>
  </si>
  <si>
    <t>Accounts payable closing balance</t>
  </si>
  <si>
    <t>Accounts payable opening balance</t>
  </si>
  <si>
    <t>Supplier I: Accounts payable closing balance</t>
  </si>
  <si>
    <t>POs</t>
  </si>
  <si>
    <t>Purchase Orders</t>
  </si>
  <si>
    <t>Supplier II: Accounts payable closing balance</t>
  </si>
  <si>
    <t>Supplier III: Accounts payable closing balance</t>
  </si>
  <si>
    <t>Supplier IV: Accounts payable closing balance</t>
  </si>
  <si>
    <t>Supplier V: Accounts payable closing balance</t>
  </si>
  <si>
    <t>Payments received from retailers</t>
  </si>
  <si>
    <t>Payments received from retailers from retailers</t>
  </si>
  <si>
    <t>Payments made to supplier</t>
  </si>
  <si>
    <t>A/R opening balance</t>
  </si>
  <si>
    <t>A/R closing balance</t>
  </si>
  <si>
    <t>A/P opening balance</t>
  </si>
  <si>
    <t>A/P closing balance</t>
  </si>
  <si>
    <t>Othe direct costs by product</t>
  </si>
  <si>
    <t>Other direct costs by product</t>
  </si>
  <si>
    <t>Direct costs</t>
  </si>
  <si>
    <t>Other direct costs</t>
  </si>
  <si>
    <t>Average direct costs</t>
  </si>
  <si>
    <t>USD / kg</t>
  </si>
  <si>
    <t>Inventory valuation</t>
  </si>
  <si>
    <t>Inventory available for sale (net of baking loss)</t>
  </si>
  <si>
    <t>Inventory</t>
  </si>
  <si>
    <t>WORKING CAPITAL SCHEDULE</t>
  </si>
  <si>
    <t>Accounts receivable</t>
  </si>
  <si>
    <t>Working capital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</si>
</sst>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9">
    <numFmt numFmtId="164" formatCode="&quot;$&quot;#,##0_);[Red]\(&quot;$&quot;#,##0\)"/>
    <numFmt numFmtId="165" formatCode="&quot;$&quot;#,##0.00_);[Red]\(&quot;$&quot;#,##0.00\)"/>
    <numFmt numFmtId="166" formatCode="_(* #,##0.00_);_(* \(#,##0.00\);_(* &quot;-&quot;??_);_(@_)"/>
    <numFmt numFmtId="167" formatCode="_-* #,##0_-;\-* #,##0_-;_-* &quot;-&quot;??_-;_-@_-"/>
    <numFmt numFmtId="168" formatCode="#,##0_);\(#,##0\);\-"/>
    <numFmt numFmtId="169" formatCode="#,##0_);\(#,##0\);\-_)"/>
    <numFmt numFmtId="170" formatCode="#,##0.00_);\(#,##0.00\);\-_)"/>
    <numFmt numFmtId="171" formatCode="0.00%_);\(0.00%\);\-_)"/>
    <numFmt numFmtId="172" formatCode="d/mmm/yy;d/mmm/yy;\-"/>
    <numFmt numFmtId="173" formatCode="[Red]&quot;Error&quot;;[Red]&quot;Error&quot;;&quot;OK&quot;;[Red]General"/>
    <numFmt numFmtId="174" formatCode="&quot;On&quot;;[Black]\(#,##0\);[Red]&quot;Off&quot;;[Black]General"/>
    <numFmt numFmtId="175" formatCode="&quot;Yes&quot;;[Black]\(#,##0\);[Red]&quot;No&quot;;[Black]General"/>
    <numFmt numFmtId="176" formatCode="d\-mmm\-yy;d\-mmm\-yy;\-"/>
    <numFmt numFmtId="177" formatCode="###0_);\(###0\);\-_)"/>
    <numFmt numFmtId="178" formatCode="0.0%"/>
    <numFmt numFmtId="179" formatCode="#,##0.000"/>
    <numFmt numFmtId="180" formatCode="&quot;$&quot;#,##0.0000_);[Red]\(&quot;$&quot;#,##0.0000\)"/>
    <numFmt numFmtId="181" formatCode="#,##0_);\(#,##0\);&quot;-  &quot;;&quot; &quot;@"/>
    <numFmt numFmtId="182" formatCode="0.00%\ ;\-0.00%\ _);&quot;-  &quot;;&quot; &quot;@&quot; &quot;"/>
    <numFmt numFmtId="183" formatCode="#,##0.0000_);\(#,##0.0000\);&quot;-  &quot;;&quot; &quot;@&quot; &quot;"/>
    <numFmt numFmtId="184" formatCode="dd\ mmm\ yyyy_);\(###0\);&quot;-  &quot;;&quot; &quot;@&quot; &quot;"/>
    <numFmt numFmtId="185" formatCode="dd\ mmm\ yy_);\(###0\);&quot;-  &quot;;&quot; &quot;@&quot; &quot;"/>
    <numFmt numFmtId="186" formatCode="###0_);\(###0\);&quot;-  &quot;;&quot; &quot;@&quot; &quot;"/>
    <numFmt numFmtId="187" formatCode="#,##0_);\(#,##0\);&quot;-  &quot;;&quot; &quot;@&quot; &quot;"/>
    <numFmt numFmtId="188" formatCode="#,##0.0_);\(#,##0.0\);&quot;-  &quot;;&quot; &quot;@&quot; &quot;"/>
    <numFmt numFmtId="189" formatCode="#,##0.0_);\(#,##0.0\);&quot;-  &quot;;&quot; &quot;@"/>
    <numFmt numFmtId="190" formatCode="#,##0.0000_);\(#,##0.0000\);&quot;-  &quot;;&quot; &quot;@"/>
    <numFmt numFmtId="191" formatCode="&quot;$&quot;#,##0_);\(&quot;$&quot;#,##0\)"/>
    <numFmt numFmtId="192" formatCode="#,##0.00_);\(#,##0.00\);&quot;-  &quot;;&quot; &quot;@"/>
  </numFmts>
  <fonts count="49">
    <font>
      <sz val="11"/>
      <color theme="1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sz val="10"/>
      <name val="Aldine401 BT"/>
    </font>
    <font>
      <sz val="10"/>
      <name val="Book Antiqua"/>
      <family val="1"/>
    </font>
    <font>
      <sz val="11"/>
      <color indexed="12"/>
      <name val="Book Antiqua"/>
      <family val="1"/>
    </font>
    <font>
      <sz val="8"/>
      <name val="Arial"/>
      <family val="2"/>
    </font>
    <font>
      <b/>
      <sz val="10"/>
      <color theme="0"/>
      <name val="Arial"/>
      <family val="2"/>
    </font>
    <font>
      <sz val="10"/>
      <color rgb="FFFF0000"/>
      <name val="Arial"/>
      <family val="2"/>
    </font>
    <font>
      <b/>
      <sz val="10"/>
      <color theme="1"/>
      <name val="Arial"/>
      <family val="2"/>
    </font>
    <font>
      <b/>
      <sz val="12"/>
      <color theme="0"/>
      <name val="Arial"/>
      <family val="2"/>
    </font>
    <font>
      <b/>
      <sz val="12"/>
      <color rgb="FF366092"/>
      <name val="Arial"/>
      <family val="2"/>
    </font>
    <font>
      <sz val="10"/>
      <color rgb="FF0000FF"/>
      <name val="Arial"/>
      <family val="2"/>
    </font>
    <font>
      <sz val="10"/>
      <color rgb="FF7030A0"/>
      <name val="Arial"/>
      <family val="2"/>
    </font>
    <font>
      <sz val="10"/>
      <color theme="0" tint="-0.499984740745262"/>
      <name val="Arial"/>
      <family val="2"/>
    </font>
    <font>
      <b/>
      <sz val="10"/>
      <color rgb="FF008000"/>
      <name val="Arial"/>
      <family val="2"/>
    </font>
    <font>
      <sz val="9"/>
      <color rgb="FFFF0000"/>
      <name val="Arial"/>
      <family val="2"/>
    </font>
    <font>
      <sz val="10"/>
      <color theme="0" tint="-0.34998626667073579"/>
      <name val="Arial"/>
      <family val="2"/>
    </font>
    <font>
      <sz val="10"/>
      <color theme="9" tint="-0.499984740745262"/>
      <name val="Arial"/>
      <family val="2"/>
    </font>
    <font>
      <sz val="10"/>
      <color rgb="FF4F6228"/>
      <name val="Arial"/>
      <family val="2"/>
    </font>
    <font>
      <sz val="10"/>
      <color rgb="FF006600"/>
      <name val="Arial"/>
      <family val="2"/>
    </font>
    <font>
      <b/>
      <sz val="15"/>
      <color theme="3"/>
      <name val="Calibri"/>
      <family val="2"/>
      <scheme val="minor"/>
    </font>
    <font>
      <sz val="12"/>
      <color theme="1"/>
      <name val="Calibri"/>
      <family val="2"/>
      <scheme val="minor"/>
    </font>
    <font>
      <sz val="22"/>
      <color rgb="FF3F3F76"/>
      <name val="Calibri"/>
      <family val="2"/>
      <scheme val="minor"/>
    </font>
    <font>
      <sz val="11"/>
      <color theme="1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10"/>
      <name val="Calibri"/>
      <family val="2"/>
      <scheme val="minor"/>
    </font>
    <font>
      <b/>
      <sz val="10"/>
      <name val="Calibri"/>
      <family val="2"/>
      <scheme val="minor"/>
    </font>
    <font>
      <b/>
      <sz val="10"/>
      <color rgb="FF0000FF"/>
      <name val="Calibri"/>
      <family val="2"/>
      <scheme val="minor"/>
    </font>
    <font>
      <sz val="10"/>
      <color rgb="FF0000FF"/>
      <name val="Calibri"/>
      <family val="2"/>
      <scheme val="minor"/>
    </font>
    <font>
      <b/>
      <sz val="10"/>
      <color theme="1"/>
      <name val="Calibri"/>
      <family val="2"/>
      <scheme val="minor"/>
    </font>
    <font>
      <b/>
      <u val="singleAccounting"/>
      <sz val="10"/>
      <color theme="1"/>
      <name val="Calibri"/>
      <family val="2"/>
      <scheme val="minor"/>
    </font>
    <font>
      <u val="singleAccounting"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1"/>
      <color theme="1"/>
      <name val="Arial"/>
      <family val="2"/>
    </font>
    <font>
      <sz val="10"/>
      <color rgb="FF000000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FF0000"/>
      <name val="Calibri"/>
      <family val="2"/>
      <scheme val="minor"/>
    </font>
    <font>
      <i/>
      <sz val="10"/>
      <color theme="1"/>
      <name val="Calibri"/>
      <family val="2"/>
    </font>
    <font>
      <i/>
      <sz val="10"/>
      <color theme="1"/>
      <name val="Calibri"/>
      <family val="2"/>
      <scheme val="minor"/>
    </font>
    <font>
      <b/>
      <sz val="11"/>
      <color theme="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  <font>
      <sz val="11"/>
      <name val="Arial"/>
      <family val="2"/>
    </font>
    <font>
      <sz val="11"/>
      <color rgb="FFFF0000"/>
      <name val="Arial"/>
      <family val="2"/>
    </font>
    <font>
      <sz val="8"/>
      <color theme="1"/>
      <name val="Arial"/>
      <family val="2"/>
    </font>
    <font>
      <u/>
      <sz val="11"/>
      <color theme="1"/>
      <name val="Arial"/>
      <family val="2"/>
    </font>
    <font>
      <i/>
      <sz val="11"/>
      <color theme="1"/>
      <name val="Arial"/>
      <family val="2"/>
    </font>
  </fonts>
  <fills count="15">
    <fill>
      <patternFill patternType="none"/>
    </fill>
    <fill>
      <patternFill patternType="gray125"/>
    </fill>
    <fill>
      <patternFill patternType="solid">
        <fgColor rgb="FFFFCC99"/>
      </patternFill>
    </fill>
    <fill>
      <patternFill patternType="solid">
        <fgColor rgb="FF003264"/>
        <bgColor indexed="64"/>
      </patternFill>
    </fill>
    <fill>
      <patternFill patternType="solid">
        <fgColor rgb="FF366092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0" tint="-0.14996795556505021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rgb="FFD9D9D9"/>
        <bgColor indexed="64"/>
      </patternFill>
    </fill>
    <fill>
      <patternFill patternType="solid">
        <fgColor rgb="FFFFFFA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CFFFF"/>
        <bgColor indexed="64"/>
      </patternFill>
    </fill>
  </fills>
  <borders count="2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/>
      <diagonal/>
    </border>
    <border>
      <left/>
      <right/>
      <top/>
      <bottom style="double">
        <color indexed="64"/>
      </bottom>
      <diagonal/>
    </border>
    <border>
      <left/>
      <right/>
      <top/>
      <bottom style="thick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 style="hair">
        <color rgb="FF0000FF"/>
      </bottom>
      <diagonal/>
    </border>
    <border>
      <left style="dashed">
        <color rgb="FF7030A0"/>
      </left>
      <right style="dashed">
        <color rgb="FF7030A0"/>
      </right>
      <top style="dashed">
        <color rgb="FF7030A0"/>
      </top>
      <bottom style="dashed">
        <color rgb="FF7030A0"/>
      </bottom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 style="thin">
        <color theme="0" tint="-0.24994659260841701"/>
      </bottom>
      <diagonal/>
    </border>
    <border>
      <left style="hair">
        <color rgb="FF0000FF"/>
      </left>
      <right style="hair">
        <color rgb="FF0000FF"/>
      </right>
      <top style="hair">
        <color rgb="FF0000FF"/>
      </top>
      <bottom/>
      <diagonal/>
    </border>
    <border>
      <left style="thin">
        <color theme="0" tint="-0.24994659260841701"/>
      </left>
      <right style="thin">
        <color theme="0" tint="-0.24994659260841701"/>
      </right>
      <top/>
      <bottom style="thin">
        <color theme="0" tint="-0.24994659260841701"/>
      </bottom>
      <diagonal/>
    </border>
    <border>
      <left style="thin">
        <color theme="0" tint="-0.24994659260841701"/>
      </left>
      <right style="thin">
        <color theme="0" tint="-0.24994659260841701"/>
      </right>
      <top style="thin">
        <color theme="0" tint="-0.24994659260841701"/>
      </top>
      <bottom/>
      <diagonal/>
    </border>
    <border>
      <left/>
      <right/>
      <top style="thin">
        <color rgb="FF808080"/>
      </top>
      <bottom style="thin">
        <color rgb="FF808080"/>
      </bottom>
      <diagonal/>
    </border>
    <border>
      <left/>
      <right/>
      <top style="thin">
        <color indexed="64"/>
      </top>
      <bottom/>
      <diagonal/>
    </border>
  </borders>
  <cellStyleXfs count="57">
    <xf numFmtId="181" fontId="0" fillId="0" borderId="0" applyFont="0" applyFill="0" applyBorder="0" applyProtection="0">
      <alignment vertical="top"/>
    </xf>
    <xf numFmtId="0" fontId="2" fillId="0" borderId="0"/>
    <xf numFmtId="166" fontId="3" fillId="0" borderId="0" applyFont="0" applyFill="0" applyBorder="0" applyAlignment="0" applyProtection="0"/>
    <xf numFmtId="0" fontId="4" fillId="0" borderId="0" applyNumberFormat="0" applyFont="0" applyFill="0" applyBorder="0" applyProtection="0">
      <alignment horizontal="centerContinuous"/>
    </xf>
    <xf numFmtId="0" fontId="4" fillId="0" borderId="1" applyNumberFormat="0" applyFont="0" applyFill="0" applyAlignment="0" applyProtection="0"/>
    <xf numFmtId="0" fontId="4" fillId="0" borderId="0" applyNumberFormat="0" applyFont="0" applyFill="0" applyBorder="0" applyProtection="0">
      <alignment horizontal="center"/>
    </xf>
    <xf numFmtId="165" fontId="5" fillId="0" borderId="4">
      <protection locked="0"/>
    </xf>
    <xf numFmtId="0" fontId="4" fillId="0" borderId="5" applyNumberFormat="0" applyFont="0" applyFill="0" applyAlignment="0" applyProtection="0"/>
    <xf numFmtId="0" fontId="6" fillId="0" borderId="0" applyNumberFormat="0" applyFill="0" applyBorder="0" applyAlignment="0" applyProtection="0"/>
    <xf numFmtId="167" fontId="3" fillId="0" borderId="0" applyNumberFormat="0" applyFill="0" applyBorder="0" applyAlignment="0" applyProtection="0"/>
    <xf numFmtId="0" fontId="4" fillId="0" borderId="3" applyNumberFormat="0" applyFont="0" applyFill="0" applyAlignment="0" applyProtection="0"/>
    <xf numFmtId="9" fontId="2" fillId="0" borderId="0" applyFont="0" applyFill="0" applyBorder="0" applyAlignment="0" applyProtection="0"/>
    <xf numFmtId="0" fontId="10" fillId="3" borderId="0" applyNumberFormat="0" applyAlignment="0"/>
    <xf numFmtId="169" fontId="1" fillId="0" borderId="0" applyBorder="0"/>
    <xf numFmtId="4" fontId="7" fillId="4" borderId="2">
      <alignment horizontal="left"/>
    </xf>
    <xf numFmtId="168" fontId="11" fillId="0" borderId="0" applyFill="0" applyBorder="0"/>
    <xf numFmtId="169" fontId="9" fillId="0" borderId="0" applyBorder="0"/>
    <xf numFmtId="0" fontId="12" fillId="0" borderId="0" applyNumberFormat="0" applyFill="0" applyBorder="0">
      <alignment horizontal="right"/>
    </xf>
    <xf numFmtId="169" fontId="12" fillId="5" borderId="8">
      <protection locked="0"/>
    </xf>
    <xf numFmtId="170" fontId="12" fillId="5" borderId="8">
      <protection locked="0"/>
    </xf>
    <xf numFmtId="171" fontId="12" fillId="5" borderId="8">
      <protection locked="0"/>
    </xf>
    <xf numFmtId="172" fontId="1" fillId="0" borderId="0" applyBorder="0"/>
    <xf numFmtId="172" fontId="12" fillId="5" borderId="8">
      <protection locked="0"/>
    </xf>
    <xf numFmtId="169" fontId="12" fillId="0" borderId="8"/>
    <xf numFmtId="15" fontId="8" fillId="0" borderId="0" applyFill="0" applyBorder="0" applyAlignment="0"/>
    <xf numFmtId="173" fontId="13" fillId="0" borderId="9">
      <alignment horizontal="center"/>
    </xf>
    <xf numFmtId="169" fontId="14" fillId="7" borderId="0" applyBorder="0" applyAlignment="0"/>
    <xf numFmtId="173" fontId="15" fillId="8" borderId="10">
      <alignment horizontal="center"/>
    </xf>
    <xf numFmtId="0" fontId="16" fillId="0" borderId="0" applyNumberFormat="0" applyFill="0" applyBorder="0" applyAlignment="0"/>
    <xf numFmtId="0" fontId="17" fillId="0" borderId="0" applyNumberFormat="0" applyFill="0" applyBorder="0" applyAlignment="0"/>
    <xf numFmtId="168" fontId="18" fillId="6" borderId="8" applyNumberFormat="0" applyAlignment="0">
      <protection locked="0"/>
    </xf>
    <xf numFmtId="174" fontId="19" fillId="5" borderId="8">
      <alignment horizontal="center"/>
      <protection locked="0"/>
    </xf>
    <xf numFmtId="175" fontId="19" fillId="5" borderId="8">
      <alignment horizontal="center"/>
      <protection locked="0"/>
    </xf>
    <xf numFmtId="170" fontId="1" fillId="0" borderId="0" applyBorder="0"/>
    <xf numFmtId="175" fontId="20" fillId="0" borderId="11" applyFill="0">
      <alignment horizontal="center"/>
    </xf>
    <xf numFmtId="174" fontId="19" fillId="0" borderId="11">
      <alignment horizontal="center"/>
    </xf>
    <xf numFmtId="171" fontId="2" fillId="0" borderId="0" applyFill="0" applyBorder="0" applyAlignment="0"/>
    <xf numFmtId="169" fontId="1" fillId="9" borderId="11"/>
    <xf numFmtId="0" fontId="21" fillId="0" borderId="6" applyNumberFormat="0" applyFill="0" applyAlignment="0" applyProtection="0"/>
    <xf numFmtId="0" fontId="22" fillId="0" borderId="0"/>
    <xf numFmtId="0" fontId="23" fillId="2" borderId="7" applyNumberFormat="0" applyAlignment="0" applyProtection="0"/>
    <xf numFmtId="0" fontId="23" fillId="2" borderId="7" applyFill="0" applyAlignment="0" applyProtection="0"/>
    <xf numFmtId="0" fontId="1" fillId="0" borderId="0"/>
    <xf numFmtId="0" fontId="24" fillId="0" borderId="0"/>
    <xf numFmtId="176" fontId="1" fillId="0" borderId="0" applyBorder="0"/>
    <xf numFmtId="177" fontId="1" fillId="0" borderId="0" applyBorder="0"/>
    <xf numFmtId="176" fontId="12" fillId="5" borderId="8">
      <protection locked="0"/>
    </xf>
    <xf numFmtId="166" fontId="22" fillId="0" borderId="0" applyFont="0" applyFill="0" applyBorder="0" applyAlignment="0" applyProtection="0"/>
    <xf numFmtId="0" fontId="25" fillId="2" borderId="7" applyNumberFormat="0" applyAlignment="0" applyProtection="0"/>
    <xf numFmtId="4" fontId="7" fillId="4" borderId="13">
      <alignment horizontal="left"/>
    </xf>
    <xf numFmtId="166" fontId="24" fillId="0" borderId="0" applyFont="0" applyFill="0" applyBorder="0" applyAlignment="0" applyProtection="0"/>
    <xf numFmtId="0" fontId="35" fillId="0" borderId="0"/>
    <xf numFmtId="182" fontId="24" fillId="0" borderId="0" applyFont="0" applyFill="0" applyBorder="0" applyProtection="0">
      <alignment vertical="top"/>
    </xf>
    <xf numFmtId="183" fontId="24" fillId="0" borderId="0" applyFont="0" applyFill="0" applyBorder="0" applyProtection="0">
      <alignment vertical="top"/>
    </xf>
    <xf numFmtId="184" fontId="24" fillId="0" borderId="0" applyFont="0" applyFill="0" applyBorder="0" applyProtection="0">
      <alignment vertical="top"/>
    </xf>
    <xf numFmtId="185" fontId="24" fillId="0" borderId="0" applyFont="0" applyFill="0" applyBorder="0" applyProtection="0">
      <alignment vertical="top"/>
    </xf>
    <xf numFmtId="186" fontId="24" fillId="0" borderId="0" applyFont="0" applyFill="0" applyBorder="0" applyProtection="0">
      <alignment vertical="top"/>
    </xf>
  </cellStyleXfs>
  <cellXfs count="102">
    <xf numFmtId="181" fontId="0" fillId="0" borderId="0" xfId="0">
      <alignment vertical="top"/>
    </xf>
    <xf numFmtId="181" fontId="26" fillId="10" borderId="0" xfId="0" applyFont="1" applyFill="1">
      <alignment vertical="top"/>
    </xf>
    <xf numFmtId="181" fontId="27" fillId="0" borderId="0" xfId="0" applyFont="1">
      <alignment vertical="top"/>
    </xf>
    <xf numFmtId="181" fontId="27" fillId="0" borderId="0" xfId="0" applyFont="1" applyAlignment="1">
      <alignment horizontal="left" indent="1"/>
    </xf>
    <xf numFmtId="166" fontId="28" fillId="0" borderId="1" xfId="50" applyFont="1" applyBorder="1" applyAlignment="1">
      <alignment horizontal="left" wrapText="1"/>
    </xf>
    <xf numFmtId="181" fontId="27" fillId="0" borderId="1" xfId="0" applyFont="1" applyBorder="1">
      <alignment vertical="top"/>
    </xf>
    <xf numFmtId="17" fontId="29" fillId="0" borderId="1" xfId="50" applyNumberFormat="1" applyFont="1" applyBorder="1" applyAlignment="1">
      <alignment horizontal="center" wrapText="1"/>
    </xf>
    <xf numFmtId="17" fontId="28" fillId="0" borderId="1" xfId="50" applyNumberFormat="1" applyFont="1" applyBorder="1" applyAlignment="1">
      <alignment horizontal="center" wrapText="1"/>
    </xf>
    <xf numFmtId="166" fontId="28" fillId="0" borderId="1" xfId="50" applyFont="1" applyBorder="1" applyAlignment="1">
      <alignment horizontal="center" wrapText="1"/>
    </xf>
    <xf numFmtId="166" fontId="28" fillId="0" borderId="0" xfId="50" applyFont="1" applyBorder="1" applyAlignment="1">
      <alignment horizontal="center" wrapText="1"/>
    </xf>
    <xf numFmtId="166" fontId="28" fillId="0" borderId="12" xfId="50" applyFont="1" applyBorder="1" applyAlignment="1">
      <alignment horizontal="left" wrapText="1"/>
    </xf>
    <xf numFmtId="164" fontId="28" fillId="0" borderId="12" xfId="0" applyNumberFormat="1" applyFont="1" applyBorder="1">
      <alignment vertical="top"/>
    </xf>
    <xf numFmtId="181" fontId="28" fillId="0" borderId="0" xfId="0" applyFont="1">
      <alignment vertical="top"/>
    </xf>
    <xf numFmtId="164" fontId="28" fillId="0" borderId="0" xfId="0" applyNumberFormat="1" applyFont="1">
      <alignment vertical="top"/>
    </xf>
    <xf numFmtId="164" fontId="30" fillId="5" borderId="8" xfId="18" applyNumberFormat="1" applyFont="1">
      <protection locked="0"/>
    </xf>
    <xf numFmtId="164" fontId="27" fillId="0" borderId="0" xfId="0" applyNumberFormat="1" applyFont="1">
      <alignment vertical="top"/>
    </xf>
    <xf numFmtId="181" fontId="28" fillId="0" borderId="0" xfId="0" applyFont="1" applyAlignment="1">
      <alignment horizontal="center"/>
    </xf>
    <xf numFmtId="3" fontId="30" fillId="5" borderId="8" xfId="18" applyNumberFormat="1" applyFont="1" applyAlignment="1">
      <alignment horizontal="center"/>
      <protection locked="0"/>
    </xf>
    <xf numFmtId="178" fontId="30" fillId="5" borderId="8" xfId="18" applyNumberFormat="1" applyFont="1" applyAlignment="1">
      <alignment horizontal="center"/>
      <protection locked="0"/>
    </xf>
    <xf numFmtId="9" fontId="30" fillId="5" borderId="8" xfId="18" applyNumberFormat="1" applyFont="1" applyAlignment="1">
      <alignment horizontal="center"/>
      <protection locked="0"/>
    </xf>
    <xf numFmtId="165" fontId="30" fillId="5" borderId="8" xfId="18" applyNumberFormat="1" applyFont="1">
      <protection locked="0"/>
    </xf>
    <xf numFmtId="3" fontId="30" fillId="0" borderId="8" xfId="18" applyNumberFormat="1" applyFont="1" applyFill="1" applyAlignment="1">
      <alignment horizontal="center"/>
      <protection locked="0"/>
    </xf>
    <xf numFmtId="179" fontId="30" fillId="5" borderId="8" xfId="18" applyNumberFormat="1" applyFont="1">
      <protection locked="0"/>
    </xf>
    <xf numFmtId="180" fontId="30" fillId="5" borderId="8" xfId="18" applyNumberFormat="1" applyFont="1">
      <protection locked="0"/>
    </xf>
    <xf numFmtId="181" fontId="28" fillId="0" borderId="0" xfId="0" applyFont="1" applyAlignment="1">
      <alignment horizontal="left" indent="1"/>
    </xf>
    <xf numFmtId="181" fontId="31" fillId="0" borderId="0" xfId="0" applyFont="1" applyAlignment="1">
      <alignment horizontal="center"/>
    </xf>
    <xf numFmtId="181" fontId="32" fillId="0" borderId="0" xfId="0" applyFont="1" applyAlignment="1">
      <alignment horizontal="centerContinuous"/>
    </xf>
    <xf numFmtId="181" fontId="33" fillId="0" borderId="0" xfId="0" applyFont="1" applyAlignment="1">
      <alignment horizontal="centerContinuous"/>
    </xf>
    <xf numFmtId="181" fontId="31" fillId="0" borderId="0" xfId="0" applyFont="1">
      <alignment vertical="top"/>
    </xf>
    <xf numFmtId="181" fontId="34" fillId="0" borderId="0" xfId="0" applyFont="1">
      <alignment vertical="top"/>
    </xf>
    <xf numFmtId="181" fontId="28" fillId="0" borderId="12" xfId="0" applyFont="1" applyBorder="1" applyAlignment="1">
      <alignment horizontal="center"/>
    </xf>
    <xf numFmtId="181" fontId="27" fillId="0" borderId="0" xfId="0" applyFont="1" applyAlignment="1">
      <alignment horizontal="center"/>
    </xf>
    <xf numFmtId="180" fontId="34" fillId="0" borderId="0" xfId="0" applyNumberFormat="1" applyFont="1">
      <alignment vertical="top"/>
    </xf>
    <xf numFmtId="181" fontId="34" fillId="0" borderId="0" xfId="0" applyFont="1" applyAlignment="1">
      <alignment horizontal="center"/>
    </xf>
    <xf numFmtId="181" fontId="37" fillId="0" borderId="0" xfId="0" applyFont="1">
      <alignment vertical="top"/>
    </xf>
    <xf numFmtId="181" fontId="34" fillId="11" borderId="0" xfId="0" applyFont="1" applyFill="1">
      <alignment vertical="top"/>
    </xf>
    <xf numFmtId="181" fontId="31" fillId="11" borderId="0" xfId="0" applyFont="1" applyFill="1">
      <alignment vertical="top"/>
    </xf>
    <xf numFmtId="187" fontId="36" fillId="0" borderId="0" xfId="53" applyNumberFormat="1" applyFont="1">
      <alignment vertical="top"/>
    </xf>
    <xf numFmtId="181" fontId="30" fillId="12" borderId="14" xfId="0" applyFont="1" applyFill="1" applyBorder="1">
      <alignment vertical="top"/>
    </xf>
    <xf numFmtId="3" fontId="36" fillId="11" borderId="8" xfId="18" applyNumberFormat="1" applyFont="1" applyFill="1" applyAlignment="1">
      <alignment horizontal="center"/>
      <protection locked="0"/>
    </xf>
    <xf numFmtId="181" fontId="34" fillId="12" borderId="14" xfId="0" applyFont="1" applyFill="1" applyBorder="1">
      <alignment vertical="top"/>
    </xf>
    <xf numFmtId="185" fontId="31" fillId="0" borderId="1" xfId="55" applyFont="1" applyBorder="1">
      <alignment vertical="top"/>
    </xf>
    <xf numFmtId="181" fontId="38" fillId="0" borderId="0" xfId="0" applyFont="1">
      <alignment vertical="top"/>
    </xf>
    <xf numFmtId="181" fontId="40" fillId="0" borderId="0" xfId="0" applyFont="1">
      <alignment vertical="top"/>
    </xf>
    <xf numFmtId="3" fontId="36" fillId="11" borderId="15" xfId="18" applyNumberFormat="1" applyFont="1" applyFill="1" applyBorder="1" applyAlignment="1">
      <alignment horizontal="center"/>
      <protection locked="0"/>
    </xf>
    <xf numFmtId="3" fontId="36" fillId="0" borderId="0" xfId="18" applyNumberFormat="1" applyFont="1" applyFill="1" applyBorder="1" applyAlignment="1">
      <alignment horizontal="center"/>
      <protection locked="0"/>
    </xf>
    <xf numFmtId="3" fontId="36" fillId="11" borderId="14" xfId="18" applyNumberFormat="1" applyFont="1" applyFill="1" applyBorder="1" applyAlignment="1">
      <alignment horizontal="center"/>
      <protection locked="0"/>
    </xf>
    <xf numFmtId="181" fontId="30" fillId="0" borderId="0" xfId="0" applyFont="1" applyFill="1" applyBorder="1">
      <alignment vertical="top"/>
    </xf>
    <xf numFmtId="181" fontId="30" fillId="12" borderId="16" xfId="0" applyFont="1" applyFill="1" applyBorder="1">
      <alignment vertical="top"/>
    </xf>
    <xf numFmtId="185" fontId="29" fillId="12" borderId="14" xfId="55" applyFont="1" applyFill="1" applyBorder="1">
      <alignment vertical="top"/>
    </xf>
    <xf numFmtId="1" fontId="37" fillId="0" borderId="1" xfId="0" applyNumberFormat="1" applyFont="1" applyBorder="1" applyAlignment="1">
      <alignment horizontal="center" vertical="top"/>
    </xf>
    <xf numFmtId="188" fontId="34" fillId="0" borderId="0" xfId="53" applyNumberFormat="1" applyFont="1">
      <alignment vertical="top"/>
    </xf>
    <xf numFmtId="181" fontId="34" fillId="12" borderId="17" xfId="0" applyFont="1" applyFill="1" applyBorder="1">
      <alignment vertical="top"/>
    </xf>
    <xf numFmtId="181" fontId="34" fillId="11" borderId="14" xfId="0" applyFont="1" applyFill="1" applyBorder="1">
      <alignment vertical="top"/>
    </xf>
    <xf numFmtId="181" fontId="34" fillId="11" borderId="16" xfId="0" applyFont="1" applyFill="1" applyBorder="1">
      <alignment vertical="top"/>
    </xf>
    <xf numFmtId="181" fontId="41" fillId="13" borderId="0" xfId="0" applyFont="1" applyFill="1">
      <alignment vertical="top"/>
    </xf>
    <xf numFmtId="181" fontId="0" fillId="11" borderId="0" xfId="0" applyFill="1">
      <alignment vertical="top"/>
    </xf>
    <xf numFmtId="181" fontId="42" fillId="11" borderId="0" xfId="0" applyFont="1" applyFill="1">
      <alignment vertical="top"/>
    </xf>
    <xf numFmtId="185" fontId="41" fillId="13" borderId="0" xfId="55" applyFont="1" applyFill="1">
      <alignment vertical="top"/>
    </xf>
    <xf numFmtId="181" fontId="43" fillId="0" borderId="0" xfId="0" applyFont="1">
      <alignment vertical="top"/>
    </xf>
    <xf numFmtId="181" fontId="44" fillId="0" borderId="0" xfId="0" applyFont="1" applyAlignment="1">
      <alignment horizontal="left" indent="1"/>
    </xf>
    <xf numFmtId="188" fontId="0" fillId="0" borderId="0" xfId="53" applyNumberFormat="1" applyFont="1">
      <alignment vertical="top"/>
    </xf>
    <xf numFmtId="181" fontId="0" fillId="0" borderId="0" xfId="0" applyFont="1">
      <alignment vertical="top"/>
    </xf>
    <xf numFmtId="188" fontId="35" fillId="0" borderId="1" xfId="53" applyNumberFormat="1" applyFont="1" applyBorder="1" applyAlignment="1">
      <alignment horizontal="center" vertical="top"/>
    </xf>
    <xf numFmtId="181" fontId="35" fillId="0" borderId="1" xfId="0" applyFont="1" applyBorder="1" applyAlignment="1">
      <alignment horizontal="center" vertical="top"/>
    </xf>
    <xf numFmtId="181" fontId="42" fillId="0" borderId="0" xfId="0" applyFont="1" applyFill="1">
      <alignment vertical="top"/>
    </xf>
    <xf numFmtId="181" fontId="0" fillId="0" borderId="0" xfId="0" applyFill="1">
      <alignment vertical="top"/>
    </xf>
    <xf numFmtId="188" fontId="45" fillId="0" borderId="0" xfId="53" applyNumberFormat="1" applyFont="1">
      <alignment vertical="top"/>
    </xf>
    <xf numFmtId="188" fontId="0" fillId="0" borderId="0" xfId="53" applyNumberFormat="1" applyFont="1" applyBorder="1">
      <alignment vertical="top"/>
    </xf>
    <xf numFmtId="181" fontId="0" fillId="11" borderId="0" xfId="0" applyFont="1" applyFill="1">
      <alignment vertical="top"/>
    </xf>
    <xf numFmtId="181" fontId="0" fillId="0" borderId="0" xfId="0" applyAlignment="1">
      <alignment horizontal="left" vertical="top" indent="1"/>
    </xf>
    <xf numFmtId="181" fontId="46" fillId="0" borderId="0" xfId="0" applyFont="1" applyAlignment="1">
      <alignment horizontal="right" vertical="top"/>
    </xf>
    <xf numFmtId="181" fontId="44" fillId="0" borderId="18" xfId="0" applyFont="1" applyBorder="1">
      <alignment vertical="top"/>
    </xf>
    <xf numFmtId="181" fontId="0" fillId="0" borderId="18" xfId="0" applyBorder="1">
      <alignment vertical="top"/>
    </xf>
    <xf numFmtId="181" fontId="43" fillId="0" borderId="18" xfId="0" applyFont="1" applyBorder="1">
      <alignment vertical="top"/>
    </xf>
    <xf numFmtId="181" fontId="42" fillId="0" borderId="18" xfId="0" applyFont="1" applyBorder="1">
      <alignment vertical="top"/>
    </xf>
    <xf numFmtId="181" fontId="47" fillId="0" borderId="0" xfId="0" applyFont="1">
      <alignment vertical="top"/>
    </xf>
    <xf numFmtId="189" fontId="0" fillId="0" borderId="0" xfId="0" applyNumberFormat="1" applyFont="1">
      <alignment vertical="top"/>
    </xf>
    <xf numFmtId="189" fontId="0" fillId="0" borderId="0" xfId="0" applyNumberFormat="1" applyFont="1" applyBorder="1">
      <alignment vertical="top"/>
    </xf>
    <xf numFmtId="181" fontId="42" fillId="0" borderId="0" xfId="0" applyFont="1">
      <alignment vertical="top"/>
    </xf>
    <xf numFmtId="181" fontId="0" fillId="0" borderId="1" xfId="0" applyBorder="1">
      <alignment vertical="top"/>
    </xf>
    <xf numFmtId="181" fontId="42" fillId="14" borderId="0" xfId="0" applyFont="1" applyFill="1">
      <alignment vertical="top"/>
    </xf>
    <xf numFmtId="181" fontId="0" fillId="14" borderId="0" xfId="0" applyFill="1">
      <alignment vertical="top"/>
    </xf>
    <xf numFmtId="183" fontId="0" fillId="0" borderId="0" xfId="53" applyFont="1">
      <alignment vertical="top"/>
    </xf>
    <xf numFmtId="181" fontId="0" fillId="0" borderId="18" xfId="0" applyFont="1" applyBorder="1">
      <alignment vertical="top"/>
    </xf>
    <xf numFmtId="181" fontId="48" fillId="0" borderId="0" xfId="0" applyFont="1" applyAlignment="1">
      <alignment horizontal="left" vertical="top" indent="1"/>
    </xf>
    <xf numFmtId="190" fontId="0" fillId="0" borderId="0" xfId="0" applyNumberFormat="1">
      <alignment vertical="top"/>
    </xf>
    <xf numFmtId="191" fontId="34" fillId="0" borderId="19" xfId="0" applyNumberFormat="1" applyFont="1" applyBorder="1" applyAlignment="1"/>
    <xf numFmtId="183" fontId="0" fillId="14" borderId="0" xfId="53" applyFont="1" applyFill="1">
      <alignment vertical="top"/>
    </xf>
    <xf numFmtId="181" fontId="0" fillId="0" borderId="0" xfId="0" applyAlignment="1">
      <alignment horizontal="center" vertical="top"/>
    </xf>
    <xf numFmtId="181" fontId="0" fillId="0" borderId="1" xfId="0" applyBorder="1" applyAlignment="1">
      <alignment horizontal="center" vertical="top"/>
    </xf>
    <xf numFmtId="181" fontId="0" fillId="0" borderId="0" xfId="0" applyFont="1" applyBorder="1" applyAlignment="1">
      <alignment horizontal="center" vertical="top"/>
    </xf>
    <xf numFmtId="181" fontId="0" fillId="0" borderId="0" xfId="0" applyBorder="1">
      <alignment vertical="top"/>
    </xf>
    <xf numFmtId="183" fontId="0" fillId="0" borderId="0" xfId="53" applyFont="1" applyFill="1">
      <alignment vertical="top"/>
    </xf>
    <xf numFmtId="0" fontId="41" fillId="13" borderId="0" xfId="0" applyNumberFormat="1" applyFont="1" applyFill="1">
      <alignment vertical="top"/>
    </xf>
    <xf numFmtId="189" fontId="0" fillId="0" borderId="0" xfId="0" applyNumberFormat="1" applyFill="1">
      <alignment vertical="top"/>
    </xf>
    <xf numFmtId="189" fontId="0" fillId="0" borderId="0" xfId="0" applyNumberFormat="1">
      <alignment vertical="top"/>
    </xf>
    <xf numFmtId="188" fontId="0" fillId="0" borderId="0" xfId="53" applyNumberFormat="1" applyFont="1" applyFill="1">
      <alignment vertical="top"/>
    </xf>
    <xf numFmtId="191" fontId="34" fillId="0" borderId="0" xfId="0" applyNumberFormat="1" applyFont="1" applyBorder="1" applyAlignment="1"/>
    <xf numFmtId="192" fontId="0" fillId="0" borderId="0" xfId="0" applyNumberFormat="1">
      <alignment vertical="top"/>
    </xf>
    <xf numFmtId="181" fontId="42" fillId="0" borderId="0" xfId="0" applyFont="1" applyBorder="1">
      <alignment vertical="top"/>
    </xf>
    <xf numFmtId="181" fontId="0" fillId="0" borderId="0" xfId="0" applyFont="1" applyBorder="1">
      <alignment vertical="top"/>
    </xf>
  </cellXfs>
  <cellStyles count="57">
    <cellStyle name="Across" xfId="3" xr:uid="{00000000-0005-0000-0000-000000000000}"/>
    <cellStyle name="Bottom" xfId="4" xr:uid="{00000000-0005-0000-0000-000001000000}"/>
    <cellStyle name="Center" xfId="5" xr:uid="{00000000-0005-0000-0000-000002000000}"/>
    <cellStyle name="Comma" xfId="50" builtinId="3"/>
    <cellStyle name="Comma 2" xfId="2" xr:uid="{00000000-0005-0000-0000-000003000000}"/>
    <cellStyle name="Comma 3" xfId="47" xr:uid="{3570D88B-62A3-40C8-909A-C17A3140EBF0}"/>
    <cellStyle name="Currency [2]" xfId="6" xr:uid="{00000000-0005-0000-0000-000004000000}"/>
    <cellStyle name="DateLong" xfId="54" xr:uid="{A23398B7-D9B6-4F28-8F3E-A56B26E67A06}"/>
    <cellStyle name="DateShort" xfId="55" xr:uid="{33DEA162-BF9B-4861-AE53-8BF717F2ED69}"/>
    <cellStyle name="Double" xfId="7" xr:uid="{00000000-0005-0000-0000-000005000000}"/>
    <cellStyle name="F Check NonZero" xfId="25" xr:uid="{00000000-0005-0000-0000-000006000000}"/>
    <cellStyle name="F Date(U)" xfId="24" xr:uid="{00000000-0005-0000-0000-000007000000}"/>
    <cellStyle name="F Grey-Grey" xfId="26" xr:uid="{00000000-0005-0000-0000-000008000000}"/>
    <cellStyle name="F Header" xfId="15" xr:uid="{00000000-0005-0000-0000-000009000000}"/>
    <cellStyle name="F Integrity" xfId="27" xr:uid="{00000000-0005-0000-0000-00000A000000}"/>
    <cellStyle name="F range" xfId="28" xr:uid="{00000000-0005-0000-0000-00000B000000}"/>
    <cellStyle name="F Section Header" xfId="14" xr:uid="{00000000-0005-0000-0000-00000C000000}"/>
    <cellStyle name="F Section Header 2" xfId="49" xr:uid="{18B3665B-19FF-46C4-8B82-732D8E4E6C60}"/>
    <cellStyle name="F TopHeader" xfId="12" xr:uid="{00000000-0005-0000-0000-00000D000000}"/>
    <cellStyle name="F Units" xfId="17" xr:uid="{00000000-0005-0000-0000-00000E000000}"/>
    <cellStyle name="F Wkg text" xfId="29" xr:uid="{00000000-0005-0000-0000-00000F000000}"/>
    <cellStyle name="F-A 0dp" xfId="18" xr:uid="{00000000-0005-0000-0000-000010000000}"/>
    <cellStyle name="F-A 2dp" xfId="19" xr:uid="{00000000-0005-0000-0000-000011000000}"/>
    <cellStyle name="F-A Date" xfId="22" xr:uid="{00000000-0005-0000-0000-000012000000}"/>
    <cellStyle name="F-A Date 2" xfId="46" xr:uid="{00000000-0005-0000-0000-000013000000}"/>
    <cellStyle name="F-A Fixed 0dp" xfId="23" xr:uid="{00000000-0005-0000-0000-000014000000}"/>
    <cellStyle name="F-A LinkInput" xfId="30" xr:uid="{00000000-0005-0000-0000-000015000000}"/>
    <cellStyle name="F-A OnOff" xfId="31" xr:uid="{00000000-0005-0000-0000-000016000000}"/>
    <cellStyle name="F-A Pct2dp" xfId="20" xr:uid="{00000000-0005-0000-0000-000017000000}"/>
    <cellStyle name="F-A YesNo" xfId="32" xr:uid="{00000000-0005-0000-0000-000018000000}"/>
    <cellStyle name="Factor" xfId="53" xr:uid="{CE186ABF-5B3E-4591-A7DF-C922C7DD20FF}"/>
    <cellStyle name="F-C 0dp Num" xfId="13" xr:uid="{00000000-0005-0000-0000-000019000000}"/>
    <cellStyle name="F-C 2dp Num" xfId="33" xr:uid="{00000000-0005-0000-0000-00001A000000}"/>
    <cellStyle name="F-C Bld 0dp" xfId="16" xr:uid="{00000000-0005-0000-0000-00001B000000}"/>
    <cellStyle name="F-C Date" xfId="21" xr:uid="{00000000-0005-0000-0000-00001C000000}"/>
    <cellStyle name="F-C Date 2" xfId="44" xr:uid="{00000000-0005-0000-0000-00001D000000}"/>
    <cellStyle name="F-C NoYes" xfId="34" xr:uid="{00000000-0005-0000-0000-00001E000000}"/>
    <cellStyle name="F-C OnOff" xfId="35" xr:uid="{00000000-0005-0000-0000-00001F000000}"/>
    <cellStyle name="F-C Pct 2DP" xfId="36" xr:uid="{00000000-0005-0000-0000-000020000000}"/>
    <cellStyle name="F-C Year" xfId="45" xr:uid="{00000000-0005-0000-0000-000021000000}"/>
    <cellStyle name="Fixed input" xfId="41" xr:uid="{00000000-0005-0000-0000-000022000000}"/>
    <cellStyle name="F-RowSum 0dp" xfId="37" xr:uid="{00000000-0005-0000-0000-000023000000}"/>
    <cellStyle name="Heading 1 2" xfId="38" xr:uid="{00000000-0005-0000-0000-000024000000}"/>
    <cellStyle name="Input 2" xfId="40" xr:uid="{00000000-0005-0000-0000-000025000000}"/>
    <cellStyle name="Input 3" xfId="48" xr:uid="{FBF2AAA1-25AA-4193-BE47-25FEB66D3873}"/>
    <cellStyle name="Normal" xfId="0" builtinId="0" customBuiltin="1"/>
    <cellStyle name="Normal 2" xfId="1" xr:uid="{00000000-0005-0000-0000-000027000000}"/>
    <cellStyle name="Normal 2 2" xfId="43" xr:uid="{00000000-0005-0000-0000-000028000000}"/>
    <cellStyle name="Normal 3" xfId="39" xr:uid="{00000000-0005-0000-0000-000029000000}"/>
    <cellStyle name="Normal 4" xfId="42" xr:uid="{00000000-0005-0000-0000-00002A000000}"/>
    <cellStyle name="Normal 5" xfId="51" xr:uid="{1C775B2B-0598-46C6-BD92-10F7105A3C16}"/>
    <cellStyle name="Numbers" xfId="8" xr:uid="{00000000-0005-0000-0000-00002B000000}"/>
    <cellStyle name="Numbers - Bold - Italic" xfId="9" xr:uid="{00000000-0005-0000-0000-00002C000000}"/>
    <cellStyle name="Outline" xfId="10" xr:uid="{00000000-0005-0000-0000-00002D000000}"/>
    <cellStyle name="Percent" xfId="52" builtinId="5" customBuiltin="1"/>
    <cellStyle name="Percent 2" xfId="11" xr:uid="{00000000-0005-0000-0000-00002E000000}"/>
    <cellStyle name="Year" xfId="56" xr:uid="{D31756FC-2F46-4217-81C4-E17FDC200649}"/>
  </cellStyles>
  <dxfs count="0"/>
  <tableStyles count="0" defaultTableStyle="TableStyleMedium2" defaultPivotStyle="PivotStyleLight16"/>
  <colors>
    <mruColors>
      <color rgb="FFFFD966"/>
      <color rgb="FF0000FF"/>
      <color rgb="FFFFFF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67235</xdr:colOff>
      <xdr:row>12</xdr:row>
      <xdr:rowOff>168088</xdr:rowOff>
    </xdr:from>
    <xdr:to>
      <xdr:col>4</xdr:col>
      <xdr:colOff>2375646</xdr:colOff>
      <xdr:row>16</xdr:row>
      <xdr:rowOff>11206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4C036B-C017-0BFA-D84D-A73D3573F8BF}"/>
            </a:ext>
          </a:extLst>
        </xdr:cNvPr>
        <xdr:cNvSpPr txBox="1"/>
      </xdr:nvSpPr>
      <xdr:spPr>
        <a:xfrm>
          <a:off x="571500" y="2017059"/>
          <a:ext cx="2308411" cy="560294"/>
        </a:xfrm>
        <a:prstGeom prst="rect">
          <a:avLst/>
        </a:prstGeom>
        <a:solidFill>
          <a:schemeClr val="lt1"/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de-CH" sz="800" kern="1200" baseline="0"/>
            <a:t>As oer case description, revenue in 2021 is equal to the revenue in January 2022. Given the payment terms, the last three months are modeleed only.</a:t>
          </a:r>
          <a:endParaRPr lang="en-CH" sz="800" kern="1200" baseline="0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X73" dT="2026-08-07T13:27:49.95" personId="{00000000-0000-0000-0000-000000000000}" id="{D129C725-860A-4E07-B1E9-DD545595DBE8}">
    <text>=LET(
    ingredients,        $J$9:$U$46,
    current_ingredient, $E$66#,
    current_row,        E88#,
    ingredients_list,   TRANSPOSE( CaseData!$C$39:$J$39 ),
    product_list,       CaseData!$A$40:$A$42,
    list_price,         H66#,
    product_fill,       SCAN( "", current_row, LAMBDA(carry,lbl, IF( COUNTIF( ingredients_list, lbl ) &gt; 0, lbl, carry ) ) ),
    is_ingredients_row, COUNTIF( product_list, current_row ) &gt; 0,
    kg,                 IFERROR( ingredients * XLOOKUP( current_ingredient, ingredients_list, list_price ), 0 ),
    MAKEARRAY( ROWS( current_row ), COLUMNS( kg ),
        LAMBDA(r,c,
            IF( INDEX( current_row, r, 1 ) = "", "",
                IF( INDEX( is_ingredients_row, r, 1 ),
                    SUMPRODUCT( ( product_fill = INDEX( product_fill, r, 1 ) ) * INDEX( kg, 0, c ) ),
                    INDEX( kg, r, c ) ) ) ) ) )</text>
  </threadedComment>
  <threadedComment ref="X106" dT="2026-08-07T13:27:49.95" personId="{00000000-0000-0000-0000-000000000000}" id="{482DAA7C-DEDD-4290-A25B-21D58C033154}">
    <text>=LET(
    ingredients,        $J$9:$U$46,
    current_ingredient, $E$66#,
    current_row,        E88#,
    ingredients_list,   TRANSPOSE( CaseData!$C$39:$J$39 ),
    product_list,       CaseData!$A$40:$A$42,
    list_price,         H66#,
    product_fill,       SCAN( "", current_row, LAMBDA(carry,lbl, IF( COUNTIF( ingredients_list, lbl ) &gt; 0, lbl, carry ) ) ),
    is_ingredients_row, COUNTIF( product_list, current_row ) &gt; 0,
    kg,                 IFERROR( ingredients * XLOOKUP( current_ingredient, ingredients_list, list_price ), 0 ),
    MAKEARRAY( ROWS( current_row ), COLUMNS( kg ),
        LAMBDA(r,c,
            IF( INDEX( current_row, r, 1 ) = "", "",
                IF( INDEX( is_ingredients_row, r, 1 ),
                    SUMPRODUCT( ( product_fill = INDEX( product_fill, r, 1 ) ) * INDEX( kg, 0, c ) ),
                    INDEX( kg, r, c ) ) ) ) ) )</text>
  </threadedComment>
</ThreadedComments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FB267DA3-6145-492A-9696-B7CA16F5756A}">
  <we:reference id="wa200009404" version="1.0.0.8" store="en-US" storeType="OMEX"/>
  <we:alternateReferences>
    <we:reference id="wa200009404" version="1.0.0.8" store="" storeType="OMEX"/>
  </we:alternateReferences>
  <we:properties>
    <we:property name="claude.fileId" value="&quot;f77e44bb-ca29-4ffa-a9eb-ce7f2f2283df&quot;"/>
  </we:properties>
  <we:bindings/>
  <we:snapshot xmlns:r="http://schemas.openxmlformats.org/officeDocument/2006/relationships"/>
</we:webextension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.bin"/><Relationship Id="rId4" Type="http://schemas.microsoft.com/office/2017/10/relationships/threadedComment" Target="../threadedComments/threadedComment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8AD6BE-5088-4A97-8A0A-5615AE79C6A0}">
  <sheetPr>
    <pageSetUpPr autoPageBreaks="0"/>
  </sheetPr>
  <dimension ref="A1:U45"/>
  <sheetViews>
    <sheetView showGridLines="0" tabSelected="1"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J33" sqref="J33"/>
    </sheetView>
  </sheetViews>
  <sheetFormatPr defaultRowHeight="13.8"/>
  <cols>
    <col min="1" max="1" width="1.69921875" customWidth="1"/>
    <col min="2" max="4" width="1.59765625" customWidth="1"/>
    <col min="5" max="5" width="32.19921875" customWidth="1"/>
    <col min="6" max="7" width="11.5" customWidth="1"/>
    <col min="8" max="8" width="5.69921875" customWidth="1"/>
    <col min="9" max="9" width="1.69921875" customWidth="1"/>
    <col min="10" max="21" width="11.5" customWidth="1"/>
  </cols>
  <sheetData>
    <row r="1" spans="1:21" s="55" customFormat="1">
      <c r="A1" s="55" t="str">
        <f>company</f>
        <v>Sweet Dreams Co.</v>
      </c>
    </row>
    <row r="2" spans="1:21" s="55" customFormat="1">
      <c r="A2" s="55" t="str" cm="1">
        <f t="array" ref="A2">topic</f>
        <v>CFM Topic: Working Capital</v>
      </c>
    </row>
    <row r="3" spans="1:21" s="55" customFormat="1">
      <c r="A3" s="55" t="s">
        <v>136</v>
      </c>
      <c r="F3" s="55" t="s">
        <v>55</v>
      </c>
      <c r="G3" s="55" t="s">
        <v>56</v>
      </c>
      <c r="H3" s="55" t="s">
        <v>5</v>
      </c>
      <c r="J3" s="58" cm="1">
        <f t="array" ref="J3:U3" xml:space="preserve"> EOMONTH( start_date, _xlfn.SEQUENCE( 1, periods, 0, 1 ) )</f>
        <v>44592</v>
      </c>
      <c r="K3" s="58">
        <v>44620</v>
      </c>
      <c r="L3" s="58">
        <v>44651</v>
      </c>
      <c r="M3" s="58">
        <v>44681</v>
      </c>
      <c r="N3" s="58">
        <v>44712</v>
      </c>
      <c r="O3" s="58">
        <v>44742</v>
      </c>
      <c r="P3" s="58">
        <v>44773</v>
      </c>
      <c r="Q3" s="58">
        <v>44804</v>
      </c>
      <c r="R3" s="58">
        <v>44834</v>
      </c>
      <c r="S3" s="58">
        <v>44865</v>
      </c>
      <c r="T3" s="58">
        <v>44895</v>
      </c>
      <c r="U3" s="58">
        <v>44926</v>
      </c>
    </row>
    <row r="5" spans="1:21" s="56" customFormat="1">
      <c r="A5" s="57" t="s">
        <v>138</v>
      </c>
    </row>
    <row r="8" spans="1:21">
      <c r="E8" s="101" t="s">
        <v>137</v>
      </c>
      <c r="F8" s="101"/>
      <c r="G8" s="101" t="s">
        <v>81</v>
      </c>
      <c r="H8" s="101"/>
      <c r="I8" s="100"/>
      <c r="J8" cm="1">
        <f t="array" ref="J8:U8">_xlfn.ANCHORARRAY('Accounts Receivables'!J103)</f>
        <v>1177500</v>
      </c>
      <c r="K8">
        <v>1221863</v>
      </c>
      <c r="L8">
        <v>1307818.5</v>
      </c>
      <c r="M8">
        <v>1416863.5</v>
      </c>
      <c r="N8">
        <v>1523910</v>
      </c>
      <c r="O8">
        <v>1630955</v>
      </c>
      <c r="P8">
        <v>1736000.5</v>
      </c>
      <c r="Q8">
        <v>1846043.5</v>
      </c>
      <c r="R8">
        <v>1952091</v>
      </c>
      <c r="S8">
        <v>2059136</v>
      </c>
      <c r="T8">
        <v>2164182.5</v>
      </c>
      <c r="U8">
        <v>2274227.5</v>
      </c>
    </row>
    <row r="9" spans="1:21">
      <c r="E9" t="s">
        <v>135</v>
      </c>
      <c r="G9" t="s">
        <v>81</v>
      </c>
      <c r="J9" cm="1">
        <f t="array" ref="J9:U9">_xlfn.ANCHORARRAY(Inventory!J128)</f>
        <v>64959.044346545874</v>
      </c>
      <c r="K9">
        <v>70608.896137850621</v>
      </c>
      <c r="L9">
        <v>76154.322254640661</v>
      </c>
      <c r="M9">
        <v>81489.401602177997</v>
      </c>
      <c r="N9">
        <v>87033.586112483375</v>
      </c>
      <c r="O9">
        <v>92370.663390124348</v>
      </c>
      <c r="P9">
        <v>97912.640262683039</v>
      </c>
      <c r="Q9">
        <v>103039.81299904702</v>
      </c>
      <c r="R9">
        <v>108792.00591404336</v>
      </c>
      <c r="S9">
        <v>113925.50645459862</v>
      </c>
      <c r="T9">
        <v>119671.26977188603</v>
      </c>
      <c r="U9">
        <v>119671.26977188603</v>
      </c>
    </row>
    <row r="10" spans="1:21">
      <c r="E10" t="s">
        <v>110</v>
      </c>
      <c r="G10" t="s">
        <v>81</v>
      </c>
      <c r="J10" cm="1">
        <f t="array" ref="J10:U10">_xlfn.ANCHORARRAY( 'Accounts Payable'!J151)</f>
        <v>155978.29691579624</v>
      </c>
      <c r="K10">
        <v>169502.84348793526</v>
      </c>
      <c r="L10">
        <v>183521.60627846562</v>
      </c>
      <c r="M10">
        <v>197908.02276459057</v>
      </c>
      <c r="N10">
        <v>211399.21835950937</v>
      </c>
      <c r="O10">
        <v>225781.25087838757</v>
      </c>
      <c r="P10">
        <v>239281.40574831673</v>
      </c>
      <c r="Q10">
        <v>253531.87011891129</v>
      </c>
      <c r="R10">
        <v>267117.11882356065</v>
      </c>
      <c r="S10">
        <v>281407.66726302123</v>
      </c>
      <c r="T10">
        <v>295000.20420418761</v>
      </c>
      <c r="U10">
        <v>306591.68514837354</v>
      </c>
    </row>
    <row r="12" spans="1:21">
      <c r="E12" s="75" t="s">
        <v>138</v>
      </c>
      <c r="F12" s="75"/>
      <c r="G12" s="75" t="s">
        <v>81</v>
      </c>
      <c r="H12" s="75"/>
      <c r="I12" s="75"/>
      <c r="J12" s="75" cm="1">
        <f t="array" ref="J12:U12">_xlfn.ANCHORARRAY( J8) +_xlfn.ANCHORARRAY( J9) -_xlfn.ANCHORARRAY( J10)</f>
        <v>1086480.7474307497</v>
      </c>
      <c r="K12" s="75">
        <v>1122969.0526499152</v>
      </c>
      <c r="L12" s="75">
        <v>1200451.2159761752</v>
      </c>
      <c r="M12" s="75">
        <v>1300444.8788375873</v>
      </c>
      <c r="N12" s="75">
        <v>1399544.3677529739</v>
      </c>
      <c r="O12" s="75">
        <v>1497544.4125117369</v>
      </c>
      <c r="P12" s="75">
        <v>1594631.7345143661</v>
      </c>
      <c r="Q12" s="75">
        <v>1695551.4428801357</v>
      </c>
      <c r="R12" s="75">
        <v>1793765.8870904827</v>
      </c>
      <c r="S12" s="75">
        <v>1891653.8391915774</v>
      </c>
      <c r="T12" s="75">
        <v>1988853.5655676983</v>
      </c>
      <c r="U12" s="75">
        <v>2087307.0846235126</v>
      </c>
    </row>
    <row r="45" spans="1:1" s="56" customFormat="1">
      <c r="A45" s="57" t="s">
        <v>54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85" orientation="landscape" r:id="rId1"/>
  <headerFooter>
    <oddFooter>&amp;L&amp;"Arial,Regular"Financial Modeling Institute
CFM October 2026&amp;C&amp;"Arial,Regular"Page &amp;P of &amp;N&amp;R&amp;"Arial,Regular"&amp;D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596FD18-F423-442F-8F5A-C4A0BE2D06E0}">
  <sheetPr>
    <pageSetUpPr autoPageBreaks="0" fitToPage="1"/>
  </sheetPr>
  <dimension ref="A1:U178"/>
  <sheetViews>
    <sheetView showGridLines="0"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M157" sqref="M157"/>
    </sheetView>
  </sheetViews>
  <sheetFormatPr defaultRowHeight="13.8"/>
  <cols>
    <col min="1" max="1" width="1.69921875" customWidth="1"/>
    <col min="2" max="4" width="1.59765625" customWidth="1"/>
    <col min="5" max="5" width="32.19921875" customWidth="1"/>
    <col min="6" max="7" width="11.5" customWidth="1"/>
    <col min="8" max="8" width="5.69921875" customWidth="1"/>
    <col min="9" max="9" width="1.59765625" customWidth="1"/>
    <col min="10" max="21" width="11.5" customWidth="1"/>
  </cols>
  <sheetData>
    <row r="1" spans="1:21" s="55" customFormat="1">
      <c r="A1" s="94" t="str">
        <f>company</f>
        <v>Sweet Dreams Co.</v>
      </c>
    </row>
    <row r="2" spans="1:21" s="55" customFormat="1">
      <c r="A2" s="94" t="str" cm="1">
        <f t="array" ref="A2">topic</f>
        <v>CFM Topic: Working Capital</v>
      </c>
    </row>
    <row r="3" spans="1:21" s="55" customFormat="1">
      <c r="A3" s="94" t="s">
        <v>109</v>
      </c>
      <c r="F3" s="55" t="s">
        <v>55</v>
      </c>
      <c r="G3" s="55" t="s">
        <v>56</v>
      </c>
      <c r="H3" s="55" t="s">
        <v>5</v>
      </c>
      <c r="J3" s="58" cm="1">
        <f t="array" ref="J3:U3" xml:space="preserve"> EOMONTH( start_date, _xlfn.SEQUENCE( 1, periods, 0, 1 ) )</f>
        <v>44592</v>
      </c>
      <c r="K3" s="58">
        <v>44620</v>
      </c>
      <c r="L3" s="58">
        <v>44651</v>
      </c>
      <c r="M3" s="58">
        <v>44681</v>
      </c>
      <c r="N3" s="58">
        <v>44712</v>
      </c>
      <c r="O3" s="58">
        <v>44742</v>
      </c>
      <c r="P3" s="58">
        <v>44773</v>
      </c>
      <c r="Q3" s="58">
        <v>44804</v>
      </c>
      <c r="R3" s="58">
        <v>44834</v>
      </c>
      <c r="S3" s="58">
        <v>44865</v>
      </c>
      <c r="T3" s="58">
        <v>44895</v>
      </c>
      <c r="U3" s="58">
        <v>44926</v>
      </c>
    </row>
    <row r="5" spans="1:21" s="56" customFormat="1">
      <c r="A5" s="57" t="s">
        <v>110</v>
      </c>
    </row>
    <row r="6" spans="1:21" s="66" customFormat="1">
      <c r="A6" s="65"/>
    </row>
    <row r="7" spans="1:21" s="66" customFormat="1">
      <c r="A7" s="65"/>
      <c r="B7" s="65" t="s">
        <v>73</v>
      </c>
    </row>
    <row r="8" spans="1:21" s="66" customFormat="1">
      <c r="A8" s="65"/>
    </row>
    <row r="9" spans="1:21">
      <c r="C9" s="76" t="s">
        <v>19</v>
      </c>
    </row>
    <row r="11" spans="1:21">
      <c r="E11" t="s">
        <v>62</v>
      </c>
      <c r="F11" s="67">
        <f>INDEX( CaseData!$L$26:$L$30, MATCH( $C9, CaseData!$I$26:$I$30, 0 ) ) / days_per_month</f>
        <v>0.5</v>
      </c>
      <c r="G11" t="s">
        <v>50</v>
      </c>
    </row>
    <row r="12" spans="1:21">
      <c r="F12" s="61"/>
    </row>
    <row r="13" spans="1:21">
      <c r="F13" s="63" t="s">
        <v>63</v>
      </c>
      <c r="G13" s="64" t="s">
        <v>114</v>
      </c>
      <c r="J13" s="80" cm="1">
        <f t="array" ref="J13:U13">_xlfn.SEQUENCE( 1, periods, 1, 1 )</f>
        <v>1</v>
      </c>
      <c r="K13" s="80">
        <v>2</v>
      </c>
      <c r="L13" s="80">
        <v>3</v>
      </c>
      <c r="M13" s="80">
        <v>4</v>
      </c>
      <c r="N13" s="80">
        <v>5</v>
      </c>
      <c r="O13" s="80">
        <v>6</v>
      </c>
      <c r="P13" s="80">
        <v>7</v>
      </c>
      <c r="Q13" s="80">
        <v>8</v>
      </c>
      <c r="R13" s="80">
        <v>9</v>
      </c>
      <c r="S13" s="80">
        <v>10</v>
      </c>
      <c r="T13" s="80">
        <v>11</v>
      </c>
      <c r="U13" s="80">
        <v>12</v>
      </c>
    </row>
    <row r="14" spans="1:21" s="66" customFormat="1">
      <c r="A14" s="65"/>
      <c r="F14" s="56">
        <f xml:space="preserve"> $F15 - 1</f>
        <v>0</v>
      </c>
      <c r="G14" s="66">
        <f xml:space="preserve"> INDEX( CaseData!$M$26:$M$30, MATCH( $C9, CaseData!$I$26:$I$30, 0 ) )</f>
        <v>75000</v>
      </c>
      <c r="J14" s="95" cm="1">
        <f t="array" ref="J14:U26">IF(_xlfn.ANCHORARRAY( J13) - $F14:$F26 &lt; 0, 0, IF(_xlfn.ANCHORARRAY( J13) - $F14:$F26 &lt; INT($F11), 1, IF(_xlfn.ANCHORARRAY( J13) - $F14:$F26 &lt; $F11, MOD($F11, 1), 0 ) ) )</f>
        <v>0</v>
      </c>
      <c r="K14" s="95">
        <v>0</v>
      </c>
      <c r="L14" s="95">
        <v>0</v>
      </c>
      <c r="M14" s="95">
        <v>0</v>
      </c>
      <c r="N14" s="95">
        <v>0</v>
      </c>
      <c r="O14" s="95">
        <v>0</v>
      </c>
      <c r="P14" s="95">
        <v>0</v>
      </c>
      <c r="Q14" s="95">
        <v>0</v>
      </c>
      <c r="R14" s="95">
        <v>0</v>
      </c>
      <c r="S14" s="95">
        <v>0</v>
      </c>
      <c r="T14" s="95">
        <v>0</v>
      </c>
      <c r="U14" s="95">
        <v>0</v>
      </c>
    </row>
    <row r="15" spans="1:21">
      <c r="F15" cm="1">
        <f t="array" ref="F15:F26" xml:space="preserve"> _xlfn.SEQUENCE( periods, 1, 1, 1 )</f>
        <v>1</v>
      </c>
      <c r="G15" cm="1">
        <f t="array" ref="G15:G26" xml:space="preserve"> _xlfn.LET(
      _xlpm.purchase_orders,_xlfn.ANCHORARRAY(   'Purchasing Plan'!$J$99),
      _xlpm.suppliers,_xlfn.ANCHORARRAY(         'Purchasing Plan'!$E$99),
      _xlpm.current_supplier,  $C9,
      _xlpm.zero_row,          _xlfn.SEQUENCE( 1, COLUMNS( _xlpm.purchase_orders ), 0, 0 ),
      IFERROR(
        TRANSPOSE( INDEX( _xlpm.purchase_orders, MATCH( _xlpm.current_supplier, _xlpm.suppliers, 0 ), 0 ) ),
        TRANSPOSE( _xlpm.zero_row ) ) )</f>
        <v>0</v>
      </c>
      <c r="J15" s="96">
        <v>0.5</v>
      </c>
      <c r="K15" s="96">
        <v>0</v>
      </c>
      <c r="L15" s="96">
        <v>0</v>
      </c>
      <c r="M15" s="96">
        <v>0</v>
      </c>
      <c r="N15" s="96">
        <v>0</v>
      </c>
      <c r="O15" s="96">
        <v>0</v>
      </c>
      <c r="P15" s="96">
        <v>0</v>
      </c>
      <c r="Q15" s="96">
        <v>0</v>
      </c>
      <c r="R15" s="96">
        <v>0</v>
      </c>
      <c r="S15" s="96">
        <v>0</v>
      </c>
      <c r="T15" s="96">
        <v>0</v>
      </c>
      <c r="U15" s="96">
        <v>0</v>
      </c>
    </row>
    <row r="16" spans="1:21">
      <c r="F16">
        <v>2</v>
      </c>
      <c r="G16">
        <v>0</v>
      </c>
      <c r="J16" s="96">
        <v>0</v>
      </c>
      <c r="K16" s="96">
        <v>0.5</v>
      </c>
      <c r="L16" s="96">
        <v>0</v>
      </c>
      <c r="M16" s="96">
        <v>0</v>
      </c>
      <c r="N16" s="96">
        <v>0</v>
      </c>
      <c r="O16" s="96">
        <v>0</v>
      </c>
      <c r="P16" s="96">
        <v>0</v>
      </c>
      <c r="Q16" s="96">
        <v>0</v>
      </c>
      <c r="R16" s="96">
        <v>0</v>
      </c>
      <c r="S16" s="96">
        <v>0</v>
      </c>
      <c r="T16" s="96">
        <v>0</v>
      </c>
      <c r="U16" s="96">
        <v>0</v>
      </c>
    </row>
    <row r="17" spans="5:21">
      <c r="F17">
        <v>3</v>
      </c>
      <c r="G17">
        <v>0</v>
      </c>
      <c r="J17" s="96">
        <v>0</v>
      </c>
      <c r="K17" s="96">
        <v>0</v>
      </c>
      <c r="L17" s="96">
        <v>0.5</v>
      </c>
      <c r="M17" s="96">
        <v>0</v>
      </c>
      <c r="N17" s="96">
        <v>0</v>
      </c>
      <c r="O17" s="96">
        <v>0</v>
      </c>
      <c r="P17" s="96">
        <v>0</v>
      </c>
      <c r="Q17" s="96">
        <v>0</v>
      </c>
      <c r="R17" s="96">
        <v>0</v>
      </c>
      <c r="S17" s="96">
        <v>0</v>
      </c>
      <c r="T17" s="96">
        <v>0</v>
      </c>
      <c r="U17" s="96">
        <v>0</v>
      </c>
    </row>
    <row r="18" spans="5:21">
      <c r="F18">
        <v>4</v>
      </c>
      <c r="G18">
        <v>0</v>
      </c>
      <c r="J18" s="96">
        <v>0</v>
      </c>
      <c r="K18" s="96">
        <v>0</v>
      </c>
      <c r="L18" s="96">
        <v>0</v>
      </c>
      <c r="M18" s="96">
        <v>0.5</v>
      </c>
      <c r="N18" s="96">
        <v>0</v>
      </c>
      <c r="O18" s="96">
        <v>0</v>
      </c>
      <c r="P18" s="96">
        <v>0</v>
      </c>
      <c r="Q18" s="96">
        <v>0</v>
      </c>
      <c r="R18" s="96">
        <v>0</v>
      </c>
      <c r="S18" s="96">
        <v>0</v>
      </c>
      <c r="T18" s="96">
        <v>0</v>
      </c>
      <c r="U18" s="96">
        <v>0</v>
      </c>
    </row>
    <row r="19" spans="5:21">
      <c r="F19">
        <v>5</v>
      </c>
      <c r="G19">
        <v>0</v>
      </c>
      <c r="J19" s="96">
        <v>0</v>
      </c>
      <c r="K19" s="96">
        <v>0</v>
      </c>
      <c r="L19" s="96">
        <v>0</v>
      </c>
      <c r="M19" s="96">
        <v>0</v>
      </c>
      <c r="N19" s="96">
        <v>0.5</v>
      </c>
      <c r="O19" s="96">
        <v>0</v>
      </c>
      <c r="P19" s="96">
        <v>0</v>
      </c>
      <c r="Q19" s="96">
        <v>0</v>
      </c>
      <c r="R19" s="96">
        <v>0</v>
      </c>
      <c r="S19" s="96">
        <v>0</v>
      </c>
      <c r="T19" s="96">
        <v>0</v>
      </c>
      <c r="U19" s="96">
        <v>0</v>
      </c>
    </row>
    <row r="20" spans="5:21">
      <c r="F20">
        <v>6</v>
      </c>
      <c r="G20">
        <v>0</v>
      </c>
      <c r="J20" s="96">
        <v>0</v>
      </c>
      <c r="K20" s="96">
        <v>0</v>
      </c>
      <c r="L20" s="96">
        <v>0</v>
      </c>
      <c r="M20" s="96">
        <v>0</v>
      </c>
      <c r="N20" s="96">
        <v>0</v>
      </c>
      <c r="O20" s="96">
        <v>0.5</v>
      </c>
      <c r="P20" s="96">
        <v>0</v>
      </c>
      <c r="Q20" s="96">
        <v>0</v>
      </c>
      <c r="R20" s="96">
        <v>0</v>
      </c>
      <c r="S20" s="96">
        <v>0</v>
      </c>
      <c r="T20" s="96">
        <v>0</v>
      </c>
      <c r="U20" s="96">
        <v>0</v>
      </c>
    </row>
    <row r="21" spans="5:21">
      <c r="F21">
        <v>7</v>
      </c>
      <c r="G21">
        <v>0</v>
      </c>
      <c r="J21" s="96">
        <v>0</v>
      </c>
      <c r="K21" s="96">
        <v>0</v>
      </c>
      <c r="L21" s="96">
        <v>0</v>
      </c>
      <c r="M21" s="96">
        <v>0</v>
      </c>
      <c r="N21" s="96">
        <v>0</v>
      </c>
      <c r="O21" s="96">
        <v>0</v>
      </c>
      <c r="P21" s="96">
        <v>0.5</v>
      </c>
      <c r="Q21" s="96">
        <v>0</v>
      </c>
      <c r="R21" s="96">
        <v>0</v>
      </c>
      <c r="S21" s="96">
        <v>0</v>
      </c>
      <c r="T21" s="96">
        <v>0</v>
      </c>
      <c r="U21" s="96">
        <v>0</v>
      </c>
    </row>
    <row r="22" spans="5:21">
      <c r="F22">
        <v>8</v>
      </c>
      <c r="G22">
        <v>0</v>
      </c>
      <c r="J22" s="96">
        <v>0</v>
      </c>
      <c r="K22" s="96">
        <v>0</v>
      </c>
      <c r="L22" s="96">
        <v>0</v>
      </c>
      <c r="M22" s="96">
        <v>0</v>
      </c>
      <c r="N22" s="96">
        <v>0</v>
      </c>
      <c r="O22" s="96">
        <v>0</v>
      </c>
      <c r="P22" s="96">
        <v>0</v>
      </c>
      <c r="Q22" s="96">
        <v>0.5</v>
      </c>
      <c r="R22" s="96">
        <v>0</v>
      </c>
      <c r="S22" s="96">
        <v>0</v>
      </c>
      <c r="T22" s="96">
        <v>0</v>
      </c>
      <c r="U22" s="96">
        <v>0</v>
      </c>
    </row>
    <row r="23" spans="5:21">
      <c r="F23">
        <v>9</v>
      </c>
      <c r="G23">
        <v>0</v>
      </c>
      <c r="J23" s="96">
        <v>0</v>
      </c>
      <c r="K23" s="96">
        <v>0</v>
      </c>
      <c r="L23" s="96">
        <v>0</v>
      </c>
      <c r="M23" s="96">
        <v>0</v>
      </c>
      <c r="N23" s="96">
        <v>0</v>
      </c>
      <c r="O23" s="96">
        <v>0</v>
      </c>
      <c r="P23" s="96">
        <v>0</v>
      </c>
      <c r="Q23" s="96">
        <v>0</v>
      </c>
      <c r="R23" s="96">
        <v>0.5</v>
      </c>
      <c r="S23" s="96">
        <v>0</v>
      </c>
      <c r="T23" s="96">
        <v>0</v>
      </c>
      <c r="U23" s="96">
        <v>0</v>
      </c>
    </row>
    <row r="24" spans="5:21">
      <c r="F24">
        <v>10</v>
      </c>
      <c r="G24">
        <v>0</v>
      </c>
      <c r="J24" s="96">
        <v>0</v>
      </c>
      <c r="K24" s="96">
        <v>0</v>
      </c>
      <c r="L24" s="96">
        <v>0</v>
      </c>
      <c r="M24" s="96">
        <v>0</v>
      </c>
      <c r="N24" s="96">
        <v>0</v>
      </c>
      <c r="O24" s="96">
        <v>0</v>
      </c>
      <c r="P24" s="96">
        <v>0</v>
      </c>
      <c r="Q24" s="96">
        <v>0</v>
      </c>
      <c r="R24" s="96">
        <v>0</v>
      </c>
      <c r="S24" s="96">
        <v>0.5</v>
      </c>
      <c r="T24" s="96">
        <v>0</v>
      </c>
      <c r="U24" s="96">
        <v>0</v>
      </c>
    </row>
    <row r="25" spans="5:21">
      <c r="F25">
        <v>11</v>
      </c>
      <c r="G25">
        <v>0</v>
      </c>
      <c r="J25" s="96">
        <v>0</v>
      </c>
      <c r="K25" s="96">
        <v>0</v>
      </c>
      <c r="L25" s="96">
        <v>0</v>
      </c>
      <c r="M25" s="96">
        <v>0</v>
      </c>
      <c r="N25" s="96">
        <v>0</v>
      </c>
      <c r="O25" s="96">
        <v>0</v>
      </c>
      <c r="P25" s="96">
        <v>0</v>
      </c>
      <c r="Q25" s="96">
        <v>0</v>
      </c>
      <c r="R25" s="96">
        <v>0</v>
      </c>
      <c r="S25" s="96">
        <v>0</v>
      </c>
      <c r="T25" s="96">
        <v>0.5</v>
      </c>
      <c r="U25" s="96">
        <v>0</v>
      </c>
    </row>
    <row r="26" spans="5:21">
      <c r="F26">
        <v>12</v>
      </c>
      <c r="G26">
        <v>0</v>
      </c>
      <c r="J26" s="96">
        <v>0</v>
      </c>
      <c r="K26" s="96">
        <v>0</v>
      </c>
      <c r="L26" s="96">
        <v>0</v>
      </c>
      <c r="M26" s="96">
        <v>0</v>
      </c>
      <c r="N26" s="96">
        <v>0</v>
      </c>
      <c r="O26" s="96">
        <v>0</v>
      </c>
      <c r="P26" s="96">
        <v>0</v>
      </c>
      <c r="Q26" s="96">
        <v>0</v>
      </c>
      <c r="R26" s="96">
        <v>0</v>
      </c>
      <c r="S26" s="96">
        <v>0</v>
      </c>
      <c r="T26" s="96">
        <v>0</v>
      </c>
      <c r="U26" s="96">
        <v>0.5</v>
      </c>
    </row>
    <row r="27" spans="5:21">
      <c r="E27" s="72" t="s">
        <v>111</v>
      </c>
      <c r="F27" s="73"/>
      <c r="G27" s="73"/>
      <c r="H27" s="73"/>
      <c r="I27" s="73"/>
      <c r="J27" s="73" cm="1">
        <f t="array" ref="J27:U27">_xlfn.BYCOL(_xlfn.ANCHORARRAY( J14), _xlfn.LAMBDA(_xlpm.month_col, SUMPRODUCT( $G14:$G26, _xlpm.month_col ) ) )</f>
        <v>0</v>
      </c>
      <c r="K27" s="73">
        <v>0</v>
      </c>
      <c r="L27" s="73">
        <v>0</v>
      </c>
      <c r="M27" s="73">
        <v>0</v>
      </c>
      <c r="N27" s="73">
        <v>0</v>
      </c>
      <c r="O27" s="73">
        <v>0</v>
      </c>
      <c r="P27" s="73">
        <v>0</v>
      </c>
      <c r="Q27" s="73">
        <v>0</v>
      </c>
      <c r="R27" s="73">
        <v>0</v>
      </c>
      <c r="S27" s="73">
        <v>0</v>
      </c>
      <c r="T27" s="73">
        <v>0</v>
      </c>
      <c r="U27" s="73">
        <v>0</v>
      </c>
    </row>
    <row r="30" spans="5:21">
      <c r="E30" t="s">
        <v>112</v>
      </c>
      <c r="G30" t="s">
        <v>81</v>
      </c>
      <c r="J30" cm="1">
        <f t="array" ref="J30:U30" xml:space="preserve"> _xlfn.DROP( _xlfn.HSTACK( $G14,_xlfn.ANCHORARRAY( J33) ),, - 1 )</f>
        <v>75000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5:21">
      <c r="E31" s="70" t="s">
        <v>115</v>
      </c>
      <c r="G31" t="s">
        <v>81</v>
      </c>
      <c r="J31" cm="1">
        <f t="array" ref="J31:U31" xml:space="preserve"> TRANSPOSE(_xlfn.ANCHORARRAY( $G15) )</f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</row>
    <row r="32" spans="5:21">
      <c r="E32" s="70" t="s">
        <v>122</v>
      </c>
      <c r="G32" t="s">
        <v>81</v>
      </c>
      <c r="J32" cm="1">
        <f t="array" ref="J32:U32" xml:space="preserve"> _xlfn.LET(
      _xlpm.ap_opening,_xlfn.ANCHORARRAY(   J30),
      _xlpm.po,_xlfn.ANCHORARRAY(           J31),
      _xlpm.ap_closing,_xlfn.ANCHORARRAY(   J33),
      ( _xlpm.ap_opening + _xlpm.po - _xlpm.ap_closing ) * - 1 )</f>
        <v>-75000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1:21">
      <c r="E33" s="74" t="s">
        <v>113</v>
      </c>
      <c r="F33" s="75"/>
      <c r="G33" s="75" t="s">
        <v>81</v>
      </c>
      <c r="H33" s="75"/>
      <c r="I33" s="75"/>
      <c r="J33" s="73" cm="1">
        <f t="array" ref="J33:U33">_xlfn.ANCHORARRAY( J27)</f>
        <v>0</v>
      </c>
      <c r="K33" s="73">
        <v>0</v>
      </c>
      <c r="L33" s="73">
        <v>0</v>
      </c>
      <c r="M33" s="73">
        <v>0</v>
      </c>
      <c r="N33" s="73">
        <v>0</v>
      </c>
      <c r="O33" s="73">
        <v>0</v>
      </c>
      <c r="P33" s="73">
        <v>0</v>
      </c>
      <c r="Q33" s="73">
        <v>0</v>
      </c>
      <c r="R33" s="73">
        <v>0</v>
      </c>
      <c r="S33" s="73">
        <v>0</v>
      </c>
      <c r="T33" s="73">
        <v>0</v>
      </c>
      <c r="U33" s="73">
        <v>0</v>
      </c>
    </row>
    <row r="36" spans="1:21">
      <c r="C36" s="76" t="s">
        <v>20</v>
      </c>
    </row>
    <row r="38" spans="1:21">
      <c r="E38" t="s">
        <v>62</v>
      </c>
      <c r="F38" s="67">
        <f>INDEX( CaseData!$L$26:$L$30, MATCH( $C36, CaseData!$I$26:$I$30, 0 ) ) / days_per_month</f>
        <v>1</v>
      </c>
      <c r="G38" t="s">
        <v>50</v>
      </c>
    </row>
    <row r="39" spans="1:21">
      <c r="F39" s="61"/>
    </row>
    <row r="40" spans="1:21">
      <c r="F40" s="63" t="s">
        <v>63</v>
      </c>
      <c r="G40" s="64" t="s">
        <v>114</v>
      </c>
      <c r="J40" s="80" cm="1">
        <f t="array" ref="J40:U40">_xlfn.SEQUENCE( 1, periods, 1, 1 )</f>
        <v>1</v>
      </c>
      <c r="K40" s="80">
        <v>2</v>
      </c>
      <c r="L40" s="80">
        <v>3</v>
      </c>
      <c r="M40" s="80">
        <v>4</v>
      </c>
      <c r="N40" s="80">
        <v>5</v>
      </c>
      <c r="O40" s="80">
        <v>6</v>
      </c>
      <c r="P40" s="80">
        <v>7</v>
      </c>
      <c r="Q40" s="80">
        <v>8</v>
      </c>
      <c r="R40" s="80">
        <v>9</v>
      </c>
      <c r="S40" s="80">
        <v>10</v>
      </c>
      <c r="T40" s="80">
        <v>11</v>
      </c>
      <c r="U40" s="80">
        <v>12</v>
      </c>
    </row>
    <row r="41" spans="1:21" s="66" customFormat="1">
      <c r="A41" s="65"/>
      <c r="F41" s="56">
        <f xml:space="preserve"> $F42 - 1</f>
        <v>0</v>
      </c>
      <c r="G41" s="66">
        <f xml:space="preserve"> INDEX( CaseData!$M$26:$M$30, MATCH( $C36, CaseData!$I$26:$I$30, 0 ) )</f>
        <v>0</v>
      </c>
      <c r="J41" s="97" cm="1">
        <f t="array" ref="J41:U53">IF(_xlfn.ANCHORARRAY( J40) - $F41:$F53 &lt; 0, 0, IF(_xlfn.ANCHORARRAY( J40) - $F41:$F53 &lt; INT($F38), 1, IF(_xlfn.ANCHORARRAY( J40) - $F41:$F53 &lt; $F38, MOD($F38, 1), 0 ) ) )</f>
        <v>0</v>
      </c>
      <c r="K41" s="97">
        <v>0</v>
      </c>
      <c r="L41" s="97">
        <v>0</v>
      </c>
      <c r="M41" s="97">
        <v>0</v>
      </c>
      <c r="N41" s="97">
        <v>0</v>
      </c>
      <c r="O41" s="97">
        <v>0</v>
      </c>
      <c r="P41" s="97">
        <v>0</v>
      </c>
      <c r="Q41" s="97">
        <v>0</v>
      </c>
      <c r="R41" s="97">
        <v>0</v>
      </c>
      <c r="S41" s="97">
        <v>0</v>
      </c>
      <c r="T41" s="97">
        <v>0</v>
      </c>
      <c r="U41" s="97">
        <v>0</v>
      </c>
    </row>
    <row r="42" spans="1:21">
      <c r="F42" cm="1">
        <f t="array" ref="F42:F53" xml:space="preserve"> _xlfn.SEQUENCE( periods, 1, 1, 1 )</f>
        <v>1</v>
      </c>
      <c r="G42" cm="1">
        <f t="array" ref="G42:G53" xml:space="preserve"> _xlfn.LET(
      _xlpm.purchase_orders,_xlfn.ANCHORARRAY(   'Purchasing Plan'!$J$99),
      _xlpm.suppliers,_xlfn.ANCHORARRAY(         'Purchasing Plan'!$E$99),
      _xlpm.current_supplier,  $C36,
      _xlpm.zero_row,          _xlfn.SEQUENCE( 1, COLUMNS( _xlpm.purchase_orders ), 0, 0 ),
      IFERROR(
        TRANSPOSE( INDEX( _xlpm.purchase_orders, MATCH( _xlpm.current_supplier, _xlpm.suppliers, 0 ), 0 ) ),
        TRANSPOSE( _xlpm.zero_row ) ) )</f>
        <v>75542.090698385</v>
      </c>
      <c r="J42" s="61">
        <v>1</v>
      </c>
      <c r="K42" s="61">
        <v>0</v>
      </c>
      <c r="L42" s="61">
        <v>0</v>
      </c>
      <c r="M42" s="61">
        <v>0</v>
      </c>
      <c r="N42" s="61">
        <v>0</v>
      </c>
      <c r="O42" s="61">
        <v>0</v>
      </c>
      <c r="P42" s="61">
        <v>0</v>
      </c>
      <c r="Q42" s="61">
        <v>0</v>
      </c>
      <c r="R42" s="61">
        <v>0</v>
      </c>
      <c r="S42" s="61">
        <v>0</v>
      </c>
      <c r="T42" s="61">
        <v>0</v>
      </c>
      <c r="U42" s="61">
        <v>0</v>
      </c>
    </row>
    <row r="43" spans="1:21">
      <c r="F43">
        <v>2</v>
      </c>
      <c r="G43">
        <v>82056.489407851521</v>
      </c>
      <c r="J43" s="61">
        <v>0</v>
      </c>
      <c r="K43" s="61">
        <v>1</v>
      </c>
      <c r="L43" s="61">
        <v>0</v>
      </c>
      <c r="M43" s="61">
        <v>0</v>
      </c>
      <c r="N43" s="61">
        <v>0</v>
      </c>
      <c r="O43" s="61">
        <v>0</v>
      </c>
      <c r="P43" s="61">
        <v>0</v>
      </c>
      <c r="Q43" s="61">
        <v>0</v>
      </c>
      <c r="R43" s="61">
        <v>0</v>
      </c>
      <c r="S43" s="61">
        <v>0</v>
      </c>
      <c r="T43" s="61">
        <v>0</v>
      </c>
      <c r="U43" s="61">
        <v>0</v>
      </c>
    </row>
    <row r="44" spans="1:21">
      <c r="F44">
        <v>3</v>
      </c>
      <c r="G44">
        <v>88960.501735654063</v>
      </c>
      <c r="J44" s="61">
        <v>0</v>
      </c>
      <c r="K44" s="61">
        <v>0</v>
      </c>
      <c r="L44" s="61">
        <v>1</v>
      </c>
      <c r="M44" s="61">
        <v>0</v>
      </c>
      <c r="N44" s="61">
        <v>0</v>
      </c>
      <c r="O44" s="61">
        <v>0</v>
      </c>
      <c r="P44" s="61">
        <v>0</v>
      </c>
      <c r="Q44" s="61">
        <v>0</v>
      </c>
      <c r="R44" s="61">
        <v>0</v>
      </c>
      <c r="S44" s="61">
        <v>0</v>
      </c>
      <c r="T44" s="61">
        <v>0</v>
      </c>
      <c r="U44" s="61">
        <v>0</v>
      </c>
    </row>
    <row r="45" spans="1:21">
      <c r="F45">
        <v>4</v>
      </c>
      <c r="G45">
        <v>95851.232301521726</v>
      </c>
      <c r="J45" s="61">
        <v>0</v>
      </c>
      <c r="K45" s="61">
        <v>0</v>
      </c>
      <c r="L45" s="61">
        <v>0</v>
      </c>
      <c r="M45" s="61">
        <v>1</v>
      </c>
      <c r="N45" s="61">
        <v>0</v>
      </c>
      <c r="O45" s="61">
        <v>0</v>
      </c>
      <c r="P45" s="61">
        <v>0</v>
      </c>
      <c r="Q45" s="61">
        <v>0</v>
      </c>
      <c r="R45" s="61">
        <v>0</v>
      </c>
      <c r="S45" s="61">
        <v>0</v>
      </c>
      <c r="T45" s="61">
        <v>0</v>
      </c>
      <c r="U45" s="61">
        <v>0</v>
      </c>
    </row>
    <row r="46" spans="1:21">
      <c r="F46">
        <v>5</v>
      </c>
      <c r="G46">
        <v>102444.86043725623</v>
      </c>
      <c r="J46" s="61">
        <v>0</v>
      </c>
      <c r="K46" s="61">
        <v>0</v>
      </c>
      <c r="L46" s="61">
        <v>0</v>
      </c>
      <c r="M46" s="61">
        <v>0</v>
      </c>
      <c r="N46" s="61">
        <v>1</v>
      </c>
      <c r="O46" s="61">
        <v>0</v>
      </c>
      <c r="P46" s="61">
        <v>0</v>
      </c>
      <c r="Q46" s="61">
        <v>0</v>
      </c>
      <c r="R46" s="61">
        <v>0</v>
      </c>
      <c r="S46" s="61">
        <v>0</v>
      </c>
      <c r="T46" s="61">
        <v>0</v>
      </c>
      <c r="U46" s="61">
        <v>0</v>
      </c>
    </row>
    <row r="47" spans="1:21">
      <c r="F47">
        <v>6</v>
      </c>
      <c r="G47">
        <v>109334.05895162567</v>
      </c>
      <c r="J47" s="61">
        <v>0</v>
      </c>
      <c r="K47" s="61">
        <v>0</v>
      </c>
      <c r="L47" s="61">
        <v>0</v>
      </c>
      <c r="M47" s="61">
        <v>0</v>
      </c>
      <c r="N47" s="61">
        <v>0</v>
      </c>
      <c r="O47" s="61">
        <v>1</v>
      </c>
      <c r="P47" s="61">
        <v>0</v>
      </c>
      <c r="Q47" s="61">
        <v>0</v>
      </c>
      <c r="R47" s="61">
        <v>0</v>
      </c>
      <c r="S47" s="61">
        <v>0</v>
      </c>
      <c r="T47" s="61">
        <v>0</v>
      </c>
      <c r="U47" s="61">
        <v>0</v>
      </c>
    </row>
    <row r="48" spans="1:21">
      <c r="F48">
        <v>7</v>
      </c>
      <c r="G48">
        <v>115930.63724281953</v>
      </c>
      <c r="J48" s="61">
        <v>0</v>
      </c>
      <c r="K48" s="61">
        <v>0</v>
      </c>
      <c r="L48" s="61">
        <v>0</v>
      </c>
      <c r="M48" s="61">
        <v>0</v>
      </c>
      <c r="N48" s="61">
        <v>0</v>
      </c>
      <c r="O48" s="61">
        <v>0</v>
      </c>
      <c r="P48" s="61">
        <v>1</v>
      </c>
      <c r="Q48" s="61">
        <v>0</v>
      </c>
      <c r="R48" s="61">
        <v>0</v>
      </c>
      <c r="S48" s="61">
        <v>0</v>
      </c>
      <c r="T48" s="61">
        <v>0</v>
      </c>
      <c r="U48" s="61">
        <v>0</v>
      </c>
    </row>
    <row r="49" spans="3:21">
      <c r="F49">
        <v>8</v>
      </c>
      <c r="G49">
        <v>122731.54892781706</v>
      </c>
      <c r="J49" s="61">
        <v>0</v>
      </c>
      <c r="K49" s="61">
        <v>0</v>
      </c>
      <c r="L49" s="61">
        <v>0</v>
      </c>
      <c r="M49" s="61">
        <v>0</v>
      </c>
      <c r="N49" s="61">
        <v>0</v>
      </c>
      <c r="O49" s="61">
        <v>0</v>
      </c>
      <c r="P49" s="61">
        <v>0</v>
      </c>
      <c r="Q49" s="61">
        <v>1</v>
      </c>
      <c r="R49" s="61">
        <v>0</v>
      </c>
      <c r="S49" s="61">
        <v>0</v>
      </c>
      <c r="T49" s="61">
        <v>0</v>
      </c>
      <c r="U49" s="61">
        <v>0</v>
      </c>
    </row>
    <row r="50" spans="3:21">
      <c r="F50">
        <v>9</v>
      </c>
      <c r="G50">
        <v>129267.1795733234</v>
      </c>
      <c r="J50" s="61">
        <v>0</v>
      </c>
      <c r="K50" s="61">
        <v>0</v>
      </c>
      <c r="L50" s="61">
        <v>0</v>
      </c>
      <c r="M50" s="61">
        <v>0</v>
      </c>
      <c r="N50" s="61">
        <v>0</v>
      </c>
      <c r="O50" s="61">
        <v>0</v>
      </c>
      <c r="P50" s="61">
        <v>0</v>
      </c>
      <c r="Q50" s="61">
        <v>0</v>
      </c>
      <c r="R50" s="61">
        <v>1</v>
      </c>
      <c r="S50" s="61">
        <v>0</v>
      </c>
      <c r="T50" s="61">
        <v>0</v>
      </c>
      <c r="U50" s="61">
        <v>0</v>
      </c>
    </row>
    <row r="51" spans="3:21">
      <c r="F51">
        <v>10</v>
      </c>
      <c r="G51">
        <v>136216.23433952604</v>
      </c>
      <c r="J51" s="61">
        <v>0</v>
      </c>
      <c r="K51" s="61">
        <v>0</v>
      </c>
      <c r="L51" s="61">
        <v>0</v>
      </c>
      <c r="M51" s="61">
        <v>0</v>
      </c>
      <c r="N51" s="61">
        <v>0</v>
      </c>
      <c r="O51" s="61">
        <v>0</v>
      </c>
      <c r="P51" s="61">
        <v>0</v>
      </c>
      <c r="Q51" s="61">
        <v>0</v>
      </c>
      <c r="R51" s="61">
        <v>0</v>
      </c>
      <c r="S51" s="61">
        <v>1</v>
      </c>
      <c r="T51" s="61">
        <v>0</v>
      </c>
      <c r="U51" s="61">
        <v>0</v>
      </c>
    </row>
    <row r="52" spans="3:21">
      <c r="F52">
        <v>11</v>
      </c>
      <c r="G52">
        <v>142756.08320120416</v>
      </c>
      <c r="J52" s="61">
        <v>0</v>
      </c>
      <c r="K52" s="61">
        <v>0</v>
      </c>
      <c r="L52" s="61">
        <v>0</v>
      </c>
      <c r="M52" s="61">
        <v>0</v>
      </c>
      <c r="N52" s="61">
        <v>0</v>
      </c>
      <c r="O52" s="61">
        <v>0</v>
      </c>
      <c r="P52" s="61">
        <v>0</v>
      </c>
      <c r="Q52" s="61">
        <v>0</v>
      </c>
      <c r="R52" s="61">
        <v>0</v>
      </c>
      <c r="S52" s="61">
        <v>0</v>
      </c>
      <c r="T52" s="61">
        <v>1</v>
      </c>
      <c r="U52" s="61">
        <v>0</v>
      </c>
    </row>
    <row r="53" spans="3:21">
      <c r="F53">
        <v>12</v>
      </c>
      <c r="G53">
        <v>148306.60269104259</v>
      </c>
      <c r="J53" s="61">
        <v>0</v>
      </c>
      <c r="K53" s="61">
        <v>0</v>
      </c>
      <c r="L53" s="61">
        <v>0</v>
      </c>
      <c r="M53" s="61">
        <v>0</v>
      </c>
      <c r="N53" s="61">
        <v>0</v>
      </c>
      <c r="O53" s="61">
        <v>0</v>
      </c>
      <c r="P53" s="61">
        <v>0</v>
      </c>
      <c r="Q53" s="61">
        <v>0</v>
      </c>
      <c r="R53" s="61">
        <v>0</v>
      </c>
      <c r="S53" s="61">
        <v>0</v>
      </c>
      <c r="T53" s="61">
        <v>0</v>
      </c>
      <c r="U53" s="61">
        <v>1</v>
      </c>
    </row>
    <row r="54" spans="3:21">
      <c r="E54" s="72" t="s">
        <v>111</v>
      </c>
      <c r="F54" s="73"/>
      <c r="G54" s="73"/>
      <c r="H54" s="73"/>
      <c r="I54" s="73"/>
      <c r="J54" s="73" cm="1">
        <f t="array" ref="J54:U54">_xlfn.BYCOL(_xlfn.ANCHORARRAY( J41), _xlfn.LAMBDA(_xlpm.month_col, SUMPRODUCT( $G41:$G53, _xlpm.month_col ) ) )</f>
        <v>75542.090698385</v>
      </c>
      <c r="K54" s="73">
        <v>82056.489407851521</v>
      </c>
      <c r="L54" s="73">
        <v>88960.501735654063</v>
      </c>
      <c r="M54" s="73">
        <v>95851.232301521726</v>
      </c>
      <c r="N54" s="73">
        <v>102444.86043725623</v>
      </c>
      <c r="O54" s="73">
        <v>109334.05895162567</v>
      </c>
      <c r="P54" s="73">
        <v>115930.63724281953</v>
      </c>
      <c r="Q54" s="73">
        <v>122731.54892781706</v>
      </c>
      <c r="R54" s="73">
        <v>129267.1795733234</v>
      </c>
      <c r="S54" s="73">
        <v>136216.23433952604</v>
      </c>
      <c r="T54" s="73">
        <v>142756.08320120416</v>
      </c>
      <c r="U54" s="73">
        <v>148306.60269104259</v>
      </c>
    </row>
    <row r="57" spans="3:21">
      <c r="E57" t="s">
        <v>112</v>
      </c>
      <c r="G57" t="s">
        <v>81</v>
      </c>
      <c r="J57" cm="1">
        <f t="array" ref="J57:U57" xml:space="preserve"> _xlfn.DROP( _xlfn.HSTACK( $G41,_xlfn.ANCHORARRAY( J60) ),, - 1 )</f>
        <v>0</v>
      </c>
      <c r="K57">
        <v>75542.090698385</v>
      </c>
      <c r="L57">
        <v>82056.489407851521</v>
      </c>
      <c r="M57">
        <v>88960.501735654063</v>
      </c>
      <c r="N57">
        <v>95851.232301521726</v>
      </c>
      <c r="O57">
        <v>102444.86043725623</v>
      </c>
      <c r="P57">
        <v>109334.05895162567</v>
      </c>
      <c r="Q57">
        <v>115930.63724281953</v>
      </c>
      <c r="R57">
        <v>122731.54892781706</v>
      </c>
      <c r="S57">
        <v>129267.1795733234</v>
      </c>
      <c r="T57">
        <v>136216.23433952604</v>
      </c>
      <c r="U57">
        <v>142756.08320120416</v>
      </c>
    </row>
    <row r="58" spans="3:21">
      <c r="E58" s="70" t="s">
        <v>115</v>
      </c>
      <c r="G58" t="s">
        <v>81</v>
      </c>
      <c r="J58" cm="1">
        <f t="array" ref="J58:U58" xml:space="preserve"> TRANSPOSE(_xlfn.ANCHORARRAY( $G42) )</f>
        <v>75542.090698385</v>
      </c>
      <c r="K58">
        <v>82056.489407851521</v>
      </c>
      <c r="L58">
        <v>88960.501735654063</v>
      </c>
      <c r="M58">
        <v>95851.232301521726</v>
      </c>
      <c r="N58">
        <v>102444.86043725623</v>
      </c>
      <c r="O58">
        <v>109334.05895162567</v>
      </c>
      <c r="P58">
        <v>115930.63724281953</v>
      </c>
      <c r="Q58">
        <v>122731.54892781706</v>
      </c>
      <c r="R58">
        <v>129267.1795733234</v>
      </c>
      <c r="S58">
        <v>136216.23433952604</v>
      </c>
      <c r="T58">
        <v>142756.08320120416</v>
      </c>
      <c r="U58">
        <v>148306.60269104259</v>
      </c>
    </row>
    <row r="59" spans="3:21">
      <c r="E59" s="70" t="s">
        <v>122</v>
      </c>
      <c r="G59" t="s">
        <v>81</v>
      </c>
      <c r="J59" cm="1">
        <f t="array" ref="J59:U59" xml:space="preserve"> _xlfn.LET(
      _xlpm.ap_opening,_xlfn.ANCHORARRAY(   J57),
      _xlpm.po,_xlfn.ANCHORARRAY(           J58),
      _xlpm.ap_closing,_xlfn.ANCHORARRAY(   J60),
      ( _xlpm.ap_opening + _xlpm.po - _xlpm.ap_closing ) * - 1 )</f>
        <v>0</v>
      </c>
      <c r="K59">
        <v>-75542.090698384985</v>
      </c>
      <c r="L59">
        <v>-82056.489407851521</v>
      </c>
      <c r="M59">
        <v>-88960.501735654048</v>
      </c>
      <c r="N59">
        <v>-95851.232301521726</v>
      </c>
      <c r="O59">
        <v>-102444.86043725621</v>
      </c>
      <c r="P59">
        <v>-109334.05895162566</v>
      </c>
      <c r="Q59">
        <v>-115930.63724281953</v>
      </c>
      <c r="R59">
        <v>-122731.54892781706</v>
      </c>
      <c r="S59">
        <v>-129267.1795733234</v>
      </c>
      <c r="T59">
        <v>-136216.23433952607</v>
      </c>
      <c r="U59">
        <v>-142756.08320120419</v>
      </c>
    </row>
    <row r="60" spans="3:21">
      <c r="E60" s="74" t="s">
        <v>116</v>
      </c>
      <c r="F60" s="75"/>
      <c r="G60" s="75" t="s">
        <v>81</v>
      </c>
      <c r="H60" s="75"/>
      <c r="I60" s="75"/>
      <c r="J60" s="73" cm="1">
        <f t="array" ref="J60:U60">_xlfn.ANCHORARRAY( J54)</f>
        <v>75542.090698385</v>
      </c>
      <c r="K60" s="73">
        <v>82056.489407851521</v>
      </c>
      <c r="L60" s="73">
        <v>88960.501735654063</v>
      </c>
      <c r="M60" s="73">
        <v>95851.232301521726</v>
      </c>
      <c r="N60" s="73">
        <v>102444.86043725623</v>
      </c>
      <c r="O60" s="73">
        <v>109334.05895162567</v>
      </c>
      <c r="P60" s="73">
        <v>115930.63724281953</v>
      </c>
      <c r="Q60" s="73">
        <v>122731.54892781706</v>
      </c>
      <c r="R60" s="73">
        <v>129267.1795733234</v>
      </c>
      <c r="S60" s="73">
        <v>136216.23433952604</v>
      </c>
      <c r="T60" s="73">
        <v>142756.08320120416</v>
      </c>
      <c r="U60" s="73">
        <v>148306.60269104259</v>
      </c>
    </row>
    <row r="63" spans="3:21">
      <c r="C63" s="76" t="s">
        <v>21</v>
      </c>
    </row>
    <row r="65" spans="1:21">
      <c r="E65" t="s">
        <v>62</v>
      </c>
      <c r="F65" s="67">
        <f>INDEX( CaseData!$L$26:$L$30, MATCH( $C63, CaseData!$I$26:$I$30, 0 ) ) / days_per_month</f>
        <v>1</v>
      </c>
      <c r="G65" t="s">
        <v>50</v>
      </c>
    </row>
    <row r="66" spans="1:21">
      <c r="F66" s="61"/>
    </row>
    <row r="67" spans="1:21">
      <c r="F67" s="63" t="s">
        <v>63</v>
      </c>
      <c r="G67" s="64" t="s">
        <v>114</v>
      </c>
      <c r="J67" s="80" cm="1">
        <f t="array" ref="J67:U67">_xlfn.SEQUENCE( 1, periods, 1, 1 )</f>
        <v>1</v>
      </c>
      <c r="K67" s="80">
        <v>2</v>
      </c>
      <c r="L67" s="80">
        <v>3</v>
      </c>
      <c r="M67" s="80">
        <v>4</v>
      </c>
      <c r="N67" s="80">
        <v>5</v>
      </c>
      <c r="O67" s="80">
        <v>6</v>
      </c>
      <c r="P67" s="80">
        <v>7</v>
      </c>
      <c r="Q67" s="80">
        <v>8</v>
      </c>
      <c r="R67" s="80">
        <v>9</v>
      </c>
      <c r="S67" s="80">
        <v>10</v>
      </c>
      <c r="T67" s="80">
        <v>11</v>
      </c>
      <c r="U67" s="80">
        <v>12</v>
      </c>
    </row>
    <row r="68" spans="1:21" s="66" customFormat="1">
      <c r="A68" s="65"/>
      <c r="F68" s="56">
        <f xml:space="preserve"> $F69 - 1</f>
        <v>0</v>
      </c>
      <c r="G68" s="66">
        <f xml:space="preserve"> INDEX( CaseData!$M$26:$M$30, MATCH( $C63, CaseData!$I$26:$I$30, 0 ) )</f>
        <v>0</v>
      </c>
      <c r="J68" s="95" cm="1">
        <f t="array" ref="J68:U80">IF(_xlfn.ANCHORARRAY( J67) - $F68:$F80 &lt; 0, 0, IF(_xlfn.ANCHORARRAY( J67) - $F68:$F80 &lt; INT($F65), 1, IF(_xlfn.ANCHORARRAY( J67) - $F68:$F80 &lt; $F65, MOD($F65, 1), 0 ) ) )</f>
        <v>0</v>
      </c>
      <c r="K68" s="95">
        <v>0</v>
      </c>
      <c r="L68" s="95">
        <v>0</v>
      </c>
      <c r="M68" s="95">
        <v>0</v>
      </c>
      <c r="N68" s="95">
        <v>0</v>
      </c>
      <c r="O68" s="95">
        <v>0</v>
      </c>
      <c r="P68" s="95">
        <v>0</v>
      </c>
      <c r="Q68" s="95">
        <v>0</v>
      </c>
      <c r="R68" s="95">
        <v>0</v>
      </c>
      <c r="S68" s="95">
        <v>0</v>
      </c>
      <c r="T68" s="95">
        <v>0</v>
      </c>
      <c r="U68" s="95">
        <v>0</v>
      </c>
    </row>
    <row r="69" spans="1:21">
      <c r="F69" cm="1">
        <f t="array" ref="F69:F80" xml:space="preserve"> _xlfn.SEQUENCE( periods, 1, 1, 1 )</f>
        <v>1</v>
      </c>
      <c r="G69" cm="1">
        <f t="array" ref="G69:G80" xml:space="preserve"> _xlfn.LET(
      _xlpm.purchase_orders,_xlfn.ANCHORARRAY(   'Purchasing Plan'!$J$99),
      _xlpm.suppliers,_xlfn.ANCHORARRAY(         'Purchasing Plan'!$E$99),
      _xlpm.current_supplier,  $C63,
      _xlpm.zero_row,          _xlfn.SEQUENCE( 1, COLUMNS( _xlpm.purchase_orders ), 0, 0 ),
      IFERROR(
        TRANSPOSE( INDEX( _xlpm.purchase_orders, MATCH( _xlpm.current_supplier, _xlpm.suppliers, 0 ), 0 ) ),
        TRANSPOSE( _xlpm.zero_row ) ) )</f>
        <v>34809.007967082143</v>
      </c>
      <c r="J69" s="96">
        <v>1</v>
      </c>
      <c r="K69" s="96">
        <v>0</v>
      </c>
      <c r="L69" s="96">
        <v>0</v>
      </c>
      <c r="M69" s="96">
        <v>0</v>
      </c>
      <c r="N69" s="96">
        <v>0</v>
      </c>
      <c r="O69" s="96">
        <v>0</v>
      </c>
      <c r="P69" s="96">
        <v>0</v>
      </c>
      <c r="Q69" s="96">
        <v>0</v>
      </c>
      <c r="R69" s="96">
        <v>0</v>
      </c>
      <c r="S69" s="96">
        <v>0</v>
      </c>
      <c r="T69" s="96">
        <v>0</v>
      </c>
      <c r="U69" s="96">
        <v>0</v>
      </c>
    </row>
    <row r="70" spans="1:21">
      <c r="F70">
        <v>2</v>
      </c>
      <c r="G70">
        <v>37826.190022144496</v>
      </c>
      <c r="J70" s="96">
        <v>0</v>
      </c>
      <c r="K70" s="96">
        <v>1</v>
      </c>
      <c r="L70" s="96">
        <v>0</v>
      </c>
      <c r="M70" s="96">
        <v>0</v>
      </c>
      <c r="N70" s="96">
        <v>0</v>
      </c>
      <c r="O70" s="96">
        <v>0</v>
      </c>
      <c r="P70" s="96">
        <v>0</v>
      </c>
      <c r="Q70" s="96">
        <v>0</v>
      </c>
      <c r="R70" s="96">
        <v>0</v>
      </c>
      <c r="S70" s="96">
        <v>0</v>
      </c>
      <c r="T70" s="96">
        <v>0</v>
      </c>
      <c r="U70" s="96">
        <v>0</v>
      </c>
    </row>
    <row r="71" spans="1:21">
      <c r="F71">
        <v>3</v>
      </c>
      <c r="G71">
        <v>40956.774043308993</v>
      </c>
      <c r="J71" s="96">
        <v>0</v>
      </c>
      <c r="K71" s="96">
        <v>0</v>
      </c>
      <c r="L71" s="96">
        <v>1</v>
      </c>
      <c r="M71" s="96">
        <v>0</v>
      </c>
      <c r="N71" s="96">
        <v>0</v>
      </c>
      <c r="O71" s="96">
        <v>0</v>
      </c>
      <c r="P71" s="96">
        <v>0</v>
      </c>
      <c r="Q71" s="96">
        <v>0</v>
      </c>
      <c r="R71" s="96">
        <v>0</v>
      </c>
      <c r="S71" s="96">
        <v>0</v>
      </c>
      <c r="T71" s="96">
        <v>0</v>
      </c>
      <c r="U71" s="96">
        <v>0</v>
      </c>
    </row>
    <row r="72" spans="1:21">
      <c r="F72">
        <v>4</v>
      </c>
      <c r="G72">
        <v>44167.261887119312</v>
      </c>
      <c r="J72" s="96">
        <v>0</v>
      </c>
      <c r="K72" s="96">
        <v>0</v>
      </c>
      <c r="L72" s="96">
        <v>0</v>
      </c>
      <c r="M72" s="96">
        <v>1</v>
      </c>
      <c r="N72" s="96">
        <v>0</v>
      </c>
      <c r="O72" s="96">
        <v>0</v>
      </c>
      <c r="P72" s="96">
        <v>0</v>
      </c>
      <c r="Q72" s="96">
        <v>0</v>
      </c>
      <c r="R72" s="96">
        <v>0</v>
      </c>
      <c r="S72" s="96">
        <v>0</v>
      </c>
      <c r="T72" s="96">
        <v>0</v>
      </c>
      <c r="U72" s="96">
        <v>0</v>
      </c>
    </row>
    <row r="73" spans="1:21">
      <c r="F73">
        <v>5</v>
      </c>
      <c r="G73">
        <v>47178.342291275301</v>
      </c>
      <c r="J73" s="96">
        <v>0</v>
      </c>
      <c r="K73" s="96">
        <v>0</v>
      </c>
      <c r="L73" s="96">
        <v>0</v>
      </c>
      <c r="M73" s="96">
        <v>0</v>
      </c>
      <c r="N73" s="96">
        <v>1</v>
      </c>
      <c r="O73" s="96">
        <v>0</v>
      </c>
      <c r="P73" s="96">
        <v>0</v>
      </c>
      <c r="Q73" s="96">
        <v>0</v>
      </c>
      <c r="R73" s="96">
        <v>0</v>
      </c>
      <c r="S73" s="96">
        <v>0</v>
      </c>
      <c r="T73" s="96">
        <v>0</v>
      </c>
      <c r="U73" s="96">
        <v>0</v>
      </c>
    </row>
    <row r="74" spans="1:21">
      <c r="F74">
        <v>6</v>
      </c>
      <c r="G74">
        <v>50387.853331248087</v>
      </c>
      <c r="J74" s="96">
        <v>0</v>
      </c>
      <c r="K74" s="96">
        <v>0</v>
      </c>
      <c r="L74" s="96">
        <v>0</v>
      </c>
      <c r="M74" s="96">
        <v>0</v>
      </c>
      <c r="N74" s="96">
        <v>0</v>
      </c>
      <c r="O74" s="96">
        <v>1</v>
      </c>
      <c r="P74" s="96">
        <v>0</v>
      </c>
      <c r="Q74" s="96">
        <v>0</v>
      </c>
      <c r="R74" s="96">
        <v>0</v>
      </c>
      <c r="S74" s="96">
        <v>0</v>
      </c>
      <c r="T74" s="96">
        <v>0</v>
      </c>
      <c r="U74" s="96">
        <v>0</v>
      </c>
    </row>
    <row r="75" spans="1:21">
      <c r="F75">
        <v>7</v>
      </c>
      <c r="G75">
        <v>53400.931085331009</v>
      </c>
      <c r="J75" s="96">
        <v>0</v>
      </c>
      <c r="K75" s="96">
        <v>0</v>
      </c>
      <c r="L75" s="96">
        <v>0</v>
      </c>
      <c r="M75" s="96">
        <v>0</v>
      </c>
      <c r="N75" s="96">
        <v>0</v>
      </c>
      <c r="O75" s="96">
        <v>0</v>
      </c>
      <c r="P75" s="96">
        <v>1</v>
      </c>
      <c r="Q75" s="96">
        <v>0</v>
      </c>
      <c r="R75" s="96">
        <v>0</v>
      </c>
      <c r="S75" s="96">
        <v>0</v>
      </c>
      <c r="T75" s="96">
        <v>0</v>
      </c>
      <c r="U75" s="96">
        <v>0</v>
      </c>
    </row>
    <row r="76" spans="1:21">
      <c r="F76">
        <v>8</v>
      </c>
      <c r="G76">
        <v>56580.479231229416</v>
      </c>
      <c r="J76" s="96">
        <v>0</v>
      </c>
      <c r="K76" s="96">
        <v>0</v>
      </c>
      <c r="L76" s="96">
        <v>0</v>
      </c>
      <c r="M76" s="96">
        <v>0</v>
      </c>
      <c r="N76" s="96">
        <v>0</v>
      </c>
      <c r="O76" s="96">
        <v>0</v>
      </c>
      <c r="P76" s="96">
        <v>0</v>
      </c>
      <c r="Q76" s="96">
        <v>1</v>
      </c>
      <c r="R76" s="96">
        <v>0</v>
      </c>
      <c r="S76" s="96">
        <v>0</v>
      </c>
      <c r="T76" s="96">
        <v>0</v>
      </c>
      <c r="U76" s="96">
        <v>0</v>
      </c>
    </row>
    <row r="77" spans="1:21">
      <c r="F77">
        <v>9</v>
      </c>
      <c r="G77">
        <v>59611.198386542892</v>
      </c>
      <c r="J77" s="96">
        <v>0</v>
      </c>
      <c r="K77" s="96">
        <v>0</v>
      </c>
      <c r="L77" s="96">
        <v>0</v>
      </c>
      <c r="M77" s="96">
        <v>0</v>
      </c>
      <c r="N77" s="96">
        <v>0</v>
      </c>
      <c r="O77" s="96">
        <v>0</v>
      </c>
      <c r="P77" s="96">
        <v>0</v>
      </c>
      <c r="Q77" s="96">
        <v>0</v>
      </c>
      <c r="R77" s="96">
        <v>1</v>
      </c>
      <c r="S77" s="96">
        <v>0</v>
      </c>
      <c r="T77" s="96">
        <v>0</v>
      </c>
      <c r="U77" s="96">
        <v>0</v>
      </c>
    </row>
    <row r="78" spans="1:21">
      <c r="F78">
        <v>10</v>
      </c>
      <c r="G78">
        <v>62801.657735885121</v>
      </c>
      <c r="J78" s="96">
        <v>0</v>
      </c>
      <c r="K78" s="96">
        <v>0</v>
      </c>
      <c r="L78" s="96">
        <v>0</v>
      </c>
      <c r="M78" s="96">
        <v>0</v>
      </c>
      <c r="N78" s="96">
        <v>0</v>
      </c>
      <c r="O78" s="96">
        <v>0</v>
      </c>
      <c r="P78" s="96">
        <v>0</v>
      </c>
      <c r="Q78" s="96">
        <v>0</v>
      </c>
      <c r="R78" s="96">
        <v>0</v>
      </c>
      <c r="S78" s="96">
        <v>1</v>
      </c>
      <c r="T78" s="96">
        <v>0</v>
      </c>
      <c r="U78" s="96">
        <v>0</v>
      </c>
    </row>
    <row r="79" spans="1:21">
      <c r="F79">
        <v>11</v>
      </c>
      <c r="G79">
        <v>65834.027876827953</v>
      </c>
      <c r="J79" s="96">
        <v>0</v>
      </c>
      <c r="K79" s="96">
        <v>0</v>
      </c>
      <c r="L79" s="96">
        <v>0</v>
      </c>
      <c r="M79" s="96">
        <v>0</v>
      </c>
      <c r="N79" s="96">
        <v>0</v>
      </c>
      <c r="O79" s="96">
        <v>0</v>
      </c>
      <c r="P79" s="96">
        <v>0</v>
      </c>
      <c r="Q79" s="96">
        <v>0</v>
      </c>
      <c r="R79" s="96">
        <v>0</v>
      </c>
      <c r="S79" s="96">
        <v>0</v>
      </c>
      <c r="T79" s="96">
        <v>1</v>
      </c>
      <c r="U79" s="96">
        <v>0</v>
      </c>
    </row>
    <row r="80" spans="1:21">
      <c r="F80">
        <v>12</v>
      </c>
      <c r="G80">
        <v>68423.427334376611</v>
      </c>
      <c r="J80" s="96">
        <v>0</v>
      </c>
      <c r="K80" s="96">
        <v>0</v>
      </c>
      <c r="L80" s="96">
        <v>0</v>
      </c>
      <c r="M80" s="96">
        <v>0</v>
      </c>
      <c r="N80" s="96">
        <v>0</v>
      </c>
      <c r="O80" s="96">
        <v>0</v>
      </c>
      <c r="P80" s="96">
        <v>0</v>
      </c>
      <c r="Q80" s="96">
        <v>0</v>
      </c>
      <c r="R80" s="96">
        <v>0</v>
      </c>
      <c r="S80" s="96">
        <v>0</v>
      </c>
      <c r="T80" s="96">
        <v>0</v>
      </c>
      <c r="U80" s="96">
        <v>1</v>
      </c>
    </row>
    <row r="81" spans="1:21">
      <c r="E81" s="72" t="s">
        <v>111</v>
      </c>
      <c r="F81" s="73"/>
      <c r="G81" s="73"/>
      <c r="H81" s="73"/>
      <c r="I81" s="73"/>
      <c r="J81" s="73" cm="1">
        <f t="array" ref="J81:U81">_xlfn.BYCOL(_xlfn.ANCHORARRAY( J68), _xlfn.LAMBDA(_xlpm.month_col, SUMPRODUCT( $G68:$G80, _xlpm.month_col ) ) )</f>
        <v>34809.007967082143</v>
      </c>
      <c r="K81" s="73">
        <v>37826.190022144496</v>
      </c>
      <c r="L81" s="73">
        <v>40956.774043308993</v>
      </c>
      <c r="M81" s="73">
        <v>44167.261887119312</v>
      </c>
      <c r="N81" s="73">
        <v>47178.342291275301</v>
      </c>
      <c r="O81" s="73">
        <v>50387.853331248087</v>
      </c>
      <c r="P81" s="73">
        <v>53400.931085331009</v>
      </c>
      <c r="Q81" s="73">
        <v>56580.479231229416</v>
      </c>
      <c r="R81" s="73">
        <v>59611.198386542892</v>
      </c>
      <c r="S81" s="73">
        <v>62801.657735885121</v>
      </c>
      <c r="T81" s="73">
        <v>65834.027876827953</v>
      </c>
      <c r="U81" s="73">
        <v>68423.427334376611</v>
      </c>
    </row>
    <row r="84" spans="1:21">
      <c r="E84" t="s">
        <v>112</v>
      </c>
      <c r="G84" t="s">
        <v>81</v>
      </c>
      <c r="J84" cm="1">
        <f t="array" ref="J84:U84" xml:space="preserve"> _xlfn.DROP( _xlfn.HSTACK( $G68,_xlfn.ANCHORARRAY( J87) ),, - 1 )</f>
        <v>0</v>
      </c>
      <c r="K84">
        <v>34809.007967082143</v>
      </c>
      <c r="L84">
        <v>37826.190022144496</v>
      </c>
      <c r="M84">
        <v>40956.774043308993</v>
      </c>
      <c r="N84">
        <v>44167.261887119312</v>
      </c>
      <c r="O84">
        <v>47178.342291275301</v>
      </c>
      <c r="P84">
        <v>50387.853331248087</v>
      </c>
      <c r="Q84">
        <v>53400.931085331009</v>
      </c>
      <c r="R84">
        <v>56580.479231229416</v>
      </c>
      <c r="S84">
        <v>59611.198386542892</v>
      </c>
      <c r="T84">
        <v>62801.657735885121</v>
      </c>
      <c r="U84">
        <v>65834.027876827953</v>
      </c>
    </row>
    <row r="85" spans="1:21">
      <c r="E85" s="70" t="s">
        <v>115</v>
      </c>
      <c r="G85" t="s">
        <v>81</v>
      </c>
      <c r="J85" cm="1">
        <f t="array" ref="J85:U85" xml:space="preserve"> TRANSPOSE(_xlfn.ANCHORARRAY( $G69) )</f>
        <v>34809.007967082143</v>
      </c>
      <c r="K85">
        <v>37826.190022144496</v>
      </c>
      <c r="L85">
        <v>40956.774043308993</v>
      </c>
      <c r="M85">
        <v>44167.261887119312</v>
      </c>
      <c r="N85">
        <v>47178.342291275301</v>
      </c>
      <c r="O85">
        <v>50387.853331248087</v>
      </c>
      <c r="P85">
        <v>53400.931085331009</v>
      </c>
      <c r="Q85">
        <v>56580.479231229416</v>
      </c>
      <c r="R85">
        <v>59611.198386542892</v>
      </c>
      <c r="S85">
        <v>62801.657735885121</v>
      </c>
      <c r="T85">
        <v>65834.027876827953</v>
      </c>
      <c r="U85">
        <v>68423.427334376611</v>
      </c>
    </row>
    <row r="86" spans="1:21">
      <c r="E86" s="70" t="s">
        <v>122</v>
      </c>
      <c r="G86" t="s">
        <v>81</v>
      </c>
      <c r="J86" cm="1">
        <f t="array" ref="J86:U86" xml:space="preserve"> _xlfn.LET(
      _xlpm.ap_opening,_xlfn.ANCHORARRAY(   J84),
      _xlpm.po,_xlfn.ANCHORARRAY(           J85),
      _xlpm.ap_closing,_xlfn.ANCHORARRAY(   J87),
      ( _xlpm.ap_opening + _xlpm.po - _xlpm.ap_closing ) * - 1 )</f>
        <v>0</v>
      </c>
      <c r="K86">
        <v>-34809.007967082143</v>
      </c>
      <c r="L86">
        <v>-37826.190022144496</v>
      </c>
      <c r="M86">
        <v>-40956.774043308993</v>
      </c>
      <c r="N86">
        <v>-44167.261887119312</v>
      </c>
      <c r="O86">
        <v>-47178.342291275301</v>
      </c>
      <c r="P86">
        <v>-50387.853331248079</v>
      </c>
      <c r="Q86">
        <v>-53400.931085331002</v>
      </c>
      <c r="R86">
        <v>-56580.479231229416</v>
      </c>
      <c r="S86">
        <v>-59611.198386542892</v>
      </c>
      <c r="T86">
        <v>-62801.657735885121</v>
      </c>
      <c r="U86">
        <v>-65834.027876827953</v>
      </c>
    </row>
    <row r="87" spans="1:21">
      <c r="E87" s="74" t="s">
        <v>117</v>
      </c>
      <c r="F87" s="75"/>
      <c r="G87" s="75" t="s">
        <v>81</v>
      </c>
      <c r="H87" s="75"/>
      <c r="I87" s="75"/>
      <c r="J87" s="73" cm="1">
        <f t="array" ref="J87:U87">_xlfn.ANCHORARRAY( J81)</f>
        <v>34809.007967082143</v>
      </c>
      <c r="K87" s="73">
        <v>37826.190022144496</v>
      </c>
      <c r="L87" s="73">
        <v>40956.774043308993</v>
      </c>
      <c r="M87" s="73">
        <v>44167.261887119312</v>
      </c>
      <c r="N87" s="73">
        <v>47178.342291275301</v>
      </c>
      <c r="O87" s="73">
        <v>50387.853331248087</v>
      </c>
      <c r="P87" s="73">
        <v>53400.931085331009</v>
      </c>
      <c r="Q87" s="73">
        <v>56580.479231229416</v>
      </c>
      <c r="R87" s="73">
        <v>59611.198386542892</v>
      </c>
      <c r="S87" s="73">
        <v>62801.657735885121</v>
      </c>
      <c r="T87" s="73">
        <v>65834.027876827953</v>
      </c>
      <c r="U87" s="73">
        <v>68423.427334376611</v>
      </c>
    </row>
    <row r="90" spans="1:21">
      <c r="C90" s="76" t="s">
        <v>22</v>
      </c>
    </row>
    <row r="92" spans="1:21">
      <c r="E92" t="s">
        <v>62</v>
      </c>
      <c r="F92" s="67">
        <f>INDEX( CaseData!$L$26:$L$30, MATCH( $C90, CaseData!$I$26:$I$30, 0 ) ) / days_per_month</f>
        <v>1</v>
      </c>
      <c r="G92" t="s">
        <v>50</v>
      </c>
    </row>
    <row r="93" spans="1:21">
      <c r="F93" s="61"/>
    </row>
    <row r="94" spans="1:21">
      <c r="F94" s="63" t="s">
        <v>63</v>
      </c>
      <c r="G94" s="64" t="s">
        <v>114</v>
      </c>
      <c r="J94" s="80" cm="1">
        <f t="array" ref="J94:U94">_xlfn.SEQUENCE( 1, periods, 1, 1 )</f>
        <v>1</v>
      </c>
      <c r="K94" s="80">
        <v>2</v>
      </c>
      <c r="L94" s="80">
        <v>3</v>
      </c>
      <c r="M94" s="80">
        <v>4</v>
      </c>
      <c r="N94" s="80">
        <v>5</v>
      </c>
      <c r="O94" s="80">
        <v>6</v>
      </c>
      <c r="P94" s="80">
        <v>7</v>
      </c>
      <c r="Q94" s="80">
        <v>8</v>
      </c>
      <c r="R94" s="80">
        <v>9</v>
      </c>
      <c r="S94" s="80">
        <v>10</v>
      </c>
      <c r="T94" s="80">
        <v>11</v>
      </c>
      <c r="U94" s="80">
        <v>12</v>
      </c>
    </row>
    <row r="95" spans="1:21" s="66" customFormat="1">
      <c r="A95" s="65"/>
      <c r="F95" s="56">
        <f xml:space="preserve"> $F96 - 1</f>
        <v>0</v>
      </c>
      <c r="G95" s="66">
        <f xml:space="preserve"> INDEX( CaseData!$M$26:$M$30, MATCH( $C90, CaseData!$I$26:$I$30, 0 ) )</f>
        <v>100000</v>
      </c>
      <c r="J95" s="95" cm="1">
        <f t="array" ref="J95:U107">IF(_xlfn.ANCHORARRAY( J94) - $F95:$F107 &lt; 0, 0, IF(_xlfn.ANCHORARRAY( J94) - $F95:$F107 &lt; INT($F92), 1, IF(_xlfn.ANCHORARRAY( J94) - $F95:$F107 &lt; $F92, MOD($F92, 1), 0 ) ) )</f>
        <v>0</v>
      </c>
      <c r="K95" s="95">
        <v>0</v>
      </c>
      <c r="L95" s="95">
        <v>0</v>
      </c>
      <c r="M95" s="95">
        <v>0</v>
      </c>
      <c r="N95" s="95">
        <v>0</v>
      </c>
      <c r="O95" s="95">
        <v>0</v>
      </c>
      <c r="P95" s="95">
        <v>0</v>
      </c>
      <c r="Q95" s="95">
        <v>0</v>
      </c>
      <c r="R95" s="95">
        <v>0</v>
      </c>
      <c r="S95" s="95">
        <v>0</v>
      </c>
      <c r="T95" s="95">
        <v>0</v>
      </c>
      <c r="U95" s="95">
        <v>0</v>
      </c>
    </row>
    <row r="96" spans="1:21">
      <c r="F96" cm="1">
        <f t="array" ref="F96:F107" xml:space="preserve"> _xlfn.SEQUENCE( periods, 1, 1, 1 )</f>
        <v>1</v>
      </c>
      <c r="G96" cm="1">
        <f t="array" ref="G96:G107" xml:space="preserve"> _xlfn.LET(
      _xlpm.purchase_orders,_xlfn.ANCHORARRAY(   'Purchasing Plan'!$J$99),
      _xlpm.suppliers,_xlfn.ANCHORARRAY(         'Purchasing Plan'!$E$99),
      _xlpm.current_supplier,  $C90,
      _xlpm.zero_row,          _xlfn.SEQUENCE( 1, COLUMNS( _xlpm.purchase_orders ), 0, 0 ),
      IFERROR(
        TRANSPOSE( INDEX( _xlpm.purchase_orders, MATCH( _xlpm.current_supplier, _xlpm.suppliers, 0 ), 0 ) ),
        TRANSPOSE( _xlpm.zero_row ) ) )</f>
        <v>14291.746133641296</v>
      </c>
      <c r="J96" s="96">
        <v>1</v>
      </c>
      <c r="K96" s="96">
        <v>0</v>
      </c>
      <c r="L96" s="96">
        <v>0</v>
      </c>
      <c r="M96" s="96">
        <v>0</v>
      </c>
      <c r="N96" s="96">
        <v>0</v>
      </c>
      <c r="O96" s="96">
        <v>0</v>
      </c>
      <c r="P96" s="96">
        <v>0</v>
      </c>
      <c r="Q96" s="96">
        <v>0</v>
      </c>
      <c r="R96" s="96">
        <v>0</v>
      </c>
      <c r="S96" s="96">
        <v>0</v>
      </c>
      <c r="T96" s="96">
        <v>0</v>
      </c>
      <c r="U96" s="96">
        <v>0</v>
      </c>
    </row>
    <row r="97" spans="5:21">
      <c r="F97">
        <v>2</v>
      </c>
      <c r="G97">
        <v>15564.201475969141</v>
      </c>
      <c r="J97" s="96">
        <v>0</v>
      </c>
      <c r="K97" s="96">
        <v>1</v>
      </c>
      <c r="L97" s="96">
        <v>0</v>
      </c>
      <c r="M97" s="96">
        <v>0</v>
      </c>
      <c r="N97" s="96">
        <v>0</v>
      </c>
      <c r="O97" s="96">
        <v>0</v>
      </c>
      <c r="P97" s="96">
        <v>0</v>
      </c>
      <c r="Q97" s="96">
        <v>0</v>
      </c>
      <c r="R97" s="96">
        <v>0</v>
      </c>
      <c r="S97" s="96">
        <v>0</v>
      </c>
      <c r="T97" s="96">
        <v>0</v>
      </c>
      <c r="U97" s="96">
        <v>0</v>
      </c>
    </row>
    <row r="98" spans="5:21">
      <c r="F98">
        <v>3</v>
      </c>
      <c r="G98">
        <v>16731.417190386317</v>
      </c>
      <c r="J98" s="96">
        <v>0</v>
      </c>
      <c r="K98" s="96">
        <v>0</v>
      </c>
      <c r="L98" s="96">
        <v>1</v>
      </c>
      <c r="M98" s="96">
        <v>0</v>
      </c>
      <c r="N98" s="96">
        <v>0</v>
      </c>
      <c r="O98" s="96">
        <v>0</v>
      </c>
      <c r="P98" s="96">
        <v>0</v>
      </c>
      <c r="Q98" s="96">
        <v>0</v>
      </c>
      <c r="R98" s="96">
        <v>0</v>
      </c>
      <c r="S98" s="96">
        <v>0</v>
      </c>
      <c r="T98" s="96">
        <v>0</v>
      </c>
      <c r="U98" s="96">
        <v>0</v>
      </c>
    </row>
    <row r="99" spans="5:21">
      <c r="F99">
        <v>4</v>
      </c>
      <c r="G99">
        <v>18139.486711616155</v>
      </c>
      <c r="J99" s="96">
        <v>0</v>
      </c>
      <c r="K99" s="96">
        <v>0</v>
      </c>
      <c r="L99" s="96">
        <v>0</v>
      </c>
      <c r="M99" s="96">
        <v>1</v>
      </c>
      <c r="N99" s="96">
        <v>0</v>
      </c>
      <c r="O99" s="96">
        <v>0</v>
      </c>
      <c r="P99" s="96">
        <v>0</v>
      </c>
      <c r="Q99" s="96">
        <v>0</v>
      </c>
      <c r="R99" s="96">
        <v>0</v>
      </c>
      <c r="S99" s="96">
        <v>0</v>
      </c>
      <c r="T99" s="96">
        <v>0</v>
      </c>
      <c r="U99" s="96">
        <v>0</v>
      </c>
    </row>
    <row r="100" spans="5:21">
      <c r="F100">
        <v>5</v>
      </c>
      <c r="G100">
        <v>19307.938838615664</v>
      </c>
      <c r="J100" s="96">
        <v>0</v>
      </c>
      <c r="K100" s="96">
        <v>0</v>
      </c>
      <c r="L100" s="96">
        <v>0</v>
      </c>
      <c r="M100" s="96">
        <v>0</v>
      </c>
      <c r="N100" s="96">
        <v>1</v>
      </c>
      <c r="O100" s="96">
        <v>0</v>
      </c>
      <c r="P100" s="96">
        <v>0</v>
      </c>
      <c r="Q100" s="96">
        <v>0</v>
      </c>
      <c r="R100" s="96">
        <v>0</v>
      </c>
      <c r="S100" s="96">
        <v>0</v>
      </c>
      <c r="T100" s="96">
        <v>0</v>
      </c>
      <c r="U100" s="96">
        <v>0</v>
      </c>
    </row>
    <row r="101" spans="5:21">
      <c r="F101">
        <v>6</v>
      </c>
      <c r="G101">
        <v>20714.923327634344</v>
      </c>
      <c r="J101" s="96">
        <v>0</v>
      </c>
      <c r="K101" s="96">
        <v>0</v>
      </c>
      <c r="L101" s="96">
        <v>0</v>
      </c>
      <c r="M101" s="96">
        <v>0</v>
      </c>
      <c r="N101" s="96">
        <v>0</v>
      </c>
      <c r="O101" s="96">
        <v>1</v>
      </c>
      <c r="P101" s="96">
        <v>0</v>
      </c>
      <c r="Q101" s="96">
        <v>0</v>
      </c>
      <c r="R101" s="96">
        <v>0</v>
      </c>
      <c r="S101" s="96">
        <v>0</v>
      </c>
      <c r="T101" s="96">
        <v>0</v>
      </c>
      <c r="U101" s="96">
        <v>0</v>
      </c>
    </row>
    <row r="102" spans="5:21">
      <c r="F102">
        <v>7</v>
      </c>
      <c r="G102">
        <v>21885.815384650778</v>
      </c>
      <c r="J102" s="96">
        <v>0</v>
      </c>
      <c r="K102" s="96">
        <v>0</v>
      </c>
      <c r="L102" s="96">
        <v>0</v>
      </c>
      <c r="M102" s="96">
        <v>0</v>
      </c>
      <c r="N102" s="96">
        <v>0</v>
      </c>
      <c r="O102" s="96">
        <v>0</v>
      </c>
      <c r="P102" s="96">
        <v>1</v>
      </c>
      <c r="Q102" s="96">
        <v>0</v>
      </c>
      <c r="R102" s="96">
        <v>0</v>
      </c>
      <c r="S102" s="96">
        <v>0</v>
      </c>
      <c r="T102" s="96">
        <v>0</v>
      </c>
      <c r="U102" s="96">
        <v>0</v>
      </c>
    </row>
    <row r="103" spans="5:21">
      <c r="F103">
        <v>8</v>
      </c>
      <c r="G103">
        <v>23304.562054660146</v>
      </c>
      <c r="J103" s="96">
        <v>0</v>
      </c>
      <c r="K103" s="96">
        <v>0</v>
      </c>
      <c r="L103" s="96">
        <v>0</v>
      </c>
      <c r="M103" s="96">
        <v>0</v>
      </c>
      <c r="N103" s="96">
        <v>0</v>
      </c>
      <c r="O103" s="96">
        <v>0</v>
      </c>
      <c r="P103" s="96">
        <v>0</v>
      </c>
      <c r="Q103" s="96">
        <v>1</v>
      </c>
      <c r="R103" s="96">
        <v>0</v>
      </c>
      <c r="S103" s="96">
        <v>0</v>
      </c>
      <c r="T103" s="96">
        <v>0</v>
      </c>
      <c r="U103" s="96">
        <v>0</v>
      </c>
    </row>
    <row r="104" spans="5:21">
      <c r="F104">
        <v>9</v>
      </c>
      <c r="G104">
        <v>24592.120735725828</v>
      </c>
      <c r="J104" s="96">
        <v>0</v>
      </c>
      <c r="K104" s="96">
        <v>0</v>
      </c>
      <c r="L104" s="96">
        <v>0</v>
      </c>
      <c r="M104" s="96">
        <v>0</v>
      </c>
      <c r="N104" s="96">
        <v>0</v>
      </c>
      <c r="O104" s="96">
        <v>0</v>
      </c>
      <c r="P104" s="96">
        <v>0</v>
      </c>
      <c r="Q104" s="96">
        <v>0</v>
      </c>
      <c r="R104" s="96">
        <v>1</v>
      </c>
      <c r="S104" s="96">
        <v>0</v>
      </c>
      <c r="T104" s="96">
        <v>0</v>
      </c>
      <c r="U104" s="96">
        <v>0</v>
      </c>
    </row>
    <row r="105" spans="5:21">
      <c r="F105">
        <v>10</v>
      </c>
      <c r="G105">
        <v>25879.627147756917</v>
      </c>
      <c r="J105" s="96">
        <v>0</v>
      </c>
      <c r="K105" s="96">
        <v>0</v>
      </c>
      <c r="L105" s="96">
        <v>0</v>
      </c>
      <c r="M105" s="96">
        <v>0</v>
      </c>
      <c r="N105" s="96">
        <v>0</v>
      </c>
      <c r="O105" s="96">
        <v>0</v>
      </c>
      <c r="P105" s="96">
        <v>0</v>
      </c>
      <c r="Q105" s="96">
        <v>0</v>
      </c>
      <c r="R105" s="96">
        <v>0</v>
      </c>
      <c r="S105" s="96">
        <v>1</v>
      </c>
      <c r="T105" s="96">
        <v>0</v>
      </c>
      <c r="U105" s="96">
        <v>0</v>
      </c>
    </row>
    <row r="106" spans="5:21">
      <c r="F106">
        <v>11</v>
      </c>
      <c r="G106">
        <v>27167.251419800046</v>
      </c>
      <c r="J106" s="96">
        <v>0</v>
      </c>
      <c r="K106" s="96">
        <v>0</v>
      </c>
      <c r="L106" s="96">
        <v>0</v>
      </c>
      <c r="M106" s="96">
        <v>0</v>
      </c>
      <c r="N106" s="96">
        <v>0</v>
      </c>
      <c r="O106" s="96">
        <v>0</v>
      </c>
      <c r="P106" s="96">
        <v>0</v>
      </c>
      <c r="Q106" s="96">
        <v>0</v>
      </c>
      <c r="R106" s="96">
        <v>0</v>
      </c>
      <c r="S106" s="96">
        <v>0</v>
      </c>
      <c r="T106" s="96">
        <v>1</v>
      </c>
      <c r="U106" s="96">
        <v>0</v>
      </c>
    </row>
    <row r="107" spans="5:21">
      <c r="F107">
        <v>12</v>
      </c>
      <c r="G107">
        <v>28325.99393137667</v>
      </c>
      <c r="J107" s="96">
        <v>0</v>
      </c>
      <c r="K107" s="96">
        <v>0</v>
      </c>
      <c r="L107" s="96">
        <v>0</v>
      </c>
      <c r="M107" s="96">
        <v>0</v>
      </c>
      <c r="N107" s="96">
        <v>0</v>
      </c>
      <c r="O107" s="96">
        <v>0</v>
      </c>
      <c r="P107" s="96">
        <v>0</v>
      </c>
      <c r="Q107" s="96">
        <v>0</v>
      </c>
      <c r="R107" s="96">
        <v>0</v>
      </c>
      <c r="S107" s="96">
        <v>0</v>
      </c>
      <c r="T107" s="96">
        <v>0</v>
      </c>
      <c r="U107" s="96">
        <v>1</v>
      </c>
    </row>
    <row r="108" spans="5:21">
      <c r="E108" s="72" t="s">
        <v>111</v>
      </c>
      <c r="F108" s="73"/>
      <c r="G108" s="73"/>
      <c r="H108" s="73"/>
      <c r="I108" s="73"/>
      <c r="J108" s="73" cm="1">
        <f t="array" ref="J108:U108">_xlfn.BYCOL(_xlfn.ANCHORARRAY( J95), _xlfn.LAMBDA(_xlpm.month_col, SUMPRODUCT( $G95:$G107, _xlpm.month_col ) ) )</f>
        <v>14291.746133641296</v>
      </c>
      <c r="K108" s="73">
        <v>15564.201475969141</v>
      </c>
      <c r="L108" s="73">
        <v>16731.417190386317</v>
      </c>
      <c r="M108" s="73">
        <v>18139.486711616155</v>
      </c>
      <c r="N108" s="73">
        <v>19307.938838615664</v>
      </c>
      <c r="O108" s="73">
        <v>20714.923327634344</v>
      </c>
      <c r="P108" s="73">
        <v>21885.815384650778</v>
      </c>
      <c r="Q108" s="73">
        <v>23304.562054660146</v>
      </c>
      <c r="R108" s="73">
        <v>24592.120735725828</v>
      </c>
      <c r="S108" s="73">
        <v>25879.627147756917</v>
      </c>
      <c r="T108" s="73">
        <v>27167.251419800046</v>
      </c>
      <c r="U108" s="73">
        <v>28325.99393137667</v>
      </c>
    </row>
    <row r="111" spans="5:21">
      <c r="E111" t="s">
        <v>112</v>
      </c>
      <c r="G111" t="s">
        <v>81</v>
      </c>
      <c r="J111" cm="1">
        <f t="array" ref="J111:U111" xml:space="preserve"> _xlfn.DROP( _xlfn.HSTACK( $G95,_xlfn.ANCHORARRAY( J114) ),, - 1 )</f>
        <v>100000</v>
      </c>
      <c r="K111">
        <v>14291.746133641296</v>
      </c>
      <c r="L111">
        <v>15564.201475969141</v>
      </c>
      <c r="M111">
        <v>16731.417190386317</v>
      </c>
      <c r="N111">
        <v>18139.486711616155</v>
      </c>
      <c r="O111">
        <v>19307.938838615664</v>
      </c>
      <c r="P111">
        <v>20714.923327634344</v>
      </c>
      <c r="Q111">
        <v>21885.815384650778</v>
      </c>
      <c r="R111">
        <v>23304.562054660146</v>
      </c>
      <c r="S111">
        <v>24592.120735725828</v>
      </c>
      <c r="T111">
        <v>25879.627147756917</v>
      </c>
      <c r="U111">
        <v>27167.251419800046</v>
      </c>
    </row>
    <row r="112" spans="5:21">
      <c r="E112" s="70" t="s">
        <v>115</v>
      </c>
      <c r="G112" t="s">
        <v>81</v>
      </c>
      <c r="J112" cm="1">
        <f t="array" ref="J112:U112" xml:space="preserve"> TRANSPOSE(_xlfn.ANCHORARRAY( $G96) )</f>
        <v>14291.746133641296</v>
      </c>
      <c r="K112">
        <v>15564.201475969141</v>
      </c>
      <c r="L112">
        <v>16731.417190386317</v>
      </c>
      <c r="M112">
        <v>18139.486711616155</v>
      </c>
      <c r="N112">
        <v>19307.938838615664</v>
      </c>
      <c r="O112">
        <v>20714.923327634344</v>
      </c>
      <c r="P112">
        <v>21885.815384650778</v>
      </c>
      <c r="Q112">
        <v>23304.562054660146</v>
      </c>
      <c r="R112">
        <v>24592.120735725828</v>
      </c>
      <c r="S112">
        <v>25879.627147756917</v>
      </c>
      <c r="T112">
        <v>27167.251419800046</v>
      </c>
      <c r="U112">
        <v>28325.99393137667</v>
      </c>
    </row>
    <row r="113" spans="1:21">
      <c r="E113" s="70" t="s">
        <v>122</v>
      </c>
      <c r="G113" t="s">
        <v>81</v>
      </c>
      <c r="J113" cm="1">
        <f t="array" ref="J113:U113" xml:space="preserve"> _xlfn.LET(
      _xlpm.ap_opening,_xlfn.ANCHORARRAY(   J111),
      _xlpm.po,_xlfn.ANCHORARRAY(           J112),
      _xlpm.ap_closing,_xlfn.ANCHORARRAY(   J114),
      ( _xlpm.ap_opening + _xlpm.po - _xlpm.ap_closing ) * - 1 )</f>
        <v>-100000</v>
      </c>
      <c r="K113">
        <v>-14291.746133641296</v>
      </c>
      <c r="L113">
        <v>-15564.201475969141</v>
      </c>
      <c r="M113">
        <v>-16731.417190386317</v>
      </c>
      <c r="N113">
        <v>-18139.486711616155</v>
      </c>
      <c r="O113">
        <v>-19307.938838615664</v>
      </c>
      <c r="P113">
        <v>-20714.923327634344</v>
      </c>
      <c r="Q113">
        <v>-21885.815384650774</v>
      </c>
      <c r="R113">
        <v>-23304.562054660146</v>
      </c>
      <c r="S113">
        <v>-24592.120735725832</v>
      </c>
      <c r="T113">
        <v>-25879.627147756921</v>
      </c>
      <c r="U113">
        <v>-27167.251419800046</v>
      </c>
    </row>
    <row r="114" spans="1:21">
      <c r="E114" s="74" t="s">
        <v>118</v>
      </c>
      <c r="F114" s="75"/>
      <c r="G114" s="75" t="s">
        <v>81</v>
      </c>
      <c r="H114" s="75"/>
      <c r="I114" s="75"/>
      <c r="J114" s="73" cm="1">
        <f t="array" ref="J114:U114">_xlfn.ANCHORARRAY( J108)</f>
        <v>14291.746133641296</v>
      </c>
      <c r="K114" s="73">
        <v>15564.201475969141</v>
      </c>
      <c r="L114" s="73">
        <v>16731.417190386317</v>
      </c>
      <c r="M114" s="73">
        <v>18139.486711616155</v>
      </c>
      <c r="N114" s="73">
        <v>19307.938838615664</v>
      </c>
      <c r="O114" s="73">
        <v>20714.923327634344</v>
      </c>
      <c r="P114" s="73">
        <v>21885.815384650778</v>
      </c>
      <c r="Q114" s="73">
        <v>23304.562054660146</v>
      </c>
      <c r="R114" s="73">
        <v>24592.120735725828</v>
      </c>
      <c r="S114" s="73">
        <v>25879.627147756917</v>
      </c>
      <c r="T114" s="73">
        <v>27167.251419800046</v>
      </c>
      <c r="U114" s="73">
        <v>28325.99393137667</v>
      </c>
    </row>
    <row r="117" spans="1:21">
      <c r="C117" s="76" t="s">
        <v>24</v>
      </c>
    </row>
    <row r="119" spans="1:21">
      <c r="E119" t="s">
        <v>62</v>
      </c>
      <c r="F119" s="67">
        <f>INDEX( CaseData!$L$26:$L$30, MATCH( $C117, CaseData!$I$26:$I$30, 0 ) ) / days_per_month</f>
        <v>0.5</v>
      </c>
      <c r="G119" t="s">
        <v>50</v>
      </c>
    </row>
    <row r="120" spans="1:21">
      <c r="F120" s="61"/>
    </row>
    <row r="121" spans="1:21">
      <c r="F121" s="63" t="s">
        <v>63</v>
      </c>
      <c r="G121" s="64" t="s">
        <v>114</v>
      </c>
      <c r="J121" s="80" cm="1">
        <f t="array" ref="J121:U121">_xlfn.SEQUENCE( 1, periods, 1, 1 )</f>
        <v>1</v>
      </c>
      <c r="K121" s="80">
        <v>2</v>
      </c>
      <c r="L121" s="80">
        <v>3</v>
      </c>
      <c r="M121" s="80">
        <v>4</v>
      </c>
      <c r="N121" s="80">
        <v>5</v>
      </c>
      <c r="O121" s="80">
        <v>6</v>
      </c>
      <c r="P121" s="80">
        <v>7</v>
      </c>
      <c r="Q121" s="80">
        <v>8</v>
      </c>
      <c r="R121" s="80">
        <v>9</v>
      </c>
      <c r="S121" s="80">
        <v>10</v>
      </c>
      <c r="T121" s="80">
        <v>11</v>
      </c>
      <c r="U121" s="80">
        <v>12</v>
      </c>
    </row>
    <row r="122" spans="1:21" s="66" customFormat="1">
      <c r="A122" s="65"/>
      <c r="F122" s="56">
        <f xml:space="preserve"> $F123 - 1</f>
        <v>0</v>
      </c>
      <c r="G122" s="66">
        <f xml:space="preserve"> INDEX( CaseData!$M$26:$M$30, MATCH( $C117, CaseData!$I$26:$I$30, 0 ) )</f>
        <v>75000</v>
      </c>
      <c r="J122" s="95" cm="1">
        <f t="array" ref="J122:U134">IF(_xlfn.ANCHORARRAY( J121) - $F122:$F134 &lt; 0, 0, IF(_xlfn.ANCHORARRAY( J121) - $F122:$F134 &lt; INT($F119), 1, IF(_xlfn.ANCHORARRAY( J121) - $F122:$F134 &lt; $F119, MOD($F119, 1), 0 ) ) )</f>
        <v>0</v>
      </c>
      <c r="K122" s="95">
        <v>0</v>
      </c>
      <c r="L122" s="95">
        <v>0</v>
      </c>
      <c r="M122" s="95">
        <v>0</v>
      </c>
      <c r="N122" s="95">
        <v>0</v>
      </c>
      <c r="O122" s="95">
        <v>0</v>
      </c>
      <c r="P122" s="95">
        <v>0</v>
      </c>
      <c r="Q122" s="95">
        <v>0</v>
      </c>
      <c r="R122" s="95">
        <v>0</v>
      </c>
      <c r="S122" s="95">
        <v>0</v>
      </c>
      <c r="T122" s="95">
        <v>0</v>
      </c>
      <c r="U122" s="95">
        <v>0</v>
      </c>
    </row>
    <row r="123" spans="1:21">
      <c r="F123" cm="1">
        <f t="array" ref="F123:F134" xml:space="preserve"> _xlfn.SEQUENCE( periods, 1, 1, 1 )</f>
        <v>1</v>
      </c>
      <c r="G123" cm="1">
        <f t="array" ref="G123:G134" xml:space="preserve"> _xlfn.LET(
      _xlpm.purchase_orders,_xlfn.ANCHORARRAY(   'Purchasing Plan'!$J$99),
      _xlpm.suppliers,_xlfn.ANCHORARRAY(         'Purchasing Plan'!$E$99),
      _xlpm.current_supplier,  $C117,
      _xlpm.zero_row,          _xlfn.SEQUENCE( 1, COLUMNS( _xlpm.purchase_orders ), 0, 0 ),
      IFERROR(
        TRANSPOSE( INDEX( _xlpm.purchase_orders, MATCH( _xlpm.current_supplier, _xlpm.suppliers, 0 ), 0 ) ),
        TRANSPOSE( _xlpm.zero_row ) ) )</f>
        <v>62670.904233375586</v>
      </c>
      <c r="J123" s="96">
        <v>0.5</v>
      </c>
      <c r="K123" s="96">
        <v>0</v>
      </c>
      <c r="L123" s="96">
        <v>0</v>
      </c>
      <c r="M123" s="96">
        <v>0</v>
      </c>
      <c r="N123" s="96">
        <v>0</v>
      </c>
      <c r="O123" s="96">
        <v>0</v>
      </c>
      <c r="P123" s="96">
        <v>0</v>
      </c>
      <c r="Q123" s="96">
        <v>0</v>
      </c>
      <c r="R123" s="96">
        <v>0</v>
      </c>
      <c r="S123" s="96">
        <v>0</v>
      </c>
      <c r="T123" s="96">
        <v>0</v>
      </c>
      <c r="U123" s="96">
        <v>0</v>
      </c>
    </row>
    <row r="124" spans="1:21">
      <c r="F124">
        <v>2</v>
      </c>
      <c r="G124">
        <v>68111.925163940177</v>
      </c>
      <c r="J124" s="96">
        <v>0</v>
      </c>
      <c r="K124" s="96">
        <v>0.5</v>
      </c>
      <c r="L124" s="96">
        <v>0</v>
      </c>
      <c r="M124" s="96">
        <v>0</v>
      </c>
      <c r="N124" s="96">
        <v>0</v>
      </c>
      <c r="O124" s="96">
        <v>0</v>
      </c>
      <c r="P124" s="96">
        <v>0</v>
      </c>
      <c r="Q124" s="96">
        <v>0</v>
      </c>
      <c r="R124" s="96">
        <v>0</v>
      </c>
      <c r="S124" s="96">
        <v>0</v>
      </c>
      <c r="T124" s="96">
        <v>0</v>
      </c>
      <c r="U124" s="96">
        <v>0</v>
      </c>
    </row>
    <row r="125" spans="1:21">
      <c r="F125">
        <v>3</v>
      </c>
      <c r="G125">
        <v>73745.826618232473</v>
      </c>
      <c r="J125" s="96">
        <v>0</v>
      </c>
      <c r="K125" s="96">
        <v>0</v>
      </c>
      <c r="L125" s="96">
        <v>0.5</v>
      </c>
      <c r="M125" s="96">
        <v>0</v>
      </c>
      <c r="N125" s="96">
        <v>0</v>
      </c>
      <c r="O125" s="96">
        <v>0</v>
      </c>
      <c r="P125" s="96">
        <v>0</v>
      </c>
      <c r="Q125" s="96">
        <v>0</v>
      </c>
      <c r="R125" s="96">
        <v>0</v>
      </c>
      <c r="S125" s="96">
        <v>0</v>
      </c>
      <c r="T125" s="96">
        <v>0</v>
      </c>
      <c r="U125" s="96">
        <v>0</v>
      </c>
    </row>
    <row r="126" spans="1:21">
      <c r="F126">
        <v>4</v>
      </c>
      <c r="G126">
        <v>79500.083728666767</v>
      </c>
      <c r="J126" s="96">
        <v>0</v>
      </c>
      <c r="K126" s="96">
        <v>0</v>
      </c>
      <c r="L126" s="96">
        <v>0</v>
      </c>
      <c r="M126" s="96">
        <v>0.5</v>
      </c>
      <c r="N126" s="96">
        <v>0</v>
      </c>
      <c r="O126" s="96">
        <v>0</v>
      </c>
      <c r="P126" s="96">
        <v>0</v>
      </c>
      <c r="Q126" s="96">
        <v>0</v>
      </c>
      <c r="R126" s="96">
        <v>0</v>
      </c>
      <c r="S126" s="96">
        <v>0</v>
      </c>
      <c r="T126" s="96">
        <v>0</v>
      </c>
      <c r="U126" s="96">
        <v>0</v>
      </c>
    </row>
    <row r="127" spans="1:21">
      <c r="F127">
        <v>5</v>
      </c>
      <c r="G127">
        <v>84936.15358472435</v>
      </c>
      <c r="J127" s="96">
        <v>0</v>
      </c>
      <c r="K127" s="96">
        <v>0</v>
      </c>
      <c r="L127" s="96">
        <v>0</v>
      </c>
      <c r="M127" s="96">
        <v>0</v>
      </c>
      <c r="N127" s="96">
        <v>0.5</v>
      </c>
      <c r="O127" s="96">
        <v>0</v>
      </c>
      <c r="P127" s="96">
        <v>0</v>
      </c>
      <c r="Q127" s="96">
        <v>0</v>
      </c>
      <c r="R127" s="96">
        <v>0</v>
      </c>
      <c r="S127" s="96">
        <v>0</v>
      </c>
      <c r="T127" s="96">
        <v>0</v>
      </c>
      <c r="U127" s="96">
        <v>0</v>
      </c>
    </row>
    <row r="128" spans="1:21">
      <c r="F128">
        <v>6</v>
      </c>
      <c r="G128">
        <v>90688.830535758912</v>
      </c>
      <c r="J128" s="96">
        <v>0</v>
      </c>
      <c r="K128" s="96">
        <v>0</v>
      </c>
      <c r="L128" s="96">
        <v>0</v>
      </c>
      <c r="M128" s="96">
        <v>0</v>
      </c>
      <c r="N128" s="96">
        <v>0</v>
      </c>
      <c r="O128" s="96">
        <v>0.5</v>
      </c>
      <c r="P128" s="96">
        <v>0</v>
      </c>
      <c r="Q128" s="96">
        <v>0</v>
      </c>
      <c r="R128" s="96">
        <v>0</v>
      </c>
      <c r="S128" s="96">
        <v>0</v>
      </c>
      <c r="T128" s="96">
        <v>0</v>
      </c>
      <c r="U128" s="96">
        <v>0</v>
      </c>
    </row>
    <row r="129" spans="1:21">
      <c r="F129">
        <v>7</v>
      </c>
      <c r="G129">
        <v>96128.044071030803</v>
      </c>
      <c r="J129" s="96">
        <v>0</v>
      </c>
      <c r="K129" s="96">
        <v>0</v>
      </c>
      <c r="L129" s="96">
        <v>0</v>
      </c>
      <c r="M129" s="96">
        <v>0</v>
      </c>
      <c r="N129" s="96">
        <v>0</v>
      </c>
      <c r="O129" s="96">
        <v>0</v>
      </c>
      <c r="P129" s="96">
        <v>0.5</v>
      </c>
      <c r="Q129" s="96">
        <v>0</v>
      </c>
      <c r="R129" s="96">
        <v>0</v>
      </c>
      <c r="S129" s="96">
        <v>0</v>
      </c>
      <c r="T129" s="96">
        <v>0</v>
      </c>
      <c r="U129" s="96">
        <v>0</v>
      </c>
    </row>
    <row r="130" spans="1:21">
      <c r="F130">
        <v>8</v>
      </c>
      <c r="G130">
        <v>101830.55981040932</v>
      </c>
      <c r="J130" s="96">
        <v>0</v>
      </c>
      <c r="K130" s="96">
        <v>0</v>
      </c>
      <c r="L130" s="96">
        <v>0</v>
      </c>
      <c r="M130" s="96">
        <v>0</v>
      </c>
      <c r="N130" s="96">
        <v>0</v>
      </c>
      <c r="O130" s="96">
        <v>0</v>
      </c>
      <c r="P130" s="96">
        <v>0</v>
      </c>
      <c r="Q130" s="96">
        <v>0.5</v>
      </c>
      <c r="R130" s="96">
        <v>0</v>
      </c>
      <c r="S130" s="96">
        <v>0</v>
      </c>
      <c r="T130" s="96">
        <v>0</v>
      </c>
      <c r="U130" s="96">
        <v>0</v>
      </c>
    </row>
    <row r="131" spans="1:21">
      <c r="F131">
        <v>9</v>
      </c>
      <c r="G131">
        <v>107293.24025593705</v>
      </c>
      <c r="J131" s="96">
        <v>0</v>
      </c>
      <c r="K131" s="96">
        <v>0</v>
      </c>
      <c r="L131" s="96">
        <v>0</v>
      </c>
      <c r="M131" s="96">
        <v>0</v>
      </c>
      <c r="N131" s="96">
        <v>0</v>
      </c>
      <c r="O131" s="96">
        <v>0</v>
      </c>
      <c r="P131" s="96">
        <v>0</v>
      </c>
      <c r="Q131" s="96">
        <v>0</v>
      </c>
      <c r="R131" s="96">
        <v>0.5</v>
      </c>
      <c r="S131" s="96">
        <v>0</v>
      </c>
      <c r="T131" s="96">
        <v>0</v>
      </c>
      <c r="U131" s="96">
        <v>0</v>
      </c>
    </row>
    <row r="132" spans="1:21">
      <c r="F132">
        <v>10</v>
      </c>
      <c r="G132">
        <v>113020.29607970628</v>
      </c>
      <c r="J132" s="96">
        <v>0</v>
      </c>
      <c r="K132" s="96">
        <v>0</v>
      </c>
      <c r="L132" s="96">
        <v>0</v>
      </c>
      <c r="M132" s="96">
        <v>0</v>
      </c>
      <c r="N132" s="96">
        <v>0</v>
      </c>
      <c r="O132" s="96">
        <v>0</v>
      </c>
      <c r="P132" s="96">
        <v>0</v>
      </c>
      <c r="Q132" s="96">
        <v>0</v>
      </c>
      <c r="R132" s="96">
        <v>0</v>
      </c>
      <c r="S132" s="96">
        <v>0.5</v>
      </c>
      <c r="T132" s="96">
        <v>0</v>
      </c>
      <c r="U132" s="96">
        <v>0</v>
      </c>
    </row>
    <row r="133" spans="1:21">
      <c r="F133">
        <v>11</v>
      </c>
      <c r="G133">
        <v>118485.68341271096</v>
      </c>
      <c r="J133" s="96">
        <v>0</v>
      </c>
      <c r="K133" s="96">
        <v>0</v>
      </c>
      <c r="L133" s="96">
        <v>0</v>
      </c>
      <c r="M133" s="96">
        <v>0</v>
      </c>
      <c r="N133" s="96">
        <v>0</v>
      </c>
      <c r="O133" s="96">
        <v>0</v>
      </c>
      <c r="P133" s="96">
        <v>0</v>
      </c>
      <c r="Q133" s="96">
        <v>0</v>
      </c>
      <c r="R133" s="96">
        <v>0</v>
      </c>
      <c r="S133" s="96">
        <v>0</v>
      </c>
      <c r="T133" s="96">
        <v>0.5</v>
      </c>
      <c r="U133" s="96">
        <v>0</v>
      </c>
    </row>
    <row r="134" spans="1:21">
      <c r="F134">
        <v>12</v>
      </c>
      <c r="G134">
        <v>123071.32238315538</v>
      </c>
      <c r="J134" s="96">
        <v>0</v>
      </c>
      <c r="K134" s="96">
        <v>0</v>
      </c>
      <c r="L134" s="96">
        <v>0</v>
      </c>
      <c r="M134" s="96">
        <v>0</v>
      </c>
      <c r="N134" s="96">
        <v>0</v>
      </c>
      <c r="O134" s="96">
        <v>0</v>
      </c>
      <c r="P134" s="96">
        <v>0</v>
      </c>
      <c r="Q134" s="96">
        <v>0</v>
      </c>
      <c r="R134" s="96">
        <v>0</v>
      </c>
      <c r="S134" s="96">
        <v>0</v>
      </c>
      <c r="T134" s="96">
        <v>0</v>
      </c>
      <c r="U134" s="96">
        <v>0.5</v>
      </c>
    </row>
    <row r="135" spans="1:21">
      <c r="E135" s="72" t="s">
        <v>111</v>
      </c>
      <c r="F135" s="73"/>
      <c r="G135" s="73"/>
      <c r="H135" s="73"/>
      <c r="I135" s="73"/>
      <c r="J135" s="73" cm="1">
        <f t="array" ref="J135:U135">_xlfn.BYCOL(_xlfn.ANCHORARRAY( J122), _xlfn.LAMBDA(_xlpm.month_col, SUMPRODUCT( $G122:$G134, _xlpm.month_col ) ) )</f>
        <v>31335.452116687793</v>
      </c>
      <c r="K135" s="73">
        <v>34055.962581970089</v>
      </c>
      <c r="L135" s="73">
        <v>36872.913309116237</v>
      </c>
      <c r="M135" s="73">
        <v>39750.041864333383</v>
      </c>
      <c r="N135" s="73">
        <v>42468.076792362175</v>
      </c>
      <c r="O135" s="73">
        <v>45344.415267879456</v>
      </c>
      <c r="P135" s="73">
        <v>48064.022035515402</v>
      </c>
      <c r="Q135" s="73">
        <v>50915.279905204661</v>
      </c>
      <c r="R135" s="73">
        <v>53646.620127968527</v>
      </c>
      <c r="S135" s="73">
        <v>56510.148039853142</v>
      </c>
      <c r="T135" s="73">
        <v>59242.841706355481</v>
      </c>
      <c r="U135" s="73">
        <v>61535.661191577688</v>
      </c>
    </row>
    <row r="138" spans="1:21">
      <c r="E138" t="s">
        <v>112</v>
      </c>
      <c r="G138" t="s">
        <v>81</v>
      </c>
      <c r="J138" cm="1">
        <f t="array" ref="J138:U138" xml:space="preserve"> _xlfn.DROP( _xlfn.HSTACK( $G122,_xlfn.ANCHORARRAY( J141) ),, - 1 )</f>
        <v>75000</v>
      </c>
      <c r="K138">
        <v>31335.452116687793</v>
      </c>
      <c r="L138">
        <v>34055.962581970089</v>
      </c>
      <c r="M138">
        <v>36872.913309116237</v>
      </c>
      <c r="N138">
        <v>39750.041864333383</v>
      </c>
      <c r="O138">
        <v>42468.076792362175</v>
      </c>
      <c r="P138">
        <v>45344.415267879456</v>
      </c>
      <c r="Q138">
        <v>48064.022035515402</v>
      </c>
      <c r="R138">
        <v>50915.279905204661</v>
      </c>
      <c r="S138">
        <v>53646.620127968527</v>
      </c>
      <c r="T138">
        <v>56510.148039853142</v>
      </c>
      <c r="U138">
        <v>59242.841706355481</v>
      </c>
    </row>
    <row r="139" spans="1:21">
      <c r="E139" s="70" t="s">
        <v>115</v>
      </c>
      <c r="G139" t="s">
        <v>81</v>
      </c>
      <c r="J139" cm="1">
        <f t="array" ref="J139:U139" xml:space="preserve"> TRANSPOSE(_xlfn.ANCHORARRAY( $G123) )</f>
        <v>62670.904233375586</v>
      </c>
      <c r="K139">
        <v>68111.925163940177</v>
      </c>
      <c r="L139">
        <v>73745.826618232473</v>
      </c>
      <c r="M139">
        <v>79500.083728666767</v>
      </c>
      <c r="N139">
        <v>84936.15358472435</v>
      </c>
      <c r="O139">
        <v>90688.830535758912</v>
      </c>
      <c r="P139">
        <v>96128.044071030803</v>
      </c>
      <c r="Q139">
        <v>101830.55981040932</v>
      </c>
      <c r="R139">
        <v>107293.24025593705</v>
      </c>
      <c r="S139">
        <v>113020.29607970628</v>
      </c>
      <c r="T139">
        <v>118485.68341271096</v>
      </c>
      <c r="U139">
        <v>123071.32238315538</v>
      </c>
    </row>
    <row r="140" spans="1:21">
      <c r="E140" s="70" t="s">
        <v>122</v>
      </c>
      <c r="G140" t="s">
        <v>81</v>
      </c>
      <c r="J140" cm="1">
        <f t="array" ref="J140:U140" xml:space="preserve"> _xlfn.LET(
      _xlpm.ap_opening,_xlfn.ANCHORARRAY(   J138),
      _xlpm.po,_xlfn.ANCHORARRAY(           J139),
      _xlpm.ap_closing,_xlfn.ANCHORARRAY(   J141),
      ( _xlpm.ap_opening + _xlpm.po - _xlpm.ap_closing ) * - 1 )</f>
        <v>-106335.4521166878</v>
      </c>
      <c r="K140">
        <v>-65391.414698657885</v>
      </c>
      <c r="L140">
        <v>-70928.875891086325</v>
      </c>
      <c r="M140">
        <v>-76622.95517344962</v>
      </c>
      <c r="N140">
        <v>-82218.118656695558</v>
      </c>
      <c r="O140">
        <v>-87812.49206024161</v>
      </c>
      <c r="P140">
        <v>-93408.437303394865</v>
      </c>
      <c r="Q140">
        <v>-98979.301940720063</v>
      </c>
      <c r="R140">
        <v>-104561.90003317318</v>
      </c>
      <c r="S140">
        <v>-110156.76816782166</v>
      </c>
      <c r="T140">
        <v>-115752.98974620862</v>
      </c>
      <c r="U140">
        <v>-120778.50289793317</v>
      </c>
    </row>
    <row r="141" spans="1:21">
      <c r="E141" s="74" t="s">
        <v>119</v>
      </c>
      <c r="F141" s="75"/>
      <c r="G141" s="75" t="s">
        <v>81</v>
      </c>
      <c r="H141" s="75"/>
      <c r="I141" s="75"/>
      <c r="J141" s="73" cm="1">
        <f t="array" ref="J141:U141">_xlfn.ANCHORARRAY( J135)</f>
        <v>31335.452116687793</v>
      </c>
      <c r="K141" s="73">
        <v>34055.962581970089</v>
      </c>
      <c r="L141" s="73">
        <v>36872.913309116237</v>
      </c>
      <c r="M141" s="73">
        <v>39750.041864333383</v>
      </c>
      <c r="N141" s="73">
        <v>42468.076792362175</v>
      </c>
      <c r="O141" s="73">
        <v>45344.415267879456</v>
      </c>
      <c r="P141" s="73">
        <v>48064.022035515402</v>
      </c>
      <c r="Q141" s="73">
        <v>50915.279905204661</v>
      </c>
      <c r="R141" s="73">
        <v>53646.620127968527</v>
      </c>
      <c r="S141" s="73">
        <v>56510.148039853142</v>
      </c>
      <c r="T141" s="73">
        <v>59242.841706355481</v>
      </c>
      <c r="U141" s="73">
        <v>61535.661191577688</v>
      </c>
    </row>
    <row r="144" spans="1:21" s="56" customFormat="1">
      <c r="A144" s="57" t="s">
        <v>77</v>
      </c>
    </row>
    <row r="146" spans="2:21">
      <c r="B146" s="79" t="s">
        <v>110</v>
      </c>
    </row>
    <row r="148" spans="2:21">
      <c r="E148" t="s">
        <v>125</v>
      </c>
      <c r="G148" t="s">
        <v>75</v>
      </c>
      <c r="J148" cm="1">
        <f t="array" ref="J148:U148">_xlfn.ANCHORARRAY( J30) +_xlfn.ANCHORARRAY( J57) +_xlfn.ANCHORARRAY( J84) +_xlfn.ANCHORARRAY( J111) +_xlfn.ANCHORARRAY( J138)</f>
        <v>250000</v>
      </c>
      <c r="K148">
        <v>155978.29691579624</v>
      </c>
      <c r="L148">
        <v>169502.84348793526</v>
      </c>
      <c r="M148">
        <v>183521.60627846562</v>
      </c>
      <c r="N148">
        <v>197908.02276459057</v>
      </c>
      <c r="O148">
        <v>211399.21835950937</v>
      </c>
      <c r="P148">
        <v>225781.25087838757</v>
      </c>
      <c r="Q148">
        <v>239281.40574831673</v>
      </c>
      <c r="R148">
        <v>253531.87011891129</v>
      </c>
      <c r="S148">
        <v>267117.11882356065</v>
      </c>
      <c r="T148">
        <v>281407.66726302123</v>
      </c>
      <c r="U148">
        <v>295000.20420418761</v>
      </c>
    </row>
    <row r="149" spans="2:21">
      <c r="E149" s="70" t="s">
        <v>115</v>
      </c>
      <c r="G149" t="s">
        <v>75</v>
      </c>
      <c r="J149" cm="1">
        <f t="array" ref="J149:U149">_xlfn.ANCHORARRAY( J31) +_xlfn.ANCHORARRAY( J58) +_xlfn.ANCHORARRAY( J85) +_xlfn.ANCHORARRAY( J112) +_xlfn.ANCHORARRAY( J139)</f>
        <v>187313.74903248402</v>
      </c>
      <c r="K149">
        <v>203558.80606990535</v>
      </c>
      <c r="L149">
        <v>220394.51958758186</v>
      </c>
      <c r="M149">
        <v>237658.06462892395</v>
      </c>
      <c r="N149">
        <v>253867.29515187154</v>
      </c>
      <c r="O149">
        <v>271125.66614626703</v>
      </c>
      <c r="P149">
        <v>287345.42778383213</v>
      </c>
      <c r="Q149">
        <v>304447.15002411592</v>
      </c>
      <c r="R149">
        <v>320763.7389515292</v>
      </c>
      <c r="S149">
        <v>337917.81530287437</v>
      </c>
      <c r="T149">
        <v>354243.04591054312</v>
      </c>
      <c r="U149">
        <v>368127.34633995127</v>
      </c>
    </row>
    <row r="150" spans="2:21">
      <c r="E150" s="70" t="s">
        <v>122</v>
      </c>
      <c r="G150" t="s">
        <v>75</v>
      </c>
      <c r="J150" cm="1">
        <f t="array" ref="J150:U150">_xlfn.ANCHORARRAY( J32) +_xlfn.ANCHORARRAY( J59) +_xlfn.ANCHORARRAY( J86) +_xlfn.ANCHORARRAY( J113) +_xlfn.ANCHORARRAY( J140)</f>
        <v>-281335.45211668778</v>
      </c>
      <c r="K150">
        <v>-190034.25949776632</v>
      </c>
      <c r="L150">
        <v>-206375.75679705149</v>
      </c>
      <c r="M150">
        <v>-223271.64814279898</v>
      </c>
      <c r="N150">
        <v>-240376.09955695274</v>
      </c>
      <c r="O150">
        <v>-256743.63362738877</v>
      </c>
      <c r="P150">
        <v>-273845.27291390294</v>
      </c>
      <c r="Q150">
        <v>-290196.68565352139</v>
      </c>
      <c r="R150">
        <v>-307178.49024687981</v>
      </c>
      <c r="S150">
        <v>-323627.2668634138</v>
      </c>
      <c r="T150">
        <v>-340650.50896937674</v>
      </c>
      <c r="U150">
        <v>-356535.86539576534</v>
      </c>
    </row>
    <row r="151" spans="2:21">
      <c r="E151" s="75" t="s">
        <v>126</v>
      </c>
      <c r="F151" s="75"/>
      <c r="G151" s="75" t="s">
        <v>75</v>
      </c>
      <c r="H151" s="75"/>
      <c r="I151" s="75"/>
      <c r="J151" s="75" cm="1">
        <f t="array" ref="J151:U151">_xlfn.ANCHORARRAY( J33) +_xlfn.ANCHORARRAY( J60) +_xlfn.ANCHORARRAY( J87) +_xlfn.ANCHORARRAY( J114) +_xlfn.ANCHORARRAY( J141)</f>
        <v>155978.29691579624</v>
      </c>
      <c r="K151" s="75">
        <v>169502.84348793526</v>
      </c>
      <c r="L151" s="75">
        <v>183521.60627846562</v>
      </c>
      <c r="M151" s="75">
        <v>197908.02276459057</v>
      </c>
      <c r="N151" s="75">
        <v>211399.21835950937</v>
      </c>
      <c r="O151" s="75">
        <v>225781.25087838757</v>
      </c>
      <c r="P151" s="75">
        <v>239281.40574831673</v>
      </c>
      <c r="Q151" s="75">
        <v>253531.87011891129</v>
      </c>
      <c r="R151" s="75">
        <v>267117.11882356065</v>
      </c>
      <c r="S151" s="75">
        <v>281407.66726302123</v>
      </c>
      <c r="T151" s="75">
        <v>295000.20420418761</v>
      </c>
      <c r="U151" s="75">
        <v>306591.68514837354</v>
      </c>
    </row>
    <row r="178" spans="1:1" s="56" customFormat="1">
      <c r="A178" s="57" t="s">
        <v>54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60" fitToHeight="0" orientation="landscape" r:id="rId1"/>
  <headerFooter>
    <oddFooter>&amp;L&amp;"Arial,Regular"Financial Modeling Institute
CFM October 2026&amp;C&amp;"Arial,Regular"Page &amp;P of &amp;N&amp;R&amp;"Arial,Regular"&amp;D</oddFooter>
  </headerFooter>
  <rowBreaks count="2" manualBreakCount="2">
    <brk id="62" max="20" man="1"/>
    <brk id="116" max="20" man="1"/>
  </rowBreaks>
  <colBreaks count="2" manualBreakCount="2">
    <brk id="2" max="154" man="1"/>
    <brk id="3" max="154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76AF2-6CA2-4C2A-B263-BECC72EA70F0}">
  <sheetPr>
    <pageSetUpPr autoPageBreaks="0" fitToPage="1"/>
  </sheetPr>
  <dimension ref="A1:X175"/>
  <sheetViews>
    <sheetView showGridLines="0" zoomScale="85" zoomScaleNormal="85" workbookViewId="0">
      <pane xSplit="9" ySplit="3" topLeftCell="J129" activePane="bottomRight" state="frozen"/>
      <selection pane="topRight" activeCell="J1" sqref="J1"/>
      <selection pane="bottomLeft" activeCell="A4" sqref="A4"/>
      <selection pane="bottomRight" activeCell="M150" sqref="M150"/>
    </sheetView>
  </sheetViews>
  <sheetFormatPr defaultRowHeight="13.8"/>
  <cols>
    <col min="1" max="1" width="1.69921875" customWidth="1"/>
    <col min="2" max="4" width="1.59765625" customWidth="1"/>
    <col min="5" max="5" width="32.19921875" customWidth="1"/>
    <col min="6" max="7" width="11.5" customWidth="1"/>
    <col min="8" max="8" width="7.69921875" customWidth="1"/>
    <col min="9" max="9" width="1.59765625" customWidth="1"/>
    <col min="10" max="21" width="11.5" customWidth="1"/>
  </cols>
  <sheetData>
    <row r="1" spans="1:21" s="55" customFormat="1">
      <c r="A1" s="55" t="str">
        <f>company</f>
        <v>Sweet Dreams Co.</v>
      </c>
    </row>
    <row r="2" spans="1:21" s="55" customFormat="1">
      <c r="A2" s="55" t="str" cm="1">
        <f t="array" ref="A2">topic</f>
        <v>CFM Topic: Working Capital</v>
      </c>
    </row>
    <row r="3" spans="1:21" s="55" customFormat="1">
      <c r="A3" s="55" t="s">
        <v>89</v>
      </c>
      <c r="F3" s="55" t="s">
        <v>55</v>
      </c>
      <c r="G3" s="55" t="s">
        <v>56</v>
      </c>
      <c r="H3" s="55" t="s">
        <v>5</v>
      </c>
      <c r="J3" s="58" cm="1">
        <f t="array" ref="J3:U3" xml:space="preserve"> EOMONTH( start_date, _xlfn.SEQUENCE( 1, periods, 0, 1 ) )</f>
        <v>44592</v>
      </c>
      <c r="K3" s="58">
        <v>44620</v>
      </c>
      <c r="L3" s="58">
        <v>44651</v>
      </c>
      <c r="M3" s="58">
        <v>44681</v>
      </c>
      <c r="N3" s="58">
        <v>44712</v>
      </c>
      <c r="O3" s="58">
        <v>44742</v>
      </c>
      <c r="P3" s="58">
        <v>44773</v>
      </c>
      <c r="Q3" s="58">
        <v>44804</v>
      </c>
      <c r="R3" s="58">
        <v>44834</v>
      </c>
      <c r="S3" s="58">
        <v>44865</v>
      </c>
      <c r="T3" s="58">
        <v>44895</v>
      </c>
      <c r="U3" s="58">
        <v>44926</v>
      </c>
    </row>
    <row r="5" spans="1:21" s="56" customFormat="1">
      <c r="A5" s="57" t="s">
        <v>93</v>
      </c>
    </row>
    <row r="7" spans="1:21">
      <c r="E7" s="79"/>
    </row>
    <row r="8" spans="1:21">
      <c r="B8" s="76"/>
      <c r="E8" s="79" t="s">
        <v>8</v>
      </c>
    </row>
    <row r="9" spans="1:21">
      <c r="E9" s="70" t="str" cm="1">
        <f t="array" ref="E9:E16" xml:space="preserve"> TRANSPOSE( CaseData!$C$39:$J$39 )</f>
        <v>Flour</v>
      </c>
      <c r="F9" s="83" cm="1">
        <f t="array" ref="F9:F16">TRANSPOSE( CaseData!$C40:$J40)</f>
        <v>0.3</v>
      </c>
      <c r="G9" t="s">
        <v>83</v>
      </c>
      <c r="J9" cm="1">
        <f t="array" ref="J9:U16" xml:space="preserve"> _xlfn.LET(
      _xlpm.volume,       INDEX( Inventory!$J$91:$U$93,  MATCH( $E8,_xlfn.ANCHORARRAY( Inventory!$E$59), 0), 0 ),
      _xlpm.quantities,   INDEX(_xlfn.ANCHORARRAY( $F9), 0, 1 ),
      _xlpm.volume * _xlpm.quantities)</f>
        <v>32270.367853241329</v>
      </c>
      <c r="K9">
        <v>35002.738025434977</v>
      </c>
      <c r="L9">
        <v>38091.168040072684</v>
      </c>
      <c r="M9">
        <v>40965.969479376821</v>
      </c>
      <c r="N9">
        <v>43840.87585014553</v>
      </c>
      <c r="O9">
        <v>46715.571640766757</v>
      </c>
      <c r="P9">
        <v>49590.478011535452</v>
      </c>
      <c r="Q9">
        <v>52394.741346881296</v>
      </c>
      <c r="R9">
        <v>55128.818023326843</v>
      </c>
      <c r="S9">
        <v>58145.931945486242</v>
      </c>
      <c r="T9">
        <v>60882.868550313098</v>
      </c>
      <c r="U9">
        <v>63245.766074636456</v>
      </c>
    </row>
    <row r="10" spans="1:21">
      <c r="E10" s="70" t="str">
        <v>Sugar</v>
      </c>
      <c r="F10" s="83">
        <v>0.25</v>
      </c>
      <c r="G10" t="s">
        <v>83</v>
      </c>
      <c r="J10">
        <v>26891.973211034441</v>
      </c>
      <c r="K10">
        <v>29168.948354529151</v>
      </c>
      <c r="L10">
        <v>31742.640033393902</v>
      </c>
      <c r="M10">
        <v>34138.307899480686</v>
      </c>
      <c r="N10">
        <v>36534.063208454609</v>
      </c>
      <c r="O10">
        <v>38929.643033972301</v>
      </c>
      <c r="P10">
        <v>41325.39834294621</v>
      </c>
      <c r="Q10">
        <v>43662.284455734414</v>
      </c>
      <c r="R10">
        <v>45940.681686105701</v>
      </c>
      <c r="S10">
        <v>48454.943287905204</v>
      </c>
      <c r="T10">
        <v>50735.723791927587</v>
      </c>
      <c r="U10">
        <v>52704.805062197047</v>
      </c>
    </row>
    <row r="11" spans="1:21">
      <c r="E11" s="70" t="str">
        <v>Butter</v>
      </c>
      <c r="F11" s="83">
        <v>0.15</v>
      </c>
      <c r="G11" t="s">
        <v>83</v>
      </c>
      <c r="J11">
        <v>16135.183926620664</v>
      </c>
      <c r="K11">
        <v>17501.369012717489</v>
      </c>
      <c r="L11">
        <v>19045.584020036342</v>
      </c>
      <c r="M11">
        <v>20482.984739688411</v>
      </c>
      <c r="N11">
        <v>21920.437925072765</v>
      </c>
      <c r="O11">
        <v>23357.785820383378</v>
      </c>
      <c r="P11">
        <v>24795.239005767726</v>
      </c>
      <c r="Q11">
        <v>26197.370673440648</v>
      </c>
      <c r="R11">
        <v>27564.409011663422</v>
      </c>
      <c r="S11">
        <v>29072.965972743121</v>
      </c>
      <c r="T11">
        <v>30441.434275156549</v>
      </c>
      <c r="U11">
        <v>31622.883037318228</v>
      </c>
    </row>
    <row r="12" spans="1:21">
      <c r="E12" s="70" t="str">
        <v>Milk</v>
      </c>
      <c r="F12" s="83">
        <v>0.15</v>
      </c>
      <c r="G12" t="s">
        <v>83</v>
      </c>
      <c r="J12">
        <v>16135.183926620664</v>
      </c>
      <c r="K12">
        <v>17501.369012717489</v>
      </c>
      <c r="L12">
        <v>19045.584020036342</v>
      </c>
      <c r="M12">
        <v>20482.984739688411</v>
      </c>
      <c r="N12">
        <v>21920.437925072765</v>
      </c>
      <c r="O12">
        <v>23357.785820383378</v>
      </c>
      <c r="P12">
        <v>24795.239005767726</v>
      </c>
      <c r="Q12">
        <v>26197.370673440648</v>
      </c>
      <c r="R12">
        <v>27564.409011663422</v>
      </c>
      <c r="S12">
        <v>29072.965972743121</v>
      </c>
      <c r="T12">
        <v>30441.434275156549</v>
      </c>
      <c r="U12">
        <v>31622.883037318228</v>
      </c>
    </row>
    <row r="13" spans="1:21">
      <c r="E13" s="70" t="str">
        <v>Eggs</v>
      </c>
      <c r="F13" s="83">
        <v>0.15</v>
      </c>
      <c r="G13" t="s">
        <v>83</v>
      </c>
      <c r="J13">
        <v>16135.183926620664</v>
      </c>
      <c r="K13">
        <v>17501.369012717489</v>
      </c>
      <c r="L13">
        <v>19045.584020036342</v>
      </c>
      <c r="M13">
        <v>20482.984739688411</v>
      </c>
      <c r="N13">
        <v>21920.437925072765</v>
      </c>
      <c r="O13">
        <v>23357.785820383378</v>
      </c>
      <c r="P13">
        <v>24795.239005767726</v>
      </c>
      <c r="Q13">
        <v>26197.370673440648</v>
      </c>
      <c r="R13">
        <v>27564.409011663422</v>
      </c>
      <c r="S13">
        <v>29072.965972743121</v>
      </c>
      <c r="T13">
        <v>30441.434275156549</v>
      </c>
      <c r="U13">
        <v>31622.883037318228</v>
      </c>
    </row>
    <row r="14" spans="1:21">
      <c r="E14" s="70" t="str">
        <v>Chocolate</v>
      </c>
      <c r="F14" s="83">
        <v>0.1</v>
      </c>
      <c r="G14" t="s">
        <v>83</v>
      </c>
      <c r="J14">
        <v>10756.789284413777</v>
      </c>
      <c r="K14">
        <v>11667.579341811661</v>
      </c>
      <c r="L14">
        <v>12697.056013357562</v>
      </c>
      <c r="M14">
        <v>13655.323159792275</v>
      </c>
      <c r="N14">
        <v>14613.625283381843</v>
      </c>
      <c r="O14">
        <v>15571.857213588921</v>
      </c>
      <c r="P14">
        <v>16530.159337178484</v>
      </c>
      <c r="Q14">
        <v>17464.913782293766</v>
      </c>
      <c r="R14">
        <v>18376.27267444228</v>
      </c>
      <c r="S14">
        <v>19381.977315162083</v>
      </c>
      <c r="T14">
        <v>20294.289516771038</v>
      </c>
      <c r="U14">
        <v>21081.922024878819</v>
      </c>
    </row>
    <row r="15" spans="1:21">
      <c r="E15" s="70" t="str">
        <v>Raisins</v>
      </c>
      <c r="F15" s="83">
        <v>0</v>
      </c>
      <c r="G15" t="s">
        <v>83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</row>
    <row r="16" spans="1:21">
      <c r="E16" s="70" t="str">
        <v>Bananas</v>
      </c>
      <c r="F16" s="83">
        <v>0</v>
      </c>
      <c r="G16" t="s">
        <v>83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</row>
    <row r="17" spans="2:21">
      <c r="E17" s="73" t="s">
        <v>91</v>
      </c>
      <c r="F17" s="73"/>
      <c r="G17" s="73" t="s">
        <v>83</v>
      </c>
      <c r="H17" s="73"/>
      <c r="I17" s="73"/>
      <c r="J17" s="73" cm="1">
        <f t="array" ref="J17:U17">_xlfn.BYCOL(_xlfn.ANCHORARRAY( J9), _xleta.SUM )</f>
        <v>118324.68212855155</v>
      </c>
      <c r="K17" s="73">
        <v>128343.37275992827</v>
      </c>
      <c r="L17" s="73">
        <v>139667.61614693317</v>
      </c>
      <c r="M17" s="73">
        <v>150208.55475771503</v>
      </c>
      <c r="N17" s="73">
        <v>160749.87811720028</v>
      </c>
      <c r="O17" s="73">
        <v>171290.4293494781</v>
      </c>
      <c r="P17" s="73">
        <v>181831.75270896332</v>
      </c>
      <c r="Q17" s="73">
        <v>192114.05160523142</v>
      </c>
      <c r="R17" s="73">
        <v>202138.99941886507</v>
      </c>
      <c r="S17" s="73">
        <v>213201.75046678286</v>
      </c>
      <c r="T17" s="73">
        <v>223237.18468448138</v>
      </c>
      <c r="U17" s="73">
        <v>231901.14227366701</v>
      </c>
    </row>
    <row r="18" spans="2:21" ht="14.4">
      <c r="E18" s="85" t="s">
        <v>92</v>
      </c>
      <c r="G18" t="s">
        <v>83</v>
      </c>
      <c r="J18" cm="1">
        <f t="array" ref="J18:U18" xml:space="preserve"> _xlfn.LET(
      _xlpm.volume,       INDEX(_xlfn.ANCHORARRAY( Inventory!$J$59),  MATCH( $E8,_xlfn.ANCHORARRAY( Inventory!E59), 0), 0 ),
      _xlpm.ingredients,  INDEX(_xlfn.ANCHORARRAY( J17), 1, 0 ),
      _xlpm.ingredients - _xlpm.volume )</f>
        <v>12915.072004157395</v>
      </c>
      <c r="K18">
        <v>14300.631756559655</v>
      </c>
      <c r="L18">
        <v>15092.665484572601</v>
      </c>
      <c r="M18">
        <v>16051.166210494295</v>
      </c>
      <c r="N18">
        <v>17009.11736717145</v>
      </c>
      <c r="O18">
        <v>17967.700264290906</v>
      </c>
      <c r="P18">
        <v>18925.651420968061</v>
      </c>
      <c r="Q18">
        <v>19625.981982077821</v>
      </c>
      <c r="R18">
        <v>21006.656996575271</v>
      </c>
      <c r="S18">
        <v>21547.870755961019</v>
      </c>
      <c r="T18">
        <v>22919.731210463651</v>
      </c>
      <c r="U18">
        <v>21081.922024878819</v>
      </c>
    </row>
    <row r="21" spans="2:21">
      <c r="E21" s="79"/>
    </row>
    <row r="22" spans="2:21">
      <c r="B22" s="76"/>
      <c r="E22" s="79" t="s">
        <v>9</v>
      </c>
    </row>
    <row r="23" spans="2:21">
      <c r="E23" s="70" t="str" cm="1">
        <f t="array" ref="E23:E30" xml:space="preserve"> TRANSPOSE( CaseData!$C$39:$J$39 )</f>
        <v>Flour</v>
      </c>
      <c r="F23" s="83" cm="1">
        <f t="array" ref="F23:F30">TRANSPOSE( CaseData!$C41:$J41)</f>
        <v>0.32100000000000001</v>
      </c>
      <c r="G23" t="s">
        <v>83</v>
      </c>
      <c r="J23" cm="1">
        <f t="array" ref="J23:U30" xml:space="preserve"> _xlfn.LET(
      _xlpm.volume,       INDEX( Inventory!$J$91:$U$93,  MATCH( $E22,_xlfn.ANCHORARRAY( Inventory!$E$59), 0), 0 ),
      _xlpm.quantities,   INDEX(_xlfn.ANCHORARRAY( $F23), 0, 1 ),
      _xlpm.volume * _xlpm.quantities)</f>
        <v>21035.583974042165</v>
      </c>
      <c r="K23">
        <v>22908.472070182466</v>
      </c>
      <c r="L23">
        <v>24626.461177101235</v>
      </c>
      <c r="M23">
        <v>26698.955634961647</v>
      </c>
      <c r="N23">
        <v>28418.764579740608</v>
      </c>
      <c r="O23">
        <v>30489.662011878696</v>
      </c>
      <c r="P23">
        <v>32213.062215016274</v>
      </c>
      <c r="Q23">
        <v>34301.272041569566</v>
      </c>
      <c r="R23">
        <v>36196.390280012798</v>
      </c>
      <c r="S23">
        <v>38091.431585262835</v>
      </c>
      <c r="T23">
        <v>39986.646365059445</v>
      </c>
      <c r="U23">
        <v>41692.164023897982</v>
      </c>
    </row>
    <row r="24" spans="2:21">
      <c r="E24" s="70" t="str">
        <v>Sugar</v>
      </c>
      <c r="F24" s="83">
        <v>0.24</v>
      </c>
      <c r="G24" t="s">
        <v>83</v>
      </c>
      <c r="J24">
        <v>15727.53941984461</v>
      </c>
      <c r="K24">
        <v>17127.82958518315</v>
      </c>
      <c r="L24">
        <v>18412.307422131762</v>
      </c>
      <c r="M24">
        <v>19961.835988756371</v>
      </c>
      <c r="N24">
        <v>21247.67445214251</v>
      </c>
      <c r="O24">
        <v>22796.008980843882</v>
      </c>
      <c r="P24">
        <v>24084.532497208427</v>
      </c>
      <c r="Q24">
        <v>25645.810872201542</v>
      </c>
      <c r="R24">
        <v>27062.721704682463</v>
      </c>
      <c r="S24">
        <v>28479.575017018939</v>
      </c>
      <c r="T24">
        <v>29896.558029950989</v>
      </c>
      <c r="U24">
        <v>31171.71141973681</v>
      </c>
    </row>
    <row r="25" spans="2:21">
      <c r="E25" s="70" t="str">
        <v>Butter</v>
      </c>
      <c r="F25" s="83">
        <v>0.155</v>
      </c>
      <c r="G25" t="s">
        <v>83</v>
      </c>
      <c r="J25">
        <v>10157.369208649645</v>
      </c>
      <c r="K25">
        <v>11061.723273764119</v>
      </c>
      <c r="L25">
        <v>11891.281876793431</v>
      </c>
      <c r="M25">
        <v>12892.019076071823</v>
      </c>
      <c r="N25">
        <v>13722.456417008705</v>
      </c>
      <c r="O25">
        <v>14722.422466795007</v>
      </c>
      <c r="P25">
        <v>15554.593904447109</v>
      </c>
      <c r="Q25">
        <v>16562.919521630163</v>
      </c>
      <c r="R25">
        <v>17478.007767607425</v>
      </c>
      <c r="S25">
        <v>18393.058865158066</v>
      </c>
      <c r="T25">
        <v>19308.19372767668</v>
      </c>
      <c r="U25">
        <v>20131.730291913358</v>
      </c>
    </row>
    <row r="26" spans="2:21">
      <c r="E26" s="70" t="str">
        <v>Milk</v>
      </c>
      <c r="F26" s="83">
        <v>0.161</v>
      </c>
      <c r="G26" t="s">
        <v>83</v>
      </c>
      <c r="J26">
        <v>10550.55769414576</v>
      </c>
      <c r="K26">
        <v>11489.919013393699</v>
      </c>
      <c r="L26">
        <v>12351.589562346726</v>
      </c>
      <c r="M26">
        <v>13391.064975790732</v>
      </c>
      <c r="N26">
        <v>14253.648278312268</v>
      </c>
      <c r="O26">
        <v>15292.322691316105</v>
      </c>
      <c r="P26">
        <v>16156.707216877321</v>
      </c>
      <c r="Q26">
        <v>17204.064793435202</v>
      </c>
      <c r="R26">
        <v>18154.575810224487</v>
      </c>
      <c r="S26">
        <v>19105.048240583539</v>
      </c>
      <c r="T26">
        <v>20055.607678425455</v>
      </c>
      <c r="U26">
        <v>20911.023077406779</v>
      </c>
    </row>
    <row r="27" spans="2:21">
      <c r="E27" s="70" t="str">
        <v>Eggs</v>
      </c>
      <c r="F27" s="83">
        <v>0.13800000000000001</v>
      </c>
      <c r="G27" t="s">
        <v>83</v>
      </c>
      <c r="J27">
        <v>9043.3351664106522</v>
      </c>
      <c r="K27">
        <v>9848.5020114803137</v>
      </c>
      <c r="L27">
        <v>10587.076767725766</v>
      </c>
      <c r="M27">
        <v>11478.055693534914</v>
      </c>
      <c r="N27">
        <v>12217.412809981945</v>
      </c>
      <c r="O27">
        <v>13107.705163985234</v>
      </c>
      <c r="P27">
        <v>13848.606185894847</v>
      </c>
      <c r="Q27">
        <v>14746.341251515889</v>
      </c>
      <c r="R27">
        <v>15561.064980192419</v>
      </c>
      <c r="S27">
        <v>16375.755634785892</v>
      </c>
      <c r="T27">
        <v>17190.520867221821</v>
      </c>
      <c r="U27">
        <v>17923.734066348668</v>
      </c>
    </row>
    <row r="28" spans="2:21">
      <c r="E28" s="70" t="str">
        <v>Chocolate</v>
      </c>
      <c r="F28" s="83">
        <v>0</v>
      </c>
      <c r="G28" t="s">
        <v>83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</row>
    <row r="29" spans="2:21">
      <c r="E29" s="70" t="str">
        <v>Raisins</v>
      </c>
      <c r="F29" s="83">
        <v>0.1</v>
      </c>
      <c r="G29" t="s">
        <v>83</v>
      </c>
      <c r="J29">
        <v>6553.1414249352547</v>
      </c>
      <c r="K29">
        <v>7136.5956604929806</v>
      </c>
      <c r="L29">
        <v>7671.7947592215687</v>
      </c>
      <c r="M29">
        <v>8317.4316619818219</v>
      </c>
      <c r="N29">
        <v>8853.1976883927127</v>
      </c>
      <c r="O29">
        <v>9498.3370753516192</v>
      </c>
      <c r="P29">
        <v>10035.221873836846</v>
      </c>
      <c r="Q29">
        <v>10685.754530083977</v>
      </c>
      <c r="R29">
        <v>11276.134043617694</v>
      </c>
      <c r="S29">
        <v>11866.489590424559</v>
      </c>
      <c r="T29">
        <v>12456.899179146247</v>
      </c>
      <c r="U29">
        <v>12988.213091557005</v>
      </c>
    </row>
    <row r="30" spans="2:21">
      <c r="E30" s="70" t="str">
        <v>Bananas</v>
      </c>
      <c r="F30" s="83">
        <v>0</v>
      </c>
      <c r="G30" t="s">
        <v>83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</row>
    <row r="31" spans="2:21">
      <c r="E31" s="73" t="s">
        <v>91</v>
      </c>
      <c r="F31" s="73"/>
      <c r="G31" s="73" t="s">
        <v>83</v>
      </c>
      <c r="H31" s="73"/>
      <c r="I31" s="73"/>
      <c r="J31" s="73" cm="1">
        <f t="array" ref="J31:U31">_xlfn.BYCOL(_xlfn.ANCHORARRAY( J23), _xleta.SUM )</f>
        <v>73067.526888028078</v>
      </c>
      <c r="K31" s="73">
        <v>79573.041614496731</v>
      </c>
      <c r="L31" s="73">
        <v>85540.511565320485</v>
      </c>
      <c r="M31" s="73">
        <v>92739.363031097324</v>
      </c>
      <c r="N31" s="73">
        <v>98713.15422557875</v>
      </c>
      <c r="O31" s="73">
        <v>105906.45839017053</v>
      </c>
      <c r="P31" s="73">
        <v>111892.72389328081</v>
      </c>
      <c r="Q31" s="73">
        <v>119146.16301043634</v>
      </c>
      <c r="R31" s="73">
        <v>125728.89458633729</v>
      </c>
      <c r="S31" s="73">
        <v>132311.35893323383</v>
      </c>
      <c r="T31" s="73">
        <v>138894.42584748063</v>
      </c>
      <c r="U31" s="73">
        <v>144818.57597086061</v>
      </c>
    </row>
    <row r="32" spans="2:21" ht="14.4">
      <c r="E32" s="85" t="s">
        <v>92</v>
      </c>
      <c r="G32" t="s">
        <v>83</v>
      </c>
      <c r="J32" cm="1">
        <f t="array" ref="J32:U32" xml:space="preserve"> _xlfn.LET(
      _xlpm.volume,       INDEX(_xlfn.ANCHORARRAY( Inventory!$J$59),  MATCH( $E22,_xlfn.ANCHORARRAY( Inventory!$E$59), 0), 0 ),
      _xlpm.ingredients,  INDEX(_xlfn.ANCHORARRAY( J31), 1, 0 ),
      _xlpm.ingredients - _xlpm.volume )</f>
        <v>8126.4614302430491</v>
      </c>
      <c r="K32">
        <v>8728.4882410365972</v>
      </c>
      <c r="L32">
        <v>9481.9258771636814</v>
      </c>
      <c r="M32">
        <v>10087.158302351658</v>
      </c>
      <c r="N32">
        <v>10839.830586107622</v>
      </c>
      <c r="O32">
        <v>11446.60230613935</v>
      </c>
      <c r="P32">
        <v>12197.721114399668</v>
      </c>
      <c r="Q32">
        <v>12879.000636682104</v>
      </c>
      <c r="R32">
        <v>13557.902941727865</v>
      </c>
      <c r="S32">
        <v>14236.87937294929</v>
      </c>
      <c r="T32">
        <v>14915.78284758568</v>
      </c>
      <c r="U32">
        <v>14936.445055290562</v>
      </c>
    </row>
    <row r="35" spans="2:21">
      <c r="E35" s="79"/>
    </row>
    <row r="36" spans="2:21">
      <c r="B36" s="76"/>
      <c r="E36" s="79" t="s">
        <v>10</v>
      </c>
    </row>
    <row r="37" spans="2:21">
      <c r="E37" s="70" t="str" cm="1">
        <f t="array" ref="E37:E44" xml:space="preserve"> TRANSPOSE( CaseData!$C$39:$J$39 )</f>
        <v>Flour</v>
      </c>
      <c r="F37" s="83" cm="1">
        <f t="array" ref="F37:F44">TRANSPOSE( CaseData!$C42:$J42)</f>
        <v>0.30599999999999999</v>
      </c>
      <c r="G37" t="s">
        <v>83</v>
      </c>
      <c r="J37" cm="1">
        <f t="array" ref="J37:U44" xml:space="preserve"> _xlfn.LET(
      _xlpm.volume,       INDEX( Inventory!$J$91:$U$93,  MATCH( $E36,_xlfn.ANCHORARRAY( Inventory!$E$59), 0), 0 ),
      _xlpm.quantities,   INDEX(_xlfn.ANCHORARRAY( $F37), 0, 1 ),
      _xlpm.volume * _xlpm.quantities)</f>
        <v>8813.4820831180332</v>
      </c>
      <c r="K37">
        <v>9593.4650328283788</v>
      </c>
      <c r="L37">
        <v>10373.385639584561</v>
      </c>
      <c r="M37">
        <v>11153.331961623207</v>
      </c>
      <c r="N37">
        <v>11933.314911333553</v>
      </c>
      <c r="O37">
        <v>12713.235224135962</v>
      </c>
      <c r="P37">
        <v>13493.154385877277</v>
      </c>
      <c r="Q37">
        <v>14273.102036380697</v>
      </c>
      <c r="R37">
        <v>15053.084416748994</v>
      </c>
      <c r="S37">
        <v>15833.004264382451</v>
      </c>
      <c r="T37">
        <v>16612.951914885874</v>
      </c>
      <c r="U37">
        <v>17158.958511766745</v>
      </c>
    </row>
    <row r="38" spans="2:21">
      <c r="E38" s="70" t="str">
        <v>Sugar</v>
      </c>
      <c r="F38" s="83">
        <v>0.23300000000000001</v>
      </c>
      <c r="G38" t="s">
        <v>83</v>
      </c>
      <c r="J38">
        <v>6710.9193639428167</v>
      </c>
      <c r="K38">
        <v>7304.8279498333732</v>
      </c>
      <c r="L38">
        <v>7898.6890654353037</v>
      </c>
      <c r="M38">
        <v>8492.5697616281304</v>
      </c>
      <c r="N38">
        <v>9086.478347518685</v>
      </c>
      <c r="O38">
        <v>9680.3392392930709</v>
      </c>
      <c r="P38">
        <v>10274.199254605901</v>
      </c>
      <c r="Q38">
        <v>10868.080962342166</v>
      </c>
      <c r="R38">
        <v>11461.989114714104</v>
      </c>
      <c r="S38">
        <v>12055.849652291214</v>
      </c>
      <c r="T38">
        <v>12649.731360027479</v>
      </c>
      <c r="U38">
        <v>13065.481481181869</v>
      </c>
    </row>
    <row r="39" spans="2:21">
      <c r="E39" s="70" t="str">
        <v>Butter</v>
      </c>
      <c r="F39" s="83">
        <v>0.14899999999999999</v>
      </c>
      <c r="G39" t="s">
        <v>83</v>
      </c>
      <c r="J39">
        <v>4291.5321254398268</v>
      </c>
      <c r="K39">
        <v>4671.3277447432292</v>
      </c>
      <c r="L39">
        <v>5051.0930075101296</v>
      </c>
      <c r="M39">
        <v>5430.8707917707779</v>
      </c>
      <c r="N39">
        <v>5810.6664110741804</v>
      </c>
      <c r="O39">
        <v>6190.4315307067263</v>
      </c>
      <c r="P39">
        <v>6570.1960898552752</v>
      </c>
      <c r="Q39">
        <v>6949.9745209827579</v>
      </c>
      <c r="R39">
        <v>7329.7698630575169</v>
      </c>
      <c r="S39">
        <v>7709.5347561862254</v>
      </c>
      <c r="T39">
        <v>8089.313187313709</v>
      </c>
      <c r="U39">
        <v>8355.179144618447</v>
      </c>
    </row>
    <row r="40" spans="2:21">
      <c r="E40" s="70" t="str">
        <v>Milk</v>
      </c>
      <c r="F40" s="83">
        <v>0.13700000000000001</v>
      </c>
      <c r="G40" t="s">
        <v>83</v>
      </c>
      <c r="J40">
        <v>3945.905377082257</v>
      </c>
      <c r="K40">
        <v>4295.1134297303524</v>
      </c>
      <c r="L40">
        <v>4644.2935706636763</v>
      </c>
      <c r="M40">
        <v>4993.4852246482997</v>
      </c>
      <c r="N40">
        <v>5342.6932772963946</v>
      </c>
      <c r="O40">
        <v>5691.8732866229639</v>
      </c>
      <c r="P40">
        <v>6041.0527806051869</v>
      </c>
      <c r="Q40">
        <v>6390.2450293599859</v>
      </c>
      <c r="R40">
        <v>6739.4528271065765</v>
      </c>
      <c r="S40">
        <v>7088.6326281712281</v>
      </c>
      <c r="T40">
        <v>7437.824876926029</v>
      </c>
      <c r="U40">
        <v>7682.2788108236746</v>
      </c>
    </row>
    <row r="41" spans="2:21">
      <c r="E41" s="70" t="str">
        <v>Eggs</v>
      </c>
      <c r="F41" s="83">
        <v>0.155</v>
      </c>
      <c r="G41" t="s">
        <v>83</v>
      </c>
      <c r="J41">
        <v>4464.3454996186119</v>
      </c>
      <c r="K41">
        <v>4859.434902249669</v>
      </c>
      <c r="L41">
        <v>5254.4927259333563</v>
      </c>
      <c r="M41">
        <v>5649.5635753320175</v>
      </c>
      <c r="N41">
        <v>6044.6529779630737</v>
      </c>
      <c r="O41">
        <v>6439.7106527486085</v>
      </c>
      <c r="P41">
        <v>6834.7677444803203</v>
      </c>
      <c r="Q41">
        <v>7229.8392667941444</v>
      </c>
      <c r="R41">
        <v>7624.9283810329871</v>
      </c>
      <c r="S41">
        <v>8019.985820193725</v>
      </c>
      <c r="T41">
        <v>8415.0573425075509</v>
      </c>
      <c r="U41">
        <v>8691.6293115158351</v>
      </c>
    </row>
    <row r="42" spans="2:21">
      <c r="E42" s="70" t="str">
        <v>Chocolate</v>
      </c>
      <c r="F42" s="83">
        <v>0.05</v>
      </c>
      <c r="G42" t="s">
        <v>83</v>
      </c>
      <c r="J42">
        <v>1440.1114514898748</v>
      </c>
      <c r="K42">
        <v>1567.55964588699</v>
      </c>
      <c r="L42">
        <v>1694.9976535268893</v>
      </c>
      <c r="M42">
        <v>1822.4398630103283</v>
      </c>
      <c r="N42">
        <v>1949.8880574074433</v>
      </c>
      <c r="O42">
        <v>2077.3260170156805</v>
      </c>
      <c r="P42">
        <v>2204.7637885420386</v>
      </c>
      <c r="Q42">
        <v>2332.2062150948855</v>
      </c>
      <c r="R42">
        <v>2459.6543164622544</v>
      </c>
      <c r="S42">
        <v>2587.0922000624923</v>
      </c>
      <c r="T42">
        <v>2714.5346266153392</v>
      </c>
      <c r="U42">
        <v>2803.7513908115598</v>
      </c>
    </row>
    <row r="43" spans="2:21">
      <c r="E43" s="70" t="str">
        <v>Raisins</v>
      </c>
      <c r="F43" s="83">
        <v>0</v>
      </c>
      <c r="G43" t="s">
        <v>83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</row>
    <row r="44" spans="2:21">
      <c r="E44" s="70" t="str">
        <v>Bananas</v>
      </c>
      <c r="F44" s="83">
        <v>0.2</v>
      </c>
      <c r="G44" t="s">
        <v>83</v>
      </c>
      <c r="J44">
        <v>5760.445805959499</v>
      </c>
      <c r="K44">
        <v>6270.2385835479599</v>
      </c>
      <c r="L44">
        <v>6779.9906141075571</v>
      </c>
      <c r="M44">
        <v>7289.7594520413131</v>
      </c>
      <c r="N44">
        <v>7799.5522296297731</v>
      </c>
      <c r="O44">
        <v>8309.3040680627219</v>
      </c>
      <c r="P44">
        <v>8819.0551541681543</v>
      </c>
      <c r="Q44">
        <v>9328.8248603795419</v>
      </c>
      <c r="R44">
        <v>9838.6172658490177</v>
      </c>
      <c r="S44">
        <v>10348.368800249969</v>
      </c>
      <c r="T44">
        <v>10858.138506461357</v>
      </c>
      <c r="U44">
        <v>11215.005563246239</v>
      </c>
    </row>
    <row r="45" spans="2:21">
      <c r="E45" s="73" t="s">
        <v>91</v>
      </c>
      <c r="F45" s="73"/>
      <c r="G45" s="73" t="s">
        <v>83</v>
      </c>
      <c r="H45" s="73"/>
      <c r="I45" s="73"/>
      <c r="J45" s="73" cm="1">
        <f t="array" ref="J45:U45">_xlfn.BYCOL(_xlfn.ANCHORARRAY( J37), _xleta.SUM )</f>
        <v>35426.741706650922</v>
      </c>
      <c r="K45" s="73">
        <v>38561.967288819949</v>
      </c>
      <c r="L45" s="73">
        <v>41696.942276761474</v>
      </c>
      <c r="M45" s="73">
        <v>44832.020630054074</v>
      </c>
      <c r="N45" s="73">
        <v>47967.246212223101</v>
      </c>
      <c r="O45" s="73">
        <v>51102.220018585736</v>
      </c>
      <c r="P45" s="73">
        <v>54237.189198134154</v>
      </c>
      <c r="Q45" s="73">
        <v>57372.272891334178</v>
      </c>
      <c r="R45" s="73">
        <v>60507.496184971453</v>
      </c>
      <c r="S45" s="73">
        <v>63642.468121537298</v>
      </c>
      <c r="T45" s="73">
        <v>66777.551814737337</v>
      </c>
      <c r="U45" s="73">
        <v>68972.284213964362</v>
      </c>
    </row>
    <row r="46" spans="2:21" ht="14.4">
      <c r="E46" s="85" t="s">
        <v>92</v>
      </c>
      <c r="G46" t="s">
        <v>83</v>
      </c>
      <c r="J46" cm="1">
        <f t="array" ref="J46:U46" xml:space="preserve"> _xlfn.LET(
      _xlpm.volume,       INDEX(_xlfn.ANCHORARRAY( Inventory!$J$59),  MATCH( $E36,_xlfn.ANCHORARRAY( Inventory!$E$59), 0), 0 ),
      _xlpm.ingredients,  INDEX(_xlfn.ANCHORARRAY( J45), 1, 0 ),
      _xlpm.ingredients - _xlpm.volume )</f>
        <v>7389.2277985353248</v>
      </c>
      <c r="K46">
        <v>7975.4029750980262</v>
      </c>
      <c r="L46">
        <v>8561.6159496466425</v>
      </c>
      <c r="M46">
        <v>9147.9384915294067</v>
      </c>
      <c r="N46">
        <v>9734.1136680921118</v>
      </c>
      <c r="O46">
        <v>10320.325461061831</v>
      </c>
      <c r="P46">
        <v>10906.542031311255</v>
      </c>
      <c r="Q46">
        <v>11492.863711118371</v>
      </c>
      <c r="R46">
        <v>12079.036599149316</v>
      </c>
      <c r="S46">
        <v>12665.252724305334</v>
      </c>
      <c r="T46">
        <v>13251.574404112456</v>
      </c>
      <c r="U46">
        <v>12897.256397733167</v>
      </c>
    </row>
    <row r="47" spans="2:21" ht="14.4">
      <c r="E47" s="85"/>
    </row>
    <row r="48" spans="2:21" ht="14.4">
      <c r="E48" s="85"/>
    </row>
    <row r="49" spans="1:21" s="56" customFormat="1">
      <c r="A49" s="57" t="s">
        <v>106</v>
      </c>
    </row>
    <row r="51" spans="1:21">
      <c r="B51" s="76" t="s">
        <v>98</v>
      </c>
    </row>
    <row r="52" spans="1:21">
      <c r="C52" s="76"/>
    </row>
    <row r="53" spans="1:21">
      <c r="E53" t="str" cm="1">
        <f t="array" ref="E53:E60" xml:space="preserve"> TRANSPOSE( CaseData!$C$39:$J$39 )</f>
        <v>Flour</v>
      </c>
      <c r="F53" s="66"/>
      <c r="G53" t="s">
        <v>83</v>
      </c>
      <c r="H53" s="93"/>
      <c r="J53" cm="1">
        <f t="array" ref="J53:U60">_xlfn.LET(
      _xlpm.kg_data,          IF( $J$9:$U$46="", 0, $J$9:$U$46 ),
      _xlpm.kg_rows,          $E$9:$E$46,
      _xlpm.current_product,_xlfn.ANCHORARRAY(  E53),
      _xlpm.match_matrix,     --( _xlpm.kg_rows = TRANSPOSE( _xlpm.current_product ) ),
      MMULT( TRANSPOSE( _xlpm.match_matrix ), _xlpm.kg_data ) )</f>
        <v>62119.433910401531</v>
      </c>
      <c r="K53">
        <v>67504.675128445815</v>
      </c>
      <c r="L53">
        <v>73091.014856758484</v>
      </c>
      <c r="M53">
        <v>78818.257075961665</v>
      </c>
      <c r="N53">
        <v>84192.955341219698</v>
      </c>
      <c r="O53">
        <v>89918.468876781422</v>
      </c>
      <c r="P53">
        <v>95296.694612429012</v>
      </c>
      <c r="Q53">
        <v>100969.11542483157</v>
      </c>
      <c r="R53">
        <v>106378.29272008863</v>
      </c>
      <c r="S53">
        <v>112070.36779513153</v>
      </c>
      <c r="T53">
        <v>117482.4668302584</v>
      </c>
      <c r="U53">
        <v>122096.88861030119</v>
      </c>
    </row>
    <row r="54" spans="1:21">
      <c r="E54" t="str">
        <v>Sugar</v>
      </c>
      <c r="F54" s="86"/>
      <c r="G54" s="83" t="s">
        <v>83</v>
      </c>
      <c r="H54" s="83"/>
      <c r="J54">
        <v>49330.431994821869</v>
      </c>
      <c r="K54">
        <v>53601.605889545674</v>
      </c>
      <c r="L54">
        <v>58053.636520960965</v>
      </c>
      <c r="M54">
        <v>62592.713649865189</v>
      </c>
      <c r="N54">
        <v>66868.216008115807</v>
      </c>
      <c r="O54">
        <v>71405.991254109249</v>
      </c>
      <c r="P54">
        <v>75684.130094760534</v>
      </c>
      <c r="Q54">
        <v>80176.176290278119</v>
      </c>
      <c r="R54">
        <v>84465.39250550227</v>
      </c>
      <c r="S54">
        <v>88990.367957215363</v>
      </c>
      <c r="T54">
        <v>93282.013181906048</v>
      </c>
      <c r="U54">
        <v>96941.997963115718</v>
      </c>
    </row>
    <row r="55" spans="1:21">
      <c r="E55" t="str">
        <v>Butter</v>
      </c>
      <c r="F55" s="86"/>
      <c r="G55" s="83" t="s">
        <v>83</v>
      </c>
      <c r="H55" s="83"/>
      <c r="J55">
        <v>30584.085260710137</v>
      </c>
      <c r="K55">
        <v>33234.420031224836</v>
      </c>
      <c r="L55">
        <v>35987.958904339903</v>
      </c>
      <c r="M55">
        <v>38805.874607531012</v>
      </c>
      <c r="N55">
        <v>41453.560753155645</v>
      </c>
      <c r="O55">
        <v>44270.639817885109</v>
      </c>
      <c r="P55">
        <v>46920.029000070106</v>
      </c>
      <c r="Q55">
        <v>49710.264716053571</v>
      </c>
      <c r="R55">
        <v>52372.186642328365</v>
      </c>
      <c r="S55">
        <v>55175.559594087419</v>
      </c>
      <c r="T55">
        <v>57838.941190146936</v>
      </c>
      <c r="U55">
        <v>60109.79247385003</v>
      </c>
    </row>
    <row r="56" spans="1:21">
      <c r="E56" t="str">
        <v>Milk</v>
      </c>
      <c r="F56" s="86"/>
      <c r="G56" s="83" t="s">
        <v>83</v>
      </c>
      <c r="H56" s="83"/>
      <c r="J56">
        <v>30631.646997848682</v>
      </c>
      <c r="K56">
        <v>33286.401455841537</v>
      </c>
      <c r="L56">
        <v>36041.467153046746</v>
      </c>
      <c r="M56">
        <v>38867.534940127443</v>
      </c>
      <c r="N56">
        <v>41516.779480681427</v>
      </c>
      <c r="O56">
        <v>44341.981798322442</v>
      </c>
      <c r="P56">
        <v>46992.999003250239</v>
      </c>
      <c r="Q56">
        <v>49791.680496235829</v>
      </c>
      <c r="R56">
        <v>52458.437648994484</v>
      </c>
      <c r="S56">
        <v>55266.646841497888</v>
      </c>
      <c r="T56">
        <v>57934.866830508035</v>
      </c>
      <c r="U56">
        <v>60216.184925548674</v>
      </c>
    </row>
    <row r="57" spans="1:21">
      <c r="E57" t="str">
        <v>Eggs</v>
      </c>
      <c r="F57" s="86"/>
      <c r="G57" s="83" t="s">
        <v>83</v>
      </c>
      <c r="H57" s="83"/>
      <c r="J57">
        <v>29642.86459264993</v>
      </c>
      <c r="K57">
        <v>32209.305926447472</v>
      </c>
      <c r="L57">
        <v>34887.153513695463</v>
      </c>
      <c r="M57">
        <v>37610.60400855534</v>
      </c>
      <c r="N57">
        <v>40182.503713017781</v>
      </c>
      <c r="O57">
        <v>42905.201637117221</v>
      </c>
      <c r="P57">
        <v>45478.61293614289</v>
      </c>
      <c r="Q57">
        <v>48173.551191750681</v>
      </c>
      <c r="R57">
        <v>50750.402372888828</v>
      </c>
      <c r="S57">
        <v>53468.707427722737</v>
      </c>
      <c r="T57">
        <v>56047.01248488592</v>
      </c>
      <c r="U57">
        <v>58238.24641518273</v>
      </c>
    </row>
    <row r="58" spans="1:21">
      <c r="E58" t="str">
        <v>Chocolate</v>
      </c>
      <c r="F58" s="86"/>
      <c r="G58" s="83" t="s">
        <v>83</v>
      </c>
      <c r="H58" s="83"/>
      <c r="J58">
        <v>12196.900735903651</v>
      </c>
      <c r="K58">
        <v>13235.13898769865</v>
      </c>
      <c r="L58">
        <v>14392.053666884451</v>
      </c>
      <c r="M58">
        <v>15477.763022802603</v>
      </c>
      <c r="N58">
        <v>16563.513340789286</v>
      </c>
      <c r="O58">
        <v>17649.183230604602</v>
      </c>
      <c r="P58">
        <v>18734.923125720521</v>
      </c>
      <c r="Q58">
        <v>19797.119997388651</v>
      </c>
      <c r="R58">
        <v>20835.926990904532</v>
      </c>
      <c r="S58">
        <v>21969.069515224575</v>
      </c>
      <c r="T58">
        <v>23008.824143386377</v>
      </c>
      <c r="U58">
        <v>23885.673415690377</v>
      </c>
    </row>
    <row r="59" spans="1:21">
      <c r="E59" t="str">
        <v>Raisins</v>
      </c>
      <c r="F59" s="86"/>
      <c r="G59" s="83" t="s">
        <v>83</v>
      </c>
      <c r="H59" s="83"/>
      <c r="J59">
        <v>6553.1414249352547</v>
      </c>
      <c r="K59">
        <v>7136.5956604929806</v>
      </c>
      <c r="L59">
        <v>7671.7947592215687</v>
      </c>
      <c r="M59">
        <v>8317.4316619818219</v>
      </c>
      <c r="N59">
        <v>8853.1976883927127</v>
      </c>
      <c r="O59">
        <v>9498.3370753516192</v>
      </c>
      <c r="P59">
        <v>10035.221873836846</v>
      </c>
      <c r="Q59">
        <v>10685.754530083977</v>
      </c>
      <c r="R59">
        <v>11276.134043617694</v>
      </c>
      <c r="S59">
        <v>11866.489590424559</v>
      </c>
      <c r="T59">
        <v>12456.899179146247</v>
      </c>
      <c r="U59">
        <v>12988.213091557005</v>
      </c>
    </row>
    <row r="60" spans="1:21">
      <c r="E60" t="str">
        <v>Bananas</v>
      </c>
      <c r="F60" s="86"/>
      <c r="G60" s="83" t="s">
        <v>83</v>
      </c>
      <c r="H60" s="83"/>
      <c r="J60">
        <v>5760.445805959499</v>
      </c>
      <c r="K60">
        <v>6270.2385835479599</v>
      </c>
      <c r="L60">
        <v>6779.9906141075571</v>
      </c>
      <c r="M60">
        <v>7289.7594520413131</v>
      </c>
      <c r="N60">
        <v>7799.5522296297731</v>
      </c>
      <c r="O60">
        <v>8309.3040680627219</v>
      </c>
      <c r="P60">
        <v>8819.0551541681543</v>
      </c>
      <c r="Q60">
        <v>9328.8248603795419</v>
      </c>
      <c r="R60">
        <v>9838.6172658490177</v>
      </c>
      <c r="S60">
        <v>10348.368800249969</v>
      </c>
      <c r="T60">
        <v>10858.138506461357</v>
      </c>
      <c r="U60">
        <v>11215.005563246239</v>
      </c>
    </row>
    <row r="61" spans="1:21">
      <c r="E61" s="75" t="s">
        <v>108</v>
      </c>
      <c r="F61" s="75"/>
      <c r="G61" s="75" t="s">
        <v>83</v>
      </c>
      <c r="H61" s="75"/>
      <c r="I61" s="75"/>
      <c r="J61" s="75" cm="1">
        <f t="array" ref="J61:U61">_xlfn.BYCOL(_xlfn.ANCHORARRAY( J53), _xleta.SUM )</f>
        <v>226818.95072323052</v>
      </c>
      <c r="K61" s="75">
        <v>246478.38166324495</v>
      </c>
      <c r="L61" s="75">
        <v>266905.06998901517</v>
      </c>
      <c r="M61" s="75">
        <v>287779.93841886637</v>
      </c>
      <c r="N61" s="75">
        <v>307430.27855500218</v>
      </c>
      <c r="O61" s="75">
        <v>328299.10775823443</v>
      </c>
      <c r="P61" s="75">
        <v>347961.66580037831</v>
      </c>
      <c r="Q61" s="75">
        <v>368632.48750700196</v>
      </c>
      <c r="R61" s="75">
        <v>388375.39019017381</v>
      </c>
      <c r="S61" s="75">
        <v>409155.57752155408</v>
      </c>
      <c r="T61" s="75">
        <v>428909.16234669933</v>
      </c>
      <c r="U61" s="75">
        <v>445692.002458492</v>
      </c>
    </row>
    <row r="62" spans="1:21">
      <c r="J62" s="87"/>
      <c r="K62" s="87"/>
      <c r="L62" s="87"/>
      <c r="M62" s="87"/>
      <c r="N62" s="87"/>
      <c r="O62" s="87"/>
      <c r="P62" s="87"/>
      <c r="Q62" s="87"/>
      <c r="R62" s="87"/>
      <c r="S62" s="87"/>
      <c r="T62" s="87"/>
      <c r="U62" s="87"/>
    </row>
    <row r="64" spans="1:21">
      <c r="B64" s="76" t="s">
        <v>97</v>
      </c>
    </row>
    <row r="66" spans="2:24">
      <c r="E66" t="str" cm="1">
        <f t="array" ref="E66:E69">_xlfn._xlws.SORT( _xlfn.UNIQUE(_xlfn.ANCHORARRAY( $F$86) ) )</f>
        <v>Supplier II</v>
      </c>
      <c r="G66" s="83" t="s">
        <v>83</v>
      </c>
      <c r="J66" cm="1">
        <f t="array" ref="J66:U69">_xlfn.LET(
      _xlpm.ingredients,_xlfn.ANCHORARRAY(      J53),
      _xlpm.suppliers,_xlfn.ANCHORARRAY(        $F$86),
      _xlpm.current_supplier,_xlfn.ANCHORARRAY( E66),
      _xlpm.match_matrix,     --( _xlpm.suppliers = TRANSPOSE( _xlpm.current_supplier ) ),
      MMULT( TRANSPOSE( _xlpm.match_matrix ), _xlpm.ingredients ) )</f>
        <v>91170.19732337544</v>
      </c>
      <c r="K66">
        <v>99046.050803691789</v>
      </c>
      <c r="L66">
        <v>107332.84370154087</v>
      </c>
      <c r="M66">
        <v>115681.08068122313</v>
      </c>
      <c r="N66">
        <v>123614.23306192287</v>
      </c>
      <c r="O66">
        <v>131960.37612183107</v>
      </c>
      <c r="P66">
        <v>139897.66615662395</v>
      </c>
      <c r="Q66">
        <v>148146.84747941745</v>
      </c>
      <c r="R66">
        <v>156051.72186929561</v>
      </c>
      <c r="S66">
        <v>164428.14490016268</v>
      </c>
      <c r="T66">
        <v>172337.84981017836</v>
      </c>
      <c r="U66">
        <v>179065.91779398883</v>
      </c>
    </row>
    <row r="67" spans="2:24">
      <c r="E67" t="str">
        <v>Supplier III</v>
      </c>
      <c r="G67" s="83" t="s">
        <v>83</v>
      </c>
      <c r="J67">
        <v>92751.080908250209</v>
      </c>
      <c r="K67">
        <v>100791.07658428735</v>
      </c>
      <c r="L67">
        <v>109132.48200980523</v>
      </c>
      <c r="M67">
        <v>117685.79201608911</v>
      </c>
      <c r="N67">
        <v>125709.73482190113</v>
      </c>
      <c r="O67">
        <v>134260.45067510387</v>
      </c>
      <c r="P67">
        <v>142289.69361567925</v>
      </c>
      <c r="Q67">
        <v>150760.79592106742</v>
      </c>
      <c r="R67">
        <v>158836.73036908312</v>
      </c>
      <c r="S67">
        <v>167337.01463662944</v>
      </c>
      <c r="T67">
        <v>175417.33366076642</v>
      </c>
      <c r="U67">
        <v>182313.07353584986</v>
      </c>
    </row>
    <row r="68" spans="2:24">
      <c r="E68" t="str">
        <v>Supplier IV</v>
      </c>
      <c r="G68" s="83" t="s">
        <v>83</v>
      </c>
      <c r="J68">
        <v>6553.1414249352547</v>
      </c>
      <c r="K68">
        <v>7136.5956604929806</v>
      </c>
      <c r="L68">
        <v>7671.7947592215687</v>
      </c>
      <c r="M68">
        <v>8317.4316619818219</v>
      </c>
      <c r="N68">
        <v>8853.1976883927127</v>
      </c>
      <c r="O68">
        <v>9498.3370753516192</v>
      </c>
      <c r="P68">
        <v>10035.221873836846</v>
      </c>
      <c r="Q68">
        <v>10685.754530083977</v>
      </c>
      <c r="R68">
        <v>11276.134043617694</v>
      </c>
      <c r="S68">
        <v>11866.489590424559</v>
      </c>
      <c r="T68">
        <v>12456.899179146247</v>
      </c>
      <c r="U68">
        <v>12988.213091557005</v>
      </c>
    </row>
    <row r="69" spans="2:24">
      <c r="E69" t="str">
        <v>Supplier V</v>
      </c>
      <c r="G69" s="83" t="s">
        <v>83</v>
      </c>
      <c r="J69">
        <v>36344.531066669639</v>
      </c>
      <c r="K69">
        <v>39504.658614772794</v>
      </c>
      <c r="L69">
        <v>42767.949518447458</v>
      </c>
      <c r="M69">
        <v>46095.634059572323</v>
      </c>
      <c r="N69">
        <v>49253.112982785417</v>
      </c>
      <c r="O69">
        <v>52579.943885947832</v>
      </c>
      <c r="P69">
        <v>55739.084154238262</v>
      </c>
      <c r="Q69">
        <v>59039.089576433114</v>
      </c>
      <c r="R69">
        <v>62210.803908177382</v>
      </c>
      <c r="S69">
        <v>65523.928394337388</v>
      </c>
      <c r="T69">
        <v>68697.0796966083</v>
      </c>
      <c r="U69">
        <v>71324.798037096276</v>
      </c>
    </row>
    <row r="70" spans="2:24">
      <c r="E70" s="75" t="s">
        <v>101</v>
      </c>
      <c r="F70" s="75"/>
      <c r="G70" s="75" t="s">
        <v>83</v>
      </c>
      <c r="H70" s="75"/>
      <c r="I70" s="75"/>
      <c r="J70" s="75" cm="1">
        <f t="array" ref="J70:U70">_xlfn.BYCOL(_xlfn.ANCHORARRAY( J66), _xleta.SUM )</f>
        <v>226818.95072323055</v>
      </c>
      <c r="K70" s="75">
        <v>246478.38166324492</v>
      </c>
      <c r="L70" s="75">
        <v>266905.06998901517</v>
      </c>
      <c r="M70" s="75">
        <v>287779.93841886637</v>
      </c>
      <c r="N70" s="75">
        <v>307430.27855500218</v>
      </c>
      <c r="O70" s="75">
        <v>328299.10775823437</v>
      </c>
      <c r="P70" s="75">
        <v>347961.66580037831</v>
      </c>
      <c r="Q70" s="75">
        <v>368632.48750700196</v>
      </c>
      <c r="R70" s="75">
        <v>388375.39019017376</v>
      </c>
      <c r="S70" s="75">
        <v>409155.57752155408</v>
      </c>
      <c r="T70" s="75">
        <v>428909.16234669933</v>
      </c>
      <c r="U70" s="75">
        <v>445692.002458492</v>
      </c>
    </row>
    <row r="73" spans="2:24">
      <c r="B73" s="76" t="s">
        <v>102</v>
      </c>
    </row>
    <row r="75" spans="2:24">
      <c r="E75" t="str" cm="1">
        <f t="array" ref="E75:E77">CaseData!$A$40:$A$42</f>
        <v>Product A</v>
      </c>
      <c r="G75" s="83" t="s">
        <v>83</v>
      </c>
      <c r="J75" cm="1">
        <f t="array" ref="J75:U77" xml:space="preserve"> _xlfn.LET(
      _xlpm.ingredients,         $J$8:$U$46,
      _xlpm.labels,              $E$8:$E$46,
      _xlpm.ingredient_list,_xlfn.ANCHORARRAY(     E53),
      _xlpm.is_ingredient_row,   COUNTIF( _xlpm.ingredient_list, _xlpm.labels ) &gt; 0,
      _xlpm.current_row,         _xlfn._xlws.FILTER( _xlpm.labels, _xlpm.is_ingredient_row ),
      _xlpm.current_ingredients, _xlfn._xlws.FILTER( _xlpm.ingredients, _xlpm.is_ingredient_row ),
      _xlpm.product_list,_xlfn.ANCHORARRAY(        $E$108),
      _xlpm.product_tag_all,     _xlfn.SCAN( "", _xlpm.labels, _xlfn.LAMBDA(_xlpm.carry,_xlpm.lbl, IF( COUNTIF( _xlpm.product_list, _xlpm.lbl ) &gt; 0, _xlpm.lbl, _xlpm.carry ) ) ),
      _xlpm.product_tag,         _xlfn._xlws.FILTER( _xlpm.product_tag_all, _xlpm.is_ingredient_row ),
      _xlpm.match_matrix,        --( _xlpm.product_tag = TRANSPOSE( _xlpm.product_list ) ),
      MMULT( TRANSPOSE( _xlpm.match_matrix ), _xlpm.current_ingredients ) )</f>
        <v>118324.68212855155</v>
      </c>
      <c r="K75">
        <v>128343.37275992827</v>
      </c>
      <c r="L75">
        <v>139667.61614693317</v>
      </c>
      <c r="M75">
        <v>150208.55475771503</v>
      </c>
      <c r="N75">
        <v>160749.87811720028</v>
      </c>
      <c r="O75">
        <v>171290.4293494781</v>
      </c>
      <c r="P75">
        <v>181831.75270896332</v>
      </c>
      <c r="Q75">
        <v>192114.05160523142</v>
      </c>
      <c r="R75">
        <v>202138.99941886507</v>
      </c>
      <c r="S75">
        <v>213201.75046678286</v>
      </c>
      <c r="T75">
        <v>223237.18468448138</v>
      </c>
      <c r="U75">
        <v>231901.14227366701</v>
      </c>
    </row>
    <row r="76" spans="2:24">
      <c r="E76" t="str">
        <v>Product B</v>
      </c>
      <c r="G76" s="83" t="s">
        <v>83</v>
      </c>
      <c r="J76">
        <v>73067.526888028078</v>
      </c>
      <c r="K76">
        <v>79573.041614496731</v>
      </c>
      <c r="L76">
        <v>85540.511565320485</v>
      </c>
      <c r="M76">
        <v>92739.363031097324</v>
      </c>
      <c r="N76">
        <v>98713.15422557875</v>
      </c>
      <c r="O76">
        <v>105906.45839017053</v>
      </c>
      <c r="P76">
        <v>111892.72389328081</v>
      </c>
      <c r="Q76">
        <v>119146.16301043634</v>
      </c>
      <c r="R76">
        <v>125728.89458633729</v>
      </c>
      <c r="S76">
        <v>132311.35893323383</v>
      </c>
      <c r="T76">
        <v>138894.42584748063</v>
      </c>
      <c r="U76">
        <v>144818.57597086061</v>
      </c>
    </row>
    <row r="77" spans="2:24">
      <c r="E77" s="92" t="str">
        <v>Product C</v>
      </c>
      <c r="F77" s="92"/>
      <c r="G77" s="83" t="s">
        <v>83</v>
      </c>
      <c r="H77" s="92"/>
      <c r="I77" s="92"/>
      <c r="J77" s="92">
        <v>35426.741706650922</v>
      </c>
      <c r="K77" s="92">
        <v>38561.967288819949</v>
      </c>
      <c r="L77" s="92">
        <v>41696.942276761474</v>
      </c>
      <c r="M77" s="92">
        <v>44832.020630054074</v>
      </c>
      <c r="N77" s="92">
        <v>47967.246212223101</v>
      </c>
      <c r="O77" s="92">
        <v>51102.220018585736</v>
      </c>
      <c r="P77" s="92">
        <v>54237.189198134154</v>
      </c>
      <c r="Q77" s="92">
        <v>57372.272891334178</v>
      </c>
      <c r="R77" s="92">
        <v>60507.496184971453</v>
      </c>
      <c r="S77" s="92">
        <v>63642.468121537298</v>
      </c>
      <c r="T77" s="92">
        <v>66777.551814737337</v>
      </c>
      <c r="U77" s="92">
        <v>68972.284213964362</v>
      </c>
    </row>
    <row r="78" spans="2:24">
      <c r="E78" s="75" t="s">
        <v>103</v>
      </c>
      <c r="F78" s="75"/>
      <c r="G78" s="75" t="s">
        <v>83</v>
      </c>
      <c r="H78" s="75"/>
      <c r="I78" s="75"/>
      <c r="J78" s="75" cm="1">
        <f t="array" ref="J78:U78">_xlfn.BYCOL(_xlfn.ANCHORARRAY( J75), _xleta.SUM )</f>
        <v>226818.95072323055</v>
      </c>
      <c r="K78" s="75">
        <v>246478.38166324497</v>
      </c>
      <c r="L78" s="75">
        <v>266905.06998901512</v>
      </c>
      <c r="M78" s="75">
        <v>287779.93841886643</v>
      </c>
      <c r="N78" s="75">
        <v>307430.27855500212</v>
      </c>
      <c r="O78" s="75">
        <v>328299.10775823437</v>
      </c>
      <c r="P78" s="75">
        <v>347961.66580037831</v>
      </c>
      <c r="Q78" s="75">
        <v>368632.48750700196</v>
      </c>
      <c r="R78" s="75">
        <v>388375.39019017381</v>
      </c>
      <c r="S78" s="75">
        <v>409155.57752155402</v>
      </c>
      <c r="T78" s="75">
        <v>428909.16234669933</v>
      </c>
      <c r="U78" s="75">
        <v>445692.00245849194</v>
      </c>
    </row>
    <row r="81" spans="1:21" s="56" customFormat="1">
      <c r="A81" s="57" t="s">
        <v>105</v>
      </c>
    </row>
    <row r="83" spans="1:21">
      <c r="B83" s="76" t="s">
        <v>98</v>
      </c>
    </row>
    <row r="84" spans="1:21">
      <c r="B84" s="76"/>
      <c r="F84" s="91" t="s">
        <v>99</v>
      </c>
      <c r="H84" s="89"/>
    </row>
    <row r="85" spans="1:21">
      <c r="E85" s="80" t="s">
        <v>95</v>
      </c>
      <c r="F85" s="90" t="s">
        <v>94</v>
      </c>
      <c r="G85" s="80" t="s">
        <v>104</v>
      </c>
      <c r="H85" s="90" t="s">
        <v>100</v>
      </c>
    </row>
    <row r="86" spans="1:21">
      <c r="E86" t="str" cm="1">
        <f t="array" ref="E86:E93" xml:space="preserve"> TRANSPOSE( CaseData!$C$39:$J$39 )</f>
        <v>Flour</v>
      </c>
      <c r="F86" s="82" t="str" cm="1">
        <f t="array" ref="F86:F93" xml:space="preserve"> _xlfn.LET(
      _xlpm.prices,      CaseData!$C$46:$J$50,
      _xlpm.suppliers,   CaseData!$A$46:$A$50,
      _xlpm.min_row,     _xlfn.BYCOL( _xlpm.prices, _xlfn.LAMBDA(_xlpm.c, MATCH( MIN( _xlpm.c ), _xlpm.c, 0 ) ) ),
      INDEX( _xlpm.suppliers, TRANSPOSE( _xlpm.min_row ) ) )</f>
        <v>Supplier III</v>
      </c>
      <c r="G86" t="s">
        <v>81</v>
      </c>
      <c r="H86" s="88" cm="1">
        <f t="array" ref="H86:H93">_xlfn.LET(
      _xlpm.prices, CaseData!$C$46:$J$50,
      TRANSPOSE( _xlfn.BYCOL( _xlpm.prices, _xlfn.LAMBDA(_xlpm.c, MIN(_xlpm.c) ) ) ) )</f>
        <v>0.25309999999999999</v>
      </c>
      <c r="J86" cm="1">
        <f t="array" ref="J86:U93">_xlfn.ANCHORARRAY( J53) *_xlfn.ANCHORARRAY( H86)</f>
        <v>15722.428722722627</v>
      </c>
      <c r="K86">
        <v>17085.433275009636</v>
      </c>
      <c r="L86">
        <v>18499.33586024557</v>
      </c>
      <c r="M86">
        <v>19948.900865925898</v>
      </c>
      <c r="N86">
        <v>21309.236996862706</v>
      </c>
      <c r="O86">
        <v>22758.364472713376</v>
      </c>
      <c r="P86">
        <v>24119.593406405784</v>
      </c>
      <c r="Q86">
        <v>25555.283114024871</v>
      </c>
      <c r="R86">
        <v>26924.345887454434</v>
      </c>
      <c r="S86">
        <v>28365.010088947791</v>
      </c>
      <c r="T86">
        <v>29734.812354738402</v>
      </c>
      <c r="U86">
        <v>30902.72250726723</v>
      </c>
    </row>
    <row r="87" spans="1:21">
      <c r="E87" t="str">
        <v>Sugar</v>
      </c>
      <c r="F87" s="86" t="str">
        <v>Supplier II</v>
      </c>
      <c r="G87" s="83" t="s">
        <v>81</v>
      </c>
      <c r="H87" s="83">
        <v>0.19320000000000001</v>
      </c>
      <c r="J87">
        <v>9530.6394613995853</v>
      </c>
      <c r="K87">
        <v>10355.830257860225</v>
      </c>
      <c r="L87">
        <v>11215.962575849659</v>
      </c>
      <c r="M87">
        <v>12092.912277153955</v>
      </c>
      <c r="N87">
        <v>12918.939332767975</v>
      </c>
      <c r="O87">
        <v>13795.637510293907</v>
      </c>
      <c r="P87">
        <v>14622.173934307735</v>
      </c>
      <c r="Q87">
        <v>15490.037259281733</v>
      </c>
      <c r="R87">
        <v>16318.71383206304</v>
      </c>
      <c r="S87">
        <v>17192.93908933401</v>
      </c>
      <c r="T87">
        <v>18022.084946744249</v>
      </c>
      <c r="U87">
        <v>18729.194006473957</v>
      </c>
    </row>
    <row r="88" spans="1:21">
      <c r="E88" t="str">
        <v>Butter</v>
      </c>
      <c r="F88" s="86" t="str">
        <v>Supplier V</v>
      </c>
      <c r="G88" s="83" t="s">
        <v>81</v>
      </c>
      <c r="H88" s="83">
        <v>1.8693</v>
      </c>
      <c r="J88">
        <v>57170.83057784546</v>
      </c>
      <c r="K88">
        <v>62125.101364368587</v>
      </c>
      <c r="L88">
        <v>67272.291579882585</v>
      </c>
      <c r="M88">
        <v>72539.821403857713</v>
      </c>
      <c r="N88">
        <v>77489.141115873848</v>
      </c>
      <c r="O88">
        <v>82755.107011572632</v>
      </c>
      <c r="P88">
        <v>87707.610209831051</v>
      </c>
      <c r="Q88">
        <v>92923.397833718933</v>
      </c>
      <c r="R88">
        <v>97899.328490504413</v>
      </c>
      <c r="S88">
        <v>103139.67354922761</v>
      </c>
      <c r="T88">
        <v>108118.33276674166</v>
      </c>
      <c r="U88">
        <v>112363.23507136786</v>
      </c>
    </row>
    <row r="89" spans="1:21">
      <c r="E89" t="str">
        <v>Milk</v>
      </c>
      <c r="F89" s="86" t="str">
        <v>Supplier III</v>
      </c>
      <c r="G89" s="83" t="s">
        <v>81</v>
      </c>
      <c r="H89" s="83">
        <v>0.62309999999999999</v>
      </c>
      <c r="J89">
        <v>19086.579244359513</v>
      </c>
      <c r="K89">
        <v>20740.756747134859</v>
      </c>
      <c r="L89">
        <v>22457.438183063427</v>
      </c>
      <c r="M89">
        <v>24218.36102119341</v>
      </c>
      <c r="N89">
        <v>25869.105294412599</v>
      </c>
      <c r="O89">
        <v>27629.488858534714</v>
      </c>
      <c r="P89">
        <v>29281.337678925225</v>
      </c>
      <c r="Q89">
        <v>31025.196117204545</v>
      </c>
      <c r="R89">
        <v>32686.852499088462</v>
      </c>
      <c r="S89">
        <v>34436.64764693733</v>
      </c>
      <c r="T89">
        <v>36099.215522089558</v>
      </c>
      <c r="U89">
        <v>37520.704827109381</v>
      </c>
    </row>
    <row r="90" spans="1:21">
      <c r="E90" t="str">
        <v>Eggs</v>
      </c>
      <c r="F90" s="86" t="str">
        <v>Supplier II</v>
      </c>
      <c r="G90" s="83" t="s">
        <v>81</v>
      </c>
      <c r="H90" s="83">
        <v>1.6248</v>
      </c>
      <c r="J90">
        <v>48163.726390137606</v>
      </c>
      <c r="K90">
        <v>52333.680269291857</v>
      </c>
      <c r="L90">
        <v>56684.647029052387</v>
      </c>
      <c r="M90">
        <v>61109.709393100718</v>
      </c>
      <c r="N90">
        <v>65288.532032911287</v>
      </c>
      <c r="O90">
        <v>69712.371619988058</v>
      </c>
      <c r="P90">
        <v>73893.650298644963</v>
      </c>
      <c r="Q90">
        <v>78272.385976356512</v>
      </c>
      <c r="R90">
        <v>82459.25377546977</v>
      </c>
      <c r="S90">
        <v>86875.955828563907</v>
      </c>
      <c r="T90">
        <v>91065.185885442639</v>
      </c>
      <c r="U90">
        <v>94625.502775388901</v>
      </c>
    </row>
    <row r="91" spans="1:21">
      <c r="E91" t="str">
        <v>Chocolate</v>
      </c>
      <c r="F91" s="86" t="str">
        <v>Supplier II</v>
      </c>
      <c r="G91" s="83" t="s">
        <v>81</v>
      </c>
      <c r="H91" s="83">
        <v>1.4633</v>
      </c>
      <c r="J91">
        <v>17847.724846847814</v>
      </c>
      <c r="K91">
        <v>19366.978880699437</v>
      </c>
      <c r="L91">
        <v>21059.892130752018</v>
      </c>
      <c r="M91">
        <v>22648.610631267049</v>
      </c>
      <c r="N91">
        <v>24237.389071576963</v>
      </c>
      <c r="O91">
        <v>25826.049821343713</v>
      </c>
      <c r="P91">
        <v>27414.813009866841</v>
      </c>
      <c r="Q91">
        <v>28969.125692178812</v>
      </c>
      <c r="R91">
        <v>30489.211965790604</v>
      </c>
      <c r="S91">
        <v>32147.339421628123</v>
      </c>
      <c r="T91">
        <v>33668.812369017287</v>
      </c>
      <c r="U91">
        <v>34951.905909179732</v>
      </c>
    </row>
    <row r="92" spans="1:21">
      <c r="E92" t="str">
        <v>Raisins</v>
      </c>
      <c r="F92" s="86" t="str">
        <v>Supplier IV</v>
      </c>
      <c r="G92" s="83" t="s">
        <v>81</v>
      </c>
      <c r="H92" s="83">
        <v>2.1808999999999998</v>
      </c>
      <c r="J92">
        <v>14291.746133641296</v>
      </c>
      <c r="K92">
        <v>15564.201475969141</v>
      </c>
      <c r="L92">
        <v>16731.417190386317</v>
      </c>
      <c r="M92">
        <v>18139.486711616155</v>
      </c>
      <c r="N92">
        <v>19307.938838615664</v>
      </c>
      <c r="O92">
        <v>20714.923327634344</v>
      </c>
      <c r="P92">
        <v>21885.815384650778</v>
      </c>
      <c r="Q92">
        <v>23304.562054660146</v>
      </c>
      <c r="R92">
        <v>24592.120735725828</v>
      </c>
      <c r="S92">
        <v>25879.627147756917</v>
      </c>
      <c r="T92">
        <v>27167.251419800046</v>
      </c>
      <c r="U92">
        <v>28325.99393137667</v>
      </c>
    </row>
    <row r="93" spans="1:21">
      <c r="E93" t="str">
        <v>Bananas</v>
      </c>
      <c r="F93" s="86" t="str">
        <v>Supplier V</v>
      </c>
      <c r="G93" s="83" t="s">
        <v>81</v>
      </c>
      <c r="H93" s="83">
        <v>0.95479999999999998</v>
      </c>
      <c r="J93">
        <v>5500.0736555301291</v>
      </c>
      <c r="K93">
        <v>5986.8237995715917</v>
      </c>
      <c r="L93">
        <v>6473.5350383498953</v>
      </c>
      <c r="M93">
        <v>6960.2623248090458</v>
      </c>
      <c r="N93">
        <v>7447.0124688505075</v>
      </c>
      <c r="O93">
        <v>7933.7235241862863</v>
      </c>
      <c r="P93">
        <v>8420.4338611997537</v>
      </c>
      <c r="Q93">
        <v>8907.1619766903859</v>
      </c>
      <c r="R93">
        <v>9393.9117654326419</v>
      </c>
      <c r="S93">
        <v>9880.6225304786713</v>
      </c>
      <c r="T93">
        <v>10367.350645969304</v>
      </c>
      <c r="U93">
        <v>10708.087311787509</v>
      </c>
    </row>
    <row r="94" spans="1:21">
      <c r="E94" s="75" t="s">
        <v>107</v>
      </c>
      <c r="F94" s="75"/>
      <c r="G94" s="75" t="s">
        <v>96</v>
      </c>
      <c r="H94" s="75"/>
      <c r="I94" s="75"/>
      <c r="J94" s="75" cm="1">
        <f t="array" ref="J94:U94">_xlfn.BYCOL(_xlfn.ANCHORARRAY( J86), _xleta.SUM )</f>
        <v>187313.74903248405</v>
      </c>
      <c r="K94" s="75">
        <v>203558.80606990532</v>
      </c>
      <c r="L94" s="75">
        <v>220394.51958758183</v>
      </c>
      <c r="M94" s="75">
        <v>237658.06462892395</v>
      </c>
      <c r="N94" s="75">
        <v>253867.29515187154</v>
      </c>
      <c r="O94" s="75">
        <v>271125.66614626703</v>
      </c>
      <c r="P94" s="75">
        <v>287345.42778383213</v>
      </c>
      <c r="Q94" s="75">
        <v>304447.15002411598</v>
      </c>
      <c r="R94" s="75">
        <v>320763.7389515292</v>
      </c>
      <c r="S94" s="75">
        <v>337917.81530287437</v>
      </c>
      <c r="T94" s="75">
        <v>354243.04591054318</v>
      </c>
      <c r="U94" s="75">
        <v>368127.34633995127</v>
      </c>
    </row>
    <row r="95" spans="1:21">
      <c r="J95" s="98"/>
      <c r="K95" s="98"/>
      <c r="L95" s="98"/>
      <c r="M95" s="98"/>
      <c r="N95" s="98"/>
      <c r="O95" s="98"/>
      <c r="P95" s="98"/>
      <c r="Q95" s="98"/>
      <c r="R95" s="98"/>
      <c r="S95" s="98"/>
      <c r="T95" s="98"/>
      <c r="U95" s="98"/>
    </row>
    <row r="97" spans="2:24">
      <c r="B97" s="76" t="s">
        <v>97</v>
      </c>
    </row>
    <row r="99" spans="2:24">
      <c r="E99" t="str" cm="1">
        <f t="array" ref="E99:E102">_xlfn._xlws.SORT( _xlfn.UNIQUE(_xlfn.ANCHORARRAY( $F$86) ) )</f>
        <v>Supplier II</v>
      </c>
      <c r="G99" t="s">
        <v>81</v>
      </c>
      <c r="J99" cm="1">
        <f t="array" ref="J99:U102">_xlfn.LET(
      _xlpm.ingredients,_xlfn.ANCHORARRAY(      J86),
      _xlpm.suppliers,_xlfn.ANCHORARRAY(        F86),
      _xlpm.current_supplier,_xlfn.ANCHORARRAY( E99),
      _xlpm.match_matrix,     --( _xlpm.suppliers = TRANSPOSE( _xlpm.current_supplier ) ),
      MMULT( TRANSPOSE( _xlpm.match_matrix ), _xlpm.ingredients ) )</f>
        <v>75542.090698385</v>
      </c>
      <c r="K99">
        <v>82056.489407851521</v>
      </c>
      <c r="L99">
        <v>88960.501735654063</v>
      </c>
      <c r="M99">
        <v>95851.232301521726</v>
      </c>
      <c r="N99">
        <v>102444.86043725623</v>
      </c>
      <c r="O99">
        <v>109334.05895162567</v>
      </c>
      <c r="P99">
        <v>115930.63724281953</v>
      </c>
      <c r="Q99">
        <v>122731.54892781706</v>
      </c>
      <c r="R99">
        <v>129267.1795733234</v>
      </c>
      <c r="S99">
        <v>136216.23433952604</v>
      </c>
      <c r="T99">
        <v>142756.08320120416</v>
      </c>
      <c r="U99">
        <v>148306.60269104259</v>
      </c>
    </row>
    <row r="100" spans="2:24">
      <c r="E100" t="str">
        <v>Supplier III</v>
      </c>
      <c r="G100" t="s">
        <v>81</v>
      </c>
      <c r="J100">
        <v>34809.007967082143</v>
      </c>
      <c r="K100">
        <v>37826.190022144496</v>
      </c>
      <c r="L100">
        <v>40956.774043308993</v>
      </c>
      <c r="M100">
        <v>44167.261887119312</v>
      </c>
      <c r="N100">
        <v>47178.342291275301</v>
      </c>
      <c r="O100">
        <v>50387.853331248087</v>
      </c>
      <c r="P100">
        <v>53400.931085331009</v>
      </c>
      <c r="Q100">
        <v>56580.479231229416</v>
      </c>
      <c r="R100">
        <v>59611.198386542892</v>
      </c>
      <c r="S100">
        <v>62801.657735885121</v>
      </c>
      <c r="T100">
        <v>65834.027876827953</v>
      </c>
      <c r="U100">
        <v>68423.427334376611</v>
      </c>
    </row>
    <row r="101" spans="2:24">
      <c r="E101" t="str">
        <v>Supplier IV</v>
      </c>
      <c r="G101" t="s">
        <v>81</v>
      </c>
      <c r="J101">
        <v>14291.746133641296</v>
      </c>
      <c r="K101">
        <v>15564.201475969141</v>
      </c>
      <c r="L101">
        <v>16731.417190386317</v>
      </c>
      <c r="M101">
        <v>18139.486711616155</v>
      </c>
      <c r="N101">
        <v>19307.938838615664</v>
      </c>
      <c r="O101">
        <v>20714.923327634344</v>
      </c>
      <c r="P101">
        <v>21885.815384650778</v>
      </c>
      <c r="Q101">
        <v>23304.562054660146</v>
      </c>
      <c r="R101">
        <v>24592.120735725828</v>
      </c>
      <c r="S101">
        <v>25879.627147756917</v>
      </c>
      <c r="T101">
        <v>27167.251419800046</v>
      </c>
      <c r="U101">
        <v>28325.99393137667</v>
      </c>
    </row>
    <row r="102" spans="2:24">
      <c r="E102" t="str">
        <v>Supplier V</v>
      </c>
      <c r="G102" t="s">
        <v>81</v>
      </c>
      <c r="J102">
        <v>62670.904233375586</v>
      </c>
      <c r="K102">
        <v>68111.925163940177</v>
      </c>
      <c r="L102">
        <v>73745.826618232473</v>
      </c>
      <c r="M102">
        <v>79500.083728666767</v>
      </c>
      <c r="N102">
        <v>84936.15358472435</v>
      </c>
      <c r="O102">
        <v>90688.830535758912</v>
      </c>
      <c r="P102">
        <v>96128.044071030803</v>
      </c>
      <c r="Q102">
        <v>101830.55981040932</v>
      </c>
      <c r="R102">
        <v>107293.24025593705</v>
      </c>
      <c r="S102">
        <v>113020.29607970628</v>
      </c>
      <c r="T102">
        <v>118485.68341271096</v>
      </c>
      <c r="U102">
        <v>123071.32238315538</v>
      </c>
    </row>
    <row r="103" spans="2:24">
      <c r="E103" s="75" t="s">
        <v>101</v>
      </c>
      <c r="F103" s="75"/>
      <c r="G103" s="75" t="s">
        <v>81</v>
      </c>
      <c r="H103" s="75"/>
      <c r="I103" s="75"/>
      <c r="J103" s="75" cm="1">
        <f t="array" ref="J103:U103">_xlfn.BYCOL(_xlfn.ANCHORARRAY( J99), _xleta.SUM )</f>
        <v>187313.74903248402</v>
      </c>
      <c r="K103" s="75">
        <v>203558.80606990535</v>
      </c>
      <c r="L103" s="75">
        <v>220394.51958758186</v>
      </c>
      <c r="M103" s="75">
        <v>237658.06462892395</v>
      </c>
      <c r="N103" s="75">
        <v>253867.29515187154</v>
      </c>
      <c r="O103" s="75">
        <v>271125.66614626703</v>
      </c>
      <c r="P103" s="75">
        <v>287345.42778383213</v>
      </c>
      <c r="Q103" s="75">
        <v>304447.15002411592</v>
      </c>
      <c r="R103" s="75">
        <v>320763.7389515292</v>
      </c>
      <c r="S103" s="75">
        <v>337917.81530287437</v>
      </c>
      <c r="T103" s="75">
        <v>354243.04591054312</v>
      </c>
      <c r="U103" s="75">
        <v>368127.34633995127</v>
      </c>
    </row>
    <row r="106" spans="2:24">
      <c r="B106" s="76" t="s">
        <v>102</v>
      </c>
    </row>
    <row r="108" spans="2:24">
      <c r="E108" t="str" cm="1">
        <f t="array" ref="E108:E110">CaseData!$A$40:$A$42</f>
        <v>Product A</v>
      </c>
      <c r="G108" t="s">
        <v>81</v>
      </c>
      <c r="J108" cm="1">
        <f t="array" ref="J108:U110" xml:space="preserve"> _xlfn.LET(
      _xlpm.ingredients,        $J$8:$U$46,
      _xlpm.labels,             $E$8:$E$46,
      _xlpm.ingredient_list,_xlfn.ANCHORARRAY(    $E$86),
      _xlpm.list_price,_xlfn.ANCHORARRAY(         $H$86),
      _xlpm.is_ingredient_row,  COUNTIF( _xlpm.ingredient_list, _xlpm.labels ) &gt; 0,
      _xlpm.current_row,         _xlfn._xlws.FILTER( _xlpm.labels, _xlpm.is_ingredient_row ),
      _xlpm.current_ingredients, _xlfn._xlws.FILTER( _xlpm.ingredients, _xlpm.is_ingredient_row ),
      _xlpm.value,               _xlpm.current_ingredients * _xlfn.XLOOKUP( _xlpm.current_row, _xlpm.ingredient_list, _xlpm.list_price ),
      _xlpm.product_list,_xlfn.ANCHORARRAY(    $E$108),
      _xlpm.product_tag_all, _xlfn.SCAN( "", _xlpm.labels, _xlfn.LAMBDA(_xlpm.carry,_xlpm.lbl, IF( COUNTIF( _xlpm.product_list, _xlpm.lbl ) &gt; 0, _xlpm.lbl, _xlpm.carry ) ) ),
      _xlpm.product_tag,     _xlfn._xlws.FILTER( _xlpm.product_tag_all, _xlpm.is_ingredient_row ),
      _xlpm.match_matrix, --( _xlpm.product_tag = TRANSPOSE( _xlpm.product_list ) ),
      MMULT( TRANSPOSE( _xlpm.match_matrix ), _xlpm.value ) )</f>
        <v>95535.348350592511</v>
      </c>
      <c r="K108">
        <v>103624.43916636608</v>
      </c>
      <c r="L108">
        <v>112767.63327703385</v>
      </c>
      <c r="M108">
        <v>121278.38711137911</v>
      </c>
      <c r="N108">
        <v>129789.4515918275</v>
      </c>
      <c r="O108">
        <v>138299.89265676864</v>
      </c>
      <c r="P108">
        <v>146810.95713721699</v>
      </c>
      <c r="Q108">
        <v>155112.88526606385</v>
      </c>
      <c r="R108">
        <v>163207.02813079167</v>
      </c>
      <c r="S108">
        <v>172139.09332688054</v>
      </c>
      <c r="T108">
        <v>180241.70291425026</v>
      </c>
      <c r="U108">
        <v>187236.98227175872</v>
      </c>
    </row>
    <row r="109" spans="2:24">
      <c r="E109" t="str">
        <v>Product B</v>
      </c>
      <c r="G109" t="s">
        <v>81</v>
      </c>
      <c r="J109">
        <v>62909.246792720376</v>
      </c>
      <c r="K109">
        <v>68510.326353935801</v>
      </c>
      <c r="L109">
        <v>73648.163309055526</v>
      </c>
      <c r="M109">
        <v>79846.187832024472</v>
      </c>
      <c r="N109">
        <v>84989.467214091361</v>
      </c>
      <c r="O109">
        <v>91182.715654522064</v>
      </c>
      <c r="P109">
        <v>96336.735092993244</v>
      </c>
      <c r="Q109">
        <v>102581.75816892649</v>
      </c>
      <c r="R109">
        <v>108249.31943609779</v>
      </c>
      <c r="S109">
        <v>113916.65062602269</v>
      </c>
      <c r="T109">
        <v>119584.50061081807</v>
      </c>
      <c r="U109">
        <v>124685.04031732751</v>
      </c>
    </row>
    <row r="110" spans="2:24">
      <c r="E110" s="92" t="str">
        <v>Product C</v>
      </c>
      <c r="F110" s="92"/>
      <c r="G110" s="92" t="s">
        <v>81</v>
      </c>
      <c r="H110" s="92"/>
      <c r="I110" s="92"/>
      <c r="J110" s="92">
        <v>28869.153889171132</v>
      </c>
      <c r="K110" s="92">
        <v>31424.040549603458</v>
      </c>
      <c r="L110" s="92">
        <v>33978.723001492486</v>
      </c>
      <c r="M110" s="92">
        <v>36533.489685520384</v>
      </c>
      <c r="N110" s="92">
        <v>39088.376345952704</v>
      </c>
      <c r="O110" s="92">
        <v>41643.057834976353</v>
      </c>
      <c r="P110" s="92">
        <v>44197.735553621897</v>
      </c>
      <c r="Q110" s="92">
        <v>46752.506589125594</v>
      </c>
      <c r="R110" s="92">
        <v>49307.391384639712</v>
      </c>
      <c r="S110" s="92">
        <v>51862.071349971142</v>
      </c>
      <c r="T110" s="92">
        <v>54416.84238547484</v>
      </c>
      <c r="U110" s="92">
        <v>56205.323750864991</v>
      </c>
    </row>
    <row r="111" spans="2:24">
      <c r="E111" s="75" t="s">
        <v>103</v>
      </c>
      <c r="F111" s="75"/>
      <c r="G111" s="75" t="s">
        <v>81</v>
      </c>
      <c r="H111" s="75"/>
      <c r="I111" s="75"/>
      <c r="J111" s="75" cm="1">
        <f t="array" ref="J111:U111">_xlfn.BYCOL(_xlfn.ANCHORARRAY( J108), _xleta.SUM )</f>
        <v>187313.74903248402</v>
      </c>
      <c r="K111" s="75">
        <v>203558.80606990535</v>
      </c>
      <c r="L111" s="75">
        <v>220394.51958758186</v>
      </c>
      <c r="M111" s="75">
        <v>237658.06462892398</v>
      </c>
      <c r="N111" s="75">
        <v>253867.29515187157</v>
      </c>
      <c r="O111" s="75">
        <v>271125.66614626709</v>
      </c>
      <c r="P111" s="75">
        <v>287345.42778383213</v>
      </c>
      <c r="Q111" s="75">
        <v>304447.15002411592</v>
      </c>
      <c r="R111" s="75">
        <v>320763.7389515292</v>
      </c>
      <c r="S111" s="75">
        <v>337917.81530287431</v>
      </c>
      <c r="T111" s="75">
        <v>354243.04591054318</v>
      </c>
      <c r="U111" s="75">
        <v>368127.34633995121</v>
      </c>
    </row>
    <row r="114" spans="1:21" s="56" customFormat="1">
      <c r="A114" s="57" t="s">
        <v>130</v>
      </c>
    </row>
    <row r="116" spans="1:21">
      <c r="B116" s="76" t="s">
        <v>128</v>
      </c>
    </row>
    <row r="118" spans="1:21">
      <c r="E118" t="str" cm="1">
        <f t="array" ref="E118:E120">CaseData!$A$40:$A$42</f>
        <v>Product A</v>
      </c>
      <c r="G118" t="s">
        <v>81</v>
      </c>
      <c r="J118" cm="1">
        <f t="array" ref="J118:U120" xml:space="preserve"> _xlfn.LET(
      _xlpm.ingredients_cost,_xlfn.ANCHORARRAY(        J108),
      _xlpm.direct_cost_pct_product, CaseData!$L$40:$L$42,
      _xlpm.direct_cost_rows,        CaseData!$A$40:$A$42,
      _xlpm.current_product,_xlfn.ANCHORARRAY(         E118),
      _xlpm.ingredients_cost * _xlfn.XLOOKUP( _xlpm.current_product, _xlpm.direct_cost_rows, _xlpm.direct_cost_pct_product, 0 ) )</f>
        <v>47767.674175296255</v>
      </c>
      <c r="K118">
        <v>51812.21958318304</v>
      </c>
      <c r="L118">
        <v>56383.816638516924</v>
      </c>
      <c r="M118">
        <v>60639.193555689555</v>
      </c>
      <c r="N118">
        <v>64894.72579591375</v>
      </c>
      <c r="O118">
        <v>69149.946328384322</v>
      </c>
      <c r="P118">
        <v>73405.478568608494</v>
      </c>
      <c r="Q118">
        <v>77556.442633031926</v>
      </c>
      <c r="R118">
        <v>81603.514065395837</v>
      </c>
      <c r="S118">
        <v>86069.546663440269</v>
      </c>
      <c r="T118">
        <v>90120.851457125129</v>
      </c>
      <c r="U118">
        <v>93618.491135879362</v>
      </c>
    </row>
    <row r="119" spans="1:21">
      <c r="E119" t="str">
        <v>Product B</v>
      </c>
      <c r="G119" t="s">
        <v>81</v>
      </c>
      <c r="J119">
        <v>37745.548075632221</v>
      </c>
      <c r="K119">
        <v>41106.195812361482</v>
      </c>
      <c r="L119">
        <v>44188.897985433316</v>
      </c>
      <c r="M119">
        <v>47907.71269921468</v>
      </c>
      <c r="N119">
        <v>50993.680328454815</v>
      </c>
      <c r="O119">
        <v>54709.629392713236</v>
      </c>
      <c r="P119">
        <v>57802.041055795948</v>
      </c>
      <c r="Q119">
        <v>61549.054901355892</v>
      </c>
      <c r="R119">
        <v>64949.591661658676</v>
      </c>
      <c r="S119">
        <v>68349.990375613605</v>
      </c>
      <c r="T119">
        <v>71750.700366490841</v>
      </c>
      <c r="U119">
        <v>74811.024190396507</v>
      </c>
    </row>
    <row r="120" spans="1:21">
      <c r="E120" t="str">
        <v>Product C</v>
      </c>
      <c r="G120" s="92" t="s">
        <v>81</v>
      </c>
      <c r="J120">
        <v>21651.865416878347</v>
      </c>
      <c r="K120">
        <v>23568.030412202592</v>
      </c>
      <c r="L120">
        <v>25484.042251119365</v>
      </c>
      <c r="M120">
        <v>27400.117264140288</v>
      </c>
      <c r="N120">
        <v>29316.282259464526</v>
      </c>
      <c r="O120">
        <v>31232.293376232265</v>
      </c>
      <c r="P120">
        <v>33148.301665216422</v>
      </c>
      <c r="Q120">
        <v>35064.379941844192</v>
      </c>
      <c r="R120">
        <v>36980.543538479782</v>
      </c>
      <c r="S120">
        <v>38896.553512478356</v>
      </c>
      <c r="T120">
        <v>40812.631789106134</v>
      </c>
      <c r="U120">
        <v>42153.99281314874</v>
      </c>
    </row>
    <row r="121" spans="1:21">
      <c r="E121" s="75" t="s">
        <v>127</v>
      </c>
      <c r="F121" s="75"/>
      <c r="G121" s="75" t="s">
        <v>81</v>
      </c>
      <c r="H121" s="75"/>
      <c r="I121" s="75"/>
      <c r="J121" s="75" cm="1">
        <f t="array" ref="J121:U121">_xlfn.BYCOL(_xlfn.ANCHORARRAY( J118), _xleta.SUM )</f>
        <v>107165.08766780683</v>
      </c>
      <c r="K121" s="75">
        <v>116486.44580774711</v>
      </c>
      <c r="L121" s="75">
        <v>126056.75687506961</v>
      </c>
      <c r="M121" s="75">
        <v>135947.02351904451</v>
      </c>
      <c r="N121" s="75">
        <v>145204.6883838331</v>
      </c>
      <c r="O121" s="75">
        <v>155091.86909732982</v>
      </c>
      <c r="P121" s="75">
        <v>164355.82128962086</v>
      </c>
      <c r="Q121" s="75">
        <v>174169.87747623201</v>
      </c>
      <c r="R121" s="75">
        <v>183533.6492655343</v>
      </c>
      <c r="S121" s="75">
        <v>193316.09055153222</v>
      </c>
      <c r="T121" s="75">
        <v>202684.18361272209</v>
      </c>
      <c r="U121" s="75">
        <v>210583.50813942461</v>
      </c>
    </row>
    <row r="124" spans="1:21" s="56" customFormat="1">
      <c r="A124" s="57" t="s">
        <v>129</v>
      </c>
    </row>
    <row r="126" spans="1:21">
      <c r="B126" s="76" t="s">
        <v>129</v>
      </c>
    </row>
    <row r="128" spans="1:21">
      <c r="E128" t="str" cm="1">
        <f t="array" ref="E128:E130">CaseData!$A$40:$A$42</f>
        <v>Product A</v>
      </c>
      <c r="G128" t="s">
        <v>81</v>
      </c>
      <c r="J128" cm="1">
        <f t="array" ref="J128:U130" xml:space="preserve"> _xlfn.LET(
      _xlpm.ingredients_costs,_xlfn.ANCHORARRAY(    J108),
      _xlpm.other_direct_costs,_xlfn.ANCHORARRAY(   J118),
      _xlpm.ingredients_costs + _xlpm.other_direct_costs )</f>
        <v>143303.02252588875</v>
      </c>
      <c r="K128">
        <v>155436.65874954913</v>
      </c>
      <c r="L128">
        <v>169151.44991555077</v>
      </c>
      <c r="M128">
        <v>181917.58066706866</v>
      </c>
      <c r="N128">
        <v>194684.17738774125</v>
      </c>
      <c r="O128">
        <v>207449.83898515295</v>
      </c>
      <c r="P128">
        <v>220216.43570582548</v>
      </c>
      <c r="Q128">
        <v>232669.32789909578</v>
      </c>
      <c r="R128">
        <v>244810.54219618751</v>
      </c>
      <c r="S128">
        <v>258208.63999032081</v>
      </c>
      <c r="T128">
        <v>270362.55437137536</v>
      </c>
      <c r="U128">
        <v>280855.47340763808</v>
      </c>
    </row>
    <row r="129" spans="2:21">
      <c r="E129" t="str">
        <v>Product B</v>
      </c>
      <c r="G129" t="s">
        <v>81</v>
      </c>
      <c r="J129">
        <v>100654.79486835259</v>
      </c>
      <c r="K129">
        <v>109616.52216629728</v>
      </c>
      <c r="L129">
        <v>117837.06129448884</v>
      </c>
      <c r="M129">
        <v>127753.90053123915</v>
      </c>
      <c r="N129">
        <v>135983.14754254618</v>
      </c>
      <c r="O129">
        <v>145892.34504723531</v>
      </c>
      <c r="P129">
        <v>154138.77614878918</v>
      </c>
      <c r="Q129">
        <v>164130.8130702824</v>
      </c>
      <c r="R129">
        <v>173198.91109775647</v>
      </c>
      <c r="S129">
        <v>182266.64100163628</v>
      </c>
      <c r="T129">
        <v>191335.20097730891</v>
      </c>
      <c r="U129">
        <v>199496.06450772402</v>
      </c>
    </row>
    <row r="130" spans="2:21">
      <c r="E130" t="str">
        <v>Product C</v>
      </c>
      <c r="G130" s="92" t="s">
        <v>81</v>
      </c>
      <c r="J130">
        <v>50521.019306049478</v>
      </c>
      <c r="K130">
        <v>54992.07096180605</v>
      </c>
      <c r="L130">
        <v>59462.765252611847</v>
      </c>
      <c r="M130">
        <v>63933.606949660672</v>
      </c>
      <c r="N130">
        <v>68404.658605417237</v>
      </c>
      <c r="O130">
        <v>72875.351211208617</v>
      </c>
      <c r="P130">
        <v>77346.037218838319</v>
      </c>
      <c r="Q130">
        <v>81816.886530969787</v>
      </c>
      <c r="R130">
        <v>86287.934923119494</v>
      </c>
      <c r="S130">
        <v>90758.624862449506</v>
      </c>
      <c r="T130">
        <v>95229.474174580973</v>
      </c>
      <c r="U130">
        <v>98359.31656401373</v>
      </c>
    </row>
    <row r="131" spans="2:21">
      <c r="E131" s="75" t="s">
        <v>129</v>
      </c>
      <c r="F131" s="75"/>
      <c r="G131" s="75" t="s">
        <v>81</v>
      </c>
      <c r="H131" s="75"/>
      <c r="I131" s="75"/>
      <c r="J131" s="75" cm="1">
        <f t="array" ref="J131:U131" xml:space="preserve"> _xlfn.BYCOL(_xlfn.ANCHORARRAY( J128), _xleta.SUM )</f>
        <v>294478.83670029079</v>
      </c>
      <c r="K131" s="75">
        <v>320045.25187765242</v>
      </c>
      <c r="L131" s="75">
        <v>346451.27646265144</v>
      </c>
      <c r="M131" s="75">
        <v>373605.08814796852</v>
      </c>
      <c r="N131" s="75">
        <v>399071.98353570467</v>
      </c>
      <c r="O131" s="75">
        <v>426217.53524359688</v>
      </c>
      <c r="P131" s="75">
        <v>451701.24907345301</v>
      </c>
      <c r="Q131" s="75">
        <v>478617.02750034793</v>
      </c>
      <c r="R131" s="75">
        <v>504297.3882170635</v>
      </c>
      <c r="S131" s="75">
        <v>531233.90585440653</v>
      </c>
      <c r="T131" s="75">
        <v>556927.22952326527</v>
      </c>
      <c r="U131" s="75">
        <v>578710.85447937588</v>
      </c>
    </row>
    <row r="133" spans="2:21">
      <c r="B133" s="76" t="s">
        <v>131</v>
      </c>
    </row>
    <row r="135" spans="2:21">
      <c r="E135" t="str" cm="1">
        <f t="array" ref="E135:E137">CaseData!$A$40:$A$42</f>
        <v>Product A</v>
      </c>
      <c r="G135" t="s">
        <v>132</v>
      </c>
      <c r="J135" s="99" cm="1">
        <f t="array" ref="J135:U137" xml:space="preserve"> _xlfn.LET(
      _xlpm.product_manufactured,    Inventory!$J$91:$U$93,
      _xlpm.direct_costs,_xlfn.ANCHORARRAY(            J128),
      _xlpm.direct_costs / _xlpm.product_manufactured )</f>
        <v>1.3322099999999999</v>
      </c>
      <c r="K135" s="99">
        <v>1.3322100000000001</v>
      </c>
      <c r="L135" s="99">
        <v>1.3322100000000001</v>
      </c>
      <c r="M135" s="99">
        <v>1.3322100000000001</v>
      </c>
      <c r="N135" s="99">
        <v>1.3322099999999999</v>
      </c>
      <c r="O135" s="99">
        <v>1.3322099999999999</v>
      </c>
      <c r="P135" s="99">
        <v>1.3322100000000001</v>
      </c>
      <c r="Q135" s="99">
        <v>1.3322100000000001</v>
      </c>
      <c r="R135" s="99">
        <v>1.3322100000000001</v>
      </c>
      <c r="S135" s="99">
        <v>1.3322100000000001</v>
      </c>
      <c r="T135" s="99">
        <v>1.3322099999999999</v>
      </c>
      <c r="U135" s="99">
        <v>1.3322099999999999</v>
      </c>
    </row>
    <row r="136" spans="2:21">
      <c r="E136" t="str">
        <v>Product B</v>
      </c>
      <c r="G136" t="s">
        <v>132</v>
      </c>
      <c r="J136" s="99">
        <v>1.5359777599999997</v>
      </c>
      <c r="K136" s="99">
        <v>1.53597776</v>
      </c>
      <c r="L136" s="99">
        <v>1.53597776</v>
      </c>
      <c r="M136" s="99">
        <v>1.53597776</v>
      </c>
      <c r="N136" s="99">
        <v>1.5359777600000002</v>
      </c>
      <c r="O136" s="99">
        <v>1.5359777600000002</v>
      </c>
      <c r="P136" s="99">
        <v>1.5359777599999997</v>
      </c>
      <c r="Q136" s="99">
        <v>1.5359777600000002</v>
      </c>
      <c r="R136" s="99">
        <v>1.53597776</v>
      </c>
      <c r="S136" s="99">
        <v>1.5359777599999997</v>
      </c>
      <c r="T136" s="99">
        <v>1.5359777600000002</v>
      </c>
      <c r="U136" s="99">
        <v>1.53597776</v>
      </c>
    </row>
    <row r="137" spans="2:21">
      <c r="E137" t="str">
        <v>Product C</v>
      </c>
      <c r="G137" s="92" t="s">
        <v>132</v>
      </c>
      <c r="J137" s="99">
        <v>1.7540662999999999</v>
      </c>
      <c r="K137" s="99">
        <v>1.7540662999999999</v>
      </c>
      <c r="L137" s="99">
        <v>1.7540662999999999</v>
      </c>
      <c r="M137" s="99">
        <v>1.7540663000000003</v>
      </c>
      <c r="N137" s="99">
        <v>1.7540663000000001</v>
      </c>
      <c r="O137" s="99">
        <v>1.7540662999999999</v>
      </c>
      <c r="P137" s="99">
        <v>1.7540662999999999</v>
      </c>
      <c r="Q137" s="99">
        <v>1.7540662999999999</v>
      </c>
      <c r="R137" s="99">
        <v>1.7540662999999999</v>
      </c>
      <c r="S137" s="99">
        <v>1.7540663000000001</v>
      </c>
      <c r="T137" s="99">
        <v>1.7540662999999999</v>
      </c>
      <c r="U137" s="99">
        <v>1.7540662999999999</v>
      </c>
    </row>
    <row r="138" spans="2:21">
      <c r="G138" s="92"/>
      <c r="J138" s="99"/>
      <c r="K138" s="99"/>
      <c r="L138" s="99"/>
      <c r="M138" s="99"/>
      <c r="N138" s="99"/>
      <c r="O138" s="99"/>
      <c r="P138" s="99"/>
      <c r="Q138" s="99"/>
      <c r="R138" s="99"/>
      <c r="S138" s="99"/>
      <c r="T138" s="99"/>
      <c r="U138" s="99"/>
    </row>
    <row r="139" spans="2:21">
      <c r="G139" s="92"/>
      <c r="J139" s="99"/>
      <c r="K139" s="99"/>
      <c r="L139" s="99"/>
      <c r="M139" s="99"/>
      <c r="N139" s="99"/>
      <c r="O139" s="99"/>
      <c r="P139" s="99"/>
      <c r="Q139" s="99"/>
      <c r="R139" s="99"/>
      <c r="S139" s="99"/>
      <c r="T139" s="99"/>
      <c r="U139" s="99"/>
    </row>
    <row r="140" spans="2:21">
      <c r="G140" s="92"/>
      <c r="J140" s="99"/>
      <c r="K140" s="99"/>
      <c r="L140" s="99"/>
      <c r="M140" s="99"/>
      <c r="N140" s="99"/>
      <c r="O140" s="99"/>
      <c r="P140" s="99"/>
      <c r="Q140" s="99"/>
      <c r="R140" s="99"/>
      <c r="S140" s="99"/>
      <c r="T140" s="99"/>
      <c r="U140" s="99"/>
    </row>
    <row r="141" spans="2:21">
      <c r="G141" s="92"/>
      <c r="J141" s="99"/>
      <c r="K141" s="99"/>
      <c r="L141" s="99"/>
      <c r="M141" s="99"/>
      <c r="N141" s="99"/>
      <c r="O141" s="99"/>
      <c r="P141" s="99"/>
      <c r="Q141" s="99"/>
      <c r="R141" s="99"/>
      <c r="S141" s="99"/>
      <c r="T141" s="99"/>
      <c r="U141" s="99"/>
    </row>
    <row r="142" spans="2:21">
      <c r="G142" s="92"/>
      <c r="J142" s="99"/>
      <c r="K142" s="99"/>
      <c r="L142" s="99"/>
      <c r="M142" s="99"/>
      <c r="N142" s="99"/>
      <c r="O142" s="99"/>
      <c r="P142" s="99"/>
      <c r="Q142" s="99"/>
      <c r="R142" s="99"/>
      <c r="S142" s="99"/>
      <c r="T142" s="99"/>
      <c r="U142" s="99"/>
    </row>
    <row r="143" spans="2:21">
      <c r="G143" s="92"/>
      <c r="J143" s="99"/>
      <c r="K143" s="99"/>
      <c r="L143" s="99"/>
      <c r="M143" s="99"/>
      <c r="N143" s="99"/>
      <c r="O143" s="99"/>
      <c r="P143" s="99"/>
      <c r="Q143" s="99"/>
      <c r="R143" s="99"/>
      <c r="S143" s="99"/>
      <c r="T143" s="99"/>
      <c r="U143" s="99"/>
    </row>
    <row r="144" spans="2:21">
      <c r="G144" s="92"/>
      <c r="J144" s="99"/>
      <c r="K144" s="99"/>
      <c r="L144" s="99"/>
      <c r="M144" s="99"/>
      <c r="N144" s="99"/>
      <c r="O144" s="99"/>
      <c r="P144" s="99"/>
      <c r="Q144" s="99"/>
      <c r="R144" s="99"/>
      <c r="S144" s="99"/>
      <c r="T144" s="99"/>
      <c r="U144" s="99"/>
    </row>
    <row r="145" spans="7:21">
      <c r="G145" s="92"/>
      <c r="J145" s="99"/>
      <c r="K145" s="99"/>
      <c r="L145" s="99"/>
      <c r="M145" s="99"/>
      <c r="N145" s="99"/>
      <c r="O145" s="99"/>
      <c r="P145" s="99"/>
      <c r="Q145" s="99"/>
      <c r="R145" s="99"/>
      <c r="S145" s="99"/>
      <c r="T145" s="99"/>
      <c r="U145" s="99"/>
    </row>
    <row r="146" spans="7:21">
      <c r="G146" s="92"/>
      <c r="J146" s="99"/>
      <c r="K146" s="99"/>
      <c r="L146" s="99"/>
      <c r="M146" s="99"/>
      <c r="N146" s="99"/>
      <c r="O146" s="99"/>
      <c r="P146" s="99"/>
      <c r="Q146" s="99"/>
      <c r="R146" s="99"/>
      <c r="S146" s="99"/>
      <c r="T146" s="99"/>
      <c r="U146" s="99"/>
    </row>
    <row r="147" spans="7:21">
      <c r="G147" s="92"/>
      <c r="J147" s="99"/>
      <c r="K147" s="99"/>
      <c r="L147" s="99"/>
      <c r="M147" s="99"/>
      <c r="N147" s="99"/>
      <c r="O147" s="99"/>
      <c r="P147" s="99"/>
      <c r="Q147" s="99"/>
      <c r="R147" s="99"/>
      <c r="S147" s="99"/>
      <c r="T147" s="99"/>
      <c r="U147" s="99"/>
    </row>
    <row r="148" spans="7:21">
      <c r="G148" s="92"/>
      <c r="J148" s="99"/>
      <c r="K148" s="99"/>
      <c r="L148" s="99"/>
      <c r="M148" s="99"/>
      <c r="N148" s="99"/>
      <c r="O148" s="99"/>
      <c r="P148" s="99"/>
      <c r="Q148" s="99"/>
      <c r="R148" s="99"/>
      <c r="S148" s="99"/>
      <c r="T148" s="99"/>
      <c r="U148" s="99"/>
    </row>
    <row r="149" spans="7:21">
      <c r="G149" s="92"/>
      <c r="J149" s="99"/>
      <c r="K149" s="99"/>
      <c r="L149" s="99"/>
      <c r="M149" s="99"/>
      <c r="N149" s="99"/>
      <c r="O149" s="99"/>
      <c r="P149" s="99"/>
      <c r="Q149" s="99"/>
      <c r="R149" s="99"/>
      <c r="S149" s="99"/>
      <c r="T149" s="99"/>
      <c r="U149" s="99"/>
    </row>
    <row r="150" spans="7:21">
      <c r="G150" s="92"/>
      <c r="J150" s="99"/>
      <c r="K150" s="99"/>
      <c r="L150" s="99"/>
      <c r="M150" s="99"/>
      <c r="N150" s="99"/>
      <c r="O150" s="99"/>
      <c r="P150" s="99"/>
      <c r="Q150" s="99"/>
      <c r="R150" s="99"/>
      <c r="S150" s="99"/>
      <c r="T150" s="99"/>
      <c r="U150" s="99"/>
    </row>
    <row r="151" spans="7:21">
      <c r="G151" s="92"/>
      <c r="J151" s="99"/>
      <c r="K151" s="99"/>
      <c r="L151" s="99"/>
      <c r="M151" s="99"/>
      <c r="N151" s="99"/>
      <c r="O151" s="99"/>
      <c r="P151" s="99"/>
      <c r="Q151" s="99"/>
      <c r="R151" s="99"/>
      <c r="S151" s="99"/>
      <c r="T151" s="99"/>
      <c r="U151" s="99"/>
    </row>
    <row r="152" spans="7:21">
      <c r="G152" s="92"/>
      <c r="J152" s="99"/>
      <c r="K152" s="99"/>
      <c r="L152" s="99"/>
      <c r="M152" s="99"/>
      <c r="N152" s="99"/>
      <c r="O152" s="99"/>
      <c r="P152" s="99"/>
      <c r="Q152" s="99"/>
      <c r="R152" s="99"/>
      <c r="S152" s="99"/>
      <c r="T152" s="99"/>
      <c r="U152" s="99"/>
    </row>
    <row r="153" spans="7:21">
      <c r="G153" s="92"/>
      <c r="J153" s="99"/>
      <c r="K153" s="99"/>
      <c r="L153" s="99"/>
      <c r="M153" s="99"/>
      <c r="N153" s="99"/>
      <c r="O153" s="99"/>
      <c r="P153" s="99"/>
      <c r="Q153" s="99"/>
      <c r="R153" s="99"/>
      <c r="S153" s="99"/>
      <c r="T153" s="99"/>
      <c r="U153" s="99"/>
    </row>
    <row r="154" spans="7:21">
      <c r="G154" s="92"/>
      <c r="J154" s="99"/>
      <c r="K154" s="99"/>
      <c r="L154" s="99"/>
      <c r="M154" s="99"/>
      <c r="N154" s="99"/>
      <c r="O154" s="99"/>
      <c r="P154" s="99"/>
      <c r="Q154" s="99"/>
      <c r="R154" s="99"/>
      <c r="S154" s="99"/>
      <c r="T154" s="99"/>
      <c r="U154" s="99"/>
    </row>
    <row r="155" spans="7:21">
      <c r="G155" s="92"/>
      <c r="J155" s="99"/>
      <c r="K155" s="99"/>
      <c r="L155" s="99"/>
      <c r="M155" s="99"/>
      <c r="N155" s="99"/>
      <c r="O155" s="99"/>
      <c r="P155" s="99"/>
      <c r="Q155" s="99"/>
      <c r="R155" s="99"/>
      <c r="S155" s="99"/>
      <c r="T155" s="99"/>
      <c r="U155" s="99"/>
    </row>
    <row r="156" spans="7:21">
      <c r="G156" s="92"/>
      <c r="J156" s="99"/>
      <c r="K156" s="99"/>
      <c r="L156" s="99"/>
      <c r="M156" s="99"/>
      <c r="N156" s="99"/>
      <c r="O156" s="99"/>
      <c r="P156" s="99"/>
      <c r="Q156" s="99"/>
      <c r="R156" s="99"/>
      <c r="S156" s="99"/>
      <c r="T156" s="99"/>
      <c r="U156" s="99"/>
    </row>
    <row r="157" spans="7:21">
      <c r="G157" s="92"/>
      <c r="J157" s="99"/>
      <c r="K157" s="99"/>
      <c r="L157" s="99"/>
      <c r="M157" s="99"/>
      <c r="N157" s="99"/>
      <c r="O157" s="99"/>
      <c r="P157" s="99"/>
      <c r="Q157" s="99"/>
      <c r="R157" s="99"/>
      <c r="S157" s="99"/>
      <c r="T157" s="99"/>
      <c r="U157" s="99"/>
    </row>
    <row r="158" spans="7:21">
      <c r="G158" s="92"/>
      <c r="J158" s="99"/>
      <c r="K158" s="99"/>
      <c r="L158" s="99"/>
      <c r="M158" s="99"/>
      <c r="N158" s="99"/>
      <c r="O158" s="99"/>
      <c r="P158" s="99"/>
      <c r="Q158" s="99"/>
      <c r="R158" s="99"/>
      <c r="S158" s="99"/>
      <c r="T158" s="99"/>
      <c r="U158" s="99"/>
    </row>
    <row r="159" spans="7:21">
      <c r="G159" s="92"/>
      <c r="J159" s="99"/>
      <c r="K159" s="99"/>
      <c r="L159" s="99"/>
      <c r="M159" s="99"/>
      <c r="N159" s="99"/>
      <c r="O159" s="99"/>
      <c r="P159" s="99"/>
      <c r="Q159" s="99"/>
      <c r="R159" s="99"/>
      <c r="S159" s="99"/>
      <c r="T159" s="99"/>
      <c r="U159" s="99"/>
    </row>
    <row r="160" spans="7:21">
      <c r="G160" s="92"/>
      <c r="J160" s="99"/>
      <c r="K160" s="99"/>
      <c r="L160" s="99"/>
      <c r="M160" s="99"/>
      <c r="N160" s="99"/>
      <c r="O160" s="99"/>
      <c r="P160" s="99"/>
      <c r="Q160" s="99"/>
      <c r="R160" s="99"/>
      <c r="S160" s="99"/>
      <c r="T160" s="99"/>
      <c r="U160" s="99"/>
    </row>
    <row r="161" spans="1:21">
      <c r="G161" s="92"/>
      <c r="J161" s="99"/>
      <c r="K161" s="99"/>
      <c r="L161" s="99"/>
      <c r="M161" s="99"/>
      <c r="N161" s="99"/>
      <c r="O161" s="99"/>
      <c r="P161" s="99"/>
      <c r="Q161" s="99"/>
      <c r="R161" s="99"/>
      <c r="S161" s="99"/>
      <c r="T161" s="99"/>
      <c r="U161" s="99"/>
    </row>
    <row r="162" spans="1:21">
      <c r="G162" s="92"/>
      <c r="J162" s="99"/>
      <c r="K162" s="99"/>
      <c r="L162" s="99"/>
      <c r="M162" s="99"/>
      <c r="N162" s="99"/>
      <c r="O162" s="99"/>
      <c r="P162" s="99"/>
      <c r="Q162" s="99"/>
      <c r="R162" s="99"/>
      <c r="S162" s="99"/>
      <c r="T162" s="99"/>
      <c r="U162" s="99"/>
    </row>
    <row r="163" spans="1:21">
      <c r="G163" s="92"/>
      <c r="J163" s="99"/>
      <c r="K163" s="99"/>
      <c r="L163" s="99"/>
      <c r="M163" s="99"/>
      <c r="N163" s="99"/>
      <c r="O163" s="99"/>
      <c r="P163" s="99"/>
      <c r="Q163" s="99"/>
      <c r="R163" s="99"/>
      <c r="S163" s="99"/>
      <c r="T163" s="99"/>
      <c r="U163" s="99"/>
    </row>
    <row r="164" spans="1:21">
      <c r="G164" s="92"/>
      <c r="J164" s="99"/>
      <c r="K164" s="99"/>
      <c r="L164" s="99"/>
      <c r="M164" s="99"/>
      <c r="N164" s="99"/>
      <c r="O164" s="99"/>
      <c r="P164" s="99"/>
      <c r="Q164" s="99"/>
      <c r="R164" s="99"/>
      <c r="S164" s="99"/>
      <c r="T164" s="99"/>
      <c r="U164" s="99"/>
    </row>
    <row r="165" spans="1:21">
      <c r="G165" s="92"/>
      <c r="J165" s="99"/>
      <c r="K165" s="99"/>
      <c r="L165" s="99"/>
      <c r="M165" s="99"/>
      <c r="N165" s="99"/>
      <c r="O165" s="99"/>
      <c r="P165" s="99"/>
      <c r="Q165" s="99"/>
      <c r="R165" s="99"/>
      <c r="S165" s="99"/>
      <c r="T165" s="99"/>
      <c r="U165" s="99"/>
    </row>
    <row r="166" spans="1:21">
      <c r="G166" s="92"/>
      <c r="J166" s="99"/>
      <c r="K166" s="99"/>
      <c r="L166" s="99"/>
      <c r="M166" s="99"/>
      <c r="N166" s="99"/>
      <c r="O166" s="99"/>
      <c r="P166" s="99"/>
      <c r="Q166" s="99"/>
      <c r="R166" s="99"/>
      <c r="S166" s="99"/>
      <c r="T166" s="99"/>
      <c r="U166" s="99"/>
    </row>
    <row r="167" spans="1:21">
      <c r="G167" s="92"/>
      <c r="J167" s="99"/>
      <c r="K167" s="99"/>
      <c r="L167" s="99"/>
      <c r="M167" s="99"/>
      <c r="N167" s="99"/>
      <c r="O167" s="99"/>
      <c r="P167" s="99"/>
      <c r="Q167" s="99"/>
      <c r="R167" s="99"/>
      <c r="S167" s="99"/>
      <c r="T167" s="99"/>
      <c r="U167" s="99"/>
    </row>
    <row r="168" spans="1:21">
      <c r="G168" s="92"/>
      <c r="J168" s="99"/>
      <c r="K168" s="99"/>
      <c r="L168" s="99"/>
      <c r="M168" s="99"/>
      <c r="N168" s="99"/>
      <c r="O168" s="99"/>
      <c r="P168" s="99"/>
      <c r="Q168" s="99"/>
      <c r="R168" s="99"/>
      <c r="S168" s="99"/>
      <c r="T168" s="99"/>
      <c r="U168" s="99"/>
    </row>
    <row r="169" spans="1:21">
      <c r="G169" s="92"/>
      <c r="J169" s="99"/>
      <c r="K169" s="99"/>
      <c r="L169" s="99"/>
      <c r="M169" s="99"/>
      <c r="N169" s="99"/>
      <c r="O169" s="99"/>
      <c r="P169" s="99"/>
      <c r="Q169" s="99"/>
      <c r="R169" s="99"/>
      <c r="S169" s="99"/>
      <c r="T169" s="99"/>
      <c r="U169" s="99"/>
    </row>
    <row r="170" spans="1:21">
      <c r="G170" s="92"/>
      <c r="J170" s="99"/>
      <c r="K170" s="99"/>
      <c r="L170" s="99"/>
      <c r="M170" s="99"/>
      <c r="N170" s="99"/>
      <c r="O170" s="99"/>
      <c r="P170" s="99"/>
      <c r="Q170" s="99"/>
      <c r="R170" s="99"/>
      <c r="S170" s="99"/>
      <c r="T170" s="99"/>
      <c r="U170" s="99"/>
    </row>
    <row r="171" spans="1:21">
      <c r="G171" s="92"/>
      <c r="J171" s="99"/>
      <c r="K171" s="99"/>
      <c r="L171" s="99"/>
      <c r="M171" s="99"/>
      <c r="N171" s="99"/>
      <c r="O171" s="99"/>
      <c r="P171" s="99"/>
      <c r="Q171" s="99"/>
      <c r="R171" s="99"/>
      <c r="S171" s="99"/>
      <c r="T171" s="99"/>
      <c r="U171" s="99"/>
    </row>
    <row r="172" spans="1:21">
      <c r="G172" s="92"/>
      <c r="J172" s="99"/>
      <c r="K172" s="99"/>
      <c r="L172" s="99"/>
      <c r="M172" s="99"/>
      <c r="N172" s="99"/>
      <c r="O172" s="99"/>
      <c r="P172" s="99"/>
      <c r="Q172" s="99"/>
      <c r="R172" s="99"/>
      <c r="S172" s="99"/>
      <c r="T172" s="99"/>
      <c r="U172" s="99"/>
    </row>
    <row r="173" spans="1:21">
      <c r="G173" s="92"/>
      <c r="J173" s="99"/>
      <c r="K173" s="99"/>
      <c r="L173" s="99"/>
      <c r="M173" s="99"/>
      <c r="N173" s="99"/>
      <c r="O173" s="99"/>
      <c r="P173" s="99"/>
      <c r="Q173" s="99"/>
      <c r="R173" s="99"/>
      <c r="S173" s="99"/>
      <c r="T173" s="99"/>
      <c r="U173" s="99"/>
    </row>
    <row r="175" spans="1:21" s="56" customFormat="1">
      <c r="A175" s="57" t="s">
        <v>54</v>
      </c>
    </row>
  </sheetData>
  <printOptions horizontalCentered="1"/>
  <pageMargins left="0.15748031496062992" right="0.15748031496062992" top="0.31496062992125984" bottom="0.39370078740157483" header="0.15748031496062992" footer="0.15748031496062992"/>
  <pageSetup scale="60" fitToHeight="0" orientation="landscape" r:id="rId1"/>
  <headerFooter>
    <oddFooter>&amp;L&amp;"Arial,Regular"Financial Modeling Institute
CFM October 2026&amp;C&amp;"Arial,Regular"Page &amp;P of &amp;N&amp;R&amp;"Arial,Regular"&amp;D</oddFooter>
  </headerFooter>
  <rowBreaks count="2" manualBreakCount="2">
    <brk id="48" max="20" man="1"/>
    <brk id="112" max="20" man="1"/>
  </rowBreaks>
  <colBreaks count="3" manualBreakCount="3">
    <brk id="4" max="138" man="1"/>
    <brk id="7" max="138" man="1"/>
    <brk id="9" max="138" man="1"/>
  </colBreak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4C4F21-3CE6-4AF7-A9C7-F849855D48ED}">
  <sheetPr>
    <pageSetUpPr autoPageBreaks="0" fitToPage="1"/>
  </sheetPr>
  <dimension ref="A1:U185"/>
  <sheetViews>
    <sheetView showGridLines="0" zoomScale="85" zoomScaleNormal="85" workbookViewId="0">
      <pane xSplit="9" ySplit="3" topLeftCell="J143" activePane="bottomRight" state="frozen"/>
      <selection pane="topRight" activeCell="J1" sqref="J1"/>
      <selection pane="bottomLeft" activeCell="A4" sqref="A4"/>
      <selection pane="bottomRight" activeCell="O163" sqref="O163"/>
    </sheetView>
  </sheetViews>
  <sheetFormatPr defaultRowHeight="13.8"/>
  <cols>
    <col min="1" max="1" width="1.69921875" customWidth="1"/>
    <col min="2" max="4" width="1.59765625" customWidth="1"/>
    <col min="5" max="5" width="32.19921875" customWidth="1"/>
    <col min="6" max="7" width="11.5" customWidth="1"/>
    <col min="8" max="8" width="5.69921875" customWidth="1"/>
    <col min="9" max="9" width="1.59765625" customWidth="1"/>
    <col min="10" max="21" width="11.5" customWidth="1"/>
  </cols>
  <sheetData>
    <row r="1" spans="1:21" s="55" customFormat="1">
      <c r="A1" s="55" t="str" cm="1">
        <f t="array" ref="A1">company</f>
        <v>Sweet Dreams Co.</v>
      </c>
    </row>
    <row r="2" spans="1:21" s="55" customFormat="1">
      <c r="A2" s="55" t="str" cm="1">
        <f t="array" ref="A2">topic</f>
        <v>CFM Topic: Working Capital</v>
      </c>
    </row>
    <row r="3" spans="1:21" s="55" customFormat="1">
      <c r="A3" s="55" t="s">
        <v>84</v>
      </c>
      <c r="F3" s="55" t="s">
        <v>55</v>
      </c>
      <c r="G3" s="55" t="s">
        <v>56</v>
      </c>
      <c r="H3" s="55" t="s">
        <v>5</v>
      </c>
      <c r="J3" s="58" cm="1">
        <f t="array" ref="J3:U3" xml:space="preserve"> EOMONTH( start_date, _xlfn.SEQUENCE( 1, periods, 0, 1 ) )</f>
        <v>44592</v>
      </c>
      <c r="K3" s="58">
        <v>44620</v>
      </c>
      <c r="L3" s="58">
        <v>44651</v>
      </c>
      <c r="M3" s="58">
        <v>44681</v>
      </c>
      <c r="N3" s="58">
        <v>44712</v>
      </c>
      <c r="O3" s="58">
        <v>44742</v>
      </c>
      <c r="P3" s="58">
        <v>44773</v>
      </c>
      <c r="Q3" s="58">
        <v>44804</v>
      </c>
      <c r="R3" s="58">
        <v>44834</v>
      </c>
      <c r="S3" s="58">
        <v>44865</v>
      </c>
      <c r="T3" s="58">
        <v>44895</v>
      </c>
      <c r="U3" s="58">
        <v>44926</v>
      </c>
    </row>
    <row r="5" spans="1:21" s="56" customFormat="1">
      <c r="A5" s="57" t="s">
        <v>64</v>
      </c>
    </row>
    <row r="7" spans="1:21">
      <c r="B7" s="76" t="s">
        <v>79</v>
      </c>
    </row>
    <row r="9" spans="1:21">
      <c r="E9" s="79" t="str" cm="1">
        <f t="array" ref="E9:E22" xml:space="preserve"> IF( INDEX( CaseData!$A$7:$A$20,,1 ) = "", "", INDEX( CaseData!$A$7:$A$20,,1 ) )</f>
        <v>Retailer 1</v>
      </c>
      <c r="F9" s="79"/>
      <c r="G9" s="79" t="s">
        <v>81</v>
      </c>
      <c r="J9" s="81" cm="1">
        <f t="array" ref="J9:U22">_xlfn.LET(
      _xlpm.revenue_data,      CaseData!$C$7:$N$20,
      _xlpm.revenue_columns,   CaseData!$C$3:$N$3,
      _xlpm.current_row,_xlfn.ANCHORARRAY(       $E$9),
      _xlpm.current_column,_xlfn.ANCHORARRAY(    $J$3),
      _xlpm.row_position,      _xlfn.SEQUENCE( ROWS( _xlpm.current_row ) ),
      _xlpm.revenue,           INDEX( _xlpm.revenue_data, _xlpm.row_position, _xlfn.XMATCH( _xlpm.current_column, _xlpm.revenue_columns ) ),
      IF( _xlpm.revenue = "","", _xlpm.revenue ) )</f>
        <v>210000</v>
      </c>
      <c r="K9" s="79">
        <v>229091</v>
      </c>
      <c r="L9" s="79">
        <v>248182</v>
      </c>
      <c r="M9" s="79">
        <v>267272</v>
      </c>
      <c r="N9" s="79">
        <v>284364</v>
      </c>
      <c r="O9" s="79">
        <v>305454</v>
      </c>
      <c r="P9" s="79">
        <v>324546</v>
      </c>
      <c r="Q9" s="79">
        <v>343636</v>
      </c>
      <c r="R9" s="79">
        <v>360728</v>
      </c>
      <c r="S9" s="79">
        <v>381818</v>
      </c>
      <c r="T9" s="79">
        <v>400909</v>
      </c>
      <c r="U9" s="79">
        <v>419999.99999999988</v>
      </c>
    </row>
    <row r="10" spans="1:21">
      <c r="E10" s="70" t="str">
        <v>Product A</v>
      </c>
      <c r="G10" t="s">
        <v>81</v>
      </c>
      <c r="J10">
        <v>125000</v>
      </c>
      <c r="K10">
        <v>136364</v>
      </c>
      <c r="L10">
        <v>147727</v>
      </c>
      <c r="M10">
        <v>159091</v>
      </c>
      <c r="N10">
        <v>170455</v>
      </c>
      <c r="O10">
        <v>181818</v>
      </c>
      <c r="P10">
        <v>193182</v>
      </c>
      <c r="Q10">
        <v>204545</v>
      </c>
      <c r="R10">
        <v>213909</v>
      </c>
      <c r="S10">
        <v>227273</v>
      </c>
      <c r="T10">
        <v>238636</v>
      </c>
      <c r="U10">
        <v>249999.99999999988</v>
      </c>
    </row>
    <row r="11" spans="1:21">
      <c r="E11" s="70" t="str">
        <v>Product B</v>
      </c>
      <c r="G11" t="s">
        <v>81</v>
      </c>
      <c r="J11">
        <v>50000</v>
      </c>
      <c r="K11">
        <v>54545</v>
      </c>
      <c r="L11">
        <v>59091</v>
      </c>
      <c r="M11">
        <v>63636</v>
      </c>
      <c r="N11">
        <v>66182</v>
      </c>
      <c r="O11">
        <v>72727</v>
      </c>
      <c r="P11">
        <v>77273</v>
      </c>
      <c r="Q11">
        <v>81818</v>
      </c>
      <c r="R11">
        <v>86364</v>
      </c>
      <c r="S11">
        <v>90909</v>
      </c>
      <c r="T11">
        <v>95455</v>
      </c>
      <c r="U11">
        <v>99999.999999999985</v>
      </c>
    </row>
    <row r="12" spans="1:21">
      <c r="E12" s="70" t="str">
        <v>Product C</v>
      </c>
      <c r="G12" t="s">
        <v>81</v>
      </c>
      <c r="J12">
        <v>35000</v>
      </c>
      <c r="K12">
        <v>38182</v>
      </c>
      <c r="L12">
        <v>41364</v>
      </c>
      <c r="M12">
        <v>44545</v>
      </c>
      <c r="N12">
        <v>47727</v>
      </c>
      <c r="O12">
        <v>50909</v>
      </c>
      <c r="P12">
        <v>54091</v>
      </c>
      <c r="Q12">
        <v>57273</v>
      </c>
      <c r="R12">
        <v>60455</v>
      </c>
      <c r="S12">
        <v>63636</v>
      </c>
      <c r="T12">
        <v>66818</v>
      </c>
      <c r="U12">
        <v>70000.000000000015</v>
      </c>
    </row>
    <row r="13" spans="1:21">
      <c r="E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</row>
    <row r="14" spans="1:21">
      <c r="E14" s="79" t="str">
        <v>Retailer 2</v>
      </c>
      <c r="F14" s="79"/>
      <c r="G14" s="79" t="s">
        <v>81</v>
      </c>
      <c r="H14" s="79"/>
      <c r="I14" s="79"/>
      <c r="J14" s="79">
        <v>105000</v>
      </c>
      <c r="K14" s="79">
        <v>114545</v>
      </c>
      <c r="L14" s="79">
        <v>124091</v>
      </c>
      <c r="M14" s="79">
        <v>133636</v>
      </c>
      <c r="N14" s="79">
        <v>143182</v>
      </c>
      <c r="O14" s="79">
        <v>152727</v>
      </c>
      <c r="P14" s="79">
        <v>160273</v>
      </c>
      <c r="Q14" s="79">
        <v>171818</v>
      </c>
      <c r="R14" s="79">
        <v>181364</v>
      </c>
      <c r="S14" s="79">
        <v>190909</v>
      </c>
      <c r="T14" s="79">
        <v>198455</v>
      </c>
      <c r="U14" s="79">
        <v>210000</v>
      </c>
    </row>
    <row r="15" spans="1:21">
      <c r="E15" s="70" t="str">
        <v>Product A</v>
      </c>
      <c r="G15" t="s">
        <v>81</v>
      </c>
      <c r="J15">
        <v>50000</v>
      </c>
      <c r="K15">
        <v>54545</v>
      </c>
      <c r="L15">
        <v>59091</v>
      </c>
      <c r="M15">
        <v>63636</v>
      </c>
      <c r="N15">
        <v>68182</v>
      </c>
      <c r="O15">
        <v>72727</v>
      </c>
      <c r="P15">
        <v>77273</v>
      </c>
      <c r="Q15">
        <v>81818</v>
      </c>
      <c r="R15">
        <v>86364</v>
      </c>
      <c r="S15">
        <v>90909</v>
      </c>
      <c r="T15">
        <v>93455</v>
      </c>
      <c r="U15">
        <v>99999.999999999985</v>
      </c>
    </row>
    <row r="16" spans="1:21">
      <c r="E16" s="70" t="str">
        <v>Product B</v>
      </c>
      <c r="G16" t="s">
        <v>81</v>
      </c>
      <c r="J16">
        <v>40000</v>
      </c>
      <c r="K16">
        <v>43636</v>
      </c>
      <c r="L16">
        <v>47273</v>
      </c>
      <c r="M16">
        <v>50909</v>
      </c>
      <c r="N16">
        <v>54545</v>
      </c>
      <c r="O16">
        <v>58182</v>
      </c>
      <c r="P16">
        <v>59818</v>
      </c>
      <c r="Q16">
        <v>65455</v>
      </c>
      <c r="R16">
        <v>69091</v>
      </c>
      <c r="S16">
        <v>72727</v>
      </c>
      <c r="T16">
        <v>76364</v>
      </c>
      <c r="U16">
        <v>80000.000000000015</v>
      </c>
    </row>
    <row r="17" spans="2:21">
      <c r="E17" s="70" t="str">
        <v>Product C</v>
      </c>
      <c r="G17" t="s">
        <v>81</v>
      </c>
      <c r="J17">
        <v>15000</v>
      </c>
      <c r="K17">
        <v>16364</v>
      </c>
      <c r="L17">
        <v>17727</v>
      </c>
      <c r="M17">
        <v>19091</v>
      </c>
      <c r="N17">
        <v>20455</v>
      </c>
      <c r="O17">
        <v>21818</v>
      </c>
      <c r="P17">
        <v>23182</v>
      </c>
      <c r="Q17">
        <v>24545</v>
      </c>
      <c r="R17">
        <v>25909</v>
      </c>
      <c r="S17">
        <v>27273</v>
      </c>
      <c r="T17">
        <v>28636</v>
      </c>
      <c r="U17">
        <v>30000.000000000004</v>
      </c>
    </row>
    <row r="18" spans="2:21">
      <c r="E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</row>
    <row r="19" spans="2:21" s="66" customFormat="1">
      <c r="E19" s="65" t="str">
        <v>Retailer 3</v>
      </c>
      <c r="F19" s="65"/>
      <c r="G19" s="79" t="s">
        <v>81</v>
      </c>
      <c r="H19" s="65"/>
      <c r="I19" s="65"/>
      <c r="J19" s="65">
        <v>195000</v>
      </c>
      <c r="K19" s="65">
        <v>210727</v>
      </c>
      <c r="L19" s="65">
        <v>228455</v>
      </c>
      <c r="M19" s="65">
        <v>248182</v>
      </c>
      <c r="N19" s="65">
        <v>265910</v>
      </c>
      <c r="O19" s="65">
        <v>283637</v>
      </c>
      <c r="P19" s="65">
        <v>301363</v>
      </c>
      <c r="Q19" s="65">
        <v>319090</v>
      </c>
      <c r="R19" s="65">
        <v>336818</v>
      </c>
      <c r="S19" s="65">
        <v>354545</v>
      </c>
      <c r="T19" s="65">
        <v>372273</v>
      </c>
      <c r="U19" s="65">
        <v>389999.99999999988</v>
      </c>
    </row>
    <row r="20" spans="2:21">
      <c r="E20" s="70" t="str">
        <v>Product A</v>
      </c>
      <c r="G20" t="s">
        <v>81</v>
      </c>
      <c r="J20">
        <v>50000</v>
      </c>
      <c r="K20">
        <v>52545</v>
      </c>
      <c r="L20">
        <v>59091</v>
      </c>
      <c r="M20">
        <v>63636</v>
      </c>
      <c r="N20">
        <v>68182</v>
      </c>
      <c r="O20">
        <v>72727</v>
      </c>
      <c r="P20">
        <v>77273</v>
      </c>
      <c r="Q20">
        <v>81818</v>
      </c>
      <c r="R20">
        <v>86364</v>
      </c>
      <c r="S20">
        <v>90909</v>
      </c>
      <c r="T20">
        <v>95455</v>
      </c>
      <c r="U20">
        <v>99999.999999999985</v>
      </c>
    </row>
    <row r="21" spans="2:21">
      <c r="E21" s="70" t="str">
        <v>Product B</v>
      </c>
      <c r="G21" t="s">
        <v>81</v>
      </c>
      <c r="J21">
        <v>100000</v>
      </c>
      <c r="K21">
        <v>109091</v>
      </c>
      <c r="L21">
        <v>116182</v>
      </c>
      <c r="M21">
        <v>127273</v>
      </c>
      <c r="N21">
        <v>136364</v>
      </c>
      <c r="O21">
        <v>145455</v>
      </c>
      <c r="P21">
        <v>154545</v>
      </c>
      <c r="Q21">
        <v>163636</v>
      </c>
      <c r="R21">
        <v>172727</v>
      </c>
      <c r="S21">
        <v>181818</v>
      </c>
      <c r="T21">
        <v>190909</v>
      </c>
      <c r="U21">
        <v>199999.99999999997</v>
      </c>
    </row>
    <row r="22" spans="2:21">
      <c r="E22" s="70" t="str">
        <v>Product C</v>
      </c>
      <c r="G22" t="s">
        <v>81</v>
      </c>
      <c r="J22">
        <v>45000</v>
      </c>
      <c r="K22">
        <v>49091</v>
      </c>
      <c r="L22">
        <v>53182</v>
      </c>
      <c r="M22">
        <v>57273</v>
      </c>
      <c r="N22">
        <v>61364</v>
      </c>
      <c r="O22">
        <v>65455</v>
      </c>
      <c r="P22">
        <v>69545</v>
      </c>
      <c r="Q22">
        <v>73636</v>
      </c>
      <c r="R22">
        <v>77727</v>
      </c>
      <c r="S22">
        <v>81818</v>
      </c>
      <c r="T22">
        <v>85909</v>
      </c>
      <c r="U22">
        <v>89999.999999999971</v>
      </c>
    </row>
    <row r="24" spans="2:21">
      <c r="B24" s="76" t="s">
        <v>80</v>
      </c>
    </row>
    <row r="26" spans="2:21">
      <c r="E26" s="79" t="str" cm="1">
        <f t="array" ref="E26:E39" xml:space="preserve"> IF( INDEX( CaseData!$A$7:$A$20,,1 ) = "", "", INDEX( CaseData!$A$7:$A$20,,1 ) )</f>
        <v>Retailer 1</v>
      </c>
      <c r="F26" s="79"/>
      <c r="G26" s="79" t="s">
        <v>81</v>
      </c>
      <c r="H26" s="79"/>
      <c r="I26" s="79"/>
      <c r="J26" s="81" cm="1">
        <f t="array" ref="J26:U39">_xlfn.LET(
      _xlpm.revenue,_xlfn.ANCHORARRAY(         J9),
      _xlpm.current_row,_xlfn.ANCHORARRAY(     E26),
      _xlpm.retailer_list,   CaseData!$A$26:$A$28,
      _xlpm.retailer_fill,   _xlfn.SCAN( "", _xlpm.current_row, _xlfn.LAMBDA(_xlpm.carry,_xlpm.lbl, IF( COUNTIF( _xlpm.retailer_list, _xlpm.lbl ) &gt; 0, _xlpm.lbl, _xlpm.carry ) ) ),
      _xlpm.discount_rate,   CaseData!$D$26:$D$28,
      _xlpm.discount,        INDEX( _xlpm.discount_rate, _xlfn.XMATCH( _xlpm.retailer_fill, _xlpm.retailer_list ) ),
      IF( _xlpm.current_row = "", "", _xlpm.revenue / ( 1 - _xlpm.discount ) ) )</f>
        <v>225806.45161290324</v>
      </c>
      <c r="K26" s="79">
        <v>246334.40860215056</v>
      </c>
      <c r="L26" s="79">
        <v>266862.36559139786</v>
      </c>
      <c r="M26" s="79">
        <v>287389.24731182796</v>
      </c>
      <c r="N26" s="79">
        <v>305767.74193548388</v>
      </c>
      <c r="O26" s="79">
        <v>328445.16129032261</v>
      </c>
      <c r="P26" s="79">
        <v>348974.19354838709</v>
      </c>
      <c r="Q26" s="79">
        <v>369501.07526881725</v>
      </c>
      <c r="R26" s="79">
        <v>387879.56989247317</v>
      </c>
      <c r="S26" s="79">
        <v>410556.98924731184</v>
      </c>
      <c r="T26" s="79">
        <v>431084.94623655919</v>
      </c>
      <c r="U26" s="79">
        <v>451612.90322580637</v>
      </c>
    </row>
    <row r="27" spans="2:21">
      <c r="E27" s="70" t="str">
        <v>Product A</v>
      </c>
      <c r="G27" t="s">
        <v>81</v>
      </c>
      <c r="J27">
        <v>134408.60215053766</v>
      </c>
      <c r="K27">
        <v>146627.95698924732</v>
      </c>
      <c r="L27">
        <v>158846.2365591398</v>
      </c>
      <c r="M27">
        <v>171065.59139784946</v>
      </c>
      <c r="N27">
        <v>183284.94623655916</v>
      </c>
      <c r="O27">
        <v>195503.22580645164</v>
      </c>
      <c r="P27">
        <v>207722.5806451613</v>
      </c>
      <c r="Q27">
        <v>219940.86021505378</v>
      </c>
      <c r="R27">
        <v>230009.67741935485</v>
      </c>
      <c r="S27">
        <v>244379.56989247314</v>
      </c>
      <c r="T27">
        <v>256597.84946236562</v>
      </c>
      <c r="U27">
        <v>268817.20430107514</v>
      </c>
    </row>
    <row r="28" spans="2:21">
      <c r="E28" s="70" t="str">
        <v>Product B</v>
      </c>
      <c r="G28" t="s">
        <v>81</v>
      </c>
      <c r="J28">
        <v>53763.440860215058</v>
      </c>
      <c r="K28">
        <v>58650.537634408603</v>
      </c>
      <c r="L28">
        <v>63538.709677419356</v>
      </c>
      <c r="M28">
        <v>68425.806451612909</v>
      </c>
      <c r="N28">
        <v>71163.440860215065</v>
      </c>
      <c r="O28">
        <v>78201.075268817207</v>
      </c>
      <c r="P28">
        <v>83089.247311827959</v>
      </c>
      <c r="Q28">
        <v>87976.344086021505</v>
      </c>
      <c r="R28">
        <v>92864.516129032258</v>
      </c>
      <c r="S28">
        <v>97751.612903225818</v>
      </c>
      <c r="T28">
        <v>102639.78494623657</v>
      </c>
      <c r="U28">
        <v>107526.8817204301</v>
      </c>
    </row>
    <row r="29" spans="2:21">
      <c r="E29" s="70" t="str">
        <v>Product C</v>
      </c>
      <c r="G29" t="s">
        <v>81</v>
      </c>
      <c r="J29">
        <v>37634.408602150543</v>
      </c>
      <c r="K29">
        <v>41055.913978494624</v>
      </c>
      <c r="L29">
        <v>44477.419354838712</v>
      </c>
      <c r="M29">
        <v>47897.849462365593</v>
      </c>
      <c r="N29">
        <v>51319.354838709682</v>
      </c>
      <c r="O29">
        <v>54740.86021505377</v>
      </c>
      <c r="P29">
        <v>58162.365591397851</v>
      </c>
      <c r="Q29">
        <v>61583.870967741939</v>
      </c>
      <c r="R29">
        <v>65005.376344086028</v>
      </c>
      <c r="S29">
        <v>68425.806451612909</v>
      </c>
      <c r="T29">
        <v>71847.31182795699</v>
      </c>
      <c r="U29">
        <v>75268.8172043011</v>
      </c>
    </row>
    <row r="30" spans="2:21">
      <c r="E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</row>
    <row r="31" spans="2:21">
      <c r="E31" s="79" t="str">
        <v>Retailer 2</v>
      </c>
      <c r="F31" s="79"/>
      <c r="G31" s="79" t="s">
        <v>81</v>
      </c>
      <c r="H31" s="79"/>
      <c r="I31" s="79"/>
      <c r="J31" s="79">
        <v>110526.31578947369</v>
      </c>
      <c r="K31" s="79">
        <v>120573.68421052632</v>
      </c>
      <c r="L31" s="79">
        <v>130622.10526315791</v>
      </c>
      <c r="M31" s="79">
        <v>140669.47368421053</v>
      </c>
      <c r="N31" s="79">
        <v>150717.89473684211</v>
      </c>
      <c r="O31" s="79">
        <v>160765.26315789475</v>
      </c>
      <c r="P31" s="79">
        <v>168708.42105263157</v>
      </c>
      <c r="Q31" s="79">
        <v>180861.05263157896</v>
      </c>
      <c r="R31" s="79">
        <v>190909.47368421053</v>
      </c>
      <c r="S31" s="79">
        <v>200956.84210526317</v>
      </c>
      <c r="T31" s="79">
        <v>208900</v>
      </c>
      <c r="U31" s="79">
        <v>221052.63157894739</v>
      </c>
    </row>
    <row r="32" spans="2:21">
      <c r="E32" s="70" t="str">
        <v>Product A</v>
      </c>
      <c r="G32" t="s">
        <v>81</v>
      </c>
      <c r="J32">
        <v>52631.57894736842</v>
      </c>
      <c r="K32">
        <v>57415.789473684214</v>
      </c>
      <c r="L32">
        <v>62201.052631578954</v>
      </c>
      <c r="M32">
        <v>66985.263157894733</v>
      </c>
      <c r="N32">
        <v>71770.526315789481</v>
      </c>
      <c r="O32">
        <v>76554.736842105267</v>
      </c>
      <c r="P32">
        <v>81340</v>
      </c>
      <c r="Q32">
        <v>86124.210526315786</v>
      </c>
      <c r="R32">
        <v>90909.473684210534</v>
      </c>
      <c r="S32">
        <v>95693.68421052632</v>
      </c>
      <c r="T32">
        <v>98373.68421052632</v>
      </c>
      <c r="U32">
        <v>105263.15789473683</v>
      </c>
    </row>
    <row r="33" spans="1:21">
      <c r="E33" s="70" t="str">
        <v>Product B</v>
      </c>
      <c r="G33" t="s">
        <v>81</v>
      </c>
      <c r="J33">
        <v>42105.26315789474</v>
      </c>
      <c r="K33">
        <v>45932.631578947374</v>
      </c>
      <c r="L33">
        <v>49761.052631578947</v>
      </c>
      <c r="M33">
        <v>53588.42105263158</v>
      </c>
      <c r="N33">
        <v>57415.789473684214</v>
      </c>
      <c r="O33">
        <v>61244.210526315794</v>
      </c>
      <c r="P33">
        <v>62966.315789473687</v>
      </c>
      <c r="Q33">
        <v>68900</v>
      </c>
      <c r="R33">
        <v>72727.368421052641</v>
      </c>
      <c r="S33">
        <v>76554.736842105267</v>
      </c>
      <c r="T33">
        <v>80383.15789473684</v>
      </c>
      <c r="U33">
        <v>84210.526315789495</v>
      </c>
    </row>
    <row r="34" spans="1:21">
      <c r="E34" s="70" t="str">
        <v>Product C</v>
      </c>
      <c r="G34" t="s">
        <v>81</v>
      </c>
      <c r="J34">
        <v>15789.473684210527</v>
      </c>
      <c r="K34">
        <v>17225.263157894737</v>
      </c>
      <c r="L34">
        <v>18660</v>
      </c>
      <c r="M34">
        <v>20095.78947368421</v>
      </c>
      <c r="N34">
        <v>21531.578947368424</v>
      </c>
      <c r="O34">
        <v>22966.315789473687</v>
      </c>
      <c r="P34">
        <v>24402.105263157897</v>
      </c>
      <c r="Q34">
        <v>25836.84210526316</v>
      </c>
      <c r="R34">
        <v>27272.63157894737</v>
      </c>
      <c r="S34">
        <v>28708.42105263158</v>
      </c>
      <c r="T34">
        <v>30143.157894736843</v>
      </c>
      <c r="U34">
        <v>31578.947368421057</v>
      </c>
    </row>
    <row r="35" spans="1:21">
      <c r="E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</row>
    <row r="36" spans="1:21">
      <c r="E36" s="65" t="str">
        <v>Retailer 3</v>
      </c>
      <c r="F36" s="79"/>
      <c r="G36" s="79" t="s">
        <v>81</v>
      </c>
      <c r="H36" s="79"/>
      <c r="I36" s="79"/>
      <c r="J36" s="79">
        <v>211956.52173913043</v>
      </c>
      <c r="K36" s="79">
        <v>229051.08695652173</v>
      </c>
      <c r="L36" s="79">
        <v>248320.65217391303</v>
      </c>
      <c r="M36" s="79">
        <v>269763.04347826086</v>
      </c>
      <c r="N36" s="79">
        <v>289032.60869565216</v>
      </c>
      <c r="O36" s="79">
        <v>308301.08695652173</v>
      </c>
      <c r="P36" s="79">
        <v>327568.47826086957</v>
      </c>
      <c r="Q36" s="79">
        <v>346836.95652173914</v>
      </c>
      <c r="R36" s="79">
        <v>366106.52173913043</v>
      </c>
      <c r="S36" s="79">
        <v>385375</v>
      </c>
      <c r="T36" s="79">
        <v>404644.5652173913</v>
      </c>
      <c r="U36" s="79">
        <v>423913.04347826075</v>
      </c>
    </row>
    <row r="37" spans="1:21">
      <c r="E37" s="70" t="str">
        <v>Product A</v>
      </c>
      <c r="G37" t="s">
        <v>81</v>
      </c>
      <c r="J37">
        <v>54347.82608695652</v>
      </c>
      <c r="K37">
        <v>57114.130434782608</v>
      </c>
      <c r="L37">
        <v>64229.347826086952</v>
      </c>
      <c r="M37">
        <v>69169.565217391297</v>
      </c>
      <c r="N37">
        <v>74110.869565217392</v>
      </c>
      <c r="O37">
        <v>79051.086956521729</v>
      </c>
      <c r="P37">
        <v>83992.391304347824</v>
      </c>
      <c r="Q37">
        <v>88932.608695652176</v>
      </c>
      <c r="R37">
        <v>93873.913043478256</v>
      </c>
      <c r="S37">
        <v>98814.130434782608</v>
      </c>
      <c r="T37">
        <v>103755.43478260869</v>
      </c>
      <c r="U37">
        <v>108695.65217391303</v>
      </c>
    </row>
    <row r="38" spans="1:21">
      <c r="E38" s="70" t="str">
        <v>Product B</v>
      </c>
      <c r="G38" t="s">
        <v>81</v>
      </c>
      <c r="J38">
        <v>108695.65217391304</v>
      </c>
      <c r="K38">
        <v>118577.17391304347</v>
      </c>
      <c r="L38">
        <v>126284.78260869565</v>
      </c>
      <c r="M38">
        <v>138340.21739130435</v>
      </c>
      <c r="N38">
        <v>148221.73913043478</v>
      </c>
      <c r="O38">
        <v>158103.26086956522</v>
      </c>
      <c r="P38">
        <v>167983.69565217392</v>
      </c>
      <c r="Q38">
        <v>177865.21739130435</v>
      </c>
      <c r="R38">
        <v>187746.73913043478</v>
      </c>
      <c r="S38">
        <v>197628.26086956522</v>
      </c>
      <c r="T38">
        <v>207509.78260869565</v>
      </c>
      <c r="U38">
        <v>217391.30434782605</v>
      </c>
    </row>
    <row r="39" spans="1:21">
      <c r="E39" s="70" t="str">
        <v>Product C</v>
      </c>
      <c r="G39" t="s">
        <v>81</v>
      </c>
      <c r="J39">
        <v>48913.043478260865</v>
      </c>
      <c r="K39">
        <v>53359.782608695648</v>
      </c>
      <c r="L39">
        <v>57806.521739130432</v>
      </c>
      <c r="M39">
        <v>62253.260869565216</v>
      </c>
      <c r="N39">
        <v>66700</v>
      </c>
      <c r="O39">
        <v>71146.739130434784</v>
      </c>
      <c r="P39">
        <v>75592.391304347824</v>
      </c>
      <c r="Q39">
        <v>80039.130434782608</v>
      </c>
      <c r="R39">
        <v>84485.869565217392</v>
      </c>
      <c r="S39">
        <v>88932.608695652176</v>
      </c>
      <c r="T39">
        <v>93379.34782608696</v>
      </c>
      <c r="U39">
        <v>97826.0869565217</v>
      </c>
    </row>
    <row r="41" spans="1:21" s="56" customFormat="1">
      <c r="A41" s="57" t="s">
        <v>82</v>
      </c>
    </row>
    <row r="43" spans="1:21">
      <c r="E43" s="79" t="str" cm="1">
        <f t="array" ref="E43:E56" xml:space="preserve"> IF( INDEX( CaseData!$A$7:$A$20,,1 ) = "", "", INDEX( CaseData!$A$7:$A$20,,1 ) )</f>
        <v>Retailer 1</v>
      </c>
      <c r="G43" t="s">
        <v>83</v>
      </c>
      <c r="J43" s="81" cm="1">
        <f t="array" ref="J43:U56">_xlfn.LET(
    _xlpm.revenue,_xlfn.ANCHORARRAY(         J26),
    _xlpm.current_row,_xlfn.ANCHORARRAY(     E26),
    _xlpm.retailer_list,   CaseData!$A$26:$A$28,
    _xlpm.product_list,    CaseData!$A$31:$A$33,
    _xlpm.list_price,      CaseData!$D$31:$D$33,
    _xlpm.retailer_fill,   _xlfn.SCAN( "", _xlpm.current_row, _xlfn.LAMBDA(_xlpm.carry,_xlpm.lbl, IF( COUNTIF( _xlpm.retailer_list, _xlpm.lbl ) &gt; 0, _xlpm.lbl, _xlpm.carry ) ) ),
    _xlpm.is_retailer_row, COUNTIF( _xlpm.retailer_list, _xlpm.current_row ) &gt; 0,
    _xlpm.kg,              IFERROR( _xlpm.revenue / _xlfn.XLOOKUP( _xlpm.current_row, _xlpm.product_list, _xlpm.list_price ), 0 ),
    _xlfn.MAKEARRAY( ROWS( _xlpm.current_row ), COLUMNS( _xlpm.kg ),
        _xlfn.LAMBDA(_xlpm.r,_xlpm.c,
            IF( INDEX( _xlpm.current_row, _xlpm.r, 1 ) = "", "",
                IF( INDEX( _xlpm.is_retailer_row, _xlpm.r, 1 ),
                    SUMPRODUCT( ( _xlpm.retailer_fill = INDEX( _xlpm.retailer_fill, _xlpm.r, 1 ) ) * INDEX( _xlpm.kg, 0, _xlpm.c ) ),
                    INDEX( _xlpm.kg, _xlpm.r, _xlpm.c ) ) ) ) ) )</f>
        <v>86072.268610036816</v>
      </c>
      <c r="K43" s="79">
        <v>93897.089448340164</v>
      </c>
      <c r="L43" s="79">
        <v>101721.78209212174</v>
      </c>
      <c r="M43" s="79">
        <v>109546.30833622858</v>
      </c>
      <c r="N43" s="79">
        <v>116688.7601695823</v>
      </c>
      <c r="O43" s="79">
        <v>125195.82181831353</v>
      </c>
      <c r="P43" s="79">
        <v>133020.98401179691</v>
      </c>
      <c r="Q43" s="79">
        <v>140845.33530039844</v>
      </c>
      <c r="R43" s="79">
        <v>147731.39809020996</v>
      </c>
      <c r="S43" s="79">
        <v>156495.02373798873</v>
      </c>
      <c r="T43" s="79">
        <v>164319.7163817703</v>
      </c>
      <c r="U43" s="79">
        <v>172144.53722007354</v>
      </c>
    </row>
    <row r="44" spans="1:21">
      <c r="E44" s="70" t="str">
        <v>Product A</v>
      </c>
      <c r="G44" t="s">
        <v>83</v>
      </c>
      <c r="J44">
        <v>58693.712729492428</v>
      </c>
      <c r="K44">
        <v>64029.675541156037</v>
      </c>
      <c r="L44">
        <v>69365.16880311782</v>
      </c>
      <c r="M44">
        <v>74701.131614781421</v>
      </c>
      <c r="N44">
        <v>80037.094426445052</v>
      </c>
      <c r="O44">
        <v>85372.587688406828</v>
      </c>
      <c r="P44">
        <v>90708.550500070443</v>
      </c>
      <c r="Q44">
        <v>96044.043762032219</v>
      </c>
      <c r="R44">
        <v>100440.90717002394</v>
      </c>
      <c r="S44">
        <v>106715.96938535945</v>
      </c>
      <c r="T44">
        <v>112051.46264732123</v>
      </c>
      <c r="U44">
        <v>117387.42545898477</v>
      </c>
    </row>
    <row r="45" spans="1:21">
      <c r="E45" s="70" t="str">
        <v>Product B</v>
      </c>
      <c r="G45" t="s">
        <v>83</v>
      </c>
      <c r="J45">
        <v>17067.759003242874</v>
      </c>
      <c r="K45">
        <v>18619.218296637653</v>
      </c>
      <c r="L45">
        <v>20171.018945212494</v>
      </c>
      <c r="M45">
        <v>21722.478238607273</v>
      </c>
      <c r="N45">
        <v>22591.568527052401</v>
      </c>
      <c r="O45">
        <v>24825.738180576893</v>
      </c>
      <c r="P45">
        <v>26377.538829151734</v>
      </c>
      <c r="Q45">
        <v>27928.998122546509</v>
      </c>
      <c r="R45">
        <v>29480.798771121354</v>
      </c>
      <c r="S45">
        <v>31032.258064516132</v>
      </c>
      <c r="T45">
        <v>32584.058713090977</v>
      </c>
      <c r="U45">
        <v>34135.518006485749</v>
      </c>
    </row>
    <row r="46" spans="1:21">
      <c r="E46" s="70" t="str">
        <v>Product C</v>
      </c>
      <c r="G46" t="s">
        <v>83</v>
      </c>
      <c r="J46">
        <v>10310.796877301518</v>
      </c>
      <c r="K46">
        <v>11248.195610546472</v>
      </c>
      <c r="L46">
        <v>12185.594343791428</v>
      </c>
      <c r="M46">
        <v>13122.698482839889</v>
      </c>
      <c r="N46">
        <v>14060.097216084845</v>
      </c>
      <c r="O46">
        <v>14997.495949329801</v>
      </c>
      <c r="P46">
        <v>15934.894682574753</v>
      </c>
      <c r="Q46">
        <v>16872.293415819709</v>
      </c>
      <c r="R46">
        <v>17809.692149064667</v>
      </c>
      <c r="S46">
        <v>18746.796288113128</v>
      </c>
      <c r="T46">
        <v>19684.195021358079</v>
      </c>
      <c r="U46">
        <v>20621.59375460304</v>
      </c>
    </row>
    <row r="47" spans="1:21">
      <c r="E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</row>
    <row r="48" spans="1:21">
      <c r="E48" s="79" t="str">
        <v>Retailer 2</v>
      </c>
      <c r="G48" t="s">
        <v>83</v>
      </c>
      <c r="J48" s="79">
        <v>40675.855657768181</v>
      </c>
      <c r="K48" s="79">
        <v>44373.435133166015</v>
      </c>
      <c r="L48" s="79">
        <v>48071.520049550614</v>
      </c>
      <c r="M48" s="79">
        <v>51769.099524948433</v>
      </c>
      <c r="N48" s="79">
        <v>55467.13866479123</v>
      </c>
      <c r="O48" s="79">
        <v>59164.763916730866</v>
      </c>
      <c r="P48" s="79">
        <v>62194.465546130887</v>
      </c>
      <c r="Q48" s="79">
        <v>66560.428308513307</v>
      </c>
      <c r="R48" s="79">
        <v>70258.467448356096</v>
      </c>
      <c r="S48" s="79">
        <v>73956.046923753922</v>
      </c>
      <c r="T48" s="79">
        <v>76734.802950228157</v>
      </c>
      <c r="U48" s="79">
        <v>81351.711315536348</v>
      </c>
    </row>
    <row r="49" spans="1:21">
      <c r="E49" s="70" t="str">
        <v>Product A</v>
      </c>
      <c r="G49" t="s">
        <v>83</v>
      </c>
      <c r="J49">
        <v>22983.222247759135</v>
      </c>
      <c r="K49">
        <v>25072.397150080444</v>
      </c>
      <c r="L49">
        <v>27162.031716846705</v>
      </c>
      <c r="M49">
        <v>29251.206619168006</v>
      </c>
      <c r="N49">
        <v>31340.84118593427</v>
      </c>
      <c r="O49">
        <v>33430.016088255572</v>
      </c>
      <c r="P49">
        <v>35519.650655021833</v>
      </c>
      <c r="Q49">
        <v>37608.825557343138</v>
      </c>
      <c r="R49">
        <v>39698.460124109406</v>
      </c>
      <c r="S49">
        <v>41787.635026430704</v>
      </c>
      <c r="T49">
        <v>42957.9407032866</v>
      </c>
      <c r="U49">
        <v>45966.444495518263</v>
      </c>
    </row>
    <row r="50" spans="1:21">
      <c r="E50" s="70" t="str">
        <v>Product B</v>
      </c>
      <c r="G50" t="s">
        <v>83</v>
      </c>
      <c r="J50">
        <v>13366.750208855474</v>
      </c>
      <c r="K50">
        <v>14581.787802840436</v>
      </c>
      <c r="L50">
        <v>15797.159565580618</v>
      </c>
      <c r="M50">
        <v>17012.197159565581</v>
      </c>
      <c r="N50">
        <v>18227.234753550543</v>
      </c>
      <c r="O50">
        <v>19442.606516290729</v>
      </c>
      <c r="P50">
        <v>19989.306599832918</v>
      </c>
      <c r="Q50">
        <v>21873.015873015873</v>
      </c>
      <c r="R50">
        <v>23088.053467000838</v>
      </c>
      <c r="S50">
        <v>24303.0910609858</v>
      </c>
      <c r="T50">
        <v>25518.462823725982</v>
      </c>
      <c r="U50">
        <v>26733.500417710951</v>
      </c>
    </row>
    <row r="51" spans="1:21">
      <c r="E51" s="70" t="str">
        <v>Product C</v>
      </c>
      <c r="G51" t="s">
        <v>83</v>
      </c>
      <c r="J51">
        <v>4325.8832011535687</v>
      </c>
      <c r="K51">
        <v>4719.2501802451334</v>
      </c>
      <c r="L51">
        <v>5112.3287671232874</v>
      </c>
      <c r="M51">
        <v>5505.6957462148521</v>
      </c>
      <c r="N51">
        <v>5899.0627253064176</v>
      </c>
      <c r="O51">
        <v>6292.1413121845717</v>
      </c>
      <c r="P51">
        <v>6685.5082912761363</v>
      </c>
      <c r="Q51">
        <v>7078.5868781542904</v>
      </c>
      <c r="R51">
        <v>7471.953857245855</v>
      </c>
      <c r="S51">
        <v>7865.3208363374197</v>
      </c>
      <c r="T51">
        <v>8258.3994232155746</v>
      </c>
      <c r="U51">
        <v>8651.7664023071393</v>
      </c>
    </row>
    <row r="52" spans="1:21">
      <c r="E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</row>
    <row r="53" spans="1:21">
      <c r="E53" s="79" t="str">
        <v>Retailer 3</v>
      </c>
      <c r="G53" t="s">
        <v>83</v>
      </c>
      <c r="J53" s="79">
        <v>71640.065222489779</v>
      </c>
      <c r="K53" s="79">
        <v>77203.334109044517</v>
      </c>
      <c r="L53" s="79">
        <v>83975.56053595987</v>
      </c>
      <c r="M53" s="79">
        <v>91178.267553314043</v>
      </c>
      <c r="N53" s="79">
        <v>97691.31809925742</v>
      </c>
      <c r="O53" s="79">
        <v>104203.89399169786</v>
      </c>
      <c r="P53" s="79">
        <v>110716.30167577146</v>
      </c>
      <c r="Q53" s="79">
        <v>117228.8775682119</v>
      </c>
      <c r="R53" s="79">
        <v>123741.92811415529</v>
      </c>
      <c r="S53" s="79">
        <v>130254.50400659573</v>
      </c>
      <c r="T53" s="79">
        <v>136767.55455253911</v>
      </c>
      <c r="U53" s="79">
        <v>143280.13044497953</v>
      </c>
    </row>
    <row r="54" spans="1:21">
      <c r="E54" s="70" t="str">
        <v>Product A</v>
      </c>
      <c r="G54" t="s">
        <v>83</v>
      </c>
      <c r="J54">
        <v>23732.675147142585</v>
      </c>
      <c r="K54">
        <v>24940.668312132144</v>
      </c>
      <c r="L54">
        <v>28047.750142396049</v>
      </c>
      <c r="M54">
        <v>30205.050313271309</v>
      </c>
      <c r="N54">
        <v>32362.825137649517</v>
      </c>
      <c r="O54">
        <v>34520.125308524774</v>
      </c>
      <c r="P54">
        <v>36677.900132902978</v>
      </c>
      <c r="Q54">
        <v>38835.200303778242</v>
      </c>
      <c r="R54">
        <v>40992.975128156446</v>
      </c>
      <c r="S54">
        <v>43150.275299031709</v>
      </c>
      <c r="T54">
        <v>45308.050123409907</v>
      </c>
      <c r="U54">
        <v>47465.350294285163</v>
      </c>
    </row>
    <row r="55" spans="1:21">
      <c r="E55" s="70" t="str">
        <v>Product B</v>
      </c>
      <c r="G55" t="s">
        <v>83</v>
      </c>
      <c r="J55">
        <v>34506.556245686683</v>
      </c>
      <c r="K55">
        <v>37643.547273982054</v>
      </c>
      <c r="L55">
        <v>40090.407177363697</v>
      </c>
      <c r="M55">
        <v>43917.529330572812</v>
      </c>
      <c r="N55">
        <v>47054.520358868183</v>
      </c>
      <c r="O55">
        <v>50191.511387163562</v>
      </c>
      <c r="P55">
        <v>53328.157349896486</v>
      </c>
      <c r="Q55">
        <v>56465.148378191858</v>
      </c>
      <c r="R55">
        <v>59602.139406487237</v>
      </c>
      <c r="S55">
        <v>62739.130434782608</v>
      </c>
      <c r="T55">
        <v>65876.121463077987</v>
      </c>
      <c r="U55">
        <v>69013.112491373351</v>
      </c>
    </row>
    <row r="56" spans="1:21">
      <c r="E56" s="70" t="str">
        <v>Product C</v>
      </c>
      <c r="G56" t="s">
        <v>83</v>
      </c>
      <c r="J56">
        <v>13400.833829660511</v>
      </c>
      <c r="K56">
        <v>14619.118522930316</v>
      </c>
      <c r="L56">
        <v>15837.403216200119</v>
      </c>
      <c r="M56">
        <v>17055.687909469922</v>
      </c>
      <c r="N56">
        <v>18273.972602739726</v>
      </c>
      <c r="O56">
        <v>19492.257296009531</v>
      </c>
      <c r="P56">
        <v>20710.244192972008</v>
      </c>
      <c r="Q56">
        <v>21928.528886241809</v>
      </c>
      <c r="R56">
        <v>23146.813579511614</v>
      </c>
      <c r="S56">
        <v>24365.098272781419</v>
      </c>
      <c r="T56">
        <v>25583.382966051224</v>
      </c>
      <c r="U56">
        <v>26801.667659321014</v>
      </c>
    </row>
    <row r="58" spans="1:21">
      <c r="E58" s="79" t="s">
        <v>5</v>
      </c>
    </row>
    <row r="59" spans="1:21">
      <c r="E59" s="70" t="str" cm="1">
        <f t="array" ref="E59:E61" xml:space="preserve"> INDEX( CaseData!$A$31:$A$33,, 1 )</f>
        <v>Product A</v>
      </c>
      <c r="G59" t="s">
        <v>83</v>
      </c>
      <c r="J59" s="82" cm="1">
        <f t="array" ref="J59:U61">_xlfn.LET(
      _xlpm.kg_data,          IF(_xlfn.ANCHORARRAY( J43)="", 0,_xlfn.ANCHORARRAY( J43) ),
      _xlpm.kg_rows,_xlfn.ANCHORARRAY(          E43),
      _xlpm.current_product,_xlfn.ANCHORARRAY(  E59),
      _xlpm.match_matrix,     --( _xlpm.kg_rows = TRANSPOSE( _xlpm.current_product ) ),
      MMULT( TRANSPOSE( _xlpm.match_matrix ), _xlpm.kg_data ) )</f>
        <v>105409.61012439415</v>
      </c>
      <c r="K59">
        <v>114042.74100336862</v>
      </c>
      <c r="L59">
        <v>124574.95066236057</v>
      </c>
      <c r="M59">
        <v>134157.38854722073</v>
      </c>
      <c r="N59">
        <v>143740.76075002883</v>
      </c>
      <c r="O59">
        <v>153322.72908518719</v>
      </c>
      <c r="P59">
        <v>162906.10128799526</v>
      </c>
      <c r="Q59">
        <v>172488.0696231536</v>
      </c>
      <c r="R59">
        <v>181132.3424222898</v>
      </c>
      <c r="S59">
        <v>191653.87971082184</v>
      </c>
      <c r="T59">
        <v>200317.45347401773</v>
      </c>
      <c r="U59">
        <v>210819.22024878819</v>
      </c>
    </row>
    <row r="60" spans="1:21">
      <c r="E60" s="70" t="str">
        <v>Product B</v>
      </c>
      <c r="G60" t="s">
        <v>83</v>
      </c>
      <c r="J60">
        <v>64941.065457785029</v>
      </c>
      <c r="K60">
        <v>70844.553373460134</v>
      </c>
      <c r="L60">
        <v>76058.585688156803</v>
      </c>
      <c r="M60">
        <v>82652.204728745666</v>
      </c>
      <c r="N60">
        <v>87873.323639471128</v>
      </c>
      <c r="O60">
        <v>94459.856084031184</v>
      </c>
      <c r="P60">
        <v>99695.002778881142</v>
      </c>
      <c r="Q60">
        <v>106267.16237375424</v>
      </c>
      <c r="R60">
        <v>112170.99164460943</v>
      </c>
      <c r="S60">
        <v>118074.47956028454</v>
      </c>
      <c r="T60">
        <v>123978.64299989495</v>
      </c>
      <c r="U60">
        <v>129882.13091557004</v>
      </c>
    </row>
    <row r="61" spans="1:21">
      <c r="E61" s="70" t="str">
        <v>Product C</v>
      </c>
      <c r="G61" t="s">
        <v>83</v>
      </c>
      <c r="J61">
        <v>28037.513908115598</v>
      </c>
      <c r="K61">
        <v>30586.564313721923</v>
      </c>
      <c r="L61">
        <v>33135.326327114832</v>
      </c>
      <c r="M61">
        <v>35684.082138524667</v>
      </c>
      <c r="N61">
        <v>38233.132544130989</v>
      </c>
      <c r="O61">
        <v>40781.894557523905</v>
      </c>
      <c r="P61">
        <v>43330.647166822899</v>
      </c>
      <c r="Q61">
        <v>45879.409180215807</v>
      </c>
      <c r="R61">
        <v>48428.459585822136</v>
      </c>
      <c r="S61">
        <v>50977.215397231965</v>
      </c>
      <c r="T61">
        <v>53525.977410624881</v>
      </c>
      <c r="U61">
        <v>56075.027816231195</v>
      </c>
    </row>
    <row r="63" spans="1:21" s="56" customFormat="1">
      <c r="A63" s="57" t="s">
        <v>134</v>
      </c>
    </row>
    <row r="64" spans="1:21" ht="13.2" customHeight="1"/>
    <row r="65" spans="2:21">
      <c r="B65" s="79" t="s">
        <v>8</v>
      </c>
    </row>
    <row r="67" spans="2:21">
      <c r="E67" t="s">
        <v>74</v>
      </c>
      <c r="G67" t="s">
        <v>83</v>
      </c>
      <c r="J67" s="62" cm="1">
        <f t="array" ref="J67:U67" xml:space="preserve"> _xlfn.LET(
      _xlpm.inventory_target,   INDEX( CaseData!$C$31:$C$33, MATCH( $B65,_xlfn.ANCHORARRAY( $E$59), 0 ), 1 ),
      _xlpm.opening_balance,    INDEX(_xlfn.ANCHORARRAY( $J$59), MATCH( $B65,_xlfn.ANCHORARRAY( $E$59), 0 ), 1 ) * _xlpm.inventory_target,
      _xlfn.DROP( _xlfn.HSTACK( _xlpm.opening_balance,_xlfn.ANCHORARRAY( $J70) ),, -1 ) )</f>
        <v>26352.402531098538</v>
      </c>
      <c r="K67" s="62">
        <v>28510.685250842154</v>
      </c>
      <c r="L67" s="62">
        <v>31143.737665590143</v>
      </c>
      <c r="M67" s="62">
        <v>33539.347136805183</v>
      </c>
      <c r="N67" s="62">
        <v>35935.190187507207</v>
      </c>
      <c r="O67" s="62">
        <v>38330.682271296799</v>
      </c>
      <c r="P67" s="62">
        <v>40726.525321998815</v>
      </c>
      <c r="Q67" s="62">
        <v>43122.0174057884</v>
      </c>
      <c r="R67" s="62">
        <v>45283.085605572451</v>
      </c>
      <c r="S67" s="62">
        <v>47913.469927705461</v>
      </c>
      <c r="T67" s="62">
        <v>50079.363368504433</v>
      </c>
      <c r="U67" s="62">
        <v>52704.805062197047</v>
      </c>
    </row>
    <row r="68" spans="2:21">
      <c r="D68" s="71" t="s">
        <v>86</v>
      </c>
      <c r="E68" s="70" t="s">
        <v>88</v>
      </c>
      <c r="G68" t="s">
        <v>83</v>
      </c>
      <c r="J68" cm="1">
        <f t="array" ref="J68:U68" xml:space="preserve"> _xlfn.LET(
      _xlpm.opening_balance,_xlfn.ANCHORARRAY(   $J67),
      _xlpm.product_sold,_xlfn.ANCHORARRAY(      $J69),
      _xlpm.closing_balance,_xlfn.ANCHORARRAY(   $J70),
      - _xlpm.product_sold + ( _xlpm.closing_balance - _xlpm.opening_balance ) )</f>
        <v>107567.89284413776</v>
      </c>
      <c r="K68">
        <v>116675.79341811661</v>
      </c>
      <c r="L68">
        <v>126970.56013357561</v>
      </c>
      <c r="M68">
        <v>136553.23159792274</v>
      </c>
      <c r="N68">
        <v>146136.25283381843</v>
      </c>
      <c r="O68">
        <v>155718.5721358892</v>
      </c>
      <c r="P68">
        <v>165301.59337178484</v>
      </c>
      <c r="Q68">
        <v>174649.13782293766</v>
      </c>
      <c r="R68">
        <v>183762.72674442281</v>
      </c>
      <c r="S68">
        <v>193819.77315162082</v>
      </c>
      <c r="T68">
        <v>202942.89516771035</v>
      </c>
      <c r="U68">
        <v>210819.22024878819</v>
      </c>
    </row>
    <row r="69" spans="2:21">
      <c r="D69" s="71" t="s">
        <v>87</v>
      </c>
      <c r="E69" s="70" t="s">
        <v>85</v>
      </c>
      <c r="G69" t="s">
        <v>83</v>
      </c>
      <c r="J69" cm="1">
        <f t="array" ref="J69:U69" xml:space="preserve"> _xlfn._xlws.FILTER(_xlfn.ANCHORARRAY( $J$59),_xlfn.ANCHORARRAY( $E$59) = $B65) * - 1</f>
        <v>-105409.61012439415</v>
      </c>
      <c r="K69">
        <v>-114042.74100336862</v>
      </c>
      <c r="L69">
        <v>-124574.95066236057</v>
      </c>
      <c r="M69">
        <v>-134157.38854722073</v>
      </c>
      <c r="N69">
        <v>-143740.76075002883</v>
      </c>
      <c r="O69">
        <v>-153322.72908518719</v>
      </c>
      <c r="P69">
        <v>-162906.10128799526</v>
      </c>
      <c r="Q69">
        <v>-172488.0696231536</v>
      </c>
      <c r="R69">
        <v>-181132.3424222898</v>
      </c>
      <c r="S69">
        <v>-191653.87971082184</v>
      </c>
      <c r="T69">
        <v>-200317.45347401773</v>
      </c>
      <c r="U69">
        <v>-210819.22024878819</v>
      </c>
    </row>
    <row r="70" spans="2:21">
      <c r="E70" s="73" t="s">
        <v>78</v>
      </c>
      <c r="F70" s="73"/>
      <c r="G70" s="73" t="s">
        <v>83</v>
      </c>
      <c r="H70" s="73"/>
      <c r="I70" s="73"/>
      <c r="J70" s="84" cm="1">
        <f t="array" ref="J70:U70" xml:space="preserve"> _xlfn.LET(
      _xlpm.next_month_inventory,     _xlfn.DROP( INDEX(_xlfn.ANCHORARRAY( $J$59), MATCH( $B65,_xlfn.ANCHORARRAY( $E$59), 0  ), 0 ),,1 ),
      _xlpm.last_month_inventory,     INDEX( _xlpm.next_month_inventory, 1, periods - 1 ),
      _xlpm.inventory_sold,           _xlfn.HSTACK( _xlpm.next_month_inventory, _xlpm.last_month_inventory ),
      _xlpm.target_inventory,         INDEX( CaseData!$C$31:$C$33, MATCH( $B65,_xlfn.ANCHORARRAY( $E$59), 0 ), 1 ),
      _xlpm.inventory_sold * _xlpm.target_inventory )</f>
        <v>28510.685250842154</v>
      </c>
      <c r="K70" s="73">
        <v>31143.737665590143</v>
      </c>
      <c r="L70" s="73">
        <v>33539.347136805183</v>
      </c>
      <c r="M70" s="73">
        <v>35935.190187507207</v>
      </c>
      <c r="N70" s="73">
        <v>38330.682271296799</v>
      </c>
      <c r="O70" s="73">
        <v>40726.525321998815</v>
      </c>
      <c r="P70" s="73">
        <v>43122.0174057884</v>
      </c>
      <c r="Q70" s="73">
        <v>45283.085605572451</v>
      </c>
      <c r="R70" s="73">
        <v>47913.469927705461</v>
      </c>
      <c r="S70" s="73">
        <v>50079.363368504433</v>
      </c>
      <c r="T70" s="73">
        <v>52704.805062197047</v>
      </c>
      <c r="U70" s="73">
        <v>52704.805062197047</v>
      </c>
    </row>
    <row r="73" spans="2:21">
      <c r="B73" s="79" t="s">
        <v>9</v>
      </c>
    </row>
    <row r="75" spans="2:21">
      <c r="E75" t="s">
        <v>74</v>
      </c>
      <c r="G75" t="s">
        <v>83</v>
      </c>
      <c r="J75" s="62" cm="1">
        <f t="array" ref="J75:U75" xml:space="preserve"> _xlfn.LET(
      _xlpm.inventory_target,   INDEX( CaseData!$C$31:$C$33, MATCH( $B73,_xlfn.ANCHORARRAY( $E$59), 0 ), 1 ),
      _xlpm.opening_balance,    INDEX(_xlfn.ANCHORARRAY( $J$59), MATCH( $B73,_xlfn.ANCHORARRAY( $E$59), 0 ), 1 ) * _xlpm.inventory_target,
      _xlfn.DROP( _xlfn.HSTACK( _xlpm.opening_balance,_xlfn.ANCHORARRAY( $J78) ),, -1 ) )</f>
        <v>6494.1065457785035</v>
      </c>
      <c r="K75" s="62">
        <v>7084.4553373460139</v>
      </c>
      <c r="L75" s="62">
        <v>7605.8585688156809</v>
      </c>
      <c r="M75" s="62">
        <v>8265.2204728745673</v>
      </c>
      <c r="N75" s="62">
        <v>8787.3323639471128</v>
      </c>
      <c r="O75" s="62">
        <v>9445.985608403118</v>
      </c>
      <c r="P75" s="62">
        <v>9969.5002778881153</v>
      </c>
      <c r="Q75" s="62">
        <v>10626.716237375425</v>
      </c>
      <c r="R75" s="62">
        <v>11217.099164460944</v>
      </c>
      <c r="S75" s="62">
        <v>11807.447956028454</v>
      </c>
      <c r="T75" s="62">
        <v>12397.864299989495</v>
      </c>
      <c r="U75" s="62">
        <v>12988.213091557005</v>
      </c>
    </row>
    <row r="76" spans="2:21">
      <c r="D76" s="71" t="s">
        <v>86</v>
      </c>
      <c r="E76" s="70" t="s">
        <v>88</v>
      </c>
      <c r="G76" t="s">
        <v>83</v>
      </c>
      <c r="J76" cm="1">
        <f t="array" ref="J76:U76" xml:space="preserve"> _xlfn.LET(
      _xlpm.opening_balance,_xlfn.ANCHORARRAY(   $J75),
      _xlpm.product_sold,_xlfn.ANCHORARRAY(      $J77),
      _xlpm.closing_balance,_xlfn.ANCHORARRAY(   $J78),
      - _xlpm.product_sold + ( _xlpm.closing_balance - _xlpm.opening_balance ) )</f>
        <v>65531.414249352543</v>
      </c>
      <c r="K76">
        <v>71365.956604929801</v>
      </c>
      <c r="L76">
        <v>76717.947592215685</v>
      </c>
      <c r="M76">
        <v>83174.316619818215</v>
      </c>
      <c r="N76">
        <v>88531.976883927127</v>
      </c>
      <c r="O76">
        <v>94983.370753516181</v>
      </c>
      <c r="P76">
        <v>100352.21873836845</v>
      </c>
      <c r="Q76">
        <v>106857.54530083976</v>
      </c>
      <c r="R76">
        <v>112761.34043617694</v>
      </c>
      <c r="S76">
        <v>118664.89590424558</v>
      </c>
      <c r="T76">
        <v>124568.99179146245</v>
      </c>
      <c r="U76">
        <v>129882.13091557004</v>
      </c>
    </row>
    <row r="77" spans="2:21">
      <c r="D77" s="71" t="s">
        <v>87</v>
      </c>
      <c r="E77" s="70" t="s">
        <v>85</v>
      </c>
      <c r="G77" t="s">
        <v>83</v>
      </c>
      <c r="J77" cm="1">
        <f t="array" ref="J77:U77" xml:space="preserve"> _xlfn._xlws.FILTER(_xlfn.ANCHORARRAY( $J$59),_xlfn.ANCHORARRAY( $E$59) = $B73) * - 1</f>
        <v>-64941.065457785029</v>
      </c>
      <c r="K77">
        <v>-70844.553373460134</v>
      </c>
      <c r="L77">
        <v>-76058.585688156803</v>
      </c>
      <c r="M77">
        <v>-82652.204728745666</v>
      </c>
      <c r="N77">
        <v>-87873.323639471128</v>
      </c>
      <c r="O77">
        <v>-94459.856084031184</v>
      </c>
      <c r="P77">
        <v>-99695.002778881142</v>
      </c>
      <c r="Q77">
        <v>-106267.16237375424</v>
      </c>
      <c r="R77">
        <v>-112170.99164460943</v>
      </c>
      <c r="S77">
        <v>-118074.47956028454</v>
      </c>
      <c r="T77">
        <v>-123978.64299989495</v>
      </c>
      <c r="U77">
        <v>-129882.13091557004</v>
      </c>
    </row>
    <row r="78" spans="2:21">
      <c r="E78" s="73" t="s">
        <v>78</v>
      </c>
      <c r="F78" s="73"/>
      <c r="G78" s="73" t="s">
        <v>83</v>
      </c>
      <c r="H78" s="73"/>
      <c r="I78" s="73"/>
      <c r="J78" s="84" cm="1">
        <f t="array" ref="J78:U78" xml:space="preserve"> _xlfn.LET(
      _xlpm.next_month_inventory,     _xlfn.DROP( INDEX(_xlfn.ANCHORARRAY( $J$59), MATCH( $B73,_xlfn.ANCHORARRAY( $E$59), 0  ), 0 ),,1 ),
      _xlpm.last_month_inventory,     INDEX( _xlpm.next_month_inventory, 1, periods - 1 ),
      _xlpm.inventory_sold,           _xlfn.HSTACK( _xlpm.next_month_inventory, _xlpm.last_month_inventory ),
      _xlpm.target_inventory,         INDEX( CaseData!$C$31:$C$33, MATCH( $B73,_xlfn.ANCHORARRAY( $E$59), 0 ), 1 ),
      _xlpm.inventory_sold * _xlpm.target_inventory )</f>
        <v>7084.4553373460139</v>
      </c>
      <c r="K78" s="73">
        <v>7605.8585688156809</v>
      </c>
      <c r="L78" s="73">
        <v>8265.2204728745673</v>
      </c>
      <c r="M78" s="73">
        <v>8787.3323639471128</v>
      </c>
      <c r="N78" s="73">
        <v>9445.985608403118</v>
      </c>
      <c r="O78" s="73">
        <v>9969.5002778881153</v>
      </c>
      <c r="P78" s="73">
        <v>10626.716237375425</v>
      </c>
      <c r="Q78" s="73">
        <v>11217.099164460944</v>
      </c>
      <c r="R78" s="73">
        <v>11807.447956028454</v>
      </c>
      <c r="S78" s="73">
        <v>12397.864299989495</v>
      </c>
      <c r="T78" s="73">
        <v>12988.213091557005</v>
      </c>
      <c r="U78" s="73">
        <v>12988.213091557005</v>
      </c>
    </row>
    <row r="81" spans="2:21">
      <c r="B81" s="79" t="s">
        <v>10</v>
      </c>
    </row>
    <row r="83" spans="2:21">
      <c r="E83" t="s">
        <v>74</v>
      </c>
      <c r="G83" t="s">
        <v>83</v>
      </c>
      <c r="J83" s="62" cm="1">
        <f t="array" ref="J83:U83" xml:space="preserve"> _xlfn.LET(
      _xlpm.inventory_target,   INDEX( CaseData!$C$31:$C$33, MATCH( $B81,_xlfn.ANCHORARRAY( $E$59), 0 ), 1 ),
      _xlpm.opening_balance,    INDEX(_xlfn.ANCHORARRAY( $J$59), MATCH( $B81,_xlfn.ANCHORARRAY( $E$59), 0 ), 1 ) * _xlpm.inventory_target,
      _xlfn.DROP( _xlfn.HSTACK( _xlpm.opening_balance,_xlfn.ANCHORARRAY( $J86) ),, -1 ) )</f>
        <v>8411.2541724346793</v>
      </c>
      <c r="K83" s="62">
        <v>9175.9692941165758</v>
      </c>
      <c r="L83" s="62">
        <v>9940.5978981344488</v>
      </c>
      <c r="M83" s="62">
        <v>10705.224641557399</v>
      </c>
      <c r="N83" s="62">
        <v>11469.939763239296</v>
      </c>
      <c r="O83" s="62">
        <v>12234.56836725717</v>
      </c>
      <c r="P83" s="62">
        <v>12999.194150046869</v>
      </c>
      <c r="Q83" s="62">
        <v>13763.822754064742</v>
      </c>
      <c r="R83" s="62">
        <v>14528.537875746641</v>
      </c>
      <c r="S83" s="62">
        <v>15293.164619169589</v>
      </c>
      <c r="T83" s="62">
        <v>16057.793223187464</v>
      </c>
      <c r="U83" s="62">
        <v>16822.508344869359</v>
      </c>
    </row>
    <row r="84" spans="2:21">
      <c r="D84" s="71" t="s">
        <v>86</v>
      </c>
      <c r="E84" s="70" t="s">
        <v>88</v>
      </c>
      <c r="G84" t="s">
        <v>83</v>
      </c>
      <c r="J84" cm="1">
        <f t="array" ref="J84:U84" xml:space="preserve"> _xlfn.LET(
      _xlpm.opening_balance,_xlfn.ANCHORARRAY(   $J83),
      _xlpm.product_sold,_xlfn.ANCHORARRAY(      $J85),
      _xlpm.closing_balance,_xlfn.ANCHORARRAY(   $J86),
      - _xlpm.product_sold + ( _xlpm.closing_balance - _xlpm.opening_balance ) )</f>
        <v>28802.229029797494</v>
      </c>
      <c r="K84">
        <v>31351.192917739798</v>
      </c>
      <c r="L84">
        <v>33899.953070537784</v>
      </c>
      <c r="M84">
        <v>36448.797260206564</v>
      </c>
      <c r="N84">
        <v>38997.761148148864</v>
      </c>
      <c r="O84">
        <v>41546.520340313604</v>
      </c>
      <c r="P84">
        <v>44095.275770840773</v>
      </c>
      <c r="Q84">
        <v>46644.124301897704</v>
      </c>
      <c r="R84">
        <v>49193.086329245081</v>
      </c>
      <c r="S84">
        <v>51741.844001249839</v>
      </c>
      <c r="T84">
        <v>54290.692532306777</v>
      </c>
      <c r="U84">
        <v>56075.027816231195</v>
      </c>
    </row>
    <row r="85" spans="2:21">
      <c r="D85" s="71" t="s">
        <v>87</v>
      </c>
      <c r="E85" s="70" t="s">
        <v>85</v>
      </c>
      <c r="G85" t="s">
        <v>83</v>
      </c>
      <c r="J85" cm="1">
        <f t="array" ref="J85:U85" xml:space="preserve"> _xlfn._xlws.FILTER(_xlfn.ANCHORARRAY( $J$59),_xlfn.ANCHORARRAY( $E$59) = $B81) * - 1</f>
        <v>-28037.513908115598</v>
      </c>
      <c r="K85">
        <v>-30586.564313721923</v>
      </c>
      <c r="L85">
        <v>-33135.326327114832</v>
      </c>
      <c r="M85">
        <v>-35684.082138524667</v>
      </c>
      <c r="N85">
        <v>-38233.132544130989</v>
      </c>
      <c r="O85">
        <v>-40781.894557523905</v>
      </c>
      <c r="P85">
        <v>-43330.647166822899</v>
      </c>
      <c r="Q85">
        <v>-45879.409180215807</v>
      </c>
      <c r="R85">
        <v>-48428.459585822136</v>
      </c>
      <c r="S85">
        <v>-50977.215397231965</v>
      </c>
      <c r="T85">
        <v>-53525.977410624881</v>
      </c>
      <c r="U85">
        <v>-56075.027816231195</v>
      </c>
    </row>
    <row r="86" spans="2:21">
      <c r="E86" s="73" t="s">
        <v>78</v>
      </c>
      <c r="F86" s="73"/>
      <c r="G86" s="73" t="s">
        <v>83</v>
      </c>
      <c r="H86" s="73"/>
      <c r="I86" s="73"/>
      <c r="J86" s="84" cm="1">
        <f t="array" ref="J86:U86" xml:space="preserve"> _xlfn.LET(
      _xlpm.next_month_inventory,     _xlfn.DROP( INDEX(_xlfn.ANCHORARRAY( $J$59), MATCH( $B81,_xlfn.ANCHORARRAY( $E$59), 0  ), 0 ),,1 ),
      _xlpm.last_month_inventory,     INDEX( _xlpm.next_month_inventory, 1, periods - 1 ),
      _xlpm.inventory_sold,           _xlfn.HSTACK( _xlpm.next_month_inventory, _xlpm.last_month_inventory ),
      _xlpm.target_inventory,         INDEX( CaseData!$C$31:$C$33, MATCH( $B81,_xlfn.ANCHORARRAY( $E$59), 0 ), 1 ),
      _xlpm.inventory_sold * _xlpm.target_inventory )</f>
        <v>9175.9692941165758</v>
      </c>
      <c r="K86" s="73">
        <v>9940.5978981344488</v>
      </c>
      <c r="L86" s="73">
        <v>10705.224641557399</v>
      </c>
      <c r="M86" s="73">
        <v>11469.939763239296</v>
      </c>
      <c r="N86" s="73">
        <v>12234.56836725717</v>
      </c>
      <c r="O86" s="73">
        <v>12999.194150046869</v>
      </c>
      <c r="P86" s="73">
        <v>13763.822754064742</v>
      </c>
      <c r="Q86" s="73">
        <v>14528.537875746641</v>
      </c>
      <c r="R86" s="73">
        <v>15293.164619169589</v>
      </c>
      <c r="S86" s="73">
        <v>16057.793223187464</v>
      </c>
      <c r="T86" s="73">
        <v>16822.508344869359</v>
      </c>
      <c r="U86" s="73">
        <v>16822.508344869359</v>
      </c>
    </row>
    <row r="89" spans="2:21" s="66" customFormat="1">
      <c r="B89" s="65" t="s">
        <v>88</v>
      </c>
    </row>
    <row r="90" spans="2:21" s="66" customFormat="1">
      <c r="B90" s="65"/>
    </row>
    <row r="91" spans="2:21">
      <c r="E91" t="str" cm="1">
        <f t="array" ref="E91:E93" xml:space="preserve"> INDEX(_xlfn.ANCHORARRAY( $E$59), 0, 1 )</f>
        <v>Product A</v>
      </c>
      <c r="G91" t="s">
        <v>83</v>
      </c>
      <c r="J91" cm="1">
        <f t="array" ref="J91:U91">_xlfn.ANCHORARRAY( $J$68)</f>
        <v>107567.89284413776</v>
      </c>
      <c r="K91">
        <v>116675.79341811661</v>
      </c>
      <c r="L91">
        <v>126970.56013357561</v>
      </c>
      <c r="M91">
        <v>136553.23159792274</v>
      </c>
      <c r="N91">
        <v>146136.25283381843</v>
      </c>
      <c r="O91">
        <v>155718.5721358892</v>
      </c>
      <c r="P91">
        <v>165301.59337178484</v>
      </c>
      <c r="Q91">
        <v>174649.13782293766</v>
      </c>
      <c r="R91">
        <v>183762.72674442281</v>
      </c>
      <c r="S91">
        <v>193819.77315162082</v>
      </c>
      <c r="T91">
        <v>202942.89516771035</v>
      </c>
      <c r="U91">
        <v>210819.22024878819</v>
      </c>
    </row>
    <row r="92" spans="2:21">
      <c r="E92" t="str">
        <v>Product B</v>
      </c>
      <c r="G92" t="s">
        <v>83</v>
      </c>
      <c r="J92" cm="1">
        <f t="array" ref="J92:U92">_xlfn.ANCHORARRAY( $J$76)</f>
        <v>65531.414249352543</v>
      </c>
      <c r="K92">
        <v>71365.956604929801</v>
      </c>
      <c r="L92">
        <v>76717.947592215685</v>
      </c>
      <c r="M92">
        <v>83174.316619818215</v>
      </c>
      <c r="N92">
        <v>88531.976883927127</v>
      </c>
      <c r="O92">
        <v>94983.370753516181</v>
      </c>
      <c r="P92">
        <v>100352.21873836845</v>
      </c>
      <c r="Q92">
        <v>106857.54530083976</v>
      </c>
      <c r="R92">
        <v>112761.34043617694</v>
      </c>
      <c r="S92">
        <v>118664.89590424558</v>
      </c>
      <c r="T92">
        <v>124568.99179146245</v>
      </c>
      <c r="U92">
        <v>129882.13091557004</v>
      </c>
    </row>
    <row r="93" spans="2:21">
      <c r="E93" t="str">
        <v>Product C</v>
      </c>
      <c r="G93" t="s">
        <v>83</v>
      </c>
      <c r="J93" cm="1">
        <f t="array" ref="J93:U93">_xlfn.ANCHORARRAY( $J$84)</f>
        <v>28802.229029797494</v>
      </c>
      <c r="K93">
        <v>31351.192917739798</v>
      </c>
      <c r="L93">
        <v>33899.953070537784</v>
      </c>
      <c r="M93">
        <v>36448.797260206564</v>
      </c>
      <c r="N93">
        <v>38997.761148148864</v>
      </c>
      <c r="O93">
        <v>41546.520340313604</v>
      </c>
      <c r="P93">
        <v>44095.275770840773</v>
      </c>
      <c r="Q93">
        <v>46644.124301897704</v>
      </c>
      <c r="R93">
        <v>49193.086329245081</v>
      </c>
      <c r="S93">
        <v>51741.844001249839</v>
      </c>
      <c r="T93">
        <v>54290.692532306777</v>
      </c>
      <c r="U93">
        <v>56075.027816231195</v>
      </c>
    </row>
    <row r="94" spans="2:21">
      <c r="E94" s="75" t="s">
        <v>90</v>
      </c>
      <c r="F94" s="75"/>
      <c r="G94" s="75" t="s">
        <v>83</v>
      </c>
      <c r="H94" s="75"/>
      <c r="I94" s="75"/>
      <c r="J94" s="75" cm="1">
        <f t="array" ref="J94:U94" xml:space="preserve"> _xlfn.BYCOL( _xlfn.VSTACK(_xlfn.ANCHORARRAY( J91),_xlfn.ANCHORARRAY( J92),_xlfn.ANCHORARRAY( J93) ), _xleta.SUM )</f>
        <v>201901.53612328781</v>
      </c>
      <c r="K94" s="75">
        <v>219392.94294078619</v>
      </c>
      <c r="L94" s="75">
        <v>237588.46079632908</v>
      </c>
      <c r="M94" s="75">
        <v>256176.34547794753</v>
      </c>
      <c r="N94" s="75">
        <v>273665.99086589442</v>
      </c>
      <c r="O94" s="75">
        <v>292248.46322971897</v>
      </c>
      <c r="P94" s="75">
        <v>309749.08788099402</v>
      </c>
      <c r="Q94" s="75">
        <v>328150.8074256751</v>
      </c>
      <c r="R94" s="75">
        <v>345717.15350984479</v>
      </c>
      <c r="S94" s="75">
        <v>364226.51305711624</v>
      </c>
      <c r="T94" s="75">
        <v>381802.57949147956</v>
      </c>
      <c r="U94" s="75">
        <v>396776.37898058939</v>
      </c>
    </row>
    <row r="97" spans="1:21" s="56" customFormat="1">
      <c r="A97" s="57" t="s">
        <v>133</v>
      </c>
    </row>
    <row r="99" spans="1:21">
      <c r="B99" s="79" t="s">
        <v>8</v>
      </c>
    </row>
    <row r="101" spans="1:21">
      <c r="E101" t="s">
        <v>74</v>
      </c>
      <c r="G101" t="s">
        <v>81</v>
      </c>
      <c r="J101" cm="1">
        <f t="array" ref="J101:U101">_xlfn.ANCHORARRAY( $J67) * 'Purchasing Plan'!$J$135</f>
        <v>35106.934175954782</v>
      </c>
      <c r="K101">
        <v>37982.219998024426</v>
      </c>
      <c r="L101">
        <v>41489.998755475841</v>
      </c>
      <c r="M101">
        <v>44681.453649123228</v>
      </c>
      <c r="N101">
        <v>47873.219719698973</v>
      </c>
      <c r="O101">
        <v>51064.518228644301</v>
      </c>
      <c r="P101">
        <v>54256.284299220039</v>
      </c>
      <c r="Q101">
        <v>57447.58280816536</v>
      </c>
      <c r="R101">
        <v>60326.579474599668</v>
      </c>
      <c r="S101">
        <v>63830.803772388485</v>
      </c>
      <c r="T101">
        <v>66716.228673155289</v>
      </c>
      <c r="U101">
        <v>70213.868351909521</v>
      </c>
    </row>
    <row r="102" spans="1:21">
      <c r="D102" s="71" t="s">
        <v>86</v>
      </c>
      <c r="E102" s="70" t="s">
        <v>88</v>
      </c>
      <c r="G102" t="s">
        <v>81</v>
      </c>
      <c r="J102" cm="1">
        <f t="array" ref="J102:U102">_xlfn.ANCHORARRAY($J68)*'Purchasing Plan'!$J$135</f>
        <v>143303.02252588875</v>
      </c>
      <c r="K102">
        <v>155436.6587495491</v>
      </c>
      <c r="L102">
        <v>169151.44991555074</v>
      </c>
      <c r="M102">
        <v>181917.58066706863</v>
      </c>
      <c r="N102">
        <v>194684.17738774125</v>
      </c>
      <c r="O102">
        <v>207449.83898515295</v>
      </c>
      <c r="P102">
        <v>220216.43570582545</v>
      </c>
      <c r="Q102">
        <v>232669.32789909575</v>
      </c>
      <c r="R102">
        <v>244810.54219618748</v>
      </c>
      <c r="S102">
        <v>258208.63999032075</v>
      </c>
      <c r="T102">
        <v>270362.55437137536</v>
      </c>
      <c r="U102">
        <v>280855.47340763808</v>
      </c>
    </row>
    <row r="103" spans="1:21">
      <c r="D103" s="71" t="s">
        <v>87</v>
      </c>
      <c r="E103" s="70" t="s">
        <v>85</v>
      </c>
      <c r="G103" t="s">
        <v>81</v>
      </c>
      <c r="J103" cm="1">
        <f t="array" ref="J103:U103">_xlfn.ANCHORARRAY($J69)*'Purchasing Plan'!$J$135</f>
        <v>-140427.73670381913</v>
      </c>
      <c r="K103">
        <v>-151928.8799920977</v>
      </c>
      <c r="L103">
        <v>-165959.99502190336</v>
      </c>
      <c r="M103">
        <v>-178725.81459649291</v>
      </c>
      <c r="N103">
        <v>-191492.87887879589</v>
      </c>
      <c r="O103">
        <v>-204258.07291457721</v>
      </c>
      <c r="P103">
        <v>-217025.13719688015</v>
      </c>
      <c r="Q103">
        <v>-229790.33123266144</v>
      </c>
      <c r="R103">
        <v>-241306.31789839867</v>
      </c>
      <c r="S103">
        <v>-255323.21508955394</v>
      </c>
      <c r="T103">
        <v>-266864.91469262115</v>
      </c>
      <c r="U103">
        <v>-280855.47340763808</v>
      </c>
    </row>
    <row r="104" spans="1:21">
      <c r="E104" s="73" t="s">
        <v>78</v>
      </c>
      <c r="F104" s="73"/>
      <c r="G104" s="73" t="s">
        <v>81</v>
      </c>
      <c r="H104" s="73"/>
      <c r="I104" s="73"/>
      <c r="J104" s="73" cm="1">
        <f t="array" ref="J104:U104">_xlfn.ANCHORARRAY($J70)*'Purchasing Plan'!$J$135</f>
        <v>37982.219998024426</v>
      </c>
      <c r="K104" s="73">
        <v>41489.998755475841</v>
      </c>
      <c r="L104" s="73">
        <v>44681.453649123228</v>
      </c>
      <c r="M104" s="73">
        <v>47873.219719698973</v>
      </c>
      <c r="N104" s="73">
        <v>51064.518228644301</v>
      </c>
      <c r="O104" s="73">
        <v>54256.284299220039</v>
      </c>
      <c r="P104" s="73">
        <v>57447.58280816536</v>
      </c>
      <c r="Q104" s="73">
        <v>60326.579474599668</v>
      </c>
      <c r="R104" s="73">
        <v>63830.803772388485</v>
      </c>
      <c r="S104" s="73">
        <v>66716.228673155289</v>
      </c>
      <c r="T104" s="73">
        <v>70213.868351909521</v>
      </c>
      <c r="U104" s="73">
        <v>70213.868351909521</v>
      </c>
    </row>
    <row r="107" spans="1:21">
      <c r="B107" s="79" t="s">
        <v>9</v>
      </c>
    </row>
    <row r="109" spans="1:21">
      <c r="E109" t="s">
        <v>74</v>
      </c>
      <c r="G109" t="s">
        <v>81</v>
      </c>
      <c r="J109" cm="1">
        <f t="array" ref="J109:U109">_xlfn.ANCHORARRAY($J75)*'Purchasing Plan'!$J$136</f>
        <v>9974.803225386202</v>
      </c>
      <c r="K109">
        <v>10881.565839876774</v>
      </c>
      <c r="L109">
        <v>11682.429607406313</v>
      </c>
      <c r="M109">
        <v>12695.194827832016</v>
      </c>
      <c r="N109">
        <v>13497.147080750989</v>
      </c>
      <c r="O109">
        <v>14508.823815787257</v>
      </c>
      <c r="P109">
        <v>15312.930705149962</v>
      </c>
      <c r="Q109">
        <v>16322.399802439531</v>
      </c>
      <c r="R109">
        <v>17229.214848326588</v>
      </c>
      <c r="S109">
        <v>18135.977462817162</v>
      </c>
      <c r="T109">
        <v>19042.843836281831</v>
      </c>
      <c r="U109">
        <v>19949.6064507724</v>
      </c>
    </row>
    <row r="110" spans="1:21">
      <c r="D110" s="71" t="s">
        <v>86</v>
      </c>
      <c r="E110" s="70" t="s">
        <v>88</v>
      </c>
      <c r="G110" t="s">
        <v>81</v>
      </c>
      <c r="J110" cm="1">
        <f t="array" ref="J110:U110">_xlfn.ANCHORARRAY($J76)*'Purchasing Plan'!$J$136</f>
        <v>100654.79486835259</v>
      </c>
      <c r="K110">
        <v>109616.52216629726</v>
      </c>
      <c r="L110">
        <v>117837.06129448883</v>
      </c>
      <c r="M110">
        <v>127753.90053123914</v>
      </c>
      <c r="N110">
        <v>135983.14754254615</v>
      </c>
      <c r="O110">
        <v>145892.34504723529</v>
      </c>
      <c r="P110">
        <v>154138.77614878918</v>
      </c>
      <c r="Q110">
        <v>164130.81307028234</v>
      </c>
      <c r="R110">
        <v>173198.91109775644</v>
      </c>
      <c r="S110">
        <v>182266.64100163628</v>
      </c>
      <c r="T110">
        <v>191335.20097730885</v>
      </c>
      <c r="U110">
        <v>199496.06450772399</v>
      </c>
    </row>
    <row r="111" spans="1:21">
      <c r="D111" s="71" t="s">
        <v>87</v>
      </c>
      <c r="E111" s="70" t="s">
        <v>85</v>
      </c>
      <c r="G111" t="s">
        <v>81</v>
      </c>
      <c r="J111" cm="1">
        <f t="array" ref="J111:U111">_xlfn.ANCHORARRAY($J77)*'Purchasing Plan'!$J$136</f>
        <v>-99748.032253862009</v>
      </c>
      <c r="K111">
        <v>-108815.65839876771</v>
      </c>
      <c r="L111">
        <v>-116824.29607406312</v>
      </c>
      <c r="M111">
        <v>-126951.94827832015</v>
      </c>
      <c r="N111">
        <v>-134971.47080750988</v>
      </c>
      <c r="O111">
        <v>-145088.23815787258</v>
      </c>
      <c r="P111">
        <v>-153129.30705149961</v>
      </c>
      <c r="Q111">
        <v>-163223.99802439529</v>
      </c>
      <c r="R111">
        <v>-172292.14848326589</v>
      </c>
      <c r="S111">
        <v>-181359.77462817161</v>
      </c>
      <c r="T111">
        <v>-190428.4383628183</v>
      </c>
      <c r="U111">
        <v>-199496.06450772399</v>
      </c>
    </row>
    <row r="112" spans="1:21">
      <c r="E112" s="73" t="s">
        <v>78</v>
      </c>
      <c r="F112" s="73"/>
      <c r="G112" s="73" t="s">
        <v>81</v>
      </c>
      <c r="H112" s="73"/>
      <c r="I112" s="73"/>
      <c r="J112" s="73" cm="1">
        <f t="array" ref="J112:U112">_xlfn.ANCHORARRAY($J78)*'Purchasing Plan'!$J$136</f>
        <v>10881.565839876774</v>
      </c>
      <c r="K112" s="73">
        <v>11682.429607406313</v>
      </c>
      <c r="L112" s="73">
        <v>12695.194827832016</v>
      </c>
      <c r="M112" s="73">
        <v>13497.147080750989</v>
      </c>
      <c r="N112" s="73">
        <v>14508.823815787257</v>
      </c>
      <c r="O112" s="73">
        <v>15312.930705149962</v>
      </c>
      <c r="P112" s="73">
        <v>16322.399802439531</v>
      </c>
      <c r="Q112" s="73">
        <v>17229.214848326588</v>
      </c>
      <c r="R112" s="73">
        <v>18135.977462817162</v>
      </c>
      <c r="S112" s="73">
        <v>19042.843836281831</v>
      </c>
      <c r="T112" s="73">
        <v>19949.6064507724</v>
      </c>
      <c r="U112" s="73">
        <v>19949.6064507724</v>
      </c>
    </row>
    <row r="115" spans="2:21">
      <c r="B115" s="79" t="s">
        <v>10</v>
      </c>
    </row>
    <row r="117" spans="2:21">
      <c r="E117" t="s">
        <v>74</v>
      </c>
      <c r="G117" t="s">
        <v>81</v>
      </c>
      <c r="J117" cm="1">
        <f t="array" ref="J117:U117">_xlfn.ANCHORARRAY($J83)*'Purchasing Plan'!$J$137</f>
        <v>14753.897484602059</v>
      </c>
      <c r="K117">
        <v>16095.258508644672</v>
      </c>
      <c r="L117">
        <v>17436.467774968467</v>
      </c>
      <c r="M117">
        <v>18777.673777685413</v>
      </c>
      <c r="N117">
        <v>20119.034801728027</v>
      </c>
      <c r="O117">
        <v>21460.244068051823</v>
      </c>
      <c r="P117">
        <v>22801.448385754356</v>
      </c>
      <c r="Q117">
        <v>24142.657652078149</v>
      </c>
      <c r="R117">
        <v>25484.018676120766</v>
      </c>
      <c r="S117">
        <v>26825.224678837709</v>
      </c>
      <c r="T117">
        <v>28166.433945161505</v>
      </c>
      <c r="U117">
        <v>29507.794969204118</v>
      </c>
    </row>
    <row r="118" spans="2:21">
      <c r="D118" s="71" t="s">
        <v>86</v>
      </c>
      <c r="E118" s="70" t="s">
        <v>88</v>
      </c>
      <c r="G118" t="s">
        <v>81</v>
      </c>
      <c r="J118" cm="1">
        <f t="array" ref="J118:U118">_xlfn.ANCHORARRAY($J84)*'Purchasing Plan'!$J$137</f>
        <v>50521.019306049478</v>
      </c>
      <c r="K118">
        <v>54992.07096180605</v>
      </c>
      <c r="L118">
        <v>59462.765252611847</v>
      </c>
      <c r="M118">
        <v>63933.606949660658</v>
      </c>
      <c r="N118">
        <v>68404.658605417222</v>
      </c>
      <c r="O118">
        <v>72875.351211208617</v>
      </c>
      <c r="P118">
        <v>77346.037218838319</v>
      </c>
      <c r="Q118">
        <v>81816.886530969787</v>
      </c>
      <c r="R118">
        <v>86287.934923119494</v>
      </c>
      <c r="S118">
        <v>90758.624862449491</v>
      </c>
      <c r="T118">
        <v>95229.474174580973</v>
      </c>
      <c r="U118">
        <v>98359.31656401373</v>
      </c>
    </row>
    <row r="119" spans="2:21">
      <c r="D119" s="71" t="s">
        <v>87</v>
      </c>
      <c r="E119" s="70" t="s">
        <v>85</v>
      </c>
      <c r="G119" t="s">
        <v>81</v>
      </c>
      <c r="J119" cm="1">
        <f t="array" ref="J119:U119">_xlfn.ANCHORARRAY($J85)*'Purchasing Plan'!$J$137</f>
        <v>-49179.658282006865</v>
      </c>
      <c r="K119">
        <v>-53650.86169548225</v>
      </c>
      <c r="L119">
        <v>-58121.559249894897</v>
      </c>
      <c r="M119">
        <v>-62592.245925618045</v>
      </c>
      <c r="N119">
        <v>-67063.449339093422</v>
      </c>
      <c r="O119">
        <v>-71534.146893506084</v>
      </c>
      <c r="P119">
        <v>-76004.827952514519</v>
      </c>
      <c r="Q119">
        <v>-80475.525506927166</v>
      </c>
      <c r="R119">
        <v>-84946.728920402558</v>
      </c>
      <c r="S119">
        <v>-89417.415596125691</v>
      </c>
      <c r="T119">
        <v>-93888.113150538353</v>
      </c>
      <c r="U119">
        <v>-98359.31656401373</v>
      </c>
    </row>
    <row r="120" spans="2:21">
      <c r="E120" s="73" t="s">
        <v>78</v>
      </c>
      <c r="F120" s="73"/>
      <c r="G120" s="73" t="s">
        <v>81</v>
      </c>
      <c r="H120" s="73"/>
      <c r="I120" s="73"/>
      <c r="J120" s="73" cm="1">
        <f t="array" ref="J120:U120">_xlfn.ANCHORARRAY($J86)*'Purchasing Plan'!$J$137</f>
        <v>16095.258508644672</v>
      </c>
      <c r="K120" s="73">
        <v>17436.467774968467</v>
      </c>
      <c r="L120" s="73">
        <v>18777.673777685413</v>
      </c>
      <c r="M120" s="73">
        <v>20119.034801728027</v>
      </c>
      <c r="N120" s="73">
        <v>21460.244068051823</v>
      </c>
      <c r="O120" s="73">
        <v>22801.448385754356</v>
      </c>
      <c r="P120" s="73">
        <v>24142.657652078149</v>
      </c>
      <c r="Q120" s="73">
        <v>25484.018676120766</v>
      </c>
      <c r="R120" s="73">
        <v>26825.224678837709</v>
      </c>
      <c r="S120" s="73">
        <v>28166.433945161505</v>
      </c>
      <c r="T120" s="73">
        <v>29507.794969204118</v>
      </c>
      <c r="U120" s="73">
        <v>29507.794969204118</v>
      </c>
    </row>
    <row r="123" spans="2:21">
      <c r="B123" s="65" t="s">
        <v>135</v>
      </c>
    </row>
    <row r="125" spans="2:21">
      <c r="E125" t="str" cm="1">
        <f t="array" ref="E125:E127" xml:space="preserve"> INDEX(_xlfn.ANCHORARRAY( $E$59), 0, 1 )</f>
        <v>Product A</v>
      </c>
      <c r="G125" t="s">
        <v>81</v>
      </c>
      <c r="J125" cm="1">
        <f t="array" ref="J125:U125">_xlfn.ANCHORARRAY( J104)</f>
        <v>37982.219998024426</v>
      </c>
      <c r="K125">
        <v>41489.998755475841</v>
      </c>
      <c r="L125">
        <v>44681.453649123228</v>
      </c>
      <c r="M125">
        <v>47873.219719698973</v>
      </c>
      <c r="N125">
        <v>51064.518228644301</v>
      </c>
      <c r="O125">
        <v>54256.284299220039</v>
      </c>
      <c r="P125">
        <v>57447.58280816536</v>
      </c>
      <c r="Q125">
        <v>60326.579474599668</v>
      </c>
      <c r="R125">
        <v>63830.803772388485</v>
      </c>
      <c r="S125">
        <v>66716.228673155289</v>
      </c>
      <c r="T125">
        <v>70213.868351909521</v>
      </c>
      <c r="U125">
        <v>70213.868351909521</v>
      </c>
    </row>
    <row r="126" spans="2:21">
      <c r="E126" t="str">
        <v>Product B</v>
      </c>
      <c r="G126" t="s">
        <v>81</v>
      </c>
      <c r="J126" cm="1">
        <f t="array" ref="J126:U126">_xlfn.ANCHORARRAY( J112)</f>
        <v>10881.565839876774</v>
      </c>
      <c r="K126">
        <v>11682.429607406313</v>
      </c>
      <c r="L126">
        <v>12695.194827832016</v>
      </c>
      <c r="M126">
        <v>13497.147080750989</v>
      </c>
      <c r="N126">
        <v>14508.823815787257</v>
      </c>
      <c r="O126">
        <v>15312.930705149962</v>
      </c>
      <c r="P126">
        <v>16322.399802439531</v>
      </c>
      <c r="Q126">
        <v>17229.214848326588</v>
      </c>
      <c r="R126">
        <v>18135.977462817162</v>
      </c>
      <c r="S126">
        <v>19042.843836281831</v>
      </c>
      <c r="T126">
        <v>19949.6064507724</v>
      </c>
      <c r="U126">
        <v>19949.6064507724</v>
      </c>
    </row>
    <row r="127" spans="2:21">
      <c r="E127" t="str">
        <v>Product C</v>
      </c>
      <c r="G127" t="s">
        <v>81</v>
      </c>
      <c r="J127" cm="1">
        <f t="array" ref="J127:U127">_xlfn.ANCHORARRAY( J120)</f>
        <v>16095.258508644672</v>
      </c>
      <c r="K127">
        <v>17436.467774968467</v>
      </c>
      <c r="L127">
        <v>18777.673777685413</v>
      </c>
      <c r="M127">
        <v>20119.034801728027</v>
      </c>
      <c r="N127">
        <v>21460.244068051823</v>
      </c>
      <c r="O127">
        <v>22801.448385754356</v>
      </c>
      <c r="P127">
        <v>24142.657652078149</v>
      </c>
      <c r="Q127">
        <v>25484.018676120766</v>
      </c>
      <c r="R127">
        <v>26825.224678837709</v>
      </c>
      <c r="S127">
        <v>28166.433945161505</v>
      </c>
      <c r="T127">
        <v>29507.794969204118</v>
      </c>
      <c r="U127">
        <v>29507.794969204118</v>
      </c>
    </row>
    <row r="128" spans="2:21">
      <c r="E128" s="75" t="s">
        <v>135</v>
      </c>
      <c r="F128" s="75"/>
      <c r="G128" s="75" t="s">
        <v>81</v>
      </c>
      <c r="H128" s="75"/>
      <c r="I128" s="75"/>
      <c r="J128" s="75" cm="1">
        <f t="array" ref="J128:U128" xml:space="preserve"> _xlfn.BYCOL( J125:U127, _xleta.SUM )</f>
        <v>64959.044346545874</v>
      </c>
      <c r="K128" s="75">
        <v>70608.896137850621</v>
      </c>
      <c r="L128" s="75">
        <v>76154.322254640661</v>
      </c>
      <c r="M128" s="75">
        <v>81489.401602177997</v>
      </c>
      <c r="N128" s="75">
        <v>87033.586112483375</v>
      </c>
      <c r="O128" s="75">
        <v>92370.663390124348</v>
      </c>
      <c r="P128" s="75">
        <v>97912.640262683039</v>
      </c>
      <c r="Q128" s="75">
        <v>103039.81299904702</v>
      </c>
      <c r="R128" s="75">
        <v>108792.00591404336</v>
      </c>
      <c r="S128" s="75">
        <v>113925.50645459862</v>
      </c>
      <c r="T128" s="75">
        <v>119671.26977188603</v>
      </c>
      <c r="U128" s="75">
        <v>119671.26977188603</v>
      </c>
    </row>
    <row r="185" spans="1:1" s="56" customFormat="1">
      <c r="A185" s="57" t="s">
        <v>54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60" fitToHeight="0" orientation="landscape" r:id="rId1"/>
  <headerFooter>
    <oddFooter>&amp;L&amp;"Arial,Regular"Financial Modeling Institute
CFM October 2026&amp;C&amp;"Arial,Regular"Page &amp;P of &amp;N&amp;R&amp;"Arial,Regular"&amp;D</oddFooter>
  </headerFooter>
  <rowBreaks count="2" manualBreakCount="2">
    <brk id="62" max="20" man="1"/>
    <brk id="122" max="20" man="1"/>
  </rowBreaks>
  <colBreaks count="2" manualBreakCount="2">
    <brk id="4" max="130" man="1"/>
    <brk id="5" max="130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199284-0A7D-4EF5-AD83-7EA804099E69}">
  <sheetPr>
    <pageSetUpPr autoPageBreaks="0" fitToPage="1"/>
  </sheetPr>
  <dimension ref="A1:U128"/>
  <sheetViews>
    <sheetView showGridLines="0" zoomScale="85" zoomScaleNormal="85" workbookViewId="0">
      <pane xSplit="9" ySplit="3" topLeftCell="J93" activePane="bottomRight" state="frozen"/>
      <selection pane="topRight" activeCell="J1" sqref="J1"/>
      <selection pane="bottomLeft" activeCell="A4" sqref="A4"/>
      <selection pane="bottomRight" activeCell="E103" sqref="E103:I103"/>
    </sheetView>
  </sheetViews>
  <sheetFormatPr defaultRowHeight="13.8"/>
  <cols>
    <col min="1" max="1" width="1.69921875" customWidth="1"/>
    <col min="2" max="4" width="1.59765625" customWidth="1"/>
    <col min="5" max="5" width="32.19921875" customWidth="1"/>
    <col min="6" max="7" width="11.5" customWidth="1"/>
    <col min="8" max="8" width="5.69921875" customWidth="1"/>
    <col min="9" max="9" width="1.59765625" customWidth="1"/>
    <col min="10" max="21" width="11.5" customWidth="1"/>
  </cols>
  <sheetData>
    <row r="1" spans="1:21" s="55" customFormat="1">
      <c r="A1" s="55" t="str" cm="1">
        <f t="array" ref="A1">company</f>
        <v>Sweet Dreams Co.</v>
      </c>
    </row>
    <row r="2" spans="1:21" s="55" customFormat="1">
      <c r="A2" s="55" t="str" cm="1">
        <f t="array" ref="A2">topic</f>
        <v>CFM Topic: Working Capital</v>
      </c>
    </row>
    <row r="3" spans="1:21" s="55" customFormat="1">
      <c r="A3" s="55" t="s">
        <v>76</v>
      </c>
      <c r="F3" s="55" t="s">
        <v>55</v>
      </c>
      <c r="G3" s="55" t="s">
        <v>56</v>
      </c>
      <c r="H3" s="55" t="s">
        <v>5</v>
      </c>
      <c r="J3" s="58" cm="1">
        <f t="array" ref="J3:U3" xml:space="preserve"> EOMONTH( start_date, _xlfn.SEQUENCE( 1, periods, 0, 1 ) )</f>
        <v>44592</v>
      </c>
      <c r="K3" s="58">
        <v>44620</v>
      </c>
      <c r="L3" s="58">
        <v>44651</v>
      </c>
      <c r="M3" s="58">
        <v>44681</v>
      </c>
      <c r="N3" s="58">
        <v>44712</v>
      </c>
      <c r="O3" s="58">
        <v>44742</v>
      </c>
      <c r="P3" s="58">
        <v>44773</v>
      </c>
      <c r="Q3" s="58">
        <v>44804</v>
      </c>
      <c r="R3" s="58">
        <v>44834</v>
      </c>
      <c r="S3" s="58">
        <v>44865</v>
      </c>
      <c r="T3" s="58">
        <v>44895</v>
      </c>
      <c r="U3" s="58">
        <v>44926</v>
      </c>
    </row>
    <row r="5" spans="1:21" s="56" customFormat="1">
      <c r="A5" s="57" t="s">
        <v>65</v>
      </c>
    </row>
    <row r="6" spans="1:21" s="66" customFormat="1">
      <c r="A6" s="65"/>
    </row>
    <row r="7" spans="1:21" s="66" customFormat="1">
      <c r="A7" s="65"/>
      <c r="B7" s="65" t="s">
        <v>73</v>
      </c>
    </row>
    <row r="8" spans="1:21" s="66" customFormat="1">
      <c r="A8" s="65"/>
    </row>
    <row r="9" spans="1:21">
      <c r="C9" s="76" t="s">
        <v>7</v>
      </c>
    </row>
    <row r="11" spans="1:21">
      <c r="E11" t="s">
        <v>62</v>
      </c>
      <c r="F11" s="67">
        <f>INDEX( CaseData!$C$63:$C$65, MATCH( 'Accounts Receivables'!$C9, CaseData!$A$63:$A$65, 0 ) ) / days_per_month</f>
        <v>3</v>
      </c>
      <c r="G11" t="s">
        <v>50</v>
      </c>
    </row>
    <row r="12" spans="1:21">
      <c r="F12" s="61"/>
    </row>
    <row r="13" spans="1:21">
      <c r="F13" s="63" t="s">
        <v>63</v>
      </c>
      <c r="G13" s="64" t="s">
        <v>64</v>
      </c>
      <c r="J13" s="80" cm="1">
        <f t="array" ref="J13:U13">_xlfn.SEQUENCE( 1, periods, 1, 1 )</f>
        <v>1</v>
      </c>
      <c r="K13" s="80">
        <v>2</v>
      </c>
      <c r="L13" s="80">
        <v>3</v>
      </c>
      <c r="M13" s="80">
        <v>4</v>
      </c>
      <c r="N13" s="80">
        <v>5</v>
      </c>
      <c r="O13" s="80">
        <v>6</v>
      </c>
      <c r="P13" s="80">
        <v>7</v>
      </c>
      <c r="Q13" s="80">
        <v>8</v>
      </c>
      <c r="R13" s="80">
        <v>9</v>
      </c>
      <c r="S13" s="80">
        <v>10</v>
      </c>
      <c r="T13" s="80">
        <v>11</v>
      </c>
      <c r="U13" s="80">
        <v>12</v>
      </c>
    </row>
    <row r="14" spans="1:21">
      <c r="F14" s="69">
        <f>F15-1</f>
        <v>-2</v>
      </c>
      <c r="G14" s="56" cm="1">
        <f t="array" ref="G14:G16">_xlfn.SEQUENCE( $F$11, 1, $G17, 0 )</f>
        <v>210000</v>
      </c>
      <c r="J14" s="61" cm="1">
        <f t="array" ref="J14:U28">IF(_xlfn.ANCHORARRAY( J13) - $F$14:$F$28 &lt; 0, 0, IF(_xlfn.ANCHORARRAY( J13) - $F$14:$F$28 &lt; INT($F$11), 1, IF(_xlfn.ANCHORARRAY( J13) - $F$14:$F$28 &lt; $F$11, MOD($F$11, 1), 0 ) ) )</f>
        <v>0</v>
      </c>
      <c r="K14" s="61">
        <v>0</v>
      </c>
      <c r="L14" s="61">
        <v>0</v>
      </c>
      <c r="M14" s="61">
        <v>0</v>
      </c>
      <c r="N14" s="61">
        <v>0</v>
      </c>
      <c r="O14" s="61">
        <v>0</v>
      </c>
      <c r="P14" s="61">
        <v>0</v>
      </c>
      <c r="Q14" s="61">
        <v>0</v>
      </c>
      <c r="R14" s="61">
        <v>0</v>
      </c>
      <c r="S14" s="61">
        <v>0</v>
      </c>
      <c r="T14" s="61">
        <v>0</v>
      </c>
      <c r="U14" s="61">
        <v>0</v>
      </c>
    </row>
    <row r="15" spans="1:21">
      <c r="F15" s="56">
        <f>F16-1</f>
        <v>-1</v>
      </c>
      <c r="G15" s="56">
        <v>210000</v>
      </c>
      <c r="J15" s="61">
        <v>1</v>
      </c>
      <c r="K15" s="61">
        <v>0</v>
      </c>
      <c r="L15" s="61">
        <v>0</v>
      </c>
      <c r="M15" s="61">
        <v>0</v>
      </c>
      <c r="N15" s="61">
        <v>0</v>
      </c>
      <c r="O15" s="61">
        <v>0</v>
      </c>
      <c r="P15" s="61">
        <v>0</v>
      </c>
      <c r="Q15" s="61">
        <v>0</v>
      </c>
      <c r="R15" s="61">
        <v>0</v>
      </c>
      <c r="S15" s="61">
        <v>0</v>
      </c>
      <c r="T15" s="61">
        <v>0</v>
      </c>
      <c r="U15" s="61">
        <v>0</v>
      </c>
    </row>
    <row r="16" spans="1:21">
      <c r="F16" s="56">
        <f>F17-1</f>
        <v>0</v>
      </c>
      <c r="G16" s="56">
        <v>210000</v>
      </c>
      <c r="J16" s="68">
        <v>1</v>
      </c>
      <c r="K16" s="68">
        <v>1</v>
      </c>
      <c r="L16" s="68">
        <v>0</v>
      </c>
      <c r="M16" s="68">
        <v>0</v>
      </c>
      <c r="N16" s="68">
        <v>0</v>
      </c>
      <c r="O16" s="68">
        <v>0</v>
      </c>
      <c r="P16" s="68">
        <v>0</v>
      </c>
      <c r="Q16" s="68">
        <v>0</v>
      </c>
      <c r="R16" s="68">
        <v>0</v>
      </c>
      <c r="S16" s="68">
        <v>0</v>
      </c>
      <c r="T16" s="68">
        <v>0</v>
      </c>
      <c r="U16" s="68">
        <v>0</v>
      </c>
    </row>
    <row r="17" spans="2:21">
      <c r="F17" cm="1">
        <f t="array" ref="F17:F28" xml:space="preserve"> _xlfn.SEQUENCE( periods, 1, 1, 1 )</f>
        <v>1</v>
      </c>
      <c r="G17" s="62" cm="1">
        <f t="array" ref="G17:G28" xml:space="preserve"> _xlfn.LET(
      _xlpm.revenue_table, CaseData!$C$7:$N$20,
      _xlpm.revenue_rows, CaseData!$A$7:$A$20,
      _xlpm.revenue_columns, CaseData!$C$3:$N$3,
      _xlpm.current_retailer, $C9,
      _xlpm.current_month,_xlfn.ANCHORARRAY( 'Accounts Receivables'!$J$3),
      _xlpm.revenue, INDEX( _xlpm.revenue_table, MATCH( _xlpm.current_retailer, _xlpm.revenue_rows, 0 ), MATCH( _xlpm.current_month, _xlpm.revenue_columns, 0 ) ),
      TRANSPOSE( _xlpm.revenue ) )</f>
        <v>210000</v>
      </c>
      <c r="J17" s="61">
        <v>1</v>
      </c>
      <c r="K17" s="61">
        <v>1</v>
      </c>
      <c r="L17" s="61">
        <v>1</v>
      </c>
      <c r="M17" s="61">
        <v>0</v>
      </c>
      <c r="N17" s="61">
        <v>0</v>
      </c>
      <c r="O17" s="61">
        <v>0</v>
      </c>
      <c r="P17" s="61">
        <v>0</v>
      </c>
      <c r="Q17" s="61">
        <v>0</v>
      </c>
      <c r="R17" s="61">
        <v>0</v>
      </c>
      <c r="S17" s="61">
        <v>0</v>
      </c>
      <c r="T17" s="61">
        <v>0</v>
      </c>
      <c r="U17" s="61">
        <v>0</v>
      </c>
    </row>
    <row r="18" spans="2:21">
      <c r="F18">
        <v>2</v>
      </c>
      <c r="G18" s="62">
        <v>229091</v>
      </c>
      <c r="J18" s="61">
        <v>0</v>
      </c>
      <c r="K18" s="61">
        <v>1</v>
      </c>
      <c r="L18" s="61">
        <v>1</v>
      </c>
      <c r="M18" s="61">
        <v>1</v>
      </c>
      <c r="N18" s="61">
        <v>0</v>
      </c>
      <c r="O18" s="61">
        <v>0</v>
      </c>
      <c r="P18" s="61">
        <v>0</v>
      </c>
      <c r="Q18" s="61">
        <v>0</v>
      </c>
      <c r="R18" s="61">
        <v>0</v>
      </c>
      <c r="S18" s="61">
        <v>0</v>
      </c>
      <c r="T18" s="61">
        <v>0</v>
      </c>
      <c r="U18" s="61">
        <v>0</v>
      </c>
    </row>
    <row r="19" spans="2:21">
      <c r="F19">
        <v>3</v>
      </c>
      <c r="G19" s="62">
        <v>248182</v>
      </c>
      <c r="J19" s="61">
        <v>0</v>
      </c>
      <c r="K19" s="61">
        <v>0</v>
      </c>
      <c r="L19" s="61">
        <v>1</v>
      </c>
      <c r="M19" s="61">
        <v>1</v>
      </c>
      <c r="N19" s="61">
        <v>1</v>
      </c>
      <c r="O19" s="61">
        <v>0</v>
      </c>
      <c r="P19" s="61">
        <v>0</v>
      </c>
      <c r="Q19" s="61">
        <v>0</v>
      </c>
      <c r="R19" s="61">
        <v>0</v>
      </c>
      <c r="S19" s="61">
        <v>0</v>
      </c>
      <c r="T19" s="61">
        <v>0</v>
      </c>
      <c r="U19" s="61">
        <v>0</v>
      </c>
    </row>
    <row r="20" spans="2:21">
      <c r="F20">
        <v>4</v>
      </c>
      <c r="G20" s="62">
        <v>267272</v>
      </c>
      <c r="J20" s="61">
        <v>0</v>
      </c>
      <c r="K20" s="61">
        <v>0</v>
      </c>
      <c r="L20" s="61">
        <v>0</v>
      </c>
      <c r="M20" s="61">
        <v>1</v>
      </c>
      <c r="N20" s="61">
        <v>1</v>
      </c>
      <c r="O20" s="61">
        <v>1</v>
      </c>
      <c r="P20" s="61">
        <v>0</v>
      </c>
      <c r="Q20" s="61">
        <v>0</v>
      </c>
      <c r="R20" s="61">
        <v>0</v>
      </c>
      <c r="S20" s="61">
        <v>0</v>
      </c>
      <c r="T20" s="61">
        <v>0</v>
      </c>
      <c r="U20" s="61">
        <v>0</v>
      </c>
    </row>
    <row r="21" spans="2:21">
      <c r="F21">
        <v>5</v>
      </c>
      <c r="G21" s="62">
        <v>284364</v>
      </c>
      <c r="J21" s="61">
        <v>0</v>
      </c>
      <c r="K21" s="61">
        <v>0</v>
      </c>
      <c r="L21" s="61">
        <v>0</v>
      </c>
      <c r="M21" s="61">
        <v>0</v>
      </c>
      <c r="N21" s="61">
        <v>1</v>
      </c>
      <c r="O21" s="61">
        <v>1</v>
      </c>
      <c r="P21" s="61">
        <v>1</v>
      </c>
      <c r="Q21" s="61">
        <v>0</v>
      </c>
      <c r="R21" s="61">
        <v>0</v>
      </c>
      <c r="S21" s="61">
        <v>0</v>
      </c>
      <c r="T21" s="61">
        <v>0</v>
      </c>
      <c r="U21" s="61">
        <v>0</v>
      </c>
    </row>
    <row r="22" spans="2:21">
      <c r="F22">
        <v>6</v>
      </c>
      <c r="G22" s="62">
        <v>305454</v>
      </c>
      <c r="J22" s="61">
        <v>0</v>
      </c>
      <c r="K22" s="61">
        <v>0</v>
      </c>
      <c r="L22" s="61">
        <v>0</v>
      </c>
      <c r="M22" s="61">
        <v>0</v>
      </c>
      <c r="N22" s="61">
        <v>0</v>
      </c>
      <c r="O22" s="61">
        <v>1</v>
      </c>
      <c r="P22" s="61">
        <v>1</v>
      </c>
      <c r="Q22" s="61">
        <v>1</v>
      </c>
      <c r="R22" s="61">
        <v>0</v>
      </c>
      <c r="S22" s="61">
        <v>0</v>
      </c>
      <c r="T22" s="61">
        <v>0</v>
      </c>
      <c r="U22" s="61">
        <v>0</v>
      </c>
    </row>
    <row r="23" spans="2:21">
      <c r="F23">
        <v>7</v>
      </c>
      <c r="G23" s="62">
        <v>324546</v>
      </c>
      <c r="J23" s="61">
        <v>0</v>
      </c>
      <c r="K23" s="61">
        <v>0</v>
      </c>
      <c r="L23" s="61">
        <v>0</v>
      </c>
      <c r="M23" s="61">
        <v>0</v>
      </c>
      <c r="N23" s="61">
        <v>0</v>
      </c>
      <c r="O23" s="61">
        <v>0</v>
      </c>
      <c r="P23" s="61">
        <v>1</v>
      </c>
      <c r="Q23" s="61">
        <v>1</v>
      </c>
      <c r="R23" s="61">
        <v>1</v>
      </c>
      <c r="S23" s="61">
        <v>0</v>
      </c>
      <c r="T23" s="61">
        <v>0</v>
      </c>
      <c r="U23" s="61">
        <v>0</v>
      </c>
    </row>
    <row r="24" spans="2:21">
      <c r="F24">
        <v>8</v>
      </c>
      <c r="G24" s="62">
        <v>343636</v>
      </c>
      <c r="J24" s="61">
        <v>0</v>
      </c>
      <c r="K24" s="61">
        <v>0</v>
      </c>
      <c r="L24" s="61">
        <v>0</v>
      </c>
      <c r="M24" s="61">
        <v>0</v>
      </c>
      <c r="N24" s="61">
        <v>0</v>
      </c>
      <c r="O24" s="61">
        <v>0</v>
      </c>
      <c r="P24" s="61">
        <v>0</v>
      </c>
      <c r="Q24" s="61">
        <v>1</v>
      </c>
      <c r="R24" s="61">
        <v>1</v>
      </c>
      <c r="S24" s="61">
        <v>1</v>
      </c>
      <c r="T24" s="61">
        <v>0</v>
      </c>
      <c r="U24" s="61">
        <v>0</v>
      </c>
    </row>
    <row r="25" spans="2:21">
      <c r="F25">
        <v>9</v>
      </c>
      <c r="G25" s="62">
        <v>360728</v>
      </c>
      <c r="J25" s="61">
        <v>0</v>
      </c>
      <c r="K25" s="61">
        <v>0</v>
      </c>
      <c r="L25" s="61">
        <v>0</v>
      </c>
      <c r="M25" s="61">
        <v>0</v>
      </c>
      <c r="N25" s="61">
        <v>0</v>
      </c>
      <c r="O25" s="61">
        <v>0</v>
      </c>
      <c r="P25" s="61">
        <v>0</v>
      </c>
      <c r="Q25" s="61">
        <v>0</v>
      </c>
      <c r="R25" s="61">
        <v>1</v>
      </c>
      <c r="S25" s="61">
        <v>1</v>
      </c>
      <c r="T25" s="61">
        <v>1</v>
      </c>
      <c r="U25" s="61">
        <v>0</v>
      </c>
    </row>
    <row r="26" spans="2:21">
      <c r="F26">
        <v>10</v>
      </c>
      <c r="G26" s="62">
        <v>381818</v>
      </c>
      <c r="J26" s="61">
        <v>0</v>
      </c>
      <c r="K26" s="61">
        <v>0</v>
      </c>
      <c r="L26" s="61">
        <v>0</v>
      </c>
      <c r="M26" s="61">
        <v>0</v>
      </c>
      <c r="N26" s="61">
        <v>0</v>
      </c>
      <c r="O26" s="61">
        <v>0</v>
      </c>
      <c r="P26" s="61">
        <v>0</v>
      </c>
      <c r="Q26" s="61">
        <v>0</v>
      </c>
      <c r="R26" s="61">
        <v>0</v>
      </c>
      <c r="S26" s="61">
        <v>1</v>
      </c>
      <c r="T26" s="61">
        <v>1</v>
      </c>
      <c r="U26" s="61">
        <v>1</v>
      </c>
    </row>
    <row r="27" spans="2:21">
      <c r="F27">
        <v>11</v>
      </c>
      <c r="G27" s="62">
        <v>400909</v>
      </c>
      <c r="J27" s="61">
        <v>0</v>
      </c>
      <c r="K27" s="61">
        <v>0</v>
      </c>
      <c r="L27" s="61">
        <v>0</v>
      </c>
      <c r="M27" s="61">
        <v>0</v>
      </c>
      <c r="N27" s="61">
        <v>0</v>
      </c>
      <c r="O27" s="61">
        <v>0</v>
      </c>
      <c r="P27" s="61">
        <v>0</v>
      </c>
      <c r="Q27" s="61">
        <v>0</v>
      </c>
      <c r="R27" s="61">
        <v>0</v>
      </c>
      <c r="S27" s="61">
        <v>0</v>
      </c>
      <c r="T27" s="61">
        <v>1</v>
      </c>
      <c r="U27" s="61">
        <v>1</v>
      </c>
    </row>
    <row r="28" spans="2:21">
      <c r="F28">
        <v>12</v>
      </c>
      <c r="G28" s="62">
        <v>419999.99999999988</v>
      </c>
      <c r="J28" s="61">
        <v>0</v>
      </c>
      <c r="K28" s="61">
        <v>0</v>
      </c>
      <c r="L28" s="61">
        <v>0</v>
      </c>
      <c r="M28" s="61">
        <v>0</v>
      </c>
      <c r="N28" s="61">
        <v>0</v>
      </c>
      <c r="O28" s="61">
        <v>0</v>
      </c>
      <c r="P28" s="61">
        <v>0</v>
      </c>
      <c r="Q28" s="61">
        <v>0</v>
      </c>
      <c r="R28" s="61">
        <v>0</v>
      </c>
      <c r="S28" s="61">
        <v>0</v>
      </c>
      <c r="T28" s="61">
        <v>0</v>
      </c>
      <c r="U28" s="61">
        <v>1</v>
      </c>
    </row>
    <row r="29" spans="2:21">
      <c r="E29" s="72" t="s">
        <v>66</v>
      </c>
      <c r="F29" s="73"/>
      <c r="G29" s="73"/>
      <c r="H29" s="73"/>
      <c r="I29" s="73"/>
      <c r="J29" s="73" cm="1">
        <f t="array" ref="J29:U29">_xlfn.BYCOL(_xlfn.ANCHORARRAY( $J14), _xlfn.LAMBDA(_xlpm.month_col, SUMPRODUCT( $G14:$G28, _xlpm.month_col ) ) )</f>
        <v>630000</v>
      </c>
      <c r="K29" s="73">
        <v>649091</v>
      </c>
      <c r="L29" s="73">
        <v>687273</v>
      </c>
      <c r="M29" s="73">
        <v>744545</v>
      </c>
      <c r="N29" s="73">
        <v>799818</v>
      </c>
      <c r="O29" s="73">
        <v>857090</v>
      </c>
      <c r="P29" s="73">
        <v>914364</v>
      </c>
      <c r="Q29" s="73">
        <v>973636</v>
      </c>
      <c r="R29" s="73">
        <v>1028910</v>
      </c>
      <c r="S29" s="73">
        <v>1086182</v>
      </c>
      <c r="T29" s="73">
        <v>1143455</v>
      </c>
      <c r="U29" s="73">
        <v>1202727</v>
      </c>
    </row>
    <row r="30" spans="2:21">
      <c r="B30" s="60"/>
    </row>
    <row r="31" spans="2:21">
      <c r="B31" s="60"/>
    </row>
    <row r="32" spans="2:21">
      <c r="E32" t="s">
        <v>67</v>
      </c>
      <c r="G32" t="s">
        <v>81</v>
      </c>
      <c r="J32" cm="1">
        <f t="array" ref="J32:U32" xml:space="preserve"> _xlfn.DROP( _xlfn.HSTACK( SUM( $G$14:$G$16 ) / 3 * $F11,_xlfn.ANCHORARRAY( J35) ),, -1 )</f>
        <v>630000</v>
      </c>
      <c r="K32">
        <v>630000</v>
      </c>
      <c r="L32">
        <v>649091</v>
      </c>
      <c r="M32">
        <v>687273</v>
      </c>
      <c r="N32">
        <v>744545</v>
      </c>
      <c r="O32">
        <v>799818</v>
      </c>
      <c r="P32">
        <v>857090</v>
      </c>
      <c r="Q32">
        <v>914364</v>
      </c>
      <c r="R32">
        <v>973636</v>
      </c>
      <c r="S32">
        <v>1028910</v>
      </c>
      <c r="T32">
        <v>1086182</v>
      </c>
      <c r="U32">
        <v>1143455</v>
      </c>
    </row>
    <row r="33" spans="2:21">
      <c r="B33" s="59"/>
      <c r="D33" s="71" t="s">
        <v>69</v>
      </c>
      <c r="E33" s="70" t="s">
        <v>64</v>
      </c>
      <c r="G33" t="s">
        <v>81</v>
      </c>
      <c r="J33" cm="1">
        <f t="array" ref="J33:U33" xml:space="preserve"> TRANSPOSE(_xlfn.ANCHORARRAY( G17))</f>
        <v>210000</v>
      </c>
      <c r="K33">
        <v>229091</v>
      </c>
      <c r="L33">
        <v>248182</v>
      </c>
      <c r="M33">
        <v>267272</v>
      </c>
      <c r="N33">
        <v>284364</v>
      </c>
      <c r="O33">
        <v>305454</v>
      </c>
      <c r="P33">
        <v>324546</v>
      </c>
      <c r="Q33">
        <v>343636</v>
      </c>
      <c r="R33">
        <v>360728</v>
      </c>
      <c r="S33">
        <v>381818</v>
      </c>
      <c r="T33">
        <v>400909</v>
      </c>
      <c r="U33">
        <v>419999.99999999988</v>
      </c>
    </row>
    <row r="34" spans="2:21">
      <c r="B34" s="60"/>
      <c r="D34" s="71" t="s">
        <v>68</v>
      </c>
      <c r="E34" s="70" t="s">
        <v>120</v>
      </c>
      <c r="G34" t="s">
        <v>81</v>
      </c>
      <c r="J34" cm="1">
        <f t="array" ref="J34:U34" xml:space="preserve"> _xlfn.LET(
      _xlpm.ar_opening,_xlfn.ANCHORARRAY( J32),
      _xlpm.revenue,_xlfn.ANCHORARRAY( J33),
      _xlpm.ar_closing,_xlfn.ANCHORARRAY( J35),
      ( _xlpm.ar_opening + _xlpm.revenue - _xlpm.ar_closing ) * - 1)</f>
        <v>-210000</v>
      </c>
      <c r="K34">
        <v>-210000</v>
      </c>
      <c r="L34">
        <v>-210000</v>
      </c>
      <c r="M34">
        <v>-210000</v>
      </c>
      <c r="N34">
        <v>-229091</v>
      </c>
      <c r="O34">
        <v>-248182</v>
      </c>
      <c r="P34">
        <v>-267272</v>
      </c>
      <c r="Q34">
        <v>-284364</v>
      </c>
      <c r="R34">
        <v>-305454</v>
      </c>
      <c r="S34">
        <v>-324546</v>
      </c>
      <c r="T34">
        <v>-343636</v>
      </c>
      <c r="U34">
        <v>-360728</v>
      </c>
    </row>
    <row r="35" spans="2:21">
      <c r="B35" s="60"/>
      <c r="E35" s="74" t="s">
        <v>70</v>
      </c>
      <c r="F35" s="75"/>
      <c r="G35" s="75" t="s">
        <v>81</v>
      </c>
      <c r="H35" s="75"/>
      <c r="I35" s="75"/>
      <c r="J35" s="75" cm="1">
        <f t="array" ref="J35:U35">J29:U29</f>
        <v>630000</v>
      </c>
      <c r="K35" s="75">
        <v>649091</v>
      </c>
      <c r="L35" s="75">
        <v>687273</v>
      </c>
      <c r="M35" s="75">
        <v>744545</v>
      </c>
      <c r="N35" s="75">
        <v>799818</v>
      </c>
      <c r="O35" s="75">
        <v>857090</v>
      </c>
      <c r="P35" s="75">
        <v>914364</v>
      </c>
      <c r="Q35" s="75">
        <v>973636</v>
      </c>
      <c r="R35" s="75">
        <v>1028910</v>
      </c>
      <c r="S35" s="75">
        <v>1086182</v>
      </c>
      <c r="T35" s="75">
        <v>1143455</v>
      </c>
      <c r="U35" s="75">
        <v>1202727</v>
      </c>
    </row>
    <row r="36" spans="2:21">
      <c r="B36" s="60"/>
    </row>
    <row r="38" spans="2:21">
      <c r="C38" s="76" t="s">
        <v>11</v>
      </c>
    </row>
    <row r="40" spans="2:21">
      <c r="E40" t="s">
        <v>62</v>
      </c>
      <c r="F40" s="67">
        <f>INDEX( CaseData!$C$63:$C$65, MATCH( 'Accounts Receivables'!$C38, CaseData!$A$63:$A$65, 0 ) ) / days_per_month</f>
        <v>1.5</v>
      </c>
      <c r="G40" t="s">
        <v>50</v>
      </c>
    </row>
    <row r="41" spans="2:21">
      <c r="F41" s="61"/>
    </row>
    <row r="42" spans="2:21">
      <c r="F42" s="63" t="s">
        <v>63</v>
      </c>
      <c r="G42" s="64" t="s">
        <v>64</v>
      </c>
      <c r="J42" s="80" cm="1">
        <f t="array" ref="J42:U42">_xlfn.SEQUENCE( 1, periods, 1, 1 )</f>
        <v>1</v>
      </c>
      <c r="K42" s="80">
        <v>2</v>
      </c>
      <c r="L42" s="80">
        <v>3</v>
      </c>
      <c r="M42" s="80">
        <v>4</v>
      </c>
      <c r="N42" s="80">
        <v>5</v>
      </c>
      <c r="O42" s="80">
        <v>6</v>
      </c>
      <c r="P42" s="80">
        <v>7</v>
      </c>
      <c r="Q42" s="80">
        <v>8</v>
      </c>
      <c r="R42" s="80">
        <v>9</v>
      </c>
      <c r="S42" s="80">
        <v>10</v>
      </c>
      <c r="T42" s="80">
        <v>11</v>
      </c>
      <c r="U42" s="80">
        <v>12</v>
      </c>
    </row>
    <row r="43" spans="2:21">
      <c r="F43" s="69">
        <f>F44-1</f>
        <v>-2</v>
      </c>
      <c r="G43" s="56" cm="1">
        <f t="array" ref="G43:G45">_xlfn.SEQUENCE( $F$11, 1, $G46, 0 )</f>
        <v>105000</v>
      </c>
      <c r="J43" s="77" cm="1">
        <f t="array" ref="J43:U57">IF(_xlfn.ANCHORARRAY( J42) - $F$14:$F$28 &lt; 0, 0, IF(_xlfn.ANCHORARRAY( J42) - $F$14:$F$28 &lt; INT($F$40), 1, IF(_xlfn.ANCHORARRAY( J42) - $F$14:$F$28 &lt; $F$40, MOD($F$40, 1), 0 ) ) )</f>
        <v>0</v>
      </c>
      <c r="K43" s="77">
        <v>0</v>
      </c>
      <c r="L43" s="77">
        <v>0</v>
      </c>
      <c r="M43" s="77">
        <v>0</v>
      </c>
      <c r="N43" s="77">
        <v>0</v>
      </c>
      <c r="O43" s="77">
        <v>0</v>
      </c>
      <c r="P43" s="77">
        <v>0</v>
      </c>
      <c r="Q43" s="77">
        <v>0</v>
      </c>
      <c r="R43" s="77">
        <v>0</v>
      </c>
      <c r="S43" s="77">
        <v>0</v>
      </c>
      <c r="T43" s="77">
        <v>0</v>
      </c>
      <c r="U43" s="77">
        <v>0</v>
      </c>
    </row>
    <row r="44" spans="2:21">
      <c r="F44" s="56">
        <f>F45-1</f>
        <v>-1</v>
      </c>
      <c r="G44" s="56">
        <v>105000</v>
      </c>
      <c r="J44" s="77">
        <v>0</v>
      </c>
      <c r="K44" s="77">
        <v>0</v>
      </c>
      <c r="L44" s="77">
        <v>0</v>
      </c>
      <c r="M44" s="77">
        <v>0</v>
      </c>
      <c r="N44" s="77">
        <v>0</v>
      </c>
      <c r="O44" s="77">
        <v>0</v>
      </c>
      <c r="P44" s="77">
        <v>0</v>
      </c>
      <c r="Q44" s="77">
        <v>0</v>
      </c>
      <c r="R44" s="77">
        <v>0</v>
      </c>
      <c r="S44" s="77">
        <v>0</v>
      </c>
      <c r="T44" s="77">
        <v>0</v>
      </c>
      <c r="U44" s="77">
        <v>0</v>
      </c>
    </row>
    <row r="45" spans="2:21">
      <c r="F45" s="56">
        <f>F46-1</f>
        <v>0</v>
      </c>
      <c r="G45" s="56">
        <v>105000</v>
      </c>
      <c r="J45" s="78">
        <v>0.5</v>
      </c>
      <c r="K45" s="78">
        <v>0</v>
      </c>
      <c r="L45" s="78">
        <v>0</v>
      </c>
      <c r="M45" s="78">
        <v>0</v>
      </c>
      <c r="N45" s="78">
        <v>0</v>
      </c>
      <c r="O45" s="78">
        <v>0</v>
      </c>
      <c r="P45" s="78">
        <v>0</v>
      </c>
      <c r="Q45" s="78">
        <v>0</v>
      </c>
      <c r="R45" s="78">
        <v>0</v>
      </c>
      <c r="S45" s="78">
        <v>0</v>
      </c>
      <c r="T45" s="78">
        <v>0</v>
      </c>
      <c r="U45" s="78">
        <v>0</v>
      </c>
    </row>
    <row r="46" spans="2:21">
      <c r="F46" cm="1">
        <f t="array" ref="F46:F57" xml:space="preserve"> _xlfn.SEQUENCE( periods, 1, 1, 1 )</f>
        <v>1</v>
      </c>
      <c r="G46" s="62" cm="1">
        <f t="array" ref="G46:G57" xml:space="preserve"> _xlfn.LET(
      _xlpm.revenue_table, CaseData!$C$7:$N$20,
      _xlpm.revenue_rows, CaseData!$A$7:$A$20,
      _xlpm.revenue_columns, CaseData!$C$3:$N$3,
      _xlpm.current_retailer, $C38,
      _xlpm.current_month,_xlfn.ANCHORARRAY( 'Accounts Receivables'!$J$3),
      _xlpm.revenue, INDEX( _xlpm.revenue_table, MATCH( _xlpm.current_retailer, _xlpm.revenue_rows, 0 ), MATCH( _xlpm.current_month, _xlpm.revenue_columns, 0 ) ),
      TRANSPOSE( _xlpm.revenue ) )</f>
        <v>105000</v>
      </c>
      <c r="J46" s="77">
        <v>1</v>
      </c>
      <c r="K46" s="77">
        <v>0.5</v>
      </c>
      <c r="L46" s="77">
        <v>0</v>
      </c>
      <c r="M46" s="77">
        <v>0</v>
      </c>
      <c r="N46" s="77">
        <v>0</v>
      </c>
      <c r="O46" s="77">
        <v>0</v>
      </c>
      <c r="P46" s="77">
        <v>0</v>
      </c>
      <c r="Q46" s="77">
        <v>0</v>
      </c>
      <c r="R46" s="77">
        <v>0</v>
      </c>
      <c r="S46" s="77">
        <v>0</v>
      </c>
      <c r="T46" s="77">
        <v>0</v>
      </c>
      <c r="U46" s="77">
        <v>0</v>
      </c>
    </row>
    <row r="47" spans="2:21">
      <c r="F47">
        <v>2</v>
      </c>
      <c r="G47" s="62">
        <v>114545</v>
      </c>
      <c r="J47" s="77">
        <v>0</v>
      </c>
      <c r="K47" s="77">
        <v>1</v>
      </c>
      <c r="L47" s="77">
        <v>0.5</v>
      </c>
      <c r="M47" s="77">
        <v>0</v>
      </c>
      <c r="N47" s="77">
        <v>0</v>
      </c>
      <c r="O47" s="77">
        <v>0</v>
      </c>
      <c r="P47" s="77">
        <v>0</v>
      </c>
      <c r="Q47" s="77">
        <v>0</v>
      </c>
      <c r="R47" s="77">
        <v>0</v>
      </c>
      <c r="S47" s="77">
        <v>0</v>
      </c>
      <c r="T47" s="77">
        <v>0</v>
      </c>
      <c r="U47" s="77">
        <v>0</v>
      </c>
    </row>
    <row r="48" spans="2:21">
      <c r="F48">
        <v>3</v>
      </c>
      <c r="G48" s="62">
        <v>124091</v>
      </c>
      <c r="J48" s="77">
        <v>0</v>
      </c>
      <c r="K48" s="77">
        <v>0</v>
      </c>
      <c r="L48" s="77">
        <v>1</v>
      </c>
      <c r="M48" s="77">
        <v>0.5</v>
      </c>
      <c r="N48" s="77">
        <v>0</v>
      </c>
      <c r="O48" s="77">
        <v>0</v>
      </c>
      <c r="P48" s="77">
        <v>0</v>
      </c>
      <c r="Q48" s="77">
        <v>0</v>
      </c>
      <c r="R48" s="77">
        <v>0</v>
      </c>
      <c r="S48" s="77">
        <v>0</v>
      </c>
      <c r="T48" s="77">
        <v>0</v>
      </c>
      <c r="U48" s="77">
        <v>0</v>
      </c>
    </row>
    <row r="49" spans="2:21">
      <c r="F49">
        <v>4</v>
      </c>
      <c r="G49" s="62">
        <v>133636</v>
      </c>
      <c r="J49" s="77">
        <v>0</v>
      </c>
      <c r="K49" s="77">
        <v>0</v>
      </c>
      <c r="L49" s="77">
        <v>0</v>
      </c>
      <c r="M49" s="77">
        <v>1</v>
      </c>
      <c r="N49" s="77">
        <v>0.5</v>
      </c>
      <c r="O49" s="77">
        <v>0</v>
      </c>
      <c r="P49" s="77">
        <v>0</v>
      </c>
      <c r="Q49" s="77">
        <v>0</v>
      </c>
      <c r="R49" s="77">
        <v>0</v>
      </c>
      <c r="S49" s="77">
        <v>0</v>
      </c>
      <c r="T49" s="77">
        <v>0</v>
      </c>
      <c r="U49" s="77">
        <v>0</v>
      </c>
    </row>
    <row r="50" spans="2:21">
      <c r="F50">
        <v>5</v>
      </c>
      <c r="G50" s="62">
        <v>143182</v>
      </c>
      <c r="J50" s="77">
        <v>0</v>
      </c>
      <c r="K50" s="77">
        <v>0</v>
      </c>
      <c r="L50" s="77">
        <v>0</v>
      </c>
      <c r="M50" s="77">
        <v>0</v>
      </c>
      <c r="N50" s="77">
        <v>1</v>
      </c>
      <c r="O50" s="77">
        <v>0.5</v>
      </c>
      <c r="P50" s="77">
        <v>0</v>
      </c>
      <c r="Q50" s="77">
        <v>0</v>
      </c>
      <c r="R50" s="77">
        <v>0</v>
      </c>
      <c r="S50" s="77">
        <v>0</v>
      </c>
      <c r="T50" s="77">
        <v>0</v>
      </c>
      <c r="U50" s="77">
        <v>0</v>
      </c>
    </row>
    <row r="51" spans="2:21">
      <c r="F51">
        <v>6</v>
      </c>
      <c r="G51" s="62">
        <v>152727</v>
      </c>
      <c r="J51" s="77">
        <v>0</v>
      </c>
      <c r="K51" s="77">
        <v>0</v>
      </c>
      <c r="L51" s="77">
        <v>0</v>
      </c>
      <c r="M51" s="77">
        <v>0</v>
      </c>
      <c r="N51" s="77">
        <v>0</v>
      </c>
      <c r="O51" s="77">
        <v>1</v>
      </c>
      <c r="P51" s="77">
        <v>0.5</v>
      </c>
      <c r="Q51" s="77">
        <v>0</v>
      </c>
      <c r="R51" s="77">
        <v>0</v>
      </c>
      <c r="S51" s="77">
        <v>0</v>
      </c>
      <c r="T51" s="77">
        <v>0</v>
      </c>
      <c r="U51" s="77">
        <v>0</v>
      </c>
    </row>
    <row r="52" spans="2:21">
      <c r="F52">
        <v>7</v>
      </c>
      <c r="G52" s="62">
        <v>160273</v>
      </c>
      <c r="J52" s="77">
        <v>0</v>
      </c>
      <c r="K52" s="77">
        <v>0</v>
      </c>
      <c r="L52" s="77">
        <v>0</v>
      </c>
      <c r="M52" s="77">
        <v>0</v>
      </c>
      <c r="N52" s="77">
        <v>0</v>
      </c>
      <c r="O52" s="77">
        <v>0</v>
      </c>
      <c r="P52" s="77">
        <v>1</v>
      </c>
      <c r="Q52" s="77">
        <v>0.5</v>
      </c>
      <c r="R52" s="77">
        <v>0</v>
      </c>
      <c r="S52" s="77">
        <v>0</v>
      </c>
      <c r="T52" s="77">
        <v>0</v>
      </c>
      <c r="U52" s="77">
        <v>0</v>
      </c>
    </row>
    <row r="53" spans="2:21">
      <c r="F53">
        <v>8</v>
      </c>
      <c r="G53" s="62">
        <v>171818</v>
      </c>
      <c r="J53" s="77">
        <v>0</v>
      </c>
      <c r="K53" s="77">
        <v>0</v>
      </c>
      <c r="L53" s="77">
        <v>0</v>
      </c>
      <c r="M53" s="77">
        <v>0</v>
      </c>
      <c r="N53" s="77">
        <v>0</v>
      </c>
      <c r="O53" s="77">
        <v>0</v>
      </c>
      <c r="P53" s="77">
        <v>0</v>
      </c>
      <c r="Q53" s="77">
        <v>1</v>
      </c>
      <c r="R53" s="77">
        <v>0.5</v>
      </c>
      <c r="S53" s="77">
        <v>0</v>
      </c>
      <c r="T53" s="77">
        <v>0</v>
      </c>
      <c r="U53" s="77">
        <v>0</v>
      </c>
    </row>
    <row r="54" spans="2:21">
      <c r="F54">
        <v>9</v>
      </c>
      <c r="G54" s="62">
        <v>181364</v>
      </c>
      <c r="J54" s="77">
        <v>0</v>
      </c>
      <c r="K54" s="77">
        <v>0</v>
      </c>
      <c r="L54" s="77">
        <v>0</v>
      </c>
      <c r="M54" s="77">
        <v>0</v>
      </c>
      <c r="N54" s="77">
        <v>0</v>
      </c>
      <c r="O54" s="77">
        <v>0</v>
      </c>
      <c r="P54" s="77">
        <v>0</v>
      </c>
      <c r="Q54" s="77">
        <v>0</v>
      </c>
      <c r="R54" s="77">
        <v>1</v>
      </c>
      <c r="S54" s="77">
        <v>0.5</v>
      </c>
      <c r="T54" s="77">
        <v>0</v>
      </c>
      <c r="U54" s="77">
        <v>0</v>
      </c>
    </row>
    <row r="55" spans="2:21">
      <c r="F55">
        <v>10</v>
      </c>
      <c r="G55" s="62">
        <v>190909</v>
      </c>
      <c r="J55" s="77">
        <v>0</v>
      </c>
      <c r="K55" s="77">
        <v>0</v>
      </c>
      <c r="L55" s="77">
        <v>0</v>
      </c>
      <c r="M55" s="77">
        <v>0</v>
      </c>
      <c r="N55" s="77">
        <v>0</v>
      </c>
      <c r="O55" s="77">
        <v>0</v>
      </c>
      <c r="P55" s="77">
        <v>0</v>
      </c>
      <c r="Q55" s="77">
        <v>0</v>
      </c>
      <c r="R55" s="77">
        <v>0</v>
      </c>
      <c r="S55" s="77">
        <v>1</v>
      </c>
      <c r="T55" s="77">
        <v>0.5</v>
      </c>
      <c r="U55" s="77">
        <v>0</v>
      </c>
    </row>
    <row r="56" spans="2:21">
      <c r="F56">
        <v>11</v>
      </c>
      <c r="G56" s="62">
        <v>198455</v>
      </c>
      <c r="J56" s="77">
        <v>0</v>
      </c>
      <c r="K56" s="77">
        <v>0</v>
      </c>
      <c r="L56" s="77">
        <v>0</v>
      </c>
      <c r="M56" s="77">
        <v>0</v>
      </c>
      <c r="N56" s="77">
        <v>0</v>
      </c>
      <c r="O56" s="77">
        <v>0</v>
      </c>
      <c r="P56" s="77">
        <v>0</v>
      </c>
      <c r="Q56" s="77">
        <v>0</v>
      </c>
      <c r="R56" s="77">
        <v>0</v>
      </c>
      <c r="S56" s="77">
        <v>0</v>
      </c>
      <c r="T56" s="77">
        <v>1</v>
      </c>
      <c r="U56" s="77">
        <v>0.5</v>
      </c>
    </row>
    <row r="57" spans="2:21">
      <c r="F57">
        <v>12</v>
      </c>
      <c r="G57" s="62">
        <v>210000</v>
      </c>
      <c r="J57" s="77">
        <v>0</v>
      </c>
      <c r="K57" s="77">
        <v>0</v>
      </c>
      <c r="L57" s="77">
        <v>0</v>
      </c>
      <c r="M57" s="77">
        <v>0</v>
      </c>
      <c r="N57" s="77">
        <v>0</v>
      </c>
      <c r="O57" s="77">
        <v>0</v>
      </c>
      <c r="P57" s="77">
        <v>0</v>
      </c>
      <c r="Q57" s="77">
        <v>0</v>
      </c>
      <c r="R57" s="77">
        <v>0</v>
      </c>
      <c r="S57" s="77">
        <v>0</v>
      </c>
      <c r="T57" s="77">
        <v>0</v>
      </c>
      <c r="U57" s="77">
        <v>1</v>
      </c>
    </row>
    <row r="58" spans="2:21">
      <c r="E58" s="72" t="s">
        <v>66</v>
      </c>
      <c r="F58" s="73"/>
      <c r="G58" s="73"/>
      <c r="H58" s="73"/>
      <c r="I58" s="73"/>
      <c r="J58" s="73" cm="1">
        <f t="array" ref="J58:U58">_xlfn.BYCOL(_xlfn.ANCHORARRAY( $J43), _xlfn.LAMBDA(_xlpm.month_col, SUMPRODUCT( $G43:$G57, _xlpm.month_col ) ) )</f>
        <v>157500</v>
      </c>
      <c r="K58" s="73">
        <v>167045</v>
      </c>
      <c r="L58" s="73">
        <v>181363.5</v>
      </c>
      <c r="M58" s="73">
        <v>195681.5</v>
      </c>
      <c r="N58" s="73">
        <v>210000</v>
      </c>
      <c r="O58" s="73">
        <v>224318</v>
      </c>
      <c r="P58" s="73">
        <v>236636.5</v>
      </c>
      <c r="Q58" s="73">
        <v>251954.5</v>
      </c>
      <c r="R58" s="73">
        <v>267273</v>
      </c>
      <c r="S58" s="73">
        <v>281591</v>
      </c>
      <c r="T58" s="73">
        <v>293909.5</v>
      </c>
      <c r="U58" s="73">
        <v>309227.5</v>
      </c>
    </row>
    <row r="59" spans="2:21">
      <c r="B59" s="60"/>
    </row>
    <row r="60" spans="2:21">
      <c r="B60" s="60"/>
    </row>
    <row r="61" spans="2:21">
      <c r="E61" t="s">
        <v>67</v>
      </c>
      <c r="G61" t="s">
        <v>81</v>
      </c>
      <c r="J61" cm="1">
        <f t="array" ref="J61:U61" xml:space="preserve"> _xlfn.DROP( _xlfn.HSTACK( SUM(_xlfn.ANCHORARRAY( G43) ) / 3 * $F40,_xlfn.ANCHORARRAY( J64) ),, -1 )</f>
        <v>157500</v>
      </c>
      <c r="K61">
        <v>157500</v>
      </c>
      <c r="L61">
        <v>167045</v>
      </c>
      <c r="M61">
        <v>181363.5</v>
      </c>
      <c r="N61">
        <v>195681.5</v>
      </c>
      <c r="O61">
        <v>210000</v>
      </c>
      <c r="P61">
        <v>224318</v>
      </c>
      <c r="Q61">
        <v>236636.5</v>
      </c>
      <c r="R61">
        <v>251954.5</v>
      </c>
      <c r="S61">
        <v>267273</v>
      </c>
      <c r="T61">
        <v>281591</v>
      </c>
      <c r="U61">
        <v>293909.5</v>
      </c>
    </row>
    <row r="62" spans="2:21">
      <c r="B62" s="59"/>
      <c r="D62" s="71" t="s">
        <v>69</v>
      </c>
      <c r="E62" s="70" t="s">
        <v>64</v>
      </c>
      <c r="G62" t="s">
        <v>81</v>
      </c>
      <c r="J62" cm="1">
        <f t="array" ref="J62:U62" xml:space="preserve"> TRANSPOSE(_xlfn.ANCHORARRAY( G46))</f>
        <v>105000</v>
      </c>
      <c r="K62">
        <v>114545</v>
      </c>
      <c r="L62">
        <v>124091</v>
      </c>
      <c r="M62">
        <v>133636</v>
      </c>
      <c r="N62">
        <v>143182</v>
      </c>
      <c r="O62">
        <v>152727</v>
      </c>
      <c r="P62">
        <v>160273</v>
      </c>
      <c r="Q62">
        <v>171818</v>
      </c>
      <c r="R62">
        <v>181364</v>
      </c>
      <c r="S62">
        <v>190909</v>
      </c>
      <c r="T62">
        <v>198455</v>
      </c>
      <c r="U62">
        <v>210000</v>
      </c>
    </row>
    <row r="63" spans="2:21">
      <c r="B63" s="60"/>
      <c r="D63" s="71" t="s">
        <v>68</v>
      </c>
      <c r="E63" s="70" t="s">
        <v>120</v>
      </c>
      <c r="G63" t="s">
        <v>81</v>
      </c>
      <c r="J63" cm="1">
        <f t="array" ref="J63:U63" xml:space="preserve"> _xlfn.LET(
      _xlpm.ar_opening,_xlfn.ANCHORARRAY( J61),
      _xlpm.revenue,_xlfn.ANCHORARRAY( J62),
      _xlpm.ar_closing,_xlfn.ANCHORARRAY( J64),
      ( _xlpm.ar_opening + _xlpm.revenue - _xlpm.ar_closing ) * - 1)</f>
        <v>-105000</v>
      </c>
      <c r="K63">
        <v>-105000</v>
      </c>
      <c r="L63">
        <v>-109772.5</v>
      </c>
      <c r="M63">
        <v>-119318</v>
      </c>
      <c r="N63">
        <v>-128863.5</v>
      </c>
      <c r="O63">
        <v>-138409</v>
      </c>
      <c r="P63">
        <v>-147954.5</v>
      </c>
      <c r="Q63">
        <v>-156500</v>
      </c>
      <c r="R63">
        <v>-166045.5</v>
      </c>
      <c r="S63">
        <v>-176591</v>
      </c>
      <c r="T63">
        <v>-186136.5</v>
      </c>
      <c r="U63">
        <v>-194682</v>
      </c>
    </row>
    <row r="64" spans="2:21">
      <c r="B64" s="60"/>
      <c r="E64" s="74" t="s">
        <v>71</v>
      </c>
      <c r="F64" s="75"/>
      <c r="G64" s="75" t="s">
        <v>81</v>
      </c>
      <c r="H64" s="75"/>
      <c r="I64" s="75"/>
      <c r="J64" s="75" cm="1">
        <f t="array" ref="J64:U64">J58:U58</f>
        <v>157500</v>
      </c>
      <c r="K64" s="75">
        <v>167045</v>
      </c>
      <c r="L64" s="75">
        <v>181363.5</v>
      </c>
      <c r="M64" s="75">
        <v>195681.5</v>
      </c>
      <c r="N64" s="75">
        <v>210000</v>
      </c>
      <c r="O64" s="75">
        <v>224318</v>
      </c>
      <c r="P64" s="75">
        <v>236636.5</v>
      </c>
      <c r="Q64" s="75">
        <v>251954.5</v>
      </c>
      <c r="R64" s="75">
        <v>267273</v>
      </c>
      <c r="S64" s="75">
        <v>281591</v>
      </c>
      <c r="T64" s="75">
        <v>293909.5</v>
      </c>
      <c r="U64" s="75">
        <v>309227.5</v>
      </c>
    </row>
    <row r="67" spans="3:21">
      <c r="C67" s="76" t="s">
        <v>12</v>
      </c>
    </row>
    <row r="69" spans="3:21">
      <c r="E69" t="s">
        <v>62</v>
      </c>
      <c r="F69" s="67">
        <f>INDEX( CaseData!$C$63:$C$65, MATCH( 'Accounts Receivables'!$C67, CaseData!$A$63:$A$65, 0 ) ) / days_per_month</f>
        <v>2</v>
      </c>
      <c r="G69" t="s">
        <v>50</v>
      </c>
    </row>
    <row r="70" spans="3:21">
      <c r="F70" s="61"/>
    </row>
    <row r="71" spans="3:21">
      <c r="F71" s="63" t="s">
        <v>63</v>
      </c>
      <c r="G71" s="64" t="s">
        <v>64</v>
      </c>
      <c r="J71" s="80" cm="1">
        <f t="array" ref="J71:U71">_xlfn.SEQUENCE( 1, periods, 1, 1 )</f>
        <v>1</v>
      </c>
      <c r="K71" s="80">
        <v>2</v>
      </c>
      <c r="L71" s="80">
        <v>3</v>
      </c>
      <c r="M71" s="80">
        <v>4</v>
      </c>
      <c r="N71" s="80">
        <v>5</v>
      </c>
      <c r="O71" s="80">
        <v>6</v>
      </c>
      <c r="P71" s="80">
        <v>7</v>
      </c>
      <c r="Q71" s="80">
        <v>8</v>
      </c>
      <c r="R71" s="80">
        <v>9</v>
      </c>
      <c r="S71" s="80">
        <v>10</v>
      </c>
      <c r="T71" s="80">
        <v>11</v>
      </c>
      <c r="U71" s="80">
        <v>12</v>
      </c>
    </row>
    <row r="72" spans="3:21">
      <c r="F72" s="69">
        <f>F73-1</f>
        <v>-2</v>
      </c>
      <c r="G72" s="56" cm="1">
        <f t="array" ref="G72:G74">_xlfn.SEQUENCE( $F$11, 1, $G75, 0 )</f>
        <v>195000</v>
      </c>
      <c r="J72" s="77" cm="1">
        <f t="array" ref="J72:U86">IF(_xlfn.ANCHORARRAY( J71) - $F$14:$F$28 &lt; 0, 0, IF(_xlfn.ANCHORARRAY( J71) - $F$14:$F$28 &lt; INT($F$69), 1, IF(_xlfn.ANCHORARRAY( J71) - $F$14:$F$28 &lt; $F$69, MOD($F$69, 1), 0 ) ) )</f>
        <v>0</v>
      </c>
      <c r="K72" s="77">
        <v>0</v>
      </c>
      <c r="L72" s="77">
        <v>0</v>
      </c>
      <c r="M72" s="77">
        <v>0</v>
      </c>
      <c r="N72" s="77">
        <v>0</v>
      </c>
      <c r="O72" s="77">
        <v>0</v>
      </c>
      <c r="P72" s="77">
        <v>0</v>
      </c>
      <c r="Q72" s="77">
        <v>0</v>
      </c>
      <c r="R72" s="77">
        <v>0</v>
      </c>
      <c r="S72" s="77">
        <v>0</v>
      </c>
      <c r="T72" s="77">
        <v>0</v>
      </c>
      <c r="U72" s="77">
        <v>0</v>
      </c>
    </row>
    <row r="73" spans="3:21">
      <c r="F73" s="56">
        <f>F74-1</f>
        <v>-1</v>
      </c>
      <c r="G73" s="56">
        <v>195000</v>
      </c>
      <c r="J73" s="77">
        <v>0</v>
      </c>
      <c r="K73" s="77">
        <v>0</v>
      </c>
      <c r="L73" s="77">
        <v>0</v>
      </c>
      <c r="M73" s="77">
        <v>0</v>
      </c>
      <c r="N73" s="77">
        <v>0</v>
      </c>
      <c r="O73" s="77">
        <v>0</v>
      </c>
      <c r="P73" s="77">
        <v>0</v>
      </c>
      <c r="Q73" s="77">
        <v>0</v>
      </c>
      <c r="R73" s="77">
        <v>0</v>
      </c>
      <c r="S73" s="77">
        <v>0</v>
      </c>
      <c r="T73" s="77">
        <v>0</v>
      </c>
      <c r="U73" s="77">
        <v>0</v>
      </c>
    </row>
    <row r="74" spans="3:21">
      <c r="F74" s="56">
        <f>F75-1</f>
        <v>0</v>
      </c>
      <c r="G74" s="56">
        <v>195000</v>
      </c>
      <c r="J74" s="78">
        <v>1</v>
      </c>
      <c r="K74" s="78">
        <v>0</v>
      </c>
      <c r="L74" s="78">
        <v>0</v>
      </c>
      <c r="M74" s="78">
        <v>0</v>
      </c>
      <c r="N74" s="78">
        <v>0</v>
      </c>
      <c r="O74" s="78">
        <v>0</v>
      </c>
      <c r="P74" s="78">
        <v>0</v>
      </c>
      <c r="Q74" s="78">
        <v>0</v>
      </c>
      <c r="R74" s="78">
        <v>0</v>
      </c>
      <c r="S74" s="78">
        <v>0</v>
      </c>
      <c r="T74" s="78">
        <v>0</v>
      </c>
      <c r="U74" s="78">
        <v>0</v>
      </c>
    </row>
    <row r="75" spans="3:21">
      <c r="F75" cm="1">
        <f t="array" ref="F75:F86" xml:space="preserve"> _xlfn.SEQUENCE( periods, 1, 1, 1 )</f>
        <v>1</v>
      </c>
      <c r="G75" s="62" cm="1">
        <f t="array" ref="G75:G86" xml:space="preserve"> _xlfn.LET(
      _xlpm.revenue_table, CaseData!$C$7:$N$20,
      _xlpm.revenue_rows, CaseData!$A$7:$A$20,
      _xlpm.revenue_columns, CaseData!$C$3:$N$3,
      _xlpm.current_retailer, $C67,
      _xlpm.current_month,_xlfn.ANCHORARRAY( 'Accounts Receivables'!$J$3),
      _xlpm.revenue, INDEX( _xlpm.revenue_table, MATCH( _xlpm.current_retailer, _xlpm.revenue_rows, 0 ), MATCH( _xlpm.current_month, _xlpm.revenue_columns, 0 ) ),
      TRANSPOSE( _xlpm.revenue ) )</f>
        <v>195000</v>
      </c>
      <c r="J75" s="77">
        <v>1</v>
      </c>
      <c r="K75" s="77">
        <v>1</v>
      </c>
      <c r="L75" s="77">
        <v>0</v>
      </c>
      <c r="M75" s="77">
        <v>0</v>
      </c>
      <c r="N75" s="77">
        <v>0</v>
      </c>
      <c r="O75" s="77">
        <v>0</v>
      </c>
      <c r="P75" s="77">
        <v>0</v>
      </c>
      <c r="Q75" s="77">
        <v>0</v>
      </c>
      <c r="R75" s="77">
        <v>0</v>
      </c>
      <c r="S75" s="77">
        <v>0</v>
      </c>
      <c r="T75" s="77">
        <v>0</v>
      </c>
      <c r="U75" s="77">
        <v>0</v>
      </c>
    </row>
    <row r="76" spans="3:21">
      <c r="F76">
        <v>2</v>
      </c>
      <c r="G76" s="62">
        <v>210727</v>
      </c>
      <c r="J76" s="77">
        <v>0</v>
      </c>
      <c r="K76" s="77">
        <v>1</v>
      </c>
      <c r="L76" s="77">
        <v>1</v>
      </c>
      <c r="M76" s="77">
        <v>0</v>
      </c>
      <c r="N76" s="77">
        <v>0</v>
      </c>
      <c r="O76" s="77">
        <v>0</v>
      </c>
      <c r="P76" s="77">
        <v>0</v>
      </c>
      <c r="Q76" s="77">
        <v>0</v>
      </c>
      <c r="R76" s="77">
        <v>0</v>
      </c>
      <c r="S76" s="77">
        <v>0</v>
      </c>
      <c r="T76" s="77">
        <v>0</v>
      </c>
      <c r="U76" s="77">
        <v>0</v>
      </c>
    </row>
    <row r="77" spans="3:21">
      <c r="F77">
        <v>3</v>
      </c>
      <c r="G77" s="62">
        <v>228455</v>
      </c>
      <c r="J77" s="77">
        <v>0</v>
      </c>
      <c r="K77" s="77">
        <v>0</v>
      </c>
      <c r="L77" s="77">
        <v>1</v>
      </c>
      <c r="M77" s="77">
        <v>1</v>
      </c>
      <c r="N77" s="77">
        <v>0</v>
      </c>
      <c r="O77" s="77">
        <v>0</v>
      </c>
      <c r="P77" s="77">
        <v>0</v>
      </c>
      <c r="Q77" s="77">
        <v>0</v>
      </c>
      <c r="R77" s="77">
        <v>0</v>
      </c>
      <c r="S77" s="77">
        <v>0</v>
      </c>
      <c r="T77" s="77">
        <v>0</v>
      </c>
      <c r="U77" s="77">
        <v>0</v>
      </c>
    </row>
    <row r="78" spans="3:21">
      <c r="F78">
        <v>4</v>
      </c>
      <c r="G78" s="62">
        <v>248182</v>
      </c>
      <c r="J78" s="77">
        <v>0</v>
      </c>
      <c r="K78" s="77">
        <v>0</v>
      </c>
      <c r="L78" s="77">
        <v>0</v>
      </c>
      <c r="M78" s="77">
        <v>1</v>
      </c>
      <c r="N78" s="77">
        <v>1</v>
      </c>
      <c r="O78" s="77">
        <v>0</v>
      </c>
      <c r="P78" s="77">
        <v>0</v>
      </c>
      <c r="Q78" s="77">
        <v>0</v>
      </c>
      <c r="R78" s="77">
        <v>0</v>
      </c>
      <c r="S78" s="77">
        <v>0</v>
      </c>
      <c r="T78" s="77">
        <v>0</v>
      </c>
      <c r="U78" s="77">
        <v>0</v>
      </c>
    </row>
    <row r="79" spans="3:21">
      <c r="F79">
        <v>5</v>
      </c>
      <c r="G79" s="62">
        <v>265910</v>
      </c>
      <c r="J79" s="77">
        <v>0</v>
      </c>
      <c r="K79" s="77">
        <v>0</v>
      </c>
      <c r="L79" s="77">
        <v>0</v>
      </c>
      <c r="M79" s="77">
        <v>0</v>
      </c>
      <c r="N79" s="77">
        <v>1</v>
      </c>
      <c r="O79" s="77">
        <v>1</v>
      </c>
      <c r="P79" s="77">
        <v>0</v>
      </c>
      <c r="Q79" s="77">
        <v>0</v>
      </c>
      <c r="R79" s="77">
        <v>0</v>
      </c>
      <c r="S79" s="77">
        <v>0</v>
      </c>
      <c r="T79" s="77">
        <v>0</v>
      </c>
      <c r="U79" s="77">
        <v>0</v>
      </c>
    </row>
    <row r="80" spans="3:21">
      <c r="F80">
        <v>6</v>
      </c>
      <c r="G80" s="62">
        <v>283637</v>
      </c>
      <c r="J80" s="77">
        <v>0</v>
      </c>
      <c r="K80" s="77">
        <v>0</v>
      </c>
      <c r="L80" s="77">
        <v>0</v>
      </c>
      <c r="M80" s="77">
        <v>0</v>
      </c>
      <c r="N80" s="77">
        <v>0</v>
      </c>
      <c r="O80" s="77">
        <v>1</v>
      </c>
      <c r="P80" s="77">
        <v>1</v>
      </c>
      <c r="Q80" s="77">
        <v>0</v>
      </c>
      <c r="R80" s="77">
        <v>0</v>
      </c>
      <c r="S80" s="77">
        <v>0</v>
      </c>
      <c r="T80" s="77">
        <v>0</v>
      </c>
      <c r="U80" s="77">
        <v>0</v>
      </c>
    </row>
    <row r="81" spans="1:21">
      <c r="F81">
        <v>7</v>
      </c>
      <c r="G81" s="62">
        <v>301363</v>
      </c>
      <c r="J81" s="77">
        <v>0</v>
      </c>
      <c r="K81" s="77">
        <v>0</v>
      </c>
      <c r="L81" s="77">
        <v>0</v>
      </c>
      <c r="M81" s="77">
        <v>0</v>
      </c>
      <c r="N81" s="77">
        <v>0</v>
      </c>
      <c r="O81" s="77">
        <v>0</v>
      </c>
      <c r="P81" s="77">
        <v>1</v>
      </c>
      <c r="Q81" s="77">
        <v>1</v>
      </c>
      <c r="R81" s="77">
        <v>0</v>
      </c>
      <c r="S81" s="77">
        <v>0</v>
      </c>
      <c r="T81" s="77">
        <v>0</v>
      </c>
      <c r="U81" s="77">
        <v>0</v>
      </c>
    </row>
    <row r="82" spans="1:21">
      <c r="F82">
        <v>8</v>
      </c>
      <c r="G82" s="62">
        <v>319090</v>
      </c>
      <c r="J82" s="77">
        <v>0</v>
      </c>
      <c r="K82" s="77">
        <v>0</v>
      </c>
      <c r="L82" s="77">
        <v>0</v>
      </c>
      <c r="M82" s="77">
        <v>0</v>
      </c>
      <c r="N82" s="77">
        <v>0</v>
      </c>
      <c r="O82" s="77">
        <v>0</v>
      </c>
      <c r="P82" s="77">
        <v>0</v>
      </c>
      <c r="Q82" s="77">
        <v>1</v>
      </c>
      <c r="R82" s="77">
        <v>1</v>
      </c>
      <c r="S82" s="77">
        <v>0</v>
      </c>
      <c r="T82" s="77">
        <v>0</v>
      </c>
      <c r="U82" s="77">
        <v>0</v>
      </c>
    </row>
    <row r="83" spans="1:21">
      <c r="F83">
        <v>9</v>
      </c>
      <c r="G83" s="62">
        <v>336818</v>
      </c>
      <c r="J83" s="77">
        <v>0</v>
      </c>
      <c r="K83" s="77">
        <v>0</v>
      </c>
      <c r="L83" s="77">
        <v>0</v>
      </c>
      <c r="M83" s="77">
        <v>0</v>
      </c>
      <c r="N83" s="77">
        <v>0</v>
      </c>
      <c r="O83" s="77">
        <v>0</v>
      </c>
      <c r="P83" s="77">
        <v>0</v>
      </c>
      <c r="Q83" s="77">
        <v>0</v>
      </c>
      <c r="R83" s="77">
        <v>1</v>
      </c>
      <c r="S83" s="77">
        <v>1</v>
      </c>
      <c r="T83" s="77">
        <v>0</v>
      </c>
      <c r="U83" s="77">
        <v>0</v>
      </c>
    </row>
    <row r="84" spans="1:21">
      <c r="F84">
        <v>10</v>
      </c>
      <c r="G84" s="62">
        <v>354545</v>
      </c>
      <c r="J84" s="77">
        <v>0</v>
      </c>
      <c r="K84" s="77">
        <v>0</v>
      </c>
      <c r="L84" s="77">
        <v>0</v>
      </c>
      <c r="M84" s="77">
        <v>0</v>
      </c>
      <c r="N84" s="77">
        <v>0</v>
      </c>
      <c r="O84" s="77">
        <v>0</v>
      </c>
      <c r="P84" s="77">
        <v>0</v>
      </c>
      <c r="Q84" s="77">
        <v>0</v>
      </c>
      <c r="R84" s="77">
        <v>0</v>
      </c>
      <c r="S84" s="77">
        <v>1</v>
      </c>
      <c r="T84" s="77">
        <v>1</v>
      </c>
      <c r="U84" s="77">
        <v>0</v>
      </c>
    </row>
    <row r="85" spans="1:21">
      <c r="F85">
        <v>11</v>
      </c>
      <c r="G85" s="62">
        <v>372273</v>
      </c>
      <c r="J85" s="77">
        <v>0</v>
      </c>
      <c r="K85" s="77">
        <v>0</v>
      </c>
      <c r="L85" s="77">
        <v>0</v>
      </c>
      <c r="M85" s="77">
        <v>0</v>
      </c>
      <c r="N85" s="77">
        <v>0</v>
      </c>
      <c r="O85" s="77">
        <v>0</v>
      </c>
      <c r="P85" s="77">
        <v>0</v>
      </c>
      <c r="Q85" s="77">
        <v>0</v>
      </c>
      <c r="R85" s="77">
        <v>0</v>
      </c>
      <c r="S85" s="77">
        <v>0</v>
      </c>
      <c r="T85" s="77">
        <v>1</v>
      </c>
      <c r="U85" s="77">
        <v>1</v>
      </c>
    </row>
    <row r="86" spans="1:21">
      <c r="F86">
        <v>12</v>
      </c>
      <c r="G86" s="62">
        <v>389999.99999999988</v>
      </c>
      <c r="J86" s="77">
        <v>0</v>
      </c>
      <c r="K86" s="77">
        <v>0</v>
      </c>
      <c r="L86" s="77">
        <v>0</v>
      </c>
      <c r="M86" s="77">
        <v>0</v>
      </c>
      <c r="N86" s="77">
        <v>0</v>
      </c>
      <c r="O86" s="77">
        <v>0</v>
      </c>
      <c r="P86" s="77">
        <v>0</v>
      </c>
      <c r="Q86" s="77">
        <v>0</v>
      </c>
      <c r="R86" s="77">
        <v>0</v>
      </c>
      <c r="S86" s="77">
        <v>0</v>
      </c>
      <c r="T86" s="77">
        <v>0</v>
      </c>
      <c r="U86" s="77">
        <v>1</v>
      </c>
    </row>
    <row r="87" spans="1:21">
      <c r="E87" s="72" t="s">
        <v>66</v>
      </c>
      <c r="F87" s="73"/>
      <c r="G87" s="73"/>
      <c r="H87" s="73"/>
      <c r="I87" s="73"/>
      <c r="J87" s="73" cm="1">
        <f t="array" ref="J87:U87">_xlfn.BYCOL(_xlfn.ANCHORARRAY( $J72), _xlfn.LAMBDA(_xlpm.month_col, SUMPRODUCT( $G72:$G86, _xlpm.month_col ) ) )</f>
        <v>390000</v>
      </c>
      <c r="K87" s="73">
        <v>405727</v>
      </c>
      <c r="L87" s="73">
        <v>439182</v>
      </c>
      <c r="M87" s="73">
        <v>476637</v>
      </c>
      <c r="N87" s="73">
        <v>514092</v>
      </c>
      <c r="O87" s="73">
        <v>549547</v>
      </c>
      <c r="P87" s="73">
        <v>585000</v>
      </c>
      <c r="Q87" s="73">
        <v>620453</v>
      </c>
      <c r="R87" s="73">
        <v>655908</v>
      </c>
      <c r="S87" s="73">
        <v>691363</v>
      </c>
      <c r="T87" s="73">
        <v>726818</v>
      </c>
      <c r="U87" s="73">
        <v>762272.99999999988</v>
      </c>
    </row>
    <row r="88" spans="1:21">
      <c r="B88" s="60"/>
    </row>
    <row r="89" spans="1:21">
      <c r="B89" s="60"/>
    </row>
    <row r="90" spans="1:21">
      <c r="E90" t="s">
        <v>67</v>
      </c>
      <c r="G90" t="s">
        <v>81</v>
      </c>
      <c r="J90" cm="1">
        <f t="array" ref="J90:U90" xml:space="preserve"> _xlfn.DROP( _xlfn.HSTACK( SUM(_xlfn.ANCHORARRAY( G72) ) / 3 * $F69,_xlfn.ANCHORARRAY( J93) ),, -1 )</f>
        <v>390000</v>
      </c>
      <c r="K90">
        <v>390000</v>
      </c>
      <c r="L90">
        <v>405727</v>
      </c>
      <c r="M90">
        <v>439182</v>
      </c>
      <c r="N90">
        <v>476637</v>
      </c>
      <c r="O90">
        <v>514092</v>
      </c>
      <c r="P90">
        <v>549547</v>
      </c>
      <c r="Q90">
        <v>585000</v>
      </c>
      <c r="R90">
        <v>620453</v>
      </c>
      <c r="S90">
        <v>655908</v>
      </c>
      <c r="T90">
        <v>691363</v>
      </c>
      <c r="U90">
        <v>726818</v>
      </c>
    </row>
    <row r="91" spans="1:21">
      <c r="B91" s="59"/>
      <c r="D91" s="71" t="s">
        <v>69</v>
      </c>
      <c r="E91" s="70" t="s">
        <v>64</v>
      </c>
      <c r="G91" t="s">
        <v>81</v>
      </c>
      <c r="J91" cm="1">
        <f t="array" ref="J91:U91" xml:space="preserve"> TRANSPOSE(_xlfn.ANCHORARRAY( G75))</f>
        <v>195000</v>
      </c>
      <c r="K91">
        <v>210727</v>
      </c>
      <c r="L91">
        <v>228455</v>
      </c>
      <c r="M91">
        <v>248182</v>
      </c>
      <c r="N91">
        <v>265910</v>
      </c>
      <c r="O91">
        <v>283637</v>
      </c>
      <c r="P91">
        <v>301363</v>
      </c>
      <c r="Q91">
        <v>319090</v>
      </c>
      <c r="R91">
        <v>336818</v>
      </c>
      <c r="S91">
        <v>354545</v>
      </c>
      <c r="T91">
        <v>372273</v>
      </c>
      <c r="U91">
        <v>389999.99999999988</v>
      </c>
    </row>
    <row r="92" spans="1:21">
      <c r="B92" s="60"/>
      <c r="D92" s="71" t="s">
        <v>68</v>
      </c>
      <c r="E92" s="70" t="s">
        <v>120</v>
      </c>
      <c r="G92" t="s">
        <v>81</v>
      </c>
      <c r="J92" cm="1">
        <f t="array" ref="J92:U92" xml:space="preserve"> _xlfn.LET(
      _xlpm.ar_opening,_xlfn.ANCHORARRAY( J90),
      _xlpm.revenue,_xlfn.ANCHORARRAY( J91),
      _xlpm.ar_closing,_xlfn.ANCHORARRAY( J93),
      ( _xlpm.ar_opening + _xlpm.revenue - _xlpm.ar_closing ) * - 1)</f>
        <v>-195000</v>
      </c>
      <c r="K92">
        <v>-195000</v>
      </c>
      <c r="L92">
        <v>-195000</v>
      </c>
      <c r="M92">
        <v>-210727</v>
      </c>
      <c r="N92">
        <v>-228455</v>
      </c>
      <c r="O92">
        <v>-248182</v>
      </c>
      <c r="P92">
        <v>-265910</v>
      </c>
      <c r="Q92">
        <v>-283637</v>
      </c>
      <c r="R92">
        <v>-301363</v>
      </c>
      <c r="S92">
        <v>-319090</v>
      </c>
      <c r="T92">
        <v>-336818</v>
      </c>
      <c r="U92">
        <v>-354545.00000000012</v>
      </c>
    </row>
    <row r="93" spans="1:21">
      <c r="B93" s="60"/>
      <c r="E93" s="74" t="s">
        <v>72</v>
      </c>
      <c r="F93" s="75"/>
      <c r="G93" s="75" t="s">
        <v>81</v>
      </c>
      <c r="H93" s="75"/>
      <c r="I93" s="75"/>
      <c r="J93" s="75" cm="1">
        <f t="array" ref="J93:U93">J87:U87</f>
        <v>390000</v>
      </c>
      <c r="K93" s="75">
        <v>405727</v>
      </c>
      <c r="L93" s="75">
        <v>439182</v>
      </c>
      <c r="M93" s="75">
        <v>476637</v>
      </c>
      <c r="N93" s="75">
        <v>514092</v>
      </c>
      <c r="O93" s="75">
        <v>549547</v>
      </c>
      <c r="P93" s="75">
        <v>585000</v>
      </c>
      <c r="Q93" s="75">
        <v>620453</v>
      </c>
      <c r="R93" s="75">
        <v>655908</v>
      </c>
      <c r="S93" s="75">
        <v>691363</v>
      </c>
      <c r="T93" s="75">
        <v>726818</v>
      </c>
      <c r="U93" s="75">
        <v>762272.99999999988</v>
      </c>
    </row>
    <row r="96" spans="1:21" s="56" customFormat="1">
      <c r="A96" s="57" t="s">
        <v>77</v>
      </c>
    </row>
    <row r="98" spans="2:21">
      <c r="B98" s="79" t="s">
        <v>65</v>
      </c>
    </row>
    <row r="99" spans="2:21">
      <c r="B99" s="79"/>
    </row>
    <row r="100" spans="2:21">
      <c r="E100" t="s">
        <v>123</v>
      </c>
      <c r="G100" t="s">
        <v>75</v>
      </c>
      <c r="J100" cm="1">
        <f t="array" ref="J100:U100">_xlfn.ANCHORARRAY( J32) +_xlfn.ANCHORARRAY( J61) +_xlfn.ANCHORARRAY( J90)</f>
        <v>1177500</v>
      </c>
      <c r="K100">
        <v>1177500</v>
      </c>
      <c r="L100">
        <v>1221863</v>
      </c>
      <c r="M100">
        <v>1307818.5</v>
      </c>
      <c r="N100">
        <v>1416863.5</v>
      </c>
      <c r="O100">
        <v>1523910</v>
      </c>
      <c r="P100">
        <v>1630955</v>
      </c>
      <c r="Q100">
        <v>1736000.5</v>
      </c>
      <c r="R100">
        <v>1846043.5</v>
      </c>
      <c r="S100">
        <v>1952091</v>
      </c>
      <c r="T100">
        <v>2059136</v>
      </c>
      <c r="U100">
        <v>2164182.5</v>
      </c>
    </row>
    <row r="101" spans="2:21">
      <c r="E101" s="70" t="s">
        <v>64</v>
      </c>
      <c r="G101" t="s">
        <v>75</v>
      </c>
      <c r="J101" cm="1">
        <f t="array" ref="J101:U101">_xlfn.ANCHORARRAY( J33) +_xlfn.ANCHORARRAY( J62) +_xlfn.ANCHORARRAY( J91)</f>
        <v>510000</v>
      </c>
      <c r="K101">
        <v>554363</v>
      </c>
      <c r="L101">
        <v>600728</v>
      </c>
      <c r="M101">
        <v>649090</v>
      </c>
      <c r="N101">
        <v>693456</v>
      </c>
      <c r="O101">
        <v>741818</v>
      </c>
      <c r="P101">
        <v>786182</v>
      </c>
      <c r="Q101">
        <v>834544</v>
      </c>
      <c r="R101">
        <v>878910</v>
      </c>
      <c r="S101">
        <v>927272</v>
      </c>
      <c r="T101">
        <v>971637</v>
      </c>
      <c r="U101">
        <v>1019999.9999999998</v>
      </c>
    </row>
    <row r="102" spans="2:21">
      <c r="E102" s="70" t="s">
        <v>121</v>
      </c>
      <c r="G102" t="s">
        <v>75</v>
      </c>
      <c r="J102" cm="1">
        <f t="array" ref="J102:U102">_xlfn.ANCHORARRAY( J34) +_xlfn.ANCHORARRAY( J63) +_xlfn.ANCHORARRAY( J92)</f>
        <v>-510000</v>
      </c>
      <c r="K102">
        <v>-510000</v>
      </c>
      <c r="L102">
        <v>-514772.5</v>
      </c>
      <c r="M102">
        <v>-540045</v>
      </c>
      <c r="N102">
        <v>-586409.5</v>
      </c>
      <c r="O102">
        <v>-634773</v>
      </c>
      <c r="P102">
        <v>-681136.5</v>
      </c>
      <c r="Q102">
        <v>-724501</v>
      </c>
      <c r="R102">
        <v>-772862.5</v>
      </c>
      <c r="S102">
        <v>-820227</v>
      </c>
      <c r="T102">
        <v>-866590.5</v>
      </c>
      <c r="U102">
        <v>-909955.00000000012</v>
      </c>
    </row>
    <row r="103" spans="2:21">
      <c r="E103" s="75" t="s">
        <v>124</v>
      </c>
      <c r="F103" s="75"/>
      <c r="G103" s="75" t="s">
        <v>75</v>
      </c>
      <c r="H103" s="75"/>
      <c r="I103" s="75"/>
      <c r="J103" s="75" cm="1">
        <f t="array" ref="J103:U103">_xlfn.ANCHORARRAY( J35) +_xlfn.ANCHORARRAY( J64) +_xlfn.ANCHORARRAY( J93)</f>
        <v>1177500</v>
      </c>
      <c r="K103" s="75">
        <v>1221863</v>
      </c>
      <c r="L103" s="75">
        <v>1307818.5</v>
      </c>
      <c r="M103" s="75">
        <v>1416863.5</v>
      </c>
      <c r="N103" s="75">
        <v>1523910</v>
      </c>
      <c r="O103" s="75">
        <v>1630955</v>
      </c>
      <c r="P103" s="75">
        <v>1736000.5</v>
      </c>
      <c r="Q103" s="75">
        <v>1846043.5</v>
      </c>
      <c r="R103" s="75">
        <v>1952091</v>
      </c>
      <c r="S103" s="75">
        <v>2059136</v>
      </c>
      <c r="T103" s="75">
        <v>2164182.5</v>
      </c>
      <c r="U103" s="75">
        <v>2274227.5</v>
      </c>
    </row>
    <row r="128" spans="1:1" s="56" customFormat="1">
      <c r="A128" s="57" t="s">
        <v>54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60" fitToHeight="0" orientation="landscape" r:id="rId1"/>
  <headerFooter>
    <oddFooter>&amp;L&amp;"Arial,Regular"Financial Modeling Institute
CFM October 2026&amp;C&amp;"Arial,Regular"Page &amp;P of &amp;N&amp;R&amp;"Arial,Regular"&amp;D</oddFooter>
  </headerFooter>
  <rowBreaks count="1" manualBreakCount="1">
    <brk id="66" max="16383" man="1"/>
  </rowBreaks>
  <colBreaks count="1" manualBreakCount="1">
    <brk id="2" max="1048575" man="1"/>
  </colBreaks>
  <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D874B8-162F-4756-B4C8-7CFC1430ABB2}">
  <dimension ref="A1:P97"/>
  <sheetViews>
    <sheetView showGridLines="0" topLeftCell="A26" zoomScaleNormal="100" workbookViewId="0">
      <selection activeCell="L40" sqref="L40"/>
    </sheetView>
  </sheetViews>
  <sheetFormatPr defaultColWidth="8.69921875" defaultRowHeight="13.8"/>
  <cols>
    <col min="1" max="1" width="45.59765625" style="29" customWidth="1"/>
    <col min="2" max="15" width="10.5" style="29" customWidth="1"/>
    <col min="16" max="16384" width="8.69921875" style="29"/>
  </cols>
  <sheetData>
    <row r="1" spans="1:15">
      <c r="A1" s="1" t="s">
        <v>3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</row>
    <row r="2" spans="1:15">
      <c r="A2" s="2"/>
      <c r="B2" s="2"/>
      <c r="C2" s="2"/>
      <c r="D2" s="2"/>
      <c r="E2" s="3"/>
      <c r="F2" s="3"/>
      <c r="G2" s="2"/>
    </row>
    <row r="3" spans="1:15">
      <c r="A3" s="4" t="s">
        <v>4</v>
      </c>
      <c r="B3" s="5"/>
      <c r="C3" s="6">
        <v>44592</v>
      </c>
      <c r="D3" s="7">
        <f>EOMONTH(C3,1)</f>
        <v>44620</v>
      </c>
      <c r="E3" s="7">
        <f t="shared" ref="E3:N3" si="0">EOMONTH(D3,1)</f>
        <v>44651</v>
      </c>
      <c r="F3" s="7">
        <f t="shared" si="0"/>
        <v>44681</v>
      </c>
      <c r="G3" s="7">
        <f t="shared" si="0"/>
        <v>44712</v>
      </c>
      <c r="H3" s="7">
        <f t="shared" si="0"/>
        <v>44742</v>
      </c>
      <c r="I3" s="7">
        <f t="shared" si="0"/>
        <v>44773</v>
      </c>
      <c r="J3" s="7">
        <f t="shared" si="0"/>
        <v>44804</v>
      </c>
      <c r="K3" s="7">
        <f t="shared" si="0"/>
        <v>44834</v>
      </c>
      <c r="L3" s="7">
        <f t="shared" si="0"/>
        <v>44865</v>
      </c>
      <c r="M3" s="7">
        <f t="shared" si="0"/>
        <v>44895</v>
      </c>
      <c r="N3" s="7">
        <f t="shared" si="0"/>
        <v>44926</v>
      </c>
      <c r="O3" s="8" t="s">
        <v>5</v>
      </c>
    </row>
    <row r="4" spans="1:15">
      <c r="A4" s="9"/>
      <c r="B4" s="2"/>
      <c r="C4" s="9"/>
      <c r="D4" s="9"/>
      <c r="E4" s="9"/>
      <c r="F4" s="9"/>
      <c r="G4" s="9"/>
      <c r="H4" s="9"/>
      <c r="I4" s="9"/>
      <c r="J4" s="9"/>
      <c r="K4" s="9"/>
      <c r="L4" s="9"/>
      <c r="M4" s="9"/>
      <c r="N4" s="9"/>
      <c r="O4" s="9"/>
    </row>
    <row r="5" spans="1:15" ht="14.4" thickBot="1">
      <c r="A5" s="10" t="s">
        <v>6</v>
      </c>
      <c r="B5" s="30" t="s">
        <v>0</v>
      </c>
      <c r="C5" s="11">
        <f t="shared" ref="C5:O5" si="1">SUBTOTAL(9,C7:C21)</f>
        <v>510000</v>
      </c>
      <c r="D5" s="11">
        <f t="shared" si="1"/>
        <v>554363</v>
      </c>
      <c r="E5" s="11">
        <f t="shared" si="1"/>
        <v>600728</v>
      </c>
      <c r="F5" s="11">
        <f t="shared" si="1"/>
        <v>649090</v>
      </c>
      <c r="G5" s="11">
        <f t="shared" si="1"/>
        <v>693456</v>
      </c>
      <c r="H5" s="11">
        <f t="shared" si="1"/>
        <v>741818</v>
      </c>
      <c r="I5" s="11">
        <f t="shared" si="1"/>
        <v>786182</v>
      </c>
      <c r="J5" s="11">
        <f t="shared" si="1"/>
        <v>834544</v>
      </c>
      <c r="K5" s="11">
        <f t="shared" si="1"/>
        <v>878910</v>
      </c>
      <c r="L5" s="11">
        <f t="shared" si="1"/>
        <v>927272</v>
      </c>
      <c r="M5" s="11">
        <f t="shared" si="1"/>
        <v>971637</v>
      </c>
      <c r="N5" s="11">
        <f t="shared" si="1"/>
        <v>1019999.9999999999</v>
      </c>
      <c r="O5" s="11">
        <f t="shared" si="1"/>
        <v>9168000</v>
      </c>
    </row>
    <row r="6" spans="1:15" ht="14.4" thickTop="1">
      <c r="A6" s="9"/>
      <c r="B6" s="2"/>
      <c r="C6" s="9"/>
      <c r="D6" s="9"/>
      <c r="E6" s="9"/>
      <c r="F6" s="9"/>
      <c r="G6" s="9"/>
      <c r="H6" s="9"/>
      <c r="I6" s="9"/>
      <c r="J6" s="9"/>
      <c r="K6" s="9"/>
      <c r="L6" s="9"/>
      <c r="M6" s="9"/>
      <c r="N6" s="9"/>
      <c r="O6" s="9"/>
    </row>
    <row r="7" spans="1:15">
      <c r="A7" s="12" t="s">
        <v>7</v>
      </c>
      <c r="B7" s="16" t="s">
        <v>0</v>
      </c>
      <c r="C7" s="13">
        <f t="shared" ref="C7:O7" si="2">SUBTOTAL(9,C8:C10)</f>
        <v>210000</v>
      </c>
      <c r="D7" s="13">
        <f t="shared" si="2"/>
        <v>229091</v>
      </c>
      <c r="E7" s="13">
        <f t="shared" si="2"/>
        <v>248182</v>
      </c>
      <c r="F7" s="13">
        <f t="shared" si="2"/>
        <v>267272</v>
      </c>
      <c r="G7" s="13">
        <f t="shared" si="2"/>
        <v>284364</v>
      </c>
      <c r="H7" s="13">
        <f t="shared" si="2"/>
        <v>305454</v>
      </c>
      <c r="I7" s="13">
        <f t="shared" si="2"/>
        <v>324546</v>
      </c>
      <c r="J7" s="13">
        <f t="shared" si="2"/>
        <v>343636</v>
      </c>
      <c r="K7" s="13">
        <f t="shared" si="2"/>
        <v>360728</v>
      </c>
      <c r="L7" s="13">
        <f t="shared" si="2"/>
        <v>381818</v>
      </c>
      <c r="M7" s="13">
        <f t="shared" si="2"/>
        <v>400909</v>
      </c>
      <c r="N7" s="13">
        <f t="shared" si="2"/>
        <v>419999.99999999988</v>
      </c>
      <c r="O7" s="13">
        <f t="shared" si="2"/>
        <v>3776000</v>
      </c>
    </row>
    <row r="8" spans="1:15">
      <c r="A8" s="3" t="s">
        <v>8</v>
      </c>
      <c r="B8" s="31" t="s">
        <v>0</v>
      </c>
      <c r="C8" s="14">
        <v>125000</v>
      </c>
      <c r="D8" s="14">
        <v>136364</v>
      </c>
      <c r="E8" s="14">
        <v>147727</v>
      </c>
      <c r="F8" s="14">
        <v>159091</v>
      </c>
      <c r="G8" s="14">
        <v>170455</v>
      </c>
      <c r="H8" s="14">
        <v>181818</v>
      </c>
      <c r="I8" s="14">
        <v>193182</v>
      </c>
      <c r="J8" s="14">
        <v>204545</v>
      </c>
      <c r="K8" s="14">
        <v>213909</v>
      </c>
      <c r="L8" s="14">
        <v>227273</v>
      </c>
      <c r="M8" s="14">
        <v>238636</v>
      </c>
      <c r="N8" s="14">
        <v>249999.99999999988</v>
      </c>
      <c r="O8" s="15">
        <f>SUM(C8:N8)</f>
        <v>2248000</v>
      </c>
    </row>
    <row r="9" spans="1:15">
      <c r="A9" s="3" t="s">
        <v>9</v>
      </c>
      <c r="B9" s="31" t="s">
        <v>0</v>
      </c>
      <c r="C9" s="14">
        <v>50000</v>
      </c>
      <c r="D9" s="14">
        <v>54545</v>
      </c>
      <c r="E9" s="14">
        <v>59091</v>
      </c>
      <c r="F9" s="14">
        <v>63636</v>
      </c>
      <c r="G9" s="14">
        <v>66182</v>
      </c>
      <c r="H9" s="14">
        <v>72727</v>
      </c>
      <c r="I9" s="14">
        <v>77273</v>
      </c>
      <c r="J9" s="14">
        <v>81818</v>
      </c>
      <c r="K9" s="14">
        <v>86364</v>
      </c>
      <c r="L9" s="14">
        <v>90909</v>
      </c>
      <c r="M9" s="14">
        <v>95455</v>
      </c>
      <c r="N9" s="14">
        <v>99999.999999999985</v>
      </c>
      <c r="O9" s="15">
        <f t="shared" ref="O9:O10" si="3">SUM(C9:N9)</f>
        <v>898000</v>
      </c>
    </row>
    <row r="10" spans="1:15">
      <c r="A10" s="3" t="s">
        <v>10</v>
      </c>
      <c r="B10" s="31" t="s">
        <v>0</v>
      </c>
      <c r="C10" s="14">
        <v>35000</v>
      </c>
      <c r="D10" s="14">
        <v>38182</v>
      </c>
      <c r="E10" s="14">
        <v>41364</v>
      </c>
      <c r="F10" s="14">
        <v>44545</v>
      </c>
      <c r="G10" s="14">
        <v>47727</v>
      </c>
      <c r="H10" s="14">
        <v>50909</v>
      </c>
      <c r="I10" s="14">
        <v>54091</v>
      </c>
      <c r="J10" s="14">
        <v>57273</v>
      </c>
      <c r="K10" s="14">
        <v>60455</v>
      </c>
      <c r="L10" s="14">
        <v>63636</v>
      </c>
      <c r="M10" s="14">
        <v>66818</v>
      </c>
      <c r="N10" s="14">
        <v>70000.000000000015</v>
      </c>
      <c r="O10" s="15">
        <f t="shared" si="3"/>
        <v>630000</v>
      </c>
    </row>
    <row r="11" spans="1:15">
      <c r="A11" s="2"/>
      <c r="B11" s="31"/>
      <c r="C11" s="2"/>
      <c r="D11" s="2"/>
      <c r="E11" s="3"/>
      <c r="F11" s="3"/>
      <c r="G11" s="2"/>
    </row>
    <row r="12" spans="1:15">
      <c r="A12" s="12" t="s">
        <v>11</v>
      </c>
      <c r="B12" s="16" t="s">
        <v>0</v>
      </c>
      <c r="C12" s="13">
        <f t="shared" ref="C12:O12" si="4">SUBTOTAL(9,C13:C15)</f>
        <v>105000</v>
      </c>
      <c r="D12" s="13">
        <f t="shared" si="4"/>
        <v>114545</v>
      </c>
      <c r="E12" s="13">
        <f t="shared" si="4"/>
        <v>124091</v>
      </c>
      <c r="F12" s="13">
        <f t="shared" si="4"/>
        <v>133636</v>
      </c>
      <c r="G12" s="13">
        <f t="shared" si="4"/>
        <v>143182</v>
      </c>
      <c r="H12" s="13">
        <f t="shared" si="4"/>
        <v>152727</v>
      </c>
      <c r="I12" s="13">
        <f t="shared" si="4"/>
        <v>160273</v>
      </c>
      <c r="J12" s="13">
        <f t="shared" si="4"/>
        <v>171818</v>
      </c>
      <c r="K12" s="13">
        <f t="shared" si="4"/>
        <v>181364</v>
      </c>
      <c r="L12" s="13">
        <f t="shared" si="4"/>
        <v>190909</v>
      </c>
      <c r="M12" s="13">
        <f t="shared" si="4"/>
        <v>198455</v>
      </c>
      <c r="N12" s="13">
        <f t="shared" si="4"/>
        <v>210000</v>
      </c>
      <c r="O12" s="13">
        <f t="shared" si="4"/>
        <v>1886000</v>
      </c>
    </row>
    <row r="13" spans="1:15">
      <c r="A13" s="3" t="s">
        <v>8</v>
      </c>
      <c r="B13" s="31" t="s">
        <v>0</v>
      </c>
      <c r="C13" s="14">
        <v>50000</v>
      </c>
      <c r="D13" s="14">
        <v>54545</v>
      </c>
      <c r="E13" s="14">
        <v>59091</v>
      </c>
      <c r="F13" s="14">
        <v>63636</v>
      </c>
      <c r="G13" s="14">
        <v>68182</v>
      </c>
      <c r="H13" s="14">
        <v>72727</v>
      </c>
      <c r="I13" s="14">
        <v>77273</v>
      </c>
      <c r="J13" s="14">
        <v>81818</v>
      </c>
      <c r="K13" s="14">
        <v>86364</v>
      </c>
      <c r="L13" s="14">
        <v>90909</v>
      </c>
      <c r="M13" s="14">
        <v>93455</v>
      </c>
      <c r="N13" s="14">
        <v>99999.999999999985</v>
      </c>
      <c r="O13" s="15">
        <f>SUM(C13:N13)</f>
        <v>898000</v>
      </c>
    </row>
    <row r="14" spans="1:15">
      <c r="A14" s="3" t="s">
        <v>9</v>
      </c>
      <c r="B14" s="31" t="s">
        <v>0</v>
      </c>
      <c r="C14" s="14">
        <v>40000</v>
      </c>
      <c r="D14" s="14">
        <v>43636</v>
      </c>
      <c r="E14" s="14">
        <v>47273</v>
      </c>
      <c r="F14" s="14">
        <v>50909</v>
      </c>
      <c r="G14" s="14">
        <v>54545</v>
      </c>
      <c r="H14" s="14">
        <v>58182</v>
      </c>
      <c r="I14" s="14">
        <v>59818</v>
      </c>
      <c r="J14" s="14">
        <v>65455</v>
      </c>
      <c r="K14" s="14">
        <v>69091</v>
      </c>
      <c r="L14" s="14">
        <v>72727</v>
      </c>
      <c r="M14" s="14">
        <v>76364</v>
      </c>
      <c r="N14" s="14">
        <v>80000.000000000015</v>
      </c>
      <c r="O14" s="15">
        <f t="shared" ref="O14:O15" si="5">SUM(C14:N14)</f>
        <v>718000</v>
      </c>
    </row>
    <row r="15" spans="1:15">
      <c r="A15" s="3" t="s">
        <v>10</v>
      </c>
      <c r="B15" s="31" t="s">
        <v>0</v>
      </c>
      <c r="C15" s="14">
        <v>15000</v>
      </c>
      <c r="D15" s="14">
        <v>16364</v>
      </c>
      <c r="E15" s="14">
        <v>17727</v>
      </c>
      <c r="F15" s="14">
        <v>19091</v>
      </c>
      <c r="G15" s="14">
        <v>20455</v>
      </c>
      <c r="H15" s="14">
        <v>21818</v>
      </c>
      <c r="I15" s="14">
        <v>23182</v>
      </c>
      <c r="J15" s="14">
        <v>24545</v>
      </c>
      <c r="K15" s="14">
        <v>25909</v>
      </c>
      <c r="L15" s="14">
        <v>27273</v>
      </c>
      <c r="M15" s="14">
        <v>28636</v>
      </c>
      <c r="N15" s="14">
        <v>30000.000000000004</v>
      </c>
      <c r="O15" s="15">
        <f t="shared" si="5"/>
        <v>270000</v>
      </c>
    </row>
    <row r="16" spans="1:15">
      <c r="B16" s="31"/>
    </row>
    <row r="17" spans="1:15">
      <c r="A17" s="12" t="s">
        <v>12</v>
      </c>
      <c r="B17" s="16" t="s">
        <v>0</v>
      </c>
      <c r="C17" s="13">
        <f t="shared" ref="C17:O17" si="6">SUBTOTAL(9,C18:C20)</f>
        <v>195000</v>
      </c>
      <c r="D17" s="13">
        <f t="shared" si="6"/>
        <v>210727</v>
      </c>
      <c r="E17" s="13">
        <f t="shared" si="6"/>
        <v>228455</v>
      </c>
      <c r="F17" s="13">
        <f t="shared" si="6"/>
        <v>248182</v>
      </c>
      <c r="G17" s="13">
        <f t="shared" si="6"/>
        <v>265910</v>
      </c>
      <c r="H17" s="13">
        <f t="shared" si="6"/>
        <v>283637</v>
      </c>
      <c r="I17" s="13">
        <f t="shared" si="6"/>
        <v>301363</v>
      </c>
      <c r="J17" s="13">
        <f t="shared" si="6"/>
        <v>319090</v>
      </c>
      <c r="K17" s="13">
        <f t="shared" si="6"/>
        <v>336818</v>
      </c>
      <c r="L17" s="13">
        <f t="shared" si="6"/>
        <v>354545</v>
      </c>
      <c r="M17" s="13">
        <f t="shared" si="6"/>
        <v>372273</v>
      </c>
      <c r="N17" s="13">
        <f t="shared" si="6"/>
        <v>389999.99999999988</v>
      </c>
      <c r="O17" s="13">
        <f t="shared" si="6"/>
        <v>3506000</v>
      </c>
    </row>
    <row r="18" spans="1:15">
      <c r="A18" s="3" t="s">
        <v>8</v>
      </c>
      <c r="B18" s="31" t="s">
        <v>0</v>
      </c>
      <c r="C18" s="14">
        <v>50000</v>
      </c>
      <c r="D18" s="14">
        <v>52545</v>
      </c>
      <c r="E18" s="14">
        <v>59091</v>
      </c>
      <c r="F18" s="14">
        <v>63636</v>
      </c>
      <c r="G18" s="14">
        <v>68182</v>
      </c>
      <c r="H18" s="14">
        <v>72727</v>
      </c>
      <c r="I18" s="14">
        <v>77273</v>
      </c>
      <c r="J18" s="14">
        <v>81818</v>
      </c>
      <c r="K18" s="14">
        <v>86364</v>
      </c>
      <c r="L18" s="14">
        <v>90909</v>
      </c>
      <c r="M18" s="14">
        <v>95455</v>
      </c>
      <c r="N18" s="14">
        <v>99999.999999999985</v>
      </c>
      <c r="O18" s="15">
        <f>SUM(C18:N18)</f>
        <v>898000</v>
      </c>
    </row>
    <row r="19" spans="1:15">
      <c r="A19" s="3" t="s">
        <v>9</v>
      </c>
      <c r="B19" s="31" t="s">
        <v>0</v>
      </c>
      <c r="C19" s="14">
        <v>100000</v>
      </c>
      <c r="D19" s="14">
        <v>109091</v>
      </c>
      <c r="E19" s="14">
        <v>116182</v>
      </c>
      <c r="F19" s="14">
        <v>127273</v>
      </c>
      <c r="G19" s="14">
        <v>136364</v>
      </c>
      <c r="H19" s="14">
        <v>145455</v>
      </c>
      <c r="I19" s="14">
        <v>154545</v>
      </c>
      <c r="J19" s="14">
        <v>163636</v>
      </c>
      <c r="K19" s="14">
        <v>172727</v>
      </c>
      <c r="L19" s="14">
        <v>181818</v>
      </c>
      <c r="M19" s="14">
        <v>190909</v>
      </c>
      <c r="N19" s="14">
        <v>199999.99999999997</v>
      </c>
      <c r="O19" s="15">
        <f t="shared" ref="O19:O20" si="7">SUM(C19:N19)</f>
        <v>1798000</v>
      </c>
    </row>
    <row r="20" spans="1:15">
      <c r="A20" s="3" t="s">
        <v>10</v>
      </c>
      <c r="B20" s="31" t="s">
        <v>0</v>
      </c>
      <c r="C20" s="14">
        <v>45000</v>
      </c>
      <c r="D20" s="14">
        <v>49091</v>
      </c>
      <c r="E20" s="14">
        <v>53182</v>
      </c>
      <c r="F20" s="14">
        <v>57273</v>
      </c>
      <c r="G20" s="14">
        <v>61364</v>
      </c>
      <c r="H20" s="14">
        <v>65455</v>
      </c>
      <c r="I20" s="14">
        <v>69545</v>
      </c>
      <c r="J20" s="14">
        <v>73636</v>
      </c>
      <c r="K20" s="14">
        <v>77727</v>
      </c>
      <c r="L20" s="14">
        <v>81818</v>
      </c>
      <c r="M20" s="14">
        <v>85909</v>
      </c>
      <c r="N20" s="14">
        <v>89999.999999999971</v>
      </c>
      <c r="O20" s="15">
        <f t="shared" si="7"/>
        <v>810000</v>
      </c>
    </row>
    <row r="21" spans="1:15">
      <c r="B21" s="31"/>
    </row>
    <row r="22" spans="1:15">
      <c r="A22" s="1" t="s">
        <v>13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</row>
    <row r="24" spans="1:15">
      <c r="A24" s="12" t="s">
        <v>14</v>
      </c>
      <c r="I24" s="12" t="s">
        <v>15</v>
      </c>
    </row>
    <row r="25" spans="1:15">
      <c r="A25" s="12"/>
      <c r="C25" s="16" t="s">
        <v>16</v>
      </c>
      <c r="D25" s="28" t="s">
        <v>2</v>
      </c>
      <c r="L25" s="16" t="s">
        <v>16</v>
      </c>
      <c r="M25" s="16" t="s">
        <v>17</v>
      </c>
    </row>
    <row r="26" spans="1:15">
      <c r="A26" s="3" t="s">
        <v>7</v>
      </c>
      <c r="B26" s="31" t="s">
        <v>18</v>
      </c>
      <c r="C26" s="17">
        <v>90</v>
      </c>
      <c r="D26" s="18">
        <v>7.0000000000000007E-2</v>
      </c>
      <c r="I26" s="3" t="s">
        <v>19</v>
      </c>
      <c r="K26" s="31" t="s">
        <v>18</v>
      </c>
      <c r="L26" s="17">
        <v>15</v>
      </c>
      <c r="M26" s="14">
        <v>75000</v>
      </c>
    </row>
    <row r="27" spans="1:15">
      <c r="A27" s="3" t="s">
        <v>11</v>
      </c>
      <c r="B27" s="31" t="s">
        <v>18</v>
      </c>
      <c r="C27" s="17">
        <v>45</v>
      </c>
      <c r="D27" s="18">
        <v>0.05</v>
      </c>
      <c r="I27" s="3" t="s">
        <v>20</v>
      </c>
      <c r="K27" s="31" t="s">
        <v>18</v>
      </c>
      <c r="L27" s="17">
        <v>30</v>
      </c>
      <c r="M27" s="14">
        <v>0</v>
      </c>
    </row>
    <row r="28" spans="1:15">
      <c r="A28" s="3" t="s">
        <v>12</v>
      </c>
      <c r="B28" s="31" t="s">
        <v>18</v>
      </c>
      <c r="C28" s="17">
        <v>60</v>
      </c>
      <c r="D28" s="18">
        <v>0.08</v>
      </c>
      <c r="I28" s="3" t="s">
        <v>21</v>
      </c>
      <c r="K28" s="31" t="s">
        <v>18</v>
      </c>
      <c r="L28" s="17">
        <v>30</v>
      </c>
      <c r="M28" s="14">
        <v>0</v>
      </c>
    </row>
    <row r="29" spans="1:15">
      <c r="I29" s="3" t="s">
        <v>22</v>
      </c>
      <c r="K29" s="31" t="s">
        <v>18</v>
      </c>
      <c r="L29" s="17">
        <v>30</v>
      </c>
      <c r="M29" s="14">
        <v>100000</v>
      </c>
    </row>
    <row r="30" spans="1:15">
      <c r="A30" s="12" t="s">
        <v>23</v>
      </c>
      <c r="C30" s="25" t="s">
        <v>1</v>
      </c>
      <c r="D30" s="28" t="s">
        <v>44</v>
      </c>
      <c r="I30" s="3" t="s">
        <v>24</v>
      </c>
      <c r="K30" s="31" t="s">
        <v>18</v>
      </c>
      <c r="L30" s="17">
        <v>15</v>
      </c>
      <c r="M30" s="14">
        <v>75000</v>
      </c>
    </row>
    <row r="31" spans="1:15">
      <c r="A31" s="3" t="s">
        <v>8</v>
      </c>
      <c r="B31" s="31" t="s">
        <v>25</v>
      </c>
      <c r="C31" s="19">
        <v>0.25</v>
      </c>
      <c r="D31" s="20">
        <v>2.29</v>
      </c>
    </row>
    <row r="32" spans="1:15">
      <c r="A32" s="3" t="s">
        <v>9</v>
      </c>
      <c r="B32" s="31" t="s">
        <v>25</v>
      </c>
      <c r="C32" s="19">
        <v>0.1</v>
      </c>
      <c r="D32" s="20">
        <v>3.15</v>
      </c>
    </row>
    <row r="33" spans="1:16">
      <c r="A33" s="3" t="s">
        <v>10</v>
      </c>
      <c r="B33" s="31" t="s">
        <v>25</v>
      </c>
      <c r="C33" s="19">
        <v>0.3</v>
      </c>
      <c r="D33" s="20">
        <v>3.65</v>
      </c>
      <c r="I33" s="3" t="s">
        <v>26</v>
      </c>
      <c r="K33" s="31" t="s">
        <v>18</v>
      </c>
      <c r="L33" s="21">
        <v>30</v>
      </c>
    </row>
    <row r="35" spans="1:16">
      <c r="A35" s="1" t="s">
        <v>27</v>
      </c>
      <c r="B35" s="1"/>
      <c r="C35" s="1"/>
      <c r="D35" s="1"/>
      <c r="E35" s="1"/>
      <c r="F35" s="1"/>
      <c r="G35" s="1"/>
      <c r="H35" s="1"/>
      <c r="I35" s="1"/>
      <c r="J35" s="1"/>
      <c r="K35" s="1"/>
      <c r="L35" s="1"/>
      <c r="M35" s="1"/>
      <c r="N35" s="1"/>
      <c r="O35" s="1"/>
    </row>
    <row r="37" spans="1:16">
      <c r="A37" s="28" t="s">
        <v>28</v>
      </c>
    </row>
    <row r="38" spans="1:16" ht="15.6">
      <c r="C38" s="26" t="s">
        <v>43</v>
      </c>
      <c r="D38" s="27"/>
      <c r="E38" s="27"/>
      <c r="F38" s="27"/>
      <c r="G38" s="27"/>
      <c r="H38" s="27"/>
      <c r="I38" s="27"/>
      <c r="J38" s="26"/>
      <c r="L38" s="25" t="s">
        <v>41</v>
      </c>
    </row>
    <row r="39" spans="1:16">
      <c r="A39" s="28" t="s">
        <v>29</v>
      </c>
      <c r="C39" s="25" t="s">
        <v>30</v>
      </c>
      <c r="D39" s="25" t="s">
        <v>31</v>
      </c>
      <c r="E39" s="25" t="s">
        <v>32</v>
      </c>
      <c r="F39" s="25" t="s">
        <v>33</v>
      </c>
      <c r="G39" s="25" t="s">
        <v>34</v>
      </c>
      <c r="H39" s="25" t="s">
        <v>35</v>
      </c>
      <c r="I39" s="25" t="s">
        <v>36</v>
      </c>
      <c r="J39" s="25" t="s">
        <v>37</v>
      </c>
      <c r="L39" s="25" t="s">
        <v>42</v>
      </c>
    </row>
    <row r="40" spans="1:16">
      <c r="A40" s="3" t="s">
        <v>8</v>
      </c>
      <c r="B40" s="31" t="s">
        <v>38</v>
      </c>
      <c r="C40" s="22">
        <v>0.3</v>
      </c>
      <c r="D40" s="22">
        <v>0.25</v>
      </c>
      <c r="E40" s="22">
        <v>0.15</v>
      </c>
      <c r="F40" s="22">
        <v>0.15</v>
      </c>
      <c r="G40" s="22">
        <v>0.15</v>
      </c>
      <c r="H40" s="22">
        <v>0.1</v>
      </c>
      <c r="I40" s="22">
        <v>0</v>
      </c>
      <c r="J40" s="22">
        <v>0</v>
      </c>
      <c r="L40" s="18">
        <v>0.5</v>
      </c>
    </row>
    <row r="41" spans="1:16">
      <c r="A41" s="3" t="s">
        <v>9</v>
      </c>
      <c r="B41" s="31" t="s">
        <v>38</v>
      </c>
      <c r="C41" s="22">
        <v>0.32100000000000001</v>
      </c>
      <c r="D41" s="22">
        <v>0.24</v>
      </c>
      <c r="E41" s="22">
        <v>0.155</v>
      </c>
      <c r="F41" s="22">
        <v>0.161</v>
      </c>
      <c r="G41" s="22">
        <v>0.13800000000000001</v>
      </c>
      <c r="H41" s="22">
        <v>0</v>
      </c>
      <c r="I41" s="22">
        <v>0.1</v>
      </c>
      <c r="J41" s="22">
        <v>0</v>
      </c>
      <c r="L41" s="18">
        <v>0.6</v>
      </c>
    </row>
    <row r="42" spans="1:16">
      <c r="A42" s="3" t="s">
        <v>10</v>
      </c>
      <c r="B42" s="31" t="s">
        <v>38</v>
      </c>
      <c r="C42" s="22">
        <v>0.30599999999999999</v>
      </c>
      <c r="D42" s="22">
        <v>0.23300000000000001</v>
      </c>
      <c r="E42" s="22">
        <v>0.14899999999999999</v>
      </c>
      <c r="F42" s="22">
        <v>0.13700000000000001</v>
      </c>
      <c r="G42" s="22">
        <v>0.155</v>
      </c>
      <c r="H42" s="22">
        <v>0.05</v>
      </c>
      <c r="I42" s="22">
        <v>0</v>
      </c>
      <c r="J42" s="22">
        <v>0.2</v>
      </c>
      <c r="L42" s="18">
        <v>0.75</v>
      </c>
    </row>
    <row r="45" spans="1:16">
      <c r="A45" s="12" t="s">
        <v>39</v>
      </c>
      <c r="C45" s="25" t="s">
        <v>30</v>
      </c>
      <c r="D45" s="25" t="s">
        <v>31</v>
      </c>
      <c r="E45" s="25" t="s">
        <v>32</v>
      </c>
      <c r="F45" s="25" t="s">
        <v>33</v>
      </c>
      <c r="G45" s="25" t="s">
        <v>34</v>
      </c>
      <c r="H45" s="25" t="s">
        <v>35</v>
      </c>
      <c r="I45" s="25" t="s">
        <v>36</v>
      </c>
      <c r="J45" s="25" t="s">
        <v>37</v>
      </c>
    </row>
    <row r="46" spans="1:16">
      <c r="A46" s="3" t="s">
        <v>19</v>
      </c>
      <c r="B46" s="31" t="s">
        <v>40</v>
      </c>
      <c r="C46" s="23">
        <v>0.27810000000000001</v>
      </c>
      <c r="D46" s="23">
        <v>0.2077</v>
      </c>
      <c r="E46" s="23">
        <v>2.0099999999999998</v>
      </c>
      <c r="F46" s="23">
        <v>0.67</v>
      </c>
      <c r="G46" s="23">
        <v>1.675</v>
      </c>
      <c r="H46" s="23">
        <v>1.6080000000000001</v>
      </c>
      <c r="I46" s="23">
        <v>2.3450000000000002</v>
      </c>
      <c r="J46" s="23">
        <v>1.0049999999999999</v>
      </c>
      <c r="L46" s="32"/>
      <c r="M46" s="32"/>
      <c r="N46" s="32"/>
      <c r="O46" s="32"/>
      <c r="P46" s="32"/>
    </row>
    <row r="47" spans="1:16">
      <c r="A47" s="3" t="s">
        <v>20</v>
      </c>
      <c r="B47" s="31" t="s">
        <v>40</v>
      </c>
      <c r="C47" s="23">
        <v>0.27250000000000002</v>
      </c>
      <c r="D47" s="23">
        <v>0.19320000000000001</v>
      </c>
      <c r="E47" s="23">
        <v>1.9497</v>
      </c>
      <c r="F47" s="23">
        <v>0.72360000000000002</v>
      </c>
      <c r="G47" s="23">
        <v>1.6248</v>
      </c>
      <c r="H47" s="23">
        <v>1.4633</v>
      </c>
      <c r="I47" s="23">
        <v>2.2511999999999999</v>
      </c>
      <c r="J47" s="23">
        <v>1.0250999999999999</v>
      </c>
      <c r="L47" s="32"/>
      <c r="M47" s="32"/>
      <c r="N47" s="32"/>
      <c r="O47" s="32"/>
      <c r="P47" s="32"/>
    </row>
    <row r="48" spans="1:16">
      <c r="A48" s="3" t="s">
        <v>21</v>
      </c>
      <c r="B48" s="31" t="s">
        <v>40</v>
      </c>
      <c r="C48" s="23">
        <v>0.25309999999999999</v>
      </c>
      <c r="D48" s="23">
        <v>0.20150000000000001</v>
      </c>
      <c r="E48" s="23">
        <v>1.9698</v>
      </c>
      <c r="F48" s="23">
        <v>0.62309999999999999</v>
      </c>
      <c r="G48" s="23">
        <v>1.742</v>
      </c>
      <c r="H48" s="23">
        <v>1.5115000000000001</v>
      </c>
      <c r="I48" s="23">
        <v>2.4154</v>
      </c>
      <c r="J48" s="23">
        <v>0.97489999999999999</v>
      </c>
      <c r="L48" s="32"/>
      <c r="M48" s="32"/>
      <c r="N48" s="32"/>
      <c r="O48" s="32"/>
      <c r="P48" s="32"/>
    </row>
    <row r="49" spans="1:16">
      <c r="A49" s="3" t="s">
        <v>22</v>
      </c>
      <c r="B49" s="31" t="s">
        <v>40</v>
      </c>
      <c r="C49" s="23">
        <v>0.28639999999999999</v>
      </c>
      <c r="D49" s="23">
        <v>0.21809999999999999</v>
      </c>
      <c r="E49" s="23">
        <v>2.0501999999999998</v>
      </c>
      <c r="F49" s="23">
        <v>0.69679999999999997</v>
      </c>
      <c r="G49" s="23">
        <v>1.7923</v>
      </c>
      <c r="H49" s="23">
        <v>1.5758000000000001</v>
      </c>
      <c r="I49" s="23">
        <v>2.1808999999999998</v>
      </c>
      <c r="J49" s="23">
        <v>0.97489999999999999</v>
      </c>
      <c r="L49" s="32"/>
      <c r="M49" s="32"/>
      <c r="N49" s="32"/>
      <c r="O49" s="32"/>
      <c r="P49" s="32"/>
    </row>
    <row r="50" spans="1:16">
      <c r="A50" s="3" t="s">
        <v>24</v>
      </c>
      <c r="B50" s="31" t="s">
        <v>40</v>
      </c>
      <c r="C50" s="23">
        <v>0.2586</v>
      </c>
      <c r="D50" s="23">
        <v>0.20150000000000001</v>
      </c>
      <c r="E50" s="23">
        <v>1.8693</v>
      </c>
      <c r="F50" s="23">
        <v>0.71689999999999998</v>
      </c>
      <c r="G50" s="23">
        <v>1.7084999999999999</v>
      </c>
      <c r="H50" s="23">
        <v>1.6561999999999999</v>
      </c>
      <c r="I50" s="23">
        <v>2.2980999999999998</v>
      </c>
      <c r="J50" s="23">
        <v>0.95479999999999998</v>
      </c>
      <c r="L50" s="32"/>
      <c r="M50" s="32"/>
      <c r="N50" s="32"/>
      <c r="O50" s="32"/>
      <c r="P50" s="32"/>
    </row>
    <row r="51" spans="1:16">
      <c r="A51" s="24"/>
      <c r="C51" s="33"/>
      <c r="D51" s="33"/>
      <c r="E51" s="33"/>
      <c r="F51" s="33"/>
      <c r="G51" s="33"/>
      <c r="H51" s="33"/>
      <c r="I51" s="33"/>
      <c r="J51" s="33"/>
    </row>
    <row r="53" spans="1:16" s="35" customFormat="1">
      <c r="A53" s="36" t="s">
        <v>46</v>
      </c>
    </row>
    <row r="55" spans="1:16">
      <c r="A55" s="29" t="s">
        <v>57</v>
      </c>
      <c r="B55" s="29" t="s">
        <v>58</v>
      </c>
      <c r="C55" s="52" t="s">
        <v>59</v>
      </c>
    </row>
    <row r="56" spans="1:16">
      <c r="A56" s="29" t="s">
        <v>60</v>
      </c>
      <c r="B56" s="29" t="s">
        <v>58</v>
      </c>
      <c r="C56" s="40" t="s">
        <v>61</v>
      </c>
    </row>
    <row r="57" spans="1:16">
      <c r="A57" s="29" t="s">
        <v>49</v>
      </c>
      <c r="B57" s="29" t="s">
        <v>51</v>
      </c>
      <c r="C57" s="48">
        <v>12</v>
      </c>
    </row>
    <row r="59" spans="1:16">
      <c r="A59" s="28" t="s">
        <v>47</v>
      </c>
      <c r="B59" s="31" t="s">
        <v>18</v>
      </c>
      <c r="C59" s="38">
        <v>120</v>
      </c>
    </row>
    <row r="60" spans="1:16">
      <c r="A60" s="28"/>
      <c r="B60" s="31"/>
      <c r="C60" s="47"/>
    </row>
    <row r="61" spans="1:16">
      <c r="A61" s="12" t="s">
        <v>14</v>
      </c>
    </row>
    <row r="62" spans="1:16">
      <c r="A62" s="12"/>
      <c r="C62" s="16" t="s">
        <v>16</v>
      </c>
    </row>
    <row r="63" spans="1:16">
      <c r="A63" s="3" t="s">
        <v>7</v>
      </c>
      <c r="B63" s="31" t="s">
        <v>18</v>
      </c>
      <c r="C63" s="39">
        <f>C26</f>
        <v>90</v>
      </c>
      <c r="D63" s="51">
        <f>C63 / days_per_month</f>
        <v>3</v>
      </c>
    </row>
    <row r="64" spans="1:16">
      <c r="A64" s="3" t="s">
        <v>11</v>
      </c>
      <c r="B64" s="31" t="s">
        <v>18</v>
      </c>
      <c r="C64" s="44">
        <f>C27</f>
        <v>45</v>
      </c>
      <c r="D64" s="51">
        <f>C64 / days_per_month</f>
        <v>1.5</v>
      </c>
    </row>
    <row r="65" spans="1:16">
      <c r="A65" s="3" t="s">
        <v>12</v>
      </c>
      <c r="B65" s="31" t="s">
        <v>18</v>
      </c>
      <c r="C65" s="46">
        <f>C28</f>
        <v>60</v>
      </c>
      <c r="D65" s="51">
        <f>C65 / days_per_month</f>
        <v>2</v>
      </c>
      <c r="P65" s="37"/>
    </row>
    <row r="66" spans="1:16">
      <c r="A66" s="3"/>
      <c r="B66" s="31"/>
      <c r="C66" s="45"/>
      <c r="D66" s="37"/>
      <c r="E66" s="37"/>
      <c r="F66" s="37"/>
      <c r="G66" s="37"/>
      <c r="H66" s="37"/>
      <c r="I66" s="37"/>
      <c r="J66" s="37"/>
      <c r="K66" s="37"/>
      <c r="L66" s="37"/>
      <c r="M66" s="37"/>
      <c r="N66" s="37"/>
      <c r="O66" s="37"/>
      <c r="P66" s="37"/>
    </row>
    <row r="67" spans="1:16">
      <c r="A67" s="34" t="s">
        <v>45</v>
      </c>
      <c r="B67" s="31"/>
      <c r="C67" s="45"/>
      <c r="D67" s="37"/>
      <c r="E67" s="37"/>
      <c r="F67" s="37"/>
      <c r="G67" s="37"/>
      <c r="H67" s="37"/>
      <c r="I67" s="37"/>
      <c r="J67" s="37"/>
      <c r="K67" s="37"/>
      <c r="L67" s="37"/>
      <c r="M67" s="37"/>
      <c r="N67" s="37"/>
      <c r="O67" s="37"/>
      <c r="P67" s="37"/>
    </row>
    <row r="68" spans="1:16">
      <c r="A68" s="3"/>
      <c r="B68" s="31"/>
      <c r="C68" s="50" cm="1">
        <f t="array" ref="C68:N68">_xlfn.SEQUENCE( 1, periods, 1, 1 )</f>
        <v>1</v>
      </c>
      <c r="D68" s="50">
        <v>2</v>
      </c>
      <c r="E68" s="50">
        <v>3</v>
      </c>
      <c r="F68" s="50">
        <v>4</v>
      </c>
      <c r="G68" s="50">
        <v>5</v>
      </c>
      <c r="H68" s="50">
        <v>6</v>
      </c>
      <c r="I68" s="50">
        <v>7</v>
      </c>
      <c r="J68" s="50">
        <v>8</v>
      </c>
      <c r="K68" s="50">
        <v>9</v>
      </c>
      <c r="L68" s="50">
        <v>10</v>
      </c>
      <c r="M68" s="50">
        <v>11</v>
      </c>
      <c r="N68" s="50">
        <v>12</v>
      </c>
      <c r="O68" s="37"/>
      <c r="P68" s="37"/>
    </row>
    <row r="69" spans="1:16">
      <c r="A69" s="3" t="s">
        <v>7</v>
      </c>
      <c r="B69" s="31" t="s">
        <v>18</v>
      </c>
      <c r="C69" s="37">
        <f t="shared" ref="C69:N69" si="8">IF( C$68 &lt;= QUOTIENT( $C26, days_per_month ),
          days_per_month,
             IF( AND( C$68 = QUOTIENT( $C26, days_per_month ) + 1, MOD( $C26, days_per_month ) &gt; 0), MOD( $C26, days_per_month ), 0 ) )</f>
        <v>30</v>
      </c>
      <c r="D69" s="37">
        <f t="shared" si="8"/>
        <v>30</v>
      </c>
      <c r="E69" s="37">
        <f t="shared" si="8"/>
        <v>30</v>
      </c>
      <c r="F69" s="37">
        <f t="shared" si="8"/>
        <v>0</v>
      </c>
      <c r="G69" s="37">
        <f t="shared" si="8"/>
        <v>0</v>
      </c>
      <c r="H69" s="37">
        <f t="shared" si="8"/>
        <v>0</v>
      </c>
      <c r="I69" s="37">
        <f t="shared" si="8"/>
        <v>0</v>
      </c>
      <c r="J69" s="37">
        <f t="shared" si="8"/>
        <v>0</v>
      </c>
      <c r="K69" s="37">
        <f t="shared" si="8"/>
        <v>0</v>
      </c>
      <c r="L69" s="37">
        <f t="shared" si="8"/>
        <v>0</v>
      </c>
      <c r="M69" s="37">
        <f t="shared" si="8"/>
        <v>0</v>
      </c>
      <c r="N69" s="37">
        <f t="shared" si="8"/>
        <v>0</v>
      </c>
      <c r="O69" s="37"/>
      <c r="P69" s="37"/>
    </row>
    <row r="70" spans="1:16">
      <c r="A70" s="3" t="s">
        <v>11</v>
      </c>
      <c r="B70" s="31" t="s">
        <v>18</v>
      </c>
      <c r="C70" s="37">
        <f t="shared" ref="C70:N70" si="9">IF( C$68 &lt;= QUOTIENT( $C27, days_per_month ),
          days_per_month,
             IF( AND( C$68 = QUOTIENT( $C27, days_per_month ) + 1, MOD( $C27, days_per_month ) &gt; 0), MOD( $C27, days_per_month ), 0 ) )</f>
        <v>30</v>
      </c>
      <c r="D70" s="37">
        <f t="shared" si="9"/>
        <v>15</v>
      </c>
      <c r="E70" s="37">
        <f t="shared" si="9"/>
        <v>0</v>
      </c>
      <c r="F70" s="37">
        <f t="shared" si="9"/>
        <v>0</v>
      </c>
      <c r="G70" s="37">
        <f t="shared" si="9"/>
        <v>0</v>
      </c>
      <c r="H70" s="37">
        <f t="shared" si="9"/>
        <v>0</v>
      </c>
      <c r="I70" s="37">
        <f t="shared" si="9"/>
        <v>0</v>
      </c>
      <c r="J70" s="37">
        <f t="shared" si="9"/>
        <v>0</v>
      </c>
      <c r="K70" s="37">
        <f t="shared" si="9"/>
        <v>0</v>
      </c>
      <c r="L70" s="37">
        <f t="shared" si="9"/>
        <v>0</v>
      </c>
      <c r="M70" s="37">
        <f t="shared" si="9"/>
        <v>0</v>
      </c>
      <c r="N70" s="37">
        <f t="shared" si="9"/>
        <v>0</v>
      </c>
      <c r="O70" s="37"/>
      <c r="P70" s="37"/>
    </row>
    <row r="71" spans="1:16">
      <c r="A71" s="3" t="s">
        <v>12</v>
      </c>
      <c r="B71" s="31" t="s">
        <v>18</v>
      </c>
      <c r="C71" s="37">
        <f t="shared" ref="C71:N71" si="10">IF( C$68 &lt;= QUOTIENT( $C28, days_per_month ),
          days_per_month,
             IF( AND( C$68 = QUOTIENT( $C28, days_per_month ) + 1, MOD( $C28, days_per_month ) &gt; 0), MOD( $C28, days_per_month ), 0 ) )</f>
        <v>30</v>
      </c>
      <c r="D71" s="37">
        <f t="shared" si="10"/>
        <v>30</v>
      </c>
      <c r="E71" s="37">
        <f t="shared" si="10"/>
        <v>0</v>
      </c>
      <c r="F71" s="37">
        <f t="shared" si="10"/>
        <v>0</v>
      </c>
      <c r="G71" s="37">
        <f t="shared" si="10"/>
        <v>0</v>
      </c>
      <c r="H71" s="37">
        <f t="shared" si="10"/>
        <v>0</v>
      </c>
      <c r="I71" s="37">
        <f t="shared" si="10"/>
        <v>0</v>
      </c>
      <c r="J71" s="37">
        <f t="shared" si="10"/>
        <v>0</v>
      </c>
      <c r="K71" s="37">
        <f t="shared" si="10"/>
        <v>0</v>
      </c>
      <c r="L71" s="37">
        <f t="shared" si="10"/>
        <v>0</v>
      </c>
      <c r="M71" s="37">
        <f t="shared" si="10"/>
        <v>0</v>
      </c>
      <c r="N71" s="37">
        <f t="shared" si="10"/>
        <v>0</v>
      </c>
    </row>
    <row r="72" spans="1:16">
      <c r="A72" s="3"/>
      <c r="B72" s="31"/>
    </row>
    <row r="73" spans="1:16">
      <c r="A73" s="28" t="s">
        <v>48</v>
      </c>
    </row>
    <row r="74" spans="1:16">
      <c r="A74" s="43" t="s">
        <v>52</v>
      </c>
      <c r="C74" s="34">
        <v>1</v>
      </c>
      <c r="D74" s="28">
        <v>2</v>
      </c>
      <c r="E74" s="28">
        <v>3</v>
      </c>
    </row>
    <row r="75" spans="1:16">
      <c r="C75" s="49">
        <v>44500</v>
      </c>
      <c r="D75" s="41" cm="1">
        <f t="array" ref="D75:E75">EOMONTH( $C$75, _xlfn.SEQUENCE( 1, periods - 10, 1, 1 ) )</f>
        <v>44530</v>
      </c>
      <c r="E75" s="41">
        <v>44561</v>
      </c>
      <c r="F75"/>
      <c r="G75"/>
      <c r="H75"/>
      <c r="I75"/>
      <c r="J75"/>
      <c r="K75"/>
      <c r="L75"/>
      <c r="M75"/>
      <c r="N75"/>
      <c r="O75"/>
    </row>
    <row r="76" spans="1:16">
      <c r="A76" s="3" t="s">
        <v>7</v>
      </c>
      <c r="B76" s="16" t="s">
        <v>0</v>
      </c>
      <c r="C76" s="42">
        <f t="shared" ref="C76" si="11">C7</f>
        <v>210000</v>
      </c>
      <c r="D76" s="28">
        <f xml:space="preserve"> $C76</f>
        <v>210000</v>
      </c>
      <c r="E76" s="28">
        <f t="shared" ref="E76" si="12" xml:space="preserve"> $C76</f>
        <v>210000</v>
      </c>
      <c r="F76"/>
      <c r="G76"/>
      <c r="H76"/>
      <c r="I76"/>
      <c r="J76"/>
      <c r="K76"/>
      <c r="L76"/>
      <c r="M76"/>
      <c r="N76"/>
      <c r="O76"/>
    </row>
    <row r="77" spans="1:16">
      <c r="A77" s="3" t="s">
        <v>11</v>
      </c>
      <c r="B77" s="16" t="s">
        <v>0</v>
      </c>
      <c r="C77" s="42">
        <f>C12</f>
        <v>105000</v>
      </c>
      <c r="D77" s="28">
        <f t="shared" ref="D77:E78" si="13" xml:space="preserve"> $C77</f>
        <v>105000</v>
      </c>
      <c r="E77" s="28">
        <f t="shared" si="13"/>
        <v>105000</v>
      </c>
      <c r="F77"/>
      <c r="G77"/>
      <c r="H77"/>
      <c r="I77"/>
      <c r="J77"/>
      <c r="K77"/>
      <c r="L77"/>
      <c r="M77"/>
      <c r="N77"/>
      <c r="O77"/>
    </row>
    <row r="78" spans="1:16">
      <c r="A78" s="3" t="s">
        <v>12</v>
      </c>
      <c r="B78" s="16" t="s">
        <v>0</v>
      </c>
      <c r="C78" s="42">
        <f>C17</f>
        <v>195000</v>
      </c>
      <c r="D78" s="28">
        <f t="shared" si="13"/>
        <v>195000</v>
      </c>
      <c r="E78" s="28">
        <f t="shared" si="13"/>
        <v>195000</v>
      </c>
      <c r="F78"/>
      <c r="G78"/>
      <c r="H78"/>
      <c r="I78"/>
      <c r="J78"/>
      <c r="K78"/>
      <c r="L78"/>
      <c r="M78"/>
      <c r="N78"/>
      <c r="O78"/>
    </row>
    <row r="79" spans="1:16">
      <c r="A79" s="3"/>
      <c r="B79" s="16"/>
      <c r="C79" s="42"/>
      <c r="D79" s="28"/>
      <c r="E79" s="28"/>
      <c r="F79"/>
      <c r="G79"/>
      <c r="H79"/>
      <c r="I79"/>
      <c r="J79"/>
      <c r="K79"/>
      <c r="L79"/>
      <c r="M79"/>
      <c r="N79"/>
      <c r="O79"/>
    </row>
    <row r="80" spans="1:16">
      <c r="A80" s="12"/>
      <c r="B80" s="16"/>
      <c r="C80" s="34">
        <v>1</v>
      </c>
      <c r="D80" s="28">
        <v>2</v>
      </c>
      <c r="E80" s="28">
        <v>3</v>
      </c>
      <c r="F80"/>
      <c r="G80"/>
      <c r="H80"/>
      <c r="I80"/>
      <c r="J80"/>
      <c r="K80"/>
      <c r="L80"/>
      <c r="M80"/>
      <c r="N80"/>
      <c r="O80"/>
    </row>
    <row r="81" spans="1:5">
      <c r="A81" s="28" t="s">
        <v>53</v>
      </c>
      <c r="C81" s="41">
        <f t="shared" ref="C81:E81" si="14">C75</f>
        <v>44500</v>
      </c>
      <c r="D81" s="41">
        <f t="shared" si="14"/>
        <v>44530</v>
      </c>
      <c r="E81" s="41">
        <f t="shared" si="14"/>
        <v>44561</v>
      </c>
    </row>
    <row r="82" spans="1:5">
      <c r="A82" s="3" t="s">
        <v>7</v>
      </c>
      <c r="B82" s="16" t="s">
        <v>0</v>
      </c>
      <c r="E82" s="54" cm="1">
        <f t="array" ref="E82" xml:space="preserve"> _xlfn.XLOOKUP( $E$80, $C$74:$E$74, $C76:$E76, 0 )  * _xlfn.XLOOKUP( $E$80,_xlfn.ANCHORARRAY( $C$68), $C69:$N69, 1 ) / days_per_month +
  _xlfn.XLOOKUP( $D$80, $C$74:$E$74, $C76:$E76, 0 )  * _xlfn.XLOOKUP( $D$80,_xlfn.ANCHORARRAY( $C$68), $C69:$N69, 1 ) / days_per_month +
  _xlfn.XLOOKUP( $C$80, $C$74:$E$74, $C76:$E76, 0 )  * _xlfn.XLOOKUP( $C$80,_xlfn.ANCHORARRAY( $C$68), $C69:$N69, 1 ) / days_per_month</f>
        <v>630000</v>
      </c>
    </row>
    <row r="83" spans="1:5">
      <c r="A83" s="3" t="s">
        <v>11</v>
      </c>
      <c r="B83" s="16" t="s">
        <v>0</v>
      </c>
      <c r="E83" s="53" cm="1">
        <f t="array" ref="E83" xml:space="preserve"> _xlfn.XLOOKUP( $E$80, $C$74:$E$74, $C77:$E77, 0 )  * _xlfn.XLOOKUP( $E$80,_xlfn.ANCHORARRAY( $C$68), $C70:$N70, 1 ) / days_per_month +
  _xlfn.XLOOKUP( $D$80, $C$74:$E$74, $C77:$E77, 0 )  * _xlfn.XLOOKUP( $D$80,_xlfn.ANCHORARRAY( $C$68), $C70:$N70, 1 ) / days_per_month +
  _xlfn.XLOOKUP( $C$80, $C$74:$E$74, $C77:$E77, 0 )  * _xlfn.XLOOKUP( $C$80,_xlfn.ANCHORARRAY( $C$68), $C70:$N70, 1 ) / days_per_month</f>
        <v>157500</v>
      </c>
    </row>
    <row r="84" spans="1:5">
      <c r="A84" s="3" t="s">
        <v>12</v>
      </c>
      <c r="B84" s="16" t="s">
        <v>0</v>
      </c>
      <c r="E84" s="53" cm="1">
        <f t="array" ref="E84" xml:space="preserve"> _xlfn.XLOOKUP( $E$80, $C$74:$E$74, $C78:$E78, 0 )  * _xlfn.XLOOKUP( $E$80,_xlfn.ANCHORARRAY( $C$68), $C71:$N71, 1 ) / days_per_month +
  _xlfn.XLOOKUP( $D$80, $C$74:$E$74, $C78:$E78, 0 )  * _xlfn.XLOOKUP( $D$80,_xlfn.ANCHORARRAY( $C$68), $C71:$N71, 1 ) / days_per_month +
  _xlfn.XLOOKUP( $C$80, $C$74:$E$74, $C78:$E78, 0 )  * _xlfn.XLOOKUP( $C$80,_xlfn.ANCHORARRAY( $C$68), $C71:$N71, 1 ) / days_per_month</f>
        <v>390000</v>
      </c>
    </row>
    <row r="85" spans="1:5">
      <c r="A85"/>
      <c r="B85"/>
    </row>
    <row r="86" spans="1:5">
      <c r="A86"/>
      <c r="B86"/>
    </row>
    <row r="87" spans="1:5">
      <c r="A87"/>
      <c r="B87"/>
    </row>
    <row r="88" spans="1:5">
      <c r="A88"/>
      <c r="B88"/>
    </row>
    <row r="89" spans="1:5">
      <c r="A89"/>
      <c r="B89"/>
    </row>
    <row r="90" spans="1:5">
      <c r="A90"/>
      <c r="B90"/>
    </row>
    <row r="91" spans="1:5">
      <c r="A91"/>
      <c r="B91"/>
    </row>
    <row r="92" spans="1:5">
      <c r="A92"/>
      <c r="B92"/>
    </row>
    <row r="93" spans="1:5">
      <c r="A93"/>
      <c r="B93"/>
    </row>
    <row r="94" spans="1:5">
      <c r="A94"/>
      <c r="B94"/>
    </row>
    <row r="95" spans="1:5">
      <c r="A95"/>
      <c r="B95"/>
    </row>
    <row r="96" spans="1:5">
      <c r="A96"/>
      <c r="B96"/>
    </row>
    <row r="97" spans="1:2">
      <c r="A97"/>
      <c r="B97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C29948-76C6-4124-A76E-9A1917BFF836}">
  <sheetPr>
    <pageSetUpPr autoPageBreaks="0"/>
  </sheetPr>
  <dimension ref="A1:U45"/>
  <sheetViews>
    <sheetView zoomScale="85" zoomScaleNormal="85" workbookViewId="0">
      <pane xSplit="9" ySplit="3" topLeftCell="J4" activePane="bottomRight" state="frozen"/>
      <selection pane="topRight" activeCell="J1" sqref="J1"/>
      <selection pane="bottomLeft" activeCell="A4" sqref="A4"/>
      <selection pane="bottomRight" activeCell="H5" sqref="H5"/>
    </sheetView>
  </sheetViews>
  <sheetFormatPr defaultRowHeight="13.8"/>
  <cols>
    <col min="1" max="1" width="1.69921875" customWidth="1"/>
    <col min="2" max="4" width="1.59765625" customWidth="1"/>
    <col min="5" max="5" width="32.19921875" customWidth="1"/>
    <col min="6" max="7" width="11.5" customWidth="1"/>
    <col min="8" max="8" width="5.69921875" customWidth="1"/>
    <col min="9" max="9" width="1.59765625" customWidth="1"/>
    <col min="10" max="21" width="11.5" customWidth="1"/>
  </cols>
  <sheetData>
    <row r="1" spans="1:21" s="55" customFormat="1"/>
    <row r="2" spans="1:21" s="55" customFormat="1"/>
    <row r="3" spans="1:21" s="55" customFormat="1">
      <c r="F3" s="55" t="s">
        <v>55</v>
      </c>
      <c r="G3" s="55" t="s">
        <v>56</v>
      </c>
      <c r="H3" s="55" t="s">
        <v>5</v>
      </c>
      <c r="J3" s="58" cm="1">
        <f t="array" ref="J3:U3" xml:space="preserve"> EOMONTH( start_date, _xlfn.SEQUENCE( 1, periods, 0, 1 ) )</f>
        <v>44592</v>
      </c>
      <c r="K3" s="58">
        <v>44620</v>
      </c>
      <c r="L3" s="58">
        <v>44651</v>
      </c>
      <c r="M3" s="58">
        <v>44681</v>
      </c>
      <c r="N3" s="58">
        <v>44712</v>
      </c>
      <c r="O3" s="58">
        <v>44742</v>
      </c>
      <c r="P3" s="58">
        <v>44773</v>
      </c>
      <c r="Q3" s="58">
        <v>44804</v>
      </c>
      <c r="R3" s="58">
        <v>44834</v>
      </c>
      <c r="S3" s="58">
        <v>44865</v>
      </c>
      <c r="T3" s="58">
        <v>44895</v>
      </c>
      <c r="U3" s="58">
        <v>44926</v>
      </c>
    </row>
    <row r="5" spans="1:21" s="56" customFormat="1">
      <c r="A5" s="57"/>
    </row>
    <row r="45" spans="1:1" s="56" customFormat="1">
      <c r="A45" s="57" t="s">
        <v>54</v>
      </c>
    </row>
  </sheetData>
  <printOptions horizontalCentered="1"/>
  <pageMargins left="0.15748031496062992" right="0.15748031496062992" top="0.39370078740157483" bottom="0.39370078740157483" header="0.15748031496062992" footer="0.15748031496062992"/>
  <pageSetup scale="85" orientation="landscape" r:id="rId1"/>
  <headerFooter>
    <oddFooter>&amp;L&amp;"Arial,Regular"Financial Modeling Institute
CFM October 2026&amp;C&amp;"Arial,Regular"Page &amp;P of &amp;N&amp;R&amp;"Arial,Regular"&amp;D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7</vt:i4>
      </vt:variant>
      <vt:variant>
        <vt:lpstr>Named Ranges</vt:lpstr>
      </vt:variant>
      <vt:variant>
        <vt:i4>14</vt:i4>
      </vt:variant>
    </vt:vector>
  </HeadingPairs>
  <TitlesOfParts>
    <vt:vector size="21" baseType="lpstr">
      <vt:lpstr>Working Capital</vt:lpstr>
      <vt:lpstr>Accounts Payable</vt:lpstr>
      <vt:lpstr>Purchasing Plan</vt:lpstr>
      <vt:lpstr>Inventory</vt:lpstr>
      <vt:lpstr>Accounts Receivables</vt:lpstr>
      <vt:lpstr>CaseData</vt:lpstr>
      <vt:lpstr>Tmp</vt:lpstr>
      <vt:lpstr>company</vt:lpstr>
      <vt:lpstr>days_per_month</vt:lpstr>
      <vt:lpstr>periods</vt:lpstr>
      <vt:lpstr>'Accounts Payable'!Print_Area</vt:lpstr>
      <vt:lpstr>'Accounts Receivables'!Print_Area</vt:lpstr>
      <vt:lpstr>Inventory!Print_Area</vt:lpstr>
      <vt:lpstr>'Purchasing Plan'!Print_Area</vt:lpstr>
      <vt:lpstr>'Accounts Payable'!Print_Titles</vt:lpstr>
      <vt:lpstr>'Accounts Receivables'!Print_Titles</vt:lpstr>
      <vt:lpstr>Inventory!Print_Titles</vt:lpstr>
      <vt:lpstr>'Purchasing Plan'!Print_Titles</vt:lpstr>
      <vt:lpstr>Tmp!Print_Titles</vt:lpstr>
      <vt:lpstr>'Working Capital'!Print_Titles</vt:lpstr>
      <vt:lpstr>start_date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2019-10-07T17:07:36Z</dcterms:created>
  <dcterms:modified xsi:type="dcterms:W3CDTF">2026-08-12T07:07:18Z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a5a5f50-0881-436f-9c49-8a41d790817e_Enabled">
    <vt:lpwstr>true</vt:lpwstr>
  </property>
  <property fmtid="{D5CDD505-2E9C-101B-9397-08002B2CF9AE}" pid="3" name="MSIP_Label_da5a5f50-0881-436f-9c49-8a41d790817e_SetDate">
    <vt:lpwstr>2026-08-04T09:13:21Z</vt:lpwstr>
  </property>
  <property fmtid="{D5CDD505-2E9C-101B-9397-08002B2CF9AE}" pid="4" name="MSIP_Label_da5a5f50-0881-436f-9c49-8a41d790817e_Method">
    <vt:lpwstr>Privileged</vt:lpwstr>
  </property>
  <property fmtid="{D5CDD505-2E9C-101B-9397-08002B2CF9AE}" pid="5" name="MSIP_Label_da5a5f50-0881-436f-9c49-8a41d790817e_Name">
    <vt:lpwstr>L1</vt:lpwstr>
  </property>
  <property fmtid="{D5CDD505-2E9C-101B-9397-08002B2CF9AE}" pid="6" name="MSIP_Label_da5a5f50-0881-436f-9c49-8a41d790817e_SiteId">
    <vt:lpwstr>02e3c4d5-27fd-43fe-8203-97710d02fae4</vt:lpwstr>
  </property>
  <property fmtid="{D5CDD505-2E9C-101B-9397-08002B2CF9AE}" pid="7" name="MSIP_Label_da5a5f50-0881-436f-9c49-8a41d790817e_ActionId">
    <vt:lpwstr>fe903766-5c9b-427e-9dca-1817625a49a9</vt:lpwstr>
  </property>
  <property fmtid="{D5CDD505-2E9C-101B-9397-08002B2CF9AE}" pid="8" name="MSIP_Label_da5a5f50-0881-436f-9c49-8a41d790817e_ContentBits">
    <vt:lpwstr>0</vt:lpwstr>
  </property>
  <property fmtid="{D5CDD505-2E9C-101B-9397-08002B2CF9AE}" pid="9" name="MSIP_Label_da5a5f50-0881-436f-9c49-8a41d790817e_Tag">
    <vt:lpwstr>10, 0, 1, 1</vt:lpwstr>
  </property>
</Properties>
</file>