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8"/>
  <workbookPr filterPrivacy="1" defaultThemeVersion="124226"/>
  <xr:revisionPtr revIDLastSave="934" documentId="8_{E9E140DA-BB8F-41EA-B87E-9252E03E609D}" xr6:coauthVersionLast="47" xr6:coauthVersionMax="47" xr10:uidLastSave="{934F2DBE-8B64-4C60-B641-4BA39309AABF}"/>
  <bookViews>
    <workbookView xWindow="-120" yWindow="-120" windowWidth="25440" windowHeight="15990" xr2:uid="{00000000-000D-0000-FFFF-FFFF00000000}"/>
  </bookViews>
  <sheets>
    <sheet name="Acquisition" sheetId="44" r:id="rId1"/>
    <sheet name="CaseData" sheetId="41" r:id="rId2"/>
    <sheet name="CaseSolution" sheetId="43" r:id="rId3"/>
  </sheets>
  <definedNames>
    <definedName name="company">Acquisition!$F$270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40869.3787037037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A8" hidden="1">"$A$9:$A$261"</definedName>
    <definedName name="IQRB8" hidden="1">"$B$9:$B$261"</definedName>
    <definedName name="IQRC8" hidden="1">"$C$9:$C$261"</definedName>
    <definedName name="methods">Acquisition!$F$278:$F$279</definedName>
    <definedName name="percentage">Acquisition!$F$8</definedName>
    <definedName name="_xlnm.Print_Area" localSheetId="0">Acquisition!$A$1:$N$94</definedName>
    <definedName name="Pro_Forma_FS">CaseSolution!$B$29:$I$123</definedName>
    <definedName name="selector">Acquisition!$F$9</definedName>
    <definedName name="topic">"CFM Topic: " &amp; Acquisition!$F$271</definedName>
    <definedName name="value">Acquisition!$F$7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86" i="44" l="1" a="1"/>
  <c r="J48" i="44" a="1"/>
  <c r="J68" i="44" a="1"/>
  <c r="J67" i="44" a="1"/>
  <c r="G87" i="44"/>
  <c r="H87" i="44"/>
  <c r="J15" i="44" a="1"/>
  <c r="J16" i="44" a="1"/>
  <c r="J17" i="44"/>
  <c r="J18" i="44" a="1"/>
  <c r="J19" i="44"/>
  <c r="J20" i="44" a="1"/>
  <c r="J21" i="44"/>
  <c r="J22" i="44" a="1"/>
  <c r="J23" i="44"/>
  <c r="J24" i="44" a="1"/>
  <c r="J25" i="44"/>
  <c r="J26" i="44" a="1"/>
  <c r="J27" i="44" a="1"/>
  <c r="J28" i="44"/>
  <c r="J87" i="44"/>
  <c r="K17" i="44"/>
  <c r="K19" i="44"/>
  <c r="K21" i="44"/>
  <c r="K23" i="44"/>
  <c r="K25" i="44"/>
  <c r="K28" i="44"/>
  <c r="K87" i="44"/>
  <c r="L17" i="44"/>
  <c r="L19" i="44"/>
  <c r="L21" i="44"/>
  <c r="L23" i="44"/>
  <c r="L25" i="44"/>
  <c r="L28" i="44"/>
  <c r="L87" i="44"/>
  <c r="M17" i="44"/>
  <c r="M19" i="44"/>
  <c r="M21" i="44"/>
  <c r="M23" i="44"/>
  <c r="M25" i="44"/>
  <c r="M28" i="44"/>
  <c r="M87" i="44"/>
  <c r="N17" i="44"/>
  <c r="N19" i="44"/>
  <c r="N21" i="44"/>
  <c r="N23" i="44"/>
  <c r="N25" i="44"/>
  <c r="N28" i="44"/>
  <c r="N87" i="44"/>
  <c r="G65" i="44"/>
  <c r="H65" i="44"/>
  <c r="J65" i="44"/>
  <c r="K65" i="44"/>
  <c r="L65" i="44"/>
  <c r="M65" i="44"/>
  <c r="N65" i="44"/>
  <c r="G66" i="44"/>
  <c r="H66" i="44"/>
  <c r="J66" i="44"/>
  <c r="K66" i="44"/>
  <c r="L66" i="44"/>
  <c r="M66" i="44"/>
  <c r="N66" i="44"/>
  <c r="G67" i="44"/>
  <c r="H67" i="44"/>
  <c r="G68" i="44"/>
  <c r="H68" i="44"/>
  <c r="N69" i="44"/>
  <c r="M69" i="44"/>
  <c r="L69" i="44"/>
  <c r="K69" i="44"/>
  <c r="J69" i="44"/>
  <c r="G88" i="44"/>
  <c r="H88" i="44"/>
  <c r="J36" i="44" a="1"/>
  <c r="J47" i="44" a="1"/>
  <c r="J88" i="44"/>
  <c r="K88" i="44"/>
  <c r="L88" i="44"/>
  <c r="M88" i="44"/>
  <c r="N88" i="44"/>
  <c r="I65" i="44"/>
  <c r="I66" i="44"/>
  <c r="N89" i="44"/>
  <c r="M89" i="44"/>
  <c r="L89" i="44"/>
  <c r="K89" i="44"/>
  <c r="J89" i="44"/>
  <c r="J80" i="44" a="1"/>
  <c r="J79" i="44" a="1"/>
  <c r="J76" i="44" a="1"/>
  <c r="J75" i="44" a="1"/>
  <c r="J74" i="44" a="1"/>
  <c r="J62" i="44" a="1"/>
  <c r="J61" i="44" a="1"/>
  <c r="J60" i="44" a="1"/>
  <c r="G59" i="44"/>
  <c r="H59" i="44"/>
  <c r="I53" i="44"/>
  <c r="J51" i="44"/>
  <c r="J34" i="44" a="1"/>
  <c r="J35" i="44" a="1"/>
  <c r="J37" i="44" a="1"/>
  <c r="J38" i="44"/>
  <c r="J41" i="44" a="1"/>
  <c r="J42" i="44"/>
  <c r="J45" i="44" a="1"/>
  <c r="J46" i="44" a="1"/>
  <c r="J49" i="44"/>
  <c r="J52" i="44"/>
  <c r="J53" i="44"/>
  <c r="K51" i="44"/>
  <c r="K38" i="44"/>
  <c r="K42" i="44"/>
  <c r="K49" i="44"/>
  <c r="K52" i="44"/>
  <c r="K53" i="44"/>
  <c r="L51" i="44"/>
  <c r="L38" i="44"/>
  <c r="L42" i="44"/>
  <c r="L49" i="44"/>
  <c r="L52" i="44"/>
  <c r="L53" i="44"/>
  <c r="M51" i="44"/>
  <c r="M38" i="44"/>
  <c r="M42" i="44"/>
  <c r="M49" i="44"/>
  <c r="M52" i="44"/>
  <c r="M53" i="44"/>
  <c r="N51" i="44"/>
  <c r="N38" i="44"/>
  <c r="N42" i="44"/>
  <c r="N49" i="44"/>
  <c r="N52" i="44"/>
  <c r="N53" i="44"/>
  <c r="J59" i="44" a="1"/>
  <c r="G62" i="44"/>
  <c r="G61" i="44"/>
  <c r="G60" i="44"/>
  <c r="G86" i="44"/>
  <c r="G89" i="44"/>
  <c r="G74" i="44"/>
  <c r="G75" i="44"/>
  <c r="G76" i="44"/>
  <c r="G77" i="44"/>
  <c r="G79" i="44"/>
  <c r="G80" i="44"/>
  <c r="G81" i="44"/>
  <c r="G83" i="44"/>
  <c r="G91" i="44"/>
  <c r="H91" i="44"/>
  <c r="G63" i="44"/>
  <c r="G69" i="44"/>
  <c r="G71" i="44"/>
  <c r="H71" i="44"/>
  <c r="H92" i="44"/>
  <c r="G92" i="44"/>
  <c r="F92" i="44"/>
  <c r="N77" i="44"/>
  <c r="N81" i="44"/>
  <c r="N83" i="44"/>
  <c r="N91" i="44"/>
  <c r="M77" i="44"/>
  <c r="M81" i="44"/>
  <c r="M83" i="44"/>
  <c r="M91" i="44"/>
  <c r="L77" i="44"/>
  <c r="L81" i="44"/>
  <c r="L83" i="44"/>
  <c r="L91" i="44"/>
  <c r="K77" i="44"/>
  <c r="K81" i="44"/>
  <c r="K83" i="44"/>
  <c r="K91" i="44"/>
  <c r="J77" i="44"/>
  <c r="J81" i="44"/>
  <c r="J83" i="44"/>
  <c r="J91" i="44"/>
  <c r="F91" i="44"/>
  <c r="H89" i="44"/>
  <c r="F89" i="44"/>
  <c r="E97" i="44" a="1"/>
  <c r="F148" i="44" a="1"/>
  <c r="F86" i="44" a="1"/>
  <c r="E183" i="44" a="1"/>
  <c r="F234" i="44" a="1"/>
  <c r="F74" i="44" a="1"/>
  <c r="F79" i="44" a="1"/>
  <c r="F83" i="44"/>
  <c r="F8" i="44"/>
  <c r="F7" i="44"/>
  <c r="F59" i="44" a="1"/>
  <c r="F67" i="44" a="1"/>
  <c r="F71" i="44"/>
  <c r="J273" i="44"/>
  <c r="J274" i="44"/>
  <c r="J277" i="44"/>
  <c r="K273" i="44"/>
  <c r="K274" i="44"/>
  <c r="K277" i="44"/>
  <c r="L273" i="44"/>
  <c r="L274" i="44"/>
  <c r="L277" i="44"/>
  <c r="M273" i="44"/>
  <c r="M274" i="44"/>
  <c r="M277" i="44"/>
  <c r="N273" i="44"/>
  <c r="N274" i="44"/>
  <c r="N277" i="44"/>
  <c r="J97" i="44" a="1"/>
  <c r="J3" i="44"/>
  <c r="K3" i="44"/>
  <c r="L3" i="44"/>
  <c r="M3" i="44"/>
  <c r="N3" i="44"/>
  <c r="J183" i="44" a="1"/>
  <c r="I91" i="44"/>
  <c r="I87" i="44"/>
  <c r="H86" i="44"/>
  <c r="I86" i="44"/>
  <c r="H83" i="44"/>
  <c r="I83" i="44"/>
  <c r="H81" i="44"/>
  <c r="I81" i="44"/>
  <c r="H80" i="44"/>
  <c r="I80" i="44"/>
  <c r="H79" i="44"/>
  <c r="I79" i="44"/>
  <c r="H77" i="44"/>
  <c r="I77" i="44"/>
  <c r="H76" i="44"/>
  <c r="I76" i="44"/>
  <c r="H75" i="44"/>
  <c r="I75" i="44"/>
  <c r="H74" i="44"/>
  <c r="I74" i="44"/>
  <c r="I71" i="44"/>
  <c r="H69" i="44"/>
  <c r="I69" i="44"/>
  <c r="I68" i="44"/>
  <c r="I67" i="44"/>
  <c r="H63" i="44"/>
  <c r="I63" i="44"/>
  <c r="H62" i="44"/>
  <c r="H61" i="44"/>
  <c r="H60" i="44"/>
  <c r="H58" i="44"/>
  <c r="F57" i="44"/>
  <c r="N63" i="44"/>
  <c r="N71" i="44"/>
  <c r="N92" i="44"/>
  <c r="M63" i="44"/>
  <c r="M71" i="44"/>
  <c r="M92" i="44"/>
  <c r="L63" i="44"/>
  <c r="L71" i="44"/>
  <c r="L92" i="44"/>
  <c r="K63" i="44"/>
  <c r="K71" i="44"/>
  <c r="K92" i="44"/>
  <c r="J63" i="44"/>
  <c r="J71" i="44"/>
  <c r="J92" i="44"/>
  <c r="K275" i="44"/>
  <c r="L275" i="44"/>
  <c r="M275" i="44"/>
  <c r="N275" i="44"/>
  <c r="J275" i="44"/>
  <c r="Z132" i="43"/>
  <c r="O132" i="43"/>
  <c r="F147" i="44"/>
  <c r="F233" i="44"/>
  <c r="E13" i="41"/>
  <c r="F13" i="41"/>
  <c r="G13" i="41"/>
  <c r="H13" i="41"/>
  <c r="D13" i="41"/>
  <c r="E8" i="44"/>
  <c r="G8" i="44"/>
  <c r="E7" i="44"/>
  <c r="A2" i="44" a="1"/>
  <c r="A1" i="44" a="1"/>
  <c r="AB74" i="43"/>
  <c r="AC74" i="43"/>
  <c r="AD74" i="43"/>
  <c r="AE74" i="43"/>
  <c r="AA74" i="43"/>
  <c r="E26" i="43"/>
  <c r="E25" i="43"/>
  <c r="AE296" i="43"/>
  <c r="AD296" i="43"/>
  <c r="AC296" i="43"/>
  <c r="AB296" i="43"/>
  <c r="AA296" i="43"/>
  <c r="Z296" i="43"/>
  <c r="T296" i="43"/>
  <c r="S296" i="43"/>
  <c r="R296" i="43"/>
  <c r="Q296" i="43"/>
  <c r="P296" i="43"/>
  <c r="O296" i="43"/>
  <c r="AE295" i="43"/>
  <c r="AD295" i="43"/>
  <c r="AC295" i="43"/>
  <c r="AB295" i="43"/>
  <c r="AA295" i="43"/>
  <c r="Z295" i="43"/>
  <c r="T295" i="43"/>
  <c r="S295" i="43"/>
  <c r="R295" i="43"/>
  <c r="Q295" i="43"/>
  <c r="P295" i="43"/>
  <c r="O295" i="43"/>
  <c r="AE289" i="43"/>
  <c r="AD289" i="43"/>
  <c r="AC289" i="43"/>
  <c r="AB289" i="43"/>
  <c r="AA289" i="43"/>
  <c r="Z289" i="43"/>
  <c r="T289" i="43"/>
  <c r="S289" i="43"/>
  <c r="R289" i="43"/>
  <c r="Q289" i="43"/>
  <c r="P289" i="43"/>
  <c r="O289" i="43"/>
  <c r="AE288" i="43"/>
  <c r="AD288" i="43"/>
  <c r="AC288" i="43"/>
  <c r="AB288" i="43"/>
  <c r="AA288" i="43"/>
  <c r="Z288" i="43"/>
  <c r="T288" i="43"/>
  <c r="S288" i="43"/>
  <c r="R288" i="43"/>
  <c r="Q288" i="43"/>
  <c r="P288" i="43"/>
  <c r="O288" i="43"/>
  <c r="AE285" i="43"/>
  <c r="AD285" i="43"/>
  <c r="AC285" i="43"/>
  <c r="AB285" i="43"/>
  <c r="AA285" i="43"/>
  <c r="Z285" i="43"/>
  <c r="T285" i="43"/>
  <c r="S285" i="43"/>
  <c r="R285" i="43"/>
  <c r="Q285" i="43"/>
  <c r="P285" i="43"/>
  <c r="O285" i="43"/>
  <c r="AE284" i="43"/>
  <c r="AD284" i="43"/>
  <c r="AC284" i="43"/>
  <c r="AB284" i="43"/>
  <c r="AA284" i="43"/>
  <c r="Z284" i="43"/>
  <c r="T284" i="43"/>
  <c r="S284" i="43"/>
  <c r="R284" i="43"/>
  <c r="Q284" i="43"/>
  <c r="P284" i="43"/>
  <c r="O284" i="43"/>
  <c r="AE283" i="43"/>
  <c r="AD283" i="43"/>
  <c r="AC283" i="43"/>
  <c r="AB283" i="43"/>
  <c r="AA283" i="43"/>
  <c r="Z283" i="43"/>
  <c r="T283" i="43"/>
  <c r="S283" i="43"/>
  <c r="R283" i="43"/>
  <c r="Q283" i="43"/>
  <c r="P283" i="43"/>
  <c r="O283" i="43"/>
  <c r="AE277" i="43"/>
  <c r="AD277" i="43"/>
  <c r="AC277" i="43"/>
  <c r="AB277" i="43"/>
  <c r="AA277" i="43"/>
  <c r="Z277" i="43"/>
  <c r="T277" i="43"/>
  <c r="S277" i="43"/>
  <c r="R277" i="43"/>
  <c r="Q277" i="43"/>
  <c r="P277" i="43"/>
  <c r="O277" i="43"/>
  <c r="AE276" i="43"/>
  <c r="AD276" i="43"/>
  <c r="AC276" i="43"/>
  <c r="AB276" i="43"/>
  <c r="AA276" i="43"/>
  <c r="Z276" i="43"/>
  <c r="T276" i="43"/>
  <c r="S276" i="43"/>
  <c r="R276" i="43"/>
  <c r="Q276" i="43"/>
  <c r="P276" i="43"/>
  <c r="O276" i="43"/>
  <c r="AE273" i="43"/>
  <c r="AD273" i="43"/>
  <c r="AC273" i="43"/>
  <c r="AB273" i="43"/>
  <c r="AA273" i="43"/>
  <c r="Z273" i="43"/>
  <c r="T273" i="43"/>
  <c r="S273" i="43"/>
  <c r="R273" i="43"/>
  <c r="Q273" i="43"/>
  <c r="P273" i="43"/>
  <c r="O273" i="43"/>
  <c r="AE272" i="43"/>
  <c r="AD272" i="43"/>
  <c r="AC272" i="43"/>
  <c r="AB272" i="43"/>
  <c r="AA272" i="43"/>
  <c r="Z272" i="43"/>
  <c r="T272" i="43"/>
  <c r="S272" i="43"/>
  <c r="R272" i="43"/>
  <c r="Q272" i="43"/>
  <c r="P272" i="43"/>
  <c r="O272" i="43"/>
  <c r="AE271" i="43"/>
  <c r="AD271" i="43"/>
  <c r="AC271" i="43"/>
  <c r="AB271" i="43"/>
  <c r="AA271" i="43"/>
  <c r="Z271" i="43"/>
  <c r="T271" i="43"/>
  <c r="S271" i="43"/>
  <c r="R271" i="43"/>
  <c r="Q271" i="43"/>
  <c r="P271" i="43"/>
  <c r="O271" i="43"/>
  <c r="Z258" i="43"/>
  <c r="O258" i="43"/>
  <c r="AE255" i="43"/>
  <c r="AD255" i="43"/>
  <c r="AC255" i="43"/>
  <c r="AB255" i="43"/>
  <c r="AA255" i="43"/>
  <c r="Z255" i="43"/>
  <c r="T255" i="43"/>
  <c r="S255" i="43"/>
  <c r="R255" i="43"/>
  <c r="Q255" i="43"/>
  <c r="P255" i="43"/>
  <c r="O255" i="43"/>
  <c r="AE254" i="43"/>
  <c r="AD254" i="43"/>
  <c r="AC254" i="43"/>
  <c r="AB254" i="43"/>
  <c r="AA254" i="43"/>
  <c r="Z254" i="43"/>
  <c r="T254" i="43"/>
  <c r="S254" i="43"/>
  <c r="R254" i="43"/>
  <c r="Q254" i="43"/>
  <c r="P254" i="43"/>
  <c r="O254" i="43"/>
  <c r="AE253" i="43"/>
  <c r="AD253" i="43"/>
  <c r="AC253" i="43"/>
  <c r="AB253" i="43"/>
  <c r="AA253" i="43"/>
  <c r="Z253" i="43"/>
  <c r="T253" i="43"/>
  <c r="S253" i="43"/>
  <c r="R253" i="43"/>
  <c r="Q253" i="43"/>
  <c r="P253" i="43"/>
  <c r="O253" i="43"/>
  <c r="AE249" i="43"/>
  <c r="AD249" i="43"/>
  <c r="AC249" i="43"/>
  <c r="AB249" i="43"/>
  <c r="AA249" i="43"/>
  <c r="Z249" i="43"/>
  <c r="T249" i="43"/>
  <c r="S249" i="43"/>
  <c r="R249" i="43"/>
  <c r="Q249" i="43"/>
  <c r="P249" i="43"/>
  <c r="O249" i="43"/>
  <c r="AE245" i="43"/>
  <c r="AD245" i="43"/>
  <c r="AC245" i="43"/>
  <c r="AB245" i="43"/>
  <c r="AA245" i="43"/>
  <c r="Z245" i="43"/>
  <c r="T245" i="43"/>
  <c r="S245" i="43"/>
  <c r="R245" i="43"/>
  <c r="Q245" i="43"/>
  <c r="P245" i="43"/>
  <c r="O245" i="43"/>
  <c r="AE232" i="43"/>
  <c r="AD232" i="43"/>
  <c r="AC232" i="43"/>
  <c r="AB232" i="43"/>
  <c r="AA232" i="43"/>
  <c r="Z232" i="43"/>
  <c r="T232" i="43"/>
  <c r="S232" i="43"/>
  <c r="R232" i="43"/>
  <c r="Q232" i="43"/>
  <c r="P232" i="43"/>
  <c r="O232" i="43"/>
  <c r="AE230" i="43"/>
  <c r="AD230" i="43"/>
  <c r="AC230" i="43"/>
  <c r="AB230" i="43"/>
  <c r="AA230" i="43"/>
  <c r="Z230" i="43"/>
  <c r="T230" i="43"/>
  <c r="S230" i="43"/>
  <c r="R230" i="43"/>
  <c r="Q230" i="43"/>
  <c r="P230" i="43"/>
  <c r="O230" i="43"/>
  <c r="AE228" i="43"/>
  <c r="AD228" i="43"/>
  <c r="AC228" i="43"/>
  <c r="AB228" i="43"/>
  <c r="AA228" i="43"/>
  <c r="Z228" i="43"/>
  <c r="T228" i="43"/>
  <c r="S228" i="43"/>
  <c r="R228" i="43"/>
  <c r="Q228" i="43"/>
  <c r="P228" i="43"/>
  <c r="O228" i="43"/>
  <c r="AE226" i="43"/>
  <c r="AD226" i="43"/>
  <c r="AC226" i="43"/>
  <c r="AB226" i="43"/>
  <c r="AA226" i="43"/>
  <c r="Z226" i="43"/>
  <c r="T226" i="43"/>
  <c r="S226" i="43"/>
  <c r="R226" i="43"/>
  <c r="Q226" i="43"/>
  <c r="P226" i="43"/>
  <c r="O226" i="43"/>
  <c r="AE224" i="43"/>
  <c r="AD224" i="43"/>
  <c r="AC224" i="43"/>
  <c r="AB224" i="43"/>
  <c r="AA224" i="43"/>
  <c r="Z224" i="43"/>
  <c r="T224" i="43"/>
  <c r="S224" i="43"/>
  <c r="R224" i="43"/>
  <c r="Q224" i="43"/>
  <c r="P224" i="43"/>
  <c r="O224" i="43"/>
  <c r="AE223" i="43"/>
  <c r="AD223" i="43"/>
  <c r="AC223" i="43"/>
  <c r="AB223" i="43"/>
  <c r="AA223" i="43"/>
  <c r="Z223" i="43"/>
  <c r="T223" i="43"/>
  <c r="S223" i="43"/>
  <c r="R223" i="43"/>
  <c r="Q223" i="43"/>
  <c r="P223" i="43"/>
  <c r="O223" i="43"/>
  <c r="AE207" i="43"/>
  <c r="AD207" i="43"/>
  <c r="AC207" i="43"/>
  <c r="AB207" i="43"/>
  <c r="AA207" i="43"/>
  <c r="Z207" i="43"/>
  <c r="T207" i="43"/>
  <c r="S207" i="43"/>
  <c r="R207" i="43"/>
  <c r="Q207" i="43"/>
  <c r="P207" i="43"/>
  <c r="O207" i="43"/>
  <c r="AE206" i="43"/>
  <c r="AD206" i="43"/>
  <c r="AC206" i="43"/>
  <c r="AB206" i="43"/>
  <c r="AA206" i="43"/>
  <c r="Z206" i="43"/>
  <c r="T206" i="43"/>
  <c r="S206" i="43"/>
  <c r="R206" i="43"/>
  <c r="Q206" i="43"/>
  <c r="P206" i="43"/>
  <c r="O206" i="43"/>
  <c r="AE200" i="43"/>
  <c r="AD200" i="43"/>
  <c r="AC200" i="43"/>
  <c r="AB200" i="43"/>
  <c r="AA200" i="43"/>
  <c r="Z200" i="43"/>
  <c r="T200" i="43"/>
  <c r="S200" i="43"/>
  <c r="R200" i="43"/>
  <c r="Q200" i="43"/>
  <c r="P200" i="43"/>
  <c r="O200" i="43"/>
  <c r="AE199" i="43"/>
  <c r="AD199" i="43"/>
  <c r="AC199" i="43"/>
  <c r="AB199" i="43"/>
  <c r="AA199" i="43"/>
  <c r="Z199" i="43"/>
  <c r="T199" i="43"/>
  <c r="S199" i="43"/>
  <c r="R199" i="43"/>
  <c r="Q199" i="43"/>
  <c r="P199" i="43"/>
  <c r="O199" i="43"/>
  <c r="AE196" i="43"/>
  <c r="AD196" i="43"/>
  <c r="AC196" i="43"/>
  <c r="AB196" i="43"/>
  <c r="AA196" i="43"/>
  <c r="Z196" i="43"/>
  <c r="T196" i="43"/>
  <c r="S196" i="43"/>
  <c r="R196" i="43"/>
  <c r="Q196" i="43"/>
  <c r="P196" i="43"/>
  <c r="O196" i="43"/>
  <c r="AE195" i="43"/>
  <c r="AD195" i="43"/>
  <c r="AC195" i="43"/>
  <c r="AB195" i="43"/>
  <c r="AA195" i="43"/>
  <c r="Z195" i="43"/>
  <c r="T195" i="43"/>
  <c r="S195" i="43"/>
  <c r="R195" i="43"/>
  <c r="Q195" i="43"/>
  <c r="P195" i="43"/>
  <c r="O195" i="43"/>
  <c r="AE194" i="43"/>
  <c r="AD194" i="43"/>
  <c r="AC194" i="43"/>
  <c r="AB194" i="43"/>
  <c r="AA194" i="43"/>
  <c r="Z194" i="43"/>
  <c r="T194" i="43"/>
  <c r="S194" i="43"/>
  <c r="R194" i="43"/>
  <c r="Q194" i="43"/>
  <c r="P194" i="43"/>
  <c r="O194" i="43"/>
  <c r="AE188" i="43"/>
  <c r="AD188" i="43"/>
  <c r="AC188" i="43"/>
  <c r="AB188" i="43"/>
  <c r="AA188" i="43"/>
  <c r="Z188" i="43"/>
  <c r="T188" i="43"/>
  <c r="S188" i="43"/>
  <c r="R188" i="43"/>
  <c r="Q188" i="43"/>
  <c r="P188" i="43"/>
  <c r="O188" i="43"/>
  <c r="AE187" i="43"/>
  <c r="AD187" i="43"/>
  <c r="AC187" i="43"/>
  <c r="AB187" i="43"/>
  <c r="AA187" i="43"/>
  <c r="Z187" i="43"/>
  <c r="T187" i="43"/>
  <c r="S187" i="43"/>
  <c r="R187" i="43"/>
  <c r="Q187" i="43"/>
  <c r="P187" i="43"/>
  <c r="O187" i="43"/>
  <c r="AE184" i="43"/>
  <c r="AD184" i="43"/>
  <c r="AC184" i="43"/>
  <c r="AB184" i="43"/>
  <c r="AA184" i="43"/>
  <c r="Z184" i="43"/>
  <c r="T184" i="43"/>
  <c r="S184" i="43"/>
  <c r="R184" i="43"/>
  <c r="Q184" i="43"/>
  <c r="P184" i="43"/>
  <c r="O184" i="43"/>
  <c r="AE183" i="43"/>
  <c r="AD183" i="43"/>
  <c r="AC183" i="43"/>
  <c r="AB183" i="43"/>
  <c r="AA183" i="43"/>
  <c r="Z183" i="43"/>
  <c r="T183" i="43"/>
  <c r="S183" i="43"/>
  <c r="R183" i="43"/>
  <c r="Q183" i="43"/>
  <c r="P183" i="43"/>
  <c r="O183" i="43"/>
  <c r="AE182" i="43"/>
  <c r="AD182" i="43"/>
  <c r="AC182" i="43"/>
  <c r="AB182" i="43"/>
  <c r="AA182" i="43"/>
  <c r="Z182" i="43"/>
  <c r="T182" i="43"/>
  <c r="S182" i="43"/>
  <c r="R182" i="43"/>
  <c r="Q182" i="43"/>
  <c r="P182" i="43"/>
  <c r="O182" i="43"/>
  <c r="Z169" i="43"/>
  <c r="O169" i="43"/>
  <c r="AE166" i="43"/>
  <c r="AD166" i="43"/>
  <c r="AC166" i="43"/>
  <c r="AB166" i="43"/>
  <c r="AA166" i="43"/>
  <c r="Z166" i="43"/>
  <c r="T166" i="43"/>
  <c r="S166" i="43"/>
  <c r="R166" i="43"/>
  <c r="Q166" i="43"/>
  <c r="P166" i="43"/>
  <c r="O166" i="43"/>
  <c r="AE165" i="43"/>
  <c r="AD165" i="43"/>
  <c r="AC165" i="43"/>
  <c r="AB165" i="43"/>
  <c r="AA165" i="43"/>
  <c r="Z165" i="43"/>
  <c r="T165" i="43"/>
  <c r="S165" i="43"/>
  <c r="R165" i="43"/>
  <c r="Q165" i="43"/>
  <c r="P165" i="43"/>
  <c r="O165" i="43"/>
  <c r="AE164" i="43"/>
  <c r="AD164" i="43"/>
  <c r="AC164" i="43"/>
  <c r="AB164" i="43"/>
  <c r="AA164" i="43"/>
  <c r="Z164" i="43"/>
  <c r="T164" i="43"/>
  <c r="S164" i="43"/>
  <c r="R164" i="43"/>
  <c r="Q164" i="43"/>
  <c r="P164" i="43"/>
  <c r="O164" i="43"/>
  <c r="AE160" i="43"/>
  <c r="AD160" i="43"/>
  <c r="AC160" i="43"/>
  <c r="AB160" i="43"/>
  <c r="AA160" i="43"/>
  <c r="Z160" i="43"/>
  <c r="T160" i="43"/>
  <c r="S160" i="43"/>
  <c r="R160" i="43"/>
  <c r="Q160" i="43"/>
  <c r="P160" i="43"/>
  <c r="O160" i="43"/>
  <c r="AE156" i="43"/>
  <c r="AD156" i="43"/>
  <c r="AC156" i="43"/>
  <c r="AB156" i="43"/>
  <c r="AA156" i="43"/>
  <c r="Z156" i="43"/>
  <c r="T156" i="43"/>
  <c r="S156" i="43"/>
  <c r="R156" i="43"/>
  <c r="Q156" i="43"/>
  <c r="P156" i="43"/>
  <c r="O156" i="43"/>
  <c r="AE143" i="43"/>
  <c r="AD143" i="43"/>
  <c r="AC143" i="43"/>
  <c r="AB143" i="43"/>
  <c r="AA143" i="43"/>
  <c r="Z143" i="43"/>
  <c r="T143" i="43"/>
  <c r="S143" i="43"/>
  <c r="R143" i="43"/>
  <c r="Q143" i="43"/>
  <c r="P143" i="43"/>
  <c r="O143" i="43"/>
  <c r="AE141" i="43"/>
  <c r="AD141" i="43"/>
  <c r="AC141" i="43"/>
  <c r="AB141" i="43"/>
  <c r="AA141" i="43"/>
  <c r="Z141" i="43"/>
  <c r="T141" i="43"/>
  <c r="S141" i="43"/>
  <c r="R141" i="43"/>
  <c r="Q141" i="43"/>
  <c r="P141" i="43"/>
  <c r="O141" i="43"/>
  <c r="AE139" i="43"/>
  <c r="AD139" i="43"/>
  <c r="AC139" i="43"/>
  <c r="AB139" i="43"/>
  <c r="AA139" i="43"/>
  <c r="Z139" i="43"/>
  <c r="T139" i="43"/>
  <c r="S139" i="43"/>
  <c r="R139" i="43"/>
  <c r="Q139" i="43"/>
  <c r="P139" i="43"/>
  <c r="O139" i="43"/>
  <c r="AE137" i="43"/>
  <c r="AD137" i="43"/>
  <c r="AC137" i="43"/>
  <c r="AB137" i="43"/>
  <c r="AA137" i="43"/>
  <c r="Z137" i="43"/>
  <c r="T137" i="43"/>
  <c r="S137" i="43"/>
  <c r="R137" i="43"/>
  <c r="Q137" i="43"/>
  <c r="P137" i="43"/>
  <c r="O137" i="43"/>
  <c r="AE135" i="43"/>
  <c r="AD135" i="43"/>
  <c r="AC135" i="43"/>
  <c r="AB135" i="43"/>
  <c r="AA135" i="43"/>
  <c r="Z135" i="43"/>
  <c r="T135" i="43"/>
  <c r="S135" i="43"/>
  <c r="R135" i="43"/>
  <c r="Q135" i="43"/>
  <c r="P135" i="43"/>
  <c r="O135" i="43"/>
  <c r="AE134" i="43"/>
  <c r="AD134" i="43"/>
  <c r="AC134" i="43"/>
  <c r="AB134" i="43"/>
  <c r="AA134" i="43"/>
  <c r="Z134" i="43"/>
  <c r="T134" i="43"/>
  <c r="S134" i="43"/>
  <c r="R134" i="43"/>
  <c r="Q134" i="43"/>
  <c r="P134" i="43"/>
  <c r="N25" i="43"/>
  <c r="O134" i="43"/>
  <c r="O136" i="43"/>
  <c r="O138" i="43"/>
  <c r="O140" i="43"/>
  <c r="O142" i="43"/>
  <c r="O144" i="43"/>
  <c r="O154" i="43"/>
  <c r="AD297" i="43"/>
  <c r="AC297" i="43"/>
  <c r="AB297" i="43"/>
  <c r="AA297" i="43"/>
  <c r="Z297" i="43"/>
  <c r="Q297" i="43"/>
  <c r="P297" i="43"/>
  <c r="O297" i="43"/>
  <c r="Y110" i="43"/>
  <c r="AE290" i="43"/>
  <c r="AD290" i="43"/>
  <c r="AC290" i="43"/>
  <c r="AA290" i="43"/>
  <c r="S290" i="43"/>
  <c r="R290" i="43"/>
  <c r="Q290" i="43"/>
  <c r="P290" i="43"/>
  <c r="AD286" i="43"/>
  <c r="AC286" i="43"/>
  <c r="AB286" i="43"/>
  <c r="Z286" i="43"/>
  <c r="T286" i="43"/>
  <c r="S286" i="43"/>
  <c r="R286" i="43"/>
  <c r="Q286" i="43"/>
  <c r="P286" i="43"/>
  <c r="O286" i="43"/>
  <c r="AD278" i="43"/>
  <c r="AC278" i="43"/>
  <c r="AB278" i="43"/>
  <c r="Q278" i="43"/>
  <c r="P278" i="43"/>
  <c r="O278" i="43"/>
  <c r="AC256" i="43"/>
  <c r="AA256" i="43"/>
  <c r="P256" i="43"/>
  <c r="AE256" i="43"/>
  <c r="AB256" i="43"/>
  <c r="Z256" i="43"/>
  <c r="T256" i="43"/>
  <c r="R256" i="43"/>
  <c r="AB250" i="43"/>
  <c r="AE250" i="43"/>
  <c r="AD250" i="43"/>
  <c r="AC250" i="43"/>
  <c r="AA250" i="43"/>
  <c r="Z250" i="43"/>
  <c r="T250" i="43"/>
  <c r="S250" i="43"/>
  <c r="R250" i="43"/>
  <c r="Q250" i="43"/>
  <c r="P250" i="43"/>
  <c r="O250" i="43"/>
  <c r="AB44" i="43"/>
  <c r="AE244" i="43"/>
  <c r="AD244" i="43"/>
  <c r="AC244" i="43"/>
  <c r="AB244" i="43"/>
  <c r="AA244" i="43"/>
  <c r="Z244" i="43"/>
  <c r="T244" i="43"/>
  <c r="S244" i="43"/>
  <c r="R244" i="43"/>
  <c r="Q244" i="43"/>
  <c r="P244" i="43"/>
  <c r="O244" i="43"/>
  <c r="T225" i="43"/>
  <c r="T227" i="43"/>
  <c r="T229" i="43"/>
  <c r="T231" i="43"/>
  <c r="T233" i="43"/>
  <c r="T243" i="43"/>
  <c r="AE225" i="43"/>
  <c r="AE227" i="43"/>
  <c r="AE229" i="43"/>
  <c r="AE231" i="43"/>
  <c r="AE233" i="43"/>
  <c r="AD225" i="43"/>
  <c r="AD227" i="43"/>
  <c r="AC225" i="43"/>
  <c r="R225" i="43"/>
  <c r="R227" i="43"/>
  <c r="R229" i="43"/>
  <c r="R231" i="43"/>
  <c r="R233" i="43"/>
  <c r="R243" i="43"/>
  <c r="R246" i="43"/>
  <c r="Q225" i="43"/>
  <c r="Q227" i="43"/>
  <c r="P225" i="43"/>
  <c r="M117" i="43"/>
  <c r="AE208" i="43"/>
  <c r="AD208" i="43"/>
  <c r="R208" i="43"/>
  <c r="Q208" i="43"/>
  <c r="AB110" i="43"/>
  <c r="X110" i="43"/>
  <c r="P110" i="43"/>
  <c r="M110" i="43"/>
  <c r="O110" i="43"/>
  <c r="AE201" i="43"/>
  <c r="AD201" i="43"/>
  <c r="S201" i="43"/>
  <c r="R201" i="43"/>
  <c r="Q201" i="43"/>
  <c r="AE106" i="43"/>
  <c r="AC106" i="43"/>
  <c r="R106" i="43"/>
  <c r="P106" i="43"/>
  <c r="AA197" i="43"/>
  <c r="T105" i="43"/>
  <c r="O197" i="43"/>
  <c r="AE197" i="43"/>
  <c r="AD197" i="43"/>
  <c r="AC104" i="43"/>
  <c r="AB197" i="43"/>
  <c r="Z197" i="43"/>
  <c r="S197" i="43"/>
  <c r="R197" i="43"/>
  <c r="Q197" i="43"/>
  <c r="P104" i="43"/>
  <c r="P98" i="43"/>
  <c r="AE189" i="43"/>
  <c r="AB189" i="43"/>
  <c r="Z189" i="43"/>
  <c r="T189" i="43"/>
  <c r="S189" i="43"/>
  <c r="R97" i="43"/>
  <c r="O189" i="43"/>
  <c r="AC92" i="43"/>
  <c r="P92" i="43"/>
  <c r="AE91" i="43"/>
  <c r="T91" i="43"/>
  <c r="R91" i="43"/>
  <c r="AC90" i="43"/>
  <c r="P90" i="43"/>
  <c r="R167" i="43"/>
  <c r="AD72" i="43"/>
  <c r="T167" i="43"/>
  <c r="S167" i="43"/>
  <c r="Q72" i="43"/>
  <c r="AC167" i="43"/>
  <c r="AB167" i="43"/>
  <c r="AA167" i="43"/>
  <c r="P167" i="43"/>
  <c r="O167" i="43"/>
  <c r="AE161" i="43"/>
  <c r="T161" i="43"/>
  <c r="R161" i="43"/>
  <c r="AD161" i="43"/>
  <c r="AC161" i="43"/>
  <c r="AB161" i="43"/>
  <c r="AA161" i="43"/>
  <c r="Z161" i="43"/>
  <c r="S161" i="43"/>
  <c r="Q161" i="43"/>
  <c r="P161" i="43"/>
  <c r="O161" i="43"/>
  <c r="AD63" i="43"/>
  <c r="AD46" i="43"/>
  <c r="S46" i="43"/>
  <c r="Q46" i="43"/>
  <c r="AC44" i="43"/>
  <c r="P44" i="43"/>
  <c r="AE155" i="43"/>
  <c r="AD155" i="43"/>
  <c r="AC155" i="43"/>
  <c r="AB155" i="43"/>
  <c r="AA155" i="43"/>
  <c r="Z155" i="43"/>
  <c r="T155" i="43"/>
  <c r="S155" i="43"/>
  <c r="R155" i="43"/>
  <c r="Q155" i="43"/>
  <c r="P155" i="43"/>
  <c r="O155" i="43"/>
  <c r="AE40" i="43"/>
  <c r="AC40" i="43"/>
  <c r="AA40" i="43"/>
  <c r="AE38" i="43"/>
  <c r="T38" i="43"/>
  <c r="R38" i="43"/>
  <c r="AD136" i="43"/>
  <c r="AD138" i="43"/>
  <c r="AD140" i="43"/>
  <c r="AD142" i="43"/>
  <c r="AC136" i="43"/>
  <c r="AC138" i="43"/>
  <c r="AC140" i="43"/>
  <c r="AC142" i="43"/>
  <c r="AC144" i="43"/>
  <c r="AC154" i="43"/>
  <c r="AB136" i="43"/>
  <c r="AB138" i="43"/>
  <c r="AB140" i="43"/>
  <c r="AB142" i="43"/>
  <c r="AB144" i="43"/>
  <c r="AB154" i="43"/>
  <c r="AA136" i="43"/>
  <c r="AA138" i="43"/>
  <c r="AA140" i="43"/>
  <c r="AA142" i="43"/>
  <c r="AA144" i="43"/>
  <c r="AA154" i="43"/>
  <c r="Q136" i="43"/>
  <c r="Q138" i="43"/>
  <c r="Q140" i="43"/>
  <c r="Q142" i="43"/>
  <c r="P136" i="43"/>
  <c r="P138" i="43"/>
  <c r="P140" i="43"/>
  <c r="P142" i="43"/>
  <c r="P144" i="43"/>
  <c r="P154" i="43"/>
  <c r="AA132" i="43"/>
  <c r="AA35" i="43"/>
  <c r="AA57" i="43"/>
  <c r="AA86" i="43"/>
  <c r="P132" i="43"/>
  <c r="P35" i="43"/>
  <c r="P57" i="43"/>
  <c r="P86" i="43"/>
  <c r="N119" i="43"/>
  <c r="O118" i="43"/>
  <c r="X117" i="43"/>
  <c r="Z117" i="43"/>
  <c r="AE116" i="43"/>
  <c r="AD116" i="43"/>
  <c r="AC116" i="43"/>
  <c r="AB116" i="43"/>
  <c r="AA116" i="43"/>
  <c r="X116" i="43"/>
  <c r="T116" i="43"/>
  <c r="R116" i="43"/>
  <c r="Q116" i="43"/>
  <c r="P116" i="43"/>
  <c r="M116" i="43"/>
  <c r="O116" i="43"/>
  <c r="N111" i="43"/>
  <c r="AE110" i="43"/>
  <c r="AD110" i="43"/>
  <c r="AC110" i="43"/>
  <c r="AA110" i="43"/>
  <c r="T110" i="43"/>
  <c r="S110" i="43"/>
  <c r="R110" i="43"/>
  <c r="Q110" i="43"/>
  <c r="AE109" i="43"/>
  <c r="AE111" i="43"/>
  <c r="AC109" i="43"/>
  <c r="AB109" i="43"/>
  <c r="AA109" i="43"/>
  <c r="Y109" i="43"/>
  <c r="X109" i="43"/>
  <c r="R109" i="43"/>
  <c r="P109" i="43"/>
  <c r="M109" i="43"/>
  <c r="N107" i="43"/>
  <c r="AD106" i="43"/>
  <c r="AB106" i="43"/>
  <c r="AA106" i="43"/>
  <c r="Y106" i="43"/>
  <c r="X106" i="43"/>
  <c r="T106" i="43"/>
  <c r="S106" i="43"/>
  <c r="Q106" i="43"/>
  <c r="M106" i="43"/>
  <c r="O106" i="43"/>
  <c r="AE105" i="43"/>
  <c r="AD105" i="43"/>
  <c r="AC105" i="43"/>
  <c r="AB105" i="43"/>
  <c r="AA105" i="43"/>
  <c r="Y105" i="43"/>
  <c r="X105" i="43"/>
  <c r="S105" i="43"/>
  <c r="R105" i="43"/>
  <c r="Q105" i="43"/>
  <c r="P105" i="43"/>
  <c r="M105" i="43"/>
  <c r="O105" i="43"/>
  <c r="AD104" i="43"/>
  <c r="AB104" i="43"/>
  <c r="AA104" i="43"/>
  <c r="Y104" i="43"/>
  <c r="X104" i="43"/>
  <c r="T104" i="43"/>
  <c r="S104" i="43"/>
  <c r="R104" i="43"/>
  <c r="Q104" i="43"/>
  <c r="M104" i="43"/>
  <c r="AD98" i="43"/>
  <c r="AC98" i="43"/>
  <c r="AB98" i="43"/>
  <c r="AA98" i="43"/>
  <c r="Y98" i="43"/>
  <c r="X98" i="43"/>
  <c r="T98" i="43"/>
  <c r="S98" i="43"/>
  <c r="R98" i="43"/>
  <c r="Q98" i="43"/>
  <c r="M98" i="43"/>
  <c r="O98" i="43"/>
  <c r="AD97" i="43"/>
  <c r="AB97" i="43"/>
  <c r="Y97" i="43"/>
  <c r="X97" i="43"/>
  <c r="S97" i="43"/>
  <c r="Q97" i="43"/>
  <c r="P97" i="43"/>
  <c r="M97" i="43"/>
  <c r="O96" i="43"/>
  <c r="Z95" i="43"/>
  <c r="AA95" i="43"/>
  <c r="AB95" i="43"/>
  <c r="AE92" i="43"/>
  <c r="AD92" i="43"/>
  <c r="AB92" i="43"/>
  <c r="Y92" i="43"/>
  <c r="X92" i="43"/>
  <c r="T92" i="43"/>
  <c r="S92" i="43"/>
  <c r="R92" i="43"/>
  <c r="Q92" i="43"/>
  <c r="M92" i="43"/>
  <c r="O92" i="43"/>
  <c r="AD91" i="43"/>
  <c r="AC91" i="43"/>
  <c r="AB91" i="43"/>
  <c r="AA91" i="43"/>
  <c r="Y91" i="43"/>
  <c r="X91" i="43"/>
  <c r="S91" i="43"/>
  <c r="Q91" i="43"/>
  <c r="P91" i="43"/>
  <c r="M91" i="43"/>
  <c r="O91" i="43"/>
  <c r="AE90" i="43"/>
  <c r="AD90" i="43"/>
  <c r="AB90" i="43"/>
  <c r="Y90" i="43"/>
  <c r="X90" i="43"/>
  <c r="T90" i="43"/>
  <c r="S90" i="43"/>
  <c r="R90" i="43"/>
  <c r="Q90" i="43"/>
  <c r="M90" i="43"/>
  <c r="O90" i="43"/>
  <c r="T74" i="43"/>
  <c r="S74" i="43"/>
  <c r="R74" i="43"/>
  <c r="Q74" i="43"/>
  <c r="P74" i="43"/>
  <c r="AE72" i="43"/>
  <c r="AC72" i="43"/>
  <c r="AB72" i="43"/>
  <c r="AA72" i="43"/>
  <c r="T72" i="43"/>
  <c r="R72" i="43"/>
  <c r="P72" i="43"/>
  <c r="AE71" i="43"/>
  <c r="AD71" i="43"/>
  <c r="AC71" i="43"/>
  <c r="AA71" i="43"/>
  <c r="T71" i="43"/>
  <c r="S71" i="43"/>
  <c r="R71" i="43"/>
  <c r="Q71" i="43"/>
  <c r="P71" i="43"/>
  <c r="AE67" i="43"/>
  <c r="AE68" i="43"/>
  <c r="AD67" i="43"/>
  <c r="AD68" i="43"/>
  <c r="AC67" i="43"/>
  <c r="AC68" i="43"/>
  <c r="AA67" i="43"/>
  <c r="AA68" i="43"/>
  <c r="T67" i="43"/>
  <c r="T68" i="43"/>
  <c r="S67" i="43"/>
  <c r="S68" i="43"/>
  <c r="R67" i="43"/>
  <c r="R68" i="43"/>
  <c r="Q67" i="43"/>
  <c r="Q68" i="43"/>
  <c r="P67" i="43"/>
  <c r="P68" i="43"/>
  <c r="AE63" i="43"/>
  <c r="AC63" i="43"/>
  <c r="AB63" i="43"/>
  <c r="AA63" i="43"/>
  <c r="T63" i="43"/>
  <c r="S63" i="43"/>
  <c r="R63" i="43"/>
  <c r="Q63" i="43"/>
  <c r="P63" i="43"/>
  <c r="T62" i="43"/>
  <c r="S62" i="43"/>
  <c r="R62" i="43"/>
  <c r="Q62" i="43"/>
  <c r="P62" i="43"/>
  <c r="AE46" i="43"/>
  <c r="AC46" i="43"/>
  <c r="AB46" i="43"/>
  <c r="AA46" i="43"/>
  <c r="T46" i="43"/>
  <c r="R46" i="43"/>
  <c r="P46" i="43"/>
  <c r="AE44" i="43"/>
  <c r="AD44" i="43"/>
  <c r="AA44" i="43"/>
  <c r="T44" i="43"/>
  <c r="S44" i="43"/>
  <c r="R44" i="43"/>
  <c r="Q44" i="43"/>
  <c r="AC42" i="43"/>
  <c r="AC61" i="43"/>
  <c r="AB42" i="43"/>
  <c r="AB61" i="43"/>
  <c r="AA42" i="43"/>
  <c r="AA61" i="43"/>
  <c r="S42" i="43"/>
  <c r="S61" i="43"/>
  <c r="Q42" i="43"/>
  <c r="Q61" i="43"/>
  <c r="P42" i="43"/>
  <c r="P61" i="43"/>
  <c r="AD40" i="43"/>
  <c r="AB40" i="43"/>
  <c r="T40" i="43"/>
  <c r="S40" i="43"/>
  <c r="R40" i="43"/>
  <c r="Q40" i="43"/>
  <c r="P40" i="43"/>
  <c r="AD38" i="43"/>
  <c r="AC38" i="43"/>
  <c r="AB38" i="43"/>
  <c r="S38" i="43"/>
  <c r="Q38" i="43"/>
  <c r="P38" i="43"/>
  <c r="AB37" i="43"/>
  <c r="T37" i="43"/>
  <c r="S37" i="43"/>
  <c r="R37" i="43"/>
  <c r="Q37" i="43"/>
  <c r="O35" i="43"/>
  <c r="O57" i="43"/>
  <c r="O86" i="43"/>
  <c r="AD27" i="43"/>
  <c r="S27" i="43"/>
  <c r="X26" i="43"/>
  <c r="W26" i="43"/>
  <c r="N26" i="43"/>
  <c r="M26" i="43"/>
  <c r="L26" i="43"/>
  <c r="X25" i="43"/>
  <c r="W25" i="43"/>
  <c r="M25" i="43"/>
  <c r="L25" i="43"/>
  <c r="W20" i="43"/>
  <c r="L20" i="43"/>
  <c r="AA111" i="43"/>
  <c r="R75" i="43"/>
  <c r="AC157" i="43"/>
  <c r="AC170" i="43"/>
  <c r="T246" i="43"/>
  <c r="N113" i="43"/>
  <c r="N121" i="43"/>
  <c r="P111" i="43"/>
  <c r="Z110" i="43"/>
  <c r="R259" i="43"/>
  <c r="Z90" i="43"/>
  <c r="S292" i="43"/>
  <c r="S107" i="43"/>
  <c r="T259" i="43"/>
  <c r="D35" i="43"/>
  <c r="D57" i="43"/>
  <c r="D86" i="43"/>
  <c r="E35" i="43"/>
  <c r="E57" i="43"/>
  <c r="E86" i="43"/>
  <c r="Z92" i="43"/>
  <c r="AD107" i="43"/>
  <c r="AB39" i="43"/>
  <c r="AB41" i="43"/>
  <c r="AB43" i="43"/>
  <c r="AB45" i="43"/>
  <c r="AA157" i="43"/>
  <c r="AA170" i="43"/>
  <c r="R292" i="43"/>
  <c r="Q75" i="43"/>
  <c r="Q39" i="43"/>
  <c r="Q41" i="43"/>
  <c r="Q43" i="43"/>
  <c r="Q45" i="43"/>
  <c r="M107" i="43"/>
  <c r="P107" i="43"/>
  <c r="X111" i="43"/>
  <c r="T39" i="43"/>
  <c r="T41" i="43"/>
  <c r="Z167" i="43"/>
  <c r="AA37" i="43"/>
  <c r="AD42" i="43"/>
  <c r="AD61" i="43"/>
  <c r="AB67" i="43"/>
  <c r="AB68" i="43"/>
  <c r="P75" i="43"/>
  <c r="T97" i="43"/>
  <c r="AE104" i="43"/>
  <c r="AE107" i="43"/>
  <c r="AE113" i="43"/>
  <c r="Z105" i="43"/>
  <c r="AB111" i="43"/>
  <c r="AE167" i="43"/>
  <c r="Q203" i="43"/>
  <c r="Q210" i="43"/>
  <c r="AD203" i="43"/>
  <c r="AD210" i="43"/>
  <c r="P227" i="43"/>
  <c r="P229" i="43"/>
  <c r="P231" i="43"/>
  <c r="P233" i="43"/>
  <c r="P243" i="43"/>
  <c r="P246" i="43"/>
  <c r="P259" i="43"/>
  <c r="AC227" i="43"/>
  <c r="AC229" i="43"/>
  <c r="AC231" i="43"/>
  <c r="AC233" i="43"/>
  <c r="AC243" i="43"/>
  <c r="AC246" i="43"/>
  <c r="AC259" i="43"/>
  <c r="Q292" i="43"/>
  <c r="Q299" i="43"/>
  <c r="AD292" i="43"/>
  <c r="AD299" i="43"/>
  <c r="AE42" i="43"/>
  <c r="AE61" i="43"/>
  <c r="AA92" i="43"/>
  <c r="R42" i="43"/>
  <c r="R61" i="43"/>
  <c r="Q109" i="43"/>
  <c r="Q111" i="43"/>
  <c r="AD109" i="43"/>
  <c r="AD111" i="43"/>
  <c r="Q144" i="43"/>
  <c r="Q154" i="43"/>
  <c r="Q157" i="43"/>
  <c r="AD144" i="43"/>
  <c r="AD154" i="43"/>
  <c r="AD157" i="43"/>
  <c r="AA38" i="43"/>
  <c r="T290" i="43"/>
  <c r="T292" i="43"/>
  <c r="AD229" i="43"/>
  <c r="AD231" i="43"/>
  <c r="AD233" i="43"/>
  <c r="AD243" i="43"/>
  <c r="AD246" i="43"/>
  <c r="P37" i="43"/>
  <c r="P39" i="43"/>
  <c r="P41" i="43"/>
  <c r="P43" i="43"/>
  <c r="P45" i="43"/>
  <c r="AD37" i="43"/>
  <c r="AD39" i="43"/>
  <c r="AD41" i="43"/>
  <c r="M99" i="43"/>
  <c r="Y107" i="43"/>
  <c r="X119" i="43"/>
  <c r="Q167" i="43"/>
  <c r="AD167" i="43"/>
  <c r="AA189" i="43"/>
  <c r="T197" i="43"/>
  <c r="P197" i="43"/>
  <c r="Z201" i="43"/>
  <c r="Z203" i="43"/>
  <c r="T208" i="43"/>
  <c r="S225" i="43"/>
  <c r="S227" i="43"/>
  <c r="S229" i="43"/>
  <c r="S231" i="43"/>
  <c r="S233" i="43"/>
  <c r="S243" i="43"/>
  <c r="S246" i="43"/>
  <c r="Q256" i="43"/>
  <c r="AD256" i="43"/>
  <c r="T278" i="43"/>
  <c r="Z290" i="43"/>
  <c r="Z292" i="43"/>
  <c r="Z299" i="43"/>
  <c r="R297" i="43"/>
  <c r="AE297" i="43"/>
  <c r="T107" i="43"/>
  <c r="Q229" i="43"/>
  <c r="Q231" i="43"/>
  <c r="Q233" i="43"/>
  <c r="Q243" i="43"/>
  <c r="Q246" i="43"/>
  <c r="Z35" i="43"/>
  <c r="Z57" i="43"/>
  <c r="Z86" i="43"/>
  <c r="T42" i="43"/>
  <c r="T61" i="43"/>
  <c r="T75" i="43"/>
  <c r="AC97" i="43"/>
  <c r="O104" i="43"/>
  <c r="O107" i="43"/>
  <c r="AA107" i="43"/>
  <c r="AA113" i="43"/>
  <c r="S109" i="43"/>
  <c r="S111" i="43"/>
  <c r="Z116" i="43"/>
  <c r="R189" i="43"/>
  <c r="AC197" i="43"/>
  <c r="AA201" i="43"/>
  <c r="AA203" i="43"/>
  <c r="Z208" i="43"/>
  <c r="Z278" i="43"/>
  <c r="S297" i="43"/>
  <c r="AC37" i="43"/>
  <c r="AC39" i="43"/>
  <c r="AC41" i="43"/>
  <c r="AC43" i="43"/>
  <c r="AC45" i="43"/>
  <c r="R39" i="43"/>
  <c r="R41" i="43"/>
  <c r="S72" i="43"/>
  <c r="S75" i="43"/>
  <c r="Z98" i="43"/>
  <c r="Z106" i="43"/>
  <c r="P189" i="43"/>
  <c r="AC189" i="43"/>
  <c r="Z225" i="43"/>
  <c r="Z227" i="43"/>
  <c r="Z229" i="43"/>
  <c r="Z231" i="43"/>
  <c r="Z233" i="43"/>
  <c r="Z243" i="43"/>
  <c r="Z246" i="43"/>
  <c r="Z259" i="43"/>
  <c r="Z260" i="43"/>
  <c r="S256" i="43"/>
  <c r="O256" i="43"/>
  <c r="AE98" i="43"/>
  <c r="AA286" i="43"/>
  <c r="AA292" i="43"/>
  <c r="AA299" i="43"/>
  <c r="AE286" i="43"/>
  <c r="AE292" i="43"/>
  <c r="O290" i="43"/>
  <c r="O292" i="43"/>
  <c r="O299" i="43"/>
  <c r="AB290" i="43"/>
  <c r="AB292" i="43"/>
  <c r="AB299" i="43"/>
  <c r="T297" i="43"/>
  <c r="AA90" i="43"/>
  <c r="S39" i="43"/>
  <c r="S41" i="43"/>
  <c r="S43" i="43"/>
  <c r="S45" i="43"/>
  <c r="AB71" i="43"/>
  <c r="AE97" i="43"/>
  <c r="Y111" i="43"/>
  <c r="Z136" i="43"/>
  <c r="Z138" i="43"/>
  <c r="Z140" i="43"/>
  <c r="Z142" i="43"/>
  <c r="Z144" i="43"/>
  <c r="Z154" i="43"/>
  <c r="Z157" i="43"/>
  <c r="Q189" i="43"/>
  <c r="AD189" i="43"/>
  <c r="N89" i="43"/>
  <c r="N93" i="43"/>
  <c r="Y25" i="43"/>
  <c r="P49" i="43"/>
  <c r="T49" i="43"/>
  <c r="S49" i="43"/>
  <c r="R49" i="43"/>
  <c r="Z109" i="43"/>
  <c r="Z111" i="43"/>
  <c r="M111" i="43"/>
  <c r="O109" i="43"/>
  <c r="O111" i="43"/>
  <c r="S208" i="43"/>
  <c r="S116" i="43"/>
  <c r="O117" i="43"/>
  <c r="O119" i="43"/>
  <c r="M119" i="43"/>
  <c r="L54" i="43"/>
  <c r="L32" i="43"/>
  <c r="L83" i="43"/>
  <c r="AE243" i="43"/>
  <c r="AE246" i="43"/>
  <c r="AE259" i="43"/>
  <c r="I27" i="43"/>
  <c r="Y26" i="43"/>
  <c r="Q49" i="43"/>
  <c r="O157" i="43"/>
  <c r="O170" i="43"/>
  <c r="O171" i="43"/>
  <c r="AA97" i="43"/>
  <c r="AA278" i="43"/>
  <c r="W32" i="43"/>
  <c r="W83" i="43"/>
  <c r="V29" i="43"/>
  <c r="X99" i="43"/>
  <c r="Z97" i="43"/>
  <c r="K29" i="43"/>
  <c r="W54" i="43"/>
  <c r="AE37" i="43"/>
  <c r="AE39" i="43"/>
  <c r="AE41" i="43"/>
  <c r="X107" i="43"/>
  <c r="Z104" i="43"/>
  <c r="AB157" i="43"/>
  <c r="AB170" i="43"/>
  <c r="Z91" i="43"/>
  <c r="P157" i="43"/>
  <c r="P170" i="43"/>
  <c r="Q107" i="43"/>
  <c r="AB107" i="43"/>
  <c r="AC111" i="43"/>
  <c r="AA151" i="43"/>
  <c r="AA178" i="43"/>
  <c r="AA221" i="43"/>
  <c r="AA240" i="43"/>
  <c r="AA267" i="43"/>
  <c r="AB132" i="43"/>
  <c r="AC95" i="43"/>
  <c r="R107" i="43"/>
  <c r="AC107" i="43"/>
  <c r="R111" i="43"/>
  <c r="T109" i="43"/>
  <c r="T111" i="43"/>
  <c r="T201" i="43"/>
  <c r="O201" i="43"/>
  <c r="O203" i="43"/>
  <c r="AB201" i="43"/>
  <c r="AB203" i="43"/>
  <c r="AA208" i="43"/>
  <c r="Q132" i="43"/>
  <c r="P151" i="43"/>
  <c r="P178" i="43"/>
  <c r="P221" i="43"/>
  <c r="P240" i="43"/>
  <c r="P267" i="43"/>
  <c r="P201" i="43"/>
  <c r="AC201" i="43"/>
  <c r="O208" i="43"/>
  <c r="AB208" i="43"/>
  <c r="R136" i="43"/>
  <c r="R138" i="43"/>
  <c r="R140" i="43"/>
  <c r="R142" i="43"/>
  <c r="R144" i="43"/>
  <c r="R154" i="43"/>
  <c r="R157" i="43"/>
  <c r="R170" i="43"/>
  <c r="AE136" i="43"/>
  <c r="AE138" i="43"/>
  <c r="AE140" i="43"/>
  <c r="AE142" i="43"/>
  <c r="AE144" i="43"/>
  <c r="AE154" i="43"/>
  <c r="AE157" i="43"/>
  <c r="R203" i="43"/>
  <c r="R210" i="43"/>
  <c r="AE203" i="43"/>
  <c r="AE210" i="43"/>
  <c r="P208" i="43"/>
  <c r="AC208" i="43"/>
  <c r="AA225" i="43"/>
  <c r="AA227" i="43"/>
  <c r="AA229" i="43"/>
  <c r="AA231" i="43"/>
  <c r="AA233" i="43"/>
  <c r="P292" i="43"/>
  <c r="P299" i="43"/>
  <c r="AC292" i="43"/>
  <c r="AC299" i="43"/>
  <c r="O97" i="43"/>
  <c r="S136" i="43"/>
  <c r="S138" i="43"/>
  <c r="S140" i="43"/>
  <c r="S142" i="43"/>
  <c r="S144" i="43"/>
  <c r="S154" i="43"/>
  <c r="S157" i="43"/>
  <c r="S170" i="43"/>
  <c r="S203" i="43"/>
  <c r="O225" i="43"/>
  <c r="O227" i="43"/>
  <c r="O229" i="43"/>
  <c r="O231" i="43"/>
  <c r="O233" i="43"/>
  <c r="O243" i="43"/>
  <c r="O246" i="43"/>
  <c r="AB225" i="43"/>
  <c r="AB227" i="43"/>
  <c r="AB229" i="43"/>
  <c r="AB231" i="43"/>
  <c r="AB233" i="43"/>
  <c r="R278" i="43"/>
  <c r="AE278" i="43"/>
  <c r="T136" i="43"/>
  <c r="T138" i="43"/>
  <c r="T140" i="43"/>
  <c r="T142" i="43"/>
  <c r="T144" i="43"/>
  <c r="T154" i="43"/>
  <c r="T157" i="43"/>
  <c r="T170" i="43"/>
  <c r="S278" i="43"/>
  <c r="O151" i="43"/>
  <c r="O178" i="43"/>
  <c r="O221" i="43"/>
  <c r="O240" i="43"/>
  <c r="O267" i="43"/>
  <c r="Z151" i="43"/>
  <c r="Z178" i="43"/>
  <c r="Z221" i="43"/>
  <c r="Z240" i="43"/>
  <c r="Z267" i="43"/>
  <c r="Y96" i="43"/>
  <c r="Z96" i="43"/>
  <c r="S113" i="43"/>
  <c r="Q170" i="43"/>
  <c r="S299" i="43"/>
  <c r="AC203" i="43"/>
  <c r="Y118" i="43"/>
  <c r="F61" i="43"/>
  <c r="E61" i="43"/>
  <c r="G61" i="43"/>
  <c r="I61" i="43"/>
  <c r="H61" i="43"/>
  <c r="AE48" i="43"/>
  <c r="AE62" i="43"/>
  <c r="I62" i="43"/>
  <c r="AA73" i="43"/>
  <c r="E73" i="43"/>
  <c r="P113" i="43"/>
  <c r="AB47" i="43"/>
  <c r="P47" i="43"/>
  <c r="P50" i="43"/>
  <c r="P60" i="43"/>
  <c r="P64" i="43"/>
  <c r="P78" i="43"/>
  <c r="Q47" i="43"/>
  <c r="Q50" i="43"/>
  <c r="Q60" i="43"/>
  <c r="Q64" i="43"/>
  <c r="Q78" i="43"/>
  <c r="S47" i="43"/>
  <c r="S50" i="43"/>
  <c r="S60" i="43"/>
  <c r="S64" i="43"/>
  <c r="S78" i="43"/>
  <c r="AC47" i="43"/>
  <c r="I40" i="43"/>
  <c r="X113" i="43"/>
  <c r="X121" i="43"/>
  <c r="O259" i="43"/>
  <c r="O260" i="43"/>
  <c r="P258" i="43"/>
  <c r="P260" i="43"/>
  <c r="M113" i="43"/>
  <c r="Z210" i="43"/>
  <c r="T203" i="43"/>
  <c r="T210" i="43"/>
  <c r="Z107" i="43"/>
  <c r="Z113" i="43"/>
  <c r="AE299" i="43"/>
  <c r="R299" i="43"/>
  <c r="AD43" i="43"/>
  <c r="AD45" i="43"/>
  <c r="AD113" i="43"/>
  <c r="AE170" i="43"/>
  <c r="Q259" i="43"/>
  <c r="R43" i="43"/>
  <c r="R45" i="43"/>
  <c r="AD170" i="43"/>
  <c r="Q113" i="43"/>
  <c r="Y113" i="43"/>
  <c r="T43" i="43"/>
  <c r="T45" i="43"/>
  <c r="T299" i="43"/>
  <c r="Z170" i="43"/>
  <c r="Z171" i="43"/>
  <c r="Z181" i="43"/>
  <c r="O210" i="43"/>
  <c r="AD259" i="43"/>
  <c r="N95" i="43"/>
  <c r="O95" i="43"/>
  <c r="D95" i="43"/>
  <c r="S210" i="43"/>
  <c r="AA210" i="43"/>
  <c r="AA39" i="43"/>
  <c r="AA41" i="43"/>
  <c r="AA43" i="43"/>
  <c r="AA45" i="43"/>
  <c r="O113" i="43"/>
  <c r="O121" i="43"/>
  <c r="AE43" i="43"/>
  <c r="AE45" i="43"/>
  <c r="T113" i="43"/>
  <c r="AB210" i="43"/>
  <c r="P203" i="43"/>
  <c r="P210" i="43"/>
  <c r="AB113" i="43"/>
  <c r="Y99" i="43"/>
  <c r="S259" i="43"/>
  <c r="O181" i="43"/>
  <c r="P169" i="43"/>
  <c r="P171" i="43"/>
  <c r="AA258" i="43"/>
  <c r="Z270" i="43"/>
  <c r="Y89" i="43"/>
  <c r="AE73" i="43"/>
  <c r="I73" i="43"/>
  <c r="I74" i="43"/>
  <c r="AD73" i="43"/>
  <c r="H73" i="43"/>
  <c r="H74" i="43"/>
  <c r="AC73" i="43"/>
  <c r="G74" i="43"/>
  <c r="AB73" i="43"/>
  <c r="F73" i="43"/>
  <c r="F74" i="43"/>
  <c r="AC48" i="43"/>
  <c r="G48" i="43"/>
  <c r="E74" i="43"/>
  <c r="AD48" i="43"/>
  <c r="H48" i="43"/>
  <c r="D110" i="43"/>
  <c r="I109" i="43"/>
  <c r="D106" i="43"/>
  <c r="I105" i="43"/>
  <c r="F104" i="43"/>
  <c r="G98" i="43"/>
  <c r="D97" i="43"/>
  <c r="H92" i="43"/>
  <c r="E91" i="43"/>
  <c r="H109" i="43"/>
  <c r="H105" i="43"/>
  <c r="E104" i="43"/>
  <c r="F98" i="43"/>
  <c r="G92" i="43"/>
  <c r="D91" i="43"/>
  <c r="I90" i="43"/>
  <c r="I116" i="43"/>
  <c r="G109" i="43"/>
  <c r="G105" i="43"/>
  <c r="D104" i="43"/>
  <c r="E98" i="43"/>
  <c r="F92" i="43"/>
  <c r="H90" i="43"/>
  <c r="G116" i="43"/>
  <c r="H110" i="43"/>
  <c r="E109" i="43"/>
  <c r="H106" i="43"/>
  <c r="E105" i="43"/>
  <c r="H97" i="43"/>
  <c r="D92" i="43"/>
  <c r="I91" i="43"/>
  <c r="F90" i="43"/>
  <c r="E72" i="43"/>
  <c r="G63" i="43"/>
  <c r="G49" i="43"/>
  <c r="G46" i="43"/>
  <c r="I44" i="43"/>
  <c r="G42" i="43"/>
  <c r="E40" i="43"/>
  <c r="I106" i="43"/>
  <c r="I67" i="43"/>
  <c r="I68" i="43"/>
  <c r="F63" i="43"/>
  <c r="C54" i="43"/>
  <c r="F49" i="43"/>
  <c r="F46" i="43"/>
  <c r="H44" i="43"/>
  <c r="F42" i="43"/>
  <c r="I37" i="43"/>
  <c r="G106" i="43"/>
  <c r="H91" i="43"/>
  <c r="H67" i="43"/>
  <c r="H68" i="43"/>
  <c r="E63" i="43"/>
  <c r="E49" i="43"/>
  <c r="E46" i="43"/>
  <c r="G44" i="43"/>
  <c r="E42" i="43"/>
  <c r="I38" i="43"/>
  <c r="H37" i="43"/>
  <c r="C32" i="43"/>
  <c r="H116" i="43"/>
  <c r="I110" i="43"/>
  <c r="F106" i="43"/>
  <c r="I97" i="43"/>
  <c r="I92" i="43"/>
  <c r="G91" i="43"/>
  <c r="I71" i="43"/>
  <c r="G67" i="43"/>
  <c r="G68" i="43"/>
  <c r="F44" i="43"/>
  <c r="H38" i="43"/>
  <c r="G37" i="43"/>
  <c r="E116" i="43"/>
  <c r="E110" i="43"/>
  <c r="D109" i="43"/>
  <c r="G110" i="43"/>
  <c r="G90" i="43"/>
  <c r="C83" i="43"/>
  <c r="G71" i="43"/>
  <c r="H40" i="43"/>
  <c r="H98" i="43"/>
  <c r="B18" i="43"/>
  <c r="F116" i="43"/>
  <c r="F110" i="43"/>
  <c r="F105" i="43"/>
  <c r="I104" i="43"/>
  <c r="F91" i="43"/>
  <c r="E90" i="43"/>
  <c r="I72" i="43"/>
  <c r="F71" i="43"/>
  <c r="G40" i="43"/>
  <c r="E97" i="43"/>
  <c r="H42" i="43"/>
  <c r="D116" i="43"/>
  <c r="D105" i="43"/>
  <c r="H104" i="43"/>
  <c r="D90" i="43"/>
  <c r="H72" i="43"/>
  <c r="E71" i="43"/>
  <c r="E44" i="43"/>
  <c r="F40" i="43"/>
  <c r="E106" i="43"/>
  <c r="G104" i="43"/>
  <c r="G97" i="43"/>
  <c r="E92" i="43"/>
  <c r="G72" i="43"/>
  <c r="I63" i="43"/>
  <c r="F37" i="43"/>
  <c r="B29" i="43"/>
  <c r="D117" i="43"/>
  <c r="F97" i="43"/>
  <c r="E37" i="43"/>
  <c r="I49" i="43"/>
  <c r="D98" i="43"/>
  <c r="E67" i="43"/>
  <c r="E68" i="43"/>
  <c r="H49" i="43"/>
  <c r="H46" i="43"/>
  <c r="G38" i="43"/>
  <c r="F72" i="43"/>
  <c r="H63" i="43"/>
  <c r="I42" i="43"/>
  <c r="F67" i="43"/>
  <c r="F68" i="43"/>
  <c r="I46" i="43"/>
  <c r="F109" i="43"/>
  <c r="H71" i="43"/>
  <c r="F38" i="43"/>
  <c r="E38" i="43"/>
  <c r="I98" i="43"/>
  <c r="AA243" i="43"/>
  <c r="AA246" i="43"/>
  <c r="AA259" i="43"/>
  <c r="AA48" i="43"/>
  <c r="AD95" i="43"/>
  <c r="AB243" i="43"/>
  <c r="AB246" i="43"/>
  <c r="AB259" i="43"/>
  <c r="AB48" i="43"/>
  <c r="F48" i="43"/>
  <c r="Q151" i="43"/>
  <c r="Q178" i="43"/>
  <c r="Q221" i="43"/>
  <c r="Q240" i="43"/>
  <c r="Q267" i="43"/>
  <c r="R132" i="43"/>
  <c r="Q35" i="43"/>
  <c r="AC132" i="43"/>
  <c r="AB151" i="43"/>
  <c r="AB178" i="43"/>
  <c r="AB221" i="43"/>
  <c r="AB240" i="43"/>
  <c r="AB267" i="43"/>
  <c r="AB35" i="43"/>
  <c r="AB57" i="43"/>
  <c r="AB86" i="43"/>
  <c r="AC210" i="43"/>
  <c r="AC113" i="43"/>
  <c r="R113" i="43"/>
  <c r="M121" i="43"/>
  <c r="AA96" i="43"/>
  <c r="Z99" i="43"/>
  <c r="D96" i="43"/>
  <c r="D99" i="43"/>
  <c r="I48" i="43"/>
  <c r="E48" i="43"/>
  <c r="AA62" i="43"/>
  <c r="E62" i="43"/>
  <c r="AE47" i="43"/>
  <c r="AE50" i="43"/>
  <c r="AE60" i="43"/>
  <c r="AD47" i="43"/>
  <c r="AD50" i="43"/>
  <c r="AD60" i="43"/>
  <c r="H60" i="43"/>
  <c r="R47" i="43"/>
  <c r="R50" i="43"/>
  <c r="R60" i="43"/>
  <c r="R64" i="43"/>
  <c r="R78" i="43"/>
  <c r="AA47" i="43"/>
  <c r="AA50" i="43"/>
  <c r="T47" i="43"/>
  <c r="T50" i="43"/>
  <c r="T60" i="43"/>
  <c r="T64" i="43"/>
  <c r="T78" i="43"/>
  <c r="O270" i="43"/>
  <c r="O274" i="43"/>
  <c r="O280" i="43"/>
  <c r="O300" i="43"/>
  <c r="AA169" i="43"/>
  <c r="AA171" i="43"/>
  <c r="AA181" i="43"/>
  <c r="AA185" i="43"/>
  <c r="AA191" i="43"/>
  <c r="AA211" i="43"/>
  <c r="N99" i="43"/>
  <c r="N101" i="43"/>
  <c r="N122" i="43"/>
  <c r="H107" i="43"/>
  <c r="P117" i="43"/>
  <c r="P119" i="43"/>
  <c r="P121" i="43"/>
  <c r="AA75" i="43"/>
  <c r="E39" i="43"/>
  <c r="E41" i="43"/>
  <c r="E43" i="43"/>
  <c r="E45" i="43"/>
  <c r="I39" i="43"/>
  <c r="I41" i="43"/>
  <c r="H75" i="43"/>
  <c r="I75" i="43"/>
  <c r="AD75" i="43"/>
  <c r="F111" i="43"/>
  <c r="I107" i="43"/>
  <c r="G111" i="43"/>
  <c r="Z118" i="43"/>
  <c r="Y119" i="43"/>
  <c r="Y121" i="43"/>
  <c r="Q258" i="43"/>
  <c r="Q260" i="43"/>
  <c r="P270" i="43"/>
  <c r="P274" i="43"/>
  <c r="P280" i="43"/>
  <c r="P300" i="43"/>
  <c r="Z185" i="43"/>
  <c r="Z191" i="43"/>
  <c r="Z211" i="43"/>
  <c r="X89" i="43"/>
  <c r="E111" i="43"/>
  <c r="D107" i="43"/>
  <c r="I111" i="43"/>
  <c r="AB75" i="43"/>
  <c r="AC75" i="43"/>
  <c r="Z274" i="43"/>
  <c r="Z280" i="43"/>
  <c r="Z300" i="43"/>
  <c r="Y93" i="43"/>
  <c r="Y101" i="43"/>
  <c r="E75" i="43"/>
  <c r="Q57" i="43"/>
  <c r="Q86" i="43"/>
  <c r="F35" i="43"/>
  <c r="F57" i="43"/>
  <c r="F86" i="43"/>
  <c r="G39" i="43"/>
  <c r="G41" i="43"/>
  <c r="G43" i="43"/>
  <c r="G45" i="43"/>
  <c r="AD62" i="43"/>
  <c r="H62" i="43"/>
  <c r="AA260" i="43"/>
  <c r="S132" i="43"/>
  <c r="R151" i="43"/>
  <c r="R178" i="43"/>
  <c r="R221" i="43"/>
  <c r="R240" i="43"/>
  <c r="R267" i="43"/>
  <c r="R35" i="43"/>
  <c r="G73" i="43"/>
  <c r="G75" i="43"/>
  <c r="G107" i="43"/>
  <c r="H39" i="43"/>
  <c r="H41" i="43"/>
  <c r="H43" i="43"/>
  <c r="H45" i="43"/>
  <c r="E107" i="43"/>
  <c r="D111" i="43"/>
  <c r="F107" i="43"/>
  <c r="Q169" i="43"/>
  <c r="Q171" i="43"/>
  <c r="P181" i="43"/>
  <c r="P185" i="43"/>
  <c r="P191" i="43"/>
  <c r="P211" i="43"/>
  <c r="AE95" i="43"/>
  <c r="AD132" i="43"/>
  <c r="AE132" i="43"/>
  <c r="AC151" i="43"/>
  <c r="AC178" i="43"/>
  <c r="AC221" i="43"/>
  <c r="AC240" i="43"/>
  <c r="AC267" i="43"/>
  <c r="AC35" i="43"/>
  <c r="AC57" i="43"/>
  <c r="AC86" i="43"/>
  <c r="P95" i="43"/>
  <c r="E95" i="43"/>
  <c r="O99" i="43"/>
  <c r="AB62" i="43"/>
  <c r="F62" i="43"/>
  <c r="AB50" i="43"/>
  <c r="AB60" i="43"/>
  <c r="F60" i="43"/>
  <c r="F39" i="43"/>
  <c r="F41" i="43"/>
  <c r="F43" i="43"/>
  <c r="F45" i="43"/>
  <c r="F75" i="43"/>
  <c r="H111" i="43"/>
  <c r="AC62" i="43"/>
  <c r="G62" i="43"/>
  <c r="AC50" i="43"/>
  <c r="AC60" i="43"/>
  <c r="AE75" i="43"/>
  <c r="O185" i="43"/>
  <c r="O191" i="43"/>
  <c r="O211" i="43"/>
  <c r="M89" i="43"/>
  <c r="AB96" i="43"/>
  <c r="AA99" i="43"/>
  <c r="E96" i="43"/>
  <c r="E99" i="43"/>
  <c r="G60" i="43"/>
  <c r="AA60" i="43"/>
  <c r="E60" i="43"/>
  <c r="AA117" i="43"/>
  <c r="D118" i="43"/>
  <c r="D119" i="43"/>
  <c r="AA118" i="43"/>
  <c r="AE64" i="43"/>
  <c r="AE78" i="43"/>
  <c r="I78" i="43"/>
  <c r="I60" i="43"/>
  <c r="AB169" i="43"/>
  <c r="AB171" i="43"/>
  <c r="AB181" i="43"/>
  <c r="AB185" i="43"/>
  <c r="AB191" i="43"/>
  <c r="AB211" i="43"/>
  <c r="E47" i="43"/>
  <c r="E50" i="43"/>
  <c r="H47" i="43"/>
  <c r="H50" i="43"/>
  <c r="H64" i="43"/>
  <c r="G47" i="43"/>
  <c r="G50" i="43"/>
  <c r="F47" i="43"/>
  <c r="F50" i="43"/>
  <c r="F64" i="43"/>
  <c r="H113" i="43"/>
  <c r="AC64" i="43"/>
  <c r="AC78" i="43"/>
  <c r="G78" i="43"/>
  <c r="AB64" i="43"/>
  <c r="AB78" i="43"/>
  <c r="F78" i="43"/>
  <c r="F113" i="43"/>
  <c r="Q117" i="43"/>
  <c r="E113" i="43"/>
  <c r="AD64" i="43"/>
  <c r="AD78" i="43"/>
  <c r="H78" i="43"/>
  <c r="G113" i="43"/>
  <c r="I113" i="43"/>
  <c r="Y122" i="43"/>
  <c r="Q270" i="43"/>
  <c r="Q274" i="43"/>
  <c r="Q280" i="43"/>
  <c r="Q300" i="43"/>
  <c r="R258" i="43"/>
  <c r="R260" i="43"/>
  <c r="D113" i="43"/>
  <c r="M93" i="43"/>
  <c r="M101" i="43"/>
  <c r="M122" i="43"/>
  <c r="O89" i="43"/>
  <c r="Z119" i="43"/>
  <c r="Z121" i="43"/>
  <c r="AD151" i="43"/>
  <c r="AD178" i="43"/>
  <c r="AD221" i="43"/>
  <c r="AD240" i="43"/>
  <c r="AD267" i="43"/>
  <c r="AD35" i="43"/>
  <c r="AD57" i="43"/>
  <c r="AD86" i="43"/>
  <c r="G35" i="43"/>
  <c r="G57" i="43"/>
  <c r="G86" i="43"/>
  <c r="R57" i="43"/>
  <c r="R86" i="43"/>
  <c r="I43" i="43"/>
  <c r="I45" i="43"/>
  <c r="D14" i="43"/>
  <c r="T132" i="43"/>
  <c r="S151" i="43"/>
  <c r="S178" i="43"/>
  <c r="S221" i="43"/>
  <c r="S240" i="43"/>
  <c r="S267" i="43"/>
  <c r="S35" i="43"/>
  <c r="X93" i="43"/>
  <c r="X101" i="43"/>
  <c r="X122" i="43"/>
  <c r="Z89" i="43"/>
  <c r="Q95" i="43"/>
  <c r="F95" i="43"/>
  <c r="P99" i="43"/>
  <c r="R169" i="43"/>
  <c r="R171" i="43"/>
  <c r="Q181" i="43"/>
  <c r="Q185" i="43"/>
  <c r="Q191" i="43"/>
  <c r="Q211" i="43"/>
  <c r="AA270" i="43"/>
  <c r="AA274" i="43"/>
  <c r="AA280" i="43"/>
  <c r="AA300" i="43"/>
  <c r="AB258" i="43"/>
  <c r="AB260" i="43"/>
  <c r="G64" i="43"/>
  <c r="AC169" i="43"/>
  <c r="AC171" i="43"/>
  <c r="AD169" i="43"/>
  <c r="AD171" i="43"/>
  <c r="AA64" i="43"/>
  <c r="AA78" i="43"/>
  <c r="E78" i="43"/>
  <c r="AC96" i="43"/>
  <c r="AB99" i="43"/>
  <c r="F96" i="43"/>
  <c r="F99" i="43"/>
  <c r="E64" i="43"/>
  <c r="I47" i="43"/>
  <c r="I50" i="43"/>
  <c r="I64" i="43"/>
  <c r="D12" i="43"/>
  <c r="Q119" i="43"/>
  <c r="Q121" i="43"/>
  <c r="R117" i="43"/>
  <c r="Z93" i="43"/>
  <c r="Z101" i="43"/>
  <c r="Z122" i="43"/>
  <c r="AA77" i="43"/>
  <c r="D89" i="43"/>
  <c r="D93" i="43"/>
  <c r="D101" i="43"/>
  <c r="O93" i="43"/>
  <c r="O101" i="43"/>
  <c r="O122" i="43"/>
  <c r="P77" i="43"/>
  <c r="P79" i="43"/>
  <c r="P89" i="43"/>
  <c r="Q99" i="43"/>
  <c r="R95" i="43"/>
  <c r="G95" i="43"/>
  <c r="AB117" i="43"/>
  <c r="AA119" i="43"/>
  <c r="AA121" i="43"/>
  <c r="E117" i="43"/>
  <c r="D121" i="43"/>
  <c r="R181" i="43"/>
  <c r="R185" i="43"/>
  <c r="R191" i="43"/>
  <c r="R211" i="43"/>
  <c r="S169" i="43"/>
  <c r="S171" i="43"/>
  <c r="AE151" i="43"/>
  <c r="AE178" i="43"/>
  <c r="AE221" i="43"/>
  <c r="AE240" i="43"/>
  <c r="AE267" i="43"/>
  <c r="AE35" i="43"/>
  <c r="AE57" i="43"/>
  <c r="AE86" i="43"/>
  <c r="H35" i="43"/>
  <c r="H57" i="43"/>
  <c r="H86" i="43"/>
  <c r="S57" i="43"/>
  <c r="S86" i="43"/>
  <c r="R270" i="43"/>
  <c r="R274" i="43"/>
  <c r="R280" i="43"/>
  <c r="R300" i="43"/>
  <c r="S258" i="43"/>
  <c r="S260" i="43"/>
  <c r="T151" i="43"/>
  <c r="T178" i="43"/>
  <c r="T221" i="43"/>
  <c r="T240" i="43"/>
  <c r="T267" i="43"/>
  <c r="T35" i="43"/>
  <c r="AC258" i="43"/>
  <c r="AC260" i="43"/>
  <c r="AB270" i="43"/>
  <c r="AB274" i="43"/>
  <c r="AB280" i="43"/>
  <c r="AB300" i="43"/>
  <c r="AB118" i="43"/>
  <c r="E118" i="43"/>
  <c r="AC181" i="43"/>
  <c r="AC185" i="43"/>
  <c r="AC191" i="43"/>
  <c r="AC211" i="43"/>
  <c r="AD96" i="43"/>
  <c r="AC99" i="43"/>
  <c r="G96" i="43"/>
  <c r="G99" i="43"/>
  <c r="S117" i="43"/>
  <c r="R119" i="43"/>
  <c r="R121" i="43"/>
  <c r="I35" i="43"/>
  <c r="I57" i="43"/>
  <c r="I86" i="43"/>
  <c r="T57" i="43"/>
  <c r="T86" i="43"/>
  <c r="T169" i="43"/>
  <c r="T171" i="43"/>
  <c r="T181" i="43"/>
  <c r="T185" i="43"/>
  <c r="T191" i="43"/>
  <c r="T211" i="43"/>
  <c r="S181" i="43"/>
  <c r="S185" i="43"/>
  <c r="S191" i="43"/>
  <c r="S211" i="43"/>
  <c r="Q77" i="43"/>
  <c r="Q79" i="43"/>
  <c r="AC118" i="43"/>
  <c r="F118" i="43"/>
  <c r="E119" i="43"/>
  <c r="E121" i="43"/>
  <c r="T258" i="43"/>
  <c r="T260" i="43"/>
  <c r="T270" i="43"/>
  <c r="T274" i="43"/>
  <c r="T280" i="43"/>
  <c r="T300" i="43"/>
  <c r="S270" i="43"/>
  <c r="S274" i="43"/>
  <c r="S280" i="43"/>
  <c r="S300" i="43"/>
  <c r="D122" i="43"/>
  <c r="AE169" i="43"/>
  <c r="AE171" i="43"/>
  <c r="AE181" i="43"/>
  <c r="AE185" i="43"/>
  <c r="AE191" i="43"/>
  <c r="AE211" i="43"/>
  <c r="AD181" i="43"/>
  <c r="AD185" i="43"/>
  <c r="AD191" i="43"/>
  <c r="AD211" i="43"/>
  <c r="AD258" i="43"/>
  <c r="AD260" i="43"/>
  <c r="AC270" i="43"/>
  <c r="AC274" i="43"/>
  <c r="AC280" i="43"/>
  <c r="AC300" i="43"/>
  <c r="AC117" i="43"/>
  <c r="AB119" i="43"/>
  <c r="AB121" i="43"/>
  <c r="F117" i="43"/>
  <c r="AA79" i="43"/>
  <c r="E77" i="43"/>
  <c r="E79" i="43"/>
  <c r="R99" i="43"/>
  <c r="S95" i="43"/>
  <c r="H95" i="43"/>
  <c r="AE96" i="43"/>
  <c r="H96" i="43"/>
  <c r="H99" i="43"/>
  <c r="AD99" i="43"/>
  <c r="P93" i="43"/>
  <c r="P101" i="43"/>
  <c r="P122" i="43"/>
  <c r="T117" i="43"/>
  <c r="T119" i="43"/>
  <c r="T121" i="43"/>
  <c r="S119" i="43"/>
  <c r="S121" i="43"/>
  <c r="S99" i="43"/>
  <c r="T95" i="43"/>
  <c r="AD270" i="43"/>
  <c r="AD274" i="43"/>
  <c r="AD280" i="43"/>
  <c r="AD300" i="43"/>
  <c r="AE258" i="43"/>
  <c r="AE260" i="43"/>
  <c r="AE270" i="43"/>
  <c r="AE274" i="43"/>
  <c r="AE280" i="43"/>
  <c r="AE300" i="43"/>
  <c r="AD118" i="43"/>
  <c r="G118" i="43"/>
  <c r="D13" i="43"/>
  <c r="AA89" i="43"/>
  <c r="AA93" i="43"/>
  <c r="AA101" i="43"/>
  <c r="AA122" i="43"/>
  <c r="AB77" i="43"/>
  <c r="Q89" i="43"/>
  <c r="R77" i="43"/>
  <c r="R79" i="43"/>
  <c r="F119" i="43"/>
  <c r="F121" i="43"/>
  <c r="AD117" i="43"/>
  <c r="AC119" i="43"/>
  <c r="AC121" i="43"/>
  <c r="G117" i="43"/>
  <c r="I96" i="43"/>
  <c r="AE99" i="43"/>
  <c r="E89" i="43"/>
  <c r="E93" i="43"/>
  <c r="E101" i="43"/>
  <c r="E122" i="43"/>
  <c r="Q93" i="43"/>
  <c r="Q101" i="43"/>
  <c r="Q122" i="43"/>
  <c r="T99" i="43"/>
  <c r="I95" i="43"/>
  <c r="AE117" i="43"/>
  <c r="AD119" i="43"/>
  <c r="AD121" i="43"/>
  <c r="H117" i="43"/>
  <c r="R89" i="43"/>
  <c r="S77" i="43"/>
  <c r="S79" i="43"/>
  <c r="AE118" i="43"/>
  <c r="I118" i="43"/>
  <c r="H118" i="43"/>
  <c r="G119" i="43"/>
  <c r="G121" i="43"/>
  <c r="AB79" i="43"/>
  <c r="F77" i="43"/>
  <c r="F79" i="43"/>
  <c r="I99" i="43"/>
  <c r="R93" i="43"/>
  <c r="R101" i="43"/>
  <c r="R122" i="43"/>
  <c r="S89" i="43"/>
  <c r="T77" i="43"/>
  <c r="T79" i="43"/>
  <c r="T89" i="43"/>
  <c r="AB89" i="43"/>
  <c r="AC77" i="43"/>
  <c r="AE119" i="43"/>
  <c r="AE121" i="43"/>
  <c r="I117" i="43"/>
  <c r="I119" i="43"/>
  <c r="I121" i="43"/>
  <c r="D11" i="43"/>
  <c r="H119" i="43"/>
  <c r="H121" i="43"/>
  <c r="AB93" i="43"/>
  <c r="AB101" i="43"/>
  <c r="AB122" i="43"/>
  <c r="F89" i="43"/>
  <c r="F93" i="43"/>
  <c r="F101" i="43"/>
  <c r="F122" i="43"/>
  <c r="T93" i="43"/>
  <c r="T101" i="43"/>
  <c r="T122" i="43"/>
  <c r="S93" i="43"/>
  <c r="S101" i="43"/>
  <c r="S122" i="43"/>
  <c r="AC79" i="43"/>
  <c r="G77" i="43"/>
  <c r="G79" i="43"/>
  <c r="S25" i="43"/>
  <c r="AC89" i="43"/>
  <c r="AD77" i="43"/>
  <c r="AC93" i="43"/>
  <c r="AC101" i="43"/>
  <c r="AC122" i="43"/>
  <c r="G89" i="43"/>
  <c r="G93" i="43"/>
  <c r="G101" i="43"/>
  <c r="G122" i="43"/>
  <c r="AD79" i="43"/>
  <c r="H77" i="43"/>
  <c r="H79" i="43"/>
  <c r="AD89" i="43"/>
  <c r="AE77" i="43"/>
  <c r="AD93" i="43"/>
  <c r="AD101" i="43"/>
  <c r="AD122" i="43"/>
  <c r="H89" i="43"/>
  <c r="H93" i="43"/>
  <c r="H101" i="43"/>
  <c r="H122" i="43"/>
  <c r="AE79" i="43"/>
  <c r="AE89" i="43"/>
  <c r="I77" i="43"/>
  <c r="I79" i="43"/>
  <c r="H178" i="41"/>
  <c r="G178" i="41"/>
  <c r="F178" i="41"/>
  <c r="E178" i="41"/>
  <c r="D178" i="41"/>
  <c r="C178" i="41"/>
  <c r="H171" i="41"/>
  <c r="G171" i="41"/>
  <c r="F171" i="41"/>
  <c r="E171" i="41"/>
  <c r="D171" i="41"/>
  <c r="C171" i="41"/>
  <c r="H167" i="41"/>
  <c r="H173" i="41"/>
  <c r="G167" i="41"/>
  <c r="F167" i="41"/>
  <c r="F173" i="41"/>
  <c r="F180" i="41"/>
  <c r="E167" i="41"/>
  <c r="E173" i="41"/>
  <c r="E180" i="41"/>
  <c r="D167" i="41"/>
  <c r="C167" i="41"/>
  <c r="H159" i="41"/>
  <c r="G159" i="41"/>
  <c r="F159" i="41"/>
  <c r="E159" i="41"/>
  <c r="D159" i="41"/>
  <c r="C159" i="41"/>
  <c r="H137" i="41"/>
  <c r="G137" i="41"/>
  <c r="F137" i="41"/>
  <c r="E137" i="41"/>
  <c r="D137" i="41"/>
  <c r="C137" i="41"/>
  <c r="H131" i="41"/>
  <c r="G131" i="41"/>
  <c r="F131" i="41"/>
  <c r="E131" i="41"/>
  <c r="D131" i="41"/>
  <c r="C131" i="41"/>
  <c r="H125" i="41"/>
  <c r="G125" i="41"/>
  <c r="F125" i="41"/>
  <c r="E125" i="41"/>
  <c r="D125" i="41"/>
  <c r="C125" i="41"/>
  <c r="H106" i="41"/>
  <c r="H108" i="41"/>
  <c r="H110" i="41"/>
  <c r="H112" i="41"/>
  <c r="H114" i="41"/>
  <c r="H124" i="41"/>
  <c r="H127" i="41"/>
  <c r="G106" i="41"/>
  <c r="G108" i="41"/>
  <c r="G110" i="41"/>
  <c r="G112" i="41"/>
  <c r="G114" i="41"/>
  <c r="G124" i="41"/>
  <c r="G127" i="41"/>
  <c r="F106" i="41"/>
  <c r="F108" i="41"/>
  <c r="F110" i="41"/>
  <c r="F112" i="41"/>
  <c r="F114" i="41"/>
  <c r="F124" i="41"/>
  <c r="F127" i="41"/>
  <c r="E106" i="41"/>
  <c r="E108" i="41"/>
  <c r="E110" i="41"/>
  <c r="E112" i="41"/>
  <c r="E114" i="41"/>
  <c r="E124" i="41"/>
  <c r="E127" i="41"/>
  <c r="D106" i="41"/>
  <c r="D108" i="41"/>
  <c r="D110" i="41"/>
  <c r="D112" i="41"/>
  <c r="D114" i="41"/>
  <c r="D124" i="41"/>
  <c r="D127" i="41"/>
  <c r="C106" i="41"/>
  <c r="C108" i="41"/>
  <c r="C110" i="41"/>
  <c r="C112" i="41"/>
  <c r="C114" i="41"/>
  <c r="C124" i="41"/>
  <c r="C127" i="41"/>
  <c r="H89" i="41"/>
  <c r="G89" i="41"/>
  <c r="F89" i="41"/>
  <c r="E89" i="41"/>
  <c r="D89" i="41"/>
  <c r="C89" i="41"/>
  <c r="H82" i="41"/>
  <c r="G82" i="41"/>
  <c r="F82" i="41"/>
  <c r="E82" i="41"/>
  <c r="D82" i="41"/>
  <c r="C82" i="41"/>
  <c r="H78" i="41"/>
  <c r="G78" i="41"/>
  <c r="F78" i="41"/>
  <c r="E78" i="41"/>
  <c r="D78" i="41"/>
  <c r="D84" i="41"/>
  <c r="C78" i="41"/>
  <c r="C84" i="41"/>
  <c r="H70" i="41"/>
  <c r="G70" i="41"/>
  <c r="F70" i="41"/>
  <c r="E70" i="41"/>
  <c r="D70" i="41"/>
  <c r="C70" i="41"/>
  <c r="H48" i="41"/>
  <c r="G48" i="41"/>
  <c r="F48" i="41"/>
  <c r="E48" i="41"/>
  <c r="D48" i="41"/>
  <c r="C48" i="41"/>
  <c r="H42" i="41"/>
  <c r="G42" i="41"/>
  <c r="F42" i="41"/>
  <c r="E42" i="41"/>
  <c r="D42" i="41"/>
  <c r="C42" i="41"/>
  <c r="H36" i="41"/>
  <c r="G36" i="41"/>
  <c r="F36" i="41"/>
  <c r="E36" i="41"/>
  <c r="D36" i="41"/>
  <c r="C36" i="41"/>
  <c r="H17" i="41"/>
  <c r="H19" i="41"/>
  <c r="H21" i="41"/>
  <c r="H23" i="41"/>
  <c r="H25" i="41"/>
  <c r="H35" i="41"/>
  <c r="H38" i="41"/>
  <c r="H51" i="41"/>
  <c r="G17" i="41"/>
  <c r="G19" i="41"/>
  <c r="G21" i="41"/>
  <c r="G23" i="41"/>
  <c r="G25" i="41"/>
  <c r="G35" i="41"/>
  <c r="G38" i="41"/>
  <c r="G51" i="41"/>
  <c r="F17" i="41"/>
  <c r="F19" i="41"/>
  <c r="F21" i="41"/>
  <c r="F23" i="41"/>
  <c r="F25" i="41"/>
  <c r="F35" i="41"/>
  <c r="E17" i="41"/>
  <c r="E19" i="41"/>
  <c r="E21" i="41"/>
  <c r="E23" i="41"/>
  <c r="E25" i="41"/>
  <c r="E35" i="41"/>
  <c r="E38" i="41"/>
  <c r="D17" i="41"/>
  <c r="D19" i="41"/>
  <c r="D21" i="41"/>
  <c r="D23" i="41"/>
  <c r="D25" i="41"/>
  <c r="D35" i="41"/>
  <c r="C17" i="41"/>
  <c r="C19" i="41"/>
  <c r="C21" i="41"/>
  <c r="C23" i="41"/>
  <c r="C25" i="41"/>
  <c r="C35" i="41"/>
  <c r="H180" i="41"/>
  <c r="F84" i="41"/>
  <c r="G173" i="41"/>
  <c r="G180" i="41"/>
  <c r="E51" i="41"/>
  <c r="E140" i="41"/>
  <c r="H84" i="41"/>
  <c r="H91" i="41"/>
  <c r="C140" i="41"/>
  <c r="C141" i="41"/>
  <c r="C151" i="41"/>
  <c r="C155" i="41"/>
  <c r="C161" i="41"/>
  <c r="D91" i="41"/>
  <c r="F91" i="41"/>
  <c r="G140" i="41"/>
  <c r="C173" i="41"/>
  <c r="C180" i="41"/>
  <c r="D140" i="41"/>
  <c r="C91" i="41"/>
  <c r="H140" i="41"/>
  <c r="G84" i="41"/>
  <c r="G91" i="41"/>
  <c r="C38" i="41"/>
  <c r="C51" i="41"/>
  <c r="C52" i="41"/>
  <c r="D50" i="41"/>
  <c r="D52" i="41"/>
  <c r="D38" i="41"/>
  <c r="D51" i="41"/>
  <c r="D173" i="41"/>
  <c r="D180" i="41"/>
  <c r="AE93" i="43"/>
  <c r="AE101" i="43"/>
  <c r="AE122" i="43"/>
  <c r="AD25" i="43"/>
  <c r="I89" i="43"/>
  <c r="I93" i="43"/>
  <c r="I101" i="43"/>
  <c r="I122" i="43"/>
  <c r="I25" i="43"/>
  <c r="F140" i="41"/>
  <c r="F38" i="41"/>
  <c r="F51" i="41"/>
  <c r="E84" i="41"/>
  <c r="E91" i="41"/>
  <c r="D139" i="41"/>
  <c r="D141" i="41"/>
  <c r="C181" i="41"/>
  <c r="C62" i="41"/>
  <c r="C66" i="41"/>
  <c r="C72" i="41"/>
  <c r="C92" i="41"/>
  <c r="D62" i="41"/>
  <c r="D66" i="41"/>
  <c r="D72" i="41"/>
  <c r="D92" i="41"/>
  <c r="E50" i="41"/>
  <c r="E52" i="41"/>
  <c r="E139" i="41"/>
  <c r="E141" i="41"/>
  <c r="D151" i="41"/>
  <c r="D155" i="41"/>
  <c r="D161" i="41"/>
  <c r="D181" i="41"/>
  <c r="F139" i="41"/>
  <c r="F141" i="41"/>
  <c r="E151" i="41"/>
  <c r="E155" i="41"/>
  <c r="E161" i="41"/>
  <c r="E181" i="41"/>
  <c r="F50" i="41"/>
  <c r="F52" i="41"/>
  <c r="E62" i="41"/>
  <c r="E66" i="41"/>
  <c r="E72" i="41"/>
  <c r="E92" i="41"/>
  <c r="G50" i="41"/>
  <c r="G52" i="41"/>
  <c r="F62" i="41"/>
  <c r="F66" i="41"/>
  <c r="F72" i="41"/>
  <c r="F92" i="41"/>
  <c r="F151" i="41"/>
  <c r="F155" i="41"/>
  <c r="F161" i="41"/>
  <c r="F181" i="41"/>
  <c r="G139" i="41"/>
  <c r="G141" i="41"/>
  <c r="G151" i="41"/>
  <c r="G155" i="41"/>
  <c r="G161" i="41"/>
  <c r="G181" i="41"/>
  <c r="H139" i="41"/>
  <c r="H141" i="41"/>
  <c r="H151" i="41"/>
  <c r="H155" i="41"/>
  <c r="H161" i="41"/>
  <c r="H181" i="41"/>
  <c r="H50" i="41"/>
  <c r="H52" i="41"/>
  <c r="H62" i="41"/>
  <c r="H66" i="41"/>
  <c r="H72" i="41"/>
  <c r="H92" i="41"/>
  <c r="G62" i="41"/>
  <c r="G66" i="41"/>
  <c r="G72" i="41"/>
  <c r="G92" i="41"/>
  <c r="H32" i="41"/>
  <c r="H59" i="41"/>
  <c r="G32" i="41"/>
  <c r="G59" i="41"/>
  <c r="F32" i="41"/>
  <c r="F59" i="41"/>
  <c r="E32" i="41"/>
  <c r="E59" i="41"/>
  <c r="D32" i="41"/>
  <c r="D59" i="41"/>
  <c r="C32" i="41"/>
  <c r="C59" i="41"/>
  <c r="C102" i="41"/>
  <c r="C121" i="41"/>
  <c r="C148" i="41"/>
  <c r="D102" i="41"/>
  <c r="D121" i="41"/>
  <c r="D148" i="41"/>
  <c r="E102" i="41"/>
  <c r="E121" i="41"/>
  <c r="E148" i="41"/>
  <c r="F102" i="41"/>
  <c r="F121" i="41"/>
  <c r="F148" i="41"/>
  <c r="H102" i="41"/>
  <c r="H121" i="41"/>
  <c r="H148" i="41"/>
  <c r="G102" i="41"/>
  <c r="G121" i="41"/>
  <c r="G148" i="4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<sst xmlns="http://schemas.openxmlformats.org/spreadsheetml/2006/main" count="676" uniqueCount="122">
  <si>
    <t>Other</t>
  </si>
  <si>
    <t>Inventories</t>
  </si>
  <si>
    <t>Revenue</t>
  </si>
  <si>
    <t>EBITDA</t>
  </si>
  <si>
    <t>EBIT</t>
  </si>
  <si>
    <t>EBT</t>
  </si>
  <si>
    <t>Net Income</t>
  </si>
  <si>
    <t>Cash Flow Statement</t>
  </si>
  <si>
    <t>Balance Sheet</t>
  </si>
  <si>
    <t>Total Current Assets</t>
  </si>
  <si>
    <t>Total Assets</t>
  </si>
  <si>
    <t>Total Current Liabilities</t>
  </si>
  <si>
    <t>Total Liabilities</t>
  </si>
  <si>
    <t>Common Shares</t>
  </si>
  <si>
    <t>Retained Earnings</t>
  </si>
  <si>
    <t>Check</t>
  </si>
  <si>
    <t>Acquisition Assumptions</t>
  </si>
  <si>
    <t>Value of 100% of JP Motors Equity</t>
  </si>
  <si>
    <t>USD$ millions</t>
  </si>
  <si>
    <t>Percentage of JP Motors' Equity Acquired by WW</t>
  </si>
  <si>
    <t>%</t>
  </si>
  <si>
    <t>WW Financial Statements (Prior to the Acquisition)</t>
  </si>
  <si>
    <t>Income statement</t>
  </si>
  <si>
    <t>(in USD$ millions, fiscal years ended December 31st)</t>
  </si>
  <si>
    <t>Less: COGS</t>
  </si>
  <si>
    <t>Gross Profit</t>
  </si>
  <si>
    <t>Less: SG&amp;A</t>
  </si>
  <si>
    <t>Less: Depreciation</t>
  </si>
  <si>
    <t>Add/(Less): Net Interest Income/(Expense)</t>
  </si>
  <si>
    <t>Less: Taxes</t>
  </si>
  <si>
    <t>Cash Flow from Operations</t>
  </si>
  <si>
    <t>Add: Depreciation</t>
  </si>
  <si>
    <t>Add/(Less): Change in W/C</t>
  </si>
  <si>
    <t>Cash Flow from Investing Activities</t>
  </si>
  <si>
    <t>Less: Capex</t>
  </si>
  <si>
    <t>Cash Flow from Financing Activities</t>
  </si>
  <si>
    <t>Add/(Less): Issuance/(Repayment) of Debt</t>
  </si>
  <si>
    <t>Add/(Less): Issuance/(Repayment) of Common Shares</t>
  </si>
  <si>
    <t>Less: Dividends</t>
  </si>
  <si>
    <t>Beginning Cash &amp; Equivalents</t>
  </si>
  <si>
    <t>Change in Cash &amp; Equivalents</t>
  </si>
  <si>
    <t>Ending Cash &amp; Equivalents</t>
  </si>
  <si>
    <t>Assets</t>
  </si>
  <si>
    <t>Cash and Equivalents</t>
  </si>
  <si>
    <t>A/R</t>
  </si>
  <si>
    <t>Fixed Assets</t>
  </si>
  <si>
    <t>Total Long-Term Assets</t>
  </si>
  <si>
    <t>Liabilities</t>
  </si>
  <si>
    <t>A/P</t>
  </si>
  <si>
    <t>Long-Term Debt Due within One Year</t>
  </si>
  <si>
    <t>Long-Term Debt</t>
  </si>
  <si>
    <t>Total Long-term Liabilities</t>
  </si>
  <si>
    <t>Shareholders' Equity</t>
  </si>
  <si>
    <t>Total Shareholders' Equity</t>
  </si>
  <si>
    <t>Total Liabilities &amp; Shareholders' Equity</t>
  </si>
  <si>
    <t>JP Motors Financial Statements (Prior to the Acquisition)</t>
  </si>
  <si>
    <t>Pro Forma Financial Statements</t>
  </si>
  <si>
    <t>Click Here</t>
  </si>
  <si>
    <t>Summary Table of Answers</t>
  </si>
  <si>
    <t>% of JP Motors' Equity Acquired by WW</t>
  </si>
  <si>
    <t>2026 Retained Earnings</t>
  </si>
  <si>
    <t>2024 Investment in JP Motors</t>
  </si>
  <si>
    <t>2025 Non-Controlling Interests</t>
  </si>
  <si>
    <t>2027 EBITDA</t>
  </si>
  <si>
    <t>COST METHODOLOGY</t>
  </si>
  <si>
    <t>CONSOLIDATION METHODOLOGY</t>
  </si>
  <si>
    <t>If WW acquires &lt;20% JP Motors' equity, the Cost Method is applied.</t>
  </si>
  <si>
    <t>Cost Method</t>
  </si>
  <si>
    <t>If WW acquires &gt;50% of JP Motors' equity, the Consolidation Method is applied.</t>
  </si>
  <si>
    <t>Consolidation Method</t>
  </si>
  <si>
    <t>Value of 100% of JP Motors' Equity</t>
  </si>
  <si>
    <t>BS Check:</t>
  </si>
  <si>
    <t>Running:</t>
  </si>
  <si>
    <t>Net Earnings before Noncontrolling Interest</t>
  </si>
  <si>
    <t>Less: Non-Controlling Interest</t>
  </si>
  <si>
    <t>Add: Investment Income</t>
  </si>
  <si>
    <t>Add: Non-Controlling Interest</t>
  </si>
  <si>
    <t>Less: Dividends Paid to Non-Controlling Interests</t>
  </si>
  <si>
    <t>Prior to Close</t>
  </si>
  <si>
    <t>Adjustments</t>
  </si>
  <si>
    <t>Investment In JP Motors</t>
  </si>
  <si>
    <t>Goodwill</t>
  </si>
  <si>
    <t>Non-Controlling Interest</t>
  </si>
  <si>
    <t>WW Income Statement (Prior to the Acquisition)</t>
  </si>
  <si>
    <t>WW Cash Flow Statement (Prior to the Acquisition)</t>
  </si>
  <si>
    <t>WW Balance Sheet (Prior to the Acquisition)</t>
  </si>
  <si>
    <t>JP Motors Income Statement (Prior to the Acquisition)</t>
  </si>
  <si>
    <t>JP Motors Cash Flow Statement (Prior to the Acquisition)</t>
  </si>
  <si>
    <t>JP Motors Balance Sheet (Prior to the Acquisition)</t>
  </si>
  <si>
    <t>ACQUSITION SCHEDULE</t>
  </si>
  <si>
    <t>Model technical inputs</t>
  </si>
  <si>
    <t>Company name</t>
  </si>
  <si>
    <t>WV Cars</t>
  </si>
  <si>
    <t>CFM Topic</t>
  </si>
  <si>
    <t>Subsidiaries</t>
  </si>
  <si>
    <t>Model period counter</t>
  </si>
  <si>
    <t>counter</t>
  </si>
  <si>
    <t>Model first period flag</t>
  </si>
  <si>
    <t>flag</t>
  </si>
  <si>
    <t>Model timeline</t>
  </si>
  <si>
    <t>date</t>
  </si>
  <si>
    <t>Model first year of forecast</t>
  </si>
  <si>
    <t>Acquisition asssumptions</t>
  </si>
  <si>
    <t>USD m</t>
  </si>
  <si>
    <t>Consolidation method</t>
  </si>
  <si>
    <t>Consolidation</t>
  </si>
  <si>
    <t>Cost</t>
  </si>
  <si>
    <t>Method selector</t>
  </si>
  <si>
    <t>&lt;= select</t>
  </si>
  <si>
    <t>Other current assets</t>
  </si>
  <si>
    <t>Other LT assets</t>
  </si>
  <si>
    <t>Other current liabilities</t>
  </si>
  <si>
    <t>Other LT liabilities</t>
  </si>
  <si>
    <t>Acquisition schedule</t>
  </si>
  <si>
    <t>Income Statement</t>
  </si>
  <si>
    <t>Balance sheet</t>
  </si>
  <si>
    <t>Net Earnings before Non controlling Interest</t>
  </si>
  <si>
    <t>Model operaring flag</t>
  </si>
  <si>
    <t/>
  </si>
  <si>
    <t>Prior</t>
  </si>
  <si>
    <t>Adjustment</t>
  </si>
  <si>
    <t>Investment in 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</si>
</sst>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164" formatCode="&quot;$&quot;#,##0.00_);[Red]\(&quot;$&quot;#,##0.00\)"/>
    <numFmt numFmtId="165" formatCode="_(* #,##0.00_);_(* \(#,##0.00\);_(* &quot;-&quot;??_);_(@_)"/>
    <numFmt numFmtId="166" formatCode="_-* #,##0_-;\-* #,##0_-;_-* &quot;-&quot;??_-;_-@_-"/>
    <numFmt numFmtId="167" formatCode="#,##0_);\(#,##0\);\-"/>
    <numFmt numFmtId="168" formatCode="#,##0_);\(#,##0\);\-_)"/>
    <numFmt numFmtId="169" formatCode="#,##0.00_);\(#,##0.00\);\-_)"/>
    <numFmt numFmtId="170" formatCode="0.00%_);\(0.00%\);\-_)"/>
    <numFmt numFmtId="171" formatCode="d/mmm/yy;d/mmm/yy;\-"/>
    <numFmt numFmtId="172" formatCode="[Red]&quot;Error&quot;;[Red]&quot;Error&quot;;&quot;OK&quot;;[Red]General"/>
    <numFmt numFmtId="173" formatCode="&quot;On&quot;;[Black]\(#,##0\);[Red]&quot;Off&quot;;[Black]General"/>
    <numFmt numFmtId="174" formatCode="&quot;Yes&quot;;[Black]\(#,##0\);[Red]&quot;No&quot;;[Black]General"/>
    <numFmt numFmtId="175" formatCode="d\-mmm\-yy;d\-mmm\-yy;\-"/>
    <numFmt numFmtId="176" formatCode="###0_);\(###0\);\-_)"/>
    <numFmt numFmtId="177" formatCode="0.0%"/>
    <numFmt numFmtId="178" formatCode="_(* #,##0.0_);_(* \(#,##0.0\);_(* &quot;-&quot;??_);_(@_)"/>
    <numFmt numFmtId="179" formatCode="#,##0.0;\-#,##0.0;\-"/>
    <numFmt numFmtId="180" formatCode="#,##0.00;\-#,##0.00;\-"/>
    <numFmt numFmtId="181" formatCode="#,##0.000;\-#,##0.000;\-"/>
    <numFmt numFmtId="182" formatCode=";;;"/>
    <numFmt numFmtId="183" formatCode="\&lt;0.0%"/>
    <numFmt numFmtId="184" formatCode="\&lt;\=0.0%"/>
    <numFmt numFmtId="185" formatCode="\&gt;0.0%"/>
    <numFmt numFmtId="186" formatCode="[$-409]mmmm\ d\,\ yyyy;@"/>
    <numFmt numFmtId="187" formatCode="yyyy&quot;E&quot;"/>
    <numFmt numFmtId="188" formatCode="yyyy&quot;F&quot;"/>
    <numFmt numFmtId="189" formatCode="#,##0.0000000000000_ ;\-#,##0.0000000000000\ "/>
    <numFmt numFmtId="190" formatCode="_-* #,##0.0_-;\-* #,##0.0_-;_-* &quot;-&quot;?_-;_-@_-"/>
    <numFmt numFmtId="191" formatCode="#,##0_);\(#,##0\);&quot;-  &quot;;&quot; &quot;@"/>
    <numFmt numFmtId="192" formatCode="0.00%\ ;\-0.00%\ _);&quot;-  &quot;;&quot; &quot;@&quot; &quot;"/>
    <numFmt numFmtId="193" formatCode="#,##0.0000_);\(#,##0.0000\);&quot;-  &quot;;&quot; &quot;@&quot; &quot;"/>
    <numFmt numFmtId="194" formatCode="dd\ mmm\ yyyy_);\(###0\);&quot;-  &quot;;&quot; &quot;@&quot; &quot;"/>
    <numFmt numFmtId="195" formatCode="dd\ mmm\ yy_);\(###0\);&quot;-  &quot;;&quot; &quot;@&quot; &quot;"/>
    <numFmt numFmtId="196" formatCode="###0_);\(###0\);&quot;-  &quot;;&quot; &quot;@&quot; &quot;"/>
    <numFmt numFmtId="200" formatCode="#,##0_);\(#,##0\);&quot;-  &quot;;&quot; &quot;@&quot; &quot;"/>
  </numFmts>
  <fonts count="6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Aldine401 BT"/>
    </font>
    <font>
      <sz val="10"/>
      <name val="Book Antiqua"/>
      <family val="1"/>
    </font>
    <font>
      <sz val="11"/>
      <color indexed="12"/>
      <name val="Book Antiqua"/>
      <family val="1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b/>
      <sz val="12"/>
      <color rgb="FF366092"/>
      <name val="Arial"/>
      <family val="2"/>
    </font>
    <font>
      <sz val="10"/>
      <color rgb="FF0000FF"/>
      <name val="Arial"/>
      <family val="2"/>
    </font>
    <font>
      <sz val="10"/>
      <color rgb="FF7030A0"/>
      <name val="Arial"/>
      <family val="2"/>
    </font>
    <font>
      <sz val="10"/>
      <color theme="0" tint="-0.499984740745262"/>
      <name val="Arial"/>
      <family val="2"/>
    </font>
    <font>
      <b/>
      <sz val="10"/>
      <color rgb="FF008000"/>
      <name val="Arial"/>
      <family val="2"/>
    </font>
    <font>
      <sz val="9"/>
      <color rgb="FFFF0000"/>
      <name val="Arial"/>
      <family val="2"/>
    </font>
    <font>
      <sz val="10"/>
      <color theme="0" tint="-0.34998626667073579"/>
      <name val="Arial"/>
      <family val="2"/>
    </font>
    <font>
      <sz val="10"/>
      <color theme="9" tint="-0.499984740745262"/>
      <name val="Arial"/>
      <family val="2"/>
    </font>
    <font>
      <sz val="10"/>
      <color rgb="FF4F6228"/>
      <name val="Arial"/>
      <family val="2"/>
    </font>
    <font>
      <sz val="10"/>
      <color rgb="FF006600"/>
      <name val="Arial"/>
      <family val="2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sz val="11"/>
      <color theme="1"/>
      <name val="Arial"/>
      <family val="2"/>
    </font>
    <font>
      <b/>
      <sz val="13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b/>
      <u val="singleAccounting"/>
      <sz val="13"/>
      <name val="Calibri"/>
      <family val="2"/>
      <scheme val="minor"/>
    </font>
    <font>
      <b/>
      <u val="singleAccounting"/>
      <sz val="13"/>
      <color theme="3"/>
      <name val="Calibri"/>
      <family val="2"/>
      <scheme val="minor"/>
    </font>
    <font>
      <b/>
      <u/>
      <sz val="12"/>
      <color rgb="FF0000FF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Arial"/>
      <family val="2"/>
    </font>
    <font>
      <u/>
      <sz val="10"/>
      <color theme="10"/>
      <name val="Arial"/>
      <family val="2"/>
    </font>
    <font>
      <b/>
      <u val="singleAccounting"/>
      <sz val="10"/>
      <color theme="1"/>
      <name val="Arial"/>
      <family val="2"/>
    </font>
    <font>
      <sz val="10"/>
      <color rgb="FF000000"/>
      <name val="Arial"/>
      <family val="2"/>
    </font>
    <font>
      <i/>
      <sz val="10"/>
      <color rgb="FF0000FF"/>
      <name val="Arial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sz val="10"/>
      <color theme="3"/>
      <name val="Arial"/>
      <family val="2"/>
    </font>
    <font>
      <b/>
      <u val="singleAccounting"/>
      <sz val="10"/>
      <name val="Arial"/>
      <family val="2"/>
    </font>
    <font>
      <b/>
      <u val="singleAccounting"/>
      <sz val="10"/>
      <color theme="3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u/>
      <sz val="10"/>
      <color rgb="FF000000"/>
      <name val="Arial"/>
      <family val="2"/>
    </font>
    <font>
      <b/>
      <sz val="11"/>
      <color theme="1"/>
      <name val="Arial"/>
      <family val="2"/>
    </font>
    <font>
      <sz val="11"/>
      <color rgb="FF0000FF"/>
      <name val="Arial"/>
      <family val="2"/>
    </font>
    <font>
      <sz val="11"/>
      <color rgb="FFFF0000"/>
      <name val="Arial"/>
      <family val="2"/>
    </font>
    <font>
      <b/>
      <sz val="11"/>
      <color rgb="FF0000FF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u/>
      <sz val="11"/>
      <color rgb="FF000000"/>
      <name val="Arial"/>
      <family val="2"/>
    </font>
    <font>
      <u/>
      <sz val="11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003264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7">
    <xf numFmtId="191" fontId="0" fillId="0" borderId="0" applyFont="0" applyFill="0" applyBorder="0" applyProtection="0">
      <alignment vertical="top"/>
    </xf>
    <xf numFmtId="0" fontId="2" fillId="0" borderId="0"/>
    <xf numFmtId="165" fontId="3" fillId="0" borderId="0" applyFont="0" applyFill="0" applyBorder="0" applyAlignment="0" applyProtection="0"/>
    <xf numFmtId="0" fontId="4" fillId="0" borderId="0" applyNumberFormat="0" applyFont="0" applyFill="0" applyBorder="0" applyProtection="0">
      <alignment horizontal="centerContinuous"/>
    </xf>
    <xf numFmtId="0" fontId="4" fillId="0" borderId="1" applyNumberFormat="0" applyFont="0" applyFill="0" applyAlignment="0" applyProtection="0"/>
    <xf numFmtId="0" fontId="4" fillId="0" borderId="0" applyNumberFormat="0" applyFont="0" applyFill="0" applyBorder="0" applyProtection="0">
      <alignment horizontal="center"/>
    </xf>
    <xf numFmtId="164" fontId="5" fillId="0" borderId="4">
      <protection locked="0"/>
    </xf>
    <xf numFmtId="0" fontId="4" fillId="0" borderId="5" applyNumberFormat="0" applyFont="0" applyFill="0" applyAlignment="0" applyProtection="0"/>
    <xf numFmtId="0" fontId="6" fillId="0" borderId="0" applyNumberFormat="0" applyFill="0" applyBorder="0" applyAlignment="0" applyProtection="0"/>
    <xf numFmtId="166" fontId="3" fillId="0" borderId="0" applyNumberFormat="0" applyFill="0" applyBorder="0" applyAlignment="0" applyProtection="0"/>
    <xf numFmtId="0" fontId="4" fillId="0" borderId="3" applyNumberFormat="0" applyFont="0" applyFill="0" applyAlignment="0" applyProtection="0"/>
    <xf numFmtId="9" fontId="2" fillId="0" borderId="0" applyFont="0" applyFill="0" applyBorder="0" applyAlignment="0" applyProtection="0"/>
    <xf numFmtId="0" fontId="10" fillId="3" borderId="0" applyNumberFormat="0" applyAlignment="0"/>
    <xf numFmtId="168" fontId="1" fillId="0" borderId="0" applyBorder="0"/>
    <xf numFmtId="4" fontId="7" fillId="4" borderId="2">
      <alignment horizontal="left"/>
    </xf>
    <xf numFmtId="167" fontId="11" fillId="0" borderId="0" applyFill="0" applyBorder="0"/>
    <xf numFmtId="168" fontId="9" fillId="0" borderId="0" applyBorder="0"/>
    <xf numFmtId="0" fontId="12" fillId="0" borderId="0" applyNumberFormat="0" applyFill="0" applyBorder="0">
      <alignment horizontal="right"/>
    </xf>
    <xf numFmtId="168" fontId="12" fillId="5" borderId="8">
      <protection locked="0"/>
    </xf>
    <xf numFmtId="169" fontId="12" fillId="5" borderId="8">
      <protection locked="0"/>
    </xf>
    <xf numFmtId="170" fontId="12" fillId="5" borderId="8">
      <protection locked="0"/>
    </xf>
    <xf numFmtId="171" fontId="1" fillId="0" borderId="0" applyBorder="0"/>
    <xf numFmtId="171" fontId="12" fillId="5" borderId="8">
      <protection locked="0"/>
    </xf>
    <xf numFmtId="168" fontId="12" fillId="0" borderId="8"/>
    <xf numFmtId="15" fontId="8" fillId="0" borderId="0" applyFill="0" applyBorder="0" applyAlignment="0"/>
    <xf numFmtId="172" fontId="13" fillId="0" borderId="9">
      <alignment horizontal="center"/>
    </xf>
    <xf numFmtId="168" fontId="14" fillId="7" borderId="0" applyBorder="0" applyAlignment="0"/>
    <xf numFmtId="172" fontId="15" fillId="8" borderId="10">
      <alignment horizontal="center"/>
    </xf>
    <xf numFmtId="0" fontId="16" fillId="0" borderId="0" applyNumberFormat="0" applyFill="0" applyBorder="0" applyAlignment="0"/>
    <xf numFmtId="0" fontId="17" fillId="0" borderId="0" applyNumberFormat="0" applyFill="0" applyBorder="0" applyAlignment="0"/>
    <xf numFmtId="167" fontId="18" fillId="6" borderId="8" applyNumberFormat="0" applyAlignment="0">
      <protection locked="0"/>
    </xf>
    <xf numFmtId="173" fontId="19" fillId="5" borderId="8">
      <alignment horizontal="center"/>
      <protection locked="0"/>
    </xf>
    <xf numFmtId="174" fontId="19" fillId="5" borderId="8">
      <alignment horizontal="center"/>
      <protection locked="0"/>
    </xf>
    <xf numFmtId="169" fontId="1" fillId="0" borderId="0" applyBorder="0"/>
    <xf numFmtId="174" fontId="20" fillId="0" borderId="11" applyFill="0">
      <alignment horizontal="center"/>
    </xf>
    <xf numFmtId="173" fontId="19" fillId="0" borderId="11">
      <alignment horizontal="center"/>
    </xf>
    <xf numFmtId="170" fontId="2" fillId="0" borderId="0" applyFill="0" applyBorder="0" applyAlignment="0"/>
    <xf numFmtId="168" fontId="1" fillId="9" borderId="11"/>
    <xf numFmtId="0" fontId="21" fillId="0" borderId="6" applyNumberFormat="0" applyFill="0" applyAlignment="0" applyProtection="0"/>
    <xf numFmtId="0" fontId="22" fillId="0" borderId="0"/>
    <xf numFmtId="0" fontId="23" fillId="2" borderId="7" applyNumberFormat="0" applyAlignment="0" applyProtection="0"/>
    <xf numFmtId="0" fontId="23" fillId="2" borderId="7" applyFill="0" applyAlignment="0" applyProtection="0"/>
    <xf numFmtId="0" fontId="1" fillId="0" borderId="0"/>
    <xf numFmtId="0" fontId="24" fillId="0" borderId="0"/>
    <xf numFmtId="175" fontId="1" fillId="0" borderId="0" applyBorder="0"/>
    <xf numFmtId="176" fontId="1" fillId="0" borderId="0" applyBorder="0"/>
    <xf numFmtId="175" fontId="12" fillId="5" borderId="8">
      <protection locked="0"/>
    </xf>
    <xf numFmtId="165" fontId="22" fillId="0" borderId="0" applyFont="0" applyFill="0" applyBorder="0" applyAlignment="0" applyProtection="0"/>
    <xf numFmtId="0" fontId="25" fillId="2" borderId="7" applyNumberFormat="0" applyAlignment="0" applyProtection="0"/>
    <xf numFmtId="0" fontId="26" fillId="0" borderId="0"/>
    <xf numFmtId="0" fontId="27" fillId="0" borderId="12" applyNumberFormat="0" applyFill="0" applyAlignment="0" applyProtection="0"/>
    <xf numFmtId="0" fontId="38" fillId="0" borderId="0" applyNumberFormat="0" applyFill="0" applyBorder="0" applyAlignment="0" applyProtection="0"/>
    <xf numFmtId="192" fontId="24" fillId="0" borderId="0" applyFont="0" applyFill="0" applyBorder="0" applyProtection="0">
      <alignment vertical="top"/>
    </xf>
    <xf numFmtId="193" fontId="24" fillId="0" borderId="0" applyFont="0" applyFill="0" applyBorder="0" applyProtection="0">
      <alignment vertical="top"/>
    </xf>
    <xf numFmtId="194" fontId="24" fillId="0" borderId="0" applyFont="0" applyFill="0" applyBorder="0" applyProtection="0">
      <alignment vertical="top"/>
    </xf>
    <xf numFmtId="195" fontId="24" fillId="0" borderId="0" applyFont="0" applyFill="0" applyBorder="0" applyProtection="0">
      <alignment vertical="top"/>
    </xf>
    <xf numFmtId="196" fontId="24" fillId="0" borderId="0" applyFont="0" applyFill="0" applyBorder="0" applyProtection="0">
      <alignment vertical="top"/>
    </xf>
  </cellStyleXfs>
  <cellXfs count="163">
    <xf numFmtId="191" fontId="0" fillId="0" borderId="0" xfId="0">
      <alignment vertical="top"/>
    </xf>
    <xf numFmtId="0" fontId="27" fillId="0" borderId="12" xfId="50"/>
    <xf numFmtId="0" fontId="22" fillId="0" borderId="0" xfId="39"/>
    <xf numFmtId="0" fontId="28" fillId="0" borderId="0" xfId="39" applyFont="1" applyAlignment="1">
      <alignment horizontal="center"/>
    </xf>
    <xf numFmtId="0" fontId="29" fillId="0" borderId="0" xfId="39" applyFont="1" applyAlignment="1">
      <alignment horizontal="center"/>
    </xf>
    <xf numFmtId="165" fontId="0" fillId="0" borderId="0" xfId="47" applyFont="1"/>
    <xf numFmtId="178" fontId="22" fillId="0" borderId="0" xfId="39" applyNumberFormat="1"/>
    <xf numFmtId="0" fontId="27" fillId="0" borderId="0" xfId="50" applyBorder="1" applyAlignment="1">
      <alignment horizontal="left" indent="1"/>
    </xf>
    <xf numFmtId="0" fontId="31" fillId="0" borderId="0" xfId="50" applyFont="1" applyBorder="1" applyAlignment="1">
      <alignment horizontal="centerContinuous"/>
    </xf>
    <xf numFmtId="0" fontId="32" fillId="0" borderId="0" xfId="50" applyFont="1" applyBorder="1" applyAlignment="1">
      <alignment horizontal="centerContinuous"/>
    </xf>
    <xf numFmtId="0" fontId="22" fillId="0" borderId="0" xfId="39" applyAlignment="1">
      <alignment horizontal="left" indent="1"/>
    </xf>
    <xf numFmtId="0" fontId="29" fillId="0" borderId="0" xfId="39" applyFont="1"/>
    <xf numFmtId="178" fontId="35" fillId="0" borderId="0" xfId="39" applyNumberFormat="1" applyFont="1"/>
    <xf numFmtId="0" fontId="28" fillId="0" borderId="0" xfId="39" applyFont="1"/>
    <xf numFmtId="178" fontId="36" fillId="0" borderId="0" xfId="39" applyNumberFormat="1" applyFont="1"/>
    <xf numFmtId="0" fontId="22" fillId="0" borderId="1" xfId="39" applyBorder="1"/>
    <xf numFmtId="179" fontId="22" fillId="0" borderId="1" xfId="39" applyNumberFormat="1" applyBorder="1"/>
    <xf numFmtId="180" fontId="37" fillId="0" borderId="0" xfId="39" applyNumberFormat="1" applyFont="1"/>
    <xf numFmtId="179" fontId="22" fillId="0" borderId="0" xfId="39" applyNumberFormat="1"/>
    <xf numFmtId="177" fontId="30" fillId="0" borderId="0" xfId="39" applyNumberFormat="1" applyFont="1"/>
    <xf numFmtId="0" fontId="28" fillId="0" borderId="0" xfId="39" applyFont="1" applyAlignment="1">
      <alignment horizontal="left" indent="1"/>
    </xf>
    <xf numFmtId="181" fontId="37" fillId="0" borderId="1" xfId="39" applyNumberFormat="1" applyFont="1" applyBorder="1"/>
    <xf numFmtId="178" fontId="30" fillId="0" borderId="0" xfId="39" applyNumberFormat="1" applyFont="1"/>
    <xf numFmtId="0" fontId="27" fillId="0" borderId="12" xfId="50" applyFill="1"/>
    <xf numFmtId="178" fontId="30" fillId="0" borderId="1" xfId="39" applyNumberFormat="1" applyFont="1" applyBorder="1"/>
    <xf numFmtId="178" fontId="37" fillId="0" borderId="0" xfId="39" applyNumberFormat="1" applyFont="1"/>
    <xf numFmtId="178" fontId="35" fillId="0" borderId="1" xfId="39" applyNumberFormat="1" applyFont="1" applyBorder="1"/>
    <xf numFmtId="178" fontId="28" fillId="0" borderId="0" xfId="39" applyNumberFormat="1" applyFont="1"/>
    <xf numFmtId="0" fontId="32" fillId="0" borderId="0" xfId="50" applyFont="1" applyFill="1" applyBorder="1" applyAlignment="1">
      <alignment horizontal="centerContinuous"/>
    </xf>
    <xf numFmtId="177" fontId="30" fillId="10" borderId="7" xfId="40" applyNumberFormat="1" applyFont="1" applyFill="1"/>
    <xf numFmtId="191" fontId="39" fillId="11" borderId="14" xfId="0" applyFont="1" applyFill="1" applyBorder="1">
      <alignment vertical="top"/>
    </xf>
    <xf numFmtId="191" fontId="10" fillId="11" borderId="2" xfId="0" applyFont="1" applyFill="1" applyBorder="1">
      <alignment vertical="top"/>
    </xf>
    <xf numFmtId="191" fontId="10" fillId="11" borderId="15" xfId="0" applyFont="1" applyFill="1" applyBorder="1">
      <alignment vertical="top"/>
    </xf>
    <xf numFmtId="0" fontId="1" fillId="0" borderId="0" xfId="39" applyFont="1"/>
    <xf numFmtId="0" fontId="40" fillId="0" borderId="0" xfId="51" applyFont="1" applyFill="1" applyAlignment="1">
      <alignment horizontal="center"/>
    </xf>
    <xf numFmtId="0" fontId="1" fillId="0" borderId="13" xfId="39" applyFont="1" applyBorder="1"/>
    <xf numFmtId="177" fontId="12" fillId="0" borderId="0" xfId="48" applyNumberFormat="1" applyFont="1" applyFill="1" applyBorder="1" applyAlignment="1">
      <alignment horizontal="right"/>
    </xf>
    <xf numFmtId="178" fontId="1" fillId="0" borderId="0" xfId="39" applyNumberFormat="1" applyFont="1"/>
    <xf numFmtId="0" fontId="44" fillId="0" borderId="0" xfId="39" applyFont="1" applyAlignment="1">
      <alignment horizontal="center"/>
    </xf>
    <xf numFmtId="0" fontId="9" fillId="0" borderId="0" xfId="39" applyFont="1" applyAlignment="1">
      <alignment horizontal="center"/>
    </xf>
    <xf numFmtId="178" fontId="2" fillId="0" borderId="0" xfId="39" applyNumberFormat="1" applyFont="1"/>
    <xf numFmtId="0" fontId="9" fillId="0" borderId="14" xfId="39" applyFont="1" applyBorder="1" applyAlignment="1">
      <alignment horizontal="center"/>
    </xf>
    <xf numFmtId="0" fontId="1" fillId="0" borderId="2" xfId="39" applyFont="1" applyBorder="1"/>
    <xf numFmtId="178" fontId="1" fillId="0" borderId="15" xfId="39" applyNumberFormat="1" applyFont="1" applyBorder="1" applyAlignment="1">
      <alignment horizontal="right"/>
    </xf>
    <xf numFmtId="177" fontId="45" fillId="0" borderId="0" xfId="48" applyNumberFormat="1" applyFont="1" applyFill="1" applyBorder="1"/>
    <xf numFmtId="0" fontId="1" fillId="0" borderId="0" xfId="39" applyFont="1" applyAlignment="1">
      <alignment horizontal="right"/>
    </xf>
    <xf numFmtId="0" fontId="1" fillId="0" borderId="15" xfId="39" applyFont="1" applyBorder="1" applyAlignment="1">
      <alignment horizontal="right"/>
    </xf>
    <xf numFmtId="0" fontId="46" fillId="0" borderId="0" xfId="50" applyFont="1" applyFill="1" applyBorder="1" applyAlignment="1">
      <alignment horizontal="left" indent="1"/>
    </xf>
    <xf numFmtId="0" fontId="48" fillId="0" borderId="0" xfId="50" applyFont="1" applyFill="1" applyBorder="1" applyAlignment="1">
      <alignment horizontal="centerContinuous"/>
    </xf>
    <xf numFmtId="0" fontId="47" fillId="0" borderId="0" xfId="50" applyFont="1" applyFill="1" applyBorder="1" applyAlignment="1">
      <alignment horizontal="centerContinuous"/>
    </xf>
    <xf numFmtId="0" fontId="1" fillId="0" borderId="0" xfId="39" applyFont="1" applyAlignment="1">
      <alignment horizontal="left" indent="1"/>
    </xf>
    <xf numFmtId="0" fontId="44" fillId="0" borderId="0" xfId="39" applyFont="1"/>
    <xf numFmtId="0" fontId="2" fillId="0" borderId="0" xfId="39" applyFont="1" applyAlignment="1">
      <alignment horizontal="left" indent="1"/>
    </xf>
    <xf numFmtId="0" fontId="2" fillId="0" borderId="0" xfId="39" applyFont="1"/>
    <xf numFmtId="0" fontId="9" fillId="0" borderId="0" xfId="39" applyFont="1"/>
    <xf numFmtId="0" fontId="1" fillId="0" borderId="1" xfId="39" applyFont="1" applyBorder="1"/>
    <xf numFmtId="179" fontId="1" fillId="0" borderId="1" xfId="39" applyNumberFormat="1" applyFont="1" applyBorder="1"/>
    <xf numFmtId="0" fontId="8" fillId="0" borderId="0" xfId="39" applyFont="1" applyAlignment="1">
      <alignment horizontal="left" indent="1"/>
    </xf>
    <xf numFmtId="0" fontId="8" fillId="0" borderId="0" xfId="39" applyFont="1"/>
    <xf numFmtId="0" fontId="9" fillId="0" borderId="0" xfId="39" applyFont="1" applyAlignment="1">
      <alignment horizontal="left" indent="1"/>
    </xf>
    <xf numFmtId="165" fontId="1" fillId="0" borderId="0" xfId="39" applyNumberFormat="1" applyFont="1"/>
    <xf numFmtId="189" fontId="1" fillId="0" borderId="0" xfId="39" applyNumberFormat="1" applyFont="1"/>
    <xf numFmtId="190" fontId="1" fillId="0" borderId="0" xfId="39" applyNumberFormat="1" applyFont="1"/>
    <xf numFmtId="165" fontId="44" fillId="0" borderId="0" xfId="39" applyNumberFormat="1" applyFont="1" applyAlignment="1">
      <alignment horizontal="center"/>
    </xf>
    <xf numFmtId="165" fontId="10" fillId="11" borderId="2" xfId="0" applyNumberFormat="1" applyFont="1" applyFill="1" applyBorder="1">
      <alignment vertical="top"/>
    </xf>
    <xf numFmtId="0" fontId="41" fillId="0" borderId="0" xfId="39" applyFont="1" applyAlignment="1">
      <alignment horizontal="centerContinuous"/>
    </xf>
    <xf numFmtId="191" fontId="9" fillId="0" borderId="0" xfId="0" applyFont="1">
      <alignment vertical="top"/>
    </xf>
    <xf numFmtId="191" fontId="2" fillId="0" borderId="0" xfId="0" applyFont="1">
      <alignment vertical="top"/>
    </xf>
    <xf numFmtId="182" fontId="1" fillId="0" borderId="0" xfId="39" applyNumberFormat="1" applyFont="1"/>
    <xf numFmtId="178" fontId="1" fillId="0" borderId="16" xfId="39" applyNumberFormat="1" applyFont="1" applyBorder="1"/>
    <xf numFmtId="178" fontId="1" fillId="0" borderId="13" xfId="39" applyNumberFormat="1" applyFont="1" applyBorder="1"/>
    <xf numFmtId="178" fontId="1" fillId="0" borderId="17" xfId="39" applyNumberFormat="1" applyFont="1" applyBorder="1"/>
    <xf numFmtId="178" fontId="1" fillId="0" borderId="18" xfId="39" applyNumberFormat="1" applyFont="1" applyBorder="1"/>
    <xf numFmtId="178" fontId="1" fillId="0" borderId="19" xfId="39" applyNumberFormat="1" applyFont="1" applyBorder="1"/>
    <xf numFmtId="178" fontId="1" fillId="0" borderId="20" xfId="39" applyNumberFormat="1" applyFont="1" applyBorder="1"/>
    <xf numFmtId="178" fontId="1" fillId="0" borderId="1" xfId="39" applyNumberFormat="1" applyFont="1" applyBorder="1"/>
    <xf numFmtId="178" fontId="1" fillId="0" borderId="21" xfId="39" applyNumberFormat="1" applyFont="1" applyBorder="1"/>
    <xf numFmtId="0" fontId="42" fillId="0" borderId="0" xfId="39" applyFont="1"/>
    <xf numFmtId="183" fontId="43" fillId="0" borderId="0" xfId="39" applyNumberFormat="1" applyFont="1" applyAlignment="1">
      <alignment horizontal="center"/>
    </xf>
    <xf numFmtId="184" fontId="43" fillId="0" borderId="0" xfId="39" applyNumberFormat="1" applyFont="1" applyAlignment="1">
      <alignment horizontal="center"/>
    </xf>
    <xf numFmtId="0" fontId="12" fillId="0" borderId="0" xfId="39" applyFont="1" applyAlignment="1">
      <alignment horizontal="center"/>
    </xf>
    <xf numFmtId="185" fontId="43" fillId="0" borderId="0" xfId="39" applyNumberFormat="1" applyFont="1" applyAlignment="1">
      <alignment horizontal="center"/>
    </xf>
    <xf numFmtId="186" fontId="12" fillId="0" borderId="0" xfId="39" applyNumberFormat="1" applyFont="1"/>
    <xf numFmtId="187" fontId="49" fillId="0" borderId="0" xfId="39" applyNumberFormat="1" applyFont="1" applyAlignment="1">
      <alignment horizontal="right"/>
    </xf>
    <xf numFmtId="188" fontId="49" fillId="0" borderId="0" xfId="39" applyNumberFormat="1" applyFont="1" applyAlignment="1">
      <alignment horizontal="right"/>
    </xf>
    <xf numFmtId="178" fontId="2" fillId="0" borderId="1" xfId="39" applyNumberFormat="1" applyFont="1" applyBorder="1"/>
    <xf numFmtId="178" fontId="50" fillId="0" borderId="0" xfId="39" applyNumberFormat="1" applyFont="1"/>
    <xf numFmtId="179" fontId="1" fillId="0" borderId="0" xfId="39" applyNumberFormat="1" applyFont="1"/>
    <xf numFmtId="177" fontId="12" fillId="0" borderId="0" xfId="39" applyNumberFormat="1" applyFont="1"/>
    <xf numFmtId="178" fontId="9" fillId="0" borderId="0" xfId="39" applyNumberFormat="1" applyFont="1"/>
    <xf numFmtId="178" fontId="9" fillId="0" borderId="13" xfId="39" applyNumberFormat="1" applyFont="1" applyBorder="1"/>
    <xf numFmtId="178" fontId="2" fillId="0" borderId="13" xfId="39" applyNumberFormat="1" applyFont="1" applyBorder="1"/>
    <xf numFmtId="178" fontId="12" fillId="0" borderId="1" xfId="39" applyNumberFormat="1" applyFont="1" applyBorder="1"/>
    <xf numFmtId="178" fontId="42" fillId="0" borderId="1" xfId="39" applyNumberFormat="1" applyFont="1" applyBorder="1"/>
    <xf numFmtId="178" fontId="12" fillId="0" borderId="0" xfId="39" applyNumberFormat="1" applyFont="1"/>
    <xf numFmtId="187" fontId="49" fillId="0" borderId="16" xfId="39" applyNumberFormat="1" applyFont="1" applyBorder="1" applyAlignment="1">
      <alignment horizontal="right"/>
    </xf>
    <xf numFmtId="187" fontId="49" fillId="0" borderId="13" xfId="39" applyNumberFormat="1" applyFont="1" applyBorder="1" applyAlignment="1">
      <alignment horizontal="right"/>
    </xf>
    <xf numFmtId="187" fontId="49" fillId="0" borderId="17" xfId="39" applyNumberFormat="1" applyFont="1" applyBorder="1" applyAlignment="1">
      <alignment horizontal="right"/>
    </xf>
    <xf numFmtId="187" fontId="49" fillId="0" borderId="18" xfId="39" applyNumberFormat="1" applyFont="1" applyBorder="1" applyAlignment="1">
      <alignment horizontal="center"/>
    </xf>
    <xf numFmtId="177" fontId="12" fillId="0" borderId="19" xfId="39" applyNumberFormat="1" applyFont="1" applyBorder="1"/>
    <xf numFmtId="0" fontId="9" fillId="0" borderId="18" xfId="39" applyFont="1" applyBorder="1"/>
    <xf numFmtId="178" fontId="2" fillId="0" borderId="19" xfId="39" applyNumberFormat="1" applyFont="1" applyBorder="1"/>
    <xf numFmtId="178" fontId="2" fillId="0" borderId="18" xfId="39" applyNumberFormat="1" applyFont="1" applyBorder="1"/>
    <xf numFmtId="178" fontId="2" fillId="0" borderId="20" xfId="39" applyNumberFormat="1" applyFont="1" applyBorder="1"/>
    <xf numFmtId="178" fontId="2" fillId="0" borderId="21" xfId="39" applyNumberFormat="1" applyFont="1" applyBorder="1"/>
    <xf numFmtId="178" fontId="12" fillId="0" borderId="18" xfId="39" applyNumberFormat="1" applyFont="1" applyBorder="1"/>
    <xf numFmtId="178" fontId="9" fillId="0" borderId="18" xfId="39" applyNumberFormat="1" applyFont="1" applyBorder="1"/>
    <xf numFmtId="178" fontId="9" fillId="0" borderId="19" xfId="39" applyNumberFormat="1" applyFont="1" applyBorder="1"/>
    <xf numFmtId="178" fontId="9" fillId="0" borderId="16" xfId="39" applyNumberFormat="1" applyFont="1" applyBorder="1"/>
    <xf numFmtId="178" fontId="9" fillId="0" borderId="17" xfId="39" applyNumberFormat="1" applyFont="1" applyBorder="1"/>
    <xf numFmtId="178" fontId="2" fillId="0" borderId="14" xfId="39" applyNumberFormat="1" applyFont="1" applyBorder="1"/>
    <xf numFmtId="178" fontId="2" fillId="0" borderId="2" xfId="39" applyNumberFormat="1" applyFont="1" applyBorder="1"/>
    <xf numFmtId="178" fontId="2" fillId="0" borderId="15" xfId="39" applyNumberFormat="1" applyFont="1" applyBorder="1"/>
    <xf numFmtId="187" fontId="51" fillId="0" borderId="0" xfId="39" applyNumberFormat="1" applyFont="1" applyAlignment="1">
      <alignment horizontal="right"/>
    </xf>
    <xf numFmtId="178" fontId="42" fillId="0" borderId="0" xfId="39" applyNumberFormat="1" applyFont="1"/>
    <xf numFmtId="179" fontId="2" fillId="0" borderId="1" xfId="39" applyNumberFormat="1" applyFont="1" applyBorder="1"/>
    <xf numFmtId="186" fontId="2" fillId="0" borderId="0" xfId="39" applyNumberFormat="1" applyFont="1"/>
    <xf numFmtId="178" fontId="8" fillId="0" borderId="0" xfId="39" applyNumberFormat="1" applyFont="1"/>
    <xf numFmtId="0" fontId="12" fillId="0" borderId="0" xfId="39" applyFont="1"/>
    <xf numFmtId="192" fontId="2" fillId="0" borderId="0" xfId="52" applyFont="1">
      <alignment vertical="top"/>
    </xf>
    <xf numFmtId="191" fontId="39" fillId="12" borderId="0" xfId="0" applyFont="1" applyFill="1">
      <alignment vertical="top"/>
    </xf>
    <xf numFmtId="191" fontId="26" fillId="0" borderId="0" xfId="0" applyFont="1">
      <alignment vertical="top"/>
    </xf>
    <xf numFmtId="191" fontId="26" fillId="13" borderId="0" xfId="0" applyFont="1" applyFill="1">
      <alignment vertical="top"/>
    </xf>
    <xf numFmtId="191" fontId="52" fillId="13" borderId="0" xfId="0" applyFont="1" applyFill="1">
      <alignment vertical="top"/>
    </xf>
    <xf numFmtId="191" fontId="53" fillId="13" borderId="0" xfId="0" applyFont="1" applyFill="1">
      <alignment vertical="top"/>
    </xf>
    <xf numFmtId="196" fontId="26" fillId="0" borderId="0" xfId="56" applyFont="1">
      <alignment vertical="top"/>
    </xf>
    <xf numFmtId="188" fontId="26" fillId="0" borderId="0" xfId="55" applyNumberFormat="1" applyFont="1">
      <alignment vertical="top"/>
    </xf>
    <xf numFmtId="195" fontId="53" fillId="13" borderId="0" xfId="55" applyFont="1" applyFill="1">
      <alignment vertical="top"/>
    </xf>
    <xf numFmtId="191" fontId="54" fillId="0" borderId="0" xfId="0" applyFont="1">
      <alignment vertical="top"/>
    </xf>
    <xf numFmtId="192" fontId="54" fillId="0" borderId="0" xfId="52" applyFont="1">
      <alignment vertical="top"/>
    </xf>
    <xf numFmtId="191" fontId="53" fillId="0" borderId="0" xfId="0" applyFont="1" applyFill="1">
      <alignment vertical="top"/>
    </xf>
    <xf numFmtId="191" fontId="55" fillId="13" borderId="0" xfId="0" applyFont="1" applyFill="1">
      <alignment vertical="top"/>
    </xf>
    <xf numFmtId="191" fontId="54" fillId="13" borderId="0" xfId="0" applyFont="1" applyFill="1">
      <alignment vertical="top"/>
    </xf>
    <xf numFmtId="187" fontId="33" fillId="0" borderId="0" xfId="54" applyNumberFormat="1" applyFont="1">
      <alignment vertical="top"/>
    </xf>
    <xf numFmtId="188" fontId="34" fillId="0" borderId="0" xfId="54" applyNumberFormat="1" applyFont="1">
      <alignment vertical="top"/>
    </xf>
    <xf numFmtId="188" fontId="39" fillId="12" borderId="0" xfId="0" applyNumberFormat="1" applyFont="1" applyFill="1">
      <alignment vertical="top"/>
    </xf>
    <xf numFmtId="187" fontId="26" fillId="0" borderId="0" xfId="55" applyNumberFormat="1" applyFont="1">
      <alignment vertical="top"/>
    </xf>
    <xf numFmtId="188" fontId="26" fillId="13" borderId="0" xfId="55" applyNumberFormat="1" applyFont="1" applyFill="1">
      <alignment vertical="top"/>
    </xf>
    <xf numFmtId="191" fontId="52" fillId="0" borderId="0" xfId="0" applyFont="1">
      <alignment vertical="top"/>
    </xf>
    <xf numFmtId="191" fontId="56" fillId="0" borderId="0" xfId="0" applyFont="1" applyFill="1">
      <alignment vertical="top"/>
    </xf>
    <xf numFmtId="191" fontId="57" fillId="0" borderId="13" xfId="0" applyFont="1" applyFill="1" applyBorder="1">
      <alignment vertical="top"/>
    </xf>
    <xf numFmtId="191" fontId="56" fillId="0" borderId="13" xfId="0" applyFont="1" applyFill="1" applyBorder="1">
      <alignment vertical="top"/>
    </xf>
    <xf numFmtId="191" fontId="57" fillId="0" borderId="13" xfId="0" applyFont="1" applyBorder="1">
      <alignment vertical="top"/>
    </xf>
    <xf numFmtId="191" fontId="58" fillId="0" borderId="0" xfId="0" applyFont="1">
      <alignment vertical="top"/>
    </xf>
    <xf numFmtId="191" fontId="56" fillId="0" borderId="0" xfId="0" applyFont="1">
      <alignment vertical="top"/>
    </xf>
    <xf numFmtId="191" fontId="56" fillId="14" borderId="0" xfId="0" applyFont="1" applyFill="1">
      <alignment vertical="top"/>
    </xf>
    <xf numFmtId="191" fontId="52" fillId="0" borderId="13" xfId="0" applyFont="1" applyBorder="1">
      <alignment vertical="top"/>
    </xf>
    <xf numFmtId="191" fontId="59" fillId="0" borderId="0" xfId="0" applyFont="1">
      <alignment vertical="top"/>
    </xf>
    <xf numFmtId="191" fontId="56" fillId="13" borderId="1" xfId="0" applyFont="1" applyFill="1" applyBorder="1" applyAlignment="1">
      <alignment horizontal="centerContinuous" vertical="top"/>
    </xf>
    <xf numFmtId="191" fontId="56" fillId="13" borderId="0" xfId="0" applyFont="1" applyFill="1">
      <alignment vertical="top"/>
    </xf>
    <xf numFmtId="191" fontId="52" fillId="13" borderId="13" xfId="0" applyFont="1" applyFill="1" applyBorder="1">
      <alignment vertical="top"/>
    </xf>
    <xf numFmtId="191" fontId="56" fillId="13" borderId="0" xfId="0" applyFont="1" applyFill="1" applyAlignment="1">
      <alignment horizontal="center" vertical="top"/>
    </xf>
    <xf numFmtId="191" fontId="26" fillId="13" borderId="0" xfId="0" applyFont="1" applyFill="1" applyAlignment="1">
      <alignment horizontal="center" vertical="top"/>
    </xf>
    <xf numFmtId="188" fontId="52" fillId="13" borderId="0" xfId="0" applyNumberFormat="1" applyFont="1" applyFill="1" applyAlignment="1">
      <alignment horizontal="center" vertical="top"/>
    </xf>
    <xf numFmtId="191" fontId="26" fillId="0" borderId="1" xfId="0" applyFont="1" applyBorder="1">
      <alignment vertical="top"/>
    </xf>
    <xf numFmtId="191" fontId="53" fillId="0" borderId="0" xfId="0" applyFont="1">
      <alignment vertical="top"/>
    </xf>
    <xf numFmtId="191" fontId="57" fillId="13" borderId="13" xfId="0" applyFont="1" applyFill="1" applyBorder="1">
      <alignment vertical="top"/>
    </xf>
    <xf numFmtId="191" fontId="57" fillId="13" borderId="0" xfId="0" applyFont="1" applyFill="1">
      <alignment vertical="top"/>
    </xf>
    <xf numFmtId="191" fontId="57" fillId="0" borderId="0" xfId="0" applyFont="1" applyFill="1">
      <alignment vertical="top"/>
    </xf>
    <xf numFmtId="200" fontId="56" fillId="13" borderId="0" xfId="53" applyNumberFormat="1" applyFont="1" applyFill="1">
      <alignment vertical="top"/>
    </xf>
    <xf numFmtId="200" fontId="26" fillId="13" borderId="0" xfId="53" applyNumberFormat="1" applyFont="1" applyFill="1">
      <alignment vertical="top"/>
    </xf>
    <xf numFmtId="191" fontId="26" fillId="0" borderId="0" xfId="0" applyNumberFormat="1" applyFont="1">
      <alignment vertical="top"/>
    </xf>
    <xf numFmtId="191" fontId="26" fillId="15" borderId="0" xfId="0" applyFont="1" applyFill="1">
      <alignment vertical="top"/>
    </xf>
  </cellXfs>
  <cellStyles count="57">
    <cellStyle name="Across" xfId="3" xr:uid="{00000000-0005-0000-0000-000000000000}"/>
    <cellStyle name="Bottom" xfId="4" xr:uid="{00000000-0005-0000-0000-000001000000}"/>
    <cellStyle name="Center" xfId="5" xr:uid="{00000000-0005-0000-0000-000002000000}"/>
    <cellStyle name="Comma 2" xfId="2" xr:uid="{00000000-0005-0000-0000-000003000000}"/>
    <cellStyle name="Comma 3" xfId="47" xr:uid="{3570D88B-62A3-40C8-909A-C17A3140EBF0}"/>
    <cellStyle name="Currency [2]" xfId="6" xr:uid="{00000000-0005-0000-0000-000004000000}"/>
    <cellStyle name="DateLong" xfId="54" xr:uid="{1EB17D13-58EA-4471-B837-ADF658F402E0}"/>
    <cellStyle name="DateShort" xfId="55" xr:uid="{321615FC-8A76-4E8E-A91F-B862A48E74EC}"/>
    <cellStyle name="Double" xfId="7" xr:uid="{00000000-0005-0000-0000-000005000000}"/>
    <cellStyle name="F Check NonZero" xfId="25" xr:uid="{00000000-0005-0000-0000-000006000000}"/>
    <cellStyle name="F Date(U)" xfId="24" xr:uid="{00000000-0005-0000-0000-000007000000}"/>
    <cellStyle name="F Grey-Grey" xfId="26" xr:uid="{00000000-0005-0000-0000-000008000000}"/>
    <cellStyle name="F Header" xfId="15" xr:uid="{00000000-0005-0000-0000-000009000000}"/>
    <cellStyle name="F Integrity" xfId="27" xr:uid="{00000000-0005-0000-0000-00000A000000}"/>
    <cellStyle name="F range" xfId="28" xr:uid="{00000000-0005-0000-0000-00000B000000}"/>
    <cellStyle name="F Section Header" xfId="14" xr:uid="{00000000-0005-0000-0000-00000C000000}"/>
    <cellStyle name="F TopHeader" xfId="12" xr:uid="{00000000-0005-0000-0000-00000D000000}"/>
    <cellStyle name="F Units" xfId="17" xr:uid="{00000000-0005-0000-0000-00000E000000}"/>
    <cellStyle name="F Wkg text" xfId="29" xr:uid="{00000000-0005-0000-0000-00000F000000}"/>
    <cellStyle name="F-A 0dp" xfId="18" xr:uid="{00000000-0005-0000-0000-000010000000}"/>
    <cellStyle name="F-A 2dp" xfId="19" xr:uid="{00000000-0005-0000-0000-000011000000}"/>
    <cellStyle name="F-A Date" xfId="22" xr:uid="{00000000-0005-0000-0000-000012000000}"/>
    <cellStyle name="F-A Date 2" xfId="46" xr:uid="{00000000-0005-0000-0000-000013000000}"/>
    <cellStyle name="F-A Fixed 0dp" xfId="23" xr:uid="{00000000-0005-0000-0000-000014000000}"/>
    <cellStyle name="F-A LinkInput" xfId="30" xr:uid="{00000000-0005-0000-0000-000015000000}"/>
    <cellStyle name="F-A OnOff" xfId="31" xr:uid="{00000000-0005-0000-0000-000016000000}"/>
    <cellStyle name="F-A Pct2dp" xfId="20" xr:uid="{00000000-0005-0000-0000-000017000000}"/>
    <cellStyle name="F-A YesNo" xfId="32" xr:uid="{00000000-0005-0000-0000-000018000000}"/>
    <cellStyle name="Factor" xfId="53" xr:uid="{E47D3BD7-14B4-4D19-8494-8928E1B7CF31}"/>
    <cellStyle name="F-C 0dp Num" xfId="13" xr:uid="{00000000-0005-0000-0000-000019000000}"/>
    <cellStyle name="F-C 2dp Num" xfId="33" xr:uid="{00000000-0005-0000-0000-00001A000000}"/>
    <cellStyle name="F-C Bld 0dp" xfId="16" xr:uid="{00000000-0005-0000-0000-00001B000000}"/>
    <cellStyle name="F-C Date" xfId="21" xr:uid="{00000000-0005-0000-0000-00001C000000}"/>
    <cellStyle name="F-C Date 2" xfId="44" xr:uid="{00000000-0005-0000-0000-00001D000000}"/>
    <cellStyle name="F-C NoYes" xfId="34" xr:uid="{00000000-0005-0000-0000-00001E000000}"/>
    <cellStyle name="F-C OnOff" xfId="35" xr:uid="{00000000-0005-0000-0000-00001F000000}"/>
    <cellStyle name="F-C Pct 2DP" xfId="36" xr:uid="{00000000-0005-0000-0000-000020000000}"/>
    <cellStyle name="F-C Year" xfId="45" xr:uid="{00000000-0005-0000-0000-000021000000}"/>
    <cellStyle name="Fixed input" xfId="41" xr:uid="{00000000-0005-0000-0000-000022000000}"/>
    <cellStyle name="F-RowSum 0dp" xfId="37" xr:uid="{00000000-0005-0000-0000-000023000000}"/>
    <cellStyle name="Heading 1 2" xfId="38" xr:uid="{00000000-0005-0000-0000-000024000000}"/>
    <cellStyle name="Heading 2" xfId="50" builtinId="17"/>
    <cellStyle name="Hyperlink" xfId="51" builtinId="8"/>
    <cellStyle name="Input 2" xfId="40" xr:uid="{00000000-0005-0000-0000-000025000000}"/>
    <cellStyle name="Input 3" xfId="48" xr:uid="{FBF2AAA1-25AA-4193-BE47-25FEB66D3873}"/>
    <cellStyle name="Normal" xfId="0" builtinId="0" customBuiltin="1"/>
    <cellStyle name="Normal 2" xfId="1" xr:uid="{00000000-0005-0000-0000-000027000000}"/>
    <cellStyle name="Normal 2 2" xfId="43" xr:uid="{00000000-0005-0000-0000-000028000000}"/>
    <cellStyle name="Normal 3" xfId="39" xr:uid="{00000000-0005-0000-0000-000029000000}"/>
    <cellStyle name="Normal 4" xfId="42" xr:uid="{00000000-0005-0000-0000-00002A000000}"/>
    <cellStyle name="Normal 5" xfId="49" xr:uid="{FE7DFB65-E3AE-45C6-9A20-4A72803111BD}"/>
    <cellStyle name="Numbers" xfId="8" xr:uid="{00000000-0005-0000-0000-00002B000000}"/>
    <cellStyle name="Numbers - Bold - Italic" xfId="9" xr:uid="{00000000-0005-0000-0000-00002C000000}"/>
    <cellStyle name="Outline" xfId="10" xr:uid="{00000000-0005-0000-0000-00002D000000}"/>
    <cellStyle name="Percent" xfId="52" builtinId="5" customBuiltin="1"/>
    <cellStyle name="Percent 2" xfId="11" xr:uid="{00000000-0005-0000-0000-00002E000000}"/>
    <cellStyle name="Year" xfId="56" xr:uid="{2385D333-81D5-406E-B5A1-8B325E1D98D3}"/>
  </cellStyles>
  <dxfs count="12"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0000FF"/>
      <color rgb="FFFFD9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22" noThreeD="1" sel="0" val="0"/>
</file>

<file path=xl/ctrlProps/ctrlProp2.xml><?xml version="1.0" encoding="utf-8"?>
<formControlPr xmlns="http://schemas.microsoft.com/office/spreadsheetml/2009/9/main" objectType="Drop" dropStyle="combo" dx="22" fmlaLink="selector" fmlaRange="methods" noThreeD="1" sel="2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94</xdr:row>
          <xdr:rowOff>104775</xdr:rowOff>
        </xdr:from>
        <xdr:to>
          <xdr:col>16383</xdr:col>
          <xdr:colOff>0</xdr:colOff>
          <xdr:row>99</xdr:row>
          <xdr:rowOff>104776</xdr:rowOff>
        </xdr:to>
        <xdr:sp macro="" textlink="">
          <xdr:nvSpPr>
            <xdr:cNvPr id="2050" name="Drop Dow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3752850</xdr:colOff>
          <xdr:row>7</xdr:row>
          <xdr:rowOff>180975</xdr:rowOff>
        </xdr:from>
        <xdr:to>
          <xdr:col>5</xdr:col>
          <xdr:colOff>800100</xdr:colOff>
          <xdr:row>9</xdr:row>
          <xdr:rowOff>0</xdr:rowOff>
        </xdr:to>
        <xdr:sp macro="" textlink="">
          <xdr:nvSpPr>
            <xdr:cNvPr id="2051" name="Drop Dow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328EDDF-1ABA-4C62-B8D6-5D8C0672870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db2c086-6d49-4348-b211-0dec9ca7f60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07501-19FA-42F5-B970-11565EB53612}">
  <sheetPr>
    <pageSetUpPr fitToPage="1"/>
  </sheetPr>
  <dimension ref="A1:N281"/>
  <sheetViews>
    <sheetView showGridLines="0" tabSelected="1" zoomScale="85" zoomScaleNormal="85" workbookViewId="0">
      <pane xSplit="9" ySplit="9" topLeftCell="J10" activePane="bottomRight" state="frozen"/>
      <selection pane="topRight" activeCell="J1" sqref="J1"/>
      <selection pane="bottomLeft" activeCell="A10" sqref="A10"/>
      <selection pane="bottomRight" activeCell="G33" sqref="G33"/>
    </sheetView>
  </sheetViews>
  <sheetFormatPr defaultColWidth="0" defaultRowHeight="14.25"/>
  <cols>
    <col min="1" max="4" width="1.7109375" style="121" customWidth="1"/>
    <col min="5" max="5" width="60.7109375" style="121" customWidth="1"/>
    <col min="6" max="8" width="12.7109375" style="121" customWidth="1"/>
    <col min="9" max="9" width="1.7109375" style="121" customWidth="1"/>
    <col min="10" max="14" width="12.7109375" style="121" customWidth="1"/>
    <col min="15" max="16384" width="10.7109375" style="121" hidden="1"/>
  </cols>
  <sheetData>
    <row r="1" spans="1:14" s="120" customFormat="1" ht="15">
      <c r="A1" s="120" t="str" cm="1">
        <f t="array" ref="A1">company</f>
        <v>WV Cars</v>
      </c>
    </row>
    <row r="2" spans="1:14" s="120" customFormat="1" ht="15">
      <c r="A2" s="120" t="str" cm="1">
        <f t="array" ref="A2">topic</f>
        <v>CFM Topic: Subsidiaries</v>
      </c>
    </row>
    <row r="3" spans="1:14" s="120" customFormat="1" ht="15">
      <c r="A3" s="120" t="s">
        <v>89</v>
      </c>
      <c r="J3" s="135">
        <f>J$277</f>
        <v>45291</v>
      </c>
      <c r="K3" s="135">
        <f>K$277</f>
        <v>45657</v>
      </c>
      <c r="L3" s="135">
        <f>L$277</f>
        <v>46022</v>
      </c>
      <c r="M3" s="135">
        <f>M$277</f>
        <v>46387</v>
      </c>
      <c r="N3" s="135">
        <f>N$277</f>
        <v>46752</v>
      </c>
    </row>
    <row r="5" spans="1:14" s="122" customFormat="1" ht="15">
      <c r="A5" s="123" t="s">
        <v>102</v>
      </c>
    </row>
    <row r="7" spans="1:14">
      <c r="E7" s="121" t="str">
        <f>CaseData!B$3</f>
        <v>Value of 100% of JP Motors Equity</v>
      </c>
      <c r="F7" s="128">
        <f>CaseData!E$3</f>
        <v>6750</v>
      </c>
      <c r="G7" s="121" t="s">
        <v>103</v>
      </c>
    </row>
    <row r="8" spans="1:14" ht="15">
      <c r="E8" s="121" t="str">
        <f>CaseData!B$4</f>
        <v>Percentage of JP Motors' Equity Acquired by WW</v>
      </c>
      <c r="F8" s="129">
        <f>CaseData!E$4</f>
        <v>0.6</v>
      </c>
      <c r="G8" s="121" t="str">
        <f>CaseData!D$4</f>
        <v>%</v>
      </c>
      <c r="I8"/>
    </row>
    <row r="9" spans="1:14" ht="15">
      <c r="E9" s="121" t="s">
        <v>107</v>
      </c>
      <c r="F9" s="131">
        <v>2</v>
      </c>
      <c r="G9" s="121" t="s">
        <v>108</v>
      </c>
    </row>
    <row r="11" spans="1:14" s="122" customFormat="1" ht="15">
      <c r="A11" s="123" t="s">
        <v>113</v>
      </c>
      <c r="F11" s="124"/>
      <c r="J11" s="137"/>
      <c r="K11" s="137"/>
      <c r="L11" s="137"/>
      <c r="M11" s="137"/>
      <c r="N11" s="137"/>
    </row>
    <row r="12" spans="1:14">
      <c r="F12" s="130"/>
      <c r="J12" s="126"/>
      <c r="K12" s="126"/>
      <c r="L12" s="126"/>
      <c r="M12" s="126"/>
      <c r="N12" s="126"/>
    </row>
    <row r="13" spans="1:14" ht="15">
      <c r="B13" s="138" t="s">
        <v>114</v>
      </c>
      <c r="F13" s="130"/>
      <c r="J13" s="126"/>
      <c r="K13" s="126"/>
      <c r="L13" s="126"/>
      <c r="M13" s="126"/>
      <c r="N13" s="126"/>
    </row>
    <row r="14" spans="1:14">
      <c r="F14" s="130"/>
      <c r="J14" s="126"/>
      <c r="K14" s="126"/>
      <c r="L14" s="126"/>
      <c r="M14" s="126"/>
      <c r="N14" s="126"/>
    </row>
    <row r="15" spans="1:14">
      <c r="E15" s="139" t="s">
        <v>2</v>
      </c>
      <c r="F15" s="139"/>
      <c r="G15" s="139"/>
      <c r="H15" s="139"/>
      <c r="I15" s="139"/>
      <c r="J15" s="139" cm="1">
        <f t="array" ref="J15:N15" xml:space="preserve"> _xlfn.LET(
      _xlpm.vw_data,_xlfn.ANCHORARRAY(       $J$97),
      _xlpm.vw_rows,_xlfn.ANCHORARRAY(       $E$97),
      _xlpm.vw,            INDEX( _xlpm.vw_data, MATCH( $E15, _xlpm.vw_rows, 0 ), 0 ),
      _xlpm.jp_data,_xlfn.ANCHORARRAY(       $J$183),
      _xlpm.jp_rows,_xlfn.ANCHORARRAY(       $E$183),
      _xlpm.jp,            INDEX( _xlpm.jp_data, MATCH( $E15, _xlpm.jp_rows, 0 ), 0 ),
      IF( selector = 1, _xlpm.vw, _xlpm.vw + _xlpm.jp ) )</f>
        <v>7783.9285714285716</v>
      </c>
      <c r="K15" s="139">
        <v>8195.8392857142862</v>
      </c>
      <c r="L15" s="139">
        <v>8629.7083928571428</v>
      </c>
      <c r="M15" s="139">
        <v>9086.7155839285733</v>
      </c>
      <c r="N15" s="139">
        <v>9568.1044408392881</v>
      </c>
    </row>
    <row r="16" spans="1:14">
      <c r="E16" s="139" t="s">
        <v>24</v>
      </c>
      <c r="F16" s="139"/>
      <c r="G16" s="139"/>
      <c r="H16" s="139"/>
      <c r="I16" s="139"/>
      <c r="J16" s="139" cm="1">
        <f t="array" ref="J16:N16" xml:space="preserve"> _xlfn.LET(
      _xlpm.vw_data,_xlfn.ANCHORARRAY(       $J$97),
      _xlpm.vw_rows,_xlfn.ANCHORARRAY(       $E$97),
      _xlpm.vw,            INDEX( _xlpm.vw_data, MATCH( $E16, _xlpm.vw_rows, 0 ), 0 ),
      _xlpm.jp_data,_xlfn.ANCHORARRAY(       $J$183),
      _xlpm.jp_rows,_xlfn.ANCHORARRAY(       $E$183),
      _xlpm.jp,            INDEX( _xlpm.jp_data, MATCH( $E16, _xlpm.jp_rows, 0 ), 0 ),
      IF( selector = 1, _xlpm.vw, _xlpm.vw + _xlpm.jp ) )</f>
        <v>-4547.0892857142862</v>
      </c>
      <c r="K16" s="139">
        <v>-4705.4324999999999</v>
      </c>
      <c r="L16" s="139">
        <v>-4867.890241071429</v>
      </c>
      <c r="M16" s="139">
        <v>-5034.4545715714285</v>
      </c>
      <c r="N16" s="139">
        <v>-5205.1049177073228</v>
      </c>
    </row>
    <row r="17" spans="2:14" ht="15">
      <c r="E17" s="140" t="s">
        <v>25</v>
      </c>
      <c r="F17" s="140"/>
      <c r="G17" s="140"/>
      <c r="H17" s="140"/>
      <c r="I17" s="140"/>
      <c r="J17" s="140">
        <f>SUM(J15:J16)</f>
        <v>3236.8392857142853</v>
      </c>
      <c r="K17" s="140">
        <f t="shared" ref="K17:N17" si="0">SUM(K15:K16)</f>
        <v>3490.4067857142863</v>
      </c>
      <c r="L17" s="140">
        <f t="shared" si="0"/>
        <v>3761.8181517857138</v>
      </c>
      <c r="M17" s="140">
        <f t="shared" si="0"/>
        <v>4052.2610123571449</v>
      </c>
      <c r="N17" s="140">
        <f t="shared" si="0"/>
        <v>4362.9995231319654</v>
      </c>
    </row>
    <row r="18" spans="2:14">
      <c r="E18" s="139" t="s">
        <v>26</v>
      </c>
      <c r="F18" s="139"/>
      <c r="G18" s="139"/>
      <c r="H18" s="139"/>
      <c r="I18" s="139"/>
      <c r="J18" s="139" cm="1">
        <f t="array" ref="J18:N18" xml:space="preserve"> _xlfn.LET(
      _xlpm.vw_data,_xlfn.ANCHORARRAY(       $J$97),
      _xlpm.vw_rows,_xlfn.ANCHORARRAY(       $E$97),
      _xlpm.vw,            INDEX( _xlpm.vw_data, MATCH( $E18, _xlpm.vw_rows, 0 ), 0 ),
      _xlpm.jp_data,_xlfn.ANCHORARRAY(       $J$183),
      _xlpm.jp_rows,_xlfn.ANCHORARRAY(       $E$183),
      _xlpm.jp,            INDEX( _xlpm.jp_data, MATCH( $E18, _xlpm.jp_rows, 0 ), 0 ),
      IF( selector = 1, _xlpm.vw, _xlpm.vw + _xlpm.jp ) )</f>
        <v>-366.48214285714289</v>
      </c>
      <c r="K18" s="139">
        <v>-385.71482142857144</v>
      </c>
      <c r="L18" s="139">
        <v>-405.96364821428574</v>
      </c>
      <c r="M18" s="139">
        <v>-427.28270148214295</v>
      </c>
      <c r="N18" s="139">
        <v>-449.72895966482156</v>
      </c>
    </row>
    <row r="19" spans="2:14" ht="15">
      <c r="E19" s="140" t="s">
        <v>3</v>
      </c>
      <c r="F19" s="140"/>
      <c r="G19" s="140"/>
      <c r="H19" s="140"/>
      <c r="I19" s="140"/>
      <c r="J19" s="140">
        <f>SUM(J17:J18)</f>
        <v>2870.3571428571422</v>
      </c>
      <c r="K19" s="140">
        <f t="shared" ref="K19:N19" si="1">SUM(K17:K18)</f>
        <v>3104.6919642857147</v>
      </c>
      <c r="L19" s="140">
        <f t="shared" si="1"/>
        <v>3355.8545035714278</v>
      </c>
      <c r="M19" s="140">
        <f t="shared" si="1"/>
        <v>3624.9783108750021</v>
      </c>
      <c r="N19" s="140">
        <f t="shared" si="1"/>
        <v>3913.2705634671438</v>
      </c>
    </row>
    <row r="20" spans="2:14">
      <c r="E20" s="139" t="s">
        <v>27</v>
      </c>
      <c r="F20" s="139"/>
      <c r="G20" s="139"/>
      <c r="H20" s="139"/>
      <c r="I20" s="139"/>
      <c r="J20" s="139" cm="1">
        <f t="array" ref="J20:N20" xml:space="preserve"> _xlfn.LET(
      _xlpm.vw_data,_xlfn.ANCHORARRAY(       $J$97),
      _xlpm.vw_rows,_xlfn.ANCHORARRAY(       $E$97),
      _xlpm.vw,            INDEX( _xlpm.vw_data, MATCH( $E20, _xlpm.vw_rows, 0 ), 0 ),
      _xlpm.jp_data,_xlfn.ANCHORARRAY(       $J$183),
      _xlpm.jp_rows,_xlfn.ANCHORARRAY(       $E$183),
      _xlpm.jp,            INDEX( _xlpm.jp_data, MATCH( $E20, _xlpm.jp_rows, 0 ), 0 ),
      IF( selector = 1, _xlpm.vw, _xlpm.vw + _xlpm.jp ) )</f>
        <v>-1156.2321428571429</v>
      </c>
      <c r="K20" s="139">
        <v>-1217.3373214285714</v>
      </c>
      <c r="L20" s="139">
        <v>-1281.6953732142856</v>
      </c>
      <c r="M20" s="139">
        <v>-1349.4807987321428</v>
      </c>
      <c r="N20" s="139">
        <v>-1420.8775349373218</v>
      </c>
    </row>
    <row r="21" spans="2:14" ht="15">
      <c r="E21" s="140" t="s">
        <v>4</v>
      </c>
      <c r="F21" s="140"/>
      <c r="G21" s="140"/>
      <c r="H21" s="140"/>
      <c r="I21" s="140"/>
      <c r="J21" s="140">
        <f>SUM(J19:J20)</f>
        <v>1714.1249999999993</v>
      </c>
      <c r="K21" s="140">
        <f t="shared" ref="K21:N21" si="2">SUM(K19:K20)</f>
        <v>1887.3546428571433</v>
      </c>
      <c r="L21" s="140">
        <f t="shared" si="2"/>
        <v>2074.1591303571422</v>
      </c>
      <c r="M21" s="140">
        <f t="shared" si="2"/>
        <v>2275.4975121428593</v>
      </c>
      <c r="N21" s="140">
        <f t="shared" si="2"/>
        <v>2492.393028529822</v>
      </c>
    </row>
    <row r="22" spans="2:14">
      <c r="E22" s="139" t="s">
        <v>28</v>
      </c>
      <c r="F22" s="139"/>
      <c r="G22" s="139"/>
      <c r="H22" s="139"/>
      <c r="I22" s="139"/>
      <c r="J22" s="139" cm="1">
        <f t="array" ref="J22:N22" xml:space="preserve"> _xlfn.LET(
      _xlpm.vw_data,_xlfn.ANCHORARRAY(       $J$97),
      _xlpm.vw_rows,_xlfn.ANCHORARRAY(       $E$97),
      _xlpm.vw,            INDEX( _xlpm.vw_data, MATCH( $E22, _xlpm.vw_rows, 0 ), 0 ),
      _xlpm.jp_data,_xlfn.ANCHORARRAY(       $J$183),
      _xlpm.jp_rows,_xlfn.ANCHORARRAY(       $E$183),
      _xlpm.jp,            INDEX( _xlpm.jp_data, MATCH( $E22, _xlpm.jp_rows, 0 ), 0 ),
      IF( selector = 1, _xlpm.vw, _xlpm.vw + _xlpm.jp ) )</f>
        <v>-493.38575185041969</v>
      </c>
      <c r="K22" s="139">
        <v>-424.34393772067244</v>
      </c>
      <c r="L22" s="139">
        <v>-354.62275194319358</v>
      </c>
      <c r="M22" s="139">
        <v>-284.18182065918955</v>
      </c>
      <c r="N22" s="139">
        <v>-212.97791434228398</v>
      </c>
    </row>
    <row r="23" spans="2:14" ht="15">
      <c r="E23" s="140" t="s">
        <v>5</v>
      </c>
      <c r="F23" s="140"/>
      <c r="G23" s="140"/>
      <c r="H23" s="140"/>
      <c r="I23" s="140"/>
      <c r="J23" s="140">
        <f>SUM(J21:J22)</f>
        <v>1220.7392481495797</v>
      </c>
      <c r="K23" s="140">
        <f t="shared" ref="K23:N23" si="3">SUM(K21:K22)</f>
        <v>1463.0107051364707</v>
      </c>
      <c r="L23" s="140">
        <f t="shared" si="3"/>
        <v>1719.5363784139486</v>
      </c>
      <c r="M23" s="140">
        <f t="shared" si="3"/>
        <v>1991.3156914836698</v>
      </c>
      <c r="N23" s="140">
        <f t="shared" si="3"/>
        <v>2279.4151141875382</v>
      </c>
    </row>
    <row r="24" spans="2:14">
      <c r="E24" s="139" t="s">
        <v>29</v>
      </c>
      <c r="F24" s="139"/>
      <c r="G24" s="139"/>
      <c r="H24" s="139"/>
      <c r="I24" s="139"/>
      <c r="J24" s="139" cm="1">
        <f t="array" ref="J24:N24" xml:space="preserve"> _xlfn.LET(
      _xlpm.vw_data,_xlfn.ANCHORARRAY(       $J$97),
      _xlpm.vw_rows,_xlfn.ANCHORARRAY(       $E$97),
      _xlpm.vw,            INDEX( _xlpm.vw_data, MATCH( $E24, _xlpm.vw_rows, 0 ), 0 ),
      _xlpm.jp_data,_xlfn.ANCHORARRAY(       $J$183),
      _xlpm.jp_rows,_xlfn.ANCHORARRAY(       $E$183),
      _xlpm.jp,            INDEX( _xlpm.jp_data, MATCH( $E24, _xlpm.jp_rows, 0 ), 0 ),
      IF( selector = 1, _xlpm.vw, _xlpm.vw + _xlpm.jp ) )</f>
        <v>-297.27379033515587</v>
      </c>
      <c r="K24" s="139">
        <v>-356.25395135829717</v>
      </c>
      <c r="L24" s="139">
        <v>-418.69569457750856</v>
      </c>
      <c r="M24" s="139">
        <v>-484.84100304918184</v>
      </c>
      <c r="N24" s="139">
        <v>-554.9480401268911</v>
      </c>
    </row>
    <row r="25" spans="2:14">
      <c r="E25" s="141" t="s">
        <v>116</v>
      </c>
      <c r="F25" s="141"/>
      <c r="G25" s="141"/>
      <c r="H25" s="141"/>
      <c r="I25" s="141"/>
      <c r="J25" s="141">
        <f>SUM(J23:J24)</f>
        <v>923.46545781442387</v>
      </c>
      <c r="K25" s="141">
        <f t="shared" ref="K25:N25" si="4">SUM(K23:K24)</f>
        <v>1106.7567537781736</v>
      </c>
      <c r="L25" s="141">
        <f t="shared" si="4"/>
        <v>1300.8406838364399</v>
      </c>
      <c r="M25" s="141">
        <f t="shared" si="4"/>
        <v>1506.4746884344879</v>
      </c>
      <c r="N25" s="141">
        <f t="shared" si="4"/>
        <v>1724.4670740606471</v>
      </c>
    </row>
    <row r="26" spans="2:14">
      <c r="E26" s="145" t="s">
        <v>74</v>
      </c>
      <c r="F26" s="139"/>
      <c r="G26" s="139"/>
      <c r="H26" s="139"/>
      <c r="I26" s="139"/>
      <c r="J26" s="139" cm="1">
        <f t="array" ref="J26:N26" xml:space="preserve"> _xlfn.LET(
      _xlpm.jp_net_income,   INDEX( $J$198:$N$198, 1, 0 ),
      IF( selector = 1, _xlfn.SEQUENCE( 1, 5, 0, 0 ), - _xlpm.jp_net_income * ( 1 - percentage ) ) )</f>
        <v>-121.82973421448338</v>
      </c>
      <c r="K26" s="139">
        <v>-146.28036385763571</v>
      </c>
      <c r="L26" s="139">
        <v>-172.30136040007298</v>
      </c>
      <c r="M26" s="139">
        <v>-200.01396525472302</v>
      </c>
      <c r="N26" s="139">
        <v>-229.54837166789858</v>
      </c>
    </row>
    <row r="27" spans="2:14">
      <c r="E27" s="145" t="s">
        <v>75</v>
      </c>
      <c r="F27" s="139"/>
      <c r="G27" s="139"/>
      <c r="H27" s="139"/>
      <c r="I27" s="139"/>
      <c r="J27" s="139" cm="1">
        <f t="array" ref="J27:N27" xml:space="preserve"> _xlfn.LET(
      _xlpm.jp_net_income,   INDEX( $J$220:$N$220, 1, 0 ),
      IF( selector = 1, - _xlpm.jp_net_income * percentage, _xlfn.SEQUENCE( 1, 5, 0, 0 ) ) )</f>
        <v>0</v>
      </c>
      <c r="K27" s="139">
        <v>0</v>
      </c>
      <c r="L27" s="139">
        <v>0</v>
      </c>
      <c r="M27" s="139">
        <v>0</v>
      </c>
      <c r="N27" s="139">
        <v>0</v>
      </c>
    </row>
    <row r="28" spans="2:14" ht="15">
      <c r="E28" s="142" t="s">
        <v>6</v>
      </c>
      <c r="F28" s="142"/>
      <c r="G28" s="142"/>
      <c r="H28" s="142"/>
      <c r="I28" s="142"/>
      <c r="J28" s="142">
        <f>SUM(J25:J27)</f>
        <v>801.63572359994055</v>
      </c>
      <c r="K28" s="142">
        <f t="shared" ref="K28:N28" si="5">SUM(K25:K27)</f>
        <v>960.47638992053783</v>
      </c>
      <c r="L28" s="142">
        <f t="shared" si="5"/>
        <v>1128.5393234363669</v>
      </c>
      <c r="M28" s="142">
        <f t="shared" si="5"/>
        <v>1306.460723179765</v>
      </c>
      <c r="N28" s="142">
        <f t="shared" si="5"/>
        <v>1494.9187023927484</v>
      </c>
    </row>
    <row r="29" spans="2:14">
      <c r="F29" s="130"/>
      <c r="J29" s="126"/>
      <c r="K29" s="126"/>
      <c r="L29" s="126"/>
      <c r="M29" s="126"/>
      <c r="N29" s="126"/>
    </row>
    <row r="30" spans="2:14">
      <c r="F30" s="130"/>
      <c r="J30" s="126"/>
      <c r="K30" s="126"/>
      <c r="L30" s="126"/>
      <c r="M30" s="126"/>
      <c r="N30" s="126"/>
    </row>
    <row r="31" spans="2:14" ht="15">
      <c r="B31" s="138" t="s">
        <v>7</v>
      </c>
      <c r="F31" s="130"/>
      <c r="J31" s="126"/>
      <c r="K31" s="126"/>
      <c r="L31" s="126"/>
      <c r="M31" s="126"/>
      <c r="N31" s="126"/>
    </row>
    <row r="32" spans="2:14">
      <c r="F32" s="130"/>
      <c r="J32" s="126"/>
      <c r="K32" s="126"/>
      <c r="L32" s="126"/>
      <c r="M32" s="126"/>
      <c r="N32" s="126"/>
    </row>
    <row r="33" spans="4:14">
      <c r="D33" s="143" t="s">
        <v>30</v>
      </c>
      <c r="E33" s="144"/>
      <c r="F33" s="130"/>
      <c r="J33" s="126"/>
      <c r="K33" s="126"/>
      <c r="L33" s="126"/>
      <c r="M33" s="126"/>
      <c r="N33" s="126"/>
    </row>
    <row r="34" spans="4:14">
      <c r="D34" s="144"/>
      <c r="E34" s="144" t="s">
        <v>6</v>
      </c>
      <c r="F34" s="144"/>
      <c r="G34" s="144"/>
      <c r="H34" s="144"/>
      <c r="I34" s="144"/>
      <c r="J34" s="144" cm="1">
        <f t="array" ref="J34:N34">INDEX( J28:N28, 1, 0 )</f>
        <v>801.63572359994055</v>
      </c>
      <c r="K34" s="144">
        <v>960.47638992053783</v>
      </c>
      <c r="L34" s="144">
        <v>1128.5393234363669</v>
      </c>
      <c r="M34" s="144">
        <v>1306.460723179765</v>
      </c>
      <c r="N34" s="144">
        <v>1494.9187023927484</v>
      </c>
    </row>
    <row r="35" spans="4:14">
      <c r="D35" s="144"/>
      <c r="E35" s="144" t="s">
        <v>31</v>
      </c>
      <c r="F35" s="144"/>
      <c r="G35" s="144"/>
      <c r="H35" s="144"/>
      <c r="I35" s="144"/>
      <c r="J35" s="139" cm="1">
        <f t="array" ref="J35:N35" xml:space="preserve"> _xlfn.LET(
      _xlpm.vw_data,_xlfn.ANCHORARRAY(       $J$97),
      _xlpm.vw_rows,_xlfn.ANCHORARRAY(       $E$97),
      _xlpm.vw,            INDEX( _xlpm.vw_data, MATCH( $E35, _xlpm.vw_rows, 0 ), 0 ),
      _xlpm.jp_data,_xlfn.ANCHORARRAY(       $J$183),
      _xlpm.jp_rows,_xlfn.ANCHORARRAY(       $E$183),
      _xlpm.jp,            INDEX( _xlpm.jp_data, MATCH( $E35, _xlpm.jp_rows, 0 ), 0 ),
      IF( selector = 1, _xlpm.vw, _xlpm.vw + _xlpm.jp ) )</f>
        <v>1156.2321428571429</v>
      </c>
      <c r="K35" s="144">
        <v>1217.3373214285714</v>
      </c>
      <c r="L35" s="144">
        <v>1281.6953732142856</v>
      </c>
      <c r="M35" s="144">
        <v>1349.4807987321428</v>
      </c>
      <c r="N35" s="144">
        <v>1420.8775349373218</v>
      </c>
    </row>
    <row r="36" spans="4:14">
      <c r="D36" s="144"/>
      <c r="E36" s="145" t="s">
        <v>76</v>
      </c>
      <c r="F36" s="144"/>
      <c r="G36" s="144"/>
      <c r="H36" s="144"/>
      <c r="I36" s="144"/>
      <c r="J36" s="139" cm="1">
        <f t="array" ref="J36:N36" xml:space="preserve"> -_xlfn.ANCHORARRAY( J26)</f>
        <v>121.82973421448338</v>
      </c>
      <c r="K36" s="144">
        <v>146.28036385763571</v>
      </c>
      <c r="L36" s="144">
        <v>172.30136040007298</v>
      </c>
      <c r="M36" s="144">
        <v>200.01396525472302</v>
      </c>
      <c r="N36" s="144">
        <v>229.54837166789858</v>
      </c>
    </row>
    <row r="37" spans="4:14">
      <c r="D37" s="144"/>
      <c r="E37" s="144" t="s">
        <v>32</v>
      </c>
      <c r="F37" s="144"/>
      <c r="G37" s="144"/>
      <c r="H37" s="144"/>
      <c r="I37" s="144"/>
      <c r="J37" s="139" cm="1">
        <f t="array" ref="J37:N37" xml:space="preserve"> _xlfn.LET(
      _xlpm.vw_data,_xlfn.ANCHORARRAY(       $J$97),
      _xlpm.vw_rows,_xlfn.ANCHORARRAY(       $E$97),
      _xlpm.vw,            INDEX( _xlpm.vw_data, MATCH( $E37, _xlpm.vw_rows, 0 ), 0 ),
      _xlpm.jp_data,_xlfn.ANCHORARRAY(       $J$183),
      _xlpm.jp_rows,_xlfn.ANCHORARRAY(       $E$183),
      _xlpm.jp,            INDEX( _xlpm.jp_data, MATCH( $E37, _xlpm.jp_rows, 0 ), 0 ),
      IF( selector = 1, _xlpm.vw, _xlpm.vw + _xlpm.jp ) )</f>
        <v>-50.31642857142873</v>
      </c>
      <c r="K37" s="144">
        <v>-52.751217857142606</v>
      </c>
      <c r="L37" s="144">
        <v>-55.30372071428593</v>
      </c>
      <c r="M37" s="144">
        <v>-57.979614892500067</v>
      </c>
      <c r="N37" s="144">
        <v>-60.784850743778847</v>
      </c>
    </row>
    <row r="38" spans="4:14" ht="15">
      <c r="D38" s="144"/>
      <c r="E38" s="142" t="s">
        <v>30</v>
      </c>
      <c r="F38" s="142"/>
      <c r="G38" s="142"/>
      <c r="H38" s="142"/>
      <c r="I38" s="142"/>
      <c r="J38" s="142">
        <f>SUM(J34:J37)</f>
        <v>2029.381172100138</v>
      </c>
      <c r="K38" s="142">
        <f>SUM(K34:K37)</f>
        <v>2271.3428573496021</v>
      </c>
      <c r="L38" s="142">
        <f>SUM(L34:L37)</f>
        <v>2527.2323363364394</v>
      </c>
      <c r="M38" s="142">
        <f>SUM(M34:M37)</f>
        <v>2797.9758722741308</v>
      </c>
      <c r="N38" s="142">
        <f>SUM(N34:N37)</f>
        <v>3084.55975825419</v>
      </c>
    </row>
    <row r="39" spans="4:14"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</row>
    <row r="40" spans="4:14">
      <c r="D40" s="143" t="s">
        <v>33</v>
      </c>
      <c r="E40" s="144"/>
      <c r="F40" s="144"/>
      <c r="G40" s="144"/>
      <c r="H40" s="144"/>
      <c r="I40" s="144"/>
      <c r="J40" s="144"/>
      <c r="K40" s="144"/>
      <c r="L40" s="144"/>
      <c r="M40" s="144"/>
      <c r="N40" s="144"/>
    </row>
    <row r="41" spans="4:14">
      <c r="D41" s="144"/>
      <c r="E41" s="144" t="s">
        <v>34</v>
      </c>
      <c r="F41" s="144"/>
      <c r="G41" s="144"/>
      <c r="H41" s="144"/>
      <c r="I41" s="144"/>
      <c r="J41" s="139" cm="1">
        <f t="array" ref="J41:N41" xml:space="preserve"> _xlfn.LET(
      _xlpm.vw_data,_xlfn.ANCHORARRAY(       $J$97),
      _xlpm.vw_rows,_xlfn.ANCHORARRAY(       $E$97),
      _xlpm.vw,            INDEX( _xlpm.vw_data, MATCH( $E41, _xlpm.vw_rows, 0 ), 0 ),
      _xlpm.jp_data,_xlfn.ANCHORARRAY(       $J$183),
      _xlpm.jp_rows,_xlfn.ANCHORARRAY(       $E$183),
      _xlpm.jp,            INDEX( _xlpm.jp_data, MATCH( $E41, _xlpm.jp_rows, 0 ), 0 ),
      IF( selector = 1, _xlpm.vw, _xlpm.vw + _xlpm.jp ) )</f>
        <v>-1271.8553571428572</v>
      </c>
      <c r="K41" s="144">
        <v>-1339.0710535714288</v>
      </c>
      <c r="L41" s="144">
        <v>-1409.8649105357142</v>
      </c>
      <c r="M41" s="144">
        <v>-1484.4288786053573</v>
      </c>
      <c r="N41" s="144">
        <v>-1562.965288431054</v>
      </c>
    </row>
    <row r="42" spans="4:14" ht="15">
      <c r="D42" s="144"/>
      <c r="E42" s="142" t="s">
        <v>33</v>
      </c>
      <c r="F42" s="142"/>
      <c r="G42" s="142"/>
      <c r="H42" s="142"/>
      <c r="I42" s="142"/>
      <c r="J42" s="142">
        <f>SUM( J41)</f>
        <v>-1271.8553571428572</v>
      </c>
      <c r="K42" s="142">
        <f t="shared" ref="K42:N42" si="6">SUM( K41)</f>
        <v>-1339.0710535714288</v>
      </c>
      <c r="L42" s="142">
        <f t="shared" si="6"/>
        <v>-1409.8649105357142</v>
      </c>
      <c r="M42" s="142">
        <f t="shared" si="6"/>
        <v>-1484.4288786053573</v>
      </c>
      <c r="N42" s="142">
        <f t="shared" si="6"/>
        <v>-1562.965288431054</v>
      </c>
    </row>
    <row r="43" spans="4:14"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</row>
    <row r="44" spans="4:14">
      <c r="D44" s="143" t="s">
        <v>35</v>
      </c>
      <c r="E44" s="144"/>
      <c r="F44" s="144"/>
      <c r="G44" s="144"/>
      <c r="H44" s="144"/>
      <c r="I44" s="144"/>
      <c r="J44" s="144"/>
      <c r="K44" s="144"/>
      <c r="L44" s="144"/>
      <c r="M44" s="144"/>
      <c r="N44" s="144"/>
    </row>
    <row r="45" spans="4:14">
      <c r="D45" s="144"/>
      <c r="E45" s="144" t="s">
        <v>36</v>
      </c>
      <c r="F45" s="144"/>
      <c r="G45" s="144"/>
      <c r="H45" s="144"/>
      <c r="I45" s="144"/>
      <c r="J45" s="139" cm="1">
        <f t="array" ref="J45:N45" xml:space="preserve"> _xlfn.LET(
      _xlpm.vw_data,_xlfn.ANCHORARRAY(       $J$97),
      _xlpm.vw_rows,_xlfn.ANCHORARRAY(       $E$97),
      _xlpm.vw,            INDEX( _xlpm.vw_data, MATCH( $E45, _xlpm.vw_rows, 0 ), 0 ),
      _xlpm.jp_data,_xlfn.ANCHORARRAY(       $J$183),
      _xlpm.jp_rows,_xlfn.ANCHORARRAY(       $E$183),
      _xlpm.jp,            INDEX( _xlpm.jp_data, MATCH( $E45, _xlpm.jp_rows, 0 ), 0 ),
      IF( selector = 1, _xlpm.vw, _xlpm.vw + _xlpm.jp ) )</f>
        <v>-1050</v>
      </c>
      <c r="K45" s="144">
        <v>-1050</v>
      </c>
      <c r="L45" s="144">
        <v>-1050</v>
      </c>
      <c r="M45" s="144">
        <v>-1050</v>
      </c>
      <c r="N45" s="144">
        <v>-1050</v>
      </c>
    </row>
    <row r="46" spans="4:14">
      <c r="D46" s="144"/>
      <c r="E46" s="144" t="s">
        <v>37</v>
      </c>
      <c r="F46" s="144"/>
      <c r="G46" s="144"/>
      <c r="H46" s="144"/>
      <c r="I46" s="144"/>
      <c r="J46" s="139" cm="1">
        <f t="array" ref="J46:N46" xml:space="preserve"> _xlfn.LET(
      _xlpm.vw_data,_xlfn.ANCHORARRAY(       $J$97),
      _xlpm.vw_rows,_xlfn.ANCHORARRAY(       $E$97),
      _xlpm.vw,            INDEX( _xlpm.vw_data, MATCH( $E46, _xlpm.vw_rows, 0 ), 0 ),
      _xlpm.jp_data,_xlfn.ANCHORARRAY(       $J$183),
      _xlpm.jp_rows,_xlfn.ANCHORARRAY(       $E$183),
      _xlpm.jp,            INDEX( _xlpm.jp_data, MATCH( $E46, _xlpm.jp_rows, 0 ), 0 ),
      IF( selector = 1, _xlpm.vw, _xlpm.vw + _xlpm.jp ) )</f>
        <v>0</v>
      </c>
      <c r="K46" s="144">
        <v>0</v>
      </c>
      <c r="L46" s="144">
        <v>0</v>
      </c>
      <c r="M46" s="144">
        <v>0</v>
      </c>
      <c r="N46" s="144">
        <v>0</v>
      </c>
    </row>
    <row r="47" spans="4:14">
      <c r="D47" s="144"/>
      <c r="E47" s="145" t="s">
        <v>77</v>
      </c>
      <c r="F47" s="144"/>
      <c r="G47" s="144"/>
      <c r="H47" s="144"/>
      <c r="I47" s="144"/>
      <c r="J47" s="139" cm="1">
        <f t="array" ref="J47:N47" xml:space="preserve"> _xlfn.LET(
      _xlpm.jp_net_income,   INDEX( $J$220:$N$220, 1, 0 ),
      IF( selector = 1, _xlfn.SEQUENCE( 1, 5, 0, 0 ), _xlpm.jp_net_income * (1 - percentage ) ) )</f>
        <v>-36.548920264345035</v>
      </c>
      <c r="K47" s="144">
        <v>-43.884109157290688</v>
      </c>
      <c r="L47" s="144">
        <v>-51.690408120021857</v>
      </c>
      <c r="M47" s="144">
        <v>-60.004189576416948</v>
      </c>
      <c r="N47" s="144">
        <v>-68.864511500369531</v>
      </c>
    </row>
    <row r="48" spans="4:14">
      <c r="D48" s="144"/>
      <c r="E48" s="144" t="s">
        <v>38</v>
      </c>
      <c r="F48" s="144"/>
      <c r="G48" s="144"/>
      <c r="H48" s="144"/>
      <c r="I48" s="144"/>
      <c r="J48" s="139" cm="1">
        <f t="array" ref="J48:N48" xml:space="preserve"> _xlfn.LET(
      _xlpm.vw_data,_xlfn.ANCHORARRAY(       $J$97),
      _xlpm.vw_rows,_xlfn.ANCHORARRAY(       $E$97),
      _xlpm.vw,            INDEX( _xlpm.vw_data, MATCH( $E48, _xlpm.vw_rows, 0 ), 0 ),
      _xlpm.jp_data,_xlfn.ANCHORARRAY(       $J$183),
      _xlpm.jp_rows,_xlfn.ANCHORARRAY(       $E$183),
      _xlpm.jp,            INDEX( _xlpm.jp_data, MATCH( $E48, _xlpm.jp_rows, 0 ), 0 ),
      IF( selector = 1, _xlpm.vw, _xlpm.vw ) )</f>
        <v>-123.77822445564317</v>
      </c>
      <c r="K48" s="144">
        <v>-148.2111688268169</v>
      </c>
      <c r="L48" s="144">
        <v>-174.01745656725174</v>
      </c>
      <c r="M48" s="144">
        <v>-201.28795505953576</v>
      </c>
      <c r="N48" s="144">
        <v>-230.11922897818022</v>
      </c>
    </row>
    <row r="49" spans="2:14" ht="15">
      <c r="D49" s="144"/>
      <c r="E49" s="142" t="s">
        <v>35</v>
      </c>
      <c r="F49" s="142"/>
      <c r="G49" s="142"/>
      <c r="H49" s="142"/>
      <c r="I49" s="142"/>
      <c r="J49" s="142">
        <f>SUM(J45:J48)</f>
        <v>-1210.3271447199882</v>
      </c>
      <c r="K49" s="142">
        <f t="shared" ref="K49:N49" si="7">SUM(K45:K48)</f>
        <v>-1242.0952779841075</v>
      </c>
      <c r="L49" s="142">
        <f t="shared" si="7"/>
        <v>-1275.7078646872735</v>
      </c>
      <c r="M49" s="142">
        <f t="shared" si="7"/>
        <v>-1311.2921446359528</v>
      </c>
      <c r="N49" s="142">
        <f t="shared" si="7"/>
        <v>-1348.9837404785499</v>
      </c>
    </row>
    <row r="50" spans="2:14"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</row>
    <row r="51" spans="2:14">
      <c r="D51" s="144"/>
      <c r="E51" s="144" t="s">
        <v>39</v>
      </c>
      <c r="F51" s="144"/>
      <c r="G51" s="144"/>
      <c r="H51" s="144"/>
      <c r="I51" s="144"/>
      <c r="J51" s="144">
        <f xml:space="preserve"> I$53</f>
        <v>4401.6619849956678</v>
      </c>
      <c r="K51" s="144">
        <f t="shared" ref="K51:N51" si="8" xml:space="preserve"> J$53</f>
        <v>3948.8606552329602</v>
      </c>
      <c r="L51" s="144">
        <f t="shared" si="8"/>
        <v>3639.0371810270262</v>
      </c>
      <c r="M51" s="144">
        <f t="shared" si="8"/>
        <v>3480.6967421404779</v>
      </c>
      <c r="N51" s="144">
        <f t="shared" si="8"/>
        <v>3482.9515911732988</v>
      </c>
    </row>
    <row r="52" spans="2:14">
      <c r="D52" s="144"/>
      <c r="E52" s="144" t="s">
        <v>40</v>
      </c>
      <c r="F52" s="144"/>
      <c r="G52" s="144"/>
      <c r="H52" s="144"/>
      <c r="I52" s="144"/>
      <c r="J52" s="144">
        <f xml:space="preserve"> SUM( J38, J42, J49 )</f>
        <v>-452.80132976270738</v>
      </c>
      <c r="K52" s="144">
        <f t="shared" ref="K52:N52" si="9" xml:space="preserve"> SUM( K38, K42, K49 )</f>
        <v>-309.82347420593419</v>
      </c>
      <c r="L52" s="144">
        <f t="shared" si="9"/>
        <v>-158.34043888654833</v>
      </c>
      <c r="M52" s="144">
        <f t="shared" si="9"/>
        <v>2.2548490328206299</v>
      </c>
      <c r="N52" s="144">
        <f t="shared" si="9"/>
        <v>172.61072934458616</v>
      </c>
    </row>
    <row r="53" spans="2:14" ht="15">
      <c r="D53" s="144"/>
      <c r="E53" s="142" t="s">
        <v>41</v>
      </c>
      <c r="F53" s="142"/>
      <c r="G53" s="142"/>
      <c r="H53" s="142"/>
      <c r="I53" s="142">
        <f xml:space="preserve"> $H$59</f>
        <v>4401.6619849956678</v>
      </c>
      <c r="J53" s="142">
        <f>SUM(J51:J52)</f>
        <v>3948.8606552329602</v>
      </c>
      <c r="K53" s="142">
        <f t="shared" ref="K53:N53" si="10">SUM(K51:K52)</f>
        <v>3639.0371810270262</v>
      </c>
      <c r="L53" s="142">
        <f t="shared" si="10"/>
        <v>3480.6967421404779</v>
      </c>
      <c r="M53" s="142">
        <f t="shared" si="10"/>
        <v>3482.9515911732988</v>
      </c>
      <c r="N53" s="142">
        <f t="shared" si="10"/>
        <v>3655.5623205178849</v>
      </c>
    </row>
    <row r="54" spans="2:14">
      <c r="F54" s="130"/>
      <c r="J54" s="126"/>
      <c r="K54" s="126"/>
      <c r="L54" s="126"/>
      <c r="M54" s="126"/>
      <c r="N54" s="126"/>
    </row>
    <row r="55" spans="2:14">
      <c r="F55" s="130"/>
      <c r="J55" s="126"/>
      <c r="K55" s="126"/>
      <c r="L55" s="126"/>
      <c r="M55" s="126"/>
      <c r="N55" s="126"/>
    </row>
    <row r="56" spans="2:14" ht="15">
      <c r="B56" s="138" t="s">
        <v>115</v>
      </c>
      <c r="F56" s="130"/>
      <c r="J56" s="126"/>
      <c r="K56" s="126"/>
      <c r="L56" s="126"/>
      <c r="M56" s="126"/>
      <c r="N56" s="126"/>
    </row>
    <row r="57" spans="2:14">
      <c r="F57" s="148" t="str">
        <f xml:space="preserve"> "Consolidation method: " &amp; IF( selector = 1, "Cost", "Consolidation" )</f>
        <v>Consolidation method: Consolidation</v>
      </c>
      <c r="G57" s="148"/>
      <c r="H57" s="148"/>
      <c r="J57" s="126"/>
      <c r="K57" s="126"/>
      <c r="L57" s="126"/>
      <c r="M57" s="126"/>
      <c r="N57" s="126"/>
    </row>
    <row r="58" spans="2:14" ht="15">
      <c r="D58" s="147" t="s">
        <v>42</v>
      </c>
      <c r="F58" s="151" t="s">
        <v>119</v>
      </c>
      <c r="G58" s="152" t="s">
        <v>120</v>
      </c>
      <c r="H58" s="153">
        <f>$F$276</f>
        <v>44926</v>
      </c>
      <c r="J58" s="126"/>
      <c r="K58" s="126"/>
      <c r="L58" s="126"/>
      <c r="M58" s="126"/>
      <c r="N58" s="126"/>
    </row>
    <row r="59" spans="2:14">
      <c r="E59" s="121" t="s">
        <v>43</v>
      </c>
      <c r="F59" s="149" cm="1">
        <f t="array" ref="F59:F63" xml:space="preserve"> INDEX( $E$149:$F$153, 0, 2 )</f>
        <v>6823.2724086129201</v>
      </c>
      <c r="G59" s="122">
        <f xml:space="preserve"> _xlfn.LET(
      _xlpm.jp_cash,     $F$235,
      IF( selector = 1, value * percentage * - 1, _xlpm.jp_cash - ( value * percentage )  ) )</f>
        <v>-2421.6104236172528</v>
      </c>
      <c r="H59" s="122">
        <f>SUM(F59:G59)</f>
        <v>4401.6619849956678</v>
      </c>
      <c r="J59" s="121" cm="1">
        <f t="array" ref="J59:N59" xml:space="preserve"> INDEX( J53:N53, 1, 0 )</f>
        <v>3948.8606552329602</v>
      </c>
      <c r="K59" s="121">
        <v>3639.0371810270262</v>
      </c>
      <c r="L59" s="121">
        <v>3480.6967421404779</v>
      </c>
      <c r="M59" s="121">
        <v>3482.9515911732988</v>
      </c>
      <c r="N59" s="121">
        <v>3655.5623205178849</v>
      </c>
    </row>
    <row r="60" spans="2:14">
      <c r="E60" s="121" t="s">
        <v>44</v>
      </c>
      <c r="F60" s="149">
        <v>420</v>
      </c>
      <c r="G60" s="122">
        <f xml:space="preserve"> _xlfn.LET(
      _xlpm.jp,     $F236,
      IF( selector = 1, 0, _xlpm.jp ) )</f>
        <v>171.42857142857144</v>
      </c>
      <c r="H60" s="122">
        <f t="shared" ref="H60:H71" si="11">SUM(F60:G60)</f>
        <v>591.42857142857144</v>
      </c>
      <c r="J60" s="139" cm="1">
        <f t="array" ref="J60:N60" xml:space="preserve"> _xlfn.LET(
      _xlpm.vw_data,_xlfn.ANCHORARRAY(       $J$97),
      _xlpm.vw_rows,_xlfn.ANCHORARRAY(       $E$97),
      _xlpm.vw,            INDEX( _xlpm.vw_data, MATCH( $E60, _xlpm.vw_rows, 0 ), 0 ),
      _xlpm.jp_data,_xlfn.ANCHORARRAY(       $J$183),
      _xlpm.jp_rows,_xlfn.ANCHORARRAY(       $E$183),
      _xlpm.jp,            INDEX( _xlpm.jp_data, MATCH( $E60, _xlpm.jp_rows, 0 ), 0 ),
      IF( selector = 1, _xlpm.vw, _xlpm.vw + _xlpm.jp ) )</f>
        <v>622.71428571428578</v>
      </c>
      <c r="K60" s="121">
        <v>655.66714285714284</v>
      </c>
      <c r="L60" s="121">
        <v>690.3766714285714</v>
      </c>
      <c r="M60" s="121">
        <v>726.93724671428583</v>
      </c>
      <c r="N60" s="121">
        <v>765.44835526714303</v>
      </c>
    </row>
    <row r="61" spans="2:14">
      <c r="E61" s="121" t="s">
        <v>1</v>
      </c>
      <c r="F61" s="149">
        <v>472.5</v>
      </c>
      <c r="G61" s="122">
        <f xml:space="preserve"> _xlfn.LET(
      _xlpm.jp,     $F237,
      IF( selector = 1, 0, _xlpm.jp ) )</f>
        <v>186.42857142857144</v>
      </c>
      <c r="H61" s="122">
        <f t="shared" si="11"/>
        <v>658.92857142857144</v>
      </c>
      <c r="J61" s="139" cm="1">
        <f t="array" ref="J61:N61" xml:space="preserve"> _xlfn.LET(
      _xlpm.vw_data,_xlfn.ANCHORARRAY(       $J$97),
      _xlpm.vw_rows,_xlfn.ANCHORARRAY(       $E$97),
      _xlpm.vw,            INDEX( _xlpm.vw_data, MATCH( $E61, _xlpm.vw_rows, 0 ), 0 ),
      _xlpm.jp_data,_xlfn.ANCHORARRAY(       $J$183),
      _xlpm.jp_rows,_xlfn.ANCHORARRAY(       $E$183),
      _xlpm.jp,            INDEX( _xlpm.jp_data, MATCH( $E61, _xlpm.jp_rows, 0 ), 0 ),
      IF( selector = 1, _xlpm.vw, _xlpm.vw + _xlpm.jp ) )</f>
        <v>682.06339285714296</v>
      </c>
      <c r="K61" s="121">
        <v>705.81487500000003</v>
      </c>
      <c r="L61" s="121">
        <v>730.18353616071431</v>
      </c>
      <c r="M61" s="121">
        <v>755.16818573571436</v>
      </c>
      <c r="N61" s="121">
        <v>780.76573765609839</v>
      </c>
    </row>
    <row r="62" spans="2:14">
      <c r="E62" s="121" t="s">
        <v>109</v>
      </c>
      <c r="F62" s="149">
        <v>131.25</v>
      </c>
      <c r="G62" s="122">
        <f xml:space="preserve"> _xlfn.LET(
      _xlpm.jp,     $F238,
      IF( selector = 1, 0, _xlpm.jp ) )</f>
        <v>53.571428571428569</v>
      </c>
      <c r="H62" s="122">
        <f t="shared" si="11"/>
        <v>184.82142857142856</v>
      </c>
      <c r="J62" s="139" cm="1">
        <f t="array" ref="J62:N62" xml:space="preserve"> _xlfn.LET(
      _xlpm.vw_data,_xlfn.ANCHORARRAY(       $J$97),
      _xlpm.vw_rows,_xlfn.ANCHORARRAY(       $E$97),
      _xlpm.vw,            INDEX( _xlpm.vw_data, MATCH( $E62, _xlpm.vw_rows, 0 ), 0 ),
      _xlpm.jp_data,_xlfn.ANCHORARRAY(       $J$183),
      _xlpm.jp_rows,_xlfn.ANCHORARRAY(       $E$183),
      _xlpm.jp,            INDEX( _xlpm.jp_data, MATCH( $E62, _xlpm.jp_rows, 0 ), 0 ),
      IF( selector = 1, _xlpm.vw, _xlpm.vw + _xlpm.jp ) )</f>
        <v>194.59821428571428</v>
      </c>
      <c r="K62" s="121">
        <v>204.89598214285715</v>
      </c>
      <c r="L62" s="121">
        <v>215.7427098214286</v>
      </c>
      <c r="M62" s="121">
        <v>227.16788959821434</v>
      </c>
      <c r="N62" s="121">
        <v>239.2026110209822</v>
      </c>
    </row>
    <row r="63" spans="2:14" ht="15">
      <c r="E63" s="146" t="s">
        <v>9</v>
      </c>
      <c r="F63" s="156">
        <v>7847.0224086129201</v>
      </c>
      <c r="G63" s="150">
        <f>SUM(G59:G62)</f>
        <v>-2010.181852188681</v>
      </c>
      <c r="H63" s="150">
        <f t="shared" si="11"/>
        <v>5836.8405564242394</v>
      </c>
      <c r="I63" s="146">
        <f t="shared" ref="I60:I63" si="12" xml:space="preserve"> H63</f>
        <v>5836.8405564242394</v>
      </c>
      <c r="J63" s="146">
        <f>SUM(J59:J62)</f>
        <v>5448.2365480901044</v>
      </c>
      <c r="K63" s="146">
        <f t="shared" ref="K63:N63" si="13">SUM(K59:K62)</f>
        <v>5205.4151810270259</v>
      </c>
      <c r="L63" s="146">
        <f t="shared" si="13"/>
        <v>5116.9996595511921</v>
      </c>
      <c r="M63" s="146">
        <f t="shared" si="13"/>
        <v>5192.2249132215129</v>
      </c>
      <c r="N63" s="146">
        <f t="shared" si="13"/>
        <v>5440.979024462109</v>
      </c>
    </row>
    <row r="64" spans="2:14">
      <c r="E64" s="121" t="s">
        <v>118</v>
      </c>
      <c r="F64" s="149"/>
      <c r="G64" s="122"/>
      <c r="H64" s="122"/>
      <c r="J64" s="126"/>
      <c r="K64" s="126"/>
      <c r="L64" s="126"/>
      <c r="M64" s="126"/>
      <c r="N64" s="126"/>
    </row>
    <row r="65" spans="4:14">
      <c r="E65" s="155" t="s">
        <v>121</v>
      </c>
      <c r="F65" s="124">
        <v>0</v>
      </c>
      <c r="G65" s="124">
        <f xml:space="preserve"> IF( selector = 1, value * percentage, 0 )</f>
        <v>0</v>
      </c>
      <c r="H65" s="149">
        <f>SUM(F65:G65)</f>
        <v>0</v>
      </c>
      <c r="I65" s="121">
        <f xml:space="preserve"> H65</f>
        <v>0</v>
      </c>
      <c r="J65" s="121">
        <f xml:space="preserve"> IF( J$274 = 1, $H65, I65 )</f>
        <v>0</v>
      </c>
      <c r="K65" s="121">
        <f t="shared" ref="K65:N65" si="14" xml:space="preserve"> IF( K$274 = 1, $H$65, J$65 )</f>
        <v>0</v>
      </c>
      <c r="L65" s="121">
        <f t="shared" si="14"/>
        <v>0</v>
      </c>
      <c r="M65" s="121">
        <f t="shared" si="14"/>
        <v>0</v>
      </c>
      <c r="N65" s="121">
        <f t="shared" si="14"/>
        <v>0</v>
      </c>
    </row>
    <row r="66" spans="4:14">
      <c r="E66" s="155" t="s">
        <v>81</v>
      </c>
      <c r="F66" s="124">
        <v>0</v>
      </c>
      <c r="G66" s="124">
        <f xml:space="preserve"> _xlfn.LET(
      _xlpm.jp,        $F$262,
      IF( selector = 1, 0, value - _xlpm.jp ) )</f>
        <v>1002.2032807601117</v>
      </c>
      <c r="H66" s="149">
        <f t="shared" ref="H66" si="15">SUM(F66:G66)</f>
        <v>1002.2032807601117</v>
      </c>
      <c r="I66" s="121">
        <f>H66</f>
        <v>1002.2032807601117</v>
      </c>
      <c r="J66" s="121">
        <f xml:space="preserve"> IF( J$274 = 1, $H66, I66 )</f>
        <v>1002.2032807601117</v>
      </c>
      <c r="K66" s="121">
        <f t="shared" ref="K66:N66" si="16" xml:space="preserve"> IF( K$274 = 1, $H$66, J$66 )</f>
        <v>1002.2032807601117</v>
      </c>
      <c r="L66" s="121">
        <f t="shared" si="16"/>
        <v>1002.2032807601117</v>
      </c>
      <c r="M66" s="121">
        <f t="shared" si="16"/>
        <v>1002.2032807601117</v>
      </c>
      <c r="N66" s="121">
        <f t="shared" si="16"/>
        <v>1002.2032807601117</v>
      </c>
    </row>
    <row r="67" spans="4:14">
      <c r="E67" s="121" t="s">
        <v>45</v>
      </c>
      <c r="F67" s="149" cm="1">
        <f t="array" ref="F67:F69" xml:space="preserve"> INDEX( $E$155:$F$157, 0, 2 )</f>
        <v>15750</v>
      </c>
      <c r="G67" s="122">
        <f xml:space="preserve"> _xlfn.LET(
      _xlpm.jp,     $F241,
      IF( selector = 1, 0, _xlpm.jp ) )</f>
        <v>6214.2857142857138</v>
      </c>
      <c r="H67" s="122">
        <f t="shared" si="11"/>
        <v>21964.285714285714</v>
      </c>
      <c r="I67" s="121">
        <f xml:space="preserve"> H67</f>
        <v>21964.285714285714</v>
      </c>
      <c r="J67" s="139" cm="1">
        <f t="array" ref="J67:N67" xml:space="preserve"> _xlfn.LET(
      _xlpm.vw_data,_xlfn.ANCHORARRAY(       $J$97),
      _xlpm.vw_rows,_xlfn.ANCHORARRAY(       $E$97),
      _xlpm.vw,            INDEX( _xlpm.vw_data, MATCH( $E67, _xlpm.vw_rows, 0 ), 0 ),
      _xlpm.jp_data,_xlfn.ANCHORARRAY(       $J$183),
      _xlpm.jp_rows,_xlfn.ANCHORARRAY(       $E$183),
      _xlpm.jp,            INDEX( _xlpm.jp_data, MATCH( $E67, _xlpm.jp_rows, 0 ), 0 ),
      IF( selector = 1, _xlpm.vw, _xlpm.vw + _xlpm.jp ) )</f>
        <v>22079.908928571429</v>
      </c>
      <c r="K67" s="121">
        <v>22201.642660714286</v>
      </c>
      <c r="L67" s="121">
        <v>22329.81219803571</v>
      </c>
      <c r="M67" s="121">
        <v>22464.760277908928</v>
      </c>
      <c r="N67" s="121">
        <v>22606.84803140266</v>
      </c>
    </row>
    <row r="68" spans="4:14">
      <c r="E68" s="121" t="s">
        <v>110</v>
      </c>
      <c r="F68" s="149">
        <v>6</v>
      </c>
      <c r="G68" s="122">
        <f xml:space="preserve"> _xlfn.LET(
      _xlpm.jp,     $F242,
      IF( selector = 1, 0, _xlpm.jp ) )</f>
        <v>18</v>
      </c>
      <c r="H68" s="122">
        <f t="shared" si="11"/>
        <v>24</v>
      </c>
      <c r="I68" s="121">
        <f t="shared" ref="I68:I69" si="17" xml:space="preserve"> H68</f>
        <v>24</v>
      </c>
      <c r="J68" s="139" cm="1">
        <f t="array" ref="J68:N68" xml:space="preserve"> _xlfn.LET(
      _xlpm.vw_data,_xlfn.ANCHORARRAY(       $J$97),
      _xlpm.vw_rows,_xlfn.ANCHORARRAY(       $E$97),
      _xlpm.vw,            INDEX( _xlpm.vw_data, MATCH( $E68, _xlpm.vw_rows, 0 ), 0 ),
      _xlpm.jp_data,_xlfn.ANCHORARRAY(       $J$183),
      _xlpm.jp_rows,_xlfn.ANCHORARRAY(       $E$183),
      _xlpm.jp,            INDEX( _xlpm.jp_data, MATCH( $E68, _xlpm.jp_rows, 0 ), 0 ),
      IF( selector = 1, _xlpm.vw, _xlpm.vw + _xlpm.jp ) )</f>
        <v>24</v>
      </c>
      <c r="K68" s="121">
        <v>24</v>
      </c>
      <c r="L68" s="121">
        <v>24</v>
      </c>
      <c r="M68" s="121">
        <v>24</v>
      </c>
      <c r="N68" s="121">
        <v>24</v>
      </c>
    </row>
    <row r="69" spans="4:14" ht="15">
      <c r="E69" s="146" t="s">
        <v>46</v>
      </c>
      <c r="F69" s="156">
        <v>15756</v>
      </c>
      <c r="G69" s="150">
        <f>SUM(G65:G68)</f>
        <v>7234.4889950458255</v>
      </c>
      <c r="H69" s="150">
        <f t="shared" si="11"/>
        <v>22990.488995045824</v>
      </c>
      <c r="I69" s="146">
        <f t="shared" si="17"/>
        <v>22990.488995045824</v>
      </c>
      <c r="J69" s="146">
        <f>SUM(J65:J68)</f>
        <v>23106.112209331543</v>
      </c>
      <c r="K69" s="146">
        <f t="shared" ref="K69:N69" si="18">SUM(K65:K68)</f>
        <v>23227.845941474399</v>
      </c>
      <c r="L69" s="146">
        <f t="shared" si="18"/>
        <v>23356.015478795824</v>
      </c>
      <c r="M69" s="146">
        <f t="shared" si="18"/>
        <v>23490.963558669042</v>
      </c>
      <c r="N69" s="146">
        <f t="shared" si="18"/>
        <v>23633.051312162774</v>
      </c>
    </row>
    <row r="70" spans="4:14">
      <c r="E70" s="121" t="s">
        <v>118</v>
      </c>
      <c r="F70" s="149"/>
      <c r="G70" s="122"/>
      <c r="H70" s="122"/>
      <c r="J70" s="126"/>
      <c r="K70" s="126"/>
      <c r="L70" s="126"/>
      <c r="M70" s="126"/>
      <c r="N70" s="126"/>
    </row>
    <row r="71" spans="4:14" ht="15">
      <c r="E71" s="138" t="s">
        <v>10</v>
      </c>
      <c r="F71" s="157">
        <f xml:space="preserve"> SUM( F63, F69)</f>
        <v>23603.02240861292</v>
      </c>
      <c r="G71" s="157">
        <f t="shared" ref="G71" si="19" xml:space="preserve"> SUM( G63, G69)</f>
        <v>5224.3071428571448</v>
      </c>
      <c r="H71" s="123">
        <f t="shared" si="11"/>
        <v>28827.329551470066</v>
      </c>
      <c r="I71" s="138">
        <f>H71</f>
        <v>28827.329551470066</v>
      </c>
      <c r="J71" s="138">
        <f>SUM( J63, J69)</f>
        <v>28554.348757421649</v>
      </c>
      <c r="K71" s="138">
        <f>SUM( K63, K69)</f>
        <v>28433.261122501426</v>
      </c>
      <c r="L71" s="138">
        <f>SUM( L63, L69)</f>
        <v>28473.015138347015</v>
      </c>
      <c r="M71" s="138">
        <f>SUM( M63, M69)</f>
        <v>28683.188471890557</v>
      </c>
      <c r="N71" s="138">
        <f>SUM( N63, N69)</f>
        <v>29074.030336624885</v>
      </c>
    </row>
    <row r="72" spans="4:14">
      <c r="E72" s="121" t="s">
        <v>118</v>
      </c>
      <c r="F72" s="149"/>
      <c r="G72" s="122"/>
      <c r="H72" s="122"/>
      <c r="J72" s="126"/>
      <c r="K72" s="126"/>
      <c r="L72" s="126"/>
      <c r="M72" s="126"/>
      <c r="N72" s="126"/>
    </row>
    <row r="73" spans="4:14">
      <c r="D73" s="147" t="s">
        <v>47</v>
      </c>
      <c r="F73" s="149"/>
      <c r="G73" s="122"/>
      <c r="H73" s="122"/>
      <c r="J73" s="126"/>
      <c r="K73" s="126"/>
      <c r="L73" s="126"/>
      <c r="M73" s="126"/>
      <c r="N73" s="126"/>
    </row>
    <row r="74" spans="4:14">
      <c r="E74" s="121" t="s">
        <v>48</v>
      </c>
      <c r="F74" s="149" cm="1">
        <f t="array" ref="F74:F77" xml:space="preserve"> INDEX( $E$162:$F$165, 0, 2 )</f>
        <v>283.5</v>
      </c>
      <c r="G74" s="122">
        <f xml:space="preserve"> _xlfn.LET(
      _xlpm.jp,     $F248,
      IF( selector = 1, 0, _xlpm.jp ) )</f>
        <v>111.85714285714288</v>
      </c>
      <c r="H74" s="122">
        <f t="shared" ref="H74:H77" si="20">SUM(F74:G74)</f>
        <v>395.35714285714289</v>
      </c>
      <c r="I74" s="121">
        <f>H74</f>
        <v>395.35714285714289</v>
      </c>
      <c r="J74" s="139" cm="1">
        <f t="array" ref="J74:N74" xml:space="preserve"> _xlfn.LET(
      _xlpm.vw_data,_xlfn.ANCHORARRAY(       $J$97),
      _xlpm.vw_rows,_xlfn.ANCHORARRAY(       $E$97),
      _xlpm.vw,            INDEX( _xlpm.vw_data, MATCH( $E74, _xlpm.vw_rows, 0 ), 0 ),
      _xlpm.jp_data,_xlfn.ANCHORARRAY(       $J$183),
      _xlpm.jp_rows,_xlfn.ANCHORARRAY(       $E$183),
      _xlpm.jp,            INDEX( _xlpm.jp_data, MATCH( $E74, _xlpm.jp_rows, 0 ), 0 ),
      IF( selector = 1, _xlpm.vw, _xlpm.vw + _xlpm.jp ) )</f>
        <v>409.23803571428573</v>
      </c>
      <c r="K74" s="121">
        <v>423.48892499999999</v>
      </c>
      <c r="L74" s="121">
        <v>438.11012169642856</v>
      </c>
      <c r="M74" s="121">
        <v>453.10091144142859</v>
      </c>
      <c r="N74" s="121">
        <v>468.45944259365905</v>
      </c>
    </row>
    <row r="75" spans="4:14">
      <c r="E75" s="121" t="s">
        <v>49</v>
      </c>
      <c r="F75" s="149">
        <v>750</v>
      </c>
      <c r="G75" s="122">
        <f xml:space="preserve"> _xlfn.LET(
      _xlpm.jp,     $F249,
      IF( selector = 1, 0, _xlpm.jp ) )</f>
        <v>300</v>
      </c>
      <c r="H75" s="122">
        <f t="shared" si="20"/>
        <v>1050</v>
      </c>
      <c r="I75" s="121">
        <f t="shared" ref="I75:I77" si="21">H75</f>
        <v>1050</v>
      </c>
      <c r="J75" s="139" cm="1">
        <f t="array" ref="J75:N75" xml:space="preserve"> _xlfn.LET(
      _xlpm.vw_data,_xlfn.ANCHORARRAY(       $J$97),
      _xlpm.vw_rows,_xlfn.ANCHORARRAY(       $E$97),
      _xlpm.vw,            INDEX( _xlpm.vw_data, MATCH( $E75, _xlpm.vw_rows, 0 ), 0 ),
      _xlpm.jp_data,_xlfn.ANCHORARRAY(       $J$183),
      _xlpm.jp_rows,_xlfn.ANCHORARRAY(       $E$183),
      _xlpm.jp,            INDEX( _xlpm.jp_data, MATCH( $E75, _xlpm.jp_rows, 0 ), 0 ),
      IF( selector = 1, _xlpm.vw, _xlpm.vw + _xlpm.jp ) )</f>
        <v>1050</v>
      </c>
      <c r="K75" s="121">
        <v>1050</v>
      </c>
      <c r="L75" s="121">
        <v>1050</v>
      </c>
      <c r="M75" s="121">
        <v>1050</v>
      </c>
      <c r="N75" s="121">
        <v>1050</v>
      </c>
    </row>
    <row r="76" spans="4:14">
      <c r="E76" s="121" t="s">
        <v>111</v>
      </c>
      <c r="F76" s="149">
        <v>0.44999999999999996</v>
      </c>
      <c r="G76" s="122">
        <f xml:space="preserve"> _xlfn.LET(
      _xlpm.jp,     $F250,
      IF( selector = 1, 0, _xlpm.jp ) )</f>
        <v>9.4499999999999993</v>
      </c>
      <c r="H76" s="122">
        <f t="shared" si="20"/>
        <v>9.8999999999999986</v>
      </c>
      <c r="I76" s="121">
        <f t="shared" si="21"/>
        <v>9.8999999999999986</v>
      </c>
      <c r="J76" s="139" cm="1">
        <f t="array" ref="J76:N76" xml:space="preserve"> _xlfn.LET(
      _xlpm.vw_data,_xlfn.ANCHORARRAY(       $J$97),
      _xlpm.vw_rows,_xlfn.ANCHORARRAY(       $E$97),
      _xlpm.vw,            INDEX( _xlpm.vw_data, MATCH( $E76, _xlpm.vw_rows, 0 ), 0 ),
      _xlpm.jp_data,_xlfn.ANCHORARRAY(       $J$183),
      _xlpm.jp_rows,_xlfn.ANCHORARRAY(       $E$183),
      _xlpm.jp,            INDEX( _xlpm.jp_data, MATCH( $E76, _xlpm.jp_rows, 0 ), 0 ),
      IF( selector = 1, _xlpm.vw, _xlpm.vw + _xlpm.jp ) )</f>
        <v>9.8999999999999986</v>
      </c>
      <c r="K76" s="121">
        <v>9.8999999999999986</v>
      </c>
      <c r="L76" s="121">
        <v>9.8999999999999986</v>
      </c>
      <c r="M76" s="121">
        <v>9.8999999999999986</v>
      </c>
      <c r="N76" s="121">
        <v>9.8999999999999986</v>
      </c>
    </row>
    <row r="77" spans="4:14" ht="15">
      <c r="E77" s="146" t="s">
        <v>11</v>
      </c>
      <c r="F77" s="156">
        <v>1033.95</v>
      </c>
      <c r="G77" s="150">
        <f>SUM(G74:G76)</f>
        <v>421.30714285714288</v>
      </c>
      <c r="H77" s="150">
        <f t="shared" si="20"/>
        <v>1455.257142857143</v>
      </c>
      <c r="I77" s="146">
        <f t="shared" si="21"/>
        <v>1455.257142857143</v>
      </c>
      <c r="J77" s="146">
        <f>SUM(J74:J76)</f>
        <v>1469.1380357142857</v>
      </c>
      <c r="K77" s="146">
        <f t="shared" ref="K77:N77" si="22">SUM(K74:K76)</f>
        <v>1483.3889250000002</v>
      </c>
      <c r="L77" s="146">
        <f t="shared" si="22"/>
        <v>1498.0101216964285</v>
      </c>
      <c r="M77" s="146">
        <f t="shared" si="22"/>
        <v>1513.0009114414288</v>
      </c>
      <c r="N77" s="146">
        <f t="shared" si="22"/>
        <v>1528.3594425936592</v>
      </c>
    </row>
    <row r="78" spans="4:14">
      <c r="E78" s="121" t="s">
        <v>118</v>
      </c>
      <c r="F78" s="149"/>
      <c r="G78" s="122"/>
      <c r="H78" s="122"/>
      <c r="J78" s="126"/>
      <c r="K78" s="126"/>
      <c r="L78" s="126"/>
      <c r="M78" s="126"/>
      <c r="N78" s="126"/>
    </row>
    <row r="79" spans="4:14">
      <c r="E79" s="121" t="s">
        <v>50</v>
      </c>
      <c r="F79" s="149" cm="1">
        <f t="array" ref="F79:F81" xml:space="preserve"> INDEX( $E$167:$F$169, 0, 2 )</f>
        <v>5250</v>
      </c>
      <c r="G79" s="122">
        <f xml:space="preserve"> _xlfn.LET(
      _xlpm.jp,     $F253,
      IF( selector = 1, 0, _xlpm.jp ) )</f>
        <v>2100</v>
      </c>
      <c r="H79" s="122">
        <f t="shared" ref="H79:H81" si="23">SUM(F79:G79)</f>
        <v>7350</v>
      </c>
      <c r="I79" s="121">
        <f>H79</f>
        <v>7350</v>
      </c>
      <c r="J79" s="139" cm="1">
        <f t="array" ref="J79:N79" xml:space="preserve"> _xlfn.LET(
      _xlpm.vw_data,_xlfn.ANCHORARRAY(       $J$97),
      _xlpm.vw_rows,_xlfn.ANCHORARRAY(       $E$97),
      _xlpm.vw,            INDEX( _xlpm.vw_data, MATCH( $E79, _xlpm.vw_rows, 0 ), 0 ),
      _xlpm.jp_data,_xlfn.ANCHORARRAY(       $J$183),
      _xlpm.jp_rows,_xlfn.ANCHORARRAY(       $E$183),
      _xlpm.jp,            INDEX( _xlpm.jp_data, MATCH( $E79, _xlpm.jp_rows, 0 ), 0 ),
      IF( selector = 1, _xlpm.vw, _xlpm.vw + _xlpm.jp ) )</f>
        <v>6300</v>
      </c>
      <c r="K79" s="121">
        <v>5250</v>
      </c>
      <c r="L79" s="121">
        <v>4200</v>
      </c>
      <c r="M79" s="121">
        <v>3150</v>
      </c>
      <c r="N79" s="121">
        <v>2100</v>
      </c>
    </row>
    <row r="80" spans="4:14">
      <c r="E80" s="121" t="s">
        <v>112</v>
      </c>
      <c r="F80" s="159">
        <v>1.6500000000000001</v>
      </c>
      <c r="G80" s="160">
        <f xml:space="preserve"> _xlfn.LET(
      _xlpm.jp,     $F254,
      IF( selector = 1, 0, _xlpm.jp ) )</f>
        <v>3</v>
      </c>
      <c r="H80" s="160">
        <f t="shared" si="23"/>
        <v>4.6500000000000004</v>
      </c>
      <c r="I80" s="154">
        <f t="shared" ref="I80:I81" si="24">H80</f>
        <v>4.6500000000000004</v>
      </c>
      <c r="J80" s="139" cm="1">
        <f t="array" ref="J80:N80" xml:space="preserve"> _xlfn.LET(
      _xlpm.vw_data,_xlfn.ANCHORARRAY(       $J$97),
      _xlpm.vw_rows,_xlfn.ANCHORARRAY(       $E$97),
      _xlpm.vw,            INDEX( _xlpm.vw_data, MATCH( $E80, _xlpm.vw_rows, 0 ), 0 ),
      _xlpm.jp_data,_xlfn.ANCHORARRAY(       $J$183),
      _xlpm.jp_rows,_xlfn.ANCHORARRAY(       $E$183),
      _xlpm.jp,            INDEX( _xlpm.jp_data, MATCH( $E80, _xlpm.jp_rows, 0 ), 0 ),
      IF( selector = 1, _xlpm.vw, _xlpm.vw + _xlpm.jp ) )</f>
        <v>4.6500000000000004</v>
      </c>
      <c r="K80" s="121">
        <v>4.6500000000000004</v>
      </c>
      <c r="L80" s="121">
        <v>4.6500000000000004</v>
      </c>
      <c r="M80" s="121">
        <v>4.6500000000000004</v>
      </c>
      <c r="N80" s="121">
        <v>4.6500000000000004</v>
      </c>
    </row>
    <row r="81" spans="1:14" ht="15">
      <c r="E81" s="146" t="s">
        <v>51</v>
      </c>
      <c r="F81" s="156">
        <v>5251.65</v>
      </c>
      <c r="G81" s="150">
        <f>SUM(G79:G80)</f>
        <v>2103</v>
      </c>
      <c r="H81" s="150">
        <f t="shared" si="23"/>
        <v>7354.65</v>
      </c>
      <c r="I81" s="121">
        <f t="shared" si="24"/>
        <v>7354.65</v>
      </c>
      <c r="J81" s="146">
        <f>SUM(J79:J80)</f>
        <v>6304.65</v>
      </c>
      <c r="K81" s="146">
        <f t="shared" ref="K81:N81" si="25">SUM(K79:K80)</f>
        <v>5254.65</v>
      </c>
      <c r="L81" s="146">
        <f t="shared" si="25"/>
        <v>4204.6499999999996</v>
      </c>
      <c r="M81" s="146">
        <f t="shared" si="25"/>
        <v>3154.65</v>
      </c>
      <c r="N81" s="146">
        <f t="shared" si="25"/>
        <v>2104.65</v>
      </c>
    </row>
    <row r="82" spans="1:14">
      <c r="E82" s="121" t="s">
        <v>118</v>
      </c>
      <c r="F82" s="149"/>
      <c r="G82" s="122"/>
      <c r="H82" s="122"/>
      <c r="J82" s="126"/>
      <c r="K82" s="126"/>
      <c r="L82" s="126"/>
      <c r="M82" s="126"/>
      <c r="N82" s="126"/>
    </row>
    <row r="83" spans="1:14" ht="15">
      <c r="E83" s="138" t="s">
        <v>12</v>
      </c>
      <c r="F83" s="157">
        <f xml:space="preserve"> SUM( F77, F81)</f>
        <v>6285.5999999999995</v>
      </c>
      <c r="G83" s="157">
        <f t="shared" ref="G83" si="26" xml:space="preserve"> SUM( G77, G81)</f>
        <v>2524.3071428571429</v>
      </c>
      <c r="H83" s="123">
        <f t="shared" ref="H83" si="27">SUM(F83:G83)</f>
        <v>8809.9071428571424</v>
      </c>
      <c r="I83" s="138">
        <f xml:space="preserve"> H83</f>
        <v>8809.9071428571424</v>
      </c>
      <c r="J83" s="138">
        <f>SUM( J77, J81)</f>
        <v>7773.7880357142858</v>
      </c>
      <c r="K83" s="138">
        <f t="shared" ref="K83:N83" si="28">SUM( K77, K81)</f>
        <v>6738.0389249999998</v>
      </c>
      <c r="L83" s="138">
        <f t="shared" si="28"/>
        <v>5702.6601216964282</v>
      </c>
      <c r="M83" s="138">
        <f t="shared" si="28"/>
        <v>4667.6509114414293</v>
      </c>
      <c r="N83" s="138">
        <f t="shared" si="28"/>
        <v>3633.0094425936595</v>
      </c>
    </row>
    <row r="84" spans="1:14">
      <c r="E84" s="121" t="s">
        <v>118</v>
      </c>
      <c r="F84" s="149"/>
      <c r="G84" s="122"/>
      <c r="H84" s="122"/>
      <c r="J84" s="126"/>
      <c r="K84" s="126"/>
      <c r="L84" s="126"/>
      <c r="M84" s="126"/>
      <c r="N84" s="126"/>
    </row>
    <row r="85" spans="1:14">
      <c r="D85" s="147" t="s">
        <v>52</v>
      </c>
      <c r="F85" s="122"/>
      <c r="G85" s="122"/>
      <c r="H85" s="122"/>
    </row>
    <row r="86" spans="1:14">
      <c r="E86" s="162" t="s">
        <v>13</v>
      </c>
      <c r="F86" s="149" cm="1">
        <f t="array" ref="F86:F87" xml:space="preserve"> INDEX( $E$174:$F$175, 0, 2 )</f>
        <v>5550</v>
      </c>
      <c r="G86" s="122">
        <f xml:space="preserve"> IF( selector = 1, 0, 0 )</f>
        <v>0</v>
      </c>
      <c r="H86" s="122">
        <f>SUM(F86:G86)</f>
        <v>5550</v>
      </c>
      <c r="I86" s="121">
        <f>H86</f>
        <v>5550</v>
      </c>
      <c r="J86" s="139" cm="1">
        <f t="array" ref="J86:N86" xml:space="preserve"> _xlfn.LET(
      _xlpm.vw_data,_xlfn.ANCHORARRAY(       $J$97),
      _xlpm.vw_rows,_xlfn.ANCHORARRAY(       $E$97),
      _xlpm.vw,            INDEX( _xlpm.vw_data, MATCH( $E86, _xlpm.vw_rows, 0 ), 0 ),
      _xlpm.jp_data,_xlfn.ANCHORARRAY(       $J$183),
      _xlpm.jp_rows,_xlfn.ANCHORARRAY(       $E$183),
      _xlpm.jp,            INDEX( _xlpm.jp_data, MATCH( $E86, _xlpm.jp_rows, 0 ), 0 ),
      IF( selector = 1, _xlpm.vw, _xlpm.vw ) )</f>
        <v>5550</v>
      </c>
      <c r="K86" s="139">
        <v>5550</v>
      </c>
      <c r="L86" s="139">
        <v>5550</v>
      </c>
      <c r="M86" s="139">
        <v>5550</v>
      </c>
      <c r="N86" s="139">
        <v>5550</v>
      </c>
    </row>
    <row r="87" spans="1:14">
      <c r="E87" s="121" t="s">
        <v>14</v>
      </c>
      <c r="F87" s="149">
        <v>11767.422408612922</v>
      </c>
      <c r="G87" s="122">
        <f xml:space="preserve"> IF( selector = 1, 0, 0 )</f>
        <v>0</v>
      </c>
      <c r="H87" s="122">
        <f t="shared" ref="H87" si="29">SUM(F87:G87)</f>
        <v>11767.422408612922</v>
      </c>
      <c r="I87" s="121">
        <f t="shared" ref="I87" si="30">H87</f>
        <v>11767.422408612922</v>
      </c>
      <c r="J87" s="139">
        <f xml:space="preserve"> IF( J$274 = 1, $H87 + J28 + J48, I$87 + J28 + J48 )</f>
        <v>12445.279907757218</v>
      </c>
      <c r="K87" s="139">
        <f t="shared" ref="K87:N87" si="31" xml:space="preserve"> IF( K$274 = 1, $H87 + K28 + K48, J$87 + K28 + K48 )</f>
        <v>13257.545128850939</v>
      </c>
      <c r="L87" s="139">
        <f t="shared" si="31"/>
        <v>14212.066995720055</v>
      </c>
      <c r="M87" s="139">
        <f t="shared" si="31"/>
        <v>15317.239763840285</v>
      </c>
      <c r="N87" s="139">
        <f t="shared" si="31"/>
        <v>16582.039237254856</v>
      </c>
    </row>
    <row r="88" spans="1:14">
      <c r="E88" s="155" t="s">
        <v>82</v>
      </c>
      <c r="F88" s="124">
        <v>0</v>
      </c>
      <c r="G88" s="122">
        <f xml:space="preserve"> IF( selector = 1, 0, ( 1 - percentage ) * value)</f>
        <v>2700</v>
      </c>
      <c r="H88" s="122">
        <f>SUM(F88:G88)</f>
        <v>2700</v>
      </c>
      <c r="J88" s="161">
        <f xml:space="preserve"> IF( J$274 = 1, $H88 + SUM( J$36, J$47 ), I$88 + SUM( J$36, J$47 ) )</f>
        <v>2785.2808139501385</v>
      </c>
      <c r="K88" s="161">
        <f t="shared" ref="K88:N88" si="32" xml:space="preserve"> IF( K$274 = 1, $H88 + SUM( K$36, K$47 ), J$88 + SUM( K$36, K$47 ) )</f>
        <v>2887.6770686504833</v>
      </c>
      <c r="L88" s="161">
        <f t="shared" si="32"/>
        <v>3008.2880209305345</v>
      </c>
      <c r="M88" s="161">
        <f t="shared" si="32"/>
        <v>3148.2977966088406</v>
      </c>
      <c r="N88" s="161">
        <f t="shared" si="32"/>
        <v>3308.9816567763696</v>
      </c>
    </row>
    <row r="89" spans="1:14" ht="15">
      <c r="E89" s="142" t="s">
        <v>53</v>
      </c>
      <c r="F89" s="156">
        <f>SUM(F86:F88)</f>
        <v>17317.422408612922</v>
      </c>
      <c r="G89" s="156">
        <f t="shared" ref="G89" si="33">SUM(G86:G88)</f>
        <v>2700</v>
      </c>
      <c r="H89" s="156">
        <f>SUM(F89:G89)</f>
        <v>20017.422408612922</v>
      </c>
      <c r="I89" s="142"/>
      <c r="J89" s="142">
        <f>SUM(J86:J88)</f>
        <v>20780.560721707359</v>
      </c>
      <c r="K89" s="142">
        <f t="shared" ref="K89:N89" si="34">SUM(K86:K88)</f>
        <v>21695.222197501422</v>
      </c>
      <c r="L89" s="142">
        <f t="shared" si="34"/>
        <v>22770.355016650588</v>
      </c>
      <c r="M89" s="142">
        <f t="shared" si="34"/>
        <v>24015.537560449124</v>
      </c>
      <c r="N89" s="142">
        <f t="shared" si="34"/>
        <v>25441.020894031226</v>
      </c>
    </row>
    <row r="90" spans="1:14">
      <c r="E90" s="155"/>
      <c r="F90" s="124"/>
      <c r="G90" s="122"/>
      <c r="H90" s="122"/>
      <c r="J90" s="126"/>
      <c r="K90" s="126"/>
      <c r="L90" s="126"/>
      <c r="M90" s="126"/>
      <c r="N90" s="126"/>
    </row>
    <row r="91" spans="1:14" ht="15">
      <c r="E91" s="138" t="s">
        <v>54</v>
      </c>
      <c r="F91" s="157">
        <f xml:space="preserve"> SUM( F83, F89)</f>
        <v>23603.02240861292</v>
      </c>
      <c r="G91" s="157">
        <f t="shared" ref="G91" si="35" xml:space="preserve"> SUM( G83, G89)</f>
        <v>5224.3071428571429</v>
      </c>
      <c r="H91" s="123">
        <f t="shared" ref="H91" si="36">SUM(F91:G91)</f>
        <v>28827.329551470062</v>
      </c>
      <c r="I91" s="138">
        <f>H91</f>
        <v>28827.329551470062</v>
      </c>
      <c r="J91" s="158">
        <f t="shared" ref="J91:N91" si="37" xml:space="preserve"> SUM( J83, J89)</f>
        <v>28554.348757421645</v>
      </c>
      <c r="K91" s="158">
        <f t="shared" si="37"/>
        <v>28433.261122501423</v>
      </c>
      <c r="L91" s="158">
        <f t="shared" si="37"/>
        <v>28473.015138347015</v>
      </c>
      <c r="M91" s="158">
        <f t="shared" si="37"/>
        <v>28683.188471890553</v>
      </c>
      <c r="N91" s="158">
        <f t="shared" si="37"/>
        <v>29074.030336624885</v>
      </c>
    </row>
    <row r="92" spans="1:14">
      <c r="E92" s="121" t="s">
        <v>15</v>
      </c>
      <c r="F92" s="124">
        <f xml:space="preserve"> F71 - F91</f>
        <v>0</v>
      </c>
      <c r="G92" s="124">
        <f t="shared" ref="G92:H92" si="38" xml:space="preserve"> G71 - G91</f>
        <v>0</v>
      </c>
      <c r="H92" s="124">
        <f t="shared" si="38"/>
        <v>0</v>
      </c>
      <c r="J92" s="121">
        <f xml:space="preserve"> J71 - J91</f>
        <v>0</v>
      </c>
      <c r="K92" s="121">
        <f xml:space="preserve"> K71 - K91</f>
        <v>0</v>
      </c>
      <c r="L92" s="121">
        <f xml:space="preserve"> L71 - L91</f>
        <v>0</v>
      </c>
      <c r="M92" s="121">
        <f xml:space="preserve"> M71 - M91</f>
        <v>0</v>
      </c>
      <c r="N92" s="121">
        <f xml:space="preserve"> N71 - N91</f>
        <v>0</v>
      </c>
    </row>
    <row r="93" spans="1:14">
      <c r="F93" s="130"/>
      <c r="J93" s="126"/>
      <c r="K93" s="126"/>
      <c r="L93" s="126"/>
      <c r="M93" s="126"/>
      <c r="N93" s="126"/>
    </row>
    <row r="94" spans="1:14">
      <c r="F94" s="130"/>
      <c r="J94" s="126"/>
      <c r="K94" s="126"/>
      <c r="L94" s="126"/>
      <c r="M94" s="126"/>
      <c r="N94" s="126"/>
    </row>
    <row r="95" spans="1:14" s="122" customFormat="1" ht="15">
      <c r="A95" s="123" t="s">
        <v>21</v>
      </c>
    </row>
    <row r="97" spans="5:14">
      <c r="E97" s="121" t="str" cm="1">
        <f t="array" ref="E97:E179" xml:space="preserve"> IF( INDEX( CaseData!$B$10:$B$92, 0, 1 ) = 0, "", INDEX( CaseData!$B$10:$B$92, 0, 1 ) )</f>
        <v>Income statement</v>
      </c>
      <c r="J97" s="121" cm="1">
        <f t="array" ref="J97:N179" xml:space="preserve"> _xlfn.IFNA( INDEX( CaseData!$C$10:$H$92, MATCH(_xlfn.ANCHORARRAY( Acquisition!E97), CaseData!$B$10:$B$92, 0 ), MATCH( Acquisition!$J$277:$N$277, CaseData!$C$13:$H$13, 0 ) ), "" )</f>
        <v>0</v>
      </c>
      <c r="K97" s="121">
        <v>0</v>
      </c>
      <c r="L97" s="121">
        <v>0</v>
      </c>
      <c r="M97" s="121">
        <v>0</v>
      </c>
      <c r="N97" s="121">
        <v>0</v>
      </c>
    </row>
    <row r="98" spans="5:14">
      <c r="E98" s="121" t="str">
        <v>(in USD$ millions, fiscal years ended December 31st)</v>
      </c>
      <c r="J98" s="121">
        <v>0</v>
      </c>
      <c r="K98" s="121">
        <v>0</v>
      </c>
      <c r="L98" s="121">
        <v>0</v>
      </c>
      <c r="M98" s="121">
        <v>0</v>
      </c>
      <c r="N98" s="121">
        <v>0</v>
      </c>
    </row>
    <row r="99" spans="5:14">
      <c r="E99" s="121" t="str">
        <v/>
      </c>
      <c r="J99" s="121" t="str">
        <v/>
      </c>
      <c r="K99" s="121" t="str">
        <v/>
      </c>
      <c r="L99" s="121" t="str">
        <v/>
      </c>
      <c r="M99" s="121" t="str">
        <v/>
      </c>
      <c r="N99" s="121" t="str">
        <v/>
      </c>
    </row>
    <row r="100" spans="5:14">
      <c r="E100" s="121" t="str">
        <v/>
      </c>
      <c r="J100" s="121" t="str">
        <v/>
      </c>
      <c r="K100" s="121" t="str">
        <v/>
      </c>
      <c r="L100" s="121" t="str">
        <v/>
      </c>
      <c r="M100" s="121" t="str">
        <v/>
      </c>
      <c r="N100" s="121" t="str">
        <v/>
      </c>
    </row>
    <row r="101" spans="5:14">
      <c r="E101" s="121" t="str">
        <v/>
      </c>
      <c r="J101" s="121" t="str">
        <v/>
      </c>
      <c r="K101" s="121" t="str">
        <v/>
      </c>
      <c r="L101" s="121" t="str">
        <v/>
      </c>
      <c r="M101" s="121" t="str">
        <v/>
      </c>
      <c r="N101" s="121" t="str">
        <v/>
      </c>
    </row>
    <row r="102" spans="5:14">
      <c r="E102" s="121" t="str">
        <v>Revenue</v>
      </c>
      <c r="J102" s="121">
        <v>5512.5</v>
      </c>
      <c r="K102" s="121">
        <v>5788.125</v>
      </c>
      <c r="L102" s="121">
        <v>6077.53125</v>
      </c>
      <c r="M102" s="121">
        <v>6381.4078125000005</v>
      </c>
      <c r="N102" s="121">
        <v>6700.4782031250015</v>
      </c>
    </row>
    <row r="103" spans="5:14">
      <c r="E103" s="121" t="str">
        <v>Less: COGS</v>
      </c>
      <c r="J103" s="121">
        <v>-3252.375</v>
      </c>
      <c r="K103" s="121">
        <v>-3357.1124999999997</v>
      </c>
      <c r="L103" s="121">
        <v>-3464.1928124999999</v>
      </c>
      <c r="M103" s="121">
        <v>-3573.5883749999998</v>
      </c>
      <c r="N103" s="121">
        <v>-3685.2630117187509</v>
      </c>
    </row>
    <row r="104" spans="5:14">
      <c r="E104" s="121" t="str">
        <v>Gross Profit</v>
      </c>
      <c r="J104" s="121">
        <v>2260.125</v>
      </c>
      <c r="K104" s="121">
        <v>2431.0125000000003</v>
      </c>
      <c r="L104" s="121">
        <v>2613.3384375000001</v>
      </c>
      <c r="M104" s="121">
        <v>2807.8194375000007</v>
      </c>
      <c r="N104" s="121">
        <v>3015.2151914062506</v>
      </c>
    </row>
    <row r="105" spans="5:14">
      <c r="E105" s="121" t="str">
        <v>Less: SG&amp;A</v>
      </c>
      <c r="J105" s="121">
        <v>-275.625</v>
      </c>
      <c r="K105" s="121">
        <v>-289.40625</v>
      </c>
      <c r="L105" s="121">
        <v>-303.87656250000003</v>
      </c>
      <c r="M105" s="121">
        <v>-319.07039062500007</v>
      </c>
      <c r="N105" s="121">
        <v>-335.02391015625011</v>
      </c>
    </row>
    <row r="106" spans="5:14">
      <c r="E106" s="121" t="str">
        <v>EBITDA</v>
      </c>
      <c r="J106" s="121">
        <v>1984.5</v>
      </c>
      <c r="K106" s="121">
        <v>2141.6062500000003</v>
      </c>
      <c r="L106" s="121">
        <v>2309.461875</v>
      </c>
      <c r="M106" s="121">
        <v>2488.7490468750007</v>
      </c>
      <c r="N106" s="121">
        <v>2680.1912812500004</v>
      </c>
    </row>
    <row r="107" spans="5:14">
      <c r="E107" s="121" t="str">
        <v>Less: Depreciation</v>
      </c>
      <c r="J107" s="121">
        <v>-826.875</v>
      </c>
      <c r="K107" s="121">
        <v>-868.21875</v>
      </c>
      <c r="L107" s="121">
        <v>-911.62968749999993</v>
      </c>
      <c r="M107" s="121">
        <v>-957.21117187499999</v>
      </c>
      <c r="N107" s="121">
        <v>-1005.0717304687502</v>
      </c>
    </row>
    <row r="108" spans="5:14">
      <c r="E108" s="121" t="str">
        <v>EBIT</v>
      </c>
      <c r="J108" s="121">
        <v>1157.625</v>
      </c>
      <c r="K108" s="121">
        <v>1273.3875000000003</v>
      </c>
      <c r="L108" s="121">
        <v>1397.8321875000001</v>
      </c>
      <c r="M108" s="121">
        <v>1531.5378750000007</v>
      </c>
      <c r="N108" s="121">
        <v>1675.1195507812504</v>
      </c>
    </row>
    <row r="109" spans="5:14">
      <c r="E109" s="121" t="str">
        <v>Add/(Less): Net Interest Income/(Expense)</v>
      </c>
      <c r="J109" s="121">
        <v>-332.43683696237895</v>
      </c>
      <c r="K109" s="121">
        <v>-285.31304115455436</v>
      </c>
      <c r="L109" s="121">
        <v>-237.71581038498869</v>
      </c>
      <c r="M109" s="121">
        <v>-189.61817460309581</v>
      </c>
      <c r="N109" s="121">
        <v>-140.9913575933827</v>
      </c>
    </row>
    <row r="110" spans="5:14">
      <c r="E110" s="121" t="str">
        <v>EBT</v>
      </c>
      <c r="J110" s="121">
        <v>825.18816303762105</v>
      </c>
      <c r="K110" s="121">
        <v>988.07445884544586</v>
      </c>
      <c r="L110" s="121">
        <v>1160.1163771150113</v>
      </c>
      <c r="M110" s="121">
        <v>1341.9197003969048</v>
      </c>
      <c r="N110" s="121">
        <v>1534.1281931878677</v>
      </c>
    </row>
    <row r="111" spans="5:14">
      <c r="E111" s="121" t="str">
        <v>Less: Taxes</v>
      </c>
      <c r="J111" s="121">
        <v>-206.29704075940526</v>
      </c>
      <c r="K111" s="121">
        <v>-247.01861471136147</v>
      </c>
      <c r="L111" s="121">
        <v>-290.02909427875289</v>
      </c>
      <c r="M111" s="121">
        <v>-335.47992509922625</v>
      </c>
      <c r="N111" s="121">
        <v>-383.53204829696699</v>
      </c>
    </row>
    <row r="112" spans="5:14">
      <c r="E112" s="121" t="str">
        <v>Net Income</v>
      </c>
      <c r="J112" s="121">
        <v>618.89112227821579</v>
      </c>
      <c r="K112" s="121">
        <v>741.0558441340844</v>
      </c>
      <c r="L112" s="121">
        <v>870.08728283625851</v>
      </c>
      <c r="M112" s="121">
        <v>1006.4397752976786</v>
      </c>
      <c r="N112" s="121">
        <v>1150.5961448909006</v>
      </c>
    </row>
    <row r="113" spans="5:14">
      <c r="E113" s="121" t="str">
        <v/>
      </c>
      <c r="J113" s="121" t="str">
        <v/>
      </c>
      <c r="K113" s="121" t="str">
        <v/>
      </c>
      <c r="L113" s="121" t="str">
        <v/>
      </c>
      <c r="M113" s="121" t="str">
        <v/>
      </c>
      <c r="N113" s="121" t="str">
        <v/>
      </c>
    </row>
    <row r="114" spans="5:14">
      <c r="E114" s="121" t="str">
        <v/>
      </c>
      <c r="J114" s="121" t="str">
        <v/>
      </c>
      <c r="K114" s="121" t="str">
        <v/>
      </c>
      <c r="L114" s="121" t="str">
        <v/>
      </c>
      <c r="M114" s="121" t="str">
        <v/>
      </c>
      <c r="N114" s="121" t="str">
        <v/>
      </c>
    </row>
    <row r="115" spans="5:14">
      <c r="E115" s="121" t="str">
        <v/>
      </c>
      <c r="J115" s="121" t="str">
        <v/>
      </c>
      <c r="K115" s="121" t="str">
        <v/>
      </c>
      <c r="L115" s="121" t="str">
        <v/>
      </c>
      <c r="M115" s="121" t="str">
        <v/>
      </c>
      <c r="N115" s="121" t="str">
        <v/>
      </c>
    </row>
    <row r="116" spans="5:14">
      <c r="E116" s="121" t="str">
        <v>Cash Flow Statement</v>
      </c>
      <c r="J116" s="121">
        <v>0</v>
      </c>
      <c r="K116" s="121">
        <v>0</v>
      </c>
      <c r="L116" s="121">
        <v>0</v>
      </c>
      <c r="M116" s="121">
        <v>0</v>
      </c>
      <c r="N116" s="121">
        <v>0</v>
      </c>
    </row>
    <row r="117" spans="5:14">
      <c r="E117" s="121" t="str">
        <v>(in USD$ millions, fiscal years ended December 31st)</v>
      </c>
      <c r="J117" s="121">
        <v>0</v>
      </c>
      <c r="K117" s="121">
        <v>0</v>
      </c>
      <c r="L117" s="121">
        <v>0</v>
      </c>
      <c r="M117" s="121">
        <v>0</v>
      </c>
      <c r="N117" s="121">
        <v>0</v>
      </c>
    </row>
    <row r="118" spans="5:14">
      <c r="E118" s="121" t="str">
        <v/>
      </c>
      <c r="J118" s="121" t="str">
        <v/>
      </c>
      <c r="K118" s="121" t="str">
        <v/>
      </c>
      <c r="L118" s="121" t="str">
        <v/>
      </c>
      <c r="M118" s="121" t="str">
        <v/>
      </c>
      <c r="N118" s="121" t="str">
        <v/>
      </c>
    </row>
    <row r="119" spans="5:14">
      <c r="E119" s="121" t="str">
        <v/>
      </c>
      <c r="J119" s="121" t="str">
        <v/>
      </c>
      <c r="K119" s="121" t="str">
        <v/>
      </c>
      <c r="L119" s="121" t="str">
        <v/>
      </c>
      <c r="M119" s="121" t="str">
        <v/>
      </c>
      <c r="N119" s="121" t="str">
        <v/>
      </c>
    </row>
    <row r="120" spans="5:14">
      <c r="E120" s="121" t="str">
        <v/>
      </c>
      <c r="J120" s="121" t="str">
        <v/>
      </c>
      <c r="K120" s="121" t="str">
        <v/>
      </c>
      <c r="L120" s="121" t="str">
        <v/>
      </c>
      <c r="M120" s="121" t="str">
        <v/>
      </c>
      <c r="N120" s="121" t="str">
        <v/>
      </c>
    </row>
    <row r="121" spans="5:14">
      <c r="E121" s="121" t="str">
        <v>Cash Flow from Operations</v>
      </c>
      <c r="J121" s="121">
        <v>0</v>
      </c>
      <c r="K121" s="121">
        <v>0</v>
      </c>
      <c r="L121" s="121">
        <v>0</v>
      </c>
      <c r="M121" s="121">
        <v>0</v>
      </c>
      <c r="N121" s="121">
        <v>0</v>
      </c>
    </row>
    <row r="122" spans="5:14">
      <c r="E122" s="121" t="str">
        <v>Net Income</v>
      </c>
      <c r="J122" s="121">
        <v>618.89112227821579</v>
      </c>
      <c r="K122" s="121">
        <v>741.0558441340844</v>
      </c>
      <c r="L122" s="121">
        <v>870.08728283625851</v>
      </c>
      <c r="M122" s="121">
        <v>1006.4397752976786</v>
      </c>
      <c r="N122" s="121">
        <v>1150.5961448909006</v>
      </c>
    </row>
    <row r="123" spans="5:14">
      <c r="E123" s="121" t="str">
        <v>Add: Depreciation</v>
      </c>
      <c r="J123" s="121">
        <v>826.875</v>
      </c>
      <c r="K123" s="121">
        <v>868.21875</v>
      </c>
      <c r="L123" s="121">
        <v>911.62968749999993</v>
      </c>
      <c r="M123" s="121">
        <v>957.21117187499999</v>
      </c>
      <c r="N123" s="121">
        <v>1005.0717304687502</v>
      </c>
    </row>
    <row r="124" spans="5:14">
      <c r="E124" s="121" t="str">
        <v>Add/(Less): Change in W/C</v>
      </c>
      <c r="J124" s="121">
        <v>-33.705000000000126</v>
      </c>
      <c r="K124" s="121">
        <v>-35.224874999999827</v>
      </c>
      <c r="L124" s="121">
        <v>-36.812475000000177</v>
      </c>
      <c r="M124" s="121">
        <v>-38.470772812500002</v>
      </c>
      <c r="N124" s="121">
        <v>-40.202869218750266</v>
      </c>
    </row>
    <row r="125" spans="5:14">
      <c r="E125" s="121" t="str">
        <v>Cash Flow from Operations</v>
      </c>
      <c r="J125" s="121">
        <v>0</v>
      </c>
      <c r="K125" s="121">
        <v>0</v>
      </c>
      <c r="L125" s="121">
        <v>0</v>
      </c>
      <c r="M125" s="121">
        <v>0</v>
      </c>
      <c r="N125" s="121">
        <v>0</v>
      </c>
    </row>
    <row r="126" spans="5:14">
      <c r="E126" s="121" t="str">
        <v/>
      </c>
      <c r="J126" s="121" t="str">
        <v/>
      </c>
      <c r="K126" s="121" t="str">
        <v/>
      </c>
      <c r="L126" s="121" t="str">
        <v/>
      </c>
      <c r="M126" s="121" t="str">
        <v/>
      </c>
      <c r="N126" s="121" t="str">
        <v/>
      </c>
    </row>
    <row r="127" spans="5:14">
      <c r="E127" s="121" t="str">
        <v>Cash Flow from Investing Activities</v>
      </c>
      <c r="J127" s="121">
        <v>0</v>
      </c>
      <c r="K127" s="121">
        <v>0</v>
      </c>
      <c r="L127" s="121">
        <v>0</v>
      </c>
      <c r="M127" s="121">
        <v>0</v>
      </c>
      <c r="N127" s="121">
        <v>0</v>
      </c>
    </row>
    <row r="128" spans="5:14">
      <c r="E128" s="121" t="str">
        <v>Less: Capex</v>
      </c>
      <c r="J128" s="121">
        <v>-909.5625</v>
      </c>
      <c r="K128" s="121">
        <v>-955.04062500000009</v>
      </c>
      <c r="L128" s="121">
        <v>-1002.7926562499999</v>
      </c>
      <c r="M128" s="121">
        <v>-1052.9322890625001</v>
      </c>
      <c r="N128" s="121">
        <v>-1105.5789035156254</v>
      </c>
    </row>
    <row r="129" spans="5:14">
      <c r="E129" s="121" t="str">
        <v>Cash Flow from Investing Activities</v>
      </c>
      <c r="J129" s="121">
        <v>0</v>
      </c>
      <c r="K129" s="121">
        <v>0</v>
      </c>
      <c r="L129" s="121">
        <v>0</v>
      </c>
      <c r="M129" s="121">
        <v>0</v>
      </c>
      <c r="N129" s="121">
        <v>0</v>
      </c>
    </row>
    <row r="130" spans="5:14">
      <c r="E130" s="121" t="str">
        <v/>
      </c>
      <c r="J130" s="121" t="str">
        <v/>
      </c>
      <c r="K130" s="121" t="str">
        <v/>
      </c>
      <c r="L130" s="121" t="str">
        <v/>
      </c>
      <c r="M130" s="121" t="str">
        <v/>
      </c>
      <c r="N130" s="121" t="str">
        <v/>
      </c>
    </row>
    <row r="131" spans="5:14">
      <c r="E131" s="121" t="str">
        <v>Cash Flow from Financing Activities</v>
      </c>
      <c r="J131" s="121">
        <v>0</v>
      </c>
      <c r="K131" s="121">
        <v>0</v>
      </c>
      <c r="L131" s="121">
        <v>0</v>
      </c>
      <c r="M131" s="121">
        <v>0</v>
      </c>
      <c r="N131" s="121">
        <v>0</v>
      </c>
    </row>
    <row r="132" spans="5:14">
      <c r="E132" s="121" t="str">
        <v>Add/(Less): Issuance/(Repayment) of Debt</v>
      </c>
      <c r="J132" s="121">
        <v>-750</v>
      </c>
      <c r="K132" s="121">
        <v>-750</v>
      </c>
      <c r="L132" s="121">
        <v>-750</v>
      </c>
      <c r="M132" s="121">
        <v>-750</v>
      </c>
      <c r="N132" s="121">
        <v>-750</v>
      </c>
    </row>
    <row r="133" spans="5:14">
      <c r="E133" s="121" t="str">
        <v>Add/(Less): Issuance/(Repayment) of Common Shares</v>
      </c>
      <c r="J133" s="121">
        <v>0</v>
      </c>
      <c r="K133" s="121">
        <v>0</v>
      </c>
      <c r="L133" s="121">
        <v>0</v>
      </c>
      <c r="M133" s="121">
        <v>0</v>
      </c>
      <c r="N133" s="121">
        <v>0</v>
      </c>
    </row>
    <row r="134" spans="5:14">
      <c r="E134" s="121" t="str">
        <v>Less: Dividends</v>
      </c>
      <c r="J134" s="121">
        <v>-123.77822445564317</v>
      </c>
      <c r="K134" s="121">
        <v>-148.2111688268169</v>
      </c>
      <c r="L134" s="121">
        <v>-174.01745656725174</v>
      </c>
      <c r="M134" s="121">
        <v>-201.28795505953576</v>
      </c>
      <c r="N134" s="121">
        <v>-230.11922897818022</v>
      </c>
    </row>
    <row r="135" spans="5:14">
      <c r="E135" s="121" t="str">
        <v>Cash Flow from Financing Activities</v>
      </c>
      <c r="J135" s="121">
        <v>0</v>
      </c>
      <c r="K135" s="121">
        <v>0</v>
      </c>
      <c r="L135" s="121">
        <v>0</v>
      </c>
      <c r="M135" s="121">
        <v>0</v>
      </c>
      <c r="N135" s="121">
        <v>0</v>
      </c>
    </row>
    <row r="136" spans="5:14">
      <c r="E136" s="121" t="str">
        <v/>
      </c>
      <c r="J136" s="121" t="str">
        <v/>
      </c>
      <c r="K136" s="121" t="str">
        <v/>
      </c>
      <c r="L136" s="121" t="str">
        <v/>
      </c>
      <c r="M136" s="121" t="str">
        <v/>
      </c>
      <c r="N136" s="121" t="str">
        <v/>
      </c>
    </row>
    <row r="137" spans="5:14">
      <c r="E137" s="121" t="str">
        <v>Beginning Cash &amp; Equivalents</v>
      </c>
      <c r="J137" s="121">
        <v>6823.2724086129201</v>
      </c>
      <c r="K137" s="121">
        <v>6451.9928064354926</v>
      </c>
      <c r="L137" s="121">
        <v>6172.7907317427598</v>
      </c>
      <c r="M137" s="121">
        <v>5990.8851142617659</v>
      </c>
      <c r="N137" s="121">
        <v>5911.8450444999089</v>
      </c>
    </row>
    <row r="138" spans="5:14">
      <c r="E138" s="121" t="str">
        <v>Change in Cash &amp; Equivalents</v>
      </c>
      <c r="J138" s="121">
        <v>-371.27960217742748</v>
      </c>
      <c r="K138" s="121">
        <v>-279.20207469273237</v>
      </c>
      <c r="L138" s="121">
        <v>-181.90561748099356</v>
      </c>
      <c r="M138" s="121">
        <v>-79.040069761857239</v>
      </c>
      <c r="N138" s="121">
        <v>29.766873647094599</v>
      </c>
    </row>
    <row r="139" spans="5:14">
      <c r="E139" s="121" t="str">
        <v>Ending Cash &amp; Equivalents</v>
      </c>
      <c r="J139" s="121">
        <v>6451.9928064354926</v>
      </c>
      <c r="K139" s="121">
        <v>6172.7907317427598</v>
      </c>
      <c r="L139" s="121">
        <v>5990.8851142617659</v>
      </c>
      <c r="M139" s="121">
        <v>5911.8450444999089</v>
      </c>
      <c r="N139" s="121">
        <v>5941.611918147004</v>
      </c>
    </row>
    <row r="140" spans="5:14">
      <c r="E140" s="121" t="str">
        <v/>
      </c>
      <c r="J140" s="121" t="str">
        <v/>
      </c>
      <c r="K140" s="121" t="str">
        <v/>
      </c>
      <c r="L140" s="121" t="str">
        <v/>
      </c>
      <c r="M140" s="121" t="str">
        <v/>
      </c>
      <c r="N140" s="121" t="str">
        <v/>
      </c>
    </row>
    <row r="141" spans="5:14">
      <c r="E141" s="121" t="str">
        <v/>
      </c>
      <c r="J141" s="121" t="str">
        <v/>
      </c>
      <c r="K141" s="121" t="str">
        <v/>
      </c>
      <c r="L141" s="121" t="str">
        <v/>
      </c>
      <c r="M141" s="121" t="str">
        <v/>
      </c>
      <c r="N141" s="121" t="str">
        <v/>
      </c>
    </row>
    <row r="142" spans="5:14">
      <c r="E142" s="121" t="str">
        <v/>
      </c>
      <c r="J142" s="121" t="str">
        <v/>
      </c>
      <c r="K142" s="121" t="str">
        <v/>
      </c>
      <c r="L142" s="121" t="str">
        <v/>
      </c>
      <c r="M142" s="121" t="str">
        <v/>
      </c>
      <c r="N142" s="121" t="str">
        <v/>
      </c>
    </row>
    <row r="143" spans="5:14">
      <c r="E143" s="121" t="str">
        <v>Balance Sheet</v>
      </c>
      <c r="J143" s="121">
        <v>0</v>
      </c>
      <c r="K143" s="121">
        <v>0</v>
      </c>
      <c r="L143" s="121">
        <v>0</v>
      </c>
      <c r="M143" s="121">
        <v>0</v>
      </c>
      <c r="N143" s="121">
        <v>0</v>
      </c>
    </row>
    <row r="144" spans="5:14">
      <c r="E144" s="121" t="str">
        <v>(in USD$ millions, fiscal years ended December 31st)</v>
      </c>
      <c r="J144" s="121">
        <v>0</v>
      </c>
      <c r="K144" s="121">
        <v>0</v>
      </c>
      <c r="L144" s="121">
        <v>0</v>
      </c>
      <c r="M144" s="121">
        <v>0</v>
      </c>
      <c r="N144" s="121">
        <v>0</v>
      </c>
    </row>
    <row r="145" spans="5:14">
      <c r="E145" s="121" t="str">
        <v/>
      </c>
      <c r="J145" s="121" t="str">
        <v/>
      </c>
      <c r="K145" s="121" t="str">
        <v/>
      </c>
      <c r="L145" s="121" t="str">
        <v/>
      </c>
      <c r="M145" s="121" t="str">
        <v/>
      </c>
      <c r="N145" s="121" t="str">
        <v/>
      </c>
    </row>
    <row r="146" spans="5:14">
      <c r="E146" s="121" t="str">
        <v/>
      </c>
      <c r="J146" s="121" t="str">
        <v/>
      </c>
      <c r="K146" s="121" t="str">
        <v/>
      </c>
      <c r="L146" s="121" t="str">
        <v/>
      </c>
      <c r="M146" s="121" t="str">
        <v/>
      </c>
      <c r="N146" s="121" t="str">
        <v/>
      </c>
    </row>
    <row r="147" spans="5:14">
      <c r="E147" s="121" t="str">
        <v/>
      </c>
      <c r="F147" s="136">
        <f>$F$276</f>
        <v>44926</v>
      </c>
      <c r="J147" s="121" t="str">
        <v/>
      </c>
      <c r="K147" s="121" t="str">
        <v/>
      </c>
      <c r="L147" s="121" t="str">
        <v/>
      </c>
      <c r="M147" s="121" t="str">
        <v/>
      </c>
      <c r="N147" s="121" t="str">
        <v/>
      </c>
    </row>
    <row r="148" spans="5:14">
      <c r="E148" s="121" t="str">
        <v>Assets</v>
      </c>
      <c r="F148" s="121" t="str" cm="1">
        <f t="array" ref="F148:F179" xml:space="preserve"> IF( _xlfn.XLOOKUP( $E$148:$E$179, CaseData!$B$61:$B$92, CaseData!$C$61:$C$92, "", 0 ) = 0, "", _xlfn.XLOOKUP( $E$148:$E$179, CaseData!$B$61:$B$92, CaseData!$C$61:$C$92, "", 0 ) )</f>
        <v/>
      </c>
      <c r="J148" s="121">
        <v>0</v>
      </c>
      <c r="K148" s="121">
        <v>0</v>
      </c>
      <c r="L148" s="121">
        <v>0</v>
      </c>
      <c r="M148" s="121">
        <v>0</v>
      </c>
      <c r="N148" s="121">
        <v>0</v>
      </c>
    </row>
    <row r="149" spans="5:14">
      <c r="E149" s="121" t="str">
        <v>Cash and Equivalents</v>
      </c>
      <c r="F149" s="132">
        <v>6823.2724086129201</v>
      </c>
      <c r="J149" s="121">
        <v>6451.9928064354926</v>
      </c>
      <c r="K149" s="121">
        <v>6172.7907317427598</v>
      </c>
      <c r="L149" s="121">
        <v>5990.8851142617659</v>
      </c>
      <c r="M149" s="121">
        <v>5911.8450444999089</v>
      </c>
      <c r="N149" s="121">
        <v>5941.611918147004</v>
      </c>
    </row>
    <row r="150" spans="5:14">
      <c r="E150" s="121" t="str">
        <v>A/R</v>
      </c>
      <c r="F150" s="132">
        <v>420</v>
      </c>
      <c r="J150" s="121">
        <v>441</v>
      </c>
      <c r="K150" s="121">
        <v>463.04999999999995</v>
      </c>
      <c r="L150" s="121">
        <v>486.20249999999999</v>
      </c>
      <c r="M150" s="121">
        <v>510.51262500000007</v>
      </c>
      <c r="N150" s="121">
        <v>536.03825625000013</v>
      </c>
    </row>
    <row r="151" spans="5:14">
      <c r="E151" s="121" t="str">
        <v>Inventories</v>
      </c>
      <c r="F151" s="132">
        <v>472.5</v>
      </c>
      <c r="J151" s="121">
        <v>487.85625000000005</v>
      </c>
      <c r="K151" s="121">
        <v>503.56687499999992</v>
      </c>
      <c r="L151" s="121">
        <v>519.62892187499995</v>
      </c>
      <c r="M151" s="121">
        <v>536.03825625000002</v>
      </c>
      <c r="N151" s="121">
        <v>552.78945175781257</v>
      </c>
    </row>
    <row r="152" spans="5:14">
      <c r="E152" s="121" t="str">
        <v>Other current assets</v>
      </c>
      <c r="F152" s="132">
        <v>131.25</v>
      </c>
      <c r="J152" s="121">
        <v>137.8125</v>
      </c>
      <c r="K152" s="121">
        <v>144.703125</v>
      </c>
      <c r="L152" s="121">
        <v>151.93828125000002</v>
      </c>
      <c r="M152" s="121">
        <v>159.53519531250004</v>
      </c>
      <c r="N152" s="121">
        <v>167.51195507812506</v>
      </c>
    </row>
    <row r="153" spans="5:14">
      <c r="E153" s="121" t="str">
        <v>Total Current Assets</v>
      </c>
      <c r="F153" s="132">
        <v>7847.0224086129201</v>
      </c>
      <c r="J153" s="121">
        <v>7518.6615564354925</v>
      </c>
      <c r="K153" s="121">
        <v>7284.1107317427595</v>
      </c>
      <c r="L153" s="121">
        <v>7148.6548173867659</v>
      </c>
      <c r="M153" s="121">
        <v>7117.9311210624091</v>
      </c>
      <c r="N153" s="121">
        <v>7197.951581232941</v>
      </c>
    </row>
    <row r="154" spans="5:14">
      <c r="E154" s="121" t="str">
        <v/>
      </c>
      <c r="F154" s="121" t="str">
        <v/>
      </c>
      <c r="J154" s="121" t="str">
        <v/>
      </c>
      <c r="K154" s="121" t="str">
        <v/>
      </c>
      <c r="L154" s="121" t="str">
        <v/>
      </c>
      <c r="M154" s="121" t="str">
        <v/>
      </c>
      <c r="N154" s="121" t="str">
        <v/>
      </c>
    </row>
    <row r="155" spans="5:14">
      <c r="E155" s="121" t="str">
        <v>Fixed Assets</v>
      </c>
      <c r="F155" s="132">
        <v>15750</v>
      </c>
      <c r="J155" s="121">
        <v>15832.6875</v>
      </c>
      <c r="K155" s="121">
        <v>15919.509375000001</v>
      </c>
      <c r="L155" s="121">
        <v>16010.67234375</v>
      </c>
      <c r="M155" s="121">
        <v>16106.393460937501</v>
      </c>
      <c r="N155" s="121">
        <v>16206.900633984376</v>
      </c>
    </row>
    <row r="156" spans="5:14">
      <c r="E156" s="121" t="str">
        <v>Other LT assets</v>
      </c>
      <c r="F156" s="132">
        <v>6</v>
      </c>
      <c r="J156" s="121">
        <v>6</v>
      </c>
      <c r="K156" s="121">
        <v>6</v>
      </c>
      <c r="L156" s="121">
        <v>6</v>
      </c>
      <c r="M156" s="121">
        <v>6</v>
      </c>
      <c r="N156" s="121">
        <v>6</v>
      </c>
    </row>
    <row r="157" spans="5:14">
      <c r="E157" s="121" t="str">
        <v>Total Long-Term Assets</v>
      </c>
      <c r="F157" s="132">
        <v>15756</v>
      </c>
      <c r="J157" s="121">
        <v>15838.6875</v>
      </c>
      <c r="K157" s="121">
        <v>15925.509375000001</v>
      </c>
      <c r="L157" s="121">
        <v>16016.67234375</v>
      </c>
      <c r="M157" s="121">
        <v>16112.393460937501</v>
      </c>
      <c r="N157" s="121">
        <v>16212.900633984376</v>
      </c>
    </row>
    <row r="158" spans="5:14">
      <c r="E158" s="121" t="str">
        <v/>
      </c>
      <c r="F158" s="121" t="str">
        <v/>
      </c>
      <c r="J158" s="121" t="str">
        <v/>
      </c>
      <c r="K158" s="121" t="str">
        <v/>
      </c>
      <c r="L158" s="121" t="str">
        <v/>
      </c>
      <c r="M158" s="121" t="str">
        <v/>
      </c>
      <c r="N158" s="121" t="str">
        <v/>
      </c>
    </row>
    <row r="159" spans="5:14">
      <c r="E159" s="121" t="str">
        <v>Total Assets</v>
      </c>
      <c r="F159" s="132">
        <v>23603.02240861292</v>
      </c>
      <c r="J159" s="121">
        <v>23357.349056435494</v>
      </c>
      <c r="K159" s="121">
        <v>23209.620106742761</v>
      </c>
      <c r="L159" s="121">
        <v>23165.327161136767</v>
      </c>
      <c r="M159" s="121">
        <v>23230.32458199991</v>
      </c>
      <c r="N159" s="121">
        <v>23410.852215217317</v>
      </c>
    </row>
    <row r="160" spans="5:14">
      <c r="E160" s="121" t="str">
        <v/>
      </c>
      <c r="F160" s="121" t="str">
        <v/>
      </c>
      <c r="J160" s="121" t="str">
        <v/>
      </c>
      <c r="K160" s="121" t="str">
        <v/>
      </c>
      <c r="L160" s="121" t="str">
        <v/>
      </c>
      <c r="M160" s="121" t="str">
        <v/>
      </c>
      <c r="N160" s="121" t="str">
        <v/>
      </c>
    </row>
    <row r="161" spans="5:14">
      <c r="E161" s="121" t="str">
        <v>Liabilities</v>
      </c>
      <c r="F161" s="121" t="str">
        <v/>
      </c>
      <c r="J161" s="121">
        <v>0</v>
      </c>
      <c r="K161" s="121">
        <v>0</v>
      </c>
      <c r="L161" s="121">
        <v>0</v>
      </c>
      <c r="M161" s="121">
        <v>0</v>
      </c>
      <c r="N161" s="121">
        <v>0</v>
      </c>
    </row>
    <row r="162" spans="5:14">
      <c r="E162" s="121" t="str">
        <v>A/P</v>
      </c>
      <c r="F162" s="132">
        <v>283.5</v>
      </c>
      <c r="J162" s="121">
        <v>292.71375</v>
      </c>
      <c r="K162" s="121">
        <v>302.14012499999995</v>
      </c>
      <c r="L162" s="121">
        <v>311.77735312499999</v>
      </c>
      <c r="M162" s="121">
        <v>321.62295374999997</v>
      </c>
      <c r="N162" s="121">
        <v>331.67367105468759</v>
      </c>
    </row>
    <row r="163" spans="5:14">
      <c r="E163" s="121" t="str">
        <v>Long-Term Debt Due within One Year</v>
      </c>
      <c r="F163" s="132">
        <v>750</v>
      </c>
      <c r="J163" s="121">
        <v>750</v>
      </c>
      <c r="K163" s="121">
        <v>750</v>
      </c>
      <c r="L163" s="121">
        <v>750</v>
      </c>
      <c r="M163" s="121">
        <v>750</v>
      </c>
      <c r="N163" s="121">
        <v>750</v>
      </c>
    </row>
    <row r="164" spans="5:14">
      <c r="E164" s="121" t="str">
        <v>Other current liabilities</v>
      </c>
      <c r="F164" s="132">
        <v>0.44999999999999996</v>
      </c>
      <c r="J164" s="121">
        <v>0.44999999999999996</v>
      </c>
      <c r="K164" s="121">
        <v>0.44999999999999996</v>
      </c>
      <c r="L164" s="121">
        <v>0.44999999999999996</v>
      </c>
      <c r="M164" s="121">
        <v>0.44999999999999996</v>
      </c>
      <c r="N164" s="121">
        <v>0.44999999999999996</v>
      </c>
    </row>
    <row r="165" spans="5:14">
      <c r="E165" s="121" t="str">
        <v>Total Current Liabilities</v>
      </c>
      <c r="F165" s="132">
        <v>1033.95</v>
      </c>
      <c r="J165" s="121">
        <v>1043.1637499999999</v>
      </c>
      <c r="K165" s="121">
        <v>1052.5901249999999</v>
      </c>
      <c r="L165" s="121">
        <v>1062.227353125</v>
      </c>
      <c r="M165" s="121">
        <v>1072.0729537499999</v>
      </c>
      <c r="N165" s="121">
        <v>1082.1236710546875</v>
      </c>
    </row>
    <row r="166" spans="5:14">
      <c r="E166" s="121" t="str">
        <v/>
      </c>
      <c r="F166" s="121" t="str">
        <v/>
      </c>
      <c r="J166" s="121" t="str">
        <v/>
      </c>
      <c r="K166" s="121" t="str">
        <v/>
      </c>
      <c r="L166" s="121" t="str">
        <v/>
      </c>
      <c r="M166" s="121" t="str">
        <v/>
      </c>
      <c r="N166" s="121" t="str">
        <v/>
      </c>
    </row>
    <row r="167" spans="5:14">
      <c r="E167" s="121" t="str">
        <v>Long-Term Debt</v>
      </c>
      <c r="F167" s="132">
        <v>5250</v>
      </c>
      <c r="J167" s="121">
        <v>4500</v>
      </c>
      <c r="K167" s="121">
        <v>3750</v>
      </c>
      <c r="L167" s="121">
        <v>3000</v>
      </c>
      <c r="M167" s="121">
        <v>2250</v>
      </c>
      <c r="N167" s="121">
        <v>1500</v>
      </c>
    </row>
    <row r="168" spans="5:14">
      <c r="E168" s="121" t="str">
        <v>Other LT liabilities</v>
      </c>
      <c r="F168" s="132">
        <v>1.6500000000000001</v>
      </c>
      <c r="J168" s="121">
        <v>1.6500000000000001</v>
      </c>
      <c r="K168" s="121">
        <v>1.6500000000000001</v>
      </c>
      <c r="L168" s="121">
        <v>1.6500000000000001</v>
      </c>
      <c r="M168" s="121">
        <v>1.6500000000000001</v>
      </c>
      <c r="N168" s="121">
        <v>1.6500000000000001</v>
      </c>
    </row>
    <row r="169" spans="5:14">
      <c r="E169" s="121" t="str">
        <v>Total Long-term Liabilities</v>
      </c>
      <c r="F169" s="132">
        <v>5251.65</v>
      </c>
      <c r="J169" s="121">
        <v>4501.6499999999996</v>
      </c>
      <c r="K169" s="121">
        <v>3751.65</v>
      </c>
      <c r="L169" s="121">
        <v>3001.65</v>
      </c>
      <c r="M169" s="121">
        <v>2251.65</v>
      </c>
      <c r="N169" s="121">
        <v>1501.65</v>
      </c>
    </row>
    <row r="170" spans="5:14">
      <c r="E170" s="121" t="str">
        <v/>
      </c>
      <c r="F170" s="121" t="str">
        <v/>
      </c>
      <c r="J170" s="121" t="str">
        <v/>
      </c>
      <c r="K170" s="121" t="str">
        <v/>
      </c>
      <c r="L170" s="121" t="str">
        <v/>
      </c>
      <c r="M170" s="121" t="str">
        <v/>
      </c>
      <c r="N170" s="121" t="str">
        <v/>
      </c>
    </row>
    <row r="171" spans="5:14">
      <c r="E171" s="121" t="str">
        <v>Total Liabilities</v>
      </c>
      <c r="F171" s="132">
        <v>6285.5999999999995</v>
      </c>
      <c r="J171" s="121">
        <v>5544.8137499999993</v>
      </c>
      <c r="K171" s="121">
        <v>4804.2401250000003</v>
      </c>
      <c r="L171" s="121">
        <v>4063.8773531249999</v>
      </c>
      <c r="M171" s="121">
        <v>3323.7229537499998</v>
      </c>
      <c r="N171" s="121">
        <v>2583.7736710546878</v>
      </c>
    </row>
    <row r="172" spans="5:14">
      <c r="E172" s="121" t="str">
        <v/>
      </c>
      <c r="F172" s="121" t="str">
        <v/>
      </c>
      <c r="J172" s="121" t="str">
        <v/>
      </c>
      <c r="K172" s="121" t="str">
        <v/>
      </c>
      <c r="L172" s="121" t="str">
        <v/>
      </c>
      <c r="M172" s="121" t="str">
        <v/>
      </c>
      <c r="N172" s="121" t="str">
        <v/>
      </c>
    </row>
    <row r="173" spans="5:14">
      <c r="E173" s="121" t="str">
        <v>Shareholders' Equity</v>
      </c>
      <c r="F173" s="121" t="str">
        <v/>
      </c>
      <c r="J173" s="121">
        <v>0</v>
      </c>
      <c r="K173" s="121">
        <v>0</v>
      </c>
      <c r="L173" s="121">
        <v>0</v>
      </c>
      <c r="M173" s="121">
        <v>0</v>
      </c>
      <c r="N173" s="121">
        <v>0</v>
      </c>
    </row>
    <row r="174" spans="5:14">
      <c r="E174" s="121" t="str">
        <v>Common Shares</v>
      </c>
      <c r="F174" s="132">
        <v>5550</v>
      </c>
      <c r="J174" s="121">
        <v>5550</v>
      </c>
      <c r="K174" s="121">
        <v>5550</v>
      </c>
      <c r="L174" s="121">
        <v>5550</v>
      </c>
      <c r="M174" s="121">
        <v>5550</v>
      </c>
      <c r="N174" s="121">
        <v>5550</v>
      </c>
    </row>
    <row r="175" spans="5:14">
      <c r="E175" s="121" t="str">
        <v>Retained Earnings</v>
      </c>
      <c r="F175" s="132">
        <v>11767.422408612922</v>
      </c>
      <c r="J175" s="121">
        <v>12262.535306435493</v>
      </c>
      <c r="K175" s="121">
        <v>12855.379981742761</v>
      </c>
      <c r="L175" s="121">
        <v>13551.44980801177</v>
      </c>
      <c r="M175" s="121">
        <v>14356.601628249915</v>
      </c>
      <c r="N175" s="121">
        <v>15277.078544162636</v>
      </c>
    </row>
    <row r="176" spans="5:14">
      <c r="E176" s="121" t="str">
        <v>Total Shareholders' Equity</v>
      </c>
      <c r="F176" s="132">
        <v>17317.422408612922</v>
      </c>
      <c r="J176" s="121">
        <v>17812.535306435493</v>
      </c>
      <c r="K176" s="121">
        <v>18405.379981742761</v>
      </c>
      <c r="L176" s="121">
        <v>19101.44980801177</v>
      </c>
      <c r="M176" s="121">
        <v>19906.601628249915</v>
      </c>
      <c r="N176" s="121">
        <v>20827.078544162636</v>
      </c>
    </row>
    <row r="177" spans="1:14">
      <c r="E177" s="121" t="str">
        <v/>
      </c>
      <c r="F177" s="121" t="str">
        <v/>
      </c>
      <c r="J177" s="121" t="str">
        <v/>
      </c>
      <c r="K177" s="121" t="str">
        <v/>
      </c>
      <c r="L177" s="121" t="str">
        <v/>
      </c>
      <c r="M177" s="121" t="str">
        <v/>
      </c>
      <c r="N177" s="121" t="str">
        <v/>
      </c>
    </row>
    <row r="178" spans="1:14">
      <c r="E178" s="121" t="str">
        <v>Total Liabilities &amp; Shareholders' Equity</v>
      </c>
      <c r="F178" s="132">
        <v>23603.02240861292</v>
      </c>
      <c r="J178" s="121">
        <v>23357.349056435494</v>
      </c>
      <c r="K178" s="121">
        <v>23209.620106742761</v>
      </c>
      <c r="L178" s="121">
        <v>23165.327161136771</v>
      </c>
      <c r="M178" s="121">
        <v>23230.324581999914</v>
      </c>
      <c r="N178" s="121">
        <v>23410.852215217325</v>
      </c>
    </row>
    <row r="179" spans="1:14">
      <c r="E179" s="121" t="str">
        <v>Check</v>
      </c>
      <c r="F179" s="121" t="str">
        <v/>
      </c>
      <c r="J179" s="121">
        <v>0</v>
      </c>
      <c r="K179" s="121">
        <v>0</v>
      </c>
      <c r="L179" s="121">
        <v>0</v>
      </c>
      <c r="M179" s="121">
        <v>0</v>
      </c>
      <c r="N179" s="121">
        <v>0</v>
      </c>
    </row>
    <row r="181" spans="1:14" s="122" customFormat="1" ht="15">
      <c r="A181" s="123" t="s">
        <v>55</v>
      </c>
    </row>
    <row r="183" spans="1:14">
      <c r="E183" s="121" t="str" cm="1">
        <f t="array" ref="E183:E265" xml:space="preserve"> IF( INDEX( CaseData!$B$99:$B$181, 0, 1 ) = 0, "", INDEX( CaseData!$B$99:$B$181, 0, 1 ) )</f>
        <v>Income statement</v>
      </c>
      <c r="J183" s="121" cm="1">
        <f t="array" ref="J183:N265" xml:space="preserve"> _xlfn.IFNA( INDEX( CaseData!$C$99:$H$181, MATCH(_xlfn.ANCHORARRAY( Acquisition!E183), CaseData!$B$99:$B$181, 0 ), MATCH( Acquisition!$J$3:$N$3, CaseData!$C$148:$H$148, 0 ) ), "" )</f>
        <v>0</v>
      </c>
      <c r="K183" s="121">
        <v>0</v>
      </c>
      <c r="L183" s="121">
        <v>0</v>
      </c>
      <c r="M183" s="121">
        <v>0</v>
      </c>
      <c r="N183" s="121">
        <v>0</v>
      </c>
    </row>
    <row r="184" spans="1:14">
      <c r="E184" s="121" t="str">
        <v>(in USD$ millions, fiscal years ended December 31st)</v>
      </c>
      <c r="J184" s="121">
        <v>0</v>
      </c>
      <c r="K184" s="121">
        <v>0</v>
      </c>
      <c r="L184" s="121">
        <v>0</v>
      </c>
      <c r="M184" s="121">
        <v>0</v>
      </c>
      <c r="N184" s="121">
        <v>0</v>
      </c>
    </row>
    <row r="185" spans="1:14">
      <c r="E185" s="121" t="str">
        <v/>
      </c>
      <c r="J185" s="121" t="str">
        <v/>
      </c>
      <c r="K185" s="121" t="str">
        <v/>
      </c>
      <c r="L185" s="121" t="str">
        <v/>
      </c>
      <c r="M185" s="121" t="str">
        <v/>
      </c>
      <c r="N185" s="121" t="str">
        <v/>
      </c>
    </row>
    <row r="186" spans="1:14">
      <c r="E186" s="121" t="str">
        <v/>
      </c>
      <c r="J186" s="121" t="str">
        <v/>
      </c>
      <c r="K186" s="121" t="str">
        <v/>
      </c>
      <c r="L186" s="121" t="str">
        <v/>
      </c>
      <c r="M186" s="121" t="str">
        <v/>
      </c>
      <c r="N186" s="121" t="str">
        <v/>
      </c>
    </row>
    <row r="187" spans="1:14">
      <c r="E187" s="121" t="str">
        <v/>
      </c>
      <c r="J187" s="121" t="str">
        <v/>
      </c>
      <c r="K187" s="121" t="str">
        <v/>
      </c>
      <c r="L187" s="121" t="str">
        <v/>
      </c>
      <c r="M187" s="121" t="str">
        <v/>
      </c>
      <c r="N187" s="121" t="str">
        <v/>
      </c>
    </row>
    <row r="188" spans="1:14">
      <c r="E188" s="121" t="str">
        <v>Revenue</v>
      </c>
      <c r="J188" s="121">
        <v>2271.4285714285716</v>
      </c>
      <c r="K188" s="121">
        <v>2407.7142857142862</v>
      </c>
      <c r="L188" s="121">
        <v>2552.1771428571433</v>
      </c>
      <c r="M188" s="121">
        <v>2705.3077714285719</v>
      </c>
      <c r="N188" s="121">
        <v>2867.6262377142866</v>
      </c>
    </row>
    <row r="189" spans="1:14">
      <c r="E189" s="121" t="str">
        <v>Less: COGS</v>
      </c>
      <c r="J189" s="121">
        <v>-1294.714285714286</v>
      </c>
      <c r="K189" s="121">
        <v>-1348.3200000000004</v>
      </c>
      <c r="L189" s="121">
        <v>-1403.6974285714289</v>
      </c>
      <c r="M189" s="121">
        <v>-1460.8661965714291</v>
      </c>
      <c r="N189" s="121">
        <v>-1519.8419059885719</v>
      </c>
    </row>
    <row r="190" spans="1:14">
      <c r="E190" s="121" t="str">
        <v>Gross Profit</v>
      </c>
      <c r="J190" s="121">
        <v>976.71428571428555</v>
      </c>
      <c r="K190" s="121">
        <v>1059.3942857142858</v>
      </c>
      <c r="L190" s="121">
        <v>1148.4797142857144</v>
      </c>
      <c r="M190" s="121">
        <v>1244.4415748571428</v>
      </c>
      <c r="N190" s="121">
        <v>1347.7843317257148</v>
      </c>
    </row>
    <row r="191" spans="1:14">
      <c r="E191" s="121" t="str">
        <v>Less: SG&amp;A</v>
      </c>
      <c r="J191" s="121">
        <v>-90.857142857142861</v>
      </c>
      <c r="K191" s="121">
        <v>-96.30857142857144</v>
      </c>
      <c r="L191" s="121">
        <v>-102.08708571428573</v>
      </c>
      <c r="M191" s="121">
        <v>-108.21231085714288</v>
      </c>
      <c r="N191" s="121">
        <v>-114.70504950857145</v>
      </c>
    </row>
    <row r="192" spans="1:14">
      <c r="E192" s="121" t="str">
        <v>EBITDA</v>
      </c>
      <c r="J192" s="121">
        <v>885.85714285714266</v>
      </c>
      <c r="K192" s="121">
        <v>963.0857142857144</v>
      </c>
      <c r="L192" s="121">
        <v>1046.3926285714288</v>
      </c>
      <c r="M192" s="121">
        <v>1136.2292639999998</v>
      </c>
      <c r="N192" s="121">
        <v>1233.0792822171434</v>
      </c>
    </row>
    <row r="193" spans="5:14">
      <c r="E193" s="121" t="str">
        <v>Less: Depreciation</v>
      </c>
      <c r="J193" s="121">
        <v>-329.35714285714289</v>
      </c>
      <c r="K193" s="121">
        <v>-349.11857142857144</v>
      </c>
      <c r="L193" s="121">
        <v>-370.06568571428573</v>
      </c>
      <c r="M193" s="121">
        <v>-392.26962685714295</v>
      </c>
      <c r="N193" s="121">
        <v>-415.80580446857152</v>
      </c>
    </row>
    <row r="194" spans="5:14">
      <c r="E194" s="121" t="str">
        <v>EBIT</v>
      </c>
      <c r="J194" s="121">
        <v>556.49999999999977</v>
      </c>
      <c r="K194" s="121">
        <v>613.96714285714302</v>
      </c>
      <c r="L194" s="121">
        <v>676.32694285714297</v>
      </c>
      <c r="M194" s="121">
        <v>743.95963714285688</v>
      </c>
      <c r="N194" s="121">
        <v>817.27347774857185</v>
      </c>
    </row>
    <row r="195" spans="5:14">
      <c r="E195" s="121" t="str">
        <v>Add/(Less): Net Interest Income/(Expense)</v>
      </c>
      <c r="J195" s="121">
        <v>-160.94891488804075</v>
      </c>
      <c r="K195" s="121">
        <v>-139.03089656611809</v>
      </c>
      <c r="L195" s="121">
        <v>-116.90694155820489</v>
      </c>
      <c r="M195" s="121">
        <v>-94.563646056093745</v>
      </c>
      <c r="N195" s="121">
        <v>-71.986556748901279</v>
      </c>
    </row>
    <row r="196" spans="5:14">
      <c r="E196" s="121" t="str">
        <v>EBT</v>
      </c>
      <c r="J196" s="121">
        <v>395.55108511195903</v>
      </c>
      <c r="K196" s="121">
        <v>474.93624629102493</v>
      </c>
      <c r="L196" s="121">
        <v>559.42000129893813</v>
      </c>
      <c r="M196" s="121">
        <v>649.39599108676316</v>
      </c>
      <c r="N196" s="121">
        <v>745.28692099967054</v>
      </c>
    </row>
    <row r="197" spans="5:14">
      <c r="E197" s="121" t="str">
        <v>Less: Taxes</v>
      </c>
      <c r="J197" s="121">
        <v>-90.976749575750617</v>
      </c>
      <c r="K197" s="121">
        <v>-109.23533664693571</v>
      </c>
      <c r="L197" s="121">
        <v>-128.6666002987557</v>
      </c>
      <c r="M197" s="121">
        <v>-149.36107794995561</v>
      </c>
      <c r="N197" s="121">
        <v>-171.41599182992417</v>
      </c>
    </row>
    <row r="198" spans="5:14">
      <c r="E198" s="121" t="str">
        <v>Net Income</v>
      </c>
      <c r="J198" s="121">
        <v>304.57433553620842</v>
      </c>
      <c r="K198" s="121">
        <v>365.70090964408922</v>
      </c>
      <c r="L198" s="121">
        <v>430.75340100018241</v>
      </c>
      <c r="M198" s="121">
        <v>500.03491313680752</v>
      </c>
      <c r="N198" s="121">
        <v>573.87092916974643</v>
      </c>
    </row>
    <row r="199" spans="5:14">
      <c r="E199" s="121" t="str">
        <v/>
      </c>
      <c r="J199" s="121" t="str">
        <v/>
      </c>
      <c r="K199" s="121" t="str">
        <v/>
      </c>
      <c r="L199" s="121" t="str">
        <v/>
      </c>
      <c r="M199" s="121" t="str">
        <v/>
      </c>
      <c r="N199" s="121" t="str">
        <v/>
      </c>
    </row>
    <row r="200" spans="5:14">
      <c r="E200" s="121" t="str">
        <v/>
      </c>
      <c r="J200" s="121" t="str">
        <v/>
      </c>
      <c r="K200" s="121" t="str">
        <v/>
      </c>
      <c r="L200" s="121" t="str">
        <v/>
      </c>
      <c r="M200" s="121" t="str">
        <v/>
      </c>
      <c r="N200" s="121" t="str">
        <v/>
      </c>
    </row>
    <row r="201" spans="5:14">
      <c r="E201" s="121" t="str">
        <v/>
      </c>
      <c r="J201" s="121" t="str">
        <v/>
      </c>
      <c r="K201" s="121" t="str">
        <v/>
      </c>
      <c r="L201" s="121" t="str">
        <v/>
      </c>
      <c r="M201" s="121" t="str">
        <v/>
      </c>
      <c r="N201" s="121" t="str">
        <v/>
      </c>
    </row>
    <row r="202" spans="5:14">
      <c r="E202" s="121" t="str">
        <v>Cash Flow Statement</v>
      </c>
      <c r="J202" s="121">
        <v>0</v>
      </c>
      <c r="K202" s="121">
        <v>0</v>
      </c>
      <c r="L202" s="121">
        <v>0</v>
      </c>
      <c r="M202" s="121">
        <v>0</v>
      </c>
      <c r="N202" s="121">
        <v>0</v>
      </c>
    </row>
    <row r="203" spans="5:14">
      <c r="E203" s="121" t="str">
        <v>(in USD$ millions, fiscal years ended December 31st)</v>
      </c>
      <c r="J203" s="121">
        <v>0</v>
      </c>
      <c r="K203" s="121">
        <v>0</v>
      </c>
      <c r="L203" s="121">
        <v>0</v>
      </c>
      <c r="M203" s="121">
        <v>0</v>
      </c>
      <c r="N203" s="121">
        <v>0</v>
      </c>
    </row>
    <row r="204" spans="5:14">
      <c r="E204" s="121" t="str">
        <v/>
      </c>
      <c r="J204" s="121" t="str">
        <v/>
      </c>
      <c r="K204" s="121" t="str">
        <v/>
      </c>
      <c r="L204" s="121" t="str">
        <v/>
      </c>
      <c r="M204" s="121" t="str">
        <v/>
      </c>
      <c r="N204" s="121" t="str">
        <v/>
      </c>
    </row>
    <row r="205" spans="5:14">
      <c r="E205" s="121" t="str">
        <v/>
      </c>
      <c r="J205" s="121" t="str">
        <v/>
      </c>
      <c r="K205" s="121" t="str">
        <v/>
      </c>
      <c r="L205" s="121" t="str">
        <v/>
      </c>
      <c r="M205" s="121" t="str">
        <v/>
      </c>
      <c r="N205" s="121" t="str">
        <v/>
      </c>
    </row>
    <row r="206" spans="5:14">
      <c r="E206" s="121" t="str">
        <v/>
      </c>
      <c r="J206" s="121" t="str">
        <v/>
      </c>
      <c r="K206" s="121" t="str">
        <v/>
      </c>
      <c r="L206" s="121" t="str">
        <v/>
      </c>
      <c r="M206" s="121" t="str">
        <v/>
      </c>
      <c r="N206" s="121" t="str">
        <v/>
      </c>
    </row>
    <row r="207" spans="5:14">
      <c r="E207" s="121" t="str">
        <v>Cash Flow from Operations</v>
      </c>
      <c r="J207" s="121">
        <v>0</v>
      </c>
      <c r="K207" s="121">
        <v>0</v>
      </c>
      <c r="L207" s="121">
        <v>0</v>
      </c>
      <c r="M207" s="121">
        <v>0</v>
      </c>
      <c r="N207" s="121">
        <v>0</v>
      </c>
    </row>
    <row r="208" spans="5:14">
      <c r="E208" s="121" t="str">
        <v>Net Income</v>
      </c>
      <c r="J208" s="121">
        <v>304.57433553620842</v>
      </c>
      <c r="K208" s="121">
        <v>365.70090964408922</v>
      </c>
      <c r="L208" s="121">
        <v>430.75340100018241</v>
      </c>
      <c r="M208" s="121">
        <v>500.03491313680752</v>
      </c>
      <c r="N208" s="121">
        <v>573.87092916974643</v>
      </c>
    </row>
    <row r="209" spans="5:14">
      <c r="E209" s="121" t="str">
        <v>Add: Depreciation</v>
      </c>
      <c r="J209" s="121">
        <v>329.35714285714289</v>
      </c>
      <c r="K209" s="121">
        <v>349.11857142857144</v>
      </c>
      <c r="L209" s="121">
        <v>370.06568571428573</v>
      </c>
      <c r="M209" s="121">
        <v>392.26962685714295</v>
      </c>
      <c r="N209" s="121">
        <v>415.80580446857152</v>
      </c>
    </row>
    <row r="210" spans="5:14">
      <c r="E210" s="121" t="str">
        <v>Add/(Less): Change in W/C</v>
      </c>
      <c r="J210" s="121">
        <v>-16.611428571428604</v>
      </c>
      <c r="K210" s="121">
        <v>-17.52634285714278</v>
      </c>
      <c r="L210" s="121">
        <v>-18.491245714285753</v>
      </c>
      <c r="M210" s="121">
        <v>-19.508842080000065</v>
      </c>
      <c r="N210" s="121">
        <v>-20.581981525028581</v>
      </c>
    </row>
    <row r="211" spans="5:14">
      <c r="E211" s="121" t="str">
        <v>Cash Flow from Operations</v>
      </c>
      <c r="J211" s="121">
        <v>0</v>
      </c>
      <c r="K211" s="121">
        <v>0</v>
      </c>
      <c r="L211" s="121">
        <v>0</v>
      </c>
      <c r="M211" s="121">
        <v>0</v>
      </c>
      <c r="N211" s="121">
        <v>0</v>
      </c>
    </row>
    <row r="212" spans="5:14">
      <c r="E212" s="121" t="str">
        <v/>
      </c>
      <c r="J212" s="121" t="str">
        <v/>
      </c>
      <c r="K212" s="121" t="str">
        <v/>
      </c>
      <c r="L212" s="121" t="str">
        <v/>
      </c>
      <c r="M212" s="121" t="str">
        <v/>
      </c>
      <c r="N212" s="121" t="str">
        <v/>
      </c>
    </row>
    <row r="213" spans="5:14">
      <c r="E213" s="121" t="str">
        <v>Cash Flow from Investing Activities</v>
      </c>
      <c r="J213" s="121">
        <v>0</v>
      </c>
      <c r="K213" s="121">
        <v>0</v>
      </c>
      <c r="L213" s="121">
        <v>0</v>
      </c>
      <c r="M213" s="121">
        <v>0</v>
      </c>
      <c r="N213" s="121">
        <v>0</v>
      </c>
    </row>
    <row r="214" spans="5:14">
      <c r="E214" s="121" t="str">
        <v>Less: Capex</v>
      </c>
      <c r="J214" s="121">
        <v>-362.2928571428572</v>
      </c>
      <c r="K214" s="121">
        <v>-384.03042857142862</v>
      </c>
      <c r="L214" s="121">
        <v>-407.07225428571434</v>
      </c>
      <c r="M214" s="121">
        <v>-431.49658954285724</v>
      </c>
      <c r="N214" s="121">
        <v>-457.38638491542872</v>
      </c>
    </row>
    <row r="215" spans="5:14">
      <c r="E215" s="121" t="str">
        <v>Cash Flow from Investing Activities</v>
      </c>
      <c r="J215" s="121">
        <v>0</v>
      </c>
      <c r="K215" s="121">
        <v>0</v>
      </c>
      <c r="L215" s="121">
        <v>0</v>
      </c>
      <c r="M215" s="121">
        <v>0</v>
      </c>
      <c r="N215" s="121">
        <v>0</v>
      </c>
    </row>
    <row r="216" spans="5:14">
      <c r="E216" s="121" t="str">
        <v/>
      </c>
      <c r="J216" s="121" t="str">
        <v/>
      </c>
      <c r="K216" s="121" t="str">
        <v/>
      </c>
      <c r="L216" s="121" t="str">
        <v/>
      </c>
      <c r="M216" s="121" t="str">
        <v/>
      </c>
      <c r="N216" s="121" t="str">
        <v/>
      </c>
    </row>
    <row r="217" spans="5:14">
      <c r="E217" s="121" t="str">
        <v>Cash Flow from Financing Activities</v>
      </c>
      <c r="J217" s="121">
        <v>0</v>
      </c>
      <c r="K217" s="121">
        <v>0</v>
      </c>
      <c r="L217" s="121">
        <v>0</v>
      </c>
      <c r="M217" s="121">
        <v>0</v>
      </c>
      <c r="N217" s="121">
        <v>0</v>
      </c>
    </row>
    <row r="218" spans="5:14">
      <c r="E218" s="121" t="str">
        <v>Add/(Less): Issuance/(Repayment) of Debt</v>
      </c>
      <c r="J218" s="121">
        <v>-300</v>
      </c>
      <c r="K218" s="121">
        <v>-300</v>
      </c>
      <c r="L218" s="121">
        <v>-300</v>
      </c>
      <c r="M218" s="121">
        <v>-300</v>
      </c>
      <c r="N218" s="121">
        <v>-300</v>
      </c>
    </row>
    <row r="219" spans="5:14">
      <c r="E219" s="121" t="str">
        <v>Add/(Less): Issuance/(Repayment) of Common Shares</v>
      </c>
      <c r="J219" s="121">
        <v>0</v>
      </c>
      <c r="K219" s="121">
        <v>0</v>
      </c>
      <c r="L219" s="121">
        <v>0</v>
      </c>
      <c r="M219" s="121">
        <v>0</v>
      </c>
      <c r="N219" s="121">
        <v>0</v>
      </c>
    </row>
    <row r="220" spans="5:14">
      <c r="E220" s="121" t="str">
        <v>Less: Dividends</v>
      </c>
      <c r="J220" s="121">
        <v>-91.372300660862578</v>
      </c>
      <c r="K220" s="121">
        <v>-109.71027289322672</v>
      </c>
      <c r="L220" s="121">
        <v>-129.22602030005464</v>
      </c>
      <c r="M220" s="121">
        <v>-150.01047394104236</v>
      </c>
      <c r="N220" s="121">
        <v>-172.16127875092383</v>
      </c>
    </row>
    <row r="221" spans="5:14">
      <c r="E221" s="121" t="str">
        <v>Cash Flow from Financing Activities</v>
      </c>
      <c r="J221" s="121">
        <v>0</v>
      </c>
      <c r="K221" s="121">
        <v>0</v>
      </c>
      <c r="L221" s="121">
        <v>0</v>
      </c>
      <c r="M221" s="121">
        <v>0</v>
      </c>
      <c r="N221" s="121">
        <v>0</v>
      </c>
    </row>
    <row r="222" spans="5:14">
      <c r="E222" s="121" t="str">
        <v/>
      </c>
      <c r="J222" s="121" t="str">
        <v/>
      </c>
      <c r="K222" s="121" t="str">
        <v/>
      </c>
      <c r="L222" s="121" t="str">
        <v/>
      </c>
      <c r="M222" s="121" t="str">
        <v/>
      </c>
      <c r="N222" s="121" t="str">
        <v/>
      </c>
    </row>
    <row r="223" spans="5:14">
      <c r="E223" s="121" t="str">
        <v>Beginning Cash &amp; Equivalents</v>
      </c>
      <c r="J223" s="121">
        <v>1628.3895763827472</v>
      </c>
      <c r="K223" s="121">
        <v>1492.0444684009501</v>
      </c>
      <c r="L223" s="121">
        <v>1395.5969051518127</v>
      </c>
      <c r="M223" s="121">
        <v>1341.6264715662262</v>
      </c>
      <c r="N223" s="121">
        <v>1332.9151059962769</v>
      </c>
    </row>
    <row r="224" spans="5:14">
      <c r="E224" s="121" t="str">
        <v>Change in Cash &amp; Equivalents</v>
      </c>
      <c r="J224" s="121">
        <v>-136.34510798179713</v>
      </c>
      <c r="K224" s="121">
        <v>-96.447563249137488</v>
      </c>
      <c r="L224" s="121">
        <v>-53.970433585586591</v>
      </c>
      <c r="M224" s="121">
        <v>-8.7113655699491801</v>
      </c>
      <c r="N224" s="121">
        <v>39.547088446936812</v>
      </c>
    </row>
    <row r="225" spans="5:14">
      <c r="E225" s="121" t="str">
        <v>Ending Cash &amp; Equivalents</v>
      </c>
      <c r="J225" s="121">
        <v>1492.0444684009501</v>
      </c>
      <c r="K225" s="121">
        <v>1395.5969051518127</v>
      </c>
      <c r="L225" s="121">
        <v>1341.6264715662262</v>
      </c>
      <c r="M225" s="121">
        <v>1332.9151059962769</v>
      </c>
      <c r="N225" s="121">
        <v>1372.4621944432138</v>
      </c>
    </row>
    <row r="226" spans="5:14">
      <c r="E226" s="121" t="str">
        <v/>
      </c>
      <c r="J226" s="121" t="str">
        <v/>
      </c>
      <c r="K226" s="121" t="str">
        <v/>
      </c>
      <c r="L226" s="121" t="str">
        <v/>
      </c>
      <c r="M226" s="121" t="str">
        <v/>
      </c>
      <c r="N226" s="121" t="str">
        <v/>
      </c>
    </row>
    <row r="227" spans="5:14">
      <c r="E227" s="121" t="str">
        <v/>
      </c>
      <c r="J227" s="121" t="str">
        <v/>
      </c>
      <c r="K227" s="121" t="str">
        <v/>
      </c>
      <c r="L227" s="121" t="str">
        <v/>
      </c>
      <c r="M227" s="121" t="str">
        <v/>
      </c>
      <c r="N227" s="121" t="str">
        <v/>
      </c>
    </row>
    <row r="228" spans="5:14">
      <c r="E228" s="121" t="str">
        <v/>
      </c>
      <c r="J228" s="121" t="str">
        <v/>
      </c>
      <c r="K228" s="121" t="str">
        <v/>
      </c>
      <c r="L228" s="121" t="str">
        <v/>
      </c>
      <c r="M228" s="121" t="str">
        <v/>
      </c>
      <c r="N228" s="121" t="str">
        <v/>
      </c>
    </row>
    <row r="229" spans="5:14">
      <c r="E229" s="121" t="str">
        <v>Balance Sheet</v>
      </c>
      <c r="J229" s="121">
        <v>0</v>
      </c>
      <c r="K229" s="121">
        <v>0</v>
      </c>
      <c r="L229" s="121">
        <v>0</v>
      </c>
      <c r="M229" s="121">
        <v>0</v>
      </c>
      <c r="N229" s="121">
        <v>0</v>
      </c>
    </row>
    <row r="230" spans="5:14">
      <c r="E230" s="121" t="str">
        <v>(in USD$ millions, fiscal years ended December 31st)</v>
      </c>
      <c r="J230" s="121">
        <v>0</v>
      </c>
      <c r="K230" s="121">
        <v>0</v>
      </c>
      <c r="L230" s="121">
        <v>0</v>
      </c>
      <c r="M230" s="121">
        <v>0</v>
      </c>
      <c r="N230" s="121">
        <v>0</v>
      </c>
    </row>
    <row r="231" spans="5:14">
      <c r="E231" s="121" t="str">
        <v/>
      </c>
      <c r="J231" s="121" t="str">
        <v/>
      </c>
      <c r="K231" s="121" t="str">
        <v/>
      </c>
      <c r="L231" s="121" t="str">
        <v/>
      </c>
      <c r="M231" s="121" t="str">
        <v/>
      </c>
      <c r="N231" s="121" t="str">
        <v/>
      </c>
    </row>
    <row r="232" spans="5:14">
      <c r="E232" s="121" t="str">
        <v/>
      </c>
      <c r="J232" s="121" t="str">
        <v/>
      </c>
      <c r="K232" s="121" t="str">
        <v/>
      </c>
      <c r="L232" s="121" t="str">
        <v/>
      </c>
      <c r="M232" s="121" t="str">
        <v/>
      </c>
      <c r="N232" s="121" t="str">
        <v/>
      </c>
    </row>
    <row r="233" spans="5:14">
      <c r="E233" s="121" t="str">
        <v/>
      </c>
      <c r="F233" s="136">
        <f>$F$147</f>
        <v>44926</v>
      </c>
      <c r="J233" s="121" t="str">
        <v/>
      </c>
      <c r="K233" s="121" t="str">
        <v/>
      </c>
      <c r="L233" s="121" t="str">
        <v/>
      </c>
      <c r="M233" s="121" t="str">
        <v/>
      </c>
      <c r="N233" s="121" t="str">
        <v/>
      </c>
    </row>
    <row r="234" spans="5:14">
      <c r="E234" s="121" t="str">
        <v>Assets</v>
      </c>
      <c r="F234" s="121" t="str" cm="1">
        <f t="array" ref="F234:F265" xml:space="preserve"> IF( _xlfn.XLOOKUP( $E$234:$E$265, CaseData!$B$150:$B$181, CaseData!$C$150:$C$181, "", 0 ) = 0, "",
      _xlfn.XLOOKUP( $E$234:$E$265, CaseData!$B$150:$B$181, CaseData!$C$150:$C$181, "", 0 ) )</f>
        <v/>
      </c>
      <c r="J234" s="121">
        <v>0</v>
      </c>
      <c r="K234" s="121">
        <v>0</v>
      </c>
      <c r="L234" s="121">
        <v>0</v>
      </c>
      <c r="M234" s="121">
        <v>0</v>
      </c>
      <c r="N234" s="121">
        <v>0</v>
      </c>
    </row>
    <row r="235" spans="5:14">
      <c r="E235" s="121" t="str">
        <v>Cash and Equivalents</v>
      </c>
      <c r="F235" s="128">
        <v>1628.3895763827472</v>
      </c>
      <c r="J235" s="121">
        <v>1492.0444684009501</v>
      </c>
      <c r="K235" s="121">
        <v>1395.5969051518127</v>
      </c>
      <c r="L235" s="121">
        <v>1341.6264715662262</v>
      </c>
      <c r="M235" s="121">
        <v>1332.9151059962769</v>
      </c>
      <c r="N235" s="121">
        <v>1372.4621944432138</v>
      </c>
    </row>
    <row r="236" spans="5:14">
      <c r="E236" s="121" t="str">
        <v>A/R</v>
      </c>
      <c r="F236" s="128">
        <v>171.42857142857144</v>
      </c>
      <c r="J236" s="121">
        <v>181.71428571428572</v>
      </c>
      <c r="K236" s="121">
        <v>192.61714285714288</v>
      </c>
      <c r="L236" s="121">
        <v>204.17417142857147</v>
      </c>
      <c r="M236" s="121">
        <v>216.42462171428576</v>
      </c>
      <c r="N236" s="121">
        <v>229.4100990171429</v>
      </c>
    </row>
    <row r="237" spans="5:14">
      <c r="E237" s="121" t="str">
        <v>Inventories</v>
      </c>
      <c r="F237" s="128">
        <v>186.42857142857144</v>
      </c>
      <c r="J237" s="121">
        <v>194.20714285714288</v>
      </c>
      <c r="K237" s="121">
        <v>202.24800000000005</v>
      </c>
      <c r="L237" s="121">
        <v>210.55461428571431</v>
      </c>
      <c r="M237" s="121">
        <v>219.12992948571434</v>
      </c>
      <c r="N237" s="121">
        <v>227.97628589828579</v>
      </c>
    </row>
    <row r="238" spans="5:14">
      <c r="E238" s="121" t="str">
        <v>Other current assets</v>
      </c>
      <c r="F238" s="128">
        <v>53.571428571428569</v>
      </c>
      <c r="J238" s="121">
        <v>56.785714285714292</v>
      </c>
      <c r="K238" s="121">
        <v>60.19285714285715</v>
      </c>
      <c r="L238" s="121">
        <v>63.804428571428588</v>
      </c>
      <c r="M238" s="121">
        <v>67.632694285714308</v>
      </c>
      <c r="N238" s="121">
        <v>71.690655942857163</v>
      </c>
    </row>
    <row r="239" spans="5:14">
      <c r="E239" s="121" t="str">
        <v>Total Current Assets</v>
      </c>
      <c r="F239" s="128">
        <v>2039.818147811319</v>
      </c>
      <c r="J239" s="121">
        <v>1924.7516112580929</v>
      </c>
      <c r="K239" s="121">
        <v>1850.6549051518127</v>
      </c>
      <c r="L239" s="121">
        <v>1820.1596858519406</v>
      </c>
      <c r="M239" s="121">
        <v>1836.1023514819915</v>
      </c>
      <c r="N239" s="121">
        <v>1901.5392353014995</v>
      </c>
    </row>
    <row r="240" spans="5:14">
      <c r="E240" s="121" t="str">
        <v/>
      </c>
      <c r="F240" s="121" t="str">
        <v/>
      </c>
      <c r="J240" s="121" t="str">
        <v/>
      </c>
      <c r="K240" s="121" t="str">
        <v/>
      </c>
      <c r="L240" s="121" t="str">
        <v/>
      </c>
      <c r="M240" s="121" t="str">
        <v/>
      </c>
      <c r="N240" s="121" t="str">
        <v/>
      </c>
    </row>
    <row r="241" spans="5:14">
      <c r="E241" s="121" t="str">
        <v>Fixed Assets</v>
      </c>
      <c r="F241" s="128">
        <v>6214.2857142857138</v>
      </c>
      <c r="J241" s="121">
        <v>6247.2214285714272</v>
      </c>
      <c r="K241" s="121">
        <v>6282.1332857142843</v>
      </c>
      <c r="L241" s="121">
        <v>6319.1398542857114</v>
      </c>
      <c r="M241" s="121">
        <v>6358.3668169714274</v>
      </c>
      <c r="N241" s="121">
        <v>6399.9473974182847</v>
      </c>
    </row>
    <row r="242" spans="5:14">
      <c r="E242" s="121" t="str">
        <v>Other LT assets</v>
      </c>
      <c r="F242" s="128">
        <v>18</v>
      </c>
      <c r="J242" s="121">
        <v>18</v>
      </c>
      <c r="K242" s="121">
        <v>18</v>
      </c>
      <c r="L242" s="121">
        <v>18</v>
      </c>
      <c r="M242" s="121">
        <v>18</v>
      </c>
      <c r="N242" s="121">
        <v>18</v>
      </c>
    </row>
    <row r="243" spans="5:14">
      <c r="E243" s="121" t="str">
        <v>Total Long-Term Assets</v>
      </c>
      <c r="F243" s="128">
        <v>6232.2857142857138</v>
      </c>
      <c r="J243" s="121">
        <v>6265.2214285714272</v>
      </c>
      <c r="K243" s="121">
        <v>6300.1332857142843</v>
      </c>
      <c r="L243" s="121">
        <v>6337.1398542857114</v>
      </c>
      <c r="M243" s="121">
        <v>6376.3668169714274</v>
      </c>
      <c r="N243" s="121">
        <v>6417.9473974182847</v>
      </c>
    </row>
    <row r="244" spans="5:14">
      <c r="E244" s="121" t="str">
        <v/>
      </c>
      <c r="F244" s="121" t="str">
        <v/>
      </c>
      <c r="J244" s="121" t="str">
        <v/>
      </c>
      <c r="K244" s="121" t="str">
        <v/>
      </c>
      <c r="L244" s="121" t="str">
        <v/>
      </c>
      <c r="M244" s="121" t="str">
        <v/>
      </c>
      <c r="N244" s="121" t="str">
        <v/>
      </c>
    </row>
    <row r="245" spans="5:14">
      <c r="E245" s="121" t="str">
        <v>Total Assets</v>
      </c>
      <c r="F245" s="128">
        <v>8272.1038620970321</v>
      </c>
      <c r="J245" s="121">
        <v>8189.9730398295196</v>
      </c>
      <c r="K245" s="121">
        <v>8150.7881908660966</v>
      </c>
      <c r="L245" s="121">
        <v>8157.299540137652</v>
      </c>
      <c r="M245" s="121">
        <v>8212.4691684534191</v>
      </c>
      <c r="N245" s="121">
        <v>8319.4866327197851</v>
      </c>
    </row>
    <row r="246" spans="5:14">
      <c r="E246" s="121" t="str">
        <v/>
      </c>
      <c r="F246" s="121" t="str">
        <v/>
      </c>
      <c r="J246" s="121" t="str">
        <v/>
      </c>
      <c r="K246" s="121" t="str">
        <v/>
      </c>
      <c r="L246" s="121" t="str">
        <v/>
      </c>
      <c r="M246" s="121" t="str">
        <v/>
      </c>
      <c r="N246" s="121" t="str">
        <v/>
      </c>
    </row>
    <row r="247" spans="5:14">
      <c r="E247" s="121" t="str">
        <v>Liabilities</v>
      </c>
      <c r="F247" s="121" t="str">
        <v/>
      </c>
      <c r="J247" s="121">
        <v>0</v>
      </c>
      <c r="K247" s="121">
        <v>0</v>
      </c>
      <c r="L247" s="121">
        <v>0</v>
      </c>
      <c r="M247" s="121">
        <v>0</v>
      </c>
      <c r="N247" s="121">
        <v>0</v>
      </c>
    </row>
    <row r="248" spans="5:14">
      <c r="E248" s="121" t="str">
        <v>A/P</v>
      </c>
      <c r="F248" s="128">
        <v>111.85714285714288</v>
      </c>
      <c r="J248" s="121">
        <v>116.52428571428574</v>
      </c>
      <c r="K248" s="121">
        <v>121.34880000000004</v>
      </c>
      <c r="L248" s="121">
        <v>126.3327685714286</v>
      </c>
      <c r="M248" s="121">
        <v>131.47795769142863</v>
      </c>
      <c r="N248" s="121">
        <v>136.78577153897146</v>
      </c>
    </row>
    <row r="249" spans="5:14">
      <c r="E249" s="121" t="str">
        <v>Long-Term Debt Due within One Year</v>
      </c>
      <c r="F249" s="128">
        <v>300</v>
      </c>
      <c r="J249" s="121">
        <v>300</v>
      </c>
      <c r="K249" s="121">
        <v>300</v>
      </c>
      <c r="L249" s="121">
        <v>300</v>
      </c>
      <c r="M249" s="121">
        <v>300</v>
      </c>
      <c r="N249" s="121">
        <v>300</v>
      </c>
    </row>
    <row r="250" spans="5:14">
      <c r="E250" s="121" t="str">
        <v>Other current liabilities</v>
      </c>
      <c r="F250" s="128">
        <v>9.4499999999999993</v>
      </c>
      <c r="J250" s="121">
        <v>9.4499999999999993</v>
      </c>
      <c r="K250" s="121">
        <v>9.4499999999999993</v>
      </c>
      <c r="L250" s="121">
        <v>9.4499999999999993</v>
      </c>
      <c r="M250" s="121">
        <v>9.4499999999999993</v>
      </c>
      <c r="N250" s="121">
        <v>9.4499999999999993</v>
      </c>
    </row>
    <row r="251" spans="5:14">
      <c r="E251" s="121" t="str">
        <v>Total Current Liabilities</v>
      </c>
      <c r="F251" s="128">
        <v>421.30714285714288</v>
      </c>
      <c r="J251" s="121">
        <v>425.97428571428571</v>
      </c>
      <c r="K251" s="121">
        <v>430.79880000000003</v>
      </c>
      <c r="L251" s="121">
        <v>435.78276857142856</v>
      </c>
      <c r="M251" s="121">
        <v>440.92795769142862</v>
      </c>
      <c r="N251" s="121">
        <v>446.23577153897145</v>
      </c>
    </row>
    <row r="252" spans="5:14">
      <c r="E252" s="121" t="str">
        <v/>
      </c>
      <c r="F252" s="121" t="str">
        <v/>
      </c>
      <c r="J252" s="121" t="str">
        <v/>
      </c>
      <c r="K252" s="121" t="str">
        <v/>
      </c>
      <c r="L252" s="121" t="str">
        <v/>
      </c>
      <c r="M252" s="121" t="str">
        <v/>
      </c>
      <c r="N252" s="121" t="str">
        <v/>
      </c>
    </row>
    <row r="253" spans="5:14">
      <c r="E253" s="121" t="str">
        <v>Long-Term Debt</v>
      </c>
      <c r="F253" s="128">
        <v>2100</v>
      </c>
      <c r="J253" s="121">
        <v>1800</v>
      </c>
      <c r="K253" s="121">
        <v>1500</v>
      </c>
      <c r="L253" s="121">
        <v>1200</v>
      </c>
      <c r="M253" s="121">
        <v>900</v>
      </c>
      <c r="N253" s="121">
        <v>600</v>
      </c>
    </row>
    <row r="254" spans="5:14">
      <c r="E254" s="121" t="str">
        <v>Other LT liabilities</v>
      </c>
      <c r="F254" s="128">
        <v>3</v>
      </c>
      <c r="J254" s="121">
        <v>3</v>
      </c>
      <c r="K254" s="121">
        <v>3</v>
      </c>
      <c r="L254" s="121">
        <v>3</v>
      </c>
      <c r="M254" s="121">
        <v>3</v>
      </c>
      <c r="N254" s="121">
        <v>3</v>
      </c>
    </row>
    <row r="255" spans="5:14">
      <c r="E255" s="121" t="str">
        <v>Total Long-term Liabilities</v>
      </c>
      <c r="F255" s="128">
        <v>2103</v>
      </c>
      <c r="J255" s="121">
        <v>1803</v>
      </c>
      <c r="K255" s="121">
        <v>1503</v>
      </c>
      <c r="L255" s="121">
        <v>1203</v>
      </c>
      <c r="M255" s="121">
        <v>903</v>
      </c>
      <c r="N255" s="121">
        <v>603</v>
      </c>
    </row>
    <row r="256" spans="5:14">
      <c r="E256" s="121" t="str">
        <v/>
      </c>
      <c r="F256" s="121" t="str">
        <v/>
      </c>
      <c r="J256" s="121" t="str">
        <v/>
      </c>
      <c r="K256" s="121" t="str">
        <v/>
      </c>
      <c r="L256" s="121" t="str">
        <v/>
      </c>
      <c r="M256" s="121" t="str">
        <v/>
      </c>
      <c r="N256" s="121" t="str">
        <v/>
      </c>
    </row>
    <row r="257" spans="1:14">
      <c r="E257" s="121" t="str">
        <v>Total Liabilities</v>
      </c>
      <c r="F257" s="128">
        <v>2524.3071428571429</v>
      </c>
      <c r="J257" s="121">
        <v>2228.9742857142855</v>
      </c>
      <c r="K257" s="121">
        <v>1933.7988</v>
      </c>
      <c r="L257" s="121">
        <v>1638.7827685714285</v>
      </c>
      <c r="M257" s="121">
        <v>1343.9279576914287</v>
      </c>
      <c r="N257" s="121">
        <v>1049.2357715389714</v>
      </c>
    </row>
    <row r="258" spans="1:14">
      <c r="E258" s="121" t="str">
        <v/>
      </c>
      <c r="F258" s="121" t="str">
        <v/>
      </c>
      <c r="J258" s="121" t="str">
        <v/>
      </c>
      <c r="K258" s="121" t="str">
        <v/>
      </c>
      <c r="L258" s="121" t="str">
        <v/>
      </c>
      <c r="M258" s="121" t="str">
        <v/>
      </c>
      <c r="N258" s="121" t="str">
        <v/>
      </c>
    </row>
    <row r="259" spans="1:14">
      <c r="E259" s="121" t="str">
        <v>Shareholders' Equity</v>
      </c>
      <c r="F259" s="121" t="str">
        <v/>
      </c>
      <c r="J259" s="121">
        <v>0</v>
      </c>
      <c r="K259" s="121">
        <v>0</v>
      </c>
      <c r="L259" s="121">
        <v>0</v>
      </c>
      <c r="M259" s="121">
        <v>0</v>
      </c>
      <c r="N259" s="121">
        <v>0</v>
      </c>
    </row>
    <row r="260" spans="1:14">
      <c r="E260" s="121" t="str">
        <v>Common Shares</v>
      </c>
      <c r="F260" s="128">
        <v>3300</v>
      </c>
      <c r="J260" s="121">
        <v>3300</v>
      </c>
      <c r="K260" s="121">
        <v>3300</v>
      </c>
      <c r="L260" s="121">
        <v>3300</v>
      </c>
      <c r="M260" s="121">
        <v>3300</v>
      </c>
      <c r="N260" s="121">
        <v>3300</v>
      </c>
    </row>
    <row r="261" spans="1:14">
      <c r="E261" s="121" t="str">
        <v>Retained Earnings</v>
      </c>
      <c r="F261" s="128">
        <v>2447.7967192398878</v>
      </c>
      <c r="J261" s="121">
        <v>2660.9987541152341</v>
      </c>
      <c r="K261" s="121">
        <v>2916.9893908660961</v>
      </c>
      <c r="L261" s="121">
        <v>3218.5167715662237</v>
      </c>
      <c r="M261" s="121">
        <v>3568.5412107619895</v>
      </c>
      <c r="N261" s="121">
        <v>3970.2508611808125</v>
      </c>
    </row>
    <row r="262" spans="1:14">
      <c r="E262" s="121" t="str">
        <v>Total Shareholders' Equity</v>
      </c>
      <c r="F262" s="128">
        <v>5747.7967192398883</v>
      </c>
      <c r="J262" s="121">
        <v>5960.9987541152341</v>
      </c>
      <c r="K262" s="121">
        <v>6216.9893908660961</v>
      </c>
      <c r="L262" s="121">
        <v>6518.5167715662237</v>
      </c>
      <c r="M262" s="121">
        <v>6868.5412107619895</v>
      </c>
      <c r="N262" s="121">
        <v>7270.2508611808125</v>
      </c>
    </row>
    <row r="263" spans="1:14">
      <c r="E263" s="121" t="str">
        <v/>
      </c>
      <c r="F263" s="121" t="str">
        <v/>
      </c>
      <c r="J263" s="121" t="str">
        <v/>
      </c>
      <c r="K263" s="121" t="str">
        <v/>
      </c>
      <c r="L263" s="121" t="str">
        <v/>
      </c>
      <c r="M263" s="121" t="str">
        <v/>
      </c>
      <c r="N263" s="121" t="str">
        <v/>
      </c>
    </row>
    <row r="264" spans="1:14">
      <c r="E264" s="121" t="str">
        <v>Total Liabilities &amp; Shareholders' Equity</v>
      </c>
      <c r="F264" s="128">
        <v>8272.1038620970321</v>
      </c>
      <c r="J264" s="121">
        <v>8189.9730398295196</v>
      </c>
      <c r="K264" s="121">
        <v>8150.7881908660966</v>
      </c>
      <c r="L264" s="121">
        <v>8157.299540137652</v>
      </c>
      <c r="M264" s="121">
        <v>8212.4691684534191</v>
      </c>
      <c r="N264" s="121">
        <v>8319.4866327197833</v>
      </c>
    </row>
    <row r="265" spans="1:14">
      <c r="E265" s="121" t="str">
        <v>Check</v>
      </c>
      <c r="F265" s="121" t="str">
        <v/>
      </c>
      <c r="J265" s="121">
        <v>0</v>
      </c>
      <c r="K265" s="121">
        <v>0</v>
      </c>
      <c r="L265" s="121">
        <v>0</v>
      </c>
      <c r="M265" s="121">
        <v>0</v>
      </c>
      <c r="N265" s="121">
        <v>0</v>
      </c>
    </row>
    <row r="268" spans="1:14" s="122" customFormat="1" ht="15">
      <c r="A268" s="123" t="s">
        <v>90</v>
      </c>
    </row>
    <row r="270" spans="1:14">
      <c r="E270" s="121" t="s">
        <v>91</v>
      </c>
      <c r="F270" s="124" t="s">
        <v>92</v>
      </c>
    </row>
    <row r="271" spans="1:14">
      <c r="E271" s="121" t="s">
        <v>93</v>
      </c>
      <c r="F271" s="124" t="s">
        <v>94</v>
      </c>
    </row>
    <row r="273" spans="5:14">
      <c r="E273" s="121" t="s">
        <v>95</v>
      </c>
      <c r="F273" s="121" t="s">
        <v>96</v>
      </c>
      <c r="J273" s="125">
        <f xml:space="preserve"> I273 + 1</f>
        <v>1</v>
      </c>
      <c r="K273" s="125">
        <f t="shared" ref="K273:N273" si="39" xml:space="preserve"> J273 + 1</f>
        <v>2</v>
      </c>
      <c r="L273" s="125">
        <f t="shared" si="39"/>
        <v>3</v>
      </c>
      <c r="M273" s="125">
        <f t="shared" si="39"/>
        <v>4</v>
      </c>
      <c r="N273" s="125">
        <f t="shared" si="39"/>
        <v>5</v>
      </c>
    </row>
    <row r="274" spans="5:14">
      <c r="E274" s="121" t="s">
        <v>97</v>
      </c>
      <c r="F274" s="121" t="s">
        <v>98</v>
      </c>
      <c r="J274" s="121">
        <f xml:space="preserve"> IF( J273 = 1, 1, 0 )</f>
        <v>1</v>
      </c>
      <c r="K274" s="121">
        <f t="shared" ref="K274:N274" si="40" xml:space="preserve"> IF( K273 = 1, 1, 0 )</f>
        <v>0</v>
      </c>
      <c r="L274" s="121">
        <f t="shared" si="40"/>
        <v>0</v>
      </c>
      <c r="M274" s="121">
        <f t="shared" si="40"/>
        <v>0</v>
      </c>
      <c r="N274" s="121">
        <f t="shared" si="40"/>
        <v>0</v>
      </c>
    </row>
    <row r="275" spans="5:14">
      <c r="E275" s="121" t="s">
        <v>117</v>
      </c>
      <c r="F275" s="121" t="s">
        <v>98</v>
      </c>
      <c r="J275" s="121">
        <f xml:space="preserve"> IF( J273, 1, 0 )</f>
        <v>1</v>
      </c>
      <c r="K275" s="121">
        <f t="shared" ref="K275:N275" si="41" xml:space="preserve"> IF( K273, 1, 0 )</f>
        <v>1</v>
      </c>
      <c r="L275" s="121">
        <f t="shared" si="41"/>
        <v>1</v>
      </c>
      <c r="M275" s="121">
        <f t="shared" si="41"/>
        <v>1</v>
      </c>
      <c r="N275" s="121">
        <f t="shared" si="41"/>
        <v>1</v>
      </c>
    </row>
    <row r="276" spans="5:14">
      <c r="E276" s="121" t="s">
        <v>101</v>
      </c>
      <c r="F276" s="127">
        <v>44926</v>
      </c>
    </row>
    <row r="277" spans="5:14">
      <c r="E277" s="121" t="s">
        <v>99</v>
      </c>
      <c r="F277" s="121" t="s">
        <v>100</v>
      </c>
      <c r="J277" s="126">
        <f xml:space="preserve"> IF( J274 = 1, EOMONTH( $F$276, 12), EOMONTH( I277, 12 ) )</f>
        <v>45291</v>
      </c>
      <c r="K277" s="126">
        <f xml:space="preserve"> IF( K274 = 1, $F$276, EOMONTH( J277, 12 ) )</f>
        <v>45657</v>
      </c>
      <c r="L277" s="126">
        <f xml:space="preserve"> IF( L274 = 1, $F$276, EOMONTH( K277, 12 ) )</f>
        <v>46022</v>
      </c>
      <c r="M277" s="126">
        <f xml:space="preserve"> IF( M274 = 1, $F$276, EOMONTH( L277, 12 ) )</f>
        <v>46387</v>
      </c>
      <c r="N277" s="126">
        <f xml:space="preserve"> IF( N274 = 1, $F$276, EOMONTH( M277, 12 ) )</f>
        <v>46752</v>
      </c>
    </row>
    <row r="278" spans="5:14">
      <c r="E278" s="121" t="s">
        <v>104</v>
      </c>
      <c r="F278" s="124" t="s">
        <v>106</v>
      </c>
      <c r="J278" s="126"/>
      <c r="K278" s="126"/>
      <c r="L278" s="126"/>
      <c r="M278" s="126"/>
      <c r="N278" s="126"/>
    </row>
    <row r="279" spans="5:14">
      <c r="F279" s="124" t="s">
        <v>105</v>
      </c>
      <c r="J279" s="126"/>
      <c r="K279" s="126"/>
      <c r="L279" s="126"/>
      <c r="M279" s="126"/>
      <c r="N279" s="126"/>
    </row>
    <row r="280" spans="5:14">
      <c r="F280" s="130"/>
      <c r="J280" s="126"/>
      <c r="K280" s="126"/>
      <c r="L280" s="126"/>
      <c r="M280" s="126"/>
      <c r="N280" s="126"/>
    </row>
    <row r="281" spans="5:14">
      <c r="F281" s="130"/>
      <c r="J281" s="126"/>
      <c r="K281" s="126"/>
      <c r="L281" s="126"/>
      <c r="M281" s="126"/>
      <c r="N281" s="126"/>
    </row>
  </sheetData>
  <printOptions horizontalCentered="1"/>
  <pageMargins left="0.15748031496062992" right="0.15748031496062992" top="0.39370078740157483" bottom="0.39370078740157483" header="0.15748031496062992" footer="0.15748031496062992"/>
  <pageSetup paperSize="9" scale="60" fitToHeight="0" orientation="portrait" horizontalDpi="300" verticalDpi="300" r:id="rId1"/>
  <headerFooter>
    <oddFooter>&amp;L&amp;"Arial,Regular"Financial Modeling Institute
CFM October 2026&amp;C&amp;"Arial,Regular"Page &amp;P of &amp;N&amp;R&amp;"Arial,Regular"&amp;D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Drop Down 2">
              <controlPr defaultSize="0" autoLine="0" autoPict="0">
                <anchor moveWithCells="1">
                  <from>
                    <xdr:col>16383</xdr:col>
                    <xdr:colOff>0</xdr:colOff>
                    <xdr:row>94</xdr:row>
                    <xdr:rowOff>104775</xdr:rowOff>
                  </from>
                  <to>
                    <xdr:col>16383</xdr:col>
                    <xdr:colOff>0</xdr:colOff>
                    <xdr:row>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Drop Down 3">
              <controlPr defaultSize="0" autoLine="0" autoPict="0">
                <anchor moveWithCells="1">
                  <from>
                    <xdr:col>4</xdr:col>
                    <xdr:colOff>3752850</xdr:colOff>
                    <xdr:row>7</xdr:row>
                    <xdr:rowOff>180975</xdr:rowOff>
                  </from>
                  <to>
                    <xdr:col>5</xdr:col>
                    <xdr:colOff>800100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4715A-53D2-4579-B164-B07FB5B61470}">
  <dimension ref="A1:H182"/>
  <sheetViews>
    <sheetView showGridLines="0" zoomScale="85" zoomScaleNormal="85" workbookViewId="0">
      <selection activeCell="C13" sqref="C13"/>
    </sheetView>
  </sheetViews>
  <sheetFormatPr defaultColWidth="8.7109375" defaultRowHeight="15.75"/>
  <cols>
    <col min="1" max="1" width="2.85546875" style="2" customWidth="1"/>
    <col min="2" max="2" width="49.5703125" style="2" bestFit="1" customWidth="1"/>
    <col min="3" max="8" width="17" style="2" customWidth="1"/>
    <col min="9" max="16384" width="8.7109375" style="2"/>
  </cols>
  <sheetData>
    <row r="1" spans="1:8" ht="18" thickBot="1">
      <c r="A1" s="1" t="s">
        <v>16</v>
      </c>
      <c r="B1" s="1"/>
      <c r="C1" s="1"/>
      <c r="D1" s="1"/>
      <c r="E1" s="1"/>
      <c r="F1" s="1"/>
      <c r="G1" s="1"/>
      <c r="H1" s="1"/>
    </row>
    <row r="2" spans="1:8" ht="16.5" thickTop="1">
      <c r="C2" s="3"/>
    </row>
    <row r="3" spans="1:8">
      <c r="B3" s="2" t="s">
        <v>17</v>
      </c>
      <c r="D3" s="4" t="s">
        <v>18</v>
      </c>
      <c r="E3" s="22">
        <v>6750</v>
      </c>
      <c r="F3" s="5"/>
      <c r="G3" s="5"/>
      <c r="H3" s="5"/>
    </row>
    <row r="4" spans="1:8">
      <c r="B4" s="2" t="s">
        <v>19</v>
      </c>
      <c r="D4" s="4" t="s">
        <v>20</v>
      </c>
      <c r="E4" s="29">
        <v>0.6</v>
      </c>
    </row>
    <row r="5" spans="1:8">
      <c r="D5" s="4"/>
      <c r="E5" s="6"/>
    </row>
    <row r="6" spans="1:8">
      <c r="D6" s="4"/>
      <c r="E6" s="6"/>
    </row>
    <row r="7" spans="1:8" ht="18" thickBot="1">
      <c r="A7" s="23" t="s">
        <v>21</v>
      </c>
      <c r="B7" s="23"/>
      <c r="C7" s="23"/>
      <c r="D7" s="23"/>
      <c r="E7" s="23"/>
      <c r="F7" s="23"/>
      <c r="G7" s="23"/>
      <c r="H7" s="23"/>
    </row>
    <row r="8" spans="1:8" ht="16.5" thickTop="1"/>
    <row r="10" spans="1:8" ht="19.5">
      <c r="A10" s="7"/>
      <c r="B10" s="8" t="s">
        <v>22</v>
      </c>
      <c r="C10" s="9"/>
      <c r="D10" s="9"/>
      <c r="E10" s="9"/>
      <c r="F10" s="9"/>
      <c r="G10" s="9"/>
      <c r="H10" s="9"/>
    </row>
    <row r="11" spans="1:8">
      <c r="A11" s="10"/>
      <c r="B11" s="11" t="s">
        <v>23</v>
      </c>
    </row>
    <row r="12" spans="1:8">
      <c r="A12" s="10"/>
    </row>
    <row r="13" spans="1:8">
      <c r="A13" s="10"/>
      <c r="C13" s="133">
        <v>44926</v>
      </c>
      <c r="D13" s="134">
        <f>EOMONTH( C$13, 12 )</f>
        <v>45291</v>
      </c>
      <c r="E13" s="134">
        <f t="shared" ref="E13:H13" si="0">EOMONTH( D$13, 12 )</f>
        <v>45657</v>
      </c>
      <c r="F13" s="134">
        <f t="shared" si="0"/>
        <v>46022</v>
      </c>
      <c r="G13" s="134">
        <f t="shared" si="0"/>
        <v>46387</v>
      </c>
      <c r="H13" s="134">
        <f t="shared" si="0"/>
        <v>46752</v>
      </c>
    </row>
    <row r="14" spans="1:8">
      <c r="A14" s="10"/>
    </row>
    <row r="15" spans="1:8">
      <c r="A15" s="10"/>
      <c r="B15" s="2" t="s">
        <v>2</v>
      </c>
      <c r="C15" s="22">
        <v>5250</v>
      </c>
      <c r="D15" s="22">
        <v>5512.5</v>
      </c>
      <c r="E15" s="22">
        <v>5788.125</v>
      </c>
      <c r="F15" s="22">
        <v>6077.53125</v>
      </c>
      <c r="G15" s="22">
        <v>6381.4078125000005</v>
      </c>
      <c r="H15" s="22">
        <v>6700.4782031250015</v>
      </c>
    </row>
    <row r="16" spans="1:8">
      <c r="A16" s="10"/>
      <c r="B16" s="2" t="s">
        <v>24</v>
      </c>
      <c r="C16" s="24">
        <v>-3150</v>
      </c>
      <c r="D16" s="24">
        <v>-3252.375</v>
      </c>
      <c r="E16" s="24">
        <v>-3357.1124999999997</v>
      </c>
      <c r="F16" s="24">
        <v>-3464.1928124999999</v>
      </c>
      <c r="G16" s="24">
        <v>-3573.5883749999998</v>
      </c>
      <c r="H16" s="24">
        <v>-3685.2630117187509</v>
      </c>
    </row>
    <row r="17" spans="1:8">
      <c r="A17" s="10"/>
      <c r="B17" s="2" t="s">
        <v>25</v>
      </c>
      <c r="C17" s="12">
        <f>SUM(C15:C16)</f>
        <v>2100</v>
      </c>
      <c r="D17" s="12">
        <f t="shared" ref="D17:H17" si="1">SUM(D15:D16)</f>
        <v>2260.125</v>
      </c>
      <c r="E17" s="12">
        <f t="shared" si="1"/>
        <v>2431.0125000000003</v>
      </c>
      <c r="F17" s="12">
        <f t="shared" si="1"/>
        <v>2613.3384375000001</v>
      </c>
      <c r="G17" s="12">
        <f t="shared" si="1"/>
        <v>2807.8194375000007</v>
      </c>
      <c r="H17" s="12">
        <f t="shared" si="1"/>
        <v>3015.2151914062506</v>
      </c>
    </row>
    <row r="18" spans="1:8">
      <c r="A18" s="10"/>
      <c r="B18" s="2" t="s">
        <v>26</v>
      </c>
      <c r="C18" s="24">
        <v>-262.5</v>
      </c>
      <c r="D18" s="24">
        <v>-275.625</v>
      </c>
      <c r="E18" s="24">
        <v>-289.40625</v>
      </c>
      <c r="F18" s="24">
        <v>-303.87656250000003</v>
      </c>
      <c r="G18" s="24">
        <v>-319.07039062500007</v>
      </c>
      <c r="H18" s="24">
        <v>-335.02391015625011</v>
      </c>
    </row>
    <row r="19" spans="1:8">
      <c r="A19" s="10"/>
      <c r="B19" s="2" t="s">
        <v>3</v>
      </c>
      <c r="C19" s="12">
        <f>SUM(C17:C18)</f>
        <v>1837.5</v>
      </c>
      <c r="D19" s="12">
        <f t="shared" ref="D19:H19" si="2">SUM(D17:D18)</f>
        <v>1984.5</v>
      </c>
      <c r="E19" s="12">
        <f t="shared" si="2"/>
        <v>2141.6062500000003</v>
      </c>
      <c r="F19" s="12">
        <f t="shared" si="2"/>
        <v>2309.461875</v>
      </c>
      <c r="G19" s="12">
        <f t="shared" si="2"/>
        <v>2488.7490468750007</v>
      </c>
      <c r="H19" s="12">
        <f t="shared" si="2"/>
        <v>2680.1912812500004</v>
      </c>
    </row>
    <row r="20" spans="1:8">
      <c r="A20" s="10"/>
      <c r="B20" s="2" t="s">
        <v>27</v>
      </c>
      <c r="C20" s="24">
        <v>-787.5</v>
      </c>
      <c r="D20" s="24">
        <v>-826.875</v>
      </c>
      <c r="E20" s="24">
        <v>-868.21875</v>
      </c>
      <c r="F20" s="24">
        <v>-911.62968749999993</v>
      </c>
      <c r="G20" s="24">
        <v>-957.21117187499999</v>
      </c>
      <c r="H20" s="24">
        <v>-1005.0717304687502</v>
      </c>
    </row>
    <row r="21" spans="1:8">
      <c r="A21" s="10"/>
      <c r="B21" s="2" t="s">
        <v>4</v>
      </c>
      <c r="C21" s="12">
        <f>SUM(C19:C20)</f>
        <v>1050</v>
      </c>
      <c r="D21" s="12">
        <f t="shared" ref="D21:H21" si="3">SUM(D19:D20)</f>
        <v>1157.625</v>
      </c>
      <c r="E21" s="12">
        <f t="shared" si="3"/>
        <v>1273.3875000000003</v>
      </c>
      <c r="F21" s="12">
        <f t="shared" si="3"/>
        <v>1397.8321875000001</v>
      </c>
      <c r="G21" s="12">
        <f t="shared" si="3"/>
        <v>1531.5378750000007</v>
      </c>
      <c r="H21" s="12">
        <f t="shared" si="3"/>
        <v>1675.1195507812504</v>
      </c>
    </row>
    <row r="22" spans="1:8">
      <c r="A22" s="10"/>
      <c r="B22" s="2" t="s">
        <v>28</v>
      </c>
      <c r="C22" s="24">
        <v>-379.12931897846698</v>
      </c>
      <c r="D22" s="24">
        <v>-332.43683696237895</v>
      </c>
      <c r="E22" s="24">
        <v>-285.31304115455436</v>
      </c>
      <c r="F22" s="24">
        <v>-237.71581038498869</v>
      </c>
      <c r="G22" s="24">
        <v>-189.61817460309581</v>
      </c>
      <c r="H22" s="24">
        <v>-140.9913575933827</v>
      </c>
    </row>
    <row r="23" spans="1:8">
      <c r="A23" s="10"/>
      <c r="B23" s="2" t="s">
        <v>5</v>
      </c>
      <c r="C23" s="12">
        <f>SUM(C21:C22)</f>
        <v>670.87068102153307</v>
      </c>
      <c r="D23" s="12">
        <f t="shared" ref="D23:H23" si="4">SUM(D21:D22)</f>
        <v>825.18816303762105</v>
      </c>
      <c r="E23" s="12">
        <f t="shared" si="4"/>
        <v>988.07445884544586</v>
      </c>
      <c r="F23" s="12">
        <f t="shared" si="4"/>
        <v>1160.1163771150113</v>
      </c>
      <c r="G23" s="12">
        <f t="shared" si="4"/>
        <v>1341.9197003969048</v>
      </c>
      <c r="H23" s="12">
        <f t="shared" si="4"/>
        <v>1534.1281931878677</v>
      </c>
    </row>
    <row r="24" spans="1:8">
      <c r="A24" s="10"/>
      <c r="B24" s="2" t="s">
        <v>29</v>
      </c>
      <c r="C24" s="24">
        <v>-167.7176702553831</v>
      </c>
      <c r="D24" s="24">
        <v>-206.29704075940526</v>
      </c>
      <c r="E24" s="24">
        <v>-247.01861471136147</v>
      </c>
      <c r="F24" s="24">
        <v>-290.02909427875289</v>
      </c>
      <c r="G24" s="24">
        <v>-335.47992509922625</v>
      </c>
      <c r="H24" s="24">
        <v>-383.53204829696699</v>
      </c>
    </row>
    <row r="25" spans="1:8">
      <c r="A25" s="10"/>
      <c r="B25" s="13" t="s">
        <v>6</v>
      </c>
      <c r="C25" s="14">
        <f>SUM(C23:C24)</f>
        <v>503.15301076614998</v>
      </c>
      <c r="D25" s="14">
        <f t="shared" ref="D25:H25" si="5">SUM(D23:D24)</f>
        <v>618.89112227821579</v>
      </c>
      <c r="E25" s="14">
        <f t="shared" si="5"/>
        <v>741.0558441340844</v>
      </c>
      <c r="F25" s="14">
        <f t="shared" si="5"/>
        <v>870.08728283625851</v>
      </c>
      <c r="G25" s="14">
        <f t="shared" si="5"/>
        <v>1006.4397752976786</v>
      </c>
      <c r="H25" s="14">
        <f t="shared" si="5"/>
        <v>1150.5961448909006</v>
      </c>
    </row>
    <row r="26" spans="1:8">
      <c r="A26" s="10"/>
      <c r="B26" s="15"/>
      <c r="C26" s="16"/>
      <c r="D26" s="16"/>
      <c r="E26" s="16"/>
      <c r="F26" s="16"/>
      <c r="G26" s="16"/>
      <c r="H26" s="16"/>
    </row>
    <row r="27" spans="1:8">
      <c r="A27" s="10"/>
      <c r="C27" s="17"/>
      <c r="D27" s="17"/>
      <c r="E27" s="17"/>
      <c r="F27" s="17"/>
      <c r="G27" s="17"/>
      <c r="H27" s="17"/>
    </row>
    <row r="28" spans="1:8">
      <c r="A28" s="10"/>
      <c r="C28" s="18"/>
      <c r="D28" s="18"/>
      <c r="E28" s="18"/>
      <c r="F28" s="18"/>
      <c r="G28" s="18"/>
      <c r="H28" s="18"/>
    </row>
    <row r="29" spans="1:8" ht="19.5">
      <c r="A29" s="7"/>
      <c r="B29" s="8" t="s">
        <v>7</v>
      </c>
      <c r="C29" s="9"/>
      <c r="D29" s="9"/>
      <c r="E29" s="9"/>
      <c r="F29" s="9"/>
      <c r="G29" s="9"/>
      <c r="H29" s="9"/>
    </row>
    <row r="30" spans="1:8">
      <c r="A30" s="10"/>
      <c r="B30" s="11" t="s">
        <v>23</v>
      </c>
    </row>
    <row r="31" spans="1:8">
      <c r="A31" s="10"/>
      <c r="B31" s="11"/>
    </row>
    <row r="32" spans="1:8">
      <c r="A32" s="10"/>
      <c r="C32" s="133">
        <f t="shared" ref="C32:H32" si="6">C13</f>
        <v>44926</v>
      </c>
      <c r="D32" s="134">
        <f t="shared" si="6"/>
        <v>45291</v>
      </c>
      <c r="E32" s="134">
        <f t="shared" si="6"/>
        <v>45657</v>
      </c>
      <c r="F32" s="134">
        <f t="shared" si="6"/>
        <v>46022</v>
      </c>
      <c r="G32" s="134">
        <f t="shared" si="6"/>
        <v>46387</v>
      </c>
      <c r="H32" s="134">
        <f t="shared" si="6"/>
        <v>46752</v>
      </c>
    </row>
    <row r="33" spans="1:8">
      <c r="A33" s="10"/>
      <c r="B33" s="11"/>
    </row>
    <row r="34" spans="1:8">
      <c r="A34" s="10"/>
      <c r="B34" s="13" t="s">
        <v>30</v>
      </c>
      <c r="C34" s="18"/>
    </row>
    <row r="35" spans="1:8">
      <c r="A35" s="10"/>
      <c r="B35" s="2" t="s">
        <v>6</v>
      </c>
      <c r="C35" s="12">
        <f t="shared" ref="C35:H35" si="7">C25</f>
        <v>503.15301076614998</v>
      </c>
      <c r="D35" s="12">
        <f t="shared" si="7"/>
        <v>618.89112227821579</v>
      </c>
      <c r="E35" s="12">
        <f t="shared" si="7"/>
        <v>741.0558441340844</v>
      </c>
      <c r="F35" s="12">
        <f t="shared" si="7"/>
        <v>870.08728283625851</v>
      </c>
      <c r="G35" s="12">
        <f t="shared" si="7"/>
        <v>1006.4397752976786</v>
      </c>
      <c r="H35" s="12">
        <f t="shared" si="7"/>
        <v>1150.5961448909006</v>
      </c>
    </row>
    <row r="36" spans="1:8">
      <c r="A36" s="10"/>
      <c r="B36" s="2" t="s">
        <v>31</v>
      </c>
      <c r="C36" s="12">
        <f t="shared" ref="C36:H36" si="8">-C20</f>
        <v>787.5</v>
      </c>
      <c r="D36" s="12">
        <f t="shared" si="8"/>
        <v>826.875</v>
      </c>
      <c r="E36" s="12">
        <f t="shared" si="8"/>
        <v>868.21875</v>
      </c>
      <c r="F36" s="12">
        <f t="shared" si="8"/>
        <v>911.62968749999993</v>
      </c>
      <c r="G36" s="12">
        <f t="shared" si="8"/>
        <v>957.21117187499999</v>
      </c>
      <c r="H36" s="12">
        <f t="shared" si="8"/>
        <v>1005.0717304687502</v>
      </c>
    </row>
    <row r="37" spans="1:8">
      <c r="A37" s="10"/>
      <c r="B37" s="2" t="s">
        <v>32</v>
      </c>
      <c r="C37" s="24">
        <v>-25.5</v>
      </c>
      <c r="D37" s="24">
        <v>-33.705000000000126</v>
      </c>
      <c r="E37" s="24">
        <v>-35.224874999999827</v>
      </c>
      <c r="F37" s="24">
        <v>-36.812475000000177</v>
      </c>
      <c r="G37" s="24">
        <v>-38.470772812500002</v>
      </c>
      <c r="H37" s="24">
        <v>-40.202869218750266</v>
      </c>
    </row>
    <row r="38" spans="1:8">
      <c r="A38" s="10"/>
      <c r="B38" s="2" t="s">
        <v>30</v>
      </c>
      <c r="C38" s="12">
        <f>SUM(C35:C37)</f>
        <v>1265.1530107661499</v>
      </c>
      <c r="D38" s="12">
        <f t="shared" ref="D38:H38" si="9">SUM(D35:D37)</f>
        <v>1412.0611222782156</v>
      </c>
      <c r="E38" s="12">
        <f t="shared" si="9"/>
        <v>1574.0497191340846</v>
      </c>
      <c r="F38" s="12">
        <f t="shared" si="9"/>
        <v>1744.9044953362582</v>
      </c>
      <c r="G38" s="12">
        <f t="shared" si="9"/>
        <v>1925.1801743601786</v>
      </c>
      <c r="H38" s="12">
        <f t="shared" si="9"/>
        <v>2115.4650061409002</v>
      </c>
    </row>
    <row r="39" spans="1:8">
      <c r="A39" s="10"/>
      <c r="B39" s="11"/>
      <c r="C39" s="6"/>
      <c r="D39" s="25"/>
      <c r="E39" s="25"/>
      <c r="F39" s="25"/>
      <c r="G39" s="25"/>
      <c r="H39" s="25"/>
    </row>
    <row r="40" spans="1:8">
      <c r="A40" s="10"/>
      <c r="B40" s="13" t="s">
        <v>33</v>
      </c>
      <c r="C40" s="6"/>
      <c r="D40" s="6"/>
      <c r="E40" s="6"/>
      <c r="F40" s="6"/>
      <c r="G40" s="6"/>
      <c r="H40" s="6"/>
    </row>
    <row r="41" spans="1:8">
      <c r="A41" s="10"/>
      <c r="B41" s="2" t="s">
        <v>34</v>
      </c>
      <c r="C41" s="24">
        <v>-866.25</v>
      </c>
      <c r="D41" s="24">
        <v>-909.5625</v>
      </c>
      <c r="E41" s="24">
        <v>-955.04062500000009</v>
      </c>
      <c r="F41" s="24">
        <v>-1002.7926562499999</v>
      </c>
      <c r="G41" s="24">
        <v>-1052.9322890625001</v>
      </c>
      <c r="H41" s="24">
        <v>-1105.5789035156254</v>
      </c>
    </row>
    <row r="42" spans="1:8">
      <c r="A42" s="10"/>
      <c r="B42" s="2" t="s">
        <v>33</v>
      </c>
      <c r="C42" s="12">
        <f t="shared" ref="C42:H42" si="10">SUM(C41:C41)</f>
        <v>-866.25</v>
      </c>
      <c r="D42" s="12">
        <f t="shared" si="10"/>
        <v>-909.5625</v>
      </c>
      <c r="E42" s="12">
        <f t="shared" si="10"/>
        <v>-955.04062500000009</v>
      </c>
      <c r="F42" s="12">
        <f t="shared" si="10"/>
        <v>-1002.7926562499999</v>
      </c>
      <c r="G42" s="12">
        <f t="shared" si="10"/>
        <v>-1052.9322890625001</v>
      </c>
      <c r="H42" s="12">
        <f t="shared" si="10"/>
        <v>-1105.5789035156254</v>
      </c>
    </row>
    <row r="43" spans="1:8">
      <c r="A43" s="10"/>
      <c r="C43" s="12"/>
      <c r="D43" s="12"/>
      <c r="E43" s="12"/>
      <c r="F43" s="12"/>
      <c r="G43" s="12"/>
      <c r="H43" s="12"/>
    </row>
    <row r="44" spans="1:8">
      <c r="A44" s="10"/>
      <c r="B44" s="13" t="s">
        <v>35</v>
      </c>
      <c r="C44" s="6"/>
      <c r="D44" s="25"/>
      <c r="E44" s="25"/>
      <c r="F44" s="25"/>
      <c r="G44" s="25"/>
      <c r="H44" s="25"/>
    </row>
    <row r="45" spans="1:8">
      <c r="A45" s="10"/>
      <c r="B45" s="2" t="s">
        <v>36</v>
      </c>
      <c r="C45" s="22">
        <v>-750</v>
      </c>
      <c r="D45" s="22">
        <v>-750</v>
      </c>
      <c r="E45" s="22">
        <v>-750</v>
      </c>
      <c r="F45" s="22">
        <v>-750</v>
      </c>
      <c r="G45" s="22">
        <v>-750</v>
      </c>
      <c r="H45" s="22">
        <v>-750</v>
      </c>
    </row>
    <row r="46" spans="1:8">
      <c r="A46" s="10"/>
      <c r="B46" s="2" t="s">
        <v>37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</row>
    <row r="47" spans="1:8">
      <c r="A47" s="10"/>
      <c r="B47" s="2" t="s">
        <v>38</v>
      </c>
      <c r="C47" s="24">
        <v>-100.63060215322986</v>
      </c>
      <c r="D47" s="24">
        <v>-123.77822445564317</v>
      </c>
      <c r="E47" s="24">
        <v>-148.2111688268169</v>
      </c>
      <c r="F47" s="24">
        <v>-174.01745656725174</v>
      </c>
      <c r="G47" s="24">
        <v>-201.28795505953576</v>
      </c>
      <c r="H47" s="24">
        <v>-230.11922897818022</v>
      </c>
    </row>
    <row r="48" spans="1:8">
      <c r="A48" s="10"/>
      <c r="B48" s="2" t="s">
        <v>35</v>
      </c>
      <c r="C48" s="12">
        <f>SUM(C45:C47)</f>
        <v>-850.6306021532298</v>
      </c>
      <c r="D48" s="12">
        <f t="shared" ref="D48:H48" si="11">SUM(D45:D47)</f>
        <v>-873.77822445564311</v>
      </c>
      <c r="E48" s="12">
        <f t="shared" si="11"/>
        <v>-898.2111688268169</v>
      </c>
      <c r="F48" s="12">
        <f t="shared" si="11"/>
        <v>-924.01745656725177</v>
      </c>
      <c r="G48" s="12">
        <f t="shared" si="11"/>
        <v>-951.28795505953576</v>
      </c>
      <c r="H48" s="12">
        <f t="shared" si="11"/>
        <v>-980.11922897818022</v>
      </c>
    </row>
    <row r="49" spans="1:8">
      <c r="A49" s="10"/>
      <c r="C49" s="12"/>
      <c r="D49" s="12"/>
      <c r="E49" s="12"/>
      <c r="F49" s="12"/>
      <c r="G49" s="12"/>
      <c r="H49" s="12"/>
    </row>
    <row r="50" spans="1:8">
      <c r="A50" s="10"/>
      <c r="B50" s="2" t="s">
        <v>39</v>
      </c>
      <c r="C50" s="22">
        <v>7275</v>
      </c>
      <c r="D50" s="12">
        <f>C52</f>
        <v>6823.2724086129201</v>
      </c>
      <c r="E50" s="12">
        <f t="shared" ref="E50:H50" si="12">D52</f>
        <v>6451.9928064354926</v>
      </c>
      <c r="F50" s="12">
        <f t="shared" si="12"/>
        <v>6172.7907317427598</v>
      </c>
      <c r="G50" s="12">
        <f t="shared" si="12"/>
        <v>5990.8851142617659</v>
      </c>
      <c r="H50" s="12">
        <f t="shared" si="12"/>
        <v>5911.8450444999089</v>
      </c>
    </row>
    <row r="51" spans="1:8">
      <c r="A51" s="10"/>
      <c r="B51" s="2" t="s">
        <v>40</v>
      </c>
      <c r="C51" s="26">
        <f>C38+C42+C48</f>
        <v>-451.72759138707988</v>
      </c>
      <c r="D51" s="26">
        <f t="shared" ref="D51:H51" si="13">D38+D42+D48</f>
        <v>-371.27960217742748</v>
      </c>
      <c r="E51" s="26">
        <f t="shared" si="13"/>
        <v>-279.20207469273237</v>
      </c>
      <c r="F51" s="26">
        <f t="shared" si="13"/>
        <v>-181.90561748099356</v>
      </c>
      <c r="G51" s="26">
        <f t="shared" si="13"/>
        <v>-79.040069761857239</v>
      </c>
      <c r="H51" s="26">
        <f t="shared" si="13"/>
        <v>29.766873647094599</v>
      </c>
    </row>
    <row r="52" spans="1:8">
      <c r="A52" s="10"/>
      <c r="B52" s="13" t="s">
        <v>41</v>
      </c>
      <c r="C52" s="14">
        <f>SUM(C50:C51)</f>
        <v>6823.2724086129201</v>
      </c>
      <c r="D52" s="14">
        <f t="shared" ref="D52:H52" si="14">SUM(D50:D51)</f>
        <v>6451.9928064354926</v>
      </c>
      <c r="E52" s="14">
        <f t="shared" si="14"/>
        <v>6172.7907317427598</v>
      </c>
      <c r="F52" s="14">
        <f t="shared" si="14"/>
        <v>5990.8851142617659</v>
      </c>
      <c r="G52" s="14">
        <f t="shared" si="14"/>
        <v>5911.8450444999089</v>
      </c>
      <c r="H52" s="14">
        <f t="shared" si="14"/>
        <v>5941.611918147004</v>
      </c>
    </row>
    <row r="53" spans="1:8">
      <c r="A53" s="10"/>
      <c r="B53" s="15"/>
      <c r="C53" s="16"/>
      <c r="D53" s="16"/>
      <c r="E53" s="16"/>
      <c r="F53" s="16"/>
      <c r="G53" s="16"/>
      <c r="H53" s="16"/>
    </row>
    <row r="54" spans="1:8">
      <c r="A54" s="10"/>
      <c r="C54" s="18"/>
      <c r="D54" s="18"/>
      <c r="E54" s="18"/>
      <c r="F54" s="18"/>
      <c r="G54" s="18"/>
      <c r="H54" s="18"/>
    </row>
    <row r="55" spans="1:8">
      <c r="A55" s="10"/>
      <c r="C55" s="18"/>
      <c r="D55" s="18"/>
      <c r="E55" s="18"/>
      <c r="F55" s="18"/>
      <c r="G55" s="18"/>
      <c r="H55" s="18"/>
    </row>
    <row r="56" spans="1:8" ht="19.5">
      <c r="A56" s="7"/>
      <c r="B56" s="8" t="s">
        <v>8</v>
      </c>
      <c r="C56" s="9"/>
      <c r="D56" s="9"/>
      <c r="E56" s="9"/>
      <c r="F56" s="9"/>
      <c r="G56" s="9"/>
      <c r="H56" s="9"/>
    </row>
    <row r="57" spans="1:8">
      <c r="A57" s="10"/>
      <c r="B57" s="11" t="s">
        <v>23</v>
      </c>
    </row>
    <row r="58" spans="1:8">
      <c r="A58" s="10"/>
      <c r="B58" s="11"/>
    </row>
    <row r="59" spans="1:8">
      <c r="A59" s="10"/>
      <c r="C59" s="133">
        <f t="shared" ref="C59:H59" si="15">C32</f>
        <v>44926</v>
      </c>
      <c r="D59" s="134">
        <f t="shared" si="15"/>
        <v>45291</v>
      </c>
      <c r="E59" s="134">
        <f t="shared" si="15"/>
        <v>45657</v>
      </c>
      <c r="F59" s="134">
        <f t="shared" si="15"/>
        <v>46022</v>
      </c>
      <c r="G59" s="134">
        <f t="shared" si="15"/>
        <v>46387</v>
      </c>
      <c r="H59" s="134">
        <f t="shared" si="15"/>
        <v>46752</v>
      </c>
    </row>
    <row r="60" spans="1:8">
      <c r="A60" s="10"/>
      <c r="C60" s="19"/>
      <c r="D60" s="19"/>
      <c r="E60" s="19"/>
      <c r="F60" s="19"/>
      <c r="G60" s="19"/>
      <c r="H60" s="19"/>
    </row>
    <row r="61" spans="1:8">
      <c r="A61" s="10"/>
      <c r="B61" s="13" t="s">
        <v>42</v>
      </c>
      <c r="C61" s="19"/>
      <c r="D61" s="19"/>
      <c r="E61" s="19"/>
      <c r="F61" s="19"/>
      <c r="G61" s="19"/>
      <c r="H61" s="19"/>
    </row>
    <row r="62" spans="1:8">
      <c r="A62" s="10"/>
      <c r="B62" s="2" t="s">
        <v>43</v>
      </c>
      <c r="C62" s="12">
        <f t="shared" ref="C62:H62" si="16">C52</f>
        <v>6823.2724086129201</v>
      </c>
      <c r="D62" s="12">
        <f t="shared" si="16"/>
        <v>6451.9928064354926</v>
      </c>
      <c r="E62" s="12">
        <f t="shared" si="16"/>
        <v>6172.7907317427598</v>
      </c>
      <c r="F62" s="12">
        <f t="shared" si="16"/>
        <v>5990.8851142617659</v>
      </c>
      <c r="G62" s="12">
        <f t="shared" si="16"/>
        <v>5911.8450444999089</v>
      </c>
      <c r="H62" s="12">
        <f t="shared" si="16"/>
        <v>5941.611918147004</v>
      </c>
    </row>
    <row r="63" spans="1:8">
      <c r="A63" s="10"/>
      <c r="B63" s="2" t="s">
        <v>44</v>
      </c>
      <c r="C63" s="22">
        <v>420</v>
      </c>
      <c r="D63" s="22">
        <v>441</v>
      </c>
      <c r="E63" s="22">
        <v>463.04999999999995</v>
      </c>
      <c r="F63" s="22">
        <v>486.20249999999999</v>
      </c>
      <c r="G63" s="22">
        <v>510.51262500000007</v>
      </c>
      <c r="H63" s="22">
        <v>536.03825625000013</v>
      </c>
    </row>
    <row r="64" spans="1:8">
      <c r="A64" s="10"/>
      <c r="B64" s="2" t="s">
        <v>1</v>
      </c>
      <c r="C64" s="22">
        <v>472.5</v>
      </c>
      <c r="D64" s="22">
        <v>487.85625000000005</v>
      </c>
      <c r="E64" s="22">
        <v>503.56687499999992</v>
      </c>
      <c r="F64" s="22">
        <v>519.62892187499995</v>
      </c>
      <c r="G64" s="22">
        <v>536.03825625000002</v>
      </c>
      <c r="H64" s="22">
        <v>552.78945175781257</v>
      </c>
    </row>
    <row r="65" spans="1:8">
      <c r="A65" s="10"/>
      <c r="B65" s="2" t="s">
        <v>109</v>
      </c>
      <c r="C65" s="24">
        <v>131.25</v>
      </c>
      <c r="D65" s="24">
        <v>137.8125</v>
      </c>
      <c r="E65" s="24">
        <v>144.703125</v>
      </c>
      <c r="F65" s="24">
        <v>151.93828125000002</v>
      </c>
      <c r="G65" s="24">
        <v>159.53519531250004</v>
      </c>
      <c r="H65" s="24">
        <v>167.51195507812506</v>
      </c>
    </row>
    <row r="66" spans="1:8">
      <c r="A66" s="10"/>
      <c r="B66" s="2" t="s">
        <v>9</v>
      </c>
      <c r="C66" s="6">
        <f>SUM(C62:C65)</f>
        <v>7847.0224086129201</v>
      </c>
      <c r="D66" s="6">
        <f t="shared" ref="D66:H66" si="17">SUM(D62:D65)</f>
        <v>7518.6615564354925</v>
      </c>
      <c r="E66" s="6">
        <f t="shared" si="17"/>
        <v>7284.1107317427595</v>
      </c>
      <c r="F66" s="6">
        <f t="shared" si="17"/>
        <v>7148.6548173867659</v>
      </c>
      <c r="G66" s="6">
        <f t="shared" si="17"/>
        <v>7117.9311210624091</v>
      </c>
      <c r="H66" s="6">
        <f t="shared" si="17"/>
        <v>7197.951581232941</v>
      </c>
    </row>
    <row r="67" spans="1:8">
      <c r="A67" s="10"/>
      <c r="C67" s="6"/>
      <c r="D67" s="25"/>
      <c r="E67" s="25"/>
      <c r="F67" s="25"/>
      <c r="G67" s="25"/>
      <c r="H67" s="25"/>
    </row>
    <row r="68" spans="1:8">
      <c r="A68" s="10"/>
      <c r="B68" s="2" t="s">
        <v>45</v>
      </c>
      <c r="C68" s="22">
        <v>15750</v>
      </c>
      <c r="D68" s="22">
        <v>15832.6875</v>
      </c>
      <c r="E68" s="22">
        <v>15919.509375000001</v>
      </c>
      <c r="F68" s="22">
        <v>16010.67234375</v>
      </c>
      <c r="G68" s="22">
        <v>16106.393460937501</v>
      </c>
      <c r="H68" s="22">
        <v>16206.900633984376</v>
      </c>
    </row>
    <row r="69" spans="1:8">
      <c r="A69" s="10"/>
      <c r="B69" s="2" t="s">
        <v>110</v>
      </c>
      <c r="C69" s="24">
        <v>6</v>
      </c>
      <c r="D69" s="24">
        <v>6</v>
      </c>
      <c r="E69" s="24">
        <v>6</v>
      </c>
      <c r="F69" s="24">
        <v>6</v>
      </c>
      <c r="G69" s="24">
        <v>6</v>
      </c>
      <c r="H69" s="24">
        <v>6</v>
      </c>
    </row>
    <row r="70" spans="1:8">
      <c r="A70" s="10"/>
      <c r="B70" s="2" t="s">
        <v>46</v>
      </c>
      <c r="C70" s="6">
        <f>SUM(C68:C69)</f>
        <v>15756</v>
      </c>
      <c r="D70" s="6">
        <f t="shared" ref="D70:H70" si="18">SUM(D68:D69)</f>
        <v>15838.6875</v>
      </c>
      <c r="E70" s="6">
        <f t="shared" si="18"/>
        <v>15925.509375000001</v>
      </c>
      <c r="F70" s="6">
        <f t="shared" si="18"/>
        <v>16016.67234375</v>
      </c>
      <c r="G70" s="6">
        <f t="shared" si="18"/>
        <v>16112.393460937501</v>
      </c>
      <c r="H70" s="6">
        <f t="shared" si="18"/>
        <v>16212.900633984376</v>
      </c>
    </row>
    <row r="71" spans="1:8">
      <c r="A71" s="10"/>
      <c r="C71" s="6"/>
      <c r="D71" s="6"/>
      <c r="E71" s="6"/>
      <c r="F71" s="6"/>
      <c r="G71" s="6"/>
      <c r="H71" s="6"/>
    </row>
    <row r="72" spans="1:8">
      <c r="A72" s="10"/>
      <c r="B72" s="13" t="s">
        <v>10</v>
      </c>
      <c r="C72" s="27">
        <f>C66+C70</f>
        <v>23603.02240861292</v>
      </c>
      <c r="D72" s="27">
        <f t="shared" ref="D72:H72" si="19">D66+D70</f>
        <v>23357.349056435494</v>
      </c>
      <c r="E72" s="27">
        <f t="shared" si="19"/>
        <v>23209.620106742761</v>
      </c>
      <c r="F72" s="27">
        <f t="shared" si="19"/>
        <v>23165.327161136767</v>
      </c>
      <c r="G72" s="27">
        <f t="shared" si="19"/>
        <v>23230.32458199991</v>
      </c>
      <c r="H72" s="27">
        <f t="shared" si="19"/>
        <v>23410.852215217317</v>
      </c>
    </row>
    <row r="73" spans="1:8">
      <c r="A73" s="10"/>
      <c r="C73" s="6"/>
      <c r="D73" s="6"/>
      <c r="E73" s="6"/>
      <c r="F73" s="6"/>
      <c r="G73" s="6"/>
      <c r="H73" s="6"/>
    </row>
    <row r="74" spans="1:8">
      <c r="A74" s="10"/>
      <c r="B74" s="13" t="s">
        <v>47</v>
      </c>
      <c r="C74" s="6"/>
      <c r="D74" s="6"/>
      <c r="E74" s="6"/>
      <c r="F74" s="6"/>
      <c r="G74" s="6"/>
      <c r="H74" s="6"/>
    </row>
    <row r="75" spans="1:8">
      <c r="A75" s="10"/>
      <c r="B75" s="2" t="s">
        <v>48</v>
      </c>
      <c r="C75" s="22">
        <v>283.5</v>
      </c>
      <c r="D75" s="22">
        <v>292.71375</v>
      </c>
      <c r="E75" s="22">
        <v>302.14012499999995</v>
      </c>
      <c r="F75" s="22">
        <v>311.77735312499999</v>
      </c>
      <c r="G75" s="22">
        <v>321.62295374999997</v>
      </c>
      <c r="H75" s="22">
        <v>331.67367105468759</v>
      </c>
    </row>
    <row r="76" spans="1:8">
      <c r="A76" s="10"/>
      <c r="B76" s="2" t="s">
        <v>49</v>
      </c>
      <c r="C76" s="22">
        <v>750</v>
      </c>
      <c r="D76" s="22">
        <v>750</v>
      </c>
      <c r="E76" s="22">
        <v>750</v>
      </c>
      <c r="F76" s="22">
        <v>750</v>
      </c>
      <c r="G76" s="22">
        <v>750</v>
      </c>
      <c r="H76" s="22">
        <v>750</v>
      </c>
    </row>
    <row r="77" spans="1:8">
      <c r="A77" s="10"/>
      <c r="B77" s="2" t="s">
        <v>111</v>
      </c>
      <c r="C77" s="24">
        <v>0.44999999999999996</v>
      </c>
      <c r="D77" s="24">
        <v>0.44999999999999996</v>
      </c>
      <c r="E77" s="24">
        <v>0.44999999999999996</v>
      </c>
      <c r="F77" s="24">
        <v>0.44999999999999996</v>
      </c>
      <c r="G77" s="24">
        <v>0.44999999999999996</v>
      </c>
      <c r="H77" s="24">
        <v>0.44999999999999996</v>
      </c>
    </row>
    <row r="78" spans="1:8">
      <c r="A78" s="10"/>
      <c r="B78" s="2" t="s">
        <v>11</v>
      </c>
      <c r="C78" s="12">
        <f>SUM(C75:C77)</f>
        <v>1033.95</v>
      </c>
      <c r="D78" s="12">
        <f t="shared" ref="D78:H78" si="20">SUM(D75:D77)</f>
        <v>1043.1637499999999</v>
      </c>
      <c r="E78" s="12">
        <f t="shared" si="20"/>
        <v>1052.5901249999999</v>
      </c>
      <c r="F78" s="12">
        <f t="shared" si="20"/>
        <v>1062.227353125</v>
      </c>
      <c r="G78" s="12">
        <f t="shared" si="20"/>
        <v>1072.0729537499999</v>
      </c>
      <c r="H78" s="12">
        <f t="shared" si="20"/>
        <v>1082.1236710546875</v>
      </c>
    </row>
    <row r="79" spans="1:8">
      <c r="A79" s="10"/>
      <c r="C79" s="6"/>
      <c r="D79" s="6"/>
      <c r="E79" s="6"/>
      <c r="F79" s="6"/>
      <c r="G79" s="6"/>
      <c r="H79" s="6"/>
    </row>
    <row r="80" spans="1:8">
      <c r="A80" s="10"/>
      <c r="B80" s="2" t="s">
        <v>50</v>
      </c>
      <c r="C80" s="22">
        <v>5250</v>
      </c>
      <c r="D80" s="22">
        <v>4500</v>
      </c>
      <c r="E80" s="22">
        <v>3750</v>
      </c>
      <c r="F80" s="22">
        <v>3000</v>
      </c>
      <c r="G80" s="22">
        <v>2250</v>
      </c>
      <c r="H80" s="22">
        <v>1500</v>
      </c>
    </row>
    <row r="81" spans="1:8">
      <c r="A81" s="10"/>
      <c r="B81" s="2" t="s">
        <v>112</v>
      </c>
      <c r="C81" s="24">
        <v>1.6500000000000001</v>
      </c>
      <c r="D81" s="24">
        <v>1.6500000000000001</v>
      </c>
      <c r="E81" s="24">
        <v>1.6500000000000001</v>
      </c>
      <c r="F81" s="24">
        <v>1.6500000000000001</v>
      </c>
      <c r="G81" s="24">
        <v>1.6500000000000001</v>
      </c>
      <c r="H81" s="24">
        <v>1.6500000000000001</v>
      </c>
    </row>
    <row r="82" spans="1:8">
      <c r="A82" s="10"/>
      <c r="B82" s="2" t="s">
        <v>51</v>
      </c>
      <c r="C82" s="12">
        <f t="shared" ref="C82:H82" si="21">SUM(C80:C81)</f>
        <v>5251.65</v>
      </c>
      <c r="D82" s="12">
        <f t="shared" si="21"/>
        <v>4501.6499999999996</v>
      </c>
      <c r="E82" s="12">
        <f t="shared" si="21"/>
        <v>3751.65</v>
      </c>
      <c r="F82" s="12">
        <f t="shared" si="21"/>
        <v>3001.65</v>
      </c>
      <c r="G82" s="12">
        <f t="shared" si="21"/>
        <v>2251.65</v>
      </c>
      <c r="H82" s="12">
        <f t="shared" si="21"/>
        <v>1501.65</v>
      </c>
    </row>
    <row r="83" spans="1:8">
      <c r="A83" s="10"/>
      <c r="C83" s="6"/>
      <c r="D83" s="6"/>
      <c r="E83" s="6"/>
      <c r="F83" s="6"/>
      <c r="G83" s="6"/>
      <c r="H83" s="6"/>
    </row>
    <row r="84" spans="1:8">
      <c r="A84" s="10"/>
      <c r="B84" s="13" t="s">
        <v>12</v>
      </c>
      <c r="C84" s="27">
        <f>C78+C82</f>
        <v>6285.5999999999995</v>
      </c>
      <c r="D84" s="27">
        <f t="shared" ref="D84:H84" si="22">D78+D82</f>
        <v>5544.8137499999993</v>
      </c>
      <c r="E84" s="27">
        <f t="shared" si="22"/>
        <v>4804.2401250000003</v>
      </c>
      <c r="F84" s="27">
        <f t="shared" si="22"/>
        <v>4063.8773531249999</v>
      </c>
      <c r="G84" s="27">
        <f t="shared" si="22"/>
        <v>3323.7229537499998</v>
      </c>
      <c r="H84" s="27">
        <f t="shared" si="22"/>
        <v>2583.7736710546878</v>
      </c>
    </row>
    <row r="85" spans="1:8">
      <c r="A85" s="10"/>
      <c r="C85" s="6"/>
      <c r="D85" s="6"/>
      <c r="E85" s="6"/>
      <c r="F85" s="6"/>
      <c r="G85" s="6"/>
      <c r="H85" s="6"/>
    </row>
    <row r="86" spans="1:8">
      <c r="A86" s="10"/>
      <c r="B86" s="13" t="s">
        <v>52</v>
      </c>
      <c r="C86" s="6"/>
      <c r="D86" s="25"/>
      <c r="E86" s="25"/>
      <c r="F86" s="25"/>
      <c r="G86" s="25"/>
      <c r="H86" s="25"/>
    </row>
    <row r="87" spans="1:8">
      <c r="A87" s="10"/>
      <c r="B87" s="2" t="s">
        <v>13</v>
      </c>
      <c r="C87" s="22">
        <v>5550</v>
      </c>
      <c r="D87" s="22">
        <v>5550</v>
      </c>
      <c r="E87" s="22">
        <v>5550</v>
      </c>
      <c r="F87" s="22">
        <v>5550</v>
      </c>
      <c r="G87" s="22">
        <v>5550</v>
      </c>
      <c r="H87" s="22">
        <v>5550</v>
      </c>
    </row>
    <row r="88" spans="1:8">
      <c r="A88" s="10"/>
      <c r="B88" s="2" t="s">
        <v>14</v>
      </c>
      <c r="C88" s="24">
        <v>11767.422408612922</v>
      </c>
      <c r="D88" s="24">
        <v>12262.535306435493</v>
      </c>
      <c r="E88" s="24">
        <v>12855.379981742761</v>
      </c>
      <c r="F88" s="24">
        <v>13551.44980801177</v>
      </c>
      <c r="G88" s="24">
        <v>14356.601628249915</v>
      </c>
      <c r="H88" s="24">
        <v>15277.078544162636</v>
      </c>
    </row>
    <row r="89" spans="1:8" s="13" customFormat="1">
      <c r="A89" s="20"/>
      <c r="B89" s="13" t="s">
        <v>53</v>
      </c>
      <c r="C89" s="27">
        <f>SUM(C87:C88)</f>
        <v>17317.422408612922</v>
      </c>
      <c r="D89" s="27">
        <f t="shared" ref="D89:H89" si="23">SUM(D87:D88)</f>
        <v>17812.535306435493</v>
      </c>
      <c r="E89" s="27">
        <f t="shared" si="23"/>
        <v>18405.379981742761</v>
      </c>
      <c r="F89" s="27">
        <f t="shared" si="23"/>
        <v>19101.44980801177</v>
      </c>
      <c r="G89" s="27">
        <f t="shared" si="23"/>
        <v>19906.601628249915</v>
      </c>
      <c r="H89" s="27">
        <f t="shared" si="23"/>
        <v>20827.078544162636</v>
      </c>
    </row>
    <row r="90" spans="1:8" s="13" customFormat="1">
      <c r="A90" s="20"/>
      <c r="C90" s="27"/>
      <c r="D90" s="27"/>
      <c r="E90" s="27"/>
      <c r="F90" s="27"/>
      <c r="G90" s="27"/>
      <c r="H90" s="27"/>
    </row>
    <row r="91" spans="1:8">
      <c r="A91" s="10"/>
      <c r="B91" s="13" t="s">
        <v>54</v>
      </c>
      <c r="C91" s="27">
        <f>C84+C89</f>
        <v>23603.02240861292</v>
      </c>
      <c r="D91" s="27">
        <f t="shared" ref="D91:H91" si="24">D84+D89</f>
        <v>23357.349056435494</v>
      </c>
      <c r="E91" s="27">
        <f t="shared" si="24"/>
        <v>23209.620106742761</v>
      </c>
      <c r="F91" s="27">
        <f t="shared" si="24"/>
        <v>23165.327161136771</v>
      </c>
      <c r="G91" s="27">
        <f t="shared" si="24"/>
        <v>23230.324581999914</v>
      </c>
      <c r="H91" s="27">
        <f t="shared" si="24"/>
        <v>23410.852215217325</v>
      </c>
    </row>
    <row r="92" spans="1:8">
      <c r="A92" s="10"/>
      <c r="B92" s="11" t="s">
        <v>15</v>
      </c>
      <c r="C92" s="6">
        <f t="shared" ref="C92:H92" si="25">C72-C91</f>
        <v>0</v>
      </c>
      <c r="D92" s="6">
        <f t="shared" si="25"/>
        <v>0</v>
      </c>
      <c r="E92" s="6">
        <f t="shared" si="25"/>
        <v>0</v>
      </c>
      <c r="F92" s="6">
        <f t="shared" si="25"/>
        <v>0</v>
      </c>
      <c r="G92" s="6">
        <f t="shared" si="25"/>
        <v>0</v>
      </c>
      <c r="H92" s="6">
        <f t="shared" si="25"/>
        <v>0</v>
      </c>
    </row>
    <row r="93" spans="1:8">
      <c r="A93" s="10"/>
      <c r="B93" s="15"/>
      <c r="C93" s="16"/>
      <c r="D93" s="16"/>
      <c r="E93" s="16"/>
      <c r="F93" s="16"/>
      <c r="G93" s="16"/>
      <c r="H93" s="16"/>
    </row>
    <row r="96" spans="1:8" ht="18" thickBot="1">
      <c r="A96" s="23" t="s">
        <v>55</v>
      </c>
      <c r="B96" s="1"/>
      <c r="C96" s="23"/>
      <c r="D96" s="23"/>
      <c r="E96" s="23"/>
      <c r="F96" s="23"/>
      <c r="G96" s="23"/>
      <c r="H96" s="23"/>
    </row>
    <row r="97" spans="1:8" ht="16.5" thickTop="1"/>
    <row r="99" spans="1:8" ht="19.5">
      <c r="A99" s="7"/>
      <c r="B99" s="8" t="s">
        <v>22</v>
      </c>
      <c r="C99" s="28"/>
      <c r="D99" s="28"/>
      <c r="E99" s="28"/>
      <c r="F99" s="28"/>
      <c r="G99" s="28"/>
      <c r="H99" s="28"/>
    </row>
    <row r="100" spans="1:8">
      <c r="A100" s="10"/>
      <c r="B100" s="11" t="s">
        <v>23</v>
      </c>
    </row>
    <row r="101" spans="1:8">
      <c r="A101" s="10"/>
    </row>
    <row r="102" spans="1:8">
      <c r="A102" s="10"/>
      <c r="C102" s="133">
        <f t="shared" ref="C102:H102" si="26">C59</f>
        <v>44926</v>
      </c>
      <c r="D102" s="134">
        <f t="shared" si="26"/>
        <v>45291</v>
      </c>
      <c r="E102" s="134">
        <f t="shared" si="26"/>
        <v>45657</v>
      </c>
      <c r="F102" s="134">
        <f t="shared" si="26"/>
        <v>46022</v>
      </c>
      <c r="G102" s="134">
        <f t="shared" si="26"/>
        <v>46387</v>
      </c>
      <c r="H102" s="134">
        <f t="shared" si="26"/>
        <v>46752</v>
      </c>
    </row>
    <row r="103" spans="1:8">
      <c r="A103" s="10"/>
    </row>
    <row r="104" spans="1:8">
      <c r="A104" s="10"/>
      <c r="B104" s="2" t="s">
        <v>2</v>
      </c>
      <c r="C104" s="22">
        <v>2142.8571428571431</v>
      </c>
      <c r="D104" s="22">
        <v>2271.4285714285716</v>
      </c>
      <c r="E104" s="22">
        <v>2407.7142857142862</v>
      </c>
      <c r="F104" s="22">
        <v>2552.1771428571433</v>
      </c>
      <c r="G104" s="22">
        <v>2705.3077714285719</v>
      </c>
      <c r="H104" s="22">
        <v>2867.6262377142866</v>
      </c>
    </row>
    <row r="105" spans="1:8">
      <c r="A105" s="10"/>
      <c r="B105" s="2" t="s">
        <v>24</v>
      </c>
      <c r="C105" s="24">
        <v>-1242.8571428571431</v>
      </c>
      <c r="D105" s="24">
        <v>-1294.714285714286</v>
      </c>
      <c r="E105" s="24">
        <v>-1348.3200000000004</v>
      </c>
      <c r="F105" s="24">
        <v>-1403.6974285714289</v>
      </c>
      <c r="G105" s="24">
        <v>-1460.8661965714291</v>
      </c>
      <c r="H105" s="24">
        <v>-1519.8419059885719</v>
      </c>
    </row>
    <row r="106" spans="1:8">
      <c r="A106" s="10"/>
      <c r="B106" s="2" t="s">
        <v>25</v>
      </c>
      <c r="C106" s="12">
        <f>SUM(C104:C105)</f>
        <v>900</v>
      </c>
      <c r="D106" s="12">
        <f t="shared" ref="D106:H106" si="27">SUM(D104:D105)</f>
        <v>976.71428571428555</v>
      </c>
      <c r="E106" s="12">
        <f t="shared" si="27"/>
        <v>1059.3942857142858</v>
      </c>
      <c r="F106" s="12">
        <f t="shared" si="27"/>
        <v>1148.4797142857144</v>
      </c>
      <c r="G106" s="12">
        <f t="shared" si="27"/>
        <v>1244.4415748571428</v>
      </c>
      <c r="H106" s="12">
        <f t="shared" si="27"/>
        <v>1347.7843317257148</v>
      </c>
    </row>
    <row r="107" spans="1:8">
      <c r="A107" s="10"/>
      <c r="B107" s="2" t="s">
        <v>26</v>
      </c>
      <c r="C107" s="24">
        <v>-85.714285714285722</v>
      </c>
      <c r="D107" s="24">
        <v>-90.857142857142861</v>
      </c>
      <c r="E107" s="24">
        <v>-96.30857142857144</v>
      </c>
      <c r="F107" s="24">
        <v>-102.08708571428573</v>
      </c>
      <c r="G107" s="24">
        <v>-108.21231085714288</v>
      </c>
      <c r="H107" s="24">
        <v>-114.70504950857145</v>
      </c>
    </row>
    <row r="108" spans="1:8">
      <c r="A108" s="10"/>
      <c r="B108" s="2" t="s">
        <v>3</v>
      </c>
      <c r="C108" s="12">
        <f>SUM(C106:C107)</f>
        <v>814.28571428571422</v>
      </c>
      <c r="D108" s="12">
        <f t="shared" ref="D108:H108" si="28">SUM(D106:D107)</f>
        <v>885.85714285714266</v>
      </c>
      <c r="E108" s="12">
        <f t="shared" si="28"/>
        <v>963.0857142857144</v>
      </c>
      <c r="F108" s="12">
        <f t="shared" si="28"/>
        <v>1046.3926285714288</v>
      </c>
      <c r="G108" s="12">
        <f t="shared" si="28"/>
        <v>1136.2292639999998</v>
      </c>
      <c r="H108" s="12">
        <f t="shared" si="28"/>
        <v>1233.0792822171434</v>
      </c>
    </row>
    <row r="109" spans="1:8">
      <c r="A109" s="10"/>
      <c r="B109" s="2" t="s">
        <v>27</v>
      </c>
      <c r="C109" s="24">
        <v>-310.71428571428572</v>
      </c>
      <c r="D109" s="24">
        <v>-329.35714285714289</v>
      </c>
      <c r="E109" s="24">
        <v>-349.11857142857144</v>
      </c>
      <c r="F109" s="24">
        <v>-370.06568571428573</v>
      </c>
      <c r="G109" s="24">
        <v>-392.26962685714295</v>
      </c>
      <c r="H109" s="24">
        <v>-415.80580446857152</v>
      </c>
    </row>
    <row r="110" spans="1:8">
      <c r="A110" s="10"/>
      <c r="B110" s="2" t="s">
        <v>4</v>
      </c>
      <c r="C110" s="12">
        <f>SUM(C108:C109)</f>
        <v>503.5714285714285</v>
      </c>
      <c r="D110" s="12">
        <f t="shared" ref="D110:H110" si="29">SUM(D108:D109)</f>
        <v>556.49999999999977</v>
      </c>
      <c r="E110" s="12">
        <f t="shared" si="29"/>
        <v>613.96714285714302</v>
      </c>
      <c r="F110" s="12">
        <f t="shared" si="29"/>
        <v>676.32694285714297</v>
      </c>
      <c r="G110" s="12">
        <f t="shared" si="29"/>
        <v>743.95963714285688</v>
      </c>
      <c r="H110" s="12">
        <f t="shared" si="29"/>
        <v>817.27347774857185</v>
      </c>
    </row>
    <row r="111" spans="1:8">
      <c r="A111" s="10"/>
      <c r="B111" s="2" t="s">
        <v>28</v>
      </c>
      <c r="C111" s="24">
        <v>-182.67902605904314</v>
      </c>
      <c r="D111" s="24">
        <v>-160.94891488804075</v>
      </c>
      <c r="E111" s="24">
        <v>-139.03089656611809</v>
      </c>
      <c r="F111" s="24">
        <v>-116.90694155820489</v>
      </c>
      <c r="G111" s="24">
        <v>-94.563646056093745</v>
      </c>
      <c r="H111" s="24">
        <v>-71.986556748901279</v>
      </c>
    </row>
    <row r="112" spans="1:8">
      <c r="A112" s="10"/>
      <c r="B112" s="2" t="s">
        <v>5</v>
      </c>
      <c r="C112" s="12">
        <f>SUM(C110:C111)</f>
        <v>320.89240251238539</v>
      </c>
      <c r="D112" s="12">
        <f t="shared" ref="D112:H112" si="30">SUM(D110:D111)</f>
        <v>395.55108511195903</v>
      </c>
      <c r="E112" s="12">
        <f t="shared" si="30"/>
        <v>474.93624629102493</v>
      </c>
      <c r="F112" s="12">
        <f t="shared" si="30"/>
        <v>559.42000129893813</v>
      </c>
      <c r="G112" s="12">
        <f t="shared" si="30"/>
        <v>649.39599108676316</v>
      </c>
      <c r="H112" s="12">
        <f t="shared" si="30"/>
        <v>745.28692099967054</v>
      </c>
    </row>
    <row r="113" spans="1:8">
      <c r="A113" s="10"/>
      <c r="B113" s="2" t="s">
        <v>29</v>
      </c>
      <c r="C113" s="24">
        <v>-73.805252577848648</v>
      </c>
      <c r="D113" s="24">
        <v>-90.976749575750617</v>
      </c>
      <c r="E113" s="24">
        <v>-109.23533664693571</v>
      </c>
      <c r="F113" s="24">
        <v>-128.6666002987557</v>
      </c>
      <c r="G113" s="24">
        <v>-149.36107794995561</v>
      </c>
      <c r="H113" s="24">
        <v>-171.41599182992417</v>
      </c>
    </row>
    <row r="114" spans="1:8">
      <c r="A114" s="10"/>
      <c r="B114" s="13" t="s">
        <v>6</v>
      </c>
      <c r="C114" s="14">
        <f>SUM(C112:C113)</f>
        <v>247.08714993453674</v>
      </c>
      <c r="D114" s="14">
        <f t="shared" ref="D114:H114" si="31">SUM(D112:D113)</f>
        <v>304.57433553620842</v>
      </c>
      <c r="E114" s="14">
        <f t="shared" si="31"/>
        <v>365.70090964408922</v>
      </c>
      <c r="F114" s="14">
        <f t="shared" si="31"/>
        <v>430.75340100018241</v>
      </c>
      <c r="G114" s="14">
        <f t="shared" si="31"/>
        <v>500.03491313680752</v>
      </c>
      <c r="H114" s="14">
        <f t="shared" si="31"/>
        <v>573.87092916974643</v>
      </c>
    </row>
    <row r="115" spans="1:8">
      <c r="A115" s="10"/>
      <c r="B115" s="15"/>
      <c r="C115" s="21"/>
      <c r="D115" s="21"/>
      <c r="E115" s="21"/>
      <c r="F115" s="21"/>
      <c r="G115" s="21"/>
      <c r="H115" s="21"/>
    </row>
    <row r="116" spans="1:8">
      <c r="A116" s="10"/>
      <c r="C116" s="18"/>
      <c r="D116" s="18"/>
      <c r="E116" s="18"/>
      <c r="F116" s="18"/>
      <c r="G116" s="18"/>
      <c r="H116" s="18"/>
    </row>
    <row r="117" spans="1:8">
      <c r="A117" s="10"/>
      <c r="C117" s="18"/>
      <c r="D117" s="18"/>
      <c r="E117" s="18"/>
      <c r="F117" s="18"/>
      <c r="G117" s="18"/>
      <c r="H117" s="18"/>
    </row>
    <row r="118" spans="1:8" ht="19.5">
      <c r="A118" s="7"/>
      <c r="B118" s="8" t="s">
        <v>7</v>
      </c>
      <c r="C118" s="9"/>
      <c r="D118" s="9"/>
      <c r="E118" s="9"/>
      <c r="F118" s="9"/>
      <c r="G118" s="9"/>
      <c r="H118" s="9"/>
    </row>
    <row r="119" spans="1:8">
      <c r="A119" s="10"/>
      <c r="B119" s="11" t="s">
        <v>23</v>
      </c>
    </row>
    <row r="120" spans="1:8">
      <c r="A120" s="10"/>
      <c r="B120" s="11"/>
    </row>
    <row r="121" spans="1:8">
      <c r="A121" s="10"/>
      <c r="C121" s="133">
        <f t="shared" ref="C121:H121" si="32">C102</f>
        <v>44926</v>
      </c>
      <c r="D121" s="134">
        <f t="shared" si="32"/>
        <v>45291</v>
      </c>
      <c r="E121" s="134">
        <f t="shared" si="32"/>
        <v>45657</v>
      </c>
      <c r="F121" s="134">
        <f t="shared" si="32"/>
        <v>46022</v>
      </c>
      <c r="G121" s="134">
        <f t="shared" si="32"/>
        <v>46387</v>
      </c>
      <c r="H121" s="134">
        <f t="shared" si="32"/>
        <v>46752</v>
      </c>
    </row>
    <row r="122" spans="1:8">
      <c r="A122" s="10"/>
      <c r="B122" s="11"/>
    </row>
    <row r="123" spans="1:8">
      <c r="A123" s="10"/>
      <c r="B123" s="13" t="s">
        <v>30</v>
      </c>
      <c r="C123" s="18"/>
    </row>
    <row r="124" spans="1:8">
      <c r="A124" s="10"/>
      <c r="B124" s="2" t="s">
        <v>6</v>
      </c>
      <c r="C124" s="12">
        <f t="shared" ref="C124:H124" si="33">C114</f>
        <v>247.08714993453674</v>
      </c>
      <c r="D124" s="12">
        <f t="shared" si="33"/>
        <v>304.57433553620842</v>
      </c>
      <c r="E124" s="12">
        <f t="shared" si="33"/>
        <v>365.70090964408922</v>
      </c>
      <c r="F124" s="12">
        <f t="shared" si="33"/>
        <v>430.75340100018241</v>
      </c>
      <c r="G124" s="12">
        <f t="shared" si="33"/>
        <v>500.03491313680752</v>
      </c>
      <c r="H124" s="12">
        <f t="shared" si="33"/>
        <v>573.87092916974643</v>
      </c>
    </row>
    <row r="125" spans="1:8">
      <c r="A125" s="10"/>
      <c r="B125" s="2" t="s">
        <v>31</v>
      </c>
      <c r="C125" s="12">
        <f t="shared" ref="C125:H125" si="34">-C109</f>
        <v>310.71428571428572</v>
      </c>
      <c r="D125" s="12">
        <f t="shared" si="34"/>
        <v>329.35714285714289</v>
      </c>
      <c r="E125" s="12">
        <f t="shared" si="34"/>
        <v>349.11857142857144</v>
      </c>
      <c r="F125" s="12">
        <f t="shared" si="34"/>
        <v>370.06568571428573</v>
      </c>
      <c r="G125" s="12">
        <f t="shared" si="34"/>
        <v>392.26962685714295</v>
      </c>
      <c r="H125" s="12">
        <f t="shared" si="34"/>
        <v>415.80580446857152</v>
      </c>
    </row>
    <row r="126" spans="1:8">
      <c r="A126" s="10"/>
      <c r="B126" s="2" t="s">
        <v>32</v>
      </c>
      <c r="C126" s="24">
        <v>-13.5</v>
      </c>
      <c r="D126" s="24">
        <v>-16.611428571428604</v>
      </c>
      <c r="E126" s="24">
        <v>-17.52634285714278</v>
      </c>
      <c r="F126" s="24">
        <v>-18.491245714285753</v>
      </c>
      <c r="G126" s="24">
        <v>-19.508842080000065</v>
      </c>
      <c r="H126" s="24">
        <v>-20.581981525028581</v>
      </c>
    </row>
    <row r="127" spans="1:8">
      <c r="A127" s="10"/>
      <c r="B127" s="2" t="s">
        <v>30</v>
      </c>
      <c r="C127" s="12">
        <f>SUM(C124:C126)</f>
        <v>544.30143564882246</v>
      </c>
      <c r="D127" s="12">
        <f t="shared" ref="D127:H127" si="35">SUM(D124:D126)</f>
        <v>617.32004982192268</v>
      </c>
      <c r="E127" s="12">
        <f t="shared" si="35"/>
        <v>697.29313821551784</v>
      </c>
      <c r="F127" s="12">
        <f t="shared" si="35"/>
        <v>782.32784100018239</v>
      </c>
      <c r="G127" s="12">
        <f t="shared" si="35"/>
        <v>872.79569791395045</v>
      </c>
      <c r="H127" s="12">
        <f t="shared" si="35"/>
        <v>969.09475211328936</v>
      </c>
    </row>
    <row r="128" spans="1:8">
      <c r="A128" s="10"/>
      <c r="B128" s="11"/>
      <c r="C128" s="6"/>
      <c r="D128" s="25"/>
      <c r="E128" s="25"/>
      <c r="F128" s="25"/>
      <c r="G128" s="25"/>
      <c r="H128" s="25"/>
    </row>
    <row r="129" spans="1:8">
      <c r="A129" s="10"/>
      <c r="B129" s="13" t="s">
        <v>33</v>
      </c>
      <c r="C129" s="6"/>
      <c r="D129" s="6"/>
      <c r="E129" s="6"/>
      <c r="F129" s="6"/>
      <c r="G129" s="6"/>
      <c r="H129" s="6"/>
    </row>
    <row r="130" spans="1:8">
      <c r="A130" s="10"/>
      <c r="B130" s="2" t="s">
        <v>34</v>
      </c>
      <c r="C130" s="24">
        <v>-341.78571428571428</v>
      </c>
      <c r="D130" s="24">
        <v>-362.2928571428572</v>
      </c>
      <c r="E130" s="24">
        <v>-384.03042857142862</v>
      </c>
      <c r="F130" s="24">
        <v>-407.07225428571434</v>
      </c>
      <c r="G130" s="24">
        <v>-431.49658954285724</v>
      </c>
      <c r="H130" s="24">
        <v>-457.38638491542872</v>
      </c>
    </row>
    <row r="131" spans="1:8">
      <c r="A131" s="10"/>
      <c r="B131" s="2" t="s">
        <v>33</v>
      </c>
      <c r="C131" s="12">
        <f t="shared" ref="C131:H131" si="36">SUM(C130:C130)</f>
        <v>-341.78571428571428</v>
      </c>
      <c r="D131" s="12">
        <f t="shared" si="36"/>
        <v>-362.2928571428572</v>
      </c>
      <c r="E131" s="12">
        <f t="shared" si="36"/>
        <v>-384.03042857142862</v>
      </c>
      <c r="F131" s="12">
        <f t="shared" si="36"/>
        <v>-407.07225428571434</v>
      </c>
      <c r="G131" s="12">
        <f t="shared" si="36"/>
        <v>-431.49658954285724</v>
      </c>
      <c r="H131" s="12">
        <f t="shared" si="36"/>
        <v>-457.38638491542872</v>
      </c>
    </row>
    <row r="132" spans="1:8">
      <c r="A132" s="10"/>
      <c r="C132" s="12"/>
      <c r="D132" s="12"/>
      <c r="E132" s="12"/>
      <c r="F132" s="12"/>
      <c r="G132" s="12"/>
      <c r="H132" s="12"/>
    </row>
    <row r="133" spans="1:8">
      <c r="A133" s="10"/>
      <c r="B133" s="13" t="s">
        <v>35</v>
      </c>
      <c r="C133" s="6"/>
      <c r="D133" s="25"/>
      <c r="E133" s="25"/>
      <c r="F133" s="25"/>
      <c r="G133" s="25"/>
      <c r="H133" s="25"/>
    </row>
    <row r="134" spans="1:8">
      <c r="A134" s="10"/>
      <c r="B134" s="2" t="s">
        <v>36</v>
      </c>
      <c r="C134" s="22">
        <v>-300</v>
      </c>
      <c r="D134" s="22">
        <v>-300</v>
      </c>
      <c r="E134" s="22">
        <v>-300</v>
      </c>
      <c r="F134" s="22">
        <v>-300</v>
      </c>
      <c r="G134" s="22">
        <v>-300</v>
      </c>
      <c r="H134" s="22">
        <v>-300</v>
      </c>
    </row>
    <row r="135" spans="1:8">
      <c r="A135" s="10"/>
      <c r="B135" s="2" t="s">
        <v>37</v>
      </c>
      <c r="C135" s="22">
        <v>0</v>
      </c>
      <c r="D135" s="22">
        <v>0</v>
      </c>
      <c r="E135" s="22">
        <v>0</v>
      </c>
      <c r="F135" s="22">
        <v>0</v>
      </c>
      <c r="G135" s="22">
        <v>0</v>
      </c>
      <c r="H135" s="22">
        <v>0</v>
      </c>
    </row>
    <row r="136" spans="1:8">
      <c r="A136" s="10"/>
      <c r="B136" s="2" t="s">
        <v>38</v>
      </c>
      <c r="C136" s="24">
        <v>-74.126144980361019</v>
      </c>
      <c r="D136" s="24">
        <v>-91.372300660862578</v>
      </c>
      <c r="E136" s="24">
        <v>-109.71027289322672</v>
      </c>
      <c r="F136" s="24">
        <v>-129.22602030005464</v>
      </c>
      <c r="G136" s="24">
        <v>-150.01047394104236</v>
      </c>
      <c r="H136" s="24">
        <v>-172.16127875092383</v>
      </c>
    </row>
    <row r="137" spans="1:8">
      <c r="A137" s="10"/>
      <c r="B137" s="2" t="s">
        <v>35</v>
      </c>
      <c r="C137" s="12">
        <f>SUM(C134:C136)</f>
        <v>-374.126144980361</v>
      </c>
      <c r="D137" s="12">
        <f t="shared" ref="D137:H137" si="37">SUM(D134:D136)</f>
        <v>-391.37230066086261</v>
      </c>
      <c r="E137" s="12">
        <f t="shared" si="37"/>
        <v>-409.71027289322672</v>
      </c>
      <c r="F137" s="12">
        <f t="shared" si="37"/>
        <v>-429.22602030005464</v>
      </c>
      <c r="G137" s="12">
        <f t="shared" si="37"/>
        <v>-450.01047394104239</v>
      </c>
      <c r="H137" s="12">
        <f t="shared" si="37"/>
        <v>-472.16127875092383</v>
      </c>
    </row>
    <row r="138" spans="1:8">
      <c r="A138" s="10"/>
      <c r="C138" s="12"/>
      <c r="D138" s="12"/>
      <c r="E138" s="12"/>
      <c r="F138" s="12"/>
      <c r="G138" s="12"/>
      <c r="H138" s="12"/>
    </row>
    <row r="139" spans="1:8">
      <c r="A139" s="10"/>
      <c r="B139" s="2" t="s">
        <v>39</v>
      </c>
      <c r="C139" s="22">
        <v>1800</v>
      </c>
      <c r="D139" s="12">
        <f>C141</f>
        <v>1628.3895763827472</v>
      </c>
      <c r="E139" s="12">
        <f t="shared" ref="E139:H139" si="38">D141</f>
        <v>1492.0444684009501</v>
      </c>
      <c r="F139" s="12">
        <f t="shared" si="38"/>
        <v>1395.5969051518127</v>
      </c>
      <c r="G139" s="12">
        <f t="shared" si="38"/>
        <v>1341.6264715662262</v>
      </c>
      <c r="H139" s="12">
        <f t="shared" si="38"/>
        <v>1332.9151059962769</v>
      </c>
    </row>
    <row r="140" spans="1:8">
      <c r="A140" s="10"/>
      <c r="B140" s="2" t="s">
        <v>40</v>
      </c>
      <c r="C140" s="26">
        <f>C127+C131+C137</f>
        <v>-171.61042361725282</v>
      </c>
      <c r="D140" s="26">
        <f t="shared" ref="D140:H140" si="39">D127+D131+D137</f>
        <v>-136.34510798179713</v>
      </c>
      <c r="E140" s="26">
        <f t="shared" si="39"/>
        <v>-96.447563249137488</v>
      </c>
      <c r="F140" s="26">
        <f t="shared" si="39"/>
        <v>-53.970433585586591</v>
      </c>
      <c r="G140" s="26">
        <f t="shared" si="39"/>
        <v>-8.7113655699491801</v>
      </c>
      <c r="H140" s="26">
        <f t="shared" si="39"/>
        <v>39.547088446936812</v>
      </c>
    </row>
    <row r="141" spans="1:8">
      <c r="A141" s="10"/>
      <c r="B141" s="13" t="s">
        <v>41</v>
      </c>
      <c r="C141" s="14">
        <f>SUM(C139:C140)</f>
        <v>1628.3895763827472</v>
      </c>
      <c r="D141" s="14">
        <f t="shared" ref="D141:H141" si="40">SUM(D139:D140)</f>
        <v>1492.0444684009501</v>
      </c>
      <c r="E141" s="14">
        <f t="shared" si="40"/>
        <v>1395.5969051518127</v>
      </c>
      <c r="F141" s="14">
        <f t="shared" si="40"/>
        <v>1341.6264715662262</v>
      </c>
      <c r="G141" s="14">
        <f t="shared" si="40"/>
        <v>1332.9151059962769</v>
      </c>
      <c r="H141" s="14">
        <f t="shared" si="40"/>
        <v>1372.4621944432138</v>
      </c>
    </row>
    <row r="142" spans="1:8">
      <c r="A142" s="10"/>
      <c r="B142" s="15"/>
      <c r="C142" s="16"/>
      <c r="D142" s="16"/>
      <c r="E142" s="16"/>
      <c r="F142" s="16"/>
      <c r="G142" s="16"/>
      <c r="H142" s="16"/>
    </row>
    <row r="143" spans="1:8">
      <c r="A143" s="10"/>
      <c r="C143" s="18"/>
      <c r="D143" s="18"/>
      <c r="E143" s="18"/>
      <c r="F143" s="18"/>
      <c r="G143" s="18"/>
      <c r="H143" s="18"/>
    </row>
    <row r="144" spans="1:8">
      <c r="A144" s="10"/>
      <c r="C144" s="18"/>
      <c r="D144" s="18"/>
      <c r="E144" s="18"/>
      <c r="F144" s="18"/>
      <c r="G144" s="18"/>
      <c r="H144" s="18"/>
    </row>
    <row r="145" spans="1:8" ht="19.5">
      <c r="A145" s="7"/>
      <c r="B145" s="8" t="s">
        <v>8</v>
      </c>
      <c r="C145" s="9"/>
      <c r="D145" s="9"/>
      <c r="E145" s="9"/>
      <c r="F145" s="9"/>
      <c r="G145" s="9"/>
      <c r="H145" s="9"/>
    </row>
    <row r="146" spans="1:8">
      <c r="A146" s="10"/>
      <c r="B146" s="11" t="s">
        <v>23</v>
      </c>
    </row>
    <row r="147" spans="1:8">
      <c r="A147" s="10"/>
      <c r="B147" s="11"/>
    </row>
    <row r="148" spans="1:8">
      <c r="A148" s="10"/>
      <c r="C148" s="133">
        <f t="shared" ref="C148:H148" si="41">C121</f>
        <v>44926</v>
      </c>
      <c r="D148" s="134">
        <f t="shared" si="41"/>
        <v>45291</v>
      </c>
      <c r="E148" s="134">
        <f t="shared" si="41"/>
        <v>45657</v>
      </c>
      <c r="F148" s="134">
        <f t="shared" si="41"/>
        <v>46022</v>
      </c>
      <c r="G148" s="134">
        <f t="shared" si="41"/>
        <v>46387</v>
      </c>
      <c r="H148" s="134">
        <f t="shared" si="41"/>
        <v>46752</v>
      </c>
    </row>
    <row r="149" spans="1:8">
      <c r="A149" s="10"/>
      <c r="C149" s="19"/>
      <c r="D149" s="19"/>
      <c r="E149" s="19"/>
      <c r="F149" s="19"/>
      <c r="G149" s="19"/>
      <c r="H149" s="19"/>
    </row>
    <row r="150" spans="1:8">
      <c r="A150" s="10"/>
      <c r="B150" s="13" t="s">
        <v>42</v>
      </c>
      <c r="C150" s="19"/>
      <c r="D150" s="19"/>
      <c r="E150" s="19"/>
      <c r="F150" s="19"/>
      <c r="G150" s="19"/>
      <c r="H150" s="19"/>
    </row>
    <row r="151" spans="1:8">
      <c r="A151" s="10"/>
      <c r="B151" s="2" t="s">
        <v>43</v>
      </c>
      <c r="C151" s="12">
        <f>C141</f>
        <v>1628.3895763827472</v>
      </c>
      <c r="D151" s="12">
        <f t="shared" ref="D151:H151" si="42">D141</f>
        <v>1492.0444684009501</v>
      </c>
      <c r="E151" s="12">
        <f t="shared" si="42"/>
        <v>1395.5969051518127</v>
      </c>
      <c r="F151" s="12">
        <f t="shared" si="42"/>
        <v>1341.6264715662262</v>
      </c>
      <c r="G151" s="12">
        <f t="shared" si="42"/>
        <v>1332.9151059962769</v>
      </c>
      <c r="H151" s="12">
        <f t="shared" si="42"/>
        <v>1372.4621944432138</v>
      </c>
    </row>
    <row r="152" spans="1:8">
      <c r="A152" s="10"/>
      <c r="B152" s="2" t="s">
        <v>44</v>
      </c>
      <c r="C152" s="22">
        <v>171.42857142857144</v>
      </c>
      <c r="D152" s="22">
        <v>181.71428571428572</v>
      </c>
      <c r="E152" s="22">
        <v>192.61714285714288</v>
      </c>
      <c r="F152" s="22">
        <v>204.17417142857147</v>
      </c>
      <c r="G152" s="22">
        <v>216.42462171428576</v>
      </c>
      <c r="H152" s="22">
        <v>229.4100990171429</v>
      </c>
    </row>
    <row r="153" spans="1:8">
      <c r="A153" s="10"/>
      <c r="B153" s="2" t="s">
        <v>1</v>
      </c>
      <c r="C153" s="22">
        <v>186.42857142857144</v>
      </c>
      <c r="D153" s="22">
        <v>194.20714285714288</v>
      </c>
      <c r="E153" s="22">
        <v>202.24800000000005</v>
      </c>
      <c r="F153" s="22">
        <v>210.55461428571431</v>
      </c>
      <c r="G153" s="22">
        <v>219.12992948571434</v>
      </c>
      <c r="H153" s="22">
        <v>227.97628589828579</v>
      </c>
    </row>
    <row r="154" spans="1:8">
      <c r="A154" s="10"/>
      <c r="B154" s="2" t="s">
        <v>109</v>
      </c>
      <c r="C154" s="24">
        <v>53.571428571428569</v>
      </c>
      <c r="D154" s="24">
        <v>56.785714285714292</v>
      </c>
      <c r="E154" s="24">
        <v>60.19285714285715</v>
      </c>
      <c r="F154" s="24">
        <v>63.804428571428588</v>
      </c>
      <c r="G154" s="24">
        <v>67.632694285714308</v>
      </c>
      <c r="H154" s="24">
        <v>71.690655942857163</v>
      </c>
    </row>
    <row r="155" spans="1:8">
      <c r="A155" s="10"/>
      <c r="B155" s="2" t="s">
        <v>9</v>
      </c>
      <c r="C155" s="6">
        <f>SUM(C151:C154)</f>
        <v>2039.818147811319</v>
      </c>
      <c r="D155" s="6">
        <f t="shared" ref="D155:H155" si="43">SUM(D151:D154)</f>
        <v>1924.7516112580929</v>
      </c>
      <c r="E155" s="6">
        <f t="shared" si="43"/>
        <v>1850.6549051518127</v>
      </c>
      <c r="F155" s="6">
        <f t="shared" si="43"/>
        <v>1820.1596858519406</v>
      </c>
      <c r="G155" s="6">
        <f t="shared" si="43"/>
        <v>1836.1023514819915</v>
      </c>
      <c r="H155" s="6">
        <f t="shared" si="43"/>
        <v>1901.5392353014995</v>
      </c>
    </row>
    <row r="156" spans="1:8">
      <c r="A156" s="10"/>
      <c r="C156" s="6"/>
      <c r="D156" s="25"/>
      <c r="E156" s="25"/>
      <c r="F156" s="25"/>
      <c r="G156" s="25"/>
      <c r="H156" s="25"/>
    </row>
    <row r="157" spans="1:8">
      <c r="A157" s="10"/>
      <c r="B157" s="2" t="s">
        <v>45</v>
      </c>
      <c r="C157" s="22">
        <v>6214.2857142857138</v>
      </c>
      <c r="D157" s="22">
        <v>6247.2214285714272</v>
      </c>
      <c r="E157" s="22">
        <v>6282.1332857142843</v>
      </c>
      <c r="F157" s="22">
        <v>6319.1398542857114</v>
      </c>
      <c r="G157" s="22">
        <v>6358.3668169714274</v>
      </c>
      <c r="H157" s="22">
        <v>6399.9473974182847</v>
      </c>
    </row>
    <row r="158" spans="1:8">
      <c r="A158" s="10"/>
      <c r="B158" s="2" t="s">
        <v>110</v>
      </c>
      <c r="C158" s="24">
        <v>18</v>
      </c>
      <c r="D158" s="24">
        <v>18</v>
      </c>
      <c r="E158" s="24">
        <v>18</v>
      </c>
      <c r="F158" s="24">
        <v>18</v>
      </c>
      <c r="G158" s="24">
        <v>18</v>
      </c>
      <c r="H158" s="24">
        <v>18</v>
      </c>
    </row>
    <row r="159" spans="1:8">
      <c r="A159" s="10"/>
      <c r="B159" s="2" t="s">
        <v>46</v>
      </c>
      <c r="C159" s="6">
        <f>SUM(C157:C158)</f>
        <v>6232.2857142857138</v>
      </c>
      <c r="D159" s="6">
        <f t="shared" ref="D159:H159" si="44">SUM(D157:D158)</f>
        <v>6265.2214285714272</v>
      </c>
      <c r="E159" s="6">
        <f t="shared" si="44"/>
        <v>6300.1332857142843</v>
      </c>
      <c r="F159" s="6">
        <f t="shared" si="44"/>
        <v>6337.1398542857114</v>
      </c>
      <c r="G159" s="6">
        <f t="shared" si="44"/>
        <v>6376.3668169714274</v>
      </c>
      <c r="H159" s="6">
        <f t="shared" si="44"/>
        <v>6417.9473974182847</v>
      </c>
    </row>
    <row r="160" spans="1:8">
      <c r="A160" s="10"/>
      <c r="C160" s="6"/>
      <c r="D160" s="6"/>
      <c r="E160" s="6"/>
      <c r="F160" s="6"/>
      <c r="G160" s="6"/>
      <c r="H160" s="6"/>
    </row>
    <row r="161" spans="1:8">
      <c r="A161" s="10"/>
      <c r="B161" s="13" t="s">
        <v>10</v>
      </c>
      <c r="C161" s="27">
        <f>C155+C159</f>
        <v>8272.1038620970321</v>
      </c>
      <c r="D161" s="27">
        <f t="shared" ref="D161:H161" si="45">D155+D159</f>
        <v>8189.9730398295196</v>
      </c>
      <c r="E161" s="27">
        <f t="shared" si="45"/>
        <v>8150.7881908660966</v>
      </c>
      <c r="F161" s="27">
        <f t="shared" si="45"/>
        <v>8157.299540137652</v>
      </c>
      <c r="G161" s="27">
        <f t="shared" si="45"/>
        <v>8212.4691684534191</v>
      </c>
      <c r="H161" s="27">
        <f t="shared" si="45"/>
        <v>8319.4866327197851</v>
      </c>
    </row>
    <row r="162" spans="1:8">
      <c r="A162" s="10"/>
      <c r="C162" s="6"/>
      <c r="D162" s="6"/>
      <c r="E162" s="6"/>
      <c r="F162" s="6"/>
      <c r="G162" s="6"/>
      <c r="H162" s="6"/>
    </row>
    <row r="163" spans="1:8">
      <c r="A163" s="10"/>
      <c r="B163" s="13" t="s">
        <v>47</v>
      </c>
      <c r="C163" s="6"/>
      <c r="D163" s="6"/>
      <c r="E163" s="6"/>
      <c r="F163" s="6"/>
      <c r="G163" s="6"/>
      <c r="H163" s="6"/>
    </row>
    <row r="164" spans="1:8">
      <c r="A164" s="10"/>
      <c r="B164" s="2" t="s">
        <v>48</v>
      </c>
      <c r="C164" s="22">
        <v>111.85714285714288</v>
      </c>
      <c r="D164" s="22">
        <v>116.52428571428574</v>
      </c>
      <c r="E164" s="22">
        <v>121.34880000000004</v>
      </c>
      <c r="F164" s="22">
        <v>126.3327685714286</v>
      </c>
      <c r="G164" s="22">
        <v>131.47795769142863</v>
      </c>
      <c r="H164" s="22">
        <v>136.78577153897146</v>
      </c>
    </row>
    <row r="165" spans="1:8">
      <c r="A165" s="10"/>
      <c r="B165" s="2" t="s">
        <v>49</v>
      </c>
      <c r="C165" s="22">
        <v>300</v>
      </c>
      <c r="D165" s="22">
        <v>300</v>
      </c>
      <c r="E165" s="22">
        <v>300</v>
      </c>
      <c r="F165" s="22">
        <v>300</v>
      </c>
      <c r="G165" s="22">
        <v>300</v>
      </c>
      <c r="H165" s="22">
        <v>300</v>
      </c>
    </row>
    <row r="166" spans="1:8">
      <c r="A166" s="10"/>
      <c r="B166" s="2" t="s">
        <v>111</v>
      </c>
      <c r="C166" s="24">
        <v>9.4499999999999993</v>
      </c>
      <c r="D166" s="24">
        <v>9.4499999999999993</v>
      </c>
      <c r="E166" s="24">
        <v>9.4499999999999993</v>
      </c>
      <c r="F166" s="24">
        <v>9.4499999999999993</v>
      </c>
      <c r="G166" s="24">
        <v>9.4499999999999993</v>
      </c>
      <c r="H166" s="24">
        <v>9.4499999999999993</v>
      </c>
    </row>
    <row r="167" spans="1:8">
      <c r="A167" s="10"/>
      <c r="B167" s="2" t="s">
        <v>11</v>
      </c>
      <c r="C167" s="12">
        <f>SUM(C164:C166)</f>
        <v>421.30714285714288</v>
      </c>
      <c r="D167" s="12">
        <f t="shared" ref="D167:H167" si="46">SUM(D164:D166)</f>
        <v>425.97428571428571</v>
      </c>
      <c r="E167" s="12">
        <f t="shared" si="46"/>
        <v>430.79880000000003</v>
      </c>
      <c r="F167" s="12">
        <f t="shared" si="46"/>
        <v>435.78276857142856</v>
      </c>
      <c r="G167" s="12">
        <f t="shared" si="46"/>
        <v>440.92795769142862</v>
      </c>
      <c r="H167" s="12">
        <f t="shared" si="46"/>
        <v>446.23577153897145</v>
      </c>
    </row>
    <row r="168" spans="1:8">
      <c r="A168" s="10"/>
      <c r="C168" s="6"/>
      <c r="D168" s="6"/>
      <c r="E168" s="6"/>
      <c r="F168" s="6"/>
      <c r="G168" s="6"/>
      <c r="H168" s="6"/>
    </row>
    <row r="169" spans="1:8">
      <c r="A169" s="10"/>
      <c r="B169" s="2" t="s">
        <v>50</v>
      </c>
      <c r="C169" s="22">
        <v>2100</v>
      </c>
      <c r="D169" s="22">
        <v>1800</v>
      </c>
      <c r="E169" s="22">
        <v>1500</v>
      </c>
      <c r="F169" s="22">
        <v>1200</v>
      </c>
      <c r="G169" s="22">
        <v>900</v>
      </c>
      <c r="H169" s="22">
        <v>600</v>
      </c>
    </row>
    <row r="170" spans="1:8">
      <c r="A170" s="10"/>
      <c r="B170" s="2" t="s">
        <v>112</v>
      </c>
      <c r="C170" s="24">
        <v>3</v>
      </c>
      <c r="D170" s="24">
        <v>3</v>
      </c>
      <c r="E170" s="24">
        <v>3</v>
      </c>
      <c r="F170" s="24">
        <v>3</v>
      </c>
      <c r="G170" s="24">
        <v>3</v>
      </c>
      <c r="H170" s="24">
        <v>3</v>
      </c>
    </row>
    <row r="171" spans="1:8">
      <c r="A171" s="10"/>
      <c r="B171" s="2" t="s">
        <v>51</v>
      </c>
      <c r="C171" s="12">
        <f t="shared" ref="C171:H171" si="47">SUM(C169:C170)</f>
        <v>2103</v>
      </c>
      <c r="D171" s="12">
        <f t="shared" si="47"/>
        <v>1803</v>
      </c>
      <c r="E171" s="12">
        <f t="shared" si="47"/>
        <v>1503</v>
      </c>
      <c r="F171" s="12">
        <f t="shared" si="47"/>
        <v>1203</v>
      </c>
      <c r="G171" s="12">
        <f t="shared" si="47"/>
        <v>903</v>
      </c>
      <c r="H171" s="12">
        <f t="shared" si="47"/>
        <v>603</v>
      </c>
    </row>
    <row r="172" spans="1:8">
      <c r="A172" s="10"/>
      <c r="C172" s="6"/>
      <c r="D172" s="6"/>
      <c r="E172" s="6"/>
      <c r="F172" s="6"/>
      <c r="G172" s="6"/>
      <c r="H172" s="6"/>
    </row>
    <row r="173" spans="1:8">
      <c r="A173" s="10"/>
      <c r="B173" s="13" t="s">
        <v>12</v>
      </c>
      <c r="C173" s="27">
        <f>C167+C171</f>
        <v>2524.3071428571429</v>
      </c>
      <c r="D173" s="27">
        <f t="shared" ref="D173:H173" si="48">D167+D171</f>
        <v>2228.9742857142855</v>
      </c>
      <c r="E173" s="27">
        <f t="shared" si="48"/>
        <v>1933.7988</v>
      </c>
      <c r="F173" s="27">
        <f t="shared" si="48"/>
        <v>1638.7827685714285</v>
      </c>
      <c r="G173" s="27">
        <f t="shared" si="48"/>
        <v>1343.9279576914287</v>
      </c>
      <c r="H173" s="27">
        <f t="shared" si="48"/>
        <v>1049.2357715389714</v>
      </c>
    </row>
    <row r="174" spans="1:8">
      <c r="A174" s="10"/>
      <c r="C174" s="6"/>
      <c r="D174" s="6"/>
      <c r="E174" s="6"/>
      <c r="F174" s="6"/>
      <c r="G174" s="6"/>
      <c r="H174" s="6"/>
    </row>
    <row r="175" spans="1:8">
      <c r="A175" s="10"/>
      <c r="B175" s="13" t="s">
        <v>52</v>
      </c>
      <c r="C175" s="6"/>
      <c r="D175" s="25"/>
      <c r="E175" s="25"/>
      <c r="F175" s="25"/>
      <c r="G175" s="25"/>
      <c r="H175" s="25"/>
    </row>
    <row r="176" spans="1:8">
      <c r="A176" s="10"/>
      <c r="B176" s="2" t="s">
        <v>13</v>
      </c>
      <c r="C176" s="22">
        <v>3300</v>
      </c>
      <c r="D176" s="22">
        <v>3300</v>
      </c>
      <c r="E176" s="22">
        <v>3300</v>
      </c>
      <c r="F176" s="22">
        <v>3300</v>
      </c>
      <c r="G176" s="22">
        <v>3300</v>
      </c>
      <c r="H176" s="22">
        <v>3300</v>
      </c>
    </row>
    <row r="177" spans="1:8">
      <c r="A177" s="10"/>
      <c r="B177" s="2" t="s">
        <v>14</v>
      </c>
      <c r="C177" s="24">
        <v>2447.7967192398878</v>
      </c>
      <c r="D177" s="24">
        <v>2660.9987541152341</v>
      </c>
      <c r="E177" s="24">
        <v>2916.9893908660961</v>
      </c>
      <c r="F177" s="24">
        <v>3218.5167715662237</v>
      </c>
      <c r="G177" s="24">
        <v>3568.5412107619895</v>
      </c>
      <c r="H177" s="24">
        <v>3970.2508611808125</v>
      </c>
    </row>
    <row r="178" spans="1:8" s="13" customFormat="1">
      <c r="A178" s="20"/>
      <c r="B178" s="13" t="s">
        <v>53</v>
      </c>
      <c r="C178" s="27">
        <f>SUM(C176:C177)</f>
        <v>5747.7967192398883</v>
      </c>
      <c r="D178" s="27">
        <f t="shared" ref="D178:H178" si="49">SUM(D176:D177)</f>
        <v>5960.9987541152341</v>
      </c>
      <c r="E178" s="27">
        <f t="shared" si="49"/>
        <v>6216.9893908660961</v>
      </c>
      <c r="F178" s="27">
        <f t="shared" si="49"/>
        <v>6518.5167715662237</v>
      </c>
      <c r="G178" s="27">
        <f t="shared" si="49"/>
        <v>6868.5412107619895</v>
      </c>
      <c r="H178" s="27">
        <f t="shared" si="49"/>
        <v>7270.2508611808125</v>
      </c>
    </row>
    <row r="179" spans="1:8" s="13" customFormat="1">
      <c r="A179" s="20"/>
      <c r="C179" s="27"/>
      <c r="D179" s="27"/>
      <c r="E179" s="27"/>
      <c r="F179" s="27"/>
      <c r="G179" s="27"/>
      <c r="H179" s="27"/>
    </row>
    <row r="180" spans="1:8">
      <c r="A180" s="10"/>
      <c r="B180" s="13" t="s">
        <v>54</v>
      </c>
      <c r="C180" s="27">
        <f>C173+C178</f>
        <v>8272.1038620970321</v>
      </c>
      <c r="D180" s="27">
        <f t="shared" ref="D180:H180" si="50">D173+D178</f>
        <v>8189.9730398295196</v>
      </c>
      <c r="E180" s="27">
        <f t="shared" si="50"/>
        <v>8150.7881908660966</v>
      </c>
      <c r="F180" s="27">
        <f t="shared" si="50"/>
        <v>8157.299540137652</v>
      </c>
      <c r="G180" s="27">
        <f t="shared" si="50"/>
        <v>8212.4691684534191</v>
      </c>
      <c r="H180" s="27">
        <f t="shared" si="50"/>
        <v>8319.4866327197833</v>
      </c>
    </row>
    <row r="181" spans="1:8">
      <c r="A181" s="10"/>
      <c r="B181" s="11" t="s">
        <v>15</v>
      </c>
      <c r="C181" s="6">
        <f t="shared" ref="C181:H181" si="51">C161-C180</f>
        <v>0</v>
      </c>
      <c r="D181" s="6">
        <f t="shared" si="51"/>
        <v>0</v>
      </c>
      <c r="E181" s="6">
        <f t="shared" si="51"/>
        <v>0</v>
      </c>
      <c r="F181" s="6">
        <f t="shared" si="51"/>
        <v>0</v>
      </c>
      <c r="G181" s="6">
        <f t="shared" si="51"/>
        <v>0</v>
      </c>
      <c r="H181" s="6">
        <f t="shared" si="51"/>
        <v>0</v>
      </c>
    </row>
    <row r="182" spans="1:8">
      <c r="A182" s="10"/>
      <c r="B182" s="15"/>
      <c r="C182" s="16"/>
      <c r="D182" s="16"/>
      <c r="E182" s="16"/>
      <c r="F182" s="16"/>
      <c r="G182" s="16"/>
      <c r="H182" s="16"/>
    </row>
  </sheetData>
  <conditionalFormatting sqref="C92:H92">
    <cfRule type="expression" dxfId="11" priority="2">
      <formula>C92&lt;&gt;0</formula>
    </cfRule>
  </conditionalFormatting>
  <conditionalFormatting sqref="C181:H181">
    <cfRule type="expression" dxfId="10" priority="1">
      <formula>C181&lt;&gt;0</formula>
    </cfRule>
  </conditionalFormatting>
  <dataValidations count="1">
    <dataValidation type="custom" allowBlank="1" showInputMessage="1" showErrorMessage="1" errorTitle="Error" error="Please enter a percentage:_x000a__x000a_1) &gt;=0% but &lt;20%, or_x000a_2) &gt;50% but &lt;=100%_x000a_" sqref="E4" xr:uid="{8E0AE6D1-0DDA-4D3F-BD87-BEC74F41CFCC}">
      <formula1>OR(AND($E$4&gt;=0,$E$4&lt;0.2),AND($E$4&gt;0.5,$E$4&lt;=1))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7CEA-C529-4027-B7D8-A98CDE274605}">
  <dimension ref="B2:AE301"/>
  <sheetViews>
    <sheetView showGridLines="0" topLeftCell="H64" zoomScale="70" zoomScaleNormal="70" workbookViewId="0">
      <selection activeCell="AA116" sqref="AA116"/>
    </sheetView>
  </sheetViews>
  <sheetFormatPr defaultColWidth="8.7109375" defaultRowHeight="12.75"/>
  <cols>
    <col min="1" max="1" width="3.140625" style="33" customWidth="1"/>
    <col min="2" max="2" width="2.85546875" style="33" customWidth="1"/>
    <col min="3" max="3" width="40.5703125" style="33" customWidth="1"/>
    <col min="4" max="9" width="12.5703125" style="33" customWidth="1"/>
    <col min="10" max="10" width="8.7109375" style="33"/>
    <col min="11" max="11" width="2.85546875" style="33" customWidth="1"/>
    <col min="12" max="12" width="40.5703125" style="33" customWidth="1"/>
    <col min="13" max="20" width="12.5703125" style="33" customWidth="1"/>
    <col min="21" max="21" width="8.7109375" style="33"/>
    <col min="22" max="22" width="2.85546875" style="33" customWidth="1"/>
    <col min="23" max="23" width="40.5703125" style="33" customWidth="1"/>
    <col min="24" max="31" width="12.5703125" style="33" customWidth="1"/>
    <col min="32" max="16384" width="8.7109375" style="33"/>
  </cols>
  <sheetData>
    <row r="2" spans="2:9" ht="15.75">
      <c r="B2" s="30" t="s">
        <v>56</v>
      </c>
      <c r="C2" s="31"/>
      <c r="D2" s="31"/>
      <c r="E2" s="31"/>
      <c r="F2" s="31"/>
      <c r="G2" s="31"/>
      <c r="H2" s="31"/>
      <c r="I2" s="32"/>
    </row>
    <row r="4" spans="2:9">
      <c r="C4" s="33" t="s">
        <v>56</v>
      </c>
      <c r="D4" s="34" t="s">
        <v>57</v>
      </c>
    </row>
    <row r="6" spans="2:9">
      <c r="B6" s="35"/>
      <c r="C6" s="35"/>
      <c r="D6" s="35"/>
      <c r="E6" s="35"/>
      <c r="F6" s="35"/>
      <c r="G6" s="35"/>
      <c r="H6" s="35"/>
      <c r="I6" s="35"/>
    </row>
    <row r="7" spans="2:9" ht="15.75">
      <c r="B7" s="30" t="s">
        <v>58</v>
      </c>
      <c r="C7" s="31"/>
      <c r="D7" s="31"/>
      <c r="E7" s="31"/>
      <c r="F7" s="31"/>
      <c r="G7" s="31"/>
      <c r="H7" s="31"/>
      <c r="I7" s="32"/>
    </row>
    <row r="9" spans="2:9" ht="15">
      <c r="E9" s="65" t="s">
        <v>59</v>
      </c>
      <c r="F9" s="65"/>
      <c r="G9" s="65"/>
    </row>
    <row r="10" spans="2:9">
      <c r="C10" s="66"/>
      <c r="E10" s="36">
        <v>0.15</v>
      </c>
      <c r="F10" s="36">
        <v>0.6</v>
      </c>
      <c r="G10" s="36">
        <v>1</v>
      </c>
    </row>
    <row r="11" spans="2:9">
      <c r="C11" s="67" t="s">
        <v>60</v>
      </c>
      <c r="D11" s="68">
        <f>$H$117</f>
        <v>15317.239763840285</v>
      </c>
      <c r="E11" s="69">
        <f t="dataTable" ref="E11:G14" dt2D="0" dtr="1" r1="E26"/>
        <v>14428.649488419189</v>
      </c>
      <c r="F11" s="70">
        <v>15317.239763840285</v>
      </c>
      <c r="G11" s="71">
        <v>15957.6651875672</v>
      </c>
    </row>
    <row r="12" spans="2:9">
      <c r="C12" s="67" t="s">
        <v>61</v>
      </c>
      <c r="D12" s="68">
        <f>$F$95</f>
        <v>0</v>
      </c>
      <c r="E12" s="72">
        <v>1012.5</v>
      </c>
      <c r="F12" s="37">
        <v>0</v>
      </c>
      <c r="G12" s="73">
        <v>0</v>
      </c>
    </row>
    <row r="13" spans="2:9">
      <c r="C13" s="67" t="s">
        <v>62</v>
      </c>
      <c r="D13" s="68">
        <f>$G$118</f>
        <v>3008.2880209305345</v>
      </c>
      <c r="E13" s="72">
        <v>0</v>
      </c>
      <c r="F13" s="37">
        <v>3008.2880209305345</v>
      </c>
      <c r="G13" s="73">
        <v>0</v>
      </c>
    </row>
    <row r="14" spans="2:9">
      <c r="C14" s="67" t="s">
        <v>63</v>
      </c>
      <c r="D14" s="68">
        <f>$I$41</f>
        <v>3913.2705634671438</v>
      </c>
      <c r="E14" s="74">
        <v>2680.1912812500004</v>
      </c>
      <c r="F14" s="75">
        <v>3913.2705634671438</v>
      </c>
      <c r="G14" s="76">
        <v>3913.2705634671438</v>
      </c>
    </row>
    <row r="16" spans="2:9">
      <c r="C16" s="35"/>
      <c r="D16" s="35"/>
      <c r="E16" s="35"/>
      <c r="F16" s="35"/>
      <c r="G16" s="35"/>
      <c r="H16" s="35"/>
      <c r="I16" s="35"/>
    </row>
    <row r="18" spans="2:31" ht="15.6" customHeight="1">
      <c r="B18" s="30" t="str">
        <f>"LIVE: CURRENTLY RUNNING: "&amp;UPPER(I27)</f>
        <v>LIVE: CURRENTLY RUNNING: CONSOLIDATION METHOD</v>
      </c>
      <c r="C18" s="31"/>
      <c r="D18" s="31"/>
      <c r="E18" s="31"/>
      <c r="F18" s="31"/>
      <c r="G18" s="31"/>
      <c r="H18" s="31"/>
      <c r="I18" s="32"/>
      <c r="K18" s="30" t="s">
        <v>64</v>
      </c>
      <c r="L18" s="31"/>
      <c r="M18" s="31"/>
      <c r="N18" s="31"/>
      <c r="O18" s="31"/>
      <c r="P18" s="31"/>
      <c r="Q18" s="31"/>
      <c r="R18" s="31"/>
      <c r="S18" s="31"/>
      <c r="T18" s="32"/>
      <c r="V18" s="30" t="s">
        <v>65</v>
      </c>
      <c r="W18" s="31"/>
      <c r="X18" s="31"/>
      <c r="Y18" s="31"/>
      <c r="Z18" s="31"/>
      <c r="AA18" s="31"/>
      <c r="AB18" s="31"/>
      <c r="AC18" s="31"/>
      <c r="AD18" s="31"/>
      <c r="AE18" s="32"/>
    </row>
    <row r="20" spans="2:31">
      <c r="C20" s="77" t="s">
        <v>66</v>
      </c>
      <c r="F20" s="78">
        <v>0.2</v>
      </c>
      <c r="G20" s="79"/>
      <c r="H20" s="80" t="s">
        <v>67</v>
      </c>
      <c r="L20" s="33" t="str">
        <f>C20</f>
        <v>If WW acquires &lt;20% JP Motors' equity, the Cost Method is applied.</v>
      </c>
      <c r="W20" s="33" t="str">
        <f>C21</f>
        <v>If WW acquires &gt;50% of JP Motors' equity, the Consolidation Method is applied.</v>
      </c>
    </row>
    <row r="21" spans="2:31">
      <c r="C21" s="77" t="s">
        <v>68</v>
      </c>
      <c r="F21" s="81">
        <v>0.5</v>
      </c>
      <c r="G21" s="38"/>
      <c r="H21" s="80" t="s">
        <v>69</v>
      </c>
    </row>
    <row r="23" spans="2:31" ht="15.6" customHeight="1">
      <c r="B23" s="30" t="s">
        <v>16</v>
      </c>
      <c r="C23" s="31"/>
      <c r="D23" s="31"/>
      <c r="E23" s="31"/>
      <c r="F23" s="31"/>
      <c r="G23" s="31"/>
      <c r="H23" s="31"/>
      <c r="I23" s="32"/>
      <c r="K23" s="30" t="s">
        <v>16</v>
      </c>
      <c r="L23" s="31"/>
      <c r="M23" s="31"/>
      <c r="N23" s="31"/>
      <c r="O23" s="31"/>
      <c r="P23" s="31"/>
      <c r="Q23" s="31"/>
      <c r="R23" s="31"/>
      <c r="S23" s="31"/>
      <c r="T23" s="32"/>
      <c r="V23" s="30" t="s">
        <v>16</v>
      </c>
      <c r="W23" s="31"/>
      <c r="X23" s="31"/>
      <c r="Y23" s="31"/>
      <c r="Z23" s="31"/>
      <c r="AA23" s="31"/>
      <c r="AB23" s="31"/>
      <c r="AC23" s="31"/>
      <c r="AD23" s="31"/>
      <c r="AE23" s="32"/>
    </row>
    <row r="24" spans="2:31">
      <c r="D24" s="39"/>
      <c r="O24" s="39"/>
      <c r="Z24" s="39"/>
    </row>
    <row r="25" spans="2:31">
      <c r="C25" s="33" t="s">
        <v>70</v>
      </c>
      <c r="D25" s="38" t="s">
        <v>18</v>
      </c>
      <c r="E25" s="40">
        <f>CaseData!E3</f>
        <v>6750</v>
      </c>
      <c r="G25" s="41" t="s">
        <v>71</v>
      </c>
      <c r="H25" s="42"/>
      <c r="I25" s="43" t="str">
        <f>IF(AND(MAX(D122:I122)=0, MIN(D122:I122)=0), "Balanced", "Error")</f>
        <v>Balanced</v>
      </c>
      <c r="L25" s="33" t="str">
        <f>$C$25</f>
        <v>Value of 100% of JP Motors' Equity</v>
      </c>
      <c r="M25" s="38" t="str">
        <f>$D$25</f>
        <v>USD$ millions</v>
      </c>
      <c r="N25" s="40">
        <f>$E25</f>
        <v>6750</v>
      </c>
      <c r="Q25" s="41" t="s">
        <v>71</v>
      </c>
      <c r="R25" s="42"/>
      <c r="S25" s="43" t="str">
        <f>IF(AND(MAX(O122:T122)=0, MIN(O122:T122)=0), "Balanced", "Error")</f>
        <v>Balanced</v>
      </c>
      <c r="W25" s="33" t="str">
        <f>$C$25</f>
        <v>Value of 100% of JP Motors' Equity</v>
      </c>
      <c r="X25" s="38" t="str">
        <f>$D$25</f>
        <v>USD$ millions</v>
      </c>
      <c r="Y25" s="40">
        <f>$E25</f>
        <v>6750</v>
      </c>
      <c r="AB25" s="41" t="s">
        <v>71</v>
      </c>
      <c r="AC25" s="42"/>
      <c r="AD25" s="43" t="str">
        <f>IF(AND(MAX(Z122:AE122)=0, MIN(Z122:AE122)=0), "Balanced", "Error")</f>
        <v>Balanced</v>
      </c>
    </row>
    <row r="26" spans="2:31">
      <c r="C26" s="33" t="s">
        <v>19</v>
      </c>
      <c r="D26" s="38" t="s">
        <v>20</v>
      </c>
      <c r="E26" s="119">
        <f>CaseData!E4</f>
        <v>0.6</v>
      </c>
      <c r="I26" s="45"/>
      <c r="L26" s="33" t="str">
        <f>$C$26</f>
        <v>Percentage of JP Motors' Equity Acquired by WW</v>
      </c>
      <c r="M26" s="38" t="str">
        <f>$D$26</f>
        <v>%</v>
      </c>
      <c r="N26" s="44">
        <f>$E26</f>
        <v>0.6</v>
      </c>
      <c r="S26" s="45"/>
      <c r="W26" s="33" t="str">
        <f>$C$26</f>
        <v>Percentage of JP Motors' Equity Acquired by WW</v>
      </c>
      <c r="X26" s="38" t="str">
        <f>$D$26</f>
        <v>%</v>
      </c>
      <c r="Y26" s="44">
        <f>$E26</f>
        <v>0.6</v>
      </c>
      <c r="AD26" s="45"/>
    </row>
    <row r="27" spans="2:31">
      <c r="D27" s="38"/>
      <c r="E27" s="82"/>
      <c r="G27" s="41" t="s">
        <v>72</v>
      </c>
      <c r="H27" s="42"/>
      <c r="I27" s="46" t="str">
        <f>IF(E26&lt;F20,H20,H21)</f>
        <v>Consolidation Method</v>
      </c>
      <c r="P27" s="38"/>
      <c r="Q27" s="41" t="s">
        <v>72</v>
      </c>
      <c r="R27" s="42"/>
      <c r="S27" s="46" t="str">
        <f>H20</f>
        <v>Cost Method</v>
      </c>
      <c r="Z27" s="38"/>
      <c r="AA27" s="116"/>
      <c r="AB27" s="41" t="s">
        <v>72</v>
      </c>
      <c r="AC27" s="42"/>
      <c r="AD27" s="46" t="str">
        <f>H21</f>
        <v>Consolidation Method</v>
      </c>
    </row>
    <row r="29" spans="2:31" ht="15.75">
      <c r="B29" s="30" t="str">
        <f>"WW Financial Statements (Pro-Forma under "&amp;I27&amp;")"</f>
        <v>WW Financial Statements (Pro-Forma under Consolidation Method)</v>
      </c>
      <c r="C29" s="31"/>
      <c r="D29" s="31"/>
      <c r="E29" s="31"/>
      <c r="F29" s="31"/>
      <c r="G29" s="31"/>
      <c r="H29" s="31"/>
      <c r="I29" s="32"/>
      <c r="K29" s="30" t="str">
        <f>"WW Financial Statements (Pro-Forma under "&amp;S27&amp;")"</f>
        <v>WW Financial Statements (Pro-Forma under Cost Method)</v>
      </c>
      <c r="L29" s="31"/>
      <c r="M29" s="31"/>
      <c r="N29" s="31"/>
      <c r="O29" s="31"/>
      <c r="P29" s="31"/>
      <c r="Q29" s="31"/>
      <c r="R29" s="31"/>
      <c r="S29" s="31"/>
      <c r="T29" s="32"/>
      <c r="V29" s="30" t="str">
        <f>"WW Financial Statements (Pro-Forma under "&amp;AD27&amp;")"</f>
        <v>WW Financial Statements (Pro-Forma under Consolidation Method)</v>
      </c>
      <c r="W29" s="31"/>
      <c r="X29" s="31"/>
      <c r="Y29" s="31"/>
      <c r="Z29" s="31"/>
      <c r="AA29" s="31"/>
      <c r="AB29" s="31"/>
      <c r="AC29" s="31"/>
      <c r="AD29" s="31"/>
      <c r="AE29" s="32"/>
    </row>
    <row r="32" spans="2:31" ht="15">
      <c r="B32" s="47"/>
      <c r="C32" s="49" t="str">
        <f>"WW Income Statement (Pro-Forma under "&amp;I27&amp;")"</f>
        <v>WW Income Statement (Pro-Forma under Consolidation Method)</v>
      </c>
      <c r="D32" s="48"/>
      <c r="E32" s="48"/>
      <c r="F32" s="48"/>
      <c r="G32" s="48"/>
      <c r="H32" s="48"/>
      <c r="I32" s="48"/>
      <c r="K32" s="47"/>
      <c r="L32" s="49" t="str">
        <f>"WW Income Statement (Pro-Forma under "&amp;S27&amp;")"</f>
        <v>WW Income Statement (Pro-Forma under Cost Method)</v>
      </c>
      <c r="M32" s="49"/>
      <c r="N32" s="49"/>
      <c r="O32" s="48"/>
      <c r="P32" s="48"/>
      <c r="Q32" s="48"/>
      <c r="R32" s="48"/>
      <c r="S32" s="48"/>
      <c r="T32" s="48"/>
      <c r="V32" s="47"/>
      <c r="W32" s="49" t="str">
        <f>"WW Income Statement (Pro-Forma under "&amp;AD27&amp;")"</f>
        <v>WW Income Statement (Pro-Forma under Consolidation Method)</v>
      </c>
      <c r="X32" s="49"/>
      <c r="Y32" s="49"/>
      <c r="Z32" s="48"/>
      <c r="AA32" s="48"/>
      <c r="AB32" s="48"/>
      <c r="AC32" s="48"/>
      <c r="AD32" s="48"/>
      <c r="AE32" s="48"/>
    </row>
    <row r="33" spans="2:31">
      <c r="B33" s="50"/>
      <c r="C33" s="51" t="s">
        <v>23</v>
      </c>
      <c r="K33" s="50"/>
      <c r="L33" s="51" t="s">
        <v>23</v>
      </c>
      <c r="M33" s="51"/>
      <c r="N33" s="51"/>
      <c r="V33" s="50"/>
      <c r="W33" s="51" t="s">
        <v>23</v>
      </c>
      <c r="X33" s="51"/>
      <c r="Y33" s="51"/>
    </row>
    <row r="34" spans="2:31">
      <c r="B34" s="50"/>
      <c r="K34" s="50"/>
      <c r="V34" s="50"/>
    </row>
    <row r="35" spans="2:31">
      <c r="B35" s="50"/>
      <c r="D35" s="83">
        <f>O35</f>
        <v>44926</v>
      </c>
      <c r="E35" s="84">
        <f t="shared" ref="E35:I35" si="0">P35</f>
        <v>45291</v>
      </c>
      <c r="F35" s="84">
        <f t="shared" si="0"/>
        <v>45657</v>
      </c>
      <c r="G35" s="84">
        <f t="shared" si="0"/>
        <v>46022</v>
      </c>
      <c r="H35" s="84">
        <f t="shared" si="0"/>
        <v>46387</v>
      </c>
      <c r="I35" s="84">
        <f t="shared" si="0"/>
        <v>46752</v>
      </c>
      <c r="K35" s="50"/>
      <c r="O35" s="83">
        <f t="shared" ref="O35:T35" si="1">O132</f>
        <v>44926</v>
      </c>
      <c r="P35" s="84">
        <f t="shared" si="1"/>
        <v>45291</v>
      </c>
      <c r="Q35" s="84">
        <f t="shared" si="1"/>
        <v>45657</v>
      </c>
      <c r="R35" s="84">
        <f t="shared" si="1"/>
        <v>46022</v>
      </c>
      <c r="S35" s="84">
        <f t="shared" si="1"/>
        <v>46387</v>
      </c>
      <c r="T35" s="84">
        <f t="shared" si="1"/>
        <v>46752</v>
      </c>
      <c r="V35" s="50"/>
      <c r="Z35" s="83">
        <f t="shared" ref="Z35:AE35" si="2">Z132</f>
        <v>44926</v>
      </c>
      <c r="AA35" s="84">
        <f t="shared" si="2"/>
        <v>45291</v>
      </c>
      <c r="AB35" s="84">
        <f t="shared" si="2"/>
        <v>45657</v>
      </c>
      <c r="AC35" s="84">
        <f t="shared" si="2"/>
        <v>46022</v>
      </c>
      <c r="AD35" s="84">
        <f t="shared" si="2"/>
        <v>46387</v>
      </c>
      <c r="AE35" s="84">
        <f t="shared" si="2"/>
        <v>46752</v>
      </c>
    </row>
    <row r="36" spans="2:31">
      <c r="B36" s="50"/>
      <c r="K36" s="50"/>
      <c r="V36" s="50"/>
    </row>
    <row r="37" spans="2:31">
      <c r="B37" s="50"/>
      <c r="C37" s="33" t="s">
        <v>2</v>
      </c>
      <c r="D37" s="40"/>
      <c r="E37" s="40">
        <f t="shared" ref="E37:I38" si="3">IF($I$27=$H$20,P37,AA37)</f>
        <v>7783.9285714285716</v>
      </c>
      <c r="F37" s="40">
        <f t="shared" si="3"/>
        <v>8195.8392857142862</v>
      </c>
      <c r="G37" s="40">
        <f t="shared" si="3"/>
        <v>8629.7083928571428</v>
      </c>
      <c r="H37" s="40">
        <f t="shared" si="3"/>
        <v>9086.7155839285733</v>
      </c>
      <c r="I37" s="40">
        <f t="shared" si="3"/>
        <v>9568.1044408392881</v>
      </c>
      <c r="K37" s="50"/>
      <c r="L37" s="33" t="s">
        <v>2</v>
      </c>
      <c r="O37" s="40"/>
      <c r="P37" s="40">
        <f t="shared" ref="P37:T38" si="4">P134</f>
        <v>5512.5</v>
      </c>
      <c r="Q37" s="40">
        <f t="shared" si="4"/>
        <v>5788.125</v>
      </c>
      <c r="R37" s="40">
        <f t="shared" si="4"/>
        <v>6077.53125</v>
      </c>
      <c r="S37" s="40">
        <f t="shared" si="4"/>
        <v>6381.4078125000005</v>
      </c>
      <c r="T37" s="40">
        <f t="shared" si="4"/>
        <v>6700.4782031250015</v>
      </c>
      <c r="V37" s="50"/>
      <c r="W37" s="33" t="s">
        <v>2</v>
      </c>
      <c r="Z37" s="40"/>
      <c r="AA37" s="40">
        <f t="shared" ref="AA37:AE38" si="5">SUM(AA134,AA223)</f>
        <v>7783.9285714285716</v>
      </c>
      <c r="AB37" s="40">
        <f t="shared" si="5"/>
        <v>8195.8392857142862</v>
      </c>
      <c r="AC37" s="40">
        <f t="shared" si="5"/>
        <v>8629.7083928571428</v>
      </c>
      <c r="AD37" s="40">
        <f t="shared" si="5"/>
        <v>9086.7155839285733</v>
      </c>
      <c r="AE37" s="40">
        <f t="shared" si="5"/>
        <v>9568.1044408392881</v>
      </c>
    </row>
    <row r="38" spans="2:31">
      <c r="B38" s="50"/>
      <c r="C38" s="33" t="s">
        <v>24</v>
      </c>
      <c r="D38" s="40"/>
      <c r="E38" s="85">
        <f t="shared" si="3"/>
        <v>-4547.0892857142862</v>
      </c>
      <c r="F38" s="85">
        <f t="shared" si="3"/>
        <v>-4705.4324999999999</v>
      </c>
      <c r="G38" s="85">
        <f t="shared" si="3"/>
        <v>-4867.890241071429</v>
      </c>
      <c r="H38" s="85">
        <f t="shared" si="3"/>
        <v>-5034.4545715714285</v>
      </c>
      <c r="I38" s="85">
        <f t="shared" si="3"/>
        <v>-5205.1049177073228</v>
      </c>
      <c r="K38" s="50"/>
      <c r="L38" s="33" t="s">
        <v>24</v>
      </c>
      <c r="O38" s="40"/>
      <c r="P38" s="85">
        <f t="shared" si="4"/>
        <v>-3252.375</v>
      </c>
      <c r="Q38" s="85">
        <f t="shared" si="4"/>
        <v>-3357.1124999999997</v>
      </c>
      <c r="R38" s="85">
        <f t="shared" si="4"/>
        <v>-3464.1928124999999</v>
      </c>
      <c r="S38" s="85">
        <f t="shared" si="4"/>
        <v>-3573.5883749999998</v>
      </c>
      <c r="T38" s="85">
        <f t="shared" si="4"/>
        <v>-3685.2630117187509</v>
      </c>
      <c r="V38" s="50"/>
      <c r="W38" s="33" t="s">
        <v>24</v>
      </c>
      <c r="Z38" s="40"/>
      <c r="AA38" s="85">
        <f t="shared" si="5"/>
        <v>-4547.0892857142862</v>
      </c>
      <c r="AB38" s="85">
        <f t="shared" si="5"/>
        <v>-4705.4324999999999</v>
      </c>
      <c r="AC38" s="85">
        <f t="shared" si="5"/>
        <v>-4867.890241071429</v>
      </c>
      <c r="AD38" s="85">
        <f t="shared" si="5"/>
        <v>-5034.4545715714285</v>
      </c>
      <c r="AE38" s="85">
        <f t="shared" si="5"/>
        <v>-5205.1049177073228</v>
      </c>
    </row>
    <row r="39" spans="2:31">
      <c r="B39" s="50"/>
      <c r="C39" s="33" t="s">
        <v>25</v>
      </c>
      <c r="D39" s="40"/>
      <c r="E39" s="40">
        <f t="shared" ref="E39:I39" si="6">SUM(E37:E38)</f>
        <v>3236.8392857142853</v>
      </c>
      <c r="F39" s="40">
        <f t="shared" si="6"/>
        <v>3490.4067857142863</v>
      </c>
      <c r="G39" s="40">
        <f t="shared" si="6"/>
        <v>3761.8181517857138</v>
      </c>
      <c r="H39" s="40">
        <f t="shared" si="6"/>
        <v>4052.2610123571449</v>
      </c>
      <c r="I39" s="40">
        <f t="shared" si="6"/>
        <v>4362.9995231319654</v>
      </c>
      <c r="K39" s="50"/>
      <c r="L39" s="33" t="s">
        <v>25</v>
      </c>
      <c r="O39" s="40"/>
      <c r="P39" s="40">
        <f t="shared" ref="P39:T39" si="7">SUM(P37:P38)</f>
        <v>2260.125</v>
      </c>
      <c r="Q39" s="40">
        <f t="shared" si="7"/>
        <v>2431.0125000000003</v>
      </c>
      <c r="R39" s="40">
        <f t="shared" si="7"/>
        <v>2613.3384375000001</v>
      </c>
      <c r="S39" s="40">
        <f t="shared" si="7"/>
        <v>2807.8194375000007</v>
      </c>
      <c r="T39" s="40">
        <f t="shared" si="7"/>
        <v>3015.2151914062506</v>
      </c>
      <c r="V39" s="50"/>
      <c r="W39" s="33" t="s">
        <v>25</v>
      </c>
      <c r="Z39" s="40"/>
      <c r="AA39" s="40">
        <f t="shared" ref="AA39:AE39" si="8">SUM(AA37:AA38)</f>
        <v>3236.8392857142853</v>
      </c>
      <c r="AB39" s="40">
        <f t="shared" si="8"/>
        <v>3490.4067857142863</v>
      </c>
      <c r="AC39" s="40">
        <f t="shared" si="8"/>
        <v>3761.8181517857138</v>
      </c>
      <c r="AD39" s="40">
        <f t="shared" si="8"/>
        <v>4052.2610123571449</v>
      </c>
      <c r="AE39" s="40">
        <f t="shared" si="8"/>
        <v>4362.9995231319654</v>
      </c>
    </row>
    <row r="40" spans="2:31">
      <c r="B40" s="50"/>
      <c r="C40" s="33" t="s">
        <v>26</v>
      </c>
      <c r="D40" s="40"/>
      <c r="E40" s="85">
        <f>IF($I$27=$H$20,P40,AA40)</f>
        <v>-366.48214285714289</v>
      </c>
      <c r="F40" s="85">
        <f>IF($I$27=$H$20,Q40,AB40)</f>
        <v>-385.71482142857144</v>
      </c>
      <c r="G40" s="85">
        <f>IF($I$27=$H$20,R40,AC40)</f>
        <v>-405.96364821428574</v>
      </c>
      <c r="H40" s="85">
        <f>IF($I$27=$H$20,S40,AD40)</f>
        <v>-427.28270148214295</v>
      </c>
      <c r="I40" s="85">
        <f>IF($I$27=$H$20,T40,AE40)</f>
        <v>-449.72895966482156</v>
      </c>
      <c r="K40" s="50"/>
      <c r="L40" s="33" t="s">
        <v>26</v>
      </c>
      <c r="O40" s="40"/>
      <c r="P40" s="85">
        <f t="shared" ref="P40:T40" si="9">P137</f>
        <v>-275.625</v>
      </c>
      <c r="Q40" s="85">
        <f t="shared" si="9"/>
        <v>-289.40625</v>
      </c>
      <c r="R40" s="85">
        <f t="shared" si="9"/>
        <v>-303.87656250000003</v>
      </c>
      <c r="S40" s="85">
        <f t="shared" si="9"/>
        <v>-319.07039062500007</v>
      </c>
      <c r="T40" s="85">
        <f t="shared" si="9"/>
        <v>-335.02391015625011</v>
      </c>
      <c r="V40" s="50"/>
      <c r="W40" s="33" t="s">
        <v>26</v>
      </c>
      <c r="Z40" s="40"/>
      <c r="AA40" s="85">
        <f t="shared" ref="AA40:AE40" si="10">SUM(AA137,AA226)</f>
        <v>-366.48214285714289</v>
      </c>
      <c r="AB40" s="85">
        <f t="shared" si="10"/>
        <v>-385.71482142857144</v>
      </c>
      <c r="AC40" s="85">
        <f t="shared" si="10"/>
        <v>-405.96364821428574</v>
      </c>
      <c r="AD40" s="85">
        <f t="shared" si="10"/>
        <v>-427.28270148214295</v>
      </c>
      <c r="AE40" s="85">
        <f t="shared" si="10"/>
        <v>-449.72895966482156</v>
      </c>
    </row>
    <row r="41" spans="2:31">
      <c r="B41" s="50"/>
      <c r="C41" s="33" t="s">
        <v>3</v>
      </c>
      <c r="D41" s="40"/>
      <c r="E41" s="40">
        <f t="shared" ref="E41:I41" si="11">SUM(E39:E40)</f>
        <v>2870.3571428571422</v>
      </c>
      <c r="F41" s="40">
        <f t="shared" si="11"/>
        <v>3104.6919642857147</v>
      </c>
      <c r="G41" s="40">
        <f t="shared" si="11"/>
        <v>3355.8545035714278</v>
      </c>
      <c r="H41" s="40">
        <f t="shared" si="11"/>
        <v>3624.9783108750021</v>
      </c>
      <c r="I41" s="40">
        <f t="shared" si="11"/>
        <v>3913.2705634671438</v>
      </c>
      <c r="K41" s="50"/>
      <c r="L41" s="33" t="s">
        <v>3</v>
      </c>
      <c r="O41" s="40"/>
      <c r="P41" s="40">
        <f t="shared" ref="P41:T41" si="12">SUM(P39:P40)</f>
        <v>1984.5</v>
      </c>
      <c r="Q41" s="40">
        <f t="shared" si="12"/>
        <v>2141.6062500000003</v>
      </c>
      <c r="R41" s="40">
        <f t="shared" si="12"/>
        <v>2309.461875</v>
      </c>
      <c r="S41" s="40">
        <f t="shared" si="12"/>
        <v>2488.7490468750007</v>
      </c>
      <c r="T41" s="40">
        <f t="shared" si="12"/>
        <v>2680.1912812500004</v>
      </c>
      <c r="V41" s="50"/>
      <c r="W41" s="33" t="s">
        <v>3</v>
      </c>
      <c r="Z41" s="40"/>
      <c r="AA41" s="40">
        <f t="shared" ref="AA41:AE41" si="13">SUM(AA39:AA40)</f>
        <v>2870.3571428571422</v>
      </c>
      <c r="AB41" s="40">
        <f t="shared" si="13"/>
        <v>3104.6919642857147</v>
      </c>
      <c r="AC41" s="40">
        <f t="shared" si="13"/>
        <v>3355.8545035714278</v>
      </c>
      <c r="AD41" s="40">
        <f t="shared" si="13"/>
        <v>3624.9783108750021</v>
      </c>
      <c r="AE41" s="40">
        <f t="shared" si="13"/>
        <v>3913.2705634671438</v>
      </c>
    </row>
    <row r="42" spans="2:31">
      <c r="B42" s="50"/>
      <c r="C42" s="33" t="s">
        <v>27</v>
      </c>
      <c r="D42" s="40"/>
      <c r="E42" s="85">
        <f>IF($I$27=$H$20,P42,AA42)</f>
        <v>-1156.2321428571429</v>
      </c>
      <c r="F42" s="85">
        <f>IF($I$27=$H$20,Q42,AB42)</f>
        <v>-1217.3373214285714</v>
      </c>
      <c r="G42" s="85">
        <f>IF($I$27=$H$20,R42,AC42)</f>
        <v>-1281.6953732142856</v>
      </c>
      <c r="H42" s="85">
        <f>IF($I$27=$H$20,S42,AD42)</f>
        <v>-1349.4807987321428</v>
      </c>
      <c r="I42" s="85">
        <f>IF($I$27=$H$20,T42,AE42)</f>
        <v>-1420.8775349373218</v>
      </c>
      <c r="K42" s="50"/>
      <c r="L42" s="33" t="s">
        <v>27</v>
      </c>
      <c r="O42" s="40"/>
      <c r="P42" s="85">
        <f t="shared" ref="P42:T42" si="14">P139</f>
        <v>-826.875</v>
      </c>
      <c r="Q42" s="85">
        <f t="shared" si="14"/>
        <v>-868.21875</v>
      </c>
      <c r="R42" s="85">
        <f t="shared" si="14"/>
        <v>-911.62968749999993</v>
      </c>
      <c r="S42" s="85">
        <f t="shared" si="14"/>
        <v>-957.21117187499999</v>
      </c>
      <c r="T42" s="85">
        <f t="shared" si="14"/>
        <v>-1005.0717304687502</v>
      </c>
      <c r="V42" s="50"/>
      <c r="W42" s="33" t="s">
        <v>27</v>
      </c>
      <c r="Z42" s="40"/>
      <c r="AA42" s="85">
        <f t="shared" ref="AA42:AE42" si="15">SUM(AA139,AA228)</f>
        <v>-1156.2321428571429</v>
      </c>
      <c r="AB42" s="85">
        <f t="shared" si="15"/>
        <v>-1217.3373214285714</v>
      </c>
      <c r="AC42" s="85">
        <f t="shared" si="15"/>
        <v>-1281.6953732142856</v>
      </c>
      <c r="AD42" s="85">
        <f t="shared" si="15"/>
        <v>-1349.4807987321428</v>
      </c>
      <c r="AE42" s="85">
        <f t="shared" si="15"/>
        <v>-1420.8775349373218</v>
      </c>
    </row>
    <row r="43" spans="2:31">
      <c r="B43" s="50"/>
      <c r="C43" s="33" t="s">
        <v>4</v>
      </c>
      <c r="D43" s="40"/>
      <c r="E43" s="40">
        <f t="shared" ref="E43:I43" si="16">SUM(E41:E42)</f>
        <v>1714.1249999999993</v>
      </c>
      <c r="F43" s="40">
        <f t="shared" si="16"/>
        <v>1887.3546428571433</v>
      </c>
      <c r="G43" s="40">
        <f t="shared" si="16"/>
        <v>2074.1591303571422</v>
      </c>
      <c r="H43" s="40">
        <f t="shared" si="16"/>
        <v>2275.4975121428593</v>
      </c>
      <c r="I43" s="40">
        <f t="shared" si="16"/>
        <v>2492.393028529822</v>
      </c>
      <c r="K43" s="50"/>
      <c r="L43" s="33" t="s">
        <v>4</v>
      </c>
      <c r="O43" s="40"/>
      <c r="P43" s="40">
        <f t="shared" ref="P43:T43" si="17">SUM(P41:P42)</f>
        <v>1157.625</v>
      </c>
      <c r="Q43" s="40">
        <f t="shared" si="17"/>
        <v>1273.3875000000003</v>
      </c>
      <c r="R43" s="40">
        <f t="shared" si="17"/>
        <v>1397.8321875000001</v>
      </c>
      <c r="S43" s="40">
        <f t="shared" si="17"/>
        <v>1531.5378750000007</v>
      </c>
      <c r="T43" s="40">
        <f t="shared" si="17"/>
        <v>1675.1195507812504</v>
      </c>
      <c r="V43" s="50"/>
      <c r="W43" s="33" t="s">
        <v>4</v>
      </c>
      <c r="Z43" s="40"/>
      <c r="AA43" s="40">
        <f t="shared" ref="AA43:AE43" si="18">SUM(AA41:AA42)</f>
        <v>1714.1249999999993</v>
      </c>
      <c r="AB43" s="40">
        <f t="shared" si="18"/>
        <v>1887.3546428571433</v>
      </c>
      <c r="AC43" s="40">
        <f t="shared" si="18"/>
        <v>2074.1591303571422</v>
      </c>
      <c r="AD43" s="40">
        <f t="shared" si="18"/>
        <v>2275.4975121428593</v>
      </c>
      <c r="AE43" s="40">
        <f t="shared" si="18"/>
        <v>2492.393028529822</v>
      </c>
    </row>
    <row r="44" spans="2:31">
      <c r="B44" s="50"/>
      <c r="C44" s="33" t="s">
        <v>28</v>
      </c>
      <c r="D44" s="40"/>
      <c r="E44" s="85">
        <f>IF($I$27=$H$20,P44,AA44)</f>
        <v>-493.38575185041969</v>
      </c>
      <c r="F44" s="85">
        <f>IF($I$27=$H$20,Q44,AB44)</f>
        <v>-424.34393772067244</v>
      </c>
      <c r="G44" s="85">
        <f>IF($I$27=$H$20,R44,AC44)</f>
        <v>-354.62275194319358</v>
      </c>
      <c r="H44" s="85">
        <f>IF($I$27=$H$20,S44,AD44)</f>
        <v>-284.18182065918955</v>
      </c>
      <c r="I44" s="85">
        <f>IF($I$27=$H$20,T44,AE44)</f>
        <v>-212.97791434228398</v>
      </c>
      <c r="K44" s="50"/>
      <c r="L44" s="33" t="s">
        <v>28</v>
      </c>
      <c r="O44" s="40"/>
      <c r="P44" s="85">
        <f t="shared" ref="P44:T44" si="19">P141</f>
        <v>-332.43683696237895</v>
      </c>
      <c r="Q44" s="85">
        <f t="shared" si="19"/>
        <v>-285.31304115455436</v>
      </c>
      <c r="R44" s="85">
        <f t="shared" si="19"/>
        <v>-237.71581038498869</v>
      </c>
      <c r="S44" s="85">
        <f t="shared" si="19"/>
        <v>-189.61817460309581</v>
      </c>
      <c r="T44" s="85">
        <f t="shared" si="19"/>
        <v>-140.9913575933827</v>
      </c>
      <c r="V44" s="50"/>
      <c r="W44" s="33" t="s">
        <v>28</v>
      </c>
      <c r="Z44" s="40"/>
      <c r="AA44" s="85">
        <f t="shared" ref="AA44:AE44" si="20">SUM(AA141,AA230)</f>
        <v>-493.38575185041969</v>
      </c>
      <c r="AB44" s="85">
        <f t="shared" si="20"/>
        <v>-424.34393772067244</v>
      </c>
      <c r="AC44" s="85">
        <f t="shared" si="20"/>
        <v>-354.62275194319358</v>
      </c>
      <c r="AD44" s="85">
        <f t="shared" si="20"/>
        <v>-284.18182065918955</v>
      </c>
      <c r="AE44" s="85">
        <f t="shared" si="20"/>
        <v>-212.97791434228398</v>
      </c>
    </row>
    <row r="45" spans="2:31">
      <c r="B45" s="50"/>
      <c r="C45" s="33" t="s">
        <v>5</v>
      </c>
      <c r="D45" s="40"/>
      <c r="E45" s="40">
        <f>SUM(E43:E44)</f>
        <v>1220.7392481495797</v>
      </c>
      <c r="F45" s="40">
        <f t="shared" ref="F45:I45" si="21">SUM(F43:F44)</f>
        <v>1463.0107051364707</v>
      </c>
      <c r="G45" s="40">
        <f t="shared" si="21"/>
        <v>1719.5363784139486</v>
      </c>
      <c r="H45" s="40">
        <f t="shared" si="21"/>
        <v>1991.3156914836698</v>
      </c>
      <c r="I45" s="40">
        <f t="shared" si="21"/>
        <v>2279.4151141875382</v>
      </c>
      <c r="K45" s="50"/>
      <c r="L45" s="33" t="s">
        <v>5</v>
      </c>
      <c r="O45" s="40"/>
      <c r="P45" s="40">
        <f t="shared" ref="P45" si="22">SUM(P43:P44)</f>
        <v>825.18816303762105</v>
      </c>
      <c r="Q45" s="40">
        <f t="shared" ref="Q45" si="23">SUM(Q43:Q44)</f>
        <v>988.07445884544586</v>
      </c>
      <c r="R45" s="40">
        <f t="shared" ref="R45" si="24">SUM(R43:R44)</f>
        <v>1160.1163771150113</v>
      </c>
      <c r="S45" s="40">
        <f t="shared" ref="S45" si="25">SUM(S43:S44)</f>
        <v>1341.9197003969048</v>
      </c>
      <c r="T45" s="40">
        <f t="shared" ref="T45" si="26">SUM(T43:T44)</f>
        <v>1534.1281931878677</v>
      </c>
      <c r="V45" s="50"/>
      <c r="W45" s="33" t="s">
        <v>5</v>
      </c>
      <c r="Z45" s="40"/>
      <c r="AA45" s="40">
        <f t="shared" ref="AA45" si="27">SUM(AA43:AA44)</f>
        <v>1220.7392481495797</v>
      </c>
      <c r="AB45" s="40">
        <f t="shared" ref="AB45" si="28">SUM(AB43:AB44)</f>
        <v>1463.0107051364707</v>
      </c>
      <c r="AC45" s="40">
        <f t="shared" ref="AC45" si="29">SUM(AC43:AC44)</f>
        <v>1719.5363784139486</v>
      </c>
      <c r="AD45" s="40">
        <f t="shared" ref="AD45" si="30">SUM(AD43:AD44)</f>
        <v>1991.3156914836698</v>
      </c>
      <c r="AE45" s="40">
        <f t="shared" ref="AE45" si="31">SUM(AE43:AE44)</f>
        <v>2279.4151141875382</v>
      </c>
    </row>
    <row r="46" spans="2:31">
      <c r="B46" s="50"/>
      <c r="C46" s="33" t="s">
        <v>29</v>
      </c>
      <c r="D46" s="40"/>
      <c r="E46" s="85">
        <f>IF($I$27=$H$20,P46,AA46)</f>
        <v>-297.27379033515587</v>
      </c>
      <c r="F46" s="85">
        <f>IF($I$27=$H$20,Q46,AB46)</f>
        <v>-356.25395135829717</v>
      </c>
      <c r="G46" s="85">
        <f>IF($I$27=$H$20,R46,AC46)</f>
        <v>-418.69569457750856</v>
      </c>
      <c r="H46" s="85">
        <f>IF($I$27=$H$20,S46,AD46)</f>
        <v>-484.84100304918184</v>
      </c>
      <c r="I46" s="85">
        <f>IF($I$27=$H$20,T46,AE46)</f>
        <v>-554.9480401268911</v>
      </c>
      <c r="K46" s="50"/>
      <c r="L46" s="33" t="s">
        <v>29</v>
      </c>
      <c r="O46" s="40"/>
      <c r="P46" s="93">
        <f t="shared" ref="P46:T46" si="32">P143</f>
        <v>-206.29704075940526</v>
      </c>
      <c r="Q46" s="93">
        <f t="shared" si="32"/>
        <v>-247.01861471136147</v>
      </c>
      <c r="R46" s="93">
        <f t="shared" si="32"/>
        <v>-290.02909427875289</v>
      </c>
      <c r="S46" s="93">
        <f t="shared" si="32"/>
        <v>-335.47992509922625</v>
      </c>
      <c r="T46" s="93">
        <f t="shared" si="32"/>
        <v>-383.53204829696699</v>
      </c>
      <c r="V46" s="50"/>
      <c r="W46" s="33" t="s">
        <v>29</v>
      </c>
      <c r="Z46" s="40"/>
      <c r="AA46" s="85">
        <f t="shared" ref="AA46:AE46" si="33">SUM(AA143,AA232)</f>
        <v>-297.27379033515587</v>
      </c>
      <c r="AB46" s="85">
        <f t="shared" si="33"/>
        <v>-356.25395135829717</v>
      </c>
      <c r="AC46" s="85">
        <f t="shared" si="33"/>
        <v>-418.69569457750856</v>
      </c>
      <c r="AD46" s="85">
        <f t="shared" si="33"/>
        <v>-484.84100304918184</v>
      </c>
      <c r="AE46" s="85">
        <f t="shared" si="33"/>
        <v>-554.9480401268911</v>
      </c>
    </row>
    <row r="47" spans="2:31">
      <c r="B47" s="50"/>
      <c r="C47" s="33" t="s">
        <v>73</v>
      </c>
      <c r="D47" s="40"/>
      <c r="E47" s="40">
        <f t="shared" ref="E47:I47" si="34">SUM(E45:E46)</f>
        <v>923.46545781442387</v>
      </c>
      <c r="F47" s="40">
        <f t="shared" si="34"/>
        <v>1106.7567537781736</v>
      </c>
      <c r="G47" s="40">
        <f t="shared" si="34"/>
        <v>1300.8406838364399</v>
      </c>
      <c r="H47" s="40">
        <f t="shared" si="34"/>
        <v>1506.4746884344879</v>
      </c>
      <c r="I47" s="40">
        <f t="shared" si="34"/>
        <v>1724.4670740606471</v>
      </c>
      <c r="K47" s="50"/>
      <c r="L47" s="33" t="s">
        <v>73</v>
      </c>
      <c r="O47" s="40"/>
      <c r="P47" s="40">
        <f t="shared" ref="P47:T47" si="35">SUM(P45:P46)</f>
        <v>618.89112227821579</v>
      </c>
      <c r="Q47" s="40">
        <f t="shared" si="35"/>
        <v>741.0558441340844</v>
      </c>
      <c r="R47" s="40">
        <f t="shared" si="35"/>
        <v>870.08728283625851</v>
      </c>
      <c r="S47" s="40">
        <f t="shared" si="35"/>
        <v>1006.4397752976786</v>
      </c>
      <c r="T47" s="40">
        <f t="shared" si="35"/>
        <v>1150.5961448909006</v>
      </c>
      <c r="V47" s="50"/>
      <c r="W47" s="33" t="s">
        <v>73</v>
      </c>
      <c r="Z47" s="40"/>
      <c r="AA47" s="40">
        <f t="shared" ref="AA47:AE47" si="36">SUM(AA45:AA46)</f>
        <v>923.46545781442387</v>
      </c>
      <c r="AB47" s="40">
        <f t="shared" si="36"/>
        <v>1106.7567537781736</v>
      </c>
      <c r="AC47" s="40">
        <f t="shared" si="36"/>
        <v>1300.8406838364399</v>
      </c>
      <c r="AD47" s="40">
        <f t="shared" si="36"/>
        <v>1506.4746884344879</v>
      </c>
      <c r="AE47" s="40">
        <f t="shared" si="36"/>
        <v>1724.4670740606471</v>
      </c>
    </row>
    <row r="48" spans="2:31">
      <c r="B48" s="50"/>
      <c r="C48" s="53" t="s">
        <v>74</v>
      </c>
      <c r="D48" s="40"/>
      <c r="E48" s="40">
        <f t="shared" ref="E48:I49" si="37">IF($I$27=$H$20,P48,AA48)</f>
        <v>-121.82973421448338</v>
      </c>
      <c r="F48" s="40">
        <f t="shared" si="37"/>
        <v>-146.28036385763571</v>
      </c>
      <c r="G48" s="40">
        <f t="shared" si="37"/>
        <v>-172.30136040007298</v>
      </c>
      <c r="H48" s="40">
        <f t="shared" si="37"/>
        <v>-200.01396525472302</v>
      </c>
      <c r="I48" s="40">
        <f t="shared" si="37"/>
        <v>-229.54837166789858</v>
      </c>
      <c r="K48" s="50"/>
      <c r="L48" s="53" t="s">
        <v>74</v>
      </c>
      <c r="M48" s="53"/>
      <c r="N48" s="53"/>
      <c r="O48" s="40"/>
      <c r="P48" s="40">
        <v>0</v>
      </c>
      <c r="Q48" s="40">
        <v>0</v>
      </c>
      <c r="R48" s="40">
        <v>0</v>
      </c>
      <c r="S48" s="40">
        <v>0</v>
      </c>
      <c r="T48" s="40">
        <v>0</v>
      </c>
      <c r="V48" s="50"/>
      <c r="W48" s="53" t="s">
        <v>74</v>
      </c>
      <c r="X48" s="53"/>
      <c r="Y48" s="53"/>
      <c r="Z48" s="40"/>
      <c r="AA48" s="40">
        <f>-AA233*(1-$Y$26)</f>
        <v>-121.82973421448338</v>
      </c>
      <c r="AB48" s="40">
        <f>-AB233*(1-$Y$26)</f>
        <v>-146.28036385763571</v>
      </c>
      <c r="AC48" s="40">
        <f>-AC233*(1-$Y$26)</f>
        <v>-172.30136040007298</v>
      </c>
      <c r="AD48" s="40">
        <f>-AD233*(1-$Y$26)</f>
        <v>-200.01396525472302</v>
      </c>
      <c r="AE48" s="40">
        <f>-AE233*(1-$Y$26)</f>
        <v>-229.54837166789858</v>
      </c>
    </row>
    <row r="49" spans="2:31">
      <c r="B49" s="50"/>
      <c r="C49" s="53" t="s">
        <v>75</v>
      </c>
      <c r="D49" s="40"/>
      <c r="E49" s="85">
        <f t="shared" si="37"/>
        <v>0</v>
      </c>
      <c r="F49" s="85">
        <f t="shared" si="37"/>
        <v>0</v>
      </c>
      <c r="G49" s="85">
        <f t="shared" si="37"/>
        <v>0</v>
      </c>
      <c r="H49" s="85">
        <f t="shared" si="37"/>
        <v>0</v>
      </c>
      <c r="I49" s="85">
        <f t="shared" si="37"/>
        <v>0</v>
      </c>
      <c r="K49" s="50"/>
      <c r="L49" s="53" t="s">
        <v>75</v>
      </c>
      <c r="M49" s="40"/>
      <c r="N49" s="40"/>
      <c r="O49" s="40"/>
      <c r="P49" s="85">
        <f>-P255*$N$26</f>
        <v>54.823380396517543</v>
      </c>
      <c r="Q49" s="85">
        <f t="shared" ref="Q49:T49" si="38">-Q255*$N$26</f>
        <v>65.826163735936021</v>
      </c>
      <c r="R49" s="85">
        <f t="shared" si="38"/>
        <v>77.535612180032786</v>
      </c>
      <c r="S49" s="85">
        <f t="shared" si="38"/>
        <v>90.006284364625415</v>
      </c>
      <c r="T49" s="85">
        <f t="shared" si="38"/>
        <v>103.2967672505543</v>
      </c>
      <c r="V49" s="50"/>
      <c r="W49" s="53" t="s">
        <v>75</v>
      </c>
      <c r="X49" s="40"/>
      <c r="Y49" s="40"/>
      <c r="Z49" s="40"/>
      <c r="AA49" s="92">
        <v>0</v>
      </c>
      <c r="AB49" s="92">
        <v>0</v>
      </c>
      <c r="AC49" s="92">
        <v>0</v>
      </c>
      <c r="AD49" s="92">
        <v>0</v>
      </c>
      <c r="AE49" s="92">
        <v>0</v>
      </c>
    </row>
    <row r="50" spans="2:31">
      <c r="B50" s="50"/>
      <c r="C50" s="54" t="s">
        <v>6</v>
      </c>
      <c r="D50" s="86"/>
      <c r="E50" s="86">
        <f>SUM(E47:E49)</f>
        <v>801.63572359994055</v>
      </c>
      <c r="F50" s="86">
        <f t="shared" ref="F50:I50" si="39">SUM(F47:F49)</f>
        <v>960.47638992053783</v>
      </c>
      <c r="G50" s="86">
        <f t="shared" si="39"/>
        <v>1128.5393234363669</v>
      </c>
      <c r="H50" s="86">
        <f t="shared" si="39"/>
        <v>1306.460723179765</v>
      </c>
      <c r="I50" s="86">
        <f t="shared" si="39"/>
        <v>1494.9187023927484</v>
      </c>
      <c r="K50" s="50"/>
      <c r="L50" s="54" t="s">
        <v>6</v>
      </c>
      <c r="M50" s="54"/>
      <c r="N50" s="54"/>
      <c r="O50" s="86"/>
      <c r="P50" s="86">
        <f>SUM(P47:P49)</f>
        <v>673.71450267473335</v>
      </c>
      <c r="Q50" s="86">
        <f t="shared" ref="Q50:T50" si="40">SUM(Q47:Q49)</f>
        <v>806.8820078700204</v>
      </c>
      <c r="R50" s="86">
        <f t="shared" si="40"/>
        <v>947.6228950162913</v>
      </c>
      <c r="S50" s="86">
        <f t="shared" si="40"/>
        <v>1096.4460596623039</v>
      </c>
      <c r="T50" s="86">
        <f t="shared" si="40"/>
        <v>1253.8929121414549</v>
      </c>
      <c r="V50" s="50"/>
      <c r="W50" s="54" t="s">
        <v>6</v>
      </c>
      <c r="X50" s="54"/>
      <c r="Y50" s="54"/>
      <c r="Z50" s="86"/>
      <c r="AA50" s="86">
        <f>SUM(AA47:AA49)</f>
        <v>801.63572359994055</v>
      </c>
      <c r="AB50" s="86">
        <f t="shared" ref="AB50:AE50" si="41">SUM(AB47:AB49)</f>
        <v>960.47638992053783</v>
      </c>
      <c r="AC50" s="86">
        <f t="shared" si="41"/>
        <v>1128.5393234363669</v>
      </c>
      <c r="AD50" s="86">
        <f t="shared" si="41"/>
        <v>1306.460723179765</v>
      </c>
      <c r="AE50" s="86">
        <f t="shared" si="41"/>
        <v>1494.9187023927484</v>
      </c>
    </row>
    <row r="51" spans="2:31">
      <c r="B51" s="50"/>
      <c r="C51" s="55"/>
      <c r="D51" s="56"/>
      <c r="E51" s="56"/>
      <c r="F51" s="56"/>
      <c r="G51" s="56"/>
      <c r="H51" s="56"/>
      <c r="I51" s="56"/>
      <c r="K51" s="50"/>
      <c r="L51" s="55"/>
      <c r="M51" s="55"/>
      <c r="N51" s="55"/>
      <c r="O51" s="56"/>
      <c r="P51" s="56"/>
      <c r="Q51" s="56"/>
      <c r="R51" s="56"/>
      <c r="S51" s="56"/>
      <c r="T51" s="56"/>
      <c r="V51" s="50"/>
      <c r="W51" s="55"/>
      <c r="X51" s="55"/>
      <c r="Y51" s="55"/>
      <c r="Z51" s="56"/>
      <c r="AA51" s="56"/>
      <c r="AB51" s="56"/>
      <c r="AC51" s="56"/>
      <c r="AD51" s="56"/>
      <c r="AE51" s="56"/>
    </row>
    <row r="52" spans="2:31">
      <c r="B52" s="47"/>
      <c r="D52" s="87"/>
      <c r="E52" s="87"/>
      <c r="F52" s="87"/>
      <c r="G52" s="87"/>
      <c r="H52" s="87"/>
      <c r="I52" s="87"/>
      <c r="K52" s="47"/>
      <c r="O52" s="87"/>
      <c r="P52" s="87"/>
      <c r="Q52" s="87"/>
      <c r="R52" s="87"/>
      <c r="S52" s="87"/>
      <c r="T52" s="87"/>
      <c r="V52" s="47"/>
      <c r="Z52" s="87"/>
      <c r="AA52" s="87"/>
      <c r="AB52" s="87"/>
      <c r="AC52" s="87"/>
      <c r="AD52" s="87"/>
      <c r="AE52" s="87"/>
    </row>
    <row r="53" spans="2:31">
      <c r="B53" s="50"/>
      <c r="D53" s="87"/>
      <c r="E53" s="87"/>
      <c r="F53" s="87"/>
      <c r="G53" s="87"/>
      <c r="H53" s="87"/>
      <c r="I53" s="87"/>
      <c r="K53" s="50"/>
      <c r="O53" s="87"/>
      <c r="P53" s="87"/>
      <c r="Q53" s="87"/>
      <c r="R53" s="87"/>
      <c r="S53" s="87"/>
      <c r="T53" s="87"/>
      <c r="V53" s="50"/>
      <c r="Z53" s="87"/>
      <c r="AA53" s="87"/>
      <c r="AB53" s="87"/>
      <c r="AC53" s="87"/>
      <c r="AD53" s="87"/>
      <c r="AE53" s="87"/>
    </row>
    <row r="54" spans="2:31" ht="15">
      <c r="B54" s="50"/>
      <c r="C54" s="49" t="str">
        <f>"WW Cash Flow Statement (Pro-Forma under "&amp;I27&amp;")"</f>
        <v>WW Cash Flow Statement (Pro-Forma under Consolidation Method)</v>
      </c>
      <c r="D54" s="48"/>
      <c r="E54" s="48"/>
      <c r="F54" s="48"/>
      <c r="G54" s="48"/>
      <c r="H54" s="48"/>
      <c r="I54" s="48"/>
      <c r="K54" s="50"/>
      <c r="L54" s="49" t="str">
        <f>"WW Cash Flow Statement (Pro-Forma under "&amp;S27&amp;")"</f>
        <v>WW Cash Flow Statement (Pro-Forma under Cost Method)</v>
      </c>
      <c r="M54" s="49"/>
      <c r="N54" s="49"/>
      <c r="O54" s="48"/>
      <c r="P54" s="48"/>
      <c r="Q54" s="48"/>
      <c r="R54" s="48"/>
      <c r="S54" s="48"/>
      <c r="T54" s="48"/>
      <c r="V54" s="50"/>
      <c r="W54" s="49" t="str">
        <f>"WW Cash Flow Statement (Pro-Forma under "&amp;AD27&amp;")"</f>
        <v>WW Cash Flow Statement (Pro-Forma under Consolidation Method)</v>
      </c>
      <c r="X54" s="49"/>
      <c r="Y54" s="49"/>
      <c r="Z54" s="48"/>
      <c r="AA54" s="48"/>
      <c r="AB54" s="48"/>
      <c r="AC54" s="48"/>
      <c r="AD54" s="48"/>
      <c r="AE54" s="48"/>
    </row>
    <row r="55" spans="2:31">
      <c r="B55" s="50"/>
      <c r="C55" s="51" t="s">
        <v>23</v>
      </c>
      <c r="K55" s="50"/>
      <c r="L55" s="51" t="s">
        <v>23</v>
      </c>
      <c r="M55" s="51"/>
      <c r="N55" s="51"/>
      <c r="V55" s="50"/>
      <c r="W55" s="51" t="s">
        <v>23</v>
      </c>
      <c r="X55" s="51"/>
      <c r="Y55" s="51"/>
    </row>
    <row r="56" spans="2:31">
      <c r="B56" s="50"/>
      <c r="C56" s="51"/>
      <c r="K56" s="50"/>
      <c r="L56" s="51"/>
      <c r="M56" s="51"/>
      <c r="N56" s="51"/>
      <c r="V56" s="50"/>
      <c r="W56" s="51"/>
      <c r="X56" s="51"/>
      <c r="Y56" s="51"/>
    </row>
    <row r="57" spans="2:31">
      <c r="B57" s="50"/>
      <c r="D57" s="83">
        <f t="shared" ref="D57:I57" si="42">D35</f>
        <v>44926</v>
      </c>
      <c r="E57" s="84">
        <f t="shared" si="42"/>
        <v>45291</v>
      </c>
      <c r="F57" s="84">
        <f t="shared" si="42"/>
        <v>45657</v>
      </c>
      <c r="G57" s="84">
        <f t="shared" si="42"/>
        <v>46022</v>
      </c>
      <c r="H57" s="84">
        <f t="shared" si="42"/>
        <v>46387</v>
      </c>
      <c r="I57" s="84">
        <f t="shared" si="42"/>
        <v>46752</v>
      </c>
      <c r="K57" s="50"/>
      <c r="O57" s="83">
        <f t="shared" ref="O57:T57" si="43">O35</f>
        <v>44926</v>
      </c>
      <c r="P57" s="84">
        <f t="shared" si="43"/>
        <v>45291</v>
      </c>
      <c r="Q57" s="84">
        <f t="shared" si="43"/>
        <v>45657</v>
      </c>
      <c r="R57" s="84">
        <f t="shared" si="43"/>
        <v>46022</v>
      </c>
      <c r="S57" s="84">
        <f t="shared" si="43"/>
        <v>46387</v>
      </c>
      <c r="T57" s="84">
        <f t="shared" si="43"/>
        <v>46752</v>
      </c>
      <c r="V57" s="50"/>
      <c r="Z57" s="83">
        <f t="shared" ref="Z57:AE57" si="44">Z35</f>
        <v>44926</v>
      </c>
      <c r="AA57" s="84">
        <f t="shared" si="44"/>
        <v>45291</v>
      </c>
      <c r="AB57" s="84">
        <f t="shared" si="44"/>
        <v>45657</v>
      </c>
      <c r="AC57" s="84">
        <f t="shared" si="44"/>
        <v>46022</v>
      </c>
      <c r="AD57" s="84">
        <f t="shared" si="44"/>
        <v>46387</v>
      </c>
      <c r="AE57" s="84">
        <f t="shared" si="44"/>
        <v>46752</v>
      </c>
    </row>
    <row r="58" spans="2:31">
      <c r="B58" s="50"/>
      <c r="C58" s="51"/>
      <c r="K58" s="50"/>
      <c r="L58" s="51"/>
      <c r="M58" s="51"/>
      <c r="N58" s="51"/>
      <c r="V58" s="50"/>
      <c r="W58" s="51"/>
      <c r="X58" s="51"/>
      <c r="Y58" s="51"/>
    </row>
    <row r="59" spans="2:31" s="53" customFormat="1">
      <c r="B59" s="52"/>
      <c r="C59" s="54" t="s">
        <v>30</v>
      </c>
      <c r="D59" s="87"/>
      <c r="E59" s="33"/>
      <c r="F59" s="33"/>
      <c r="G59" s="33"/>
      <c r="H59" s="33"/>
      <c r="I59" s="33"/>
      <c r="J59" s="33"/>
      <c r="K59" s="52"/>
      <c r="L59" s="54" t="s">
        <v>30</v>
      </c>
      <c r="M59" s="54"/>
      <c r="N59" s="54"/>
      <c r="O59" s="87"/>
      <c r="P59" s="33"/>
      <c r="Q59" s="33"/>
      <c r="R59" s="33"/>
      <c r="S59" s="33"/>
      <c r="T59" s="33"/>
      <c r="V59" s="52"/>
      <c r="W59" s="54" t="s">
        <v>30</v>
      </c>
      <c r="X59" s="54"/>
      <c r="Y59" s="54"/>
      <c r="Z59" s="87"/>
      <c r="AA59" s="33"/>
      <c r="AB59" s="33"/>
      <c r="AC59" s="33"/>
      <c r="AD59" s="33"/>
      <c r="AE59" s="33"/>
    </row>
    <row r="60" spans="2:31" s="53" customFormat="1">
      <c r="B60" s="52"/>
      <c r="C60" s="33" t="s">
        <v>6</v>
      </c>
      <c r="D60" s="40"/>
      <c r="E60" s="40">
        <f t="shared" ref="E60:E62" si="45">IF($I$27=$H$20,P60,AA60)</f>
        <v>801.63572359994055</v>
      </c>
      <c r="F60" s="40">
        <f t="shared" ref="F60:F62" si="46">IF($I$27=$H$20,Q60,AB60)</f>
        <v>960.47638992053783</v>
      </c>
      <c r="G60" s="40">
        <f t="shared" ref="G60:G62" si="47">IF($I$27=$H$20,R60,AC60)</f>
        <v>1128.5393234363669</v>
      </c>
      <c r="H60" s="40">
        <f t="shared" ref="H60:H62" si="48">IF($I$27=$H$20,S60,AD60)</f>
        <v>1306.460723179765</v>
      </c>
      <c r="I60" s="40">
        <f t="shared" ref="I60:I62" si="49">IF($I$27=$H$20,T60,AE60)</f>
        <v>1494.9187023927484</v>
      </c>
      <c r="J60" s="33"/>
      <c r="K60" s="52"/>
      <c r="L60" s="33" t="s">
        <v>6</v>
      </c>
      <c r="M60" s="33"/>
      <c r="N60" s="33"/>
      <c r="O60" s="40"/>
      <c r="P60" s="40">
        <f t="shared" ref="P60:T60" si="50">P50</f>
        <v>673.71450267473335</v>
      </c>
      <c r="Q60" s="40">
        <f t="shared" si="50"/>
        <v>806.8820078700204</v>
      </c>
      <c r="R60" s="40">
        <f t="shared" si="50"/>
        <v>947.6228950162913</v>
      </c>
      <c r="S60" s="40">
        <f t="shared" si="50"/>
        <v>1096.4460596623039</v>
      </c>
      <c r="T60" s="40">
        <f t="shared" si="50"/>
        <v>1253.8929121414549</v>
      </c>
      <c r="V60" s="50"/>
      <c r="W60" s="33" t="s">
        <v>6</v>
      </c>
      <c r="X60" s="33"/>
      <c r="Y60" s="33"/>
      <c r="Z60" s="40"/>
      <c r="AA60" s="40">
        <f>AA50</f>
        <v>801.63572359994055</v>
      </c>
      <c r="AB60" s="40">
        <f t="shared" ref="AB60:AE60" si="51">AB50</f>
        <v>960.47638992053783</v>
      </c>
      <c r="AC60" s="40">
        <f t="shared" si="51"/>
        <v>1128.5393234363669</v>
      </c>
      <c r="AD60" s="40">
        <f t="shared" si="51"/>
        <v>1306.460723179765</v>
      </c>
      <c r="AE60" s="40">
        <f t="shared" si="51"/>
        <v>1494.9187023927484</v>
      </c>
    </row>
    <row r="61" spans="2:31">
      <c r="B61" s="50"/>
      <c r="C61" s="33" t="s">
        <v>31</v>
      </c>
      <c r="D61" s="40"/>
      <c r="E61" s="40">
        <f t="shared" si="45"/>
        <v>1156.2321428571429</v>
      </c>
      <c r="F61" s="40">
        <f t="shared" si="46"/>
        <v>1217.3373214285714</v>
      </c>
      <c r="G61" s="40">
        <f t="shared" si="47"/>
        <v>1281.6953732142856</v>
      </c>
      <c r="H61" s="40">
        <f t="shared" si="48"/>
        <v>1349.4807987321428</v>
      </c>
      <c r="I61" s="40">
        <f t="shared" si="49"/>
        <v>1420.8775349373218</v>
      </c>
      <c r="K61" s="50"/>
      <c r="L61" s="33" t="s">
        <v>31</v>
      </c>
      <c r="O61" s="40"/>
      <c r="P61" s="40">
        <f>-P42</f>
        <v>826.875</v>
      </c>
      <c r="Q61" s="40">
        <f>-Q42</f>
        <v>868.21875</v>
      </c>
      <c r="R61" s="40">
        <f>-R42</f>
        <v>911.62968749999993</v>
      </c>
      <c r="S61" s="40">
        <f>-S42</f>
        <v>957.21117187499999</v>
      </c>
      <c r="T61" s="40">
        <f>-T42</f>
        <v>1005.0717304687502</v>
      </c>
      <c r="V61" s="50"/>
      <c r="W61" s="33" t="s">
        <v>31</v>
      </c>
      <c r="Z61" s="40"/>
      <c r="AA61" s="40">
        <f>-AA42</f>
        <v>1156.2321428571429</v>
      </c>
      <c r="AB61" s="40">
        <f>-AB42</f>
        <v>1217.3373214285714</v>
      </c>
      <c r="AC61" s="40">
        <f>-AC42</f>
        <v>1281.6953732142856</v>
      </c>
      <c r="AD61" s="40">
        <f>-AD42</f>
        <v>1349.4807987321428</v>
      </c>
      <c r="AE61" s="40">
        <f>-AE42</f>
        <v>1420.8775349373218</v>
      </c>
    </row>
    <row r="62" spans="2:31">
      <c r="B62" s="50"/>
      <c r="C62" s="53" t="s">
        <v>76</v>
      </c>
      <c r="D62" s="40"/>
      <c r="E62" s="40">
        <f t="shared" si="45"/>
        <v>121.82973421448338</v>
      </c>
      <c r="F62" s="40">
        <f t="shared" si="46"/>
        <v>146.28036385763571</v>
      </c>
      <c r="G62" s="40">
        <f t="shared" si="47"/>
        <v>172.30136040007298</v>
      </c>
      <c r="H62" s="40">
        <f t="shared" si="48"/>
        <v>200.01396525472302</v>
      </c>
      <c r="I62" s="40">
        <f t="shared" si="49"/>
        <v>229.54837166789858</v>
      </c>
      <c r="K62" s="50"/>
      <c r="L62" s="53" t="s">
        <v>76</v>
      </c>
      <c r="M62" s="53"/>
      <c r="N62" s="53"/>
      <c r="O62" s="40"/>
      <c r="P62" s="40">
        <f t="shared" ref="P62:T62" si="52">P48</f>
        <v>0</v>
      </c>
      <c r="Q62" s="40">
        <f t="shared" si="52"/>
        <v>0</v>
      </c>
      <c r="R62" s="40">
        <f t="shared" si="52"/>
        <v>0</v>
      </c>
      <c r="S62" s="40">
        <f t="shared" si="52"/>
        <v>0</v>
      </c>
      <c r="T62" s="40">
        <f t="shared" si="52"/>
        <v>0</v>
      </c>
      <c r="V62" s="50"/>
      <c r="W62" s="53" t="s">
        <v>76</v>
      </c>
      <c r="X62" s="53"/>
      <c r="Y62" s="53"/>
      <c r="Z62" s="40"/>
      <c r="AA62" s="40">
        <f>-AA48</f>
        <v>121.82973421448338</v>
      </c>
      <c r="AB62" s="40">
        <f t="shared" ref="AB62:AE62" si="53">-AB48</f>
        <v>146.28036385763571</v>
      </c>
      <c r="AC62" s="40">
        <f t="shared" si="53"/>
        <v>172.30136040007298</v>
      </c>
      <c r="AD62" s="40">
        <f t="shared" si="53"/>
        <v>200.01396525472302</v>
      </c>
      <c r="AE62" s="40">
        <f t="shared" si="53"/>
        <v>229.54837166789858</v>
      </c>
    </row>
    <row r="63" spans="2:31">
      <c r="B63" s="50"/>
      <c r="C63" s="33" t="s">
        <v>32</v>
      </c>
      <c r="D63" s="40"/>
      <c r="E63" s="85">
        <f t="shared" ref="E63:I63" si="54">IF($I$27=$H$20,P63,AA63)</f>
        <v>-50.31642857142873</v>
      </c>
      <c r="F63" s="85">
        <f t="shared" si="54"/>
        <v>-52.751217857142606</v>
      </c>
      <c r="G63" s="85">
        <f t="shared" si="54"/>
        <v>-55.30372071428593</v>
      </c>
      <c r="H63" s="85">
        <f t="shared" si="54"/>
        <v>-57.979614892500067</v>
      </c>
      <c r="I63" s="85">
        <f t="shared" si="54"/>
        <v>-60.784850743778847</v>
      </c>
      <c r="K63" s="50"/>
      <c r="L63" s="33" t="s">
        <v>32</v>
      </c>
      <c r="O63" s="40"/>
      <c r="P63" s="85">
        <f t="shared" ref="P63:T63" si="55">P156</f>
        <v>-33.705000000000126</v>
      </c>
      <c r="Q63" s="85">
        <f t="shared" si="55"/>
        <v>-35.224874999999827</v>
      </c>
      <c r="R63" s="85">
        <f t="shared" si="55"/>
        <v>-36.812475000000177</v>
      </c>
      <c r="S63" s="85">
        <f t="shared" si="55"/>
        <v>-38.470772812500002</v>
      </c>
      <c r="T63" s="85">
        <f t="shared" si="55"/>
        <v>-40.202869218750266</v>
      </c>
      <c r="V63" s="57"/>
      <c r="W63" s="33" t="s">
        <v>32</v>
      </c>
      <c r="Z63" s="40"/>
      <c r="AA63" s="85">
        <f t="shared" ref="AA63:AE63" si="56">SUM(AA156,AA245)</f>
        <v>-50.31642857142873</v>
      </c>
      <c r="AB63" s="85">
        <f t="shared" si="56"/>
        <v>-52.751217857142606</v>
      </c>
      <c r="AC63" s="85">
        <f t="shared" si="56"/>
        <v>-55.30372071428593</v>
      </c>
      <c r="AD63" s="85">
        <f t="shared" si="56"/>
        <v>-57.979614892500067</v>
      </c>
      <c r="AE63" s="85">
        <f t="shared" si="56"/>
        <v>-60.784850743778847</v>
      </c>
    </row>
    <row r="64" spans="2:31">
      <c r="B64" s="50"/>
      <c r="C64" s="33" t="s">
        <v>30</v>
      </c>
      <c r="D64" s="40"/>
      <c r="E64" s="40">
        <f>SUM(E60:E63)</f>
        <v>2029.381172100138</v>
      </c>
      <c r="F64" s="40">
        <f>SUM(F60:F63)</f>
        <v>2271.3428573496021</v>
      </c>
      <c r="G64" s="40">
        <f>SUM(G60:G63)</f>
        <v>2527.2323363364394</v>
      </c>
      <c r="H64" s="40">
        <f>SUM(H60:H63)</f>
        <v>2797.9758722741308</v>
      </c>
      <c r="I64" s="40">
        <f>SUM(I60:I63)</f>
        <v>3084.55975825419</v>
      </c>
      <c r="K64" s="50"/>
      <c r="L64" s="33" t="s">
        <v>30</v>
      </c>
      <c r="O64" s="40"/>
      <c r="P64" s="40">
        <f>SUM(P60:P63)</f>
        <v>1466.8845026747333</v>
      </c>
      <c r="Q64" s="40">
        <f>SUM(Q60:Q63)</f>
        <v>1639.8758828700206</v>
      </c>
      <c r="R64" s="40">
        <f>SUM(R60:R63)</f>
        <v>1822.4401075162909</v>
      </c>
      <c r="S64" s="40">
        <f>SUM(S60:S63)</f>
        <v>2015.1864587248042</v>
      </c>
      <c r="T64" s="40">
        <f>SUM(T60:T63)</f>
        <v>2218.7617733914549</v>
      </c>
      <c r="V64" s="50"/>
      <c r="W64" s="33" t="s">
        <v>30</v>
      </c>
      <c r="Z64" s="40"/>
      <c r="AA64" s="40">
        <f>SUM(AA60:AA63)</f>
        <v>2029.381172100138</v>
      </c>
      <c r="AB64" s="40">
        <f>SUM(AB60:AB63)</f>
        <v>2271.3428573496021</v>
      </c>
      <c r="AC64" s="40">
        <f>SUM(AC60:AC63)</f>
        <v>2527.2323363364394</v>
      </c>
      <c r="AD64" s="40">
        <f>SUM(AD60:AD63)</f>
        <v>2797.9758722741308</v>
      </c>
      <c r="AE64" s="40">
        <f>SUM(AE60:AE63)</f>
        <v>3084.55975825419</v>
      </c>
    </row>
    <row r="65" spans="2:31">
      <c r="B65" s="50"/>
      <c r="C65" s="51"/>
      <c r="D65" s="37"/>
      <c r="E65" s="37"/>
      <c r="F65" s="37"/>
      <c r="G65" s="37"/>
      <c r="H65" s="37"/>
      <c r="I65" s="37"/>
      <c r="K65" s="50"/>
      <c r="L65" s="51"/>
      <c r="M65" s="51"/>
      <c r="N65" s="51"/>
      <c r="O65" s="37"/>
      <c r="P65" s="37"/>
      <c r="Q65" s="37"/>
      <c r="R65" s="37"/>
      <c r="S65" s="37"/>
      <c r="T65" s="37"/>
      <c r="V65" s="50"/>
      <c r="W65" s="51"/>
      <c r="X65" s="51"/>
      <c r="Y65" s="51"/>
      <c r="Z65" s="37"/>
      <c r="AA65" s="37"/>
      <c r="AB65" s="37"/>
      <c r="AC65" s="37"/>
      <c r="AD65" s="37"/>
      <c r="AE65" s="37"/>
    </row>
    <row r="66" spans="2:31">
      <c r="B66" s="50"/>
      <c r="C66" s="54" t="s">
        <v>33</v>
      </c>
      <c r="D66" s="37"/>
      <c r="E66" s="37"/>
      <c r="F66" s="37"/>
      <c r="G66" s="37"/>
      <c r="H66" s="37"/>
      <c r="I66" s="37"/>
      <c r="K66" s="50"/>
      <c r="L66" s="54" t="s">
        <v>33</v>
      </c>
      <c r="M66" s="54"/>
      <c r="N66" s="54"/>
      <c r="O66" s="37"/>
      <c r="P66" s="37"/>
      <c r="Q66" s="37"/>
      <c r="R66" s="37"/>
      <c r="S66" s="37"/>
      <c r="T66" s="37"/>
      <c r="V66" s="50"/>
      <c r="W66" s="54" t="s">
        <v>33</v>
      </c>
      <c r="X66" s="54"/>
      <c r="Y66" s="54"/>
      <c r="Z66" s="117"/>
      <c r="AA66" s="37"/>
      <c r="AB66" s="37"/>
      <c r="AC66" s="37"/>
      <c r="AD66" s="37"/>
      <c r="AE66" s="37"/>
    </row>
    <row r="67" spans="2:31">
      <c r="B67" s="50"/>
      <c r="C67" s="33" t="s">
        <v>34</v>
      </c>
      <c r="D67" s="40"/>
      <c r="E67" s="85">
        <f>IF($I$27=$H$20,P67,AA67)</f>
        <v>-1271.8553571428572</v>
      </c>
      <c r="F67" s="85">
        <f>IF($I$27=$H$20,Q67,AB67)</f>
        <v>-1339.0710535714288</v>
      </c>
      <c r="G67" s="85">
        <f>IF($I$27=$H$20,R67,AC67)</f>
        <v>-1409.8649105357142</v>
      </c>
      <c r="H67" s="85">
        <f>IF($I$27=$H$20,S67,AD67)</f>
        <v>-1484.4288786053573</v>
      </c>
      <c r="I67" s="85">
        <f>IF($I$27=$H$20,T67,AE67)</f>
        <v>-1562.965288431054</v>
      </c>
      <c r="K67" s="50"/>
      <c r="L67" s="33" t="s">
        <v>34</v>
      </c>
      <c r="O67" s="40"/>
      <c r="P67" s="85">
        <f t="shared" ref="P67:T67" si="57">P160</f>
        <v>-909.5625</v>
      </c>
      <c r="Q67" s="85">
        <f t="shared" si="57"/>
        <v>-955.04062500000009</v>
      </c>
      <c r="R67" s="85">
        <f t="shared" si="57"/>
        <v>-1002.7926562499999</v>
      </c>
      <c r="S67" s="85">
        <f t="shared" si="57"/>
        <v>-1052.9322890625001</v>
      </c>
      <c r="T67" s="85">
        <f t="shared" si="57"/>
        <v>-1105.5789035156254</v>
      </c>
      <c r="V67" s="50"/>
      <c r="W67" s="33" t="s">
        <v>34</v>
      </c>
      <c r="Z67" s="40"/>
      <c r="AA67" s="85">
        <f t="shared" ref="AA67:AE67" si="58">SUM(AA160,AA249)</f>
        <v>-1271.8553571428572</v>
      </c>
      <c r="AB67" s="85">
        <f t="shared" si="58"/>
        <v>-1339.0710535714288</v>
      </c>
      <c r="AC67" s="85">
        <f t="shared" si="58"/>
        <v>-1409.8649105357142</v>
      </c>
      <c r="AD67" s="85">
        <f t="shared" si="58"/>
        <v>-1484.4288786053573</v>
      </c>
      <c r="AE67" s="85">
        <f t="shared" si="58"/>
        <v>-1562.965288431054</v>
      </c>
    </row>
    <row r="68" spans="2:31">
      <c r="B68" s="50"/>
      <c r="C68" s="33" t="s">
        <v>33</v>
      </c>
      <c r="D68" s="40"/>
      <c r="E68" s="40">
        <f>SUM(E67:E67)</f>
        <v>-1271.8553571428572</v>
      </c>
      <c r="F68" s="40">
        <f>SUM(F67:F67)</f>
        <v>-1339.0710535714288</v>
      </c>
      <c r="G68" s="40">
        <f>SUM(G67:G67)</f>
        <v>-1409.8649105357142</v>
      </c>
      <c r="H68" s="40">
        <f>SUM(H67:H67)</f>
        <v>-1484.4288786053573</v>
      </c>
      <c r="I68" s="40">
        <f>SUM(I67:I67)</f>
        <v>-1562.965288431054</v>
      </c>
      <c r="K68" s="50"/>
      <c r="L68" s="33" t="s">
        <v>33</v>
      </c>
      <c r="O68" s="40"/>
      <c r="P68" s="40">
        <f>SUM(P67:P67)</f>
        <v>-909.5625</v>
      </c>
      <c r="Q68" s="40">
        <f>SUM(Q67:Q67)</f>
        <v>-955.04062500000009</v>
      </c>
      <c r="R68" s="40">
        <f>SUM(R67:R67)</f>
        <v>-1002.7926562499999</v>
      </c>
      <c r="S68" s="40">
        <f>SUM(S67:S67)</f>
        <v>-1052.9322890625001</v>
      </c>
      <c r="T68" s="40">
        <f>SUM(T67:T67)</f>
        <v>-1105.5789035156254</v>
      </c>
      <c r="V68" s="50"/>
      <c r="W68" s="33" t="s">
        <v>33</v>
      </c>
      <c r="Z68" s="40"/>
      <c r="AA68" s="40">
        <f>SUM(AA67:AA67)</f>
        <v>-1271.8553571428572</v>
      </c>
      <c r="AB68" s="40">
        <f>SUM(AB67:AB67)</f>
        <v>-1339.0710535714288</v>
      </c>
      <c r="AC68" s="40">
        <f>SUM(AC67:AC67)</f>
        <v>-1409.8649105357142</v>
      </c>
      <c r="AD68" s="40">
        <f>SUM(AD67:AD67)</f>
        <v>-1484.4288786053573</v>
      </c>
      <c r="AE68" s="40">
        <f>SUM(AE67:AE67)</f>
        <v>-1562.965288431054</v>
      </c>
    </row>
    <row r="69" spans="2:31">
      <c r="B69" s="50"/>
      <c r="D69" s="40"/>
      <c r="E69" s="40"/>
      <c r="F69" s="40"/>
      <c r="G69" s="40"/>
      <c r="H69" s="40"/>
      <c r="I69" s="40"/>
      <c r="K69" s="50"/>
      <c r="O69" s="40"/>
      <c r="P69" s="40"/>
      <c r="Q69" s="40"/>
      <c r="R69" s="40"/>
      <c r="S69" s="40"/>
      <c r="T69" s="40"/>
      <c r="V69" s="57"/>
      <c r="Z69" s="40"/>
      <c r="AA69" s="40"/>
      <c r="AB69" s="40"/>
      <c r="AC69" s="40"/>
      <c r="AD69" s="40"/>
      <c r="AE69" s="40"/>
    </row>
    <row r="70" spans="2:31">
      <c r="B70" s="50"/>
      <c r="C70" s="54" t="s">
        <v>35</v>
      </c>
      <c r="D70" s="37"/>
      <c r="E70" s="37"/>
      <c r="F70" s="37"/>
      <c r="G70" s="37"/>
      <c r="H70" s="37"/>
      <c r="I70" s="37"/>
      <c r="K70" s="50"/>
      <c r="L70" s="54" t="s">
        <v>35</v>
      </c>
      <c r="M70" s="54"/>
      <c r="N70" s="54"/>
      <c r="O70" s="37"/>
      <c r="P70" s="37"/>
      <c r="Q70" s="37"/>
      <c r="R70" s="37"/>
      <c r="S70" s="37"/>
      <c r="T70" s="37"/>
      <c r="V70" s="50"/>
      <c r="W70" s="54" t="s">
        <v>35</v>
      </c>
      <c r="X70" s="54"/>
      <c r="Y70" s="54"/>
      <c r="Z70" s="117"/>
      <c r="AA70" s="37"/>
      <c r="AB70" s="37"/>
      <c r="AC70" s="37"/>
      <c r="AD70" s="37"/>
      <c r="AE70" s="37"/>
    </row>
    <row r="71" spans="2:31">
      <c r="B71" s="50"/>
      <c r="C71" s="33" t="s">
        <v>36</v>
      </c>
      <c r="D71" s="40"/>
      <c r="E71" s="40">
        <f t="shared" ref="E71:I74" si="59">IF($I$27=$H$20,P71,AA71)</f>
        <v>-1050</v>
      </c>
      <c r="F71" s="40">
        <f t="shared" si="59"/>
        <v>-1050</v>
      </c>
      <c r="G71" s="40">
        <f t="shared" si="59"/>
        <v>-1050</v>
      </c>
      <c r="H71" s="40">
        <f t="shared" si="59"/>
        <v>-1050</v>
      </c>
      <c r="I71" s="40">
        <f t="shared" si="59"/>
        <v>-1050</v>
      </c>
      <c r="K71" s="50"/>
      <c r="L71" s="33" t="s">
        <v>36</v>
      </c>
      <c r="O71" s="40"/>
      <c r="P71" s="40">
        <f t="shared" ref="P71:T72" si="60">P164</f>
        <v>-750</v>
      </c>
      <c r="Q71" s="40">
        <f t="shared" si="60"/>
        <v>-750</v>
      </c>
      <c r="R71" s="40">
        <f t="shared" si="60"/>
        <v>-750</v>
      </c>
      <c r="S71" s="40">
        <f t="shared" si="60"/>
        <v>-750</v>
      </c>
      <c r="T71" s="40">
        <f t="shared" si="60"/>
        <v>-750</v>
      </c>
      <c r="V71" s="50"/>
      <c r="W71" s="33" t="s">
        <v>36</v>
      </c>
      <c r="Z71" s="40"/>
      <c r="AA71" s="40">
        <f t="shared" ref="AA71:AE72" si="61">SUM(AA164,AA253)</f>
        <v>-1050</v>
      </c>
      <c r="AB71" s="40">
        <f t="shared" si="61"/>
        <v>-1050</v>
      </c>
      <c r="AC71" s="40">
        <f t="shared" si="61"/>
        <v>-1050</v>
      </c>
      <c r="AD71" s="40">
        <f t="shared" si="61"/>
        <v>-1050</v>
      </c>
      <c r="AE71" s="40">
        <f t="shared" si="61"/>
        <v>-1050</v>
      </c>
    </row>
    <row r="72" spans="2:31">
      <c r="B72" s="50"/>
      <c r="C72" s="33" t="s">
        <v>37</v>
      </c>
      <c r="D72" s="40"/>
      <c r="E72" s="40">
        <f t="shared" si="59"/>
        <v>0</v>
      </c>
      <c r="F72" s="40">
        <f t="shared" si="59"/>
        <v>0</v>
      </c>
      <c r="G72" s="40">
        <f t="shared" si="59"/>
        <v>0</v>
      </c>
      <c r="H72" s="40">
        <f t="shared" si="59"/>
        <v>0</v>
      </c>
      <c r="I72" s="40">
        <f t="shared" si="59"/>
        <v>0</v>
      </c>
      <c r="K72" s="50"/>
      <c r="L72" s="33" t="s">
        <v>37</v>
      </c>
      <c r="O72" s="40"/>
      <c r="P72" s="40">
        <f t="shared" si="60"/>
        <v>0</v>
      </c>
      <c r="Q72" s="40">
        <f t="shared" si="60"/>
        <v>0</v>
      </c>
      <c r="R72" s="40">
        <f t="shared" si="60"/>
        <v>0</v>
      </c>
      <c r="S72" s="40">
        <f t="shared" si="60"/>
        <v>0</v>
      </c>
      <c r="T72" s="40">
        <f t="shared" si="60"/>
        <v>0</v>
      </c>
      <c r="V72" s="50"/>
      <c r="W72" s="33" t="s">
        <v>37</v>
      </c>
      <c r="Z72" s="40"/>
      <c r="AA72" s="40">
        <f t="shared" si="61"/>
        <v>0</v>
      </c>
      <c r="AB72" s="40">
        <f t="shared" si="61"/>
        <v>0</v>
      </c>
      <c r="AC72" s="40">
        <f t="shared" si="61"/>
        <v>0</v>
      </c>
      <c r="AD72" s="40">
        <f t="shared" si="61"/>
        <v>0</v>
      </c>
      <c r="AE72" s="40">
        <f t="shared" si="61"/>
        <v>0</v>
      </c>
    </row>
    <row r="73" spans="2:31">
      <c r="B73" s="50"/>
      <c r="C73" s="53" t="s">
        <v>77</v>
      </c>
      <c r="D73" s="40"/>
      <c r="E73" s="40">
        <f t="shared" si="59"/>
        <v>-36.548920264345035</v>
      </c>
      <c r="F73" s="40">
        <f t="shared" si="59"/>
        <v>-43.884109157290688</v>
      </c>
      <c r="G73" s="40">
        <f t="shared" si="59"/>
        <v>-51.690408120021857</v>
      </c>
      <c r="H73" s="40">
        <f t="shared" si="59"/>
        <v>-60.004189576416948</v>
      </c>
      <c r="I73" s="40">
        <f t="shared" si="59"/>
        <v>-68.864511500369531</v>
      </c>
      <c r="K73" s="50"/>
      <c r="L73" s="53" t="s">
        <v>77</v>
      </c>
      <c r="M73" s="53"/>
      <c r="N73" s="53"/>
      <c r="O73" s="94"/>
      <c r="P73" s="94">
        <v>0</v>
      </c>
      <c r="Q73" s="94">
        <v>0</v>
      </c>
      <c r="R73" s="94">
        <v>0</v>
      </c>
      <c r="S73" s="94">
        <v>0</v>
      </c>
      <c r="T73" s="94">
        <v>0</v>
      </c>
      <c r="V73" s="50"/>
      <c r="W73" s="53" t="s">
        <v>77</v>
      </c>
      <c r="X73" s="53"/>
      <c r="Y73" s="53"/>
      <c r="Z73" s="40"/>
      <c r="AA73" s="40">
        <f>AA255*(1-$Y$26)</f>
        <v>-36.548920264345035</v>
      </c>
      <c r="AB73" s="40">
        <f>AB255*(1-$Y$26)</f>
        <v>-43.884109157290688</v>
      </c>
      <c r="AC73" s="40">
        <f>AC255*(1-$Y$26)</f>
        <v>-51.690408120021857</v>
      </c>
      <c r="AD73" s="40">
        <f>AD255*(1-$Y$26)</f>
        <v>-60.004189576416948</v>
      </c>
      <c r="AE73" s="40">
        <f>AE255*(1-$Y$26)</f>
        <v>-68.864511500369531</v>
      </c>
    </row>
    <row r="74" spans="2:31">
      <c r="B74" s="50"/>
      <c r="C74" s="33" t="s">
        <v>38</v>
      </c>
      <c r="D74" s="40"/>
      <c r="E74" s="85">
        <f t="shared" si="59"/>
        <v>-123.77822445564317</v>
      </c>
      <c r="F74" s="85">
        <f t="shared" si="59"/>
        <v>-148.2111688268169</v>
      </c>
      <c r="G74" s="85">
        <f t="shared" si="59"/>
        <v>-174.01745656725174</v>
      </c>
      <c r="H74" s="85">
        <f t="shared" si="59"/>
        <v>-201.28795505953576</v>
      </c>
      <c r="I74" s="85">
        <f t="shared" si="59"/>
        <v>-230.11922897818022</v>
      </c>
      <c r="K74" s="50"/>
      <c r="L74" s="33" t="s">
        <v>38</v>
      </c>
      <c r="O74" s="40"/>
      <c r="P74" s="85">
        <f t="shared" ref="P74:T74" si="62">P166</f>
        <v>-123.77822445564317</v>
      </c>
      <c r="Q74" s="85">
        <f t="shared" si="62"/>
        <v>-148.2111688268169</v>
      </c>
      <c r="R74" s="85">
        <f t="shared" si="62"/>
        <v>-174.01745656725174</v>
      </c>
      <c r="S74" s="85">
        <f t="shared" si="62"/>
        <v>-201.28795505953576</v>
      </c>
      <c r="T74" s="85">
        <f t="shared" si="62"/>
        <v>-230.11922897818022</v>
      </c>
      <c r="V74" s="50"/>
      <c r="W74" s="33" t="s">
        <v>38</v>
      </c>
      <c r="Z74" s="40"/>
      <c r="AA74" s="85">
        <f>SUM(AA166)</f>
        <v>-123.77822445564317</v>
      </c>
      <c r="AB74" s="85">
        <f t="shared" ref="AB74:AE74" si="63">SUM(AB166)</f>
        <v>-148.2111688268169</v>
      </c>
      <c r="AC74" s="85">
        <f t="shared" si="63"/>
        <v>-174.01745656725174</v>
      </c>
      <c r="AD74" s="85">
        <f t="shared" si="63"/>
        <v>-201.28795505953576</v>
      </c>
      <c r="AE74" s="85">
        <f t="shared" si="63"/>
        <v>-230.11922897818022</v>
      </c>
    </row>
    <row r="75" spans="2:31">
      <c r="B75" s="50"/>
      <c r="C75" s="33" t="s">
        <v>35</v>
      </c>
      <c r="D75" s="40"/>
      <c r="E75" s="40">
        <f t="shared" ref="E75:I75" si="64">SUM(E71:E74)</f>
        <v>-1210.3271447199882</v>
      </c>
      <c r="F75" s="40">
        <f t="shared" si="64"/>
        <v>-1242.0952779841075</v>
      </c>
      <c r="G75" s="40">
        <f t="shared" si="64"/>
        <v>-1275.7078646872735</v>
      </c>
      <c r="H75" s="40">
        <f t="shared" si="64"/>
        <v>-1311.2921446359528</v>
      </c>
      <c r="I75" s="40">
        <f t="shared" si="64"/>
        <v>-1348.9837404785499</v>
      </c>
      <c r="K75" s="50"/>
      <c r="L75" s="33" t="s">
        <v>35</v>
      </c>
      <c r="O75" s="40"/>
      <c r="P75" s="40">
        <f t="shared" ref="P75:T75" si="65">SUM(P71:P74)</f>
        <v>-873.77822445564311</v>
      </c>
      <c r="Q75" s="40">
        <f t="shared" si="65"/>
        <v>-898.2111688268169</v>
      </c>
      <c r="R75" s="40">
        <f t="shared" si="65"/>
        <v>-924.01745656725177</v>
      </c>
      <c r="S75" s="40">
        <f t="shared" si="65"/>
        <v>-951.28795505953576</v>
      </c>
      <c r="T75" s="40">
        <f t="shared" si="65"/>
        <v>-980.11922897818022</v>
      </c>
      <c r="V75" s="50"/>
      <c r="W75" s="33" t="s">
        <v>35</v>
      </c>
      <c r="Z75" s="40"/>
      <c r="AA75" s="40">
        <f t="shared" ref="AA75:AE75" si="66">SUM(AA71:AA74)</f>
        <v>-1210.3271447199882</v>
      </c>
      <c r="AB75" s="40">
        <f t="shared" si="66"/>
        <v>-1242.0952779841075</v>
      </c>
      <c r="AC75" s="40">
        <f t="shared" si="66"/>
        <v>-1275.7078646872735</v>
      </c>
      <c r="AD75" s="40">
        <f t="shared" si="66"/>
        <v>-1311.2921446359528</v>
      </c>
      <c r="AE75" s="40">
        <f t="shared" si="66"/>
        <v>-1348.9837404785499</v>
      </c>
    </row>
    <row r="76" spans="2:31">
      <c r="B76" s="50"/>
      <c r="D76" s="40"/>
      <c r="E76" s="40"/>
      <c r="F76" s="40"/>
      <c r="G76" s="40"/>
      <c r="H76" s="40"/>
      <c r="I76" s="40"/>
      <c r="K76" s="50"/>
      <c r="O76" s="40"/>
      <c r="P76" s="40"/>
      <c r="Q76" s="40"/>
      <c r="R76" s="40"/>
      <c r="S76" s="40"/>
      <c r="T76" s="40"/>
      <c r="V76" s="50"/>
      <c r="Z76" s="40"/>
      <c r="AA76" s="40"/>
      <c r="AB76" s="40"/>
      <c r="AC76" s="40"/>
      <c r="AD76" s="40"/>
      <c r="AE76" s="40"/>
    </row>
    <row r="77" spans="2:31">
      <c r="B77" s="50"/>
      <c r="C77" s="33" t="s">
        <v>39</v>
      </c>
      <c r="D77" s="40"/>
      <c r="E77" s="40">
        <f t="shared" ref="E77:I78" si="67">IF($I$27=$H$20,P77,AA77)</f>
        <v>4401.6619849956678</v>
      </c>
      <c r="F77" s="40">
        <f t="shared" si="67"/>
        <v>3948.8606552329602</v>
      </c>
      <c r="G77" s="40">
        <f t="shared" si="67"/>
        <v>3639.0371810270262</v>
      </c>
      <c r="H77" s="40">
        <f t="shared" si="67"/>
        <v>3480.6967421404779</v>
      </c>
      <c r="I77" s="40">
        <f t="shared" si="67"/>
        <v>3482.9515911732988</v>
      </c>
      <c r="K77" s="50"/>
      <c r="L77" s="33" t="s">
        <v>39</v>
      </c>
      <c r="O77" s="40"/>
      <c r="P77" s="40">
        <f>O89</f>
        <v>2773.2724086129201</v>
      </c>
      <c r="Q77" s="40">
        <f t="shared" ref="Q77:T77" si="68">P79</f>
        <v>2456.8161868320103</v>
      </c>
      <c r="R77" s="40">
        <f t="shared" si="68"/>
        <v>2243.440275875214</v>
      </c>
      <c r="S77" s="40">
        <f t="shared" si="68"/>
        <v>2139.0702705742533</v>
      </c>
      <c r="T77" s="40">
        <f t="shared" si="68"/>
        <v>2150.0364851770219</v>
      </c>
      <c r="V77" s="50"/>
      <c r="W77" s="33" t="s">
        <v>39</v>
      </c>
      <c r="Z77" s="40"/>
      <c r="AA77" s="40">
        <f>Z89</f>
        <v>4401.6619849956678</v>
      </c>
      <c r="AB77" s="40">
        <f>AA79</f>
        <v>3948.8606552329602</v>
      </c>
      <c r="AC77" s="40">
        <f>AB79</f>
        <v>3639.0371810270262</v>
      </c>
      <c r="AD77" s="40">
        <f>AC79</f>
        <v>3480.6967421404779</v>
      </c>
      <c r="AE77" s="40">
        <f>AD79</f>
        <v>3482.9515911732988</v>
      </c>
    </row>
    <row r="78" spans="2:31">
      <c r="B78" s="50"/>
      <c r="C78" s="33" t="s">
        <v>40</v>
      </c>
      <c r="D78" s="40"/>
      <c r="E78" s="85">
        <f t="shared" si="67"/>
        <v>-452.80132976270738</v>
      </c>
      <c r="F78" s="85">
        <f t="shared" si="67"/>
        <v>-309.82347420593419</v>
      </c>
      <c r="G78" s="85">
        <f t="shared" si="67"/>
        <v>-158.34043888654833</v>
      </c>
      <c r="H78" s="85">
        <f t="shared" si="67"/>
        <v>2.2548490328206299</v>
      </c>
      <c r="I78" s="85">
        <f t="shared" si="67"/>
        <v>172.61072934458616</v>
      </c>
      <c r="K78" s="50"/>
      <c r="L78" s="33" t="s">
        <v>40</v>
      </c>
      <c r="O78" s="40"/>
      <c r="P78" s="85">
        <f>P64+P68+P75</f>
        <v>-316.4562217809098</v>
      </c>
      <c r="Q78" s="85">
        <f>Q64+Q68+Q75</f>
        <v>-213.37591095679636</v>
      </c>
      <c r="R78" s="85">
        <f>R64+R68+R75</f>
        <v>-104.37000530096077</v>
      </c>
      <c r="S78" s="85">
        <f>S64+S68+S75</f>
        <v>10.966214602768332</v>
      </c>
      <c r="T78" s="85">
        <f>T64+T68+T75</f>
        <v>133.06364089764929</v>
      </c>
      <c r="V78" s="50"/>
      <c r="W78" s="33" t="s">
        <v>40</v>
      </c>
      <c r="Z78" s="40"/>
      <c r="AA78" s="85">
        <f>AA64+AA68+AA75</f>
        <v>-452.80132976270738</v>
      </c>
      <c r="AB78" s="85">
        <f>AB64+AB68+AB75</f>
        <v>-309.82347420593419</v>
      </c>
      <c r="AC78" s="85">
        <f>AC64+AC68+AC75</f>
        <v>-158.34043888654833</v>
      </c>
      <c r="AD78" s="85">
        <f>AD64+AD68+AD75</f>
        <v>2.2548490328206299</v>
      </c>
      <c r="AE78" s="85">
        <f>AE64+AE68+AE75</f>
        <v>172.61072934458616</v>
      </c>
    </row>
    <row r="79" spans="2:31">
      <c r="B79" s="47"/>
      <c r="C79" s="54" t="s">
        <v>41</v>
      </c>
      <c r="D79" s="86"/>
      <c r="E79" s="86">
        <f t="shared" ref="E79:I79" si="69">SUM(E77:E78)</f>
        <v>3948.8606552329602</v>
      </c>
      <c r="F79" s="86">
        <f t="shared" si="69"/>
        <v>3639.0371810270262</v>
      </c>
      <c r="G79" s="86">
        <f t="shared" si="69"/>
        <v>3480.6967421404779</v>
      </c>
      <c r="H79" s="86">
        <f t="shared" si="69"/>
        <v>3482.9515911732988</v>
      </c>
      <c r="I79" s="86">
        <f t="shared" si="69"/>
        <v>3655.5623205178849</v>
      </c>
      <c r="K79" s="47"/>
      <c r="L79" s="54" t="s">
        <v>41</v>
      </c>
      <c r="M79" s="54"/>
      <c r="N79" s="54"/>
      <c r="O79" s="86"/>
      <c r="P79" s="86">
        <f t="shared" ref="P79:T79" si="70">SUM(P77:P78)</f>
        <v>2456.8161868320103</v>
      </c>
      <c r="Q79" s="86">
        <f t="shared" si="70"/>
        <v>2243.440275875214</v>
      </c>
      <c r="R79" s="86">
        <f t="shared" si="70"/>
        <v>2139.0702705742533</v>
      </c>
      <c r="S79" s="86">
        <f t="shared" si="70"/>
        <v>2150.0364851770219</v>
      </c>
      <c r="T79" s="86">
        <f t="shared" si="70"/>
        <v>2283.1001260746712</v>
      </c>
      <c r="V79" s="47"/>
      <c r="W79" s="54" t="s">
        <v>41</v>
      </c>
      <c r="X79" s="54"/>
      <c r="Y79" s="54"/>
      <c r="Z79" s="86"/>
      <c r="AA79" s="86">
        <f t="shared" ref="AA79:AE79" si="71">SUM(AA77:AA78)</f>
        <v>3948.8606552329602</v>
      </c>
      <c r="AB79" s="86">
        <f t="shared" si="71"/>
        <v>3639.0371810270262</v>
      </c>
      <c r="AC79" s="86">
        <f t="shared" si="71"/>
        <v>3480.6967421404779</v>
      </c>
      <c r="AD79" s="86">
        <f t="shared" si="71"/>
        <v>3482.9515911732988</v>
      </c>
      <c r="AE79" s="86">
        <f t="shared" si="71"/>
        <v>3655.5623205178849</v>
      </c>
    </row>
    <row r="80" spans="2:31">
      <c r="B80" s="50"/>
      <c r="C80" s="55"/>
      <c r="D80" s="56"/>
      <c r="E80" s="56"/>
      <c r="F80" s="56"/>
      <c r="G80" s="56"/>
      <c r="H80" s="56"/>
      <c r="I80" s="56"/>
      <c r="K80" s="50"/>
      <c r="L80" s="55"/>
      <c r="M80" s="55"/>
      <c r="N80" s="55"/>
      <c r="O80" s="56"/>
      <c r="P80" s="56"/>
      <c r="Q80" s="56"/>
      <c r="R80" s="56"/>
      <c r="S80" s="56"/>
      <c r="T80" s="56"/>
      <c r="V80" s="50"/>
      <c r="W80" s="55"/>
      <c r="X80" s="55"/>
      <c r="Y80" s="55"/>
      <c r="Z80" s="56"/>
      <c r="AA80" s="56"/>
      <c r="AB80" s="56"/>
      <c r="AC80" s="56"/>
      <c r="AD80" s="56"/>
      <c r="AE80" s="56"/>
    </row>
    <row r="81" spans="2:31">
      <c r="B81" s="50"/>
      <c r="D81" s="87"/>
      <c r="E81" s="87"/>
      <c r="F81" s="87"/>
      <c r="G81" s="87"/>
      <c r="H81" s="87"/>
      <c r="I81" s="87"/>
      <c r="K81" s="50"/>
      <c r="O81" s="87"/>
      <c r="P81" s="87"/>
      <c r="Q81" s="87"/>
      <c r="R81" s="87"/>
      <c r="S81" s="87"/>
      <c r="T81" s="87"/>
      <c r="V81" s="50"/>
      <c r="Z81" s="87"/>
      <c r="AA81" s="87"/>
      <c r="AB81" s="87"/>
      <c r="AC81" s="87"/>
      <c r="AD81" s="87"/>
      <c r="AE81" s="87"/>
    </row>
    <row r="82" spans="2:31">
      <c r="B82" s="50"/>
      <c r="D82" s="87"/>
      <c r="E82" s="87"/>
      <c r="F82" s="87"/>
      <c r="G82" s="87"/>
      <c r="H82" s="87"/>
      <c r="I82" s="87"/>
      <c r="K82" s="50"/>
      <c r="O82" s="87"/>
      <c r="P82" s="87"/>
      <c r="Q82" s="87"/>
      <c r="R82" s="87"/>
      <c r="S82" s="87"/>
      <c r="T82" s="87"/>
      <c r="V82" s="50"/>
      <c r="Z82" s="87"/>
      <c r="AA82" s="87"/>
      <c r="AB82" s="87"/>
      <c r="AC82" s="87"/>
      <c r="AD82" s="87"/>
      <c r="AE82" s="87"/>
    </row>
    <row r="83" spans="2:31" ht="15">
      <c r="B83" s="50"/>
      <c r="C83" s="49" t="str">
        <f>"WW Balance Sheet (Pro-Forma under "&amp;I27&amp;")"</f>
        <v>WW Balance Sheet (Pro-Forma under Consolidation Method)</v>
      </c>
      <c r="D83" s="48"/>
      <c r="E83" s="48"/>
      <c r="F83" s="48"/>
      <c r="G83" s="48"/>
      <c r="H83" s="48"/>
      <c r="I83" s="48"/>
      <c r="K83" s="50"/>
      <c r="L83" s="49" t="str">
        <f>"WW Balance Sheet (Pro-Forma under "&amp;S27&amp;")"</f>
        <v>WW Balance Sheet (Pro-Forma under Cost Method)</v>
      </c>
      <c r="M83" s="49"/>
      <c r="N83" s="49"/>
      <c r="O83" s="48"/>
      <c r="P83" s="48"/>
      <c r="Q83" s="48"/>
      <c r="R83" s="48"/>
      <c r="S83" s="48"/>
      <c r="T83" s="48"/>
      <c r="V83" s="50"/>
      <c r="W83" s="49" t="str">
        <f>"WW Balance Sheet (Pro-Forma under "&amp;AD27&amp;")"</f>
        <v>WW Balance Sheet (Pro-Forma under Consolidation Method)</v>
      </c>
      <c r="X83" s="49"/>
      <c r="Y83" s="49"/>
      <c r="Z83" s="48"/>
      <c r="AA83" s="48"/>
      <c r="AB83" s="48"/>
      <c r="AC83" s="48"/>
      <c r="AD83" s="48"/>
      <c r="AE83" s="48"/>
    </row>
    <row r="84" spans="2:31">
      <c r="B84" s="50"/>
      <c r="C84" s="51" t="s">
        <v>23</v>
      </c>
      <c r="K84" s="50"/>
      <c r="L84" s="51" t="s">
        <v>23</v>
      </c>
      <c r="M84" s="51"/>
      <c r="N84" s="51"/>
      <c r="V84" s="50"/>
      <c r="W84" s="51" t="s">
        <v>23</v>
      </c>
      <c r="X84" s="51"/>
      <c r="Y84" s="51"/>
    </row>
    <row r="85" spans="2:31">
      <c r="B85" s="50"/>
      <c r="C85" s="51"/>
      <c r="K85" s="50"/>
      <c r="L85" s="51"/>
      <c r="M85" s="51"/>
      <c r="N85" s="51"/>
      <c r="V85" s="50"/>
      <c r="W85" s="51"/>
      <c r="X85" s="51"/>
      <c r="Y85" s="51"/>
    </row>
    <row r="86" spans="2:31">
      <c r="B86" s="50"/>
      <c r="D86" s="83">
        <f t="shared" ref="D86:I86" si="72">D57</f>
        <v>44926</v>
      </c>
      <c r="E86" s="84">
        <f t="shared" si="72"/>
        <v>45291</v>
      </c>
      <c r="F86" s="84">
        <f t="shared" si="72"/>
        <v>45657</v>
      </c>
      <c r="G86" s="84">
        <f t="shared" si="72"/>
        <v>46022</v>
      </c>
      <c r="H86" s="84">
        <f t="shared" si="72"/>
        <v>46387</v>
      </c>
      <c r="I86" s="84">
        <f t="shared" si="72"/>
        <v>46752</v>
      </c>
      <c r="K86" s="50"/>
      <c r="M86" s="95" t="s">
        <v>78</v>
      </c>
      <c r="N86" s="96" t="s">
        <v>79</v>
      </c>
      <c r="O86" s="97">
        <f t="shared" ref="O86:T86" si="73">O57</f>
        <v>44926</v>
      </c>
      <c r="P86" s="84">
        <f t="shared" si="73"/>
        <v>45291</v>
      </c>
      <c r="Q86" s="84">
        <f t="shared" si="73"/>
        <v>45657</v>
      </c>
      <c r="R86" s="84">
        <f t="shared" si="73"/>
        <v>46022</v>
      </c>
      <c r="S86" s="84">
        <f t="shared" si="73"/>
        <v>46387</v>
      </c>
      <c r="T86" s="84">
        <f t="shared" si="73"/>
        <v>46752</v>
      </c>
      <c r="V86" s="50"/>
      <c r="X86" s="95" t="s">
        <v>78</v>
      </c>
      <c r="Y86" s="96" t="s">
        <v>79</v>
      </c>
      <c r="Z86" s="97">
        <f t="shared" ref="Z86:AE86" si="74">Z57</f>
        <v>44926</v>
      </c>
      <c r="AA86" s="84">
        <f t="shared" si="74"/>
        <v>45291</v>
      </c>
      <c r="AB86" s="84">
        <f t="shared" si="74"/>
        <v>45657</v>
      </c>
      <c r="AC86" s="84">
        <f t="shared" si="74"/>
        <v>46022</v>
      </c>
      <c r="AD86" s="84">
        <f t="shared" si="74"/>
        <v>46387</v>
      </c>
      <c r="AE86" s="84">
        <f t="shared" si="74"/>
        <v>46752</v>
      </c>
    </row>
    <row r="87" spans="2:31">
      <c r="B87" s="50"/>
      <c r="D87" s="88"/>
      <c r="E87" s="88"/>
      <c r="F87" s="88"/>
      <c r="G87" s="88"/>
      <c r="H87" s="88"/>
      <c r="I87" s="88"/>
      <c r="K87" s="50"/>
      <c r="M87" s="98"/>
      <c r="O87" s="99"/>
      <c r="P87" s="88"/>
      <c r="Q87" s="88"/>
      <c r="R87" s="88"/>
      <c r="S87" s="88"/>
      <c r="T87" s="88"/>
      <c r="V87" s="50"/>
      <c r="X87" s="98"/>
      <c r="Z87" s="99"/>
      <c r="AA87" s="88"/>
      <c r="AB87" s="88"/>
      <c r="AC87" s="88"/>
      <c r="AD87" s="88"/>
      <c r="AE87" s="88"/>
    </row>
    <row r="88" spans="2:31">
      <c r="B88" s="50"/>
      <c r="C88" s="54" t="s">
        <v>42</v>
      </c>
      <c r="D88" s="88"/>
      <c r="E88" s="88"/>
      <c r="F88" s="88"/>
      <c r="G88" s="88"/>
      <c r="H88" s="88"/>
      <c r="I88" s="88"/>
      <c r="K88" s="50"/>
      <c r="L88" s="54" t="s">
        <v>42</v>
      </c>
      <c r="M88" s="100"/>
      <c r="N88" s="54"/>
      <c r="O88" s="101"/>
      <c r="P88" s="88"/>
      <c r="Q88" s="88"/>
      <c r="R88" s="88"/>
      <c r="S88" s="88"/>
      <c r="T88" s="88"/>
      <c r="V88" s="50"/>
      <c r="W88" s="54" t="s">
        <v>42</v>
      </c>
      <c r="X88" s="100"/>
      <c r="Y88" s="54"/>
      <c r="Z88" s="101"/>
      <c r="AA88" s="88"/>
      <c r="AB88" s="88"/>
      <c r="AC88" s="88"/>
      <c r="AD88" s="88"/>
      <c r="AE88" s="88"/>
    </row>
    <row r="89" spans="2:31">
      <c r="B89" s="50"/>
      <c r="C89" s="33" t="s">
        <v>43</v>
      </c>
      <c r="D89" s="40">
        <f>IF($I$27=$H$20,O89,Z89)</f>
        <v>4401.6619849956678</v>
      </c>
      <c r="E89" s="40">
        <f t="shared" ref="E89" si="75">IF($I$27=$H$20,P89,AA89)</f>
        <v>3948.8606552329602</v>
      </c>
      <c r="F89" s="40">
        <f t="shared" ref="F89" si="76">IF($I$27=$H$20,Q89,AB89)</f>
        <v>3639.0371810270262</v>
      </c>
      <c r="G89" s="40">
        <f t="shared" ref="G89" si="77">IF($I$27=$H$20,R89,AC89)</f>
        <v>3480.6967421404779</v>
      </c>
      <c r="H89" s="40">
        <f t="shared" ref="H89" si="78">IF($I$27=$H$20,S89,AD89)</f>
        <v>3482.9515911732988</v>
      </c>
      <c r="I89" s="40">
        <f t="shared" ref="I89" si="79">IF($I$27=$H$20,T89,AE89)</f>
        <v>3655.5623205178849</v>
      </c>
      <c r="K89" s="50"/>
      <c r="L89" s="33" t="s">
        <v>43</v>
      </c>
      <c r="M89" s="102">
        <f>O181</f>
        <v>6823.2724086129201</v>
      </c>
      <c r="N89" s="40">
        <f>-N26*N25</f>
        <v>-4050</v>
      </c>
      <c r="O89" s="101">
        <f>SUM(M89:N89)</f>
        <v>2773.2724086129201</v>
      </c>
      <c r="P89" s="40">
        <f>P79</f>
        <v>2456.8161868320103</v>
      </c>
      <c r="Q89" s="40">
        <f t="shared" ref="Q89:T89" si="80">Q79</f>
        <v>2243.440275875214</v>
      </c>
      <c r="R89" s="40">
        <f t="shared" si="80"/>
        <v>2139.0702705742533</v>
      </c>
      <c r="S89" s="40">
        <f t="shared" si="80"/>
        <v>2150.0364851770219</v>
      </c>
      <c r="T89" s="40">
        <f t="shared" si="80"/>
        <v>2283.1001260746712</v>
      </c>
      <c r="V89" s="50"/>
      <c r="W89" s="33" t="s">
        <v>43</v>
      </c>
      <c r="X89" s="102">
        <f>Z181</f>
        <v>6823.2724086129201</v>
      </c>
      <c r="Y89" s="40">
        <f>Z270-Y25*Y26</f>
        <v>-2421.6104236172528</v>
      </c>
      <c r="Z89" s="101">
        <f>SUM(X89:Y89)</f>
        <v>4401.6619849956678</v>
      </c>
      <c r="AA89" s="40">
        <f t="shared" ref="AA89:AE89" si="81">AA79</f>
        <v>3948.8606552329602</v>
      </c>
      <c r="AB89" s="40">
        <f t="shared" si="81"/>
        <v>3639.0371810270262</v>
      </c>
      <c r="AC89" s="40">
        <f t="shared" si="81"/>
        <v>3480.6967421404779</v>
      </c>
      <c r="AD89" s="40">
        <f t="shared" si="81"/>
        <v>3482.9515911732988</v>
      </c>
      <c r="AE89" s="40">
        <f t="shared" si="81"/>
        <v>3655.5623205178849</v>
      </c>
    </row>
    <row r="90" spans="2:31">
      <c r="B90" s="50"/>
      <c r="C90" s="33" t="s">
        <v>44</v>
      </c>
      <c r="D90" s="40">
        <f>IF($I$27=$H$20,O90,Z90)</f>
        <v>591.42857142857144</v>
      </c>
      <c r="E90" s="40">
        <f t="shared" ref="E90:I92" si="82">IF($I$27=$H$20,P90,AA90)</f>
        <v>622.71428571428578</v>
      </c>
      <c r="F90" s="40">
        <f t="shared" si="82"/>
        <v>655.66714285714284</v>
      </c>
      <c r="G90" s="40">
        <f t="shared" si="82"/>
        <v>690.3766714285714</v>
      </c>
      <c r="H90" s="40">
        <f t="shared" si="82"/>
        <v>726.93724671428583</v>
      </c>
      <c r="I90" s="40">
        <f t="shared" si="82"/>
        <v>765.44835526714303</v>
      </c>
      <c r="K90" s="50"/>
      <c r="L90" s="33" t="s">
        <v>44</v>
      </c>
      <c r="M90" s="102">
        <f t="shared" ref="M90:M92" si="83">O182</f>
        <v>420</v>
      </c>
      <c r="N90" s="94">
        <v>0</v>
      </c>
      <c r="O90" s="101">
        <f t="shared" ref="O90:O92" si="84">SUM(M90:N90)</f>
        <v>420</v>
      </c>
      <c r="P90" s="40">
        <f t="shared" ref="P90:T92" si="85">P182</f>
        <v>441</v>
      </c>
      <c r="Q90" s="40">
        <f t="shared" si="85"/>
        <v>463.04999999999995</v>
      </c>
      <c r="R90" s="40">
        <f t="shared" si="85"/>
        <v>486.20249999999999</v>
      </c>
      <c r="S90" s="40">
        <f t="shared" si="85"/>
        <v>510.51262500000007</v>
      </c>
      <c r="T90" s="40">
        <f t="shared" si="85"/>
        <v>536.03825625000013</v>
      </c>
      <c r="V90" s="50"/>
      <c r="W90" s="33" t="s">
        <v>44</v>
      </c>
      <c r="X90" s="102">
        <f t="shared" ref="X90:X92" si="86">Z182</f>
        <v>420</v>
      </c>
      <c r="Y90" s="40">
        <f t="shared" ref="Y90:Y92" si="87">Z271</f>
        <v>171.42857142857144</v>
      </c>
      <c r="Z90" s="101">
        <f t="shared" ref="Z90:Z92" si="88">SUM(X90:Y90)</f>
        <v>591.42857142857144</v>
      </c>
      <c r="AA90" s="40">
        <f t="shared" ref="AA90:AE92" si="89">SUM(AA182,AA271)</f>
        <v>622.71428571428578</v>
      </c>
      <c r="AB90" s="40">
        <f t="shared" si="89"/>
        <v>655.66714285714284</v>
      </c>
      <c r="AC90" s="40">
        <f t="shared" si="89"/>
        <v>690.3766714285714</v>
      </c>
      <c r="AD90" s="40">
        <f t="shared" si="89"/>
        <v>726.93724671428583</v>
      </c>
      <c r="AE90" s="40">
        <f t="shared" si="89"/>
        <v>765.44835526714303</v>
      </c>
    </row>
    <row r="91" spans="2:31" s="58" customFormat="1">
      <c r="B91" s="57"/>
      <c r="C91" s="33" t="s">
        <v>1</v>
      </c>
      <c r="D91" s="40">
        <f>IF($I$27=$H$20,O91,Z91)</f>
        <v>658.92857142857144</v>
      </c>
      <c r="E91" s="40">
        <f t="shared" si="82"/>
        <v>682.06339285714296</v>
      </c>
      <c r="F91" s="40">
        <f t="shared" si="82"/>
        <v>705.81487500000003</v>
      </c>
      <c r="G91" s="40">
        <f t="shared" si="82"/>
        <v>730.18353616071431</v>
      </c>
      <c r="H91" s="40">
        <f t="shared" si="82"/>
        <v>755.16818573571436</v>
      </c>
      <c r="I91" s="40">
        <f t="shared" si="82"/>
        <v>780.76573765609839</v>
      </c>
      <c r="J91" s="33"/>
      <c r="K91" s="57"/>
      <c r="L91" s="33" t="s">
        <v>1</v>
      </c>
      <c r="M91" s="102">
        <f t="shared" si="83"/>
        <v>472.5</v>
      </c>
      <c r="N91" s="94">
        <v>0</v>
      </c>
      <c r="O91" s="101">
        <f t="shared" si="84"/>
        <v>472.5</v>
      </c>
      <c r="P91" s="40">
        <f t="shared" si="85"/>
        <v>487.85625000000005</v>
      </c>
      <c r="Q91" s="40">
        <f t="shared" si="85"/>
        <v>503.56687499999992</v>
      </c>
      <c r="R91" s="40">
        <f t="shared" si="85"/>
        <v>519.62892187499995</v>
      </c>
      <c r="S91" s="40">
        <f t="shared" si="85"/>
        <v>536.03825625000002</v>
      </c>
      <c r="T91" s="40">
        <f t="shared" si="85"/>
        <v>552.78945175781257</v>
      </c>
      <c r="U91" s="33"/>
      <c r="V91" s="57"/>
      <c r="W91" s="33" t="s">
        <v>1</v>
      </c>
      <c r="X91" s="102">
        <f t="shared" si="86"/>
        <v>472.5</v>
      </c>
      <c r="Y91" s="40">
        <f t="shared" si="87"/>
        <v>186.42857142857144</v>
      </c>
      <c r="Z91" s="101">
        <f t="shared" si="88"/>
        <v>658.92857142857144</v>
      </c>
      <c r="AA91" s="40">
        <f t="shared" si="89"/>
        <v>682.06339285714296</v>
      </c>
      <c r="AB91" s="40">
        <f t="shared" si="89"/>
        <v>705.81487500000003</v>
      </c>
      <c r="AC91" s="40">
        <f t="shared" si="89"/>
        <v>730.18353616071431</v>
      </c>
      <c r="AD91" s="40">
        <f t="shared" si="89"/>
        <v>755.16818573571436</v>
      </c>
      <c r="AE91" s="40">
        <f t="shared" si="89"/>
        <v>780.76573765609839</v>
      </c>
    </row>
    <row r="92" spans="2:31">
      <c r="B92" s="50"/>
      <c r="C92" s="33" t="s">
        <v>0</v>
      </c>
      <c r="D92" s="85">
        <f>IF($I$27=$H$20,O92,Z92)</f>
        <v>184.82142857142856</v>
      </c>
      <c r="E92" s="85">
        <f t="shared" si="82"/>
        <v>194.59821428571428</v>
      </c>
      <c r="F92" s="85">
        <f t="shared" si="82"/>
        <v>204.89598214285715</v>
      </c>
      <c r="G92" s="85">
        <f t="shared" si="82"/>
        <v>215.7427098214286</v>
      </c>
      <c r="H92" s="85">
        <f t="shared" si="82"/>
        <v>227.16788959821434</v>
      </c>
      <c r="I92" s="85">
        <f t="shared" si="82"/>
        <v>239.2026110209822</v>
      </c>
      <c r="K92" s="50"/>
      <c r="L92" s="33" t="s">
        <v>0</v>
      </c>
      <c r="M92" s="103">
        <f t="shared" si="83"/>
        <v>131.25</v>
      </c>
      <c r="N92" s="92">
        <v>0</v>
      </c>
      <c r="O92" s="104">
        <f t="shared" si="84"/>
        <v>131.25</v>
      </c>
      <c r="P92" s="85">
        <f t="shared" si="85"/>
        <v>137.8125</v>
      </c>
      <c r="Q92" s="85">
        <f t="shared" si="85"/>
        <v>144.703125</v>
      </c>
      <c r="R92" s="85">
        <f t="shared" si="85"/>
        <v>151.93828125000002</v>
      </c>
      <c r="S92" s="85">
        <f t="shared" si="85"/>
        <v>159.53519531250004</v>
      </c>
      <c r="T92" s="85">
        <f t="shared" si="85"/>
        <v>167.51195507812506</v>
      </c>
      <c r="U92" s="58"/>
      <c r="V92" s="50"/>
      <c r="W92" s="33" t="s">
        <v>0</v>
      </c>
      <c r="X92" s="103">
        <f t="shared" si="86"/>
        <v>131.25</v>
      </c>
      <c r="Y92" s="85">
        <f t="shared" si="87"/>
        <v>53.571428571428569</v>
      </c>
      <c r="Z92" s="104">
        <f t="shared" si="88"/>
        <v>184.82142857142856</v>
      </c>
      <c r="AA92" s="85">
        <f t="shared" si="89"/>
        <v>194.59821428571428</v>
      </c>
      <c r="AB92" s="85">
        <f t="shared" si="89"/>
        <v>204.89598214285715</v>
      </c>
      <c r="AC92" s="85">
        <f t="shared" si="89"/>
        <v>215.7427098214286</v>
      </c>
      <c r="AD92" s="85">
        <f t="shared" si="89"/>
        <v>227.16788959821434</v>
      </c>
      <c r="AE92" s="85">
        <f t="shared" si="89"/>
        <v>239.2026110209822</v>
      </c>
    </row>
    <row r="93" spans="2:31">
      <c r="B93" s="50"/>
      <c r="C93" s="33" t="s">
        <v>9</v>
      </c>
      <c r="D93" s="37">
        <f>SUM(D89:D92)</f>
        <v>5836.8405564242394</v>
      </c>
      <c r="E93" s="37">
        <f t="shared" ref="E93:I93" si="90">SUM(E89:E92)</f>
        <v>5448.2365480901044</v>
      </c>
      <c r="F93" s="37">
        <f t="shared" si="90"/>
        <v>5205.4151810270259</v>
      </c>
      <c r="G93" s="37">
        <f t="shared" si="90"/>
        <v>5116.9996595511921</v>
      </c>
      <c r="H93" s="37">
        <f t="shared" si="90"/>
        <v>5192.2249132215129</v>
      </c>
      <c r="I93" s="37">
        <f t="shared" si="90"/>
        <v>5440.979024462109</v>
      </c>
      <c r="K93" s="50"/>
      <c r="L93" s="33" t="s">
        <v>9</v>
      </c>
      <c r="M93" s="72">
        <f>SUM(M89:M92)</f>
        <v>7847.0224086129201</v>
      </c>
      <c r="N93" s="37">
        <f>SUM(N89:N92)</f>
        <v>-4050</v>
      </c>
      <c r="O93" s="73">
        <f>SUM(O89:O92)</f>
        <v>3797.0224086129201</v>
      </c>
      <c r="P93" s="37">
        <f t="shared" ref="P93:T93" si="91">SUM(P89:P92)</f>
        <v>3523.4849368320101</v>
      </c>
      <c r="Q93" s="37">
        <f t="shared" si="91"/>
        <v>3354.7602758752141</v>
      </c>
      <c r="R93" s="37">
        <f t="shared" si="91"/>
        <v>3296.8399736992528</v>
      </c>
      <c r="S93" s="37">
        <f t="shared" si="91"/>
        <v>3356.1225617395221</v>
      </c>
      <c r="T93" s="37">
        <f t="shared" si="91"/>
        <v>3539.4397891606091</v>
      </c>
      <c r="V93" s="50"/>
      <c r="W93" s="33" t="s">
        <v>9</v>
      </c>
      <c r="X93" s="72">
        <f>SUM(X89:X92)</f>
        <v>7847.0224086129201</v>
      </c>
      <c r="Y93" s="37">
        <f>SUM(Y89:Y92)</f>
        <v>-2010.181852188681</v>
      </c>
      <c r="Z93" s="73">
        <f>SUM(Z89:Z92)</f>
        <v>5836.8405564242394</v>
      </c>
      <c r="AA93" s="37">
        <f t="shared" ref="AA93:AE93" si="92">SUM(AA89:AA92)</f>
        <v>5448.2365480901044</v>
      </c>
      <c r="AB93" s="37">
        <f t="shared" si="92"/>
        <v>5205.4151810270259</v>
      </c>
      <c r="AC93" s="37">
        <f t="shared" si="92"/>
        <v>5116.9996595511921</v>
      </c>
      <c r="AD93" s="37">
        <f t="shared" si="92"/>
        <v>5192.2249132215129</v>
      </c>
      <c r="AE93" s="37">
        <f t="shared" si="92"/>
        <v>5440.979024462109</v>
      </c>
    </row>
    <row r="94" spans="2:31">
      <c r="B94" s="50"/>
      <c r="D94" s="37"/>
      <c r="E94" s="37"/>
      <c r="F94" s="37"/>
      <c r="G94" s="37"/>
      <c r="H94" s="37"/>
      <c r="I94" s="37"/>
      <c r="K94" s="50"/>
      <c r="M94" s="72"/>
      <c r="N94" s="37"/>
      <c r="O94" s="73"/>
      <c r="P94" s="37"/>
      <c r="Q94" s="37"/>
      <c r="R94" s="37"/>
      <c r="S94" s="37"/>
      <c r="T94" s="37"/>
      <c r="V94" s="50"/>
      <c r="X94" s="72"/>
      <c r="Y94" s="37"/>
      <c r="Z94" s="73"/>
      <c r="AA94" s="37"/>
      <c r="AB94" s="37"/>
      <c r="AC94" s="37"/>
      <c r="AD94" s="37"/>
      <c r="AE94" s="37"/>
    </row>
    <row r="95" spans="2:31">
      <c r="B95" s="50"/>
      <c r="C95" s="53" t="s">
        <v>80</v>
      </c>
      <c r="D95" s="40">
        <f t="shared" ref="D95:I98" si="93">IF($I$27=$H$20,O95,Z95)</f>
        <v>0</v>
      </c>
      <c r="E95" s="40">
        <f t="shared" si="93"/>
        <v>0</v>
      </c>
      <c r="F95" s="40">
        <f t="shared" si="93"/>
        <v>0</v>
      </c>
      <c r="G95" s="40">
        <f t="shared" si="93"/>
        <v>0</v>
      </c>
      <c r="H95" s="40">
        <f t="shared" si="93"/>
        <v>0</v>
      </c>
      <c r="I95" s="40">
        <f t="shared" si="93"/>
        <v>0</v>
      </c>
      <c r="K95" s="50"/>
      <c r="L95" s="53" t="s">
        <v>80</v>
      </c>
      <c r="M95" s="105">
        <v>0</v>
      </c>
      <c r="N95" s="40">
        <f>-N89</f>
        <v>4050</v>
      </c>
      <c r="O95" s="101">
        <f t="shared" ref="O95:O98" si="94">SUM(M95:N95)</f>
        <v>4050</v>
      </c>
      <c r="P95" s="40">
        <f>O95</f>
        <v>4050</v>
      </c>
      <c r="Q95" s="40">
        <f t="shared" ref="Q95:T95" si="95">P95</f>
        <v>4050</v>
      </c>
      <c r="R95" s="40">
        <f t="shared" si="95"/>
        <v>4050</v>
      </c>
      <c r="S95" s="40">
        <f t="shared" si="95"/>
        <v>4050</v>
      </c>
      <c r="T95" s="40">
        <f t="shared" si="95"/>
        <v>4050</v>
      </c>
      <c r="V95" s="50"/>
      <c r="W95" s="53" t="s">
        <v>80</v>
      </c>
      <c r="X95" s="105">
        <v>0</v>
      </c>
      <c r="Y95" s="94">
        <v>0</v>
      </c>
      <c r="Z95" s="101">
        <f t="shared" ref="Z95:Z98" si="96">SUM(X95:Y95)</f>
        <v>0</v>
      </c>
      <c r="AA95" s="40">
        <f>Z95</f>
        <v>0</v>
      </c>
      <c r="AB95" s="40">
        <f t="shared" ref="AB95:AE95" si="97">AA95</f>
        <v>0</v>
      </c>
      <c r="AC95" s="40">
        <f t="shared" si="97"/>
        <v>0</v>
      </c>
      <c r="AD95" s="40">
        <f t="shared" si="97"/>
        <v>0</v>
      </c>
      <c r="AE95" s="40">
        <f t="shared" si="97"/>
        <v>0</v>
      </c>
    </row>
    <row r="96" spans="2:31">
      <c r="B96" s="50"/>
      <c r="C96" s="53" t="s">
        <v>81</v>
      </c>
      <c r="D96" s="40">
        <f t="shared" si="93"/>
        <v>1002.2032807601117</v>
      </c>
      <c r="E96" s="40">
        <f t="shared" si="93"/>
        <v>1002.2032807601117</v>
      </c>
      <c r="F96" s="40">
        <f t="shared" si="93"/>
        <v>1002.2032807601117</v>
      </c>
      <c r="G96" s="40">
        <f t="shared" si="93"/>
        <v>1002.2032807601117</v>
      </c>
      <c r="H96" s="40">
        <f t="shared" si="93"/>
        <v>1002.2032807601117</v>
      </c>
      <c r="I96" s="40">
        <f t="shared" si="93"/>
        <v>1002.2032807601117</v>
      </c>
      <c r="K96" s="50"/>
      <c r="L96" s="53" t="s">
        <v>81</v>
      </c>
      <c r="M96" s="105">
        <v>0</v>
      </c>
      <c r="N96" s="94">
        <v>0</v>
      </c>
      <c r="O96" s="101">
        <f t="shared" si="94"/>
        <v>0</v>
      </c>
      <c r="P96" s="40">
        <v>0</v>
      </c>
      <c r="Q96" s="40">
        <v>0</v>
      </c>
      <c r="R96" s="40">
        <v>0</v>
      </c>
      <c r="S96" s="40">
        <v>0</v>
      </c>
      <c r="T96" s="40">
        <v>0</v>
      </c>
      <c r="V96" s="50"/>
      <c r="W96" s="53" t="s">
        <v>81</v>
      </c>
      <c r="X96" s="105">
        <v>0</v>
      </c>
      <c r="Y96" s="40">
        <f>Y25-Z297</f>
        <v>1002.2032807601117</v>
      </c>
      <c r="Z96" s="101">
        <f t="shared" si="96"/>
        <v>1002.2032807601117</v>
      </c>
      <c r="AA96" s="40">
        <f>Z96</f>
        <v>1002.2032807601117</v>
      </c>
      <c r="AB96" s="40">
        <f>AA96</f>
        <v>1002.2032807601117</v>
      </c>
      <c r="AC96" s="40">
        <f>AB96</f>
        <v>1002.2032807601117</v>
      </c>
      <c r="AD96" s="40">
        <f>AC96</f>
        <v>1002.2032807601117</v>
      </c>
      <c r="AE96" s="40">
        <f>AD96</f>
        <v>1002.2032807601117</v>
      </c>
    </row>
    <row r="97" spans="2:31">
      <c r="B97" s="50"/>
      <c r="C97" s="33" t="s">
        <v>45</v>
      </c>
      <c r="D97" s="40">
        <f t="shared" si="93"/>
        <v>21964.285714285714</v>
      </c>
      <c r="E97" s="40">
        <f t="shared" si="93"/>
        <v>22079.908928571429</v>
      </c>
      <c r="F97" s="40">
        <f t="shared" si="93"/>
        <v>22201.642660714286</v>
      </c>
      <c r="G97" s="40">
        <f t="shared" si="93"/>
        <v>22329.81219803571</v>
      </c>
      <c r="H97" s="40">
        <f t="shared" si="93"/>
        <v>22464.760277908928</v>
      </c>
      <c r="I97" s="40">
        <f t="shared" si="93"/>
        <v>22606.84803140266</v>
      </c>
      <c r="K97" s="50"/>
      <c r="L97" s="33" t="s">
        <v>45</v>
      </c>
      <c r="M97" s="102">
        <f>O187</f>
        <v>15750</v>
      </c>
      <c r="N97" s="94">
        <v>0</v>
      </c>
      <c r="O97" s="101">
        <f t="shared" si="94"/>
        <v>15750</v>
      </c>
      <c r="P97" s="40">
        <f t="shared" ref="P97:T98" si="98">P187</f>
        <v>15832.6875</v>
      </c>
      <c r="Q97" s="40">
        <f t="shared" si="98"/>
        <v>15919.509375000001</v>
      </c>
      <c r="R97" s="40">
        <f t="shared" si="98"/>
        <v>16010.67234375</v>
      </c>
      <c r="S97" s="40">
        <f t="shared" si="98"/>
        <v>16106.393460937501</v>
      </c>
      <c r="T97" s="40">
        <f t="shared" si="98"/>
        <v>16206.900633984376</v>
      </c>
      <c r="V97" s="50"/>
      <c r="W97" s="33" t="s">
        <v>45</v>
      </c>
      <c r="X97" s="102">
        <f>Z187</f>
        <v>15750</v>
      </c>
      <c r="Y97" s="40">
        <f>Z276</f>
        <v>6214.2857142857138</v>
      </c>
      <c r="Z97" s="101">
        <f t="shared" si="96"/>
        <v>21964.285714285714</v>
      </c>
      <c r="AA97" s="40">
        <f t="shared" ref="AA97:AE98" si="99">SUM(AA187,AA276)</f>
        <v>22079.908928571429</v>
      </c>
      <c r="AB97" s="40">
        <f t="shared" si="99"/>
        <v>22201.642660714286</v>
      </c>
      <c r="AC97" s="40">
        <f t="shared" si="99"/>
        <v>22329.81219803571</v>
      </c>
      <c r="AD97" s="40">
        <f t="shared" si="99"/>
        <v>22464.760277908928</v>
      </c>
      <c r="AE97" s="40">
        <f t="shared" si="99"/>
        <v>22606.84803140266</v>
      </c>
    </row>
    <row r="98" spans="2:31">
      <c r="B98" s="50"/>
      <c r="C98" s="33" t="s">
        <v>0</v>
      </c>
      <c r="D98" s="85">
        <f t="shared" si="93"/>
        <v>24</v>
      </c>
      <c r="E98" s="85">
        <f t="shared" si="93"/>
        <v>24</v>
      </c>
      <c r="F98" s="85">
        <f t="shared" si="93"/>
        <v>24</v>
      </c>
      <c r="G98" s="85">
        <f t="shared" si="93"/>
        <v>24</v>
      </c>
      <c r="H98" s="85">
        <f t="shared" si="93"/>
        <v>24</v>
      </c>
      <c r="I98" s="85">
        <f t="shared" si="93"/>
        <v>24</v>
      </c>
      <c r="K98" s="50"/>
      <c r="L98" s="33" t="s">
        <v>0</v>
      </c>
      <c r="M98" s="103">
        <f>O188</f>
        <v>6</v>
      </c>
      <c r="N98" s="92">
        <v>0</v>
      </c>
      <c r="O98" s="104">
        <f t="shared" si="94"/>
        <v>6</v>
      </c>
      <c r="P98" s="85">
        <f t="shared" si="98"/>
        <v>6</v>
      </c>
      <c r="Q98" s="85">
        <f t="shared" si="98"/>
        <v>6</v>
      </c>
      <c r="R98" s="85">
        <f t="shared" si="98"/>
        <v>6</v>
      </c>
      <c r="S98" s="85">
        <f t="shared" si="98"/>
        <v>6</v>
      </c>
      <c r="T98" s="85">
        <f t="shared" si="98"/>
        <v>6</v>
      </c>
      <c r="V98" s="50"/>
      <c r="W98" s="33" t="s">
        <v>0</v>
      </c>
      <c r="X98" s="103">
        <f>Z188</f>
        <v>6</v>
      </c>
      <c r="Y98" s="85">
        <f>Z277</f>
        <v>18</v>
      </c>
      <c r="Z98" s="104">
        <f t="shared" si="96"/>
        <v>24</v>
      </c>
      <c r="AA98" s="85">
        <f t="shared" si="99"/>
        <v>24</v>
      </c>
      <c r="AB98" s="85">
        <f t="shared" si="99"/>
        <v>24</v>
      </c>
      <c r="AC98" s="85">
        <f t="shared" si="99"/>
        <v>24</v>
      </c>
      <c r="AD98" s="85">
        <f t="shared" si="99"/>
        <v>24</v>
      </c>
      <c r="AE98" s="85">
        <f t="shared" si="99"/>
        <v>24</v>
      </c>
    </row>
    <row r="99" spans="2:31">
      <c r="B99" s="50"/>
      <c r="C99" s="33" t="s">
        <v>46</v>
      </c>
      <c r="D99" s="37">
        <f>SUM(D95:D98)</f>
        <v>22990.488995045824</v>
      </c>
      <c r="E99" s="37">
        <f t="shared" ref="E99:I99" si="100">SUM(E95:E98)</f>
        <v>23106.112209331543</v>
      </c>
      <c r="F99" s="37">
        <f t="shared" si="100"/>
        <v>23227.845941474399</v>
      </c>
      <c r="G99" s="37">
        <f t="shared" si="100"/>
        <v>23356.015478795824</v>
      </c>
      <c r="H99" s="37">
        <f t="shared" si="100"/>
        <v>23490.963558669042</v>
      </c>
      <c r="I99" s="37">
        <f t="shared" si="100"/>
        <v>23633.051312162774</v>
      </c>
      <c r="K99" s="50"/>
      <c r="L99" s="33" t="s">
        <v>46</v>
      </c>
      <c r="M99" s="72">
        <f t="shared" ref="M99" si="101">SUM(M95:M98)</f>
        <v>15756</v>
      </c>
      <c r="N99" s="37">
        <f>SUM(N95:N98)</f>
        <v>4050</v>
      </c>
      <c r="O99" s="73">
        <f t="shared" ref="O99:T99" si="102">SUM(O95:O98)</f>
        <v>19806</v>
      </c>
      <c r="P99" s="37">
        <f t="shared" si="102"/>
        <v>19888.6875</v>
      </c>
      <c r="Q99" s="37">
        <f t="shared" si="102"/>
        <v>19975.509375000001</v>
      </c>
      <c r="R99" s="37">
        <f t="shared" si="102"/>
        <v>20066.67234375</v>
      </c>
      <c r="S99" s="37">
        <f t="shared" si="102"/>
        <v>20162.393460937499</v>
      </c>
      <c r="T99" s="37">
        <f t="shared" si="102"/>
        <v>20262.900633984376</v>
      </c>
      <c r="V99" s="50"/>
      <c r="W99" s="33" t="s">
        <v>46</v>
      </c>
      <c r="X99" s="72">
        <f t="shared" ref="X99" si="103">SUM(X95:X98)</f>
        <v>15756</v>
      </c>
      <c r="Y99" s="37">
        <f>SUM(Y95:Y98)</f>
        <v>7234.4889950458255</v>
      </c>
      <c r="Z99" s="73">
        <f t="shared" ref="Z99:AE99" si="104">SUM(Z95:Z98)</f>
        <v>22990.488995045824</v>
      </c>
      <c r="AA99" s="40">
        <f t="shared" si="104"/>
        <v>23106.112209331543</v>
      </c>
      <c r="AB99" s="40">
        <f t="shared" si="104"/>
        <v>23227.845941474399</v>
      </c>
      <c r="AC99" s="40">
        <f t="shared" si="104"/>
        <v>23356.015478795824</v>
      </c>
      <c r="AD99" s="40">
        <f t="shared" si="104"/>
        <v>23490.963558669042</v>
      </c>
      <c r="AE99" s="40">
        <f t="shared" si="104"/>
        <v>23633.051312162774</v>
      </c>
    </row>
    <row r="100" spans="2:31">
      <c r="B100" s="50"/>
      <c r="D100" s="37"/>
      <c r="E100" s="37"/>
      <c r="F100" s="37"/>
      <c r="G100" s="37"/>
      <c r="H100" s="37"/>
      <c r="I100" s="37"/>
      <c r="K100" s="50"/>
      <c r="M100" s="72"/>
      <c r="N100" s="37"/>
      <c r="O100" s="73"/>
      <c r="P100" s="37"/>
      <c r="Q100" s="37"/>
      <c r="R100" s="37"/>
      <c r="S100" s="37"/>
      <c r="T100" s="37"/>
      <c r="V100" s="50"/>
      <c r="X100" s="72"/>
      <c r="Y100" s="37"/>
      <c r="Z100" s="73"/>
      <c r="AA100" s="37"/>
      <c r="AB100" s="37"/>
      <c r="AC100" s="37"/>
      <c r="AD100" s="37"/>
      <c r="AE100" s="37"/>
    </row>
    <row r="101" spans="2:31">
      <c r="B101" s="50"/>
      <c r="C101" s="54" t="s">
        <v>10</v>
      </c>
      <c r="D101" s="89">
        <f t="shared" ref="D101:I101" si="105">D93+D99</f>
        <v>28827.329551470062</v>
      </c>
      <c r="E101" s="89">
        <f t="shared" si="105"/>
        <v>28554.348757421649</v>
      </c>
      <c r="F101" s="89">
        <f t="shared" si="105"/>
        <v>28433.261122501426</v>
      </c>
      <c r="G101" s="89">
        <f t="shared" si="105"/>
        <v>28473.015138347015</v>
      </c>
      <c r="H101" s="89">
        <f t="shared" si="105"/>
        <v>28683.188471890557</v>
      </c>
      <c r="I101" s="89">
        <f t="shared" si="105"/>
        <v>29074.030336624885</v>
      </c>
      <c r="K101" s="50"/>
      <c r="L101" s="54" t="s">
        <v>10</v>
      </c>
      <c r="M101" s="106">
        <f t="shared" ref="M101:T101" si="106">M93+M99</f>
        <v>23603.02240861292</v>
      </c>
      <c r="N101" s="89">
        <f t="shared" si="106"/>
        <v>0</v>
      </c>
      <c r="O101" s="107">
        <f t="shared" si="106"/>
        <v>23603.02240861292</v>
      </c>
      <c r="P101" s="89">
        <f t="shared" si="106"/>
        <v>23412.17243683201</v>
      </c>
      <c r="Q101" s="89">
        <f t="shared" si="106"/>
        <v>23330.269650875216</v>
      </c>
      <c r="R101" s="89">
        <f t="shared" si="106"/>
        <v>23363.512317449255</v>
      </c>
      <c r="S101" s="89">
        <f t="shared" si="106"/>
        <v>23518.51602267702</v>
      </c>
      <c r="T101" s="89">
        <f t="shared" si="106"/>
        <v>23802.340423144986</v>
      </c>
      <c r="V101" s="50"/>
      <c r="W101" s="54" t="s">
        <v>10</v>
      </c>
      <c r="X101" s="106">
        <f t="shared" ref="X101:AE101" si="107">X93+X99</f>
        <v>23603.02240861292</v>
      </c>
      <c r="Y101" s="89">
        <f t="shared" si="107"/>
        <v>5224.3071428571448</v>
      </c>
      <c r="Z101" s="107">
        <f t="shared" si="107"/>
        <v>28827.329551470062</v>
      </c>
      <c r="AA101" s="89">
        <f t="shared" si="107"/>
        <v>28554.348757421649</v>
      </c>
      <c r="AB101" s="89">
        <f t="shared" si="107"/>
        <v>28433.261122501426</v>
      </c>
      <c r="AC101" s="89">
        <f t="shared" si="107"/>
        <v>28473.015138347015</v>
      </c>
      <c r="AD101" s="89">
        <f t="shared" si="107"/>
        <v>28683.188471890557</v>
      </c>
      <c r="AE101" s="89">
        <f t="shared" si="107"/>
        <v>29074.030336624885</v>
      </c>
    </row>
    <row r="102" spans="2:31">
      <c r="B102" s="50"/>
      <c r="D102" s="37"/>
      <c r="E102" s="37"/>
      <c r="F102" s="37"/>
      <c r="G102" s="37"/>
      <c r="H102" s="37"/>
      <c r="I102" s="37"/>
      <c r="K102" s="50"/>
      <c r="M102" s="72"/>
      <c r="N102" s="37"/>
      <c r="O102" s="73"/>
      <c r="P102" s="37"/>
      <c r="Q102" s="37"/>
      <c r="R102" s="37"/>
      <c r="S102" s="37"/>
      <c r="T102" s="37"/>
      <c r="V102" s="50"/>
      <c r="X102" s="72"/>
      <c r="Y102" s="37"/>
      <c r="Z102" s="73"/>
      <c r="AA102" s="117"/>
      <c r="AB102" s="117"/>
      <c r="AC102" s="117"/>
      <c r="AD102" s="117"/>
      <c r="AE102" s="117"/>
    </row>
    <row r="103" spans="2:31">
      <c r="B103" s="50"/>
      <c r="C103" s="54" t="s">
        <v>47</v>
      </c>
      <c r="D103" s="37"/>
      <c r="E103" s="37"/>
      <c r="F103" s="37"/>
      <c r="G103" s="37"/>
      <c r="H103" s="37"/>
      <c r="I103" s="37"/>
      <c r="K103" s="50"/>
      <c r="L103" s="54" t="s">
        <v>47</v>
      </c>
      <c r="M103" s="72"/>
      <c r="N103" s="37"/>
      <c r="O103" s="73"/>
      <c r="P103" s="37"/>
      <c r="Q103" s="37"/>
      <c r="R103" s="37"/>
      <c r="S103" s="37"/>
      <c r="T103" s="37"/>
      <c r="V103" s="50"/>
      <c r="W103" s="54" t="s">
        <v>47</v>
      </c>
      <c r="X103" s="72"/>
      <c r="Y103" s="37"/>
      <c r="Z103" s="73"/>
      <c r="AA103" s="37"/>
      <c r="AB103" s="37"/>
      <c r="AC103" s="37"/>
      <c r="AD103" s="37"/>
      <c r="AE103" s="37"/>
    </row>
    <row r="104" spans="2:31">
      <c r="B104" s="50"/>
      <c r="C104" s="33" t="s">
        <v>48</v>
      </c>
      <c r="D104" s="40">
        <f t="shared" ref="D104:I106" si="108">IF($I$27=$H$20,O104,Z104)</f>
        <v>395.35714285714289</v>
      </c>
      <c r="E104" s="40">
        <f t="shared" si="108"/>
        <v>409.23803571428573</v>
      </c>
      <c r="F104" s="40">
        <f t="shared" si="108"/>
        <v>423.48892499999999</v>
      </c>
      <c r="G104" s="40">
        <f t="shared" si="108"/>
        <v>438.11012169642856</v>
      </c>
      <c r="H104" s="40">
        <f t="shared" si="108"/>
        <v>453.10091144142859</v>
      </c>
      <c r="I104" s="40">
        <f t="shared" si="108"/>
        <v>468.45944259365905</v>
      </c>
      <c r="K104" s="50"/>
      <c r="L104" s="33" t="s">
        <v>48</v>
      </c>
      <c r="M104" s="102">
        <f>O194</f>
        <v>283.5</v>
      </c>
      <c r="N104" s="94">
        <v>0</v>
      </c>
      <c r="O104" s="101">
        <f t="shared" ref="O104:O106" si="109">SUM(M104:N104)</f>
        <v>283.5</v>
      </c>
      <c r="P104" s="40">
        <f t="shared" ref="P104:T106" si="110">P194</f>
        <v>292.71375</v>
      </c>
      <c r="Q104" s="40">
        <f t="shared" si="110"/>
        <v>302.14012499999995</v>
      </c>
      <c r="R104" s="40">
        <f t="shared" si="110"/>
        <v>311.77735312499999</v>
      </c>
      <c r="S104" s="40">
        <f t="shared" si="110"/>
        <v>321.62295374999997</v>
      </c>
      <c r="T104" s="40">
        <f t="shared" si="110"/>
        <v>331.67367105468759</v>
      </c>
      <c r="V104" s="50"/>
      <c r="W104" s="33" t="s">
        <v>48</v>
      </c>
      <c r="X104" s="102">
        <f>Z194</f>
        <v>283.5</v>
      </c>
      <c r="Y104" s="40">
        <f>Z283</f>
        <v>111.85714285714288</v>
      </c>
      <c r="Z104" s="101">
        <f t="shared" ref="Z104:Z106" si="111">SUM(X104:Y104)</f>
        <v>395.35714285714289</v>
      </c>
      <c r="AA104" s="40">
        <f t="shared" ref="AA104:AE106" si="112">SUM(AA194,AA283)</f>
        <v>409.23803571428573</v>
      </c>
      <c r="AB104" s="40">
        <f t="shared" si="112"/>
        <v>423.48892499999999</v>
      </c>
      <c r="AC104" s="40">
        <f t="shared" si="112"/>
        <v>438.11012169642856</v>
      </c>
      <c r="AD104" s="40">
        <f t="shared" si="112"/>
        <v>453.10091144142859</v>
      </c>
      <c r="AE104" s="40">
        <f t="shared" si="112"/>
        <v>468.45944259365905</v>
      </c>
    </row>
    <row r="105" spans="2:31">
      <c r="B105" s="50"/>
      <c r="C105" s="33" t="s">
        <v>49</v>
      </c>
      <c r="D105" s="40">
        <f t="shared" si="108"/>
        <v>1050</v>
      </c>
      <c r="E105" s="40">
        <f t="shared" si="108"/>
        <v>1050</v>
      </c>
      <c r="F105" s="40">
        <f t="shared" si="108"/>
        <v>1050</v>
      </c>
      <c r="G105" s="40">
        <f t="shared" si="108"/>
        <v>1050</v>
      </c>
      <c r="H105" s="40">
        <f t="shared" si="108"/>
        <v>1050</v>
      </c>
      <c r="I105" s="40">
        <f t="shared" si="108"/>
        <v>1050</v>
      </c>
      <c r="K105" s="50"/>
      <c r="L105" s="33" t="s">
        <v>49</v>
      </c>
      <c r="M105" s="102">
        <f t="shared" ref="M105:M106" si="113">O195</f>
        <v>750</v>
      </c>
      <c r="N105" s="94">
        <v>0</v>
      </c>
      <c r="O105" s="101">
        <f t="shared" si="109"/>
        <v>750</v>
      </c>
      <c r="P105" s="40">
        <f t="shared" si="110"/>
        <v>750</v>
      </c>
      <c r="Q105" s="40">
        <f t="shared" si="110"/>
        <v>750</v>
      </c>
      <c r="R105" s="40">
        <f t="shared" si="110"/>
        <v>750</v>
      </c>
      <c r="S105" s="40">
        <f t="shared" si="110"/>
        <v>750</v>
      </c>
      <c r="T105" s="40">
        <f t="shared" si="110"/>
        <v>750</v>
      </c>
      <c r="V105" s="50"/>
      <c r="W105" s="33" t="s">
        <v>49</v>
      </c>
      <c r="X105" s="102">
        <f t="shared" ref="X105:X106" si="114">Z195</f>
        <v>750</v>
      </c>
      <c r="Y105" s="40">
        <f t="shared" ref="Y105:Y106" si="115">Z284</f>
        <v>300</v>
      </c>
      <c r="Z105" s="101">
        <f t="shared" si="111"/>
        <v>1050</v>
      </c>
      <c r="AA105" s="40">
        <f t="shared" si="112"/>
        <v>1050</v>
      </c>
      <c r="AB105" s="40">
        <f t="shared" si="112"/>
        <v>1050</v>
      </c>
      <c r="AC105" s="40">
        <f t="shared" si="112"/>
        <v>1050</v>
      </c>
      <c r="AD105" s="40">
        <f t="shared" si="112"/>
        <v>1050</v>
      </c>
      <c r="AE105" s="40">
        <f t="shared" si="112"/>
        <v>1050</v>
      </c>
    </row>
    <row r="106" spans="2:31">
      <c r="B106" s="50"/>
      <c r="C106" s="33" t="s">
        <v>0</v>
      </c>
      <c r="D106" s="85">
        <f t="shared" si="108"/>
        <v>9.8999999999999986</v>
      </c>
      <c r="E106" s="85">
        <f t="shared" si="108"/>
        <v>9.8999999999999986</v>
      </c>
      <c r="F106" s="85">
        <f t="shared" si="108"/>
        <v>9.8999999999999986</v>
      </c>
      <c r="G106" s="85">
        <f t="shared" si="108"/>
        <v>9.8999999999999986</v>
      </c>
      <c r="H106" s="85">
        <f t="shared" si="108"/>
        <v>9.8999999999999986</v>
      </c>
      <c r="I106" s="85">
        <f t="shared" si="108"/>
        <v>9.8999999999999986</v>
      </c>
      <c r="K106" s="50"/>
      <c r="L106" s="33" t="s">
        <v>0</v>
      </c>
      <c r="M106" s="103">
        <f t="shared" si="113"/>
        <v>0.44999999999999996</v>
      </c>
      <c r="N106" s="92">
        <v>0</v>
      </c>
      <c r="O106" s="104">
        <f t="shared" si="109"/>
        <v>0.44999999999999996</v>
      </c>
      <c r="P106" s="85">
        <f t="shared" si="110"/>
        <v>0.44999999999999996</v>
      </c>
      <c r="Q106" s="85">
        <f t="shared" si="110"/>
        <v>0.44999999999999996</v>
      </c>
      <c r="R106" s="85">
        <f t="shared" si="110"/>
        <v>0.44999999999999996</v>
      </c>
      <c r="S106" s="85">
        <f t="shared" si="110"/>
        <v>0.44999999999999996</v>
      </c>
      <c r="T106" s="85">
        <f t="shared" si="110"/>
        <v>0.44999999999999996</v>
      </c>
      <c r="V106" s="50"/>
      <c r="W106" s="33" t="s">
        <v>0</v>
      </c>
      <c r="X106" s="103">
        <f t="shared" si="114"/>
        <v>0.44999999999999996</v>
      </c>
      <c r="Y106" s="85">
        <f t="shared" si="115"/>
        <v>9.4499999999999993</v>
      </c>
      <c r="Z106" s="104">
        <f t="shared" si="111"/>
        <v>9.8999999999999986</v>
      </c>
      <c r="AA106" s="85">
        <f t="shared" si="112"/>
        <v>9.8999999999999986</v>
      </c>
      <c r="AB106" s="85">
        <f t="shared" si="112"/>
        <v>9.8999999999999986</v>
      </c>
      <c r="AC106" s="85">
        <f t="shared" si="112"/>
        <v>9.8999999999999986</v>
      </c>
      <c r="AD106" s="85">
        <f t="shared" si="112"/>
        <v>9.8999999999999986</v>
      </c>
      <c r="AE106" s="85">
        <f t="shared" si="112"/>
        <v>9.8999999999999986</v>
      </c>
    </row>
    <row r="107" spans="2:31">
      <c r="B107" s="50"/>
      <c r="C107" s="33" t="s">
        <v>11</v>
      </c>
      <c r="D107" s="40">
        <f>SUM(D104:D106)</f>
        <v>1455.257142857143</v>
      </c>
      <c r="E107" s="40">
        <f t="shared" ref="E107:I107" si="116">SUM(E104:E106)</f>
        <v>1469.1380357142857</v>
      </c>
      <c r="F107" s="40">
        <f t="shared" si="116"/>
        <v>1483.3889250000002</v>
      </c>
      <c r="G107" s="40">
        <f t="shared" si="116"/>
        <v>1498.0101216964285</v>
      </c>
      <c r="H107" s="40">
        <f t="shared" si="116"/>
        <v>1513.0009114414288</v>
      </c>
      <c r="I107" s="40">
        <f t="shared" si="116"/>
        <v>1528.3594425936592</v>
      </c>
      <c r="K107" s="50"/>
      <c r="L107" s="33" t="s">
        <v>11</v>
      </c>
      <c r="M107" s="102">
        <f>SUM(M104:M106)</f>
        <v>1033.95</v>
      </c>
      <c r="N107" s="40">
        <f>SUM(N104:N106)</f>
        <v>0</v>
      </c>
      <c r="O107" s="101">
        <f>SUM(O104:O106)</f>
        <v>1033.95</v>
      </c>
      <c r="P107" s="40">
        <f t="shared" ref="P107:T107" si="117">SUM(P104:P106)</f>
        <v>1043.1637499999999</v>
      </c>
      <c r="Q107" s="40">
        <f t="shared" si="117"/>
        <v>1052.5901249999999</v>
      </c>
      <c r="R107" s="40">
        <f t="shared" si="117"/>
        <v>1062.227353125</v>
      </c>
      <c r="S107" s="40">
        <f t="shared" si="117"/>
        <v>1072.0729537499999</v>
      </c>
      <c r="T107" s="40">
        <f t="shared" si="117"/>
        <v>1082.1236710546875</v>
      </c>
      <c r="V107" s="50"/>
      <c r="W107" s="33" t="s">
        <v>11</v>
      </c>
      <c r="X107" s="102">
        <f>SUM(X104:X106)</f>
        <v>1033.95</v>
      </c>
      <c r="Y107" s="40">
        <f>SUM(Y104:Y106)</f>
        <v>421.30714285714288</v>
      </c>
      <c r="Z107" s="101">
        <f>SUM(Z104:Z106)</f>
        <v>1455.257142857143</v>
      </c>
      <c r="AA107" s="40">
        <f t="shared" ref="AA107:AE107" si="118">SUM(AA104:AA106)</f>
        <v>1469.1380357142857</v>
      </c>
      <c r="AB107" s="40">
        <f t="shared" si="118"/>
        <v>1483.3889250000002</v>
      </c>
      <c r="AC107" s="40">
        <f t="shared" si="118"/>
        <v>1498.0101216964285</v>
      </c>
      <c r="AD107" s="40">
        <f t="shared" si="118"/>
        <v>1513.0009114414288</v>
      </c>
      <c r="AE107" s="40">
        <f t="shared" si="118"/>
        <v>1528.3594425936592</v>
      </c>
    </row>
    <row r="108" spans="2:31">
      <c r="B108" s="50"/>
      <c r="D108" s="37"/>
      <c r="E108" s="37"/>
      <c r="F108" s="37"/>
      <c r="G108" s="37"/>
      <c r="H108" s="37"/>
      <c r="I108" s="37"/>
      <c r="K108" s="50"/>
      <c r="M108" s="72"/>
      <c r="N108" s="37"/>
      <c r="O108" s="73"/>
      <c r="P108" s="37"/>
      <c r="Q108" s="37"/>
      <c r="R108" s="37"/>
      <c r="S108" s="37"/>
      <c r="T108" s="37"/>
      <c r="V108" s="50"/>
      <c r="X108" s="72"/>
      <c r="Y108" s="37"/>
      <c r="Z108" s="73"/>
      <c r="AA108" s="37"/>
      <c r="AB108" s="37"/>
      <c r="AC108" s="37"/>
      <c r="AD108" s="37"/>
      <c r="AE108" s="37"/>
    </row>
    <row r="109" spans="2:31">
      <c r="B109" s="50"/>
      <c r="C109" s="33" t="s">
        <v>50</v>
      </c>
      <c r="D109" s="40">
        <f t="shared" ref="D109:I110" si="119">IF($I$27=$H$20,O109,Z109)</f>
        <v>7350</v>
      </c>
      <c r="E109" s="40">
        <f t="shared" si="119"/>
        <v>6300</v>
      </c>
      <c r="F109" s="40">
        <f t="shared" si="119"/>
        <v>5250</v>
      </c>
      <c r="G109" s="40">
        <f t="shared" si="119"/>
        <v>4200</v>
      </c>
      <c r="H109" s="40">
        <f t="shared" si="119"/>
        <v>3150</v>
      </c>
      <c r="I109" s="40">
        <f t="shared" si="119"/>
        <v>2100</v>
      </c>
      <c r="K109" s="50"/>
      <c r="L109" s="33" t="s">
        <v>50</v>
      </c>
      <c r="M109" s="102">
        <f>O199</f>
        <v>5250</v>
      </c>
      <c r="N109" s="94">
        <v>0</v>
      </c>
      <c r="O109" s="101">
        <f t="shared" ref="O109:O110" si="120">SUM(M109:N109)</f>
        <v>5250</v>
      </c>
      <c r="P109" s="40">
        <f t="shared" ref="P109:T110" si="121">P199</f>
        <v>4500</v>
      </c>
      <c r="Q109" s="40">
        <f t="shared" si="121"/>
        <v>3750</v>
      </c>
      <c r="R109" s="40">
        <f t="shared" si="121"/>
        <v>3000</v>
      </c>
      <c r="S109" s="40">
        <f t="shared" si="121"/>
        <v>2250</v>
      </c>
      <c r="T109" s="40">
        <f t="shared" si="121"/>
        <v>1500</v>
      </c>
      <c r="V109" s="50"/>
      <c r="W109" s="33" t="s">
        <v>50</v>
      </c>
      <c r="X109" s="102">
        <f>Z199</f>
        <v>5250</v>
      </c>
      <c r="Y109" s="40">
        <f t="shared" ref="Y109:Y110" si="122">Z288</f>
        <v>2100</v>
      </c>
      <c r="Z109" s="101">
        <f t="shared" ref="Z109:Z110" si="123">SUM(X109:Y109)</f>
        <v>7350</v>
      </c>
      <c r="AA109" s="40">
        <f t="shared" ref="AA109:AE110" si="124">SUM(AA199,AA288)</f>
        <v>6300</v>
      </c>
      <c r="AB109" s="40">
        <f t="shared" si="124"/>
        <v>5250</v>
      </c>
      <c r="AC109" s="40">
        <f t="shared" si="124"/>
        <v>4200</v>
      </c>
      <c r="AD109" s="40">
        <f t="shared" si="124"/>
        <v>3150</v>
      </c>
      <c r="AE109" s="40">
        <f t="shared" si="124"/>
        <v>2100</v>
      </c>
    </row>
    <row r="110" spans="2:31">
      <c r="B110" s="50"/>
      <c r="C110" s="33" t="s">
        <v>0</v>
      </c>
      <c r="D110" s="85">
        <f t="shared" si="119"/>
        <v>4.6500000000000004</v>
      </c>
      <c r="E110" s="85">
        <f t="shared" si="119"/>
        <v>4.6500000000000004</v>
      </c>
      <c r="F110" s="85">
        <f t="shared" si="119"/>
        <v>4.6500000000000004</v>
      </c>
      <c r="G110" s="85">
        <f t="shared" si="119"/>
        <v>4.6500000000000004</v>
      </c>
      <c r="H110" s="85">
        <f t="shared" si="119"/>
        <v>4.6500000000000004</v>
      </c>
      <c r="I110" s="85">
        <f t="shared" si="119"/>
        <v>4.6500000000000004</v>
      </c>
      <c r="K110" s="50"/>
      <c r="L110" s="33" t="s">
        <v>0</v>
      </c>
      <c r="M110" s="103">
        <f>O200</f>
        <v>1.6500000000000001</v>
      </c>
      <c r="N110" s="92">
        <v>0</v>
      </c>
      <c r="O110" s="104">
        <f t="shared" si="120"/>
        <v>1.6500000000000001</v>
      </c>
      <c r="P110" s="85">
        <f t="shared" si="121"/>
        <v>1.6500000000000001</v>
      </c>
      <c r="Q110" s="85">
        <f t="shared" si="121"/>
        <v>1.6500000000000001</v>
      </c>
      <c r="R110" s="85">
        <f t="shared" si="121"/>
        <v>1.6500000000000001</v>
      </c>
      <c r="S110" s="85">
        <f t="shared" si="121"/>
        <v>1.6500000000000001</v>
      </c>
      <c r="T110" s="85">
        <f t="shared" si="121"/>
        <v>1.6500000000000001</v>
      </c>
      <c r="V110" s="50"/>
      <c r="W110" s="33" t="s">
        <v>0</v>
      </c>
      <c r="X110" s="103">
        <f>Z200</f>
        <v>1.6500000000000001</v>
      </c>
      <c r="Y110" s="85">
        <f t="shared" si="122"/>
        <v>3</v>
      </c>
      <c r="Z110" s="104">
        <f t="shared" si="123"/>
        <v>4.6500000000000004</v>
      </c>
      <c r="AA110" s="85">
        <f t="shared" si="124"/>
        <v>4.6500000000000004</v>
      </c>
      <c r="AB110" s="85">
        <f t="shared" si="124"/>
        <v>4.6500000000000004</v>
      </c>
      <c r="AC110" s="85">
        <f t="shared" si="124"/>
        <v>4.6500000000000004</v>
      </c>
      <c r="AD110" s="85">
        <f t="shared" si="124"/>
        <v>4.6500000000000004</v>
      </c>
      <c r="AE110" s="85">
        <f t="shared" si="124"/>
        <v>4.6500000000000004</v>
      </c>
    </row>
    <row r="111" spans="2:31">
      <c r="B111" s="50"/>
      <c r="C111" s="33" t="s">
        <v>51</v>
      </c>
      <c r="D111" s="40">
        <f t="shared" ref="D111:I111" si="125">SUM(D109:D110)</f>
        <v>7354.65</v>
      </c>
      <c r="E111" s="40">
        <f t="shared" si="125"/>
        <v>6304.65</v>
      </c>
      <c r="F111" s="40">
        <f t="shared" si="125"/>
        <v>5254.65</v>
      </c>
      <c r="G111" s="40">
        <f t="shared" si="125"/>
        <v>4204.6499999999996</v>
      </c>
      <c r="H111" s="40">
        <f t="shared" si="125"/>
        <v>3154.65</v>
      </c>
      <c r="I111" s="40">
        <f t="shared" si="125"/>
        <v>2104.65</v>
      </c>
      <c r="K111" s="50"/>
      <c r="L111" s="33" t="s">
        <v>51</v>
      </c>
      <c r="M111" s="102">
        <f t="shared" ref="M111:T111" si="126">SUM(M109:M110)</f>
        <v>5251.65</v>
      </c>
      <c r="N111" s="40">
        <f t="shared" si="126"/>
        <v>0</v>
      </c>
      <c r="O111" s="101">
        <f t="shared" si="126"/>
        <v>5251.65</v>
      </c>
      <c r="P111" s="40">
        <f t="shared" si="126"/>
        <v>4501.6499999999996</v>
      </c>
      <c r="Q111" s="40">
        <f t="shared" si="126"/>
        <v>3751.65</v>
      </c>
      <c r="R111" s="40">
        <f t="shared" si="126"/>
        <v>3001.65</v>
      </c>
      <c r="S111" s="40">
        <f t="shared" si="126"/>
        <v>2251.65</v>
      </c>
      <c r="T111" s="40">
        <f t="shared" si="126"/>
        <v>1501.65</v>
      </c>
      <c r="V111" s="50"/>
      <c r="W111" s="33" t="s">
        <v>51</v>
      </c>
      <c r="X111" s="102">
        <f t="shared" ref="X111:AE111" si="127">SUM(X109:X110)</f>
        <v>5251.65</v>
      </c>
      <c r="Y111" s="40">
        <f t="shared" si="127"/>
        <v>2103</v>
      </c>
      <c r="Z111" s="101">
        <f t="shared" si="127"/>
        <v>7354.65</v>
      </c>
      <c r="AA111" s="40">
        <f t="shared" si="127"/>
        <v>6304.65</v>
      </c>
      <c r="AB111" s="40">
        <f t="shared" si="127"/>
        <v>5254.65</v>
      </c>
      <c r="AC111" s="40">
        <f t="shared" si="127"/>
        <v>4204.6499999999996</v>
      </c>
      <c r="AD111" s="40">
        <f t="shared" si="127"/>
        <v>3154.65</v>
      </c>
      <c r="AE111" s="40">
        <f t="shared" si="127"/>
        <v>2104.65</v>
      </c>
    </row>
    <row r="112" spans="2:31">
      <c r="B112" s="50"/>
      <c r="D112" s="37"/>
      <c r="E112" s="37"/>
      <c r="F112" s="37"/>
      <c r="G112" s="37"/>
      <c r="H112" s="37"/>
      <c r="I112" s="37"/>
      <c r="K112" s="50"/>
      <c r="M112" s="72"/>
      <c r="N112" s="37"/>
      <c r="O112" s="73"/>
      <c r="P112" s="37"/>
      <c r="Q112" s="37"/>
      <c r="R112" s="37"/>
      <c r="S112" s="37"/>
      <c r="T112" s="37"/>
      <c r="V112" s="57"/>
      <c r="X112" s="72"/>
      <c r="Y112" s="37"/>
      <c r="Z112" s="73"/>
      <c r="AA112" s="37"/>
      <c r="AB112" s="37"/>
      <c r="AC112" s="37"/>
      <c r="AD112" s="37"/>
      <c r="AE112" s="37"/>
    </row>
    <row r="113" spans="2:31" s="54" customFormat="1">
      <c r="B113" s="59"/>
      <c r="C113" s="54" t="s">
        <v>12</v>
      </c>
      <c r="D113" s="89">
        <f>D107+D111</f>
        <v>8809.9071428571424</v>
      </c>
      <c r="E113" s="89">
        <f t="shared" ref="E113:I113" si="128">E107+E111</f>
        <v>7773.7880357142858</v>
      </c>
      <c r="F113" s="89">
        <f t="shared" si="128"/>
        <v>6738.0389249999998</v>
      </c>
      <c r="G113" s="89">
        <f t="shared" si="128"/>
        <v>5702.6601216964282</v>
      </c>
      <c r="H113" s="89">
        <f t="shared" si="128"/>
        <v>4667.6509114414293</v>
      </c>
      <c r="I113" s="89">
        <f t="shared" si="128"/>
        <v>3633.0094425936595</v>
      </c>
      <c r="J113" s="33"/>
      <c r="K113" s="59"/>
      <c r="L113" s="54" t="s">
        <v>12</v>
      </c>
      <c r="M113" s="106">
        <f>M107+M111</f>
        <v>6285.5999999999995</v>
      </c>
      <c r="N113" s="89">
        <f>N107+N111</f>
        <v>0</v>
      </c>
      <c r="O113" s="107">
        <f>O107+O111</f>
        <v>6285.5999999999995</v>
      </c>
      <c r="P113" s="89">
        <f t="shared" ref="P113:T113" si="129">P107+P111</f>
        <v>5544.8137499999993</v>
      </c>
      <c r="Q113" s="89">
        <f t="shared" si="129"/>
        <v>4804.2401250000003</v>
      </c>
      <c r="R113" s="89">
        <f t="shared" si="129"/>
        <v>4063.8773531249999</v>
      </c>
      <c r="S113" s="89">
        <f t="shared" si="129"/>
        <v>3323.7229537499998</v>
      </c>
      <c r="T113" s="89">
        <f t="shared" si="129"/>
        <v>2583.7736710546878</v>
      </c>
      <c r="U113" s="33"/>
      <c r="V113" s="57"/>
      <c r="W113" s="54" t="s">
        <v>12</v>
      </c>
      <c r="X113" s="106">
        <f>X107+X111</f>
        <v>6285.5999999999995</v>
      </c>
      <c r="Y113" s="89">
        <f>Y107+Y111</f>
        <v>2524.3071428571429</v>
      </c>
      <c r="Z113" s="107">
        <f>Z107+Z111</f>
        <v>8809.9071428571424</v>
      </c>
      <c r="AA113" s="89">
        <f t="shared" ref="AA113:AE113" si="130">AA107+AA111</f>
        <v>7773.7880357142858</v>
      </c>
      <c r="AB113" s="89">
        <f t="shared" si="130"/>
        <v>6738.0389249999998</v>
      </c>
      <c r="AC113" s="89">
        <f t="shared" si="130"/>
        <v>5702.6601216964282</v>
      </c>
      <c r="AD113" s="89">
        <f t="shared" si="130"/>
        <v>4667.6509114414293</v>
      </c>
      <c r="AE113" s="89">
        <f t="shared" si="130"/>
        <v>3633.0094425936595</v>
      </c>
    </row>
    <row r="114" spans="2:31" s="54" customFormat="1">
      <c r="B114" s="59"/>
      <c r="C114" s="33"/>
      <c r="D114" s="37"/>
      <c r="E114" s="37"/>
      <c r="F114" s="37"/>
      <c r="G114" s="37"/>
      <c r="H114" s="37"/>
      <c r="I114" s="37"/>
      <c r="J114" s="33"/>
      <c r="K114" s="59"/>
      <c r="L114" s="33"/>
      <c r="M114" s="72"/>
      <c r="N114" s="37"/>
      <c r="O114" s="73"/>
      <c r="P114" s="37"/>
      <c r="Q114" s="37"/>
      <c r="R114" s="37"/>
      <c r="S114" s="37"/>
      <c r="T114" s="37"/>
      <c r="V114" s="59"/>
      <c r="W114" s="33"/>
      <c r="X114" s="72"/>
      <c r="Y114" s="37"/>
      <c r="Z114" s="73"/>
      <c r="AA114" s="40"/>
      <c r="AB114" s="40"/>
      <c r="AC114" s="40"/>
      <c r="AD114" s="40"/>
      <c r="AE114" s="40"/>
    </row>
    <row r="115" spans="2:31">
      <c r="B115" s="50"/>
      <c r="C115" s="54" t="s">
        <v>52</v>
      </c>
      <c r="D115" s="37"/>
      <c r="E115" s="37"/>
      <c r="F115" s="37"/>
      <c r="G115" s="37"/>
      <c r="H115" s="37"/>
      <c r="I115" s="37"/>
      <c r="K115" s="50"/>
      <c r="L115" s="54" t="s">
        <v>52</v>
      </c>
      <c r="M115" s="72"/>
      <c r="N115" s="37"/>
      <c r="O115" s="73"/>
      <c r="P115" s="37"/>
      <c r="Q115" s="37"/>
      <c r="R115" s="37"/>
      <c r="S115" s="37"/>
      <c r="T115" s="37"/>
      <c r="U115" s="54"/>
      <c r="V115" s="59"/>
      <c r="W115" s="54" t="s">
        <v>52</v>
      </c>
      <c r="X115" s="72"/>
      <c r="Y115" s="37"/>
      <c r="Z115" s="73"/>
      <c r="AA115" s="94"/>
      <c r="AB115" s="94"/>
      <c r="AC115" s="94"/>
      <c r="AD115" s="118"/>
      <c r="AE115" s="118"/>
    </row>
    <row r="116" spans="2:31">
      <c r="B116" s="50"/>
      <c r="C116" s="33" t="s">
        <v>13</v>
      </c>
      <c r="D116" s="40">
        <f t="shared" ref="D116:I118" si="131">IF($I$27=$H$20,O116,Z116)</f>
        <v>5550</v>
      </c>
      <c r="E116" s="40">
        <f t="shared" si="131"/>
        <v>5550</v>
      </c>
      <c r="F116" s="40">
        <f t="shared" si="131"/>
        <v>5550</v>
      </c>
      <c r="G116" s="40">
        <f t="shared" si="131"/>
        <v>5550</v>
      </c>
      <c r="H116" s="40">
        <f t="shared" si="131"/>
        <v>5550</v>
      </c>
      <c r="I116" s="40">
        <f t="shared" si="131"/>
        <v>5550</v>
      </c>
      <c r="K116" s="50"/>
      <c r="L116" s="33" t="s">
        <v>13</v>
      </c>
      <c r="M116" s="102">
        <f>O206</f>
        <v>5550</v>
      </c>
      <c r="N116" s="94">
        <v>0</v>
      </c>
      <c r="O116" s="101">
        <f t="shared" ref="O116:O118" si="132">SUM(M116:N116)</f>
        <v>5550</v>
      </c>
      <c r="P116" s="40">
        <f t="shared" ref="P116:T116" si="133">P206</f>
        <v>5550</v>
      </c>
      <c r="Q116" s="40">
        <f t="shared" si="133"/>
        <v>5550</v>
      </c>
      <c r="R116" s="40">
        <f t="shared" si="133"/>
        <v>5550</v>
      </c>
      <c r="S116" s="40">
        <f t="shared" si="133"/>
        <v>5550</v>
      </c>
      <c r="T116" s="40">
        <f t="shared" si="133"/>
        <v>5550</v>
      </c>
      <c r="V116" s="50"/>
      <c r="W116" s="33" t="s">
        <v>13</v>
      </c>
      <c r="X116" s="102">
        <f>Z206</f>
        <v>5550</v>
      </c>
      <c r="Y116" s="94">
        <v>0</v>
      </c>
      <c r="Z116" s="101">
        <f t="shared" ref="Z116:Z118" si="134">SUM(X116:Y116)</f>
        <v>5550</v>
      </c>
      <c r="AA116" s="40">
        <f t="shared" ref="AA116:AE116" si="135">AA206</f>
        <v>5550</v>
      </c>
      <c r="AB116" s="40">
        <f t="shared" si="135"/>
        <v>5550</v>
      </c>
      <c r="AC116" s="40">
        <f t="shared" si="135"/>
        <v>5550</v>
      </c>
      <c r="AD116" s="40">
        <f t="shared" si="135"/>
        <v>5550</v>
      </c>
      <c r="AE116" s="40">
        <f t="shared" si="135"/>
        <v>5550</v>
      </c>
    </row>
    <row r="117" spans="2:31">
      <c r="B117" s="50"/>
      <c r="C117" s="33" t="s">
        <v>14</v>
      </c>
      <c r="D117" s="40">
        <f t="shared" si="131"/>
        <v>11767.422408612922</v>
      </c>
      <c r="E117" s="40">
        <f t="shared" si="131"/>
        <v>12445.279907757218</v>
      </c>
      <c r="F117" s="40">
        <f t="shared" si="131"/>
        <v>13257.545128850939</v>
      </c>
      <c r="G117" s="40">
        <f t="shared" si="131"/>
        <v>14212.066995720055</v>
      </c>
      <c r="H117" s="40">
        <f t="shared" si="131"/>
        <v>15317.239763840285</v>
      </c>
      <c r="I117" s="40">
        <f t="shared" si="131"/>
        <v>16582.039237254856</v>
      </c>
      <c r="K117" s="50"/>
      <c r="L117" s="33" t="s">
        <v>14</v>
      </c>
      <c r="M117" s="102">
        <f>O207</f>
        <v>11767.422408612922</v>
      </c>
      <c r="N117" s="94">
        <v>0</v>
      </c>
      <c r="O117" s="101">
        <f t="shared" si="132"/>
        <v>11767.422408612922</v>
      </c>
      <c r="P117" s="40">
        <f>SUM(O117,P50,P74)</f>
        <v>12317.358686832011</v>
      </c>
      <c r="Q117" s="40">
        <f>SUM(P117,Q50,Q74)</f>
        <v>12976.029525875216</v>
      </c>
      <c r="R117" s="40">
        <f>SUM(Q117,R50,R74)</f>
        <v>13749.634964324256</v>
      </c>
      <c r="S117" s="40">
        <f>SUM(R117,S50,S74)</f>
        <v>14644.793068927025</v>
      </c>
      <c r="T117" s="40">
        <f>SUM(S117,T50,T74)</f>
        <v>15668.566752090301</v>
      </c>
      <c r="V117" s="50"/>
      <c r="W117" s="53" t="s">
        <v>14</v>
      </c>
      <c r="X117" s="102">
        <f>Z207</f>
        <v>11767.422408612922</v>
      </c>
      <c r="Y117" s="94">
        <v>0</v>
      </c>
      <c r="Z117" s="101">
        <f t="shared" si="134"/>
        <v>11767.422408612922</v>
      </c>
      <c r="AA117" s="40">
        <f>SUM(Z117,AA50,AA74)</f>
        <v>12445.279907757218</v>
      </c>
      <c r="AB117" s="40">
        <f>SUM(AA117,AB50,AB74)</f>
        <v>13257.545128850939</v>
      </c>
      <c r="AC117" s="40">
        <f>SUM(AB117,AC50,AC74)</f>
        <v>14212.066995720055</v>
      </c>
      <c r="AD117" s="40">
        <f>SUM(AC117,AD50,AD74)</f>
        <v>15317.239763840285</v>
      </c>
      <c r="AE117" s="40">
        <f>SUM(AD117,AE50,AE74)</f>
        <v>16582.039237254856</v>
      </c>
    </row>
    <row r="118" spans="2:31">
      <c r="C118" s="53" t="s">
        <v>82</v>
      </c>
      <c r="D118" s="40">
        <f>IF($I$27=$H$20,O118,Z118)</f>
        <v>2700</v>
      </c>
      <c r="E118" s="40">
        <f t="shared" si="131"/>
        <v>2785.2808139501385</v>
      </c>
      <c r="F118" s="40">
        <f t="shared" si="131"/>
        <v>2887.6770686504833</v>
      </c>
      <c r="G118" s="40">
        <f t="shared" si="131"/>
        <v>3008.2880209305345</v>
      </c>
      <c r="H118" s="40">
        <f t="shared" si="131"/>
        <v>3148.2977966088406</v>
      </c>
      <c r="I118" s="40">
        <f t="shared" si="131"/>
        <v>3308.9816567763696</v>
      </c>
      <c r="L118" s="53" t="s">
        <v>82</v>
      </c>
      <c r="M118" s="105">
        <v>0</v>
      </c>
      <c r="N118" s="92">
        <v>0</v>
      </c>
      <c r="O118" s="101">
        <f t="shared" si="132"/>
        <v>0</v>
      </c>
      <c r="P118" s="40">
        <v>0</v>
      </c>
      <c r="Q118" s="40">
        <v>0</v>
      </c>
      <c r="R118" s="40">
        <v>0</v>
      </c>
      <c r="S118" s="40">
        <v>0</v>
      </c>
      <c r="T118" s="40">
        <v>0</v>
      </c>
      <c r="V118" s="50"/>
      <c r="W118" s="53" t="s">
        <v>82</v>
      </c>
      <c r="X118" s="105">
        <v>0</v>
      </c>
      <c r="Y118" s="85">
        <f>(1-Y26)*Y25</f>
        <v>2700</v>
      </c>
      <c r="Z118" s="101">
        <f t="shared" si="134"/>
        <v>2700</v>
      </c>
      <c r="AA118" s="85">
        <f>Z118+SUM(AA62,AA73)</f>
        <v>2785.2808139501385</v>
      </c>
      <c r="AB118" s="85">
        <f>AA118+SUM(AB62,AB73)</f>
        <v>2887.6770686504833</v>
      </c>
      <c r="AC118" s="85">
        <f>AB118+SUM(AC62,AC73)</f>
        <v>3008.2880209305345</v>
      </c>
      <c r="AD118" s="85">
        <f>AC118+SUM(AD62,AD73)</f>
        <v>3148.2977966088406</v>
      </c>
      <c r="AE118" s="85">
        <f>AD118+SUM(AE62,AE73)</f>
        <v>3308.9816567763696</v>
      </c>
    </row>
    <row r="119" spans="2:31">
      <c r="C119" s="54" t="s">
        <v>53</v>
      </c>
      <c r="D119" s="90">
        <f>SUM(D116:D118)</f>
        <v>20017.422408612922</v>
      </c>
      <c r="E119" s="90">
        <f t="shared" ref="E119:I119" si="136">SUM(E116:E118)</f>
        <v>20780.560721707359</v>
      </c>
      <c r="F119" s="90">
        <f t="shared" si="136"/>
        <v>21695.222197501422</v>
      </c>
      <c r="G119" s="90">
        <f t="shared" si="136"/>
        <v>22770.355016650588</v>
      </c>
      <c r="H119" s="90">
        <f t="shared" si="136"/>
        <v>24015.537560449124</v>
      </c>
      <c r="I119" s="90">
        <f t="shared" si="136"/>
        <v>25441.020894031226</v>
      </c>
      <c r="L119" s="54" t="s">
        <v>53</v>
      </c>
      <c r="M119" s="108">
        <f>SUM(M116:M118)</f>
        <v>17317.422408612922</v>
      </c>
      <c r="N119" s="90">
        <f>SUM(N116:N118)</f>
        <v>0</v>
      </c>
      <c r="O119" s="109">
        <f>SUM(O116:O118)</f>
        <v>17317.422408612922</v>
      </c>
      <c r="P119" s="90">
        <f t="shared" ref="P119:T119" si="137">SUM(P116:P118)</f>
        <v>17867.358686832013</v>
      </c>
      <c r="Q119" s="90">
        <f t="shared" si="137"/>
        <v>18526.029525875216</v>
      </c>
      <c r="R119" s="90">
        <f t="shared" si="137"/>
        <v>19299.634964324257</v>
      </c>
      <c r="S119" s="90">
        <f t="shared" si="137"/>
        <v>20194.793068927025</v>
      </c>
      <c r="T119" s="90">
        <f t="shared" si="137"/>
        <v>21218.566752090301</v>
      </c>
      <c r="W119" s="54" t="s">
        <v>53</v>
      </c>
      <c r="X119" s="108">
        <f>SUM(X116:X118)</f>
        <v>17317.422408612922</v>
      </c>
      <c r="Y119" s="90">
        <f>SUM(Y116:Y118)</f>
        <v>2700</v>
      </c>
      <c r="Z119" s="109">
        <f>SUM(Z116:Z118)</f>
        <v>20017.422408612922</v>
      </c>
      <c r="AA119" s="89">
        <f t="shared" ref="AA119:AE119" si="138">SUM(AA116:AA118)</f>
        <v>20780.560721707359</v>
      </c>
      <c r="AB119" s="89">
        <f t="shared" si="138"/>
        <v>21695.222197501422</v>
      </c>
      <c r="AC119" s="89">
        <f t="shared" si="138"/>
        <v>22770.355016650588</v>
      </c>
      <c r="AD119" s="89">
        <f t="shared" si="138"/>
        <v>24015.537560449124</v>
      </c>
      <c r="AE119" s="89">
        <f t="shared" si="138"/>
        <v>25441.020894031226</v>
      </c>
    </row>
    <row r="120" spans="2:31">
      <c r="C120" s="54"/>
      <c r="D120" s="89"/>
      <c r="E120" s="89"/>
      <c r="F120" s="89"/>
      <c r="G120" s="89"/>
      <c r="H120" s="89"/>
      <c r="I120" s="89"/>
      <c r="L120" s="54"/>
      <c r="M120" s="106"/>
      <c r="N120" s="89"/>
      <c r="O120" s="107"/>
      <c r="P120" s="89"/>
      <c r="Q120" s="89"/>
      <c r="R120" s="89"/>
      <c r="S120" s="89"/>
      <c r="T120" s="89"/>
      <c r="W120" s="54"/>
      <c r="X120" s="106"/>
      <c r="Y120" s="89"/>
      <c r="Z120" s="107"/>
      <c r="AA120" s="89"/>
      <c r="AB120" s="89"/>
      <c r="AC120" s="89"/>
      <c r="AD120" s="89"/>
      <c r="AE120" s="89"/>
    </row>
    <row r="121" spans="2:31">
      <c r="C121" s="54" t="s">
        <v>54</v>
      </c>
      <c r="D121" s="89">
        <f t="shared" ref="D121:I121" si="139">D113+D119</f>
        <v>28827.329551470066</v>
      </c>
      <c r="E121" s="89">
        <f t="shared" si="139"/>
        <v>28554.348757421645</v>
      </c>
      <c r="F121" s="89">
        <f t="shared" si="139"/>
        <v>28433.261122501423</v>
      </c>
      <c r="G121" s="89">
        <f t="shared" si="139"/>
        <v>28473.015138347015</v>
      </c>
      <c r="H121" s="89">
        <f t="shared" si="139"/>
        <v>28683.188471890553</v>
      </c>
      <c r="I121" s="89">
        <f t="shared" si="139"/>
        <v>29074.030336624885</v>
      </c>
      <c r="L121" s="54" t="s">
        <v>54</v>
      </c>
      <c r="M121" s="106">
        <f t="shared" ref="M121:T121" si="140">M113+M119</f>
        <v>23603.02240861292</v>
      </c>
      <c r="N121" s="89">
        <f t="shared" si="140"/>
        <v>0</v>
      </c>
      <c r="O121" s="107">
        <f t="shared" si="140"/>
        <v>23603.02240861292</v>
      </c>
      <c r="P121" s="89">
        <f t="shared" si="140"/>
        <v>23412.172436832014</v>
      </c>
      <c r="Q121" s="89">
        <f t="shared" si="140"/>
        <v>23330.269650875216</v>
      </c>
      <c r="R121" s="89">
        <f t="shared" si="140"/>
        <v>23363.512317449258</v>
      </c>
      <c r="S121" s="89">
        <f t="shared" si="140"/>
        <v>23518.516022677024</v>
      </c>
      <c r="T121" s="89">
        <f t="shared" si="140"/>
        <v>23802.340423144989</v>
      </c>
      <c r="W121" s="54" t="s">
        <v>54</v>
      </c>
      <c r="X121" s="106">
        <f t="shared" ref="X121:AE121" si="141">X113+X119</f>
        <v>23603.02240861292</v>
      </c>
      <c r="Y121" s="89">
        <f t="shared" si="141"/>
        <v>5224.3071428571429</v>
      </c>
      <c r="Z121" s="107">
        <f t="shared" si="141"/>
        <v>28827.329551470066</v>
      </c>
      <c r="AA121" s="89">
        <f t="shared" si="141"/>
        <v>28554.348757421645</v>
      </c>
      <c r="AB121" s="89">
        <f t="shared" si="141"/>
        <v>28433.261122501423</v>
      </c>
      <c r="AC121" s="89">
        <f t="shared" si="141"/>
        <v>28473.015138347015</v>
      </c>
      <c r="AD121" s="89">
        <f t="shared" si="141"/>
        <v>28683.188471890553</v>
      </c>
      <c r="AE121" s="89">
        <f t="shared" si="141"/>
        <v>29074.030336624885</v>
      </c>
    </row>
    <row r="122" spans="2:31">
      <c r="C122" s="51" t="s">
        <v>15</v>
      </c>
      <c r="D122" s="91">
        <f t="shared" ref="D122:I122" si="142">D101-D121</f>
        <v>0</v>
      </c>
      <c r="E122" s="91">
        <f t="shared" si="142"/>
        <v>0</v>
      </c>
      <c r="F122" s="91">
        <f t="shared" si="142"/>
        <v>0</v>
      </c>
      <c r="G122" s="91">
        <f t="shared" si="142"/>
        <v>0</v>
      </c>
      <c r="H122" s="91">
        <f t="shared" si="142"/>
        <v>0</v>
      </c>
      <c r="I122" s="91">
        <f t="shared" si="142"/>
        <v>0</v>
      </c>
      <c r="L122" s="51" t="s">
        <v>15</v>
      </c>
      <c r="M122" s="110">
        <f t="shared" ref="M122:T122" si="143">M101-M121</f>
        <v>0</v>
      </c>
      <c r="N122" s="111">
        <f t="shared" si="143"/>
        <v>0</v>
      </c>
      <c r="O122" s="112">
        <f t="shared" si="143"/>
        <v>0</v>
      </c>
      <c r="P122" s="91">
        <f t="shared" si="143"/>
        <v>0</v>
      </c>
      <c r="Q122" s="91">
        <f t="shared" si="143"/>
        <v>0</v>
      </c>
      <c r="R122" s="91">
        <f t="shared" si="143"/>
        <v>0</v>
      </c>
      <c r="S122" s="91">
        <f t="shared" si="143"/>
        <v>0</v>
      </c>
      <c r="T122" s="91">
        <f t="shared" si="143"/>
        <v>0</v>
      </c>
      <c r="W122" s="51" t="s">
        <v>15</v>
      </c>
      <c r="X122" s="110">
        <f t="shared" ref="X122:AE122" si="144">X101-X121</f>
        <v>0</v>
      </c>
      <c r="Y122" s="111">
        <f t="shared" si="144"/>
        <v>0</v>
      </c>
      <c r="Z122" s="112">
        <f t="shared" si="144"/>
        <v>0</v>
      </c>
      <c r="AA122" s="91">
        <f t="shared" si="144"/>
        <v>0</v>
      </c>
      <c r="AB122" s="91">
        <f t="shared" si="144"/>
        <v>0</v>
      </c>
      <c r="AC122" s="91">
        <f t="shared" si="144"/>
        <v>0</v>
      </c>
      <c r="AD122" s="91">
        <f t="shared" si="144"/>
        <v>0</v>
      </c>
      <c r="AE122" s="91">
        <f t="shared" si="144"/>
        <v>0</v>
      </c>
    </row>
    <row r="123" spans="2:31">
      <c r="B123" s="47"/>
      <c r="C123" s="55"/>
      <c r="D123" s="56"/>
      <c r="E123" s="56"/>
      <c r="F123" s="56"/>
      <c r="G123" s="56"/>
      <c r="H123" s="56"/>
      <c r="I123" s="56"/>
      <c r="K123" s="47"/>
      <c r="L123" s="55"/>
      <c r="M123" s="55"/>
      <c r="N123" s="55"/>
      <c r="O123" s="56"/>
      <c r="P123" s="56"/>
      <c r="Q123" s="56"/>
      <c r="R123" s="56"/>
      <c r="S123" s="56"/>
      <c r="T123" s="56"/>
      <c r="W123" s="55"/>
      <c r="X123" s="55"/>
      <c r="Y123" s="55"/>
      <c r="Z123" s="56"/>
      <c r="AA123" s="56"/>
      <c r="AB123" s="56"/>
      <c r="AC123" s="56"/>
      <c r="AD123" s="56"/>
      <c r="AE123" s="56"/>
    </row>
    <row r="124" spans="2:31">
      <c r="K124" s="50"/>
      <c r="V124" s="47"/>
      <c r="AA124" s="60"/>
      <c r="AB124" s="60"/>
      <c r="AC124" s="60"/>
      <c r="AD124" s="60"/>
      <c r="AE124" s="61"/>
    </row>
    <row r="125" spans="2:31">
      <c r="K125" s="50"/>
      <c r="P125" s="38"/>
      <c r="Q125" s="37"/>
      <c r="V125" s="50"/>
      <c r="Z125" s="62"/>
      <c r="AA125" s="63"/>
      <c r="AB125" s="37"/>
    </row>
    <row r="126" spans="2:31" ht="15.75">
      <c r="K126" s="30" t="s">
        <v>21</v>
      </c>
      <c r="L126" s="31"/>
      <c r="M126" s="31"/>
      <c r="N126" s="31"/>
      <c r="O126" s="31"/>
      <c r="P126" s="31"/>
      <c r="Q126" s="31"/>
      <c r="R126" s="31"/>
      <c r="S126" s="31"/>
      <c r="T126" s="32"/>
      <c r="V126" s="30" t="s">
        <v>21</v>
      </c>
      <c r="W126" s="31"/>
      <c r="X126" s="31"/>
      <c r="Y126" s="31"/>
      <c r="Z126" s="31"/>
      <c r="AA126" s="64"/>
      <c r="AB126" s="31"/>
      <c r="AC126" s="31"/>
      <c r="AD126" s="31"/>
      <c r="AE126" s="32"/>
    </row>
    <row r="127" spans="2:31">
      <c r="K127" s="50"/>
      <c r="V127" s="50"/>
    </row>
    <row r="128" spans="2:31">
      <c r="K128" s="50"/>
      <c r="V128" s="50"/>
    </row>
    <row r="129" spans="11:31" ht="15">
      <c r="K129" s="50"/>
      <c r="L129" s="49" t="s">
        <v>83</v>
      </c>
      <c r="M129" s="49"/>
      <c r="N129" s="49"/>
      <c r="O129" s="48"/>
      <c r="P129" s="48"/>
      <c r="Q129" s="48"/>
      <c r="R129" s="48"/>
      <c r="S129" s="48"/>
      <c r="T129" s="48"/>
      <c r="V129" s="50"/>
      <c r="W129" s="49" t="s">
        <v>83</v>
      </c>
      <c r="X129" s="49"/>
      <c r="Y129" s="49"/>
      <c r="Z129" s="48"/>
      <c r="AA129" s="48"/>
      <c r="AB129" s="48"/>
      <c r="AC129" s="48"/>
      <c r="AD129" s="48"/>
      <c r="AE129" s="48"/>
    </row>
    <row r="130" spans="11:31">
      <c r="K130" s="50"/>
      <c r="L130" s="51" t="s">
        <v>23</v>
      </c>
      <c r="M130" s="51"/>
      <c r="N130" s="51"/>
      <c r="V130" s="50"/>
      <c r="W130" s="51" t="s">
        <v>23</v>
      </c>
      <c r="X130" s="51"/>
      <c r="Y130" s="51"/>
    </row>
    <row r="131" spans="11:31">
      <c r="K131" s="50"/>
      <c r="V131" s="50"/>
    </row>
    <row r="132" spans="11:31">
      <c r="K132" s="50"/>
      <c r="O132" s="113">
        <f>CaseData!$C$13</f>
        <v>44926</v>
      </c>
      <c r="P132" s="84">
        <f>DATE(YEAR(O132)+1,MONTH(O132),DAY(O132))</f>
        <v>45291</v>
      </c>
      <c r="Q132" s="84">
        <f t="shared" ref="Q132:T132" si="145">DATE(YEAR(P132)+1,MONTH(P132),DAY(P132))</f>
        <v>45657</v>
      </c>
      <c r="R132" s="84">
        <f t="shared" si="145"/>
        <v>46022</v>
      </c>
      <c r="S132" s="84">
        <f t="shared" si="145"/>
        <v>46387</v>
      </c>
      <c r="T132" s="84">
        <f t="shared" si="145"/>
        <v>46752</v>
      </c>
      <c r="V132" s="50"/>
      <c r="Z132" s="113">
        <f>CaseData!$C$13</f>
        <v>44926</v>
      </c>
      <c r="AA132" s="84">
        <f>DATE(YEAR(Z132)+1,MONTH(Z132),DAY(Z132))</f>
        <v>45291</v>
      </c>
      <c r="AB132" s="84">
        <f t="shared" ref="AB132:AE132" si="146">DATE(YEAR(AA132)+1,MONTH(AA132),DAY(AA132))</f>
        <v>45657</v>
      </c>
      <c r="AC132" s="84">
        <f t="shared" si="146"/>
        <v>46022</v>
      </c>
      <c r="AD132" s="84">
        <f t="shared" si="146"/>
        <v>46387</v>
      </c>
      <c r="AE132" s="84">
        <f t="shared" si="146"/>
        <v>46752</v>
      </c>
    </row>
    <row r="133" spans="11:31">
      <c r="K133" s="50"/>
      <c r="V133" s="50"/>
    </row>
    <row r="134" spans="11:31">
      <c r="K134" s="50"/>
      <c r="L134" s="33" t="s">
        <v>2</v>
      </c>
      <c r="O134" s="114">
        <f>CaseData!C15</f>
        <v>5250</v>
      </c>
      <c r="P134" s="114">
        <f>CaseData!D15</f>
        <v>5512.5</v>
      </c>
      <c r="Q134" s="114">
        <f>CaseData!E15</f>
        <v>5788.125</v>
      </c>
      <c r="R134" s="114">
        <f>CaseData!F15</f>
        <v>6077.53125</v>
      </c>
      <c r="S134" s="114">
        <f>CaseData!G15</f>
        <v>6381.4078125000005</v>
      </c>
      <c r="T134" s="114">
        <f>CaseData!H15</f>
        <v>6700.4782031250015</v>
      </c>
      <c r="V134" s="50"/>
      <c r="W134" s="33" t="s">
        <v>2</v>
      </c>
      <c r="Z134" s="114">
        <f>CaseData!C15</f>
        <v>5250</v>
      </c>
      <c r="AA134" s="114">
        <f>CaseData!D15</f>
        <v>5512.5</v>
      </c>
      <c r="AB134" s="114">
        <f>CaseData!E15</f>
        <v>5788.125</v>
      </c>
      <c r="AC134" s="114">
        <f>CaseData!F15</f>
        <v>6077.53125</v>
      </c>
      <c r="AD134" s="114">
        <f>CaseData!G15</f>
        <v>6381.4078125000005</v>
      </c>
      <c r="AE134" s="114">
        <f>CaseData!H15</f>
        <v>6700.4782031250015</v>
      </c>
    </row>
    <row r="135" spans="11:31">
      <c r="K135" s="50"/>
      <c r="L135" s="33" t="s">
        <v>24</v>
      </c>
      <c r="O135" s="93">
        <f>CaseData!C16</f>
        <v>-3150</v>
      </c>
      <c r="P135" s="93">
        <f>CaseData!D16</f>
        <v>-3252.375</v>
      </c>
      <c r="Q135" s="93">
        <f>CaseData!E16</f>
        <v>-3357.1124999999997</v>
      </c>
      <c r="R135" s="93">
        <f>CaseData!F16</f>
        <v>-3464.1928124999999</v>
      </c>
      <c r="S135" s="93">
        <f>CaseData!G16</f>
        <v>-3573.5883749999998</v>
      </c>
      <c r="T135" s="93">
        <f>CaseData!H16</f>
        <v>-3685.2630117187509</v>
      </c>
      <c r="V135" s="50"/>
      <c r="W135" s="33" t="s">
        <v>24</v>
      </c>
      <c r="Z135" s="93">
        <f>CaseData!C16</f>
        <v>-3150</v>
      </c>
      <c r="AA135" s="93">
        <f>CaseData!D16</f>
        <v>-3252.375</v>
      </c>
      <c r="AB135" s="93">
        <f>CaseData!E16</f>
        <v>-3357.1124999999997</v>
      </c>
      <c r="AC135" s="93">
        <f>CaseData!F16</f>
        <v>-3464.1928124999999</v>
      </c>
      <c r="AD135" s="93">
        <f>CaseData!G16</f>
        <v>-3573.5883749999998</v>
      </c>
      <c r="AE135" s="93">
        <f>CaseData!H16</f>
        <v>-3685.2630117187509</v>
      </c>
    </row>
    <row r="136" spans="11:31">
      <c r="K136" s="50"/>
      <c r="L136" s="33" t="s">
        <v>25</v>
      </c>
      <c r="O136" s="40">
        <f>SUM(O134:O135)</f>
        <v>2100</v>
      </c>
      <c r="P136" s="40">
        <f t="shared" ref="P136:T136" si="147">SUM(P134:P135)</f>
        <v>2260.125</v>
      </c>
      <c r="Q136" s="40">
        <f t="shared" si="147"/>
        <v>2431.0125000000003</v>
      </c>
      <c r="R136" s="40">
        <f t="shared" si="147"/>
        <v>2613.3384375000001</v>
      </c>
      <c r="S136" s="40">
        <f t="shared" si="147"/>
        <v>2807.8194375000007</v>
      </c>
      <c r="T136" s="40">
        <f t="shared" si="147"/>
        <v>3015.2151914062506</v>
      </c>
      <c r="V136" s="50"/>
      <c r="W136" s="33" t="s">
        <v>25</v>
      </c>
      <c r="Z136" s="40">
        <f>SUM(Z134:Z135)</f>
        <v>2100</v>
      </c>
      <c r="AA136" s="40">
        <f t="shared" ref="AA136:AE136" si="148">SUM(AA134:AA135)</f>
        <v>2260.125</v>
      </c>
      <c r="AB136" s="40">
        <f t="shared" si="148"/>
        <v>2431.0125000000003</v>
      </c>
      <c r="AC136" s="40">
        <f t="shared" si="148"/>
        <v>2613.3384375000001</v>
      </c>
      <c r="AD136" s="40">
        <f t="shared" si="148"/>
        <v>2807.8194375000007</v>
      </c>
      <c r="AE136" s="40">
        <f t="shared" si="148"/>
        <v>3015.2151914062506</v>
      </c>
    </row>
    <row r="137" spans="11:31">
      <c r="K137" s="50"/>
      <c r="L137" s="33" t="s">
        <v>26</v>
      </c>
      <c r="O137" s="93">
        <f>CaseData!C18</f>
        <v>-262.5</v>
      </c>
      <c r="P137" s="93">
        <f>CaseData!D18</f>
        <v>-275.625</v>
      </c>
      <c r="Q137" s="93">
        <f>CaseData!E18</f>
        <v>-289.40625</v>
      </c>
      <c r="R137" s="93">
        <f>CaseData!F18</f>
        <v>-303.87656250000003</v>
      </c>
      <c r="S137" s="93">
        <f>CaseData!G18</f>
        <v>-319.07039062500007</v>
      </c>
      <c r="T137" s="93">
        <f>CaseData!H18</f>
        <v>-335.02391015625011</v>
      </c>
      <c r="V137" s="50"/>
      <c r="W137" s="33" t="s">
        <v>26</v>
      </c>
      <c r="Z137" s="93">
        <f>CaseData!C18</f>
        <v>-262.5</v>
      </c>
      <c r="AA137" s="93">
        <f>CaseData!D18</f>
        <v>-275.625</v>
      </c>
      <c r="AB137" s="93">
        <f>CaseData!E18</f>
        <v>-289.40625</v>
      </c>
      <c r="AC137" s="93">
        <f>CaseData!F18</f>
        <v>-303.87656250000003</v>
      </c>
      <c r="AD137" s="93">
        <f>CaseData!G18</f>
        <v>-319.07039062500007</v>
      </c>
      <c r="AE137" s="93">
        <f>CaseData!H18</f>
        <v>-335.02391015625011</v>
      </c>
    </row>
    <row r="138" spans="11:31">
      <c r="K138" s="50"/>
      <c r="L138" s="33" t="s">
        <v>3</v>
      </c>
      <c r="O138" s="40">
        <f>SUM(O136:O137)</f>
        <v>1837.5</v>
      </c>
      <c r="P138" s="40">
        <f t="shared" ref="P138:T138" si="149">SUM(P136:P137)</f>
        <v>1984.5</v>
      </c>
      <c r="Q138" s="40">
        <f t="shared" si="149"/>
        <v>2141.6062500000003</v>
      </c>
      <c r="R138" s="40">
        <f t="shared" si="149"/>
        <v>2309.461875</v>
      </c>
      <c r="S138" s="40">
        <f t="shared" si="149"/>
        <v>2488.7490468750007</v>
      </c>
      <c r="T138" s="40">
        <f t="shared" si="149"/>
        <v>2680.1912812500004</v>
      </c>
      <c r="V138" s="50"/>
      <c r="W138" s="33" t="s">
        <v>3</v>
      </c>
      <c r="Z138" s="40">
        <f>SUM(Z136:Z137)</f>
        <v>1837.5</v>
      </c>
      <c r="AA138" s="40">
        <f t="shared" ref="AA138:AE138" si="150">SUM(AA136:AA137)</f>
        <v>1984.5</v>
      </c>
      <c r="AB138" s="40">
        <f t="shared" si="150"/>
        <v>2141.6062500000003</v>
      </c>
      <c r="AC138" s="40">
        <f t="shared" si="150"/>
        <v>2309.461875</v>
      </c>
      <c r="AD138" s="40">
        <f t="shared" si="150"/>
        <v>2488.7490468750007</v>
      </c>
      <c r="AE138" s="40">
        <f t="shared" si="150"/>
        <v>2680.1912812500004</v>
      </c>
    </row>
    <row r="139" spans="11:31">
      <c r="K139" s="50"/>
      <c r="L139" s="33" t="s">
        <v>27</v>
      </c>
      <c r="O139" s="93">
        <f>CaseData!C20</f>
        <v>-787.5</v>
      </c>
      <c r="P139" s="93">
        <f>CaseData!D20</f>
        <v>-826.875</v>
      </c>
      <c r="Q139" s="93">
        <f>CaseData!E20</f>
        <v>-868.21875</v>
      </c>
      <c r="R139" s="93">
        <f>CaseData!F20</f>
        <v>-911.62968749999993</v>
      </c>
      <c r="S139" s="93">
        <f>CaseData!G20</f>
        <v>-957.21117187499999</v>
      </c>
      <c r="T139" s="93">
        <f>CaseData!H20</f>
        <v>-1005.0717304687502</v>
      </c>
      <c r="V139" s="50"/>
      <c r="W139" s="33" t="s">
        <v>27</v>
      </c>
      <c r="Z139" s="93">
        <f>CaseData!C20</f>
        <v>-787.5</v>
      </c>
      <c r="AA139" s="93">
        <f>CaseData!D20</f>
        <v>-826.875</v>
      </c>
      <c r="AB139" s="93">
        <f>CaseData!E20</f>
        <v>-868.21875</v>
      </c>
      <c r="AC139" s="93">
        <f>CaseData!F20</f>
        <v>-911.62968749999993</v>
      </c>
      <c r="AD139" s="93">
        <f>CaseData!G20</f>
        <v>-957.21117187499999</v>
      </c>
      <c r="AE139" s="93">
        <f>CaseData!H20</f>
        <v>-1005.0717304687502</v>
      </c>
    </row>
    <row r="140" spans="11:31">
      <c r="K140" s="50"/>
      <c r="L140" s="33" t="s">
        <v>4</v>
      </c>
      <c r="O140" s="40">
        <f>SUM(O138:O139)</f>
        <v>1050</v>
      </c>
      <c r="P140" s="40">
        <f t="shared" ref="P140:T140" si="151">SUM(P138:P139)</f>
        <v>1157.625</v>
      </c>
      <c r="Q140" s="40">
        <f t="shared" si="151"/>
        <v>1273.3875000000003</v>
      </c>
      <c r="R140" s="40">
        <f t="shared" si="151"/>
        <v>1397.8321875000001</v>
      </c>
      <c r="S140" s="40">
        <f t="shared" si="151"/>
        <v>1531.5378750000007</v>
      </c>
      <c r="T140" s="40">
        <f t="shared" si="151"/>
        <v>1675.1195507812504</v>
      </c>
      <c r="V140" s="50"/>
      <c r="W140" s="33" t="s">
        <v>4</v>
      </c>
      <c r="Z140" s="40">
        <f>SUM(Z138:Z139)</f>
        <v>1050</v>
      </c>
      <c r="AA140" s="40">
        <f t="shared" ref="AA140:AE140" si="152">SUM(AA138:AA139)</f>
        <v>1157.625</v>
      </c>
      <c r="AB140" s="40">
        <f t="shared" si="152"/>
        <v>1273.3875000000003</v>
      </c>
      <c r="AC140" s="40">
        <f t="shared" si="152"/>
        <v>1397.8321875000001</v>
      </c>
      <c r="AD140" s="40">
        <f t="shared" si="152"/>
        <v>1531.5378750000007</v>
      </c>
      <c r="AE140" s="40">
        <f t="shared" si="152"/>
        <v>1675.1195507812504</v>
      </c>
    </row>
    <row r="141" spans="11:31">
      <c r="K141" s="50"/>
      <c r="L141" s="33" t="s">
        <v>28</v>
      </c>
      <c r="O141" s="93">
        <f>CaseData!C22</f>
        <v>-379.12931897846698</v>
      </c>
      <c r="P141" s="93">
        <f>CaseData!D22</f>
        <v>-332.43683696237895</v>
      </c>
      <c r="Q141" s="93">
        <f>CaseData!E22</f>
        <v>-285.31304115455436</v>
      </c>
      <c r="R141" s="93">
        <f>CaseData!F22</f>
        <v>-237.71581038498869</v>
      </c>
      <c r="S141" s="93">
        <f>CaseData!G22</f>
        <v>-189.61817460309581</v>
      </c>
      <c r="T141" s="93">
        <f>CaseData!H22</f>
        <v>-140.9913575933827</v>
      </c>
      <c r="V141" s="50"/>
      <c r="W141" s="33" t="s">
        <v>28</v>
      </c>
      <c r="Z141" s="93">
        <f>CaseData!C22</f>
        <v>-379.12931897846698</v>
      </c>
      <c r="AA141" s="93">
        <f>CaseData!D22</f>
        <v>-332.43683696237895</v>
      </c>
      <c r="AB141" s="93">
        <f>CaseData!E22</f>
        <v>-285.31304115455436</v>
      </c>
      <c r="AC141" s="93">
        <f>CaseData!F22</f>
        <v>-237.71581038498869</v>
      </c>
      <c r="AD141" s="93">
        <f>CaseData!G22</f>
        <v>-189.61817460309581</v>
      </c>
      <c r="AE141" s="93">
        <f>CaseData!H22</f>
        <v>-140.9913575933827</v>
      </c>
    </row>
    <row r="142" spans="11:31">
      <c r="K142" s="47"/>
      <c r="L142" s="33" t="s">
        <v>5</v>
      </c>
      <c r="O142" s="40">
        <f>SUM(O140:O141)</f>
        <v>670.87068102153307</v>
      </c>
      <c r="P142" s="40">
        <f t="shared" ref="P142:T142" si="153">SUM(P140:P141)</f>
        <v>825.18816303762105</v>
      </c>
      <c r="Q142" s="40">
        <f t="shared" si="153"/>
        <v>988.07445884544586</v>
      </c>
      <c r="R142" s="40">
        <f t="shared" si="153"/>
        <v>1160.1163771150113</v>
      </c>
      <c r="S142" s="40">
        <f t="shared" si="153"/>
        <v>1341.9197003969048</v>
      </c>
      <c r="T142" s="40">
        <f t="shared" si="153"/>
        <v>1534.1281931878677</v>
      </c>
      <c r="V142" s="50"/>
      <c r="W142" s="33" t="s">
        <v>5</v>
      </c>
      <c r="Z142" s="40">
        <f>SUM(Z140:Z141)</f>
        <v>670.87068102153307</v>
      </c>
      <c r="AA142" s="40">
        <f t="shared" ref="AA142:AE142" si="154">SUM(AA140:AA141)</f>
        <v>825.18816303762105</v>
      </c>
      <c r="AB142" s="40">
        <f t="shared" si="154"/>
        <v>988.07445884544586</v>
      </c>
      <c r="AC142" s="40">
        <f t="shared" si="154"/>
        <v>1160.1163771150113</v>
      </c>
      <c r="AD142" s="40">
        <f t="shared" si="154"/>
        <v>1341.9197003969048</v>
      </c>
      <c r="AE142" s="40">
        <f t="shared" si="154"/>
        <v>1534.1281931878677</v>
      </c>
    </row>
    <row r="143" spans="11:31">
      <c r="K143" s="50"/>
      <c r="L143" s="33" t="s">
        <v>29</v>
      </c>
      <c r="O143" s="93">
        <f>CaseData!C24</f>
        <v>-167.7176702553831</v>
      </c>
      <c r="P143" s="93">
        <f>CaseData!D24</f>
        <v>-206.29704075940526</v>
      </c>
      <c r="Q143" s="93">
        <f>CaseData!E24</f>
        <v>-247.01861471136147</v>
      </c>
      <c r="R143" s="93">
        <f>CaseData!F24</f>
        <v>-290.02909427875289</v>
      </c>
      <c r="S143" s="93">
        <f>CaseData!G24</f>
        <v>-335.47992509922625</v>
      </c>
      <c r="T143" s="93">
        <f>CaseData!H24</f>
        <v>-383.53204829696699</v>
      </c>
      <c r="V143" s="47"/>
      <c r="W143" s="33" t="s">
        <v>29</v>
      </c>
      <c r="Z143" s="93">
        <f>CaseData!C24</f>
        <v>-167.7176702553831</v>
      </c>
      <c r="AA143" s="93">
        <f>CaseData!D24</f>
        <v>-206.29704075940526</v>
      </c>
      <c r="AB143" s="93">
        <f>CaseData!E24</f>
        <v>-247.01861471136147</v>
      </c>
      <c r="AC143" s="93">
        <f>CaseData!F24</f>
        <v>-290.02909427875289</v>
      </c>
      <c r="AD143" s="93">
        <f>CaseData!G24</f>
        <v>-335.47992509922625</v>
      </c>
      <c r="AE143" s="93">
        <f>CaseData!H24</f>
        <v>-383.53204829696699</v>
      </c>
    </row>
    <row r="144" spans="11:31">
      <c r="K144" s="50"/>
      <c r="L144" s="54" t="s">
        <v>6</v>
      </c>
      <c r="M144" s="54"/>
      <c r="N144" s="54"/>
      <c r="O144" s="86">
        <f>SUM(O142:O143)</f>
        <v>503.15301076614998</v>
      </c>
      <c r="P144" s="86">
        <f t="shared" ref="P144:T144" si="155">SUM(P142:P143)</f>
        <v>618.89112227821579</v>
      </c>
      <c r="Q144" s="86">
        <f t="shared" si="155"/>
        <v>741.0558441340844</v>
      </c>
      <c r="R144" s="86">
        <f t="shared" si="155"/>
        <v>870.08728283625851</v>
      </c>
      <c r="S144" s="86">
        <f t="shared" si="155"/>
        <v>1006.4397752976786</v>
      </c>
      <c r="T144" s="86">
        <f t="shared" si="155"/>
        <v>1150.5961448909006</v>
      </c>
      <c r="V144" s="50"/>
      <c r="W144" s="54" t="s">
        <v>6</v>
      </c>
      <c r="X144" s="54"/>
      <c r="Y144" s="54"/>
      <c r="Z144" s="86">
        <f>SUM(Z142:Z143)</f>
        <v>503.15301076614998</v>
      </c>
      <c r="AA144" s="86">
        <f t="shared" ref="AA144:AE144" si="156">SUM(AA142:AA143)</f>
        <v>618.89112227821579</v>
      </c>
      <c r="AB144" s="86">
        <f t="shared" si="156"/>
        <v>741.0558441340844</v>
      </c>
      <c r="AC144" s="86">
        <f t="shared" si="156"/>
        <v>870.08728283625851</v>
      </c>
      <c r="AD144" s="86">
        <f t="shared" si="156"/>
        <v>1006.4397752976786</v>
      </c>
      <c r="AE144" s="86">
        <f t="shared" si="156"/>
        <v>1150.5961448909006</v>
      </c>
    </row>
    <row r="145" spans="11:31">
      <c r="K145" s="50"/>
      <c r="L145" s="55"/>
      <c r="M145" s="55"/>
      <c r="N145" s="55"/>
      <c r="O145" s="56"/>
      <c r="P145" s="56"/>
      <c r="Q145" s="56"/>
      <c r="R145" s="56"/>
      <c r="S145" s="56"/>
      <c r="T145" s="56"/>
      <c r="V145" s="50"/>
      <c r="W145" s="55"/>
      <c r="X145" s="55"/>
      <c r="Y145" s="55"/>
      <c r="Z145" s="56"/>
      <c r="AA145" s="56"/>
      <c r="AB145" s="56"/>
      <c r="AC145" s="56"/>
      <c r="AD145" s="56"/>
      <c r="AE145" s="56"/>
    </row>
    <row r="146" spans="11:31">
      <c r="K146" s="50"/>
      <c r="O146" s="87"/>
      <c r="P146" s="87"/>
      <c r="Q146" s="87"/>
      <c r="R146" s="87"/>
      <c r="S146" s="87"/>
      <c r="T146" s="87"/>
      <c r="V146" s="50"/>
      <c r="Z146" s="87"/>
      <c r="AA146" s="87"/>
      <c r="AB146" s="87"/>
      <c r="AC146" s="87"/>
      <c r="AD146" s="87"/>
      <c r="AE146" s="87"/>
    </row>
    <row r="147" spans="11:31">
      <c r="K147" s="50"/>
      <c r="O147" s="87"/>
      <c r="P147" s="87"/>
      <c r="Q147" s="87"/>
      <c r="R147" s="87"/>
      <c r="S147" s="87"/>
      <c r="T147" s="87"/>
      <c r="V147" s="50"/>
      <c r="Z147" s="87"/>
      <c r="AA147" s="87"/>
      <c r="AB147" s="87"/>
      <c r="AC147" s="87"/>
      <c r="AD147" s="87"/>
      <c r="AE147" s="87"/>
    </row>
    <row r="148" spans="11:31" ht="15">
      <c r="K148" s="50"/>
      <c r="L148" s="49" t="s">
        <v>84</v>
      </c>
      <c r="M148" s="49"/>
      <c r="N148" s="49"/>
      <c r="O148" s="48"/>
      <c r="P148" s="48"/>
      <c r="Q148" s="48"/>
      <c r="R148" s="48"/>
      <c r="S148" s="48"/>
      <c r="T148" s="48"/>
      <c r="V148" s="50"/>
      <c r="W148" s="49" t="s">
        <v>84</v>
      </c>
      <c r="X148" s="49"/>
      <c r="Y148" s="49"/>
      <c r="Z148" s="48"/>
      <c r="AA148" s="48"/>
      <c r="AB148" s="48"/>
      <c r="AC148" s="48"/>
      <c r="AD148" s="48"/>
      <c r="AE148" s="48"/>
    </row>
    <row r="149" spans="11:31">
      <c r="K149" s="50"/>
      <c r="L149" s="51" t="s">
        <v>23</v>
      </c>
      <c r="M149" s="51"/>
      <c r="N149" s="51"/>
      <c r="V149" s="50"/>
      <c r="W149" s="51" t="s">
        <v>23</v>
      </c>
      <c r="X149" s="51"/>
      <c r="Y149" s="51"/>
    </row>
    <row r="150" spans="11:31">
      <c r="K150" s="50"/>
      <c r="L150" s="51"/>
      <c r="M150" s="51"/>
      <c r="N150" s="51"/>
      <c r="V150" s="50"/>
      <c r="W150" s="51"/>
      <c r="X150" s="51"/>
      <c r="Y150" s="51"/>
    </row>
    <row r="151" spans="11:31">
      <c r="K151" s="50"/>
      <c r="O151" s="83">
        <f t="shared" ref="O151:T151" si="157">O132</f>
        <v>44926</v>
      </c>
      <c r="P151" s="84">
        <f t="shared" si="157"/>
        <v>45291</v>
      </c>
      <c r="Q151" s="84">
        <f t="shared" si="157"/>
        <v>45657</v>
      </c>
      <c r="R151" s="84">
        <f t="shared" si="157"/>
        <v>46022</v>
      </c>
      <c r="S151" s="84">
        <f t="shared" si="157"/>
        <v>46387</v>
      </c>
      <c r="T151" s="84">
        <f t="shared" si="157"/>
        <v>46752</v>
      </c>
      <c r="V151" s="50"/>
      <c r="Z151" s="83">
        <f t="shared" ref="Z151:AE151" si="158">Z132</f>
        <v>44926</v>
      </c>
      <c r="AA151" s="84">
        <f t="shared" si="158"/>
        <v>45291</v>
      </c>
      <c r="AB151" s="84">
        <f t="shared" si="158"/>
        <v>45657</v>
      </c>
      <c r="AC151" s="84">
        <f t="shared" si="158"/>
        <v>46022</v>
      </c>
      <c r="AD151" s="84">
        <f t="shared" si="158"/>
        <v>46387</v>
      </c>
      <c r="AE151" s="84">
        <f t="shared" si="158"/>
        <v>46752</v>
      </c>
    </row>
    <row r="152" spans="11:31">
      <c r="K152" s="50"/>
      <c r="L152" s="51"/>
      <c r="M152" s="51"/>
      <c r="N152" s="51"/>
      <c r="V152" s="50"/>
      <c r="W152" s="51"/>
      <c r="X152" s="51"/>
      <c r="Y152" s="51"/>
    </row>
    <row r="153" spans="11:31">
      <c r="K153" s="50"/>
      <c r="L153" s="54" t="s">
        <v>30</v>
      </c>
      <c r="M153" s="54"/>
      <c r="N153" s="54"/>
      <c r="O153" s="87"/>
      <c r="V153" s="50"/>
      <c r="W153" s="54" t="s">
        <v>30</v>
      </c>
      <c r="X153" s="54"/>
      <c r="Y153" s="54"/>
      <c r="Z153" s="87"/>
    </row>
    <row r="154" spans="11:31">
      <c r="K154" s="50"/>
      <c r="L154" s="33" t="s">
        <v>6</v>
      </c>
      <c r="O154" s="40">
        <f t="shared" ref="O154:T154" si="159">O144</f>
        <v>503.15301076614998</v>
      </c>
      <c r="P154" s="40">
        <f t="shared" si="159"/>
        <v>618.89112227821579</v>
      </c>
      <c r="Q154" s="40">
        <f t="shared" si="159"/>
        <v>741.0558441340844</v>
      </c>
      <c r="R154" s="40">
        <f t="shared" si="159"/>
        <v>870.08728283625851</v>
      </c>
      <c r="S154" s="40">
        <f t="shared" si="159"/>
        <v>1006.4397752976786</v>
      </c>
      <c r="T154" s="40">
        <f t="shared" si="159"/>
        <v>1150.5961448909006</v>
      </c>
      <c r="V154" s="50"/>
      <c r="W154" s="33" t="s">
        <v>6</v>
      </c>
      <c r="Z154" s="40">
        <f t="shared" ref="Z154:AE154" si="160">Z144</f>
        <v>503.15301076614998</v>
      </c>
      <c r="AA154" s="40">
        <f t="shared" si="160"/>
        <v>618.89112227821579</v>
      </c>
      <c r="AB154" s="40">
        <f t="shared" si="160"/>
        <v>741.0558441340844</v>
      </c>
      <c r="AC154" s="40">
        <f t="shared" si="160"/>
        <v>870.08728283625851</v>
      </c>
      <c r="AD154" s="40">
        <f t="shared" si="160"/>
        <v>1006.4397752976786</v>
      </c>
      <c r="AE154" s="40">
        <f t="shared" si="160"/>
        <v>1150.5961448909006</v>
      </c>
    </row>
    <row r="155" spans="11:31">
      <c r="K155" s="50"/>
      <c r="L155" s="33" t="s">
        <v>31</v>
      </c>
      <c r="O155" s="40">
        <f t="shared" ref="O155:T155" si="161">-O139</f>
        <v>787.5</v>
      </c>
      <c r="P155" s="40">
        <f t="shared" si="161"/>
        <v>826.875</v>
      </c>
      <c r="Q155" s="40">
        <f t="shared" si="161"/>
        <v>868.21875</v>
      </c>
      <c r="R155" s="40">
        <f t="shared" si="161"/>
        <v>911.62968749999993</v>
      </c>
      <c r="S155" s="40">
        <f t="shared" si="161"/>
        <v>957.21117187499999</v>
      </c>
      <c r="T155" s="40">
        <f t="shared" si="161"/>
        <v>1005.0717304687502</v>
      </c>
      <c r="V155" s="50"/>
      <c r="W155" s="33" t="s">
        <v>31</v>
      </c>
      <c r="Z155" s="40">
        <f t="shared" ref="Z155:AE155" si="162">-Z139</f>
        <v>787.5</v>
      </c>
      <c r="AA155" s="40">
        <f t="shared" si="162"/>
        <v>826.875</v>
      </c>
      <c r="AB155" s="40">
        <f t="shared" si="162"/>
        <v>868.21875</v>
      </c>
      <c r="AC155" s="40">
        <f t="shared" si="162"/>
        <v>911.62968749999993</v>
      </c>
      <c r="AD155" s="40">
        <f t="shared" si="162"/>
        <v>957.21117187499999</v>
      </c>
      <c r="AE155" s="40">
        <f t="shared" si="162"/>
        <v>1005.0717304687502</v>
      </c>
    </row>
    <row r="156" spans="11:31">
      <c r="K156" s="50"/>
      <c r="L156" s="33" t="s">
        <v>32</v>
      </c>
      <c r="O156" s="93">
        <f>CaseData!C37</f>
        <v>-25.5</v>
      </c>
      <c r="P156" s="93">
        <f>CaseData!D37</f>
        <v>-33.705000000000126</v>
      </c>
      <c r="Q156" s="93">
        <f>CaseData!E37</f>
        <v>-35.224874999999827</v>
      </c>
      <c r="R156" s="93">
        <f>CaseData!F37</f>
        <v>-36.812475000000177</v>
      </c>
      <c r="S156" s="93">
        <f>CaseData!G37</f>
        <v>-38.470772812500002</v>
      </c>
      <c r="T156" s="93">
        <f>CaseData!H37</f>
        <v>-40.202869218750266</v>
      </c>
      <c r="V156" s="50"/>
      <c r="W156" s="33" t="s">
        <v>32</v>
      </c>
      <c r="Z156" s="93">
        <f>CaseData!C37</f>
        <v>-25.5</v>
      </c>
      <c r="AA156" s="93">
        <f>CaseData!D37</f>
        <v>-33.705000000000126</v>
      </c>
      <c r="AB156" s="93">
        <f>CaseData!E37</f>
        <v>-35.224874999999827</v>
      </c>
      <c r="AC156" s="93">
        <f>CaseData!F37</f>
        <v>-36.812475000000177</v>
      </c>
      <c r="AD156" s="93">
        <f>CaseData!G37</f>
        <v>-38.470772812500002</v>
      </c>
      <c r="AE156" s="93">
        <f>CaseData!H37</f>
        <v>-40.202869218750266</v>
      </c>
    </row>
    <row r="157" spans="11:31">
      <c r="K157" s="50"/>
      <c r="L157" s="33" t="s">
        <v>30</v>
      </c>
      <c r="O157" s="40">
        <f>SUM(O154:O156)</f>
        <v>1265.1530107661499</v>
      </c>
      <c r="P157" s="40">
        <f t="shared" ref="P157:T157" si="163">SUM(P154:P156)</f>
        <v>1412.0611222782156</v>
      </c>
      <c r="Q157" s="40">
        <f t="shared" si="163"/>
        <v>1574.0497191340846</v>
      </c>
      <c r="R157" s="40">
        <f t="shared" si="163"/>
        <v>1744.9044953362582</v>
      </c>
      <c r="S157" s="40">
        <f t="shared" si="163"/>
        <v>1925.1801743601786</v>
      </c>
      <c r="T157" s="40">
        <f t="shared" si="163"/>
        <v>2115.4650061409002</v>
      </c>
      <c r="V157" s="50"/>
      <c r="W157" s="33" t="s">
        <v>30</v>
      </c>
      <c r="Z157" s="40">
        <f>SUM(Z154:Z156)</f>
        <v>1265.1530107661499</v>
      </c>
      <c r="AA157" s="40">
        <f t="shared" ref="AA157:AE157" si="164">SUM(AA154:AA156)</f>
        <v>1412.0611222782156</v>
      </c>
      <c r="AB157" s="40">
        <f t="shared" si="164"/>
        <v>1574.0497191340846</v>
      </c>
      <c r="AC157" s="40">
        <f t="shared" si="164"/>
        <v>1744.9044953362582</v>
      </c>
      <c r="AD157" s="40">
        <f t="shared" si="164"/>
        <v>1925.1801743601786</v>
      </c>
      <c r="AE157" s="40">
        <f t="shared" si="164"/>
        <v>2115.4650061409002</v>
      </c>
    </row>
    <row r="158" spans="11:31">
      <c r="K158" s="50"/>
      <c r="L158" s="51"/>
      <c r="M158" s="51"/>
      <c r="N158" s="51"/>
      <c r="O158" s="37"/>
      <c r="P158" s="37"/>
      <c r="Q158" s="37"/>
      <c r="R158" s="37"/>
      <c r="S158" s="37"/>
      <c r="T158" s="37"/>
      <c r="V158" s="50"/>
      <c r="W158" s="51"/>
      <c r="X158" s="51"/>
      <c r="Y158" s="51"/>
      <c r="Z158" s="37"/>
      <c r="AA158" s="37"/>
      <c r="AB158" s="37"/>
      <c r="AC158" s="37"/>
      <c r="AD158" s="37"/>
      <c r="AE158" s="37"/>
    </row>
    <row r="159" spans="11:31">
      <c r="K159" s="50"/>
      <c r="L159" s="54" t="s">
        <v>33</v>
      </c>
      <c r="M159" s="54"/>
      <c r="N159" s="54"/>
      <c r="O159" s="37"/>
      <c r="P159" s="37"/>
      <c r="Q159" s="37"/>
      <c r="R159" s="37"/>
      <c r="S159" s="37"/>
      <c r="T159" s="37"/>
      <c r="V159" s="50"/>
      <c r="W159" s="54" t="s">
        <v>33</v>
      </c>
      <c r="X159" s="54"/>
      <c r="Y159" s="54"/>
      <c r="Z159" s="37"/>
      <c r="AA159" s="37"/>
      <c r="AB159" s="37"/>
      <c r="AC159" s="37"/>
      <c r="AD159" s="37"/>
      <c r="AE159" s="37"/>
    </row>
    <row r="160" spans="11:31">
      <c r="K160" s="50"/>
      <c r="L160" s="33" t="s">
        <v>34</v>
      </c>
      <c r="O160" s="93">
        <f>CaseData!C41</f>
        <v>-866.25</v>
      </c>
      <c r="P160" s="93">
        <f>CaseData!D41</f>
        <v>-909.5625</v>
      </c>
      <c r="Q160" s="93">
        <f>CaseData!E41</f>
        <v>-955.04062500000009</v>
      </c>
      <c r="R160" s="93">
        <f>CaseData!F41</f>
        <v>-1002.7926562499999</v>
      </c>
      <c r="S160" s="93">
        <f>CaseData!G41</f>
        <v>-1052.9322890625001</v>
      </c>
      <c r="T160" s="93">
        <f>CaseData!H41</f>
        <v>-1105.5789035156254</v>
      </c>
      <c r="V160" s="50"/>
      <c r="W160" s="33" t="s">
        <v>34</v>
      </c>
      <c r="Z160" s="93">
        <f>CaseData!C41</f>
        <v>-866.25</v>
      </c>
      <c r="AA160" s="93">
        <f>CaseData!D41</f>
        <v>-909.5625</v>
      </c>
      <c r="AB160" s="93">
        <f>CaseData!E41</f>
        <v>-955.04062500000009</v>
      </c>
      <c r="AC160" s="93">
        <f>CaseData!F41</f>
        <v>-1002.7926562499999</v>
      </c>
      <c r="AD160" s="93">
        <f>CaseData!G41</f>
        <v>-1052.9322890625001</v>
      </c>
      <c r="AE160" s="93">
        <f>CaseData!H41</f>
        <v>-1105.5789035156254</v>
      </c>
    </row>
    <row r="161" spans="11:31">
      <c r="K161" s="50"/>
      <c r="L161" s="33" t="s">
        <v>33</v>
      </c>
      <c r="O161" s="40">
        <f t="shared" ref="O161:T161" si="165">SUM(O160:O160)</f>
        <v>-866.25</v>
      </c>
      <c r="P161" s="40">
        <f t="shared" si="165"/>
        <v>-909.5625</v>
      </c>
      <c r="Q161" s="40">
        <f t="shared" si="165"/>
        <v>-955.04062500000009</v>
      </c>
      <c r="R161" s="40">
        <f t="shared" si="165"/>
        <v>-1002.7926562499999</v>
      </c>
      <c r="S161" s="40">
        <f t="shared" si="165"/>
        <v>-1052.9322890625001</v>
      </c>
      <c r="T161" s="40">
        <f t="shared" si="165"/>
        <v>-1105.5789035156254</v>
      </c>
      <c r="V161" s="50"/>
      <c r="W161" s="33" t="s">
        <v>33</v>
      </c>
      <c r="Z161" s="40">
        <f t="shared" ref="Z161:AE161" si="166">SUM(Z160:Z160)</f>
        <v>-866.25</v>
      </c>
      <c r="AA161" s="40">
        <f t="shared" si="166"/>
        <v>-909.5625</v>
      </c>
      <c r="AB161" s="40">
        <f t="shared" si="166"/>
        <v>-955.04062500000009</v>
      </c>
      <c r="AC161" s="40">
        <f t="shared" si="166"/>
        <v>-1002.7926562499999</v>
      </c>
      <c r="AD161" s="40">
        <f t="shared" si="166"/>
        <v>-1052.9322890625001</v>
      </c>
      <c r="AE161" s="40">
        <f t="shared" si="166"/>
        <v>-1105.5789035156254</v>
      </c>
    </row>
    <row r="162" spans="11:31">
      <c r="K162" s="50"/>
      <c r="O162" s="40"/>
      <c r="P162" s="40"/>
      <c r="Q162" s="40"/>
      <c r="R162" s="40"/>
      <c r="S162" s="40"/>
      <c r="T162" s="40"/>
      <c r="V162" s="50"/>
      <c r="Z162" s="40"/>
      <c r="AA162" s="40"/>
      <c r="AB162" s="40"/>
      <c r="AC162" s="40"/>
      <c r="AD162" s="40"/>
      <c r="AE162" s="40"/>
    </row>
    <row r="163" spans="11:31">
      <c r="K163" s="50"/>
      <c r="L163" s="54" t="s">
        <v>35</v>
      </c>
      <c r="M163" s="54"/>
      <c r="N163" s="54"/>
      <c r="O163" s="37"/>
      <c r="P163" s="37"/>
      <c r="Q163" s="37"/>
      <c r="R163" s="37"/>
      <c r="S163" s="37"/>
      <c r="T163" s="37"/>
      <c r="V163" s="50"/>
      <c r="W163" s="54" t="s">
        <v>35</v>
      </c>
      <c r="X163" s="54"/>
      <c r="Y163" s="54"/>
      <c r="Z163" s="37"/>
      <c r="AA163" s="37"/>
      <c r="AB163" s="37"/>
      <c r="AC163" s="37"/>
      <c r="AD163" s="37"/>
      <c r="AE163" s="37"/>
    </row>
    <row r="164" spans="11:31">
      <c r="K164" s="50"/>
      <c r="L164" s="33" t="s">
        <v>36</v>
      </c>
      <c r="O164" s="114">
        <f>CaseData!C45</f>
        <v>-750</v>
      </c>
      <c r="P164" s="114">
        <f>CaseData!D45</f>
        <v>-750</v>
      </c>
      <c r="Q164" s="114">
        <f>CaseData!E45</f>
        <v>-750</v>
      </c>
      <c r="R164" s="114">
        <f>CaseData!F45</f>
        <v>-750</v>
      </c>
      <c r="S164" s="114">
        <f>CaseData!G45</f>
        <v>-750</v>
      </c>
      <c r="T164" s="114">
        <f>CaseData!H45</f>
        <v>-750</v>
      </c>
      <c r="V164" s="50"/>
      <c r="W164" s="33" t="s">
        <v>36</v>
      </c>
      <c r="Z164" s="114">
        <f>CaseData!C45</f>
        <v>-750</v>
      </c>
      <c r="AA164" s="114">
        <f>CaseData!D45</f>
        <v>-750</v>
      </c>
      <c r="AB164" s="114">
        <f>CaseData!E45</f>
        <v>-750</v>
      </c>
      <c r="AC164" s="114">
        <f>CaseData!F45</f>
        <v>-750</v>
      </c>
      <c r="AD164" s="114">
        <f>CaseData!G45</f>
        <v>-750</v>
      </c>
      <c r="AE164" s="114">
        <f>CaseData!H45</f>
        <v>-750</v>
      </c>
    </row>
    <row r="165" spans="11:31">
      <c r="K165" s="50"/>
      <c r="L165" s="33" t="s">
        <v>37</v>
      </c>
      <c r="O165" s="114">
        <f>CaseData!C46</f>
        <v>0</v>
      </c>
      <c r="P165" s="114">
        <f>CaseData!D46</f>
        <v>0</v>
      </c>
      <c r="Q165" s="114">
        <f>CaseData!E46</f>
        <v>0</v>
      </c>
      <c r="R165" s="114">
        <f>CaseData!F46</f>
        <v>0</v>
      </c>
      <c r="S165" s="114">
        <f>CaseData!G46</f>
        <v>0</v>
      </c>
      <c r="T165" s="114">
        <f>CaseData!H46</f>
        <v>0</v>
      </c>
      <c r="V165" s="50"/>
      <c r="W165" s="33" t="s">
        <v>37</v>
      </c>
      <c r="Z165" s="114">
        <f>CaseData!C46</f>
        <v>0</v>
      </c>
      <c r="AA165" s="114">
        <f>CaseData!D46</f>
        <v>0</v>
      </c>
      <c r="AB165" s="114">
        <f>CaseData!E46</f>
        <v>0</v>
      </c>
      <c r="AC165" s="114">
        <f>CaseData!F46</f>
        <v>0</v>
      </c>
      <c r="AD165" s="114">
        <f>CaseData!G46</f>
        <v>0</v>
      </c>
      <c r="AE165" s="114">
        <f>CaseData!H46</f>
        <v>0</v>
      </c>
    </row>
    <row r="166" spans="11:31">
      <c r="K166" s="50"/>
      <c r="L166" s="33" t="s">
        <v>38</v>
      </c>
      <c r="O166" s="93">
        <f>CaseData!C47</f>
        <v>-100.63060215322986</v>
      </c>
      <c r="P166" s="93">
        <f>CaseData!D47</f>
        <v>-123.77822445564317</v>
      </c>
      <c r="Q166" s="93">
        <f>CaseData!E47</f>
        <v>-148.2111688268169</v>
      </c>
      <c r="R166" s="93">
        <f>CaseData!F47</f>
        <v>-174.01745656725174</v>
      </c>
      <c r="S166" s="93">
        <f>CaseData!G47</f>
        <v>-201.28795505953576</v>
      </c>
      <c r="T166" s="93">
        <f>CaseData!H47</f>
        <v>-230.11922897818022</v>
      </c>
      <c r="V166" s="50"/>
      <c r="W166" s="33" t="s">
        <v>38</v>
      </c>
      <c r="Z166" s="93">
        <f>CaseData!C47</f>
        <v>-100.63060215322986</v>
      </c>
      <c r="AA166" s="93">
        <f>CaseData!D47</f>
        <v>-123.77822445564317</v>
      </c>
      <c r="AB166" s="93">
        <f>CaseData!E47</f>
        <v>-148.2111688268169</v>
      </c>
      <c r="AC166" s="93">
        <f>CaseData!F47</f>
        <v>-174.01745656725174</v>
      </c>
      <c r="AD166" s="93">
        <f>CaseData!G47</f>
        <v>-201.28795505953576</v>
      </c>
      <c r="AE166" s="93">
        <f>CaseData!H47</f>
        <v>-230.11922897818022</v>
      </c>
    </row>
    <row r="167" spans="11:31">
      <c r="K167" s="50"/>
      <c r="L167" s="33" t="s">
        <v>35</v>
      </c>
      <c r="O167" s="40">
        <f>SUM(O164:O166)</f>
        <v>-850.6306021532298</v>
      </c>
      <c r="P167" s="40">
        <f t="shared" ref="P167:T167" si="167">SUM(P164:P166)</f>
        <v>-873.77822445564311</v>
      </c>
      <c r="Q167" s="40">
        <f t="shared" si="167"/>
        <v>-898.2111688268169</v>
      </c>
      <c r="R167" s="40">
        <f t="shared" si="167"/>
        <v>-924.01745656725177</v>
      </c>
      <c r="S167" s="40">
        <f t="shared" si="167"/>
        <v>-951.28795505953576</v>
      </c>
      <c r="T167" s="40">
        <f t="shared" si="167"/>
        <v>-980.11922897818022</v>
      </c>
      <c r="V167" s="50"/>
      <c r="W167" s="33" t="s">
        <v>35</v>
      </c>
      <c r="Z167" s="40">
        <f>SUM(Z164:Z166)</f>
        <v>-850.6306021532298</v>
      </c>
      <c r="AA167" s="40">
        <f t="shared" ref="AA167:AE167" si="168">SUM(AA164:AA166)</f>
        <v>-873.77822445564311</v>
      </c>
      <c r="AB167" s="40">
        <f t="shared" si="168"/>
        <v>-898.2111688268169</v>
      </c>
      <c r="AC167" s="40">
        <f t="shared" si="168"/>
        <v>-924.01745656725177</v>
      </c>
      <c r="AD167" s="40">
        <f t="shared" si="168"/>
        <v>-951.28795505953576</v>
      </c>
      <c r="AE167" s="40">
        <f t="shared" si="168"/>
        <v>-980.11922897818022</v>
      </c>
    </row>
    <row r="168" spans="11:31">
      <c r="K168" s="50"/>
      <c r="O168" s="40"/>
      <c r="P168" s="40"/>
      <c r="Q168" s="40"/>
      <c r="R168" s="40"/>
      <c r="S168" s="40"/>
      <c r="T168" s="40"/>
      <c r="V168" s="50"/>
      <c r="Z168" s="40"/>
      <c r="AA168" s="40"/>
      <c r="AB168" s="40"/>
      <c r="AC168" s="40"/>
      <c r="AD168" s="40"/>
      <c r="AE168" s="40"/>
    </row>
    <row r="169" spans="11:31">
      <c r="K169" s="47"/>
      <c r="L169" s="33" t="s">
        <v>39</v>
      </c>
      <c r="O169" s="114">
        <f>CaseData!C50</f>
        <v>7275</v>
      </c>
      <c r="P169" s="40">
        <f>O171</f>
        <v>6823.2724086129201</v>
      </c>
      <c r="Q169" s="40">
        <f t="shared" ref="Q169:T169" si="169">P171</f>
        <v>6451.9928064354926</v>
      </c>
      <c r="R169" s="40">
        <f t="shared" si="169"/>
        <v>6172.7907317427598</v>
      </c>
      <c r="S169" s="40">
        <f t="shared" si="169"/>
        <v>5990.8851142617659</v>
      </c>
      <c r="T169" s="40">
        <f t="shared" si="169"/>
        <v>5911.8450444999089</v>
      </c>
      <c r="V169" s="50"/>
      <c r="W169" s="33" t="s">
        <v>39</v>
      </c>
      <c r="Z169" s="114">
        <f>CaseData!C50</f>
        <v>7275</v>
      </c>
      <c r="AA169" s="40">
        <f>Z171</f>
        <v>6823.2724086129201</v>
      </c>
      <c r="AB169" s="40">
        <f t="shared" ref="AB169:AE169" si="170">AA171</f>
        <v>6451.9928064354926</v>
      </c>
      <c r="AC169" s="40">
        <f t="shared" si="170"/>
        <v>6172.7907317427598</v>
      </c>
      <c r="AD169" s="40">
        <f t="shared" si="170"/>
        <v>5990.8851142617659</v>
      </c>
      <c r="AE169" s="40">
        <f t="shared" si="170"/>
        <v>5911.8450444999089</v>
      </c>
    </row>
    <row r="170" spans="11:31">
      <c r="K170" s="50"/>
      <c r="L170" s="33" t="s">
        <v>40</v>
      </c>
      <c r="O170" s="85">
        <f>O157+O161+O167</f>
        <v>-451.72759138707988</v>
      </c>
      <c r="P170" s="85">
        <f t="shared" ref="P170:T170" si="171">P157+P161+P167</f>
        <v>-371.27960217742748</v>
      </c>
      <c r="Q170" s="85">
        <f t="shared" si="171"/>
        <v>-279.20207469273237</v>
      </c>
      <c r="R170" s="85">
        <f t="shared" si="171"/>
        <v>-181.90561748099356</v>
      </c>
      <c r="S170" s="85">
        <f t="shared" si="171"/>
        <v>-79.040069761857239</v>
      </c>
      <c r="T170" s="85">
        <f t="shared" si="171"/>
        <v>29.766873647094599</v>
      </c>
      <c r="V170" s="47"/>
      <c r="W170" s="33" t="s">
        <v>40</v>
      </c>
      <c r="Z170" s="85">
        <f>Z157+Z161+Z167</f>
        <v>-451.72759138707988</v>
      </c>
      <c r="AA170" s="85">
        <f t="shared" ref="AA170:AE170" si="172">AA157+AA161+AA167</f>
        <v>-371.27960217742748</v>
      </c>
      <c r="AB170" s="85">
        <f t="shared" si="172"/>
        <v>-279.20207469273237</v>
      </c>
      <c r="AC170" s="85">
        <f t="shared" si="172"/>
        <v>-181.90561748099356</v>
      </c>
      <c r="AD170" s="85">
        <f t="shared" si="172"/>
        <v>-79.040069761857239</v>
      </c>
      <c r="AE170" s="85">
        <f t="shared" si="172"/>
        <v>29.766873647094599</v>
      </c>
    </row>
    <row r="171" spans="11:31">
      <c r="K171" s="50"/>
      <c r="L171" s="54" t="s">
        <v>41</v>
      </c>
      <c r="M171" s="54"/>
      <c r="N171" s="54"/>
      <c r="O171" s="86">
        <f>SUM(O169:O170)</f>
        <v>6823.2724086129201</v>
      </c>
      <c r="P171" s="86">
        <f t="shared" ref="P171:T171" si="173">SUM(P169:P170)</f>
        <v>6451.9928064354926</v>
      </c>
      <c r="Q171" s="86">
        <f t="shared" si="173"/>
        <v>6172.7907317427598</v>
      </c>
      <c r="R171" s="86">
        <f t="shared" si="173"/>
        <v>5990.8851142617659</v>
      </c>
      <c r="S171" s="86">
        <f t="shared" si="173"/>
        <v>5911.8450444999089</v>
      </c>
      <c r="T171" s="86">
        <f t="shared" si="173"/>
        <v>5941.611918147004</v>
      </c>
      <c r="V171" s="50"/>
      <c r="W171" s="54" t="s">
        <v>41</v>
      </c>
      <c r="X171" s="54"/>
      <c r="Y171" s="54"/>
      <c r="Z171" s="86">
        <f>SUM(Z169:Z170)</f>
        <v>6823.2724086129201</v>
      </c>
      <c r="AA171" s="86">
        <f t="shared" ref="AA171:AE171" si="174">SUM(AA169:AA170)</f>
        <v>6451.9928064354926</v>
      </c>
      <c r="AB171" s="86">
        <f t="shared" si="174"/>
        <v>6172.7907317427598</v>
      </c>
      <c r="AC171" s="86">
        <f t="shared" si="174"/>
        <v>5990.8851142617659</v>
      </c>
      <c r="AD171" s="86">
        <f t="shared" si="174"/>
        <v>5911.8450444999089</v>
      </c>
      <c r="AE171" s="86">
        <f t="shared" si="174"/>
        <v>5941.611918147004</v>
      </c>
    </row>
    <row r="172" spans="11:31">
      <c r="K172" s="50"/>
      <c r="L172" s="55"/>
      <c r="M172" s="55"/>
      <c r="N172" s="55"/>
      <c r="O172" s="56"/>
      <c r="P172" s="56"/>
      <c r="Q172" s="56"/>
      <c r="R172" s="56"/>
      <c r="S172" s="56"/>
      <c r="T172" s="56"/>
      <c r="V172" s="50"/>
      <c r="W172" s="55"/>
      <c r="X172" s="55"/>
      <c r="Y172" s="55"/>
      <c r="Z172" s="56"/>
      <c r="AA172" s="56"/>
      <c r="AB172" s="56"/>
      <c r="AC172" s="56"/>
      <c r="AD172" s="56"/>
      <c r="AE172" s="56"/>
    </row>
    <row r="173" spans="11:31">
      <c r="K173" s="50"/>
      <c r="O173" s="87"/>
      <c r="P173" s="87"/>
      <c r="Q173" s="87"/>
      <c r="R173" s="87"/>
      <c r="S173" s="87"/>
      <c r="T173" s="87"/>
      <c r="V173" s="50"/>
      <c r="Z173" s="87"/>
      <c r="AA173" s="87"/>
      <c r="AB173" s="87"/>
      <c r="AC173" s="87"/>
      <c r="AD173" s="87"/>
      <c r="AE173" s="87"/>
    </row>
    <row r="174" spans="11:31">
      <c r="K174" s="50"/>
      <c r="O174" s="87"/>
      <c r="P174" s="87"/>
      <c r="Q174" s="87"/>
      <c r="R174" s="87"/>
      <c r="S174" s="87"/>
      <c r="T174" s="87"/>
      <c r="V174" s="50"/>
      <c r="Z174" s="87"/>
      <c r="AA174" s="87"/>
      <c r="AB174" s="87"/>
      <c r="AC174" s="87"/>
      <c r="AD174" s="87"/>
      <c r="AE174" s="87"/>
    </row>
    <row r="175" spans="11:31" ht="15">
      <c r="K175" s="50"/>
      <c r="L175" s="49" t="s">
        <v>85</v>
      </c>
      <c r="M175" s="49"/>
      <c r="N175" s="49"/>
      <c r="O175" s="48"/>
      <c r="P175" s="48"/>
      <c r="Q175" s="48"/>
      <c r="R175" s="48"/>
      <c r="S175" s="48"/>
      <c r="T175" s="48"/>
      <c r="V175" s="50"/>
      <c r="W175" s="49" t="s">
        <v>85</v>
      </c>
      <c r="X175" s="49"/>
      <c r="Y175" s="49"/>
      <c r="Z175" s="48"/>
      <c r="AA175" s="48"/>
      <c r="AB175" s="48"/>
      <c r="AC175" s="48"/>
      <c r="AD175" s="48"/>
      <c r="AE175" s="48"/>
    </row>
    <row r="176" spans="11:31">
      <c r="K176" s="50"/>
      <c r="L176" s="51" t="s">
        <v>23</v>
      </c>
      <c r="M176" s="51"/>
      <c r="N176" s="51"/>
      <c r="V176" s="50"/>
      <c r="W176" s="51" t="s">
        <v>23</v>
      </c>
      <c r="X176" s="51"/>
      <c r="Y176" s="51"/>
    </row>
    <row r="177" spans="11:31">
      <c r="K177" s="50"/>
      <c r="L177" s="51"/>
      <c r="M177" s="51"/>
      <c r="N177" s="51"/>
      <c r="V177" s="50"/>
      <c r="W177" s="51"/>
      <c r="X177" s="51"/>
      <c r="Y177" s="51"/>
    </row>
    <row r="178" spans="11:31">
      <c r="K178" s="50"/>
      <c r="O178" s="83">
        <f t="shared" ref="O178:T178" si="175">O151</f>
        <v>44926</v>
      </c>
      <c r="P178" s="84">
        <f t="shared" si="175"/>
        <v>45291</v>
      </c>
      <c r="Q178" s="84">
        <f t="shared" si="175"/>
        <v>45657</v>
      </c>
      <c r="R178" s="84">
        <f t="shared" si="175"/>
        <v>46022</v>
      </c>
      <c r="S178" s="84">
        <f t="shared" si="175"/>
        <v>46387</v>
      </c>
      <c r="T178" s="84">
        <f t="shared" si="175"/>
        <v>46752</v>
      </c>
      <c r="V178" s="50"/>
      <c r="Z178" s="83">
        <f t="shared" ref="Z178:AE178" si="176">Z151</f>
        <v>44926</v>
      </c>
      <c r="AA178" s="84">
        <f t="shared" si="176"/>
        <v>45291</v>
      </c>
      <c r="AB178" s="84">
        <f t="shared" si="176"/>
        <v>45657</v>
      </c>
      <c r="AC178" s="84">
        <f t="shared" si="176"/>
        <v>46022</v>
      </c>
      <c r="AD178" s="84">
        <f t="shared" si="176"/>
        <v>46387</v>
      </c>
      <c r="AE178" s="84">
        <f t="shared" si="176"/>
        <v>46752</v>
      </c>
    </row>
    <row r="179" spans="11:31">
      <c r="K179" s="50"/>
      <c r="O179" s="88"/>
      <c r="P179" s="88"/>
      <c r="Q179" s="88"/>
      <c r="R179" s="88"/>
      <c r="S179" s="88"/>
      <c r="T179" s="88"/>
      <c r="V179" s="50"/>
      <c r="Z179" s="88"/>
      <c r="AA179" s="88"/>
      <c r="AB179" s="88"/>
      <c r="AC179" s="88"/>
      <c r="AD179" s="88"/>
      <c r="AE179" s="88"/>
    </row>
    <row r="180" spans="11:31">
      <c r="K180" s="50"/>
      <c r="L180" s="54" t="s">
        <v>42</v>
      </c>
      <c r="M180" s="54"/>
      <c r="N180" s="54"/>
      <c r="O180" s="88"/>
      <c r="P180" s="88"/>
      <c r="Q180" s="88"/>
      <c r="R180" s="88"/>
      <c r="S180" s="88"/>
      <c r="T180" s="88"/>
      <c r="V180" s="50"/>
      <c r="W180" s="54" t="s">
        <v>42</v>
      </c>
      <c r="X180" s="54"/>
      <c r="Y180" s="54"/>
      <c r="Z180" s="88"/>
      <c r="AA180" s="88"/>
      <c r="AB180" s="88"/>
      <c r="AC180" s="88"/>
      <c r="AD180" s="88"/>
      <c r="AE180" s="88"/>
    </row>
    <row r="181" spans="11:31">
      <c r="K181" s="50"/>
      <c r="L181" s="33" t="s">
        <v>43</v>
      </c>
      <c r="O181" s="40">
        <f t="shared" ref="O181:T181" si="177">O171</f>
        <v>6823.2724086129201</v>
      </c>
      <c r="P181" s="40">
        <f t="shared" si="177"/>
        <v>6451.9928064354926</v>
      </c>
      <c r="Q181" s="40">
        <f t="shared" si="177"/>
        <v>6172.7907317427598</v>
      </c>
      <c r="R181" s="40">
        <f t="shared" si="177"/>
        <v>5990.8851142617659</v>
      </c>
      <c r="S181" s="40">
        <f t="shared" si="177"/>
        <v>5911.8450444999089</v>
      </c>
      <c r="T181" s="40">
        <f t="shared" si="177"/>
        <v>5941.611918147004</v>
      </c>
      <c r="V181" s="50"/>
      <c r="W181" s="33" t="s">
        <v>43</v>
      </c>
      <c r="Z181" s="40">
        <f t="shared" ref="Z181:AE181" si="178">Z171</f>
        <v>6823.2724086129201</v>
      </c>
      <c r="AA181" s="40">
        <f t="shared" si="178"/>
        <v>6451.9928064354926</v>
      </c>
      <c r="AB181" s="40">
        <f t="shared" si="178"/>
        <v>6172.7907317427598</v>
      </c>
      <c r="AC181" s="40">
        <f t="shared" si="178"/>
        <v>5990.8851142617659</v>
      </c>
      <c r="AD181" s="40">
        <f t="shared" si="178"/>
        <v>5911.8450444999089</v>
      </c>
      <c r="AE181" s="40">
        <f t="shared" si="178"/>
        <v>5941.611918147004</v>
      </c>
    </row>
    <row r="182" spans="11:31">
      <c r="K182" s="50"/>
      <c r="L182" s="33" t="s">
        <v>44</v>
      </c>
      <c r="O182" s="114">
        <f>CaseData!C63</f>
        <v>420</v>
      </c>
      <c r="P182" s="114">
        <f>CaseData!D63</f>
        <v>441</v>
      </c>
      <c r="Q182" s="114">
        <f>CaseData!E63</f>
        <v>463.04999999999995</v>
      </c>
      <c r="R182" s="114">
        <f>CaseData!F63</f>
        <v>486.20249999999999</v>
      </c>
      <c r="S182" s="114">
        <f>CaseData!G63</f>
        <v>510.51262500000007</v>
      </c>
      <c r="T182" s="114">
        <f>CaseData!H63</f>
        <v>536.03825625000013</v>
      </c>
      <c r="V182" s="50"/>
      <c r="W182" s="33" t="s">
        <v>44</v>
      </c>
      <c r="Z182" s="114">
        <f>CaseData!C63</f>
        <v>420</v>
      </c>
      <c r="AA182" s="114">
        <f>CaseData!D63</f>
        <v>441</v>
      </c>
      <c r="AB182" s="114">
        <f>CaseData!E63</f>
        <v>463.04999999999995</v>
      </c>
      <c r="AC182" s="114">
        <f>CaseData!F63</f>
        <v>486.20249999999999</v>
      </c>
      <c r="AD182" s="114">
        <f>CaseData!G63</f>
        <v>510.51262500000007</v>
      </c>
      <c r="AE182" s="114">
        <f>CaseData!H63</f>
        <v>536.03825625000013</v>
      </c>
    </row>
    <row r="183" spans="11:31">
      <c r="K183" s="50"/>
      <c r="L183" s="33" t="s">
        <v>1</v>
      </c>
      <c r="O183" s="114">
        <f>CaseData!C64</f>
        <v>472.5</v>
      </c>
      <c r="P183" s="114">
        <f>CaseData!D64</f>
        <v>487.85625000000005</v>
      </c>
      <c r="Q183" s="114">
        <f>CaseData!E64</f>
        <v>503.56687499999992</v>
      </c>
      <c r="R183" s="114">
        <f>CaseData!F64</f>
        <v>519.62892187499995</v>
      </c>
      <c r="S183" s="114">
        <f>CaseData!G64</f>
        <v>536.03825625000002</v>
      </c>
      <c r="T183" s="114">
        <f>CaseData!H64</f>
        <v>552.78945175781257</v>
      </c>
      <c r="V183" s="50"/>
      <c r="W183" s="33" t="s">
        <v>1</v>
      </c>
      <c r="Z183" s="114">
        <f>CaseData!C64</f>
        <v>472.5</v>
      </c>
      <c r="AA183" s="114">
        <f>CaseData!D64</f>
        <v>487.85625000000005</v>
      </c>
      <c r="AB183" s="114">
        <f>CaseData!E64</f>
        <v>503.56687499999992</v>
      </c>
      <c r="AC183" s="114">
        <f>CaseData!F64</f>
        <v>519.62892187499995</v>
      </c>
      <c r="AD183" s="114">
        <f>CaseData!G64</f>
        <v>536.03825625000002</v>
      </c>
      <c r="AE183" s="114">
        <f>CaseData!H64</f>
        <v>552.78945175781257</v>
      </c>
    </row>
    <row r="184" spans="11:31">
      <c r="K184" s="50"/>
      <c r="L184" s="33" t="s">
        <v>0</v>
      </c>
      <c r="O184" s="93">
        <f>CaseData!C65</f>
        <v>131.25</v>
      </c>
      <c r="P184" s="93">
        <f>CaseData!D65</f>
        <v>137.8125</v>
      </c>
      <c r="Q184" s="93">
        <f>CaseData!E65</f>
        <v>144.703125</v>
      </c>
      <c r="R184" s="93">
        <f>CaseData!F65</f>
        <v>151.93828125000002</v>
      </c>
      <c r="S184" s="93">
        <f>CaseData!G65</f>
        <v>159.53519531250004</v>
      </c>
      <c r="T184" s="93">
        <f>CaseData!H65</f>
        <v>167.51195507812506</v>
      </c>
      <c r="V184" s="50"/>
      <c r="W184" s="33" t="s">
        <v>0</v>
      </c>
      <c r="Z184" s="93">
        <f>CaseData!C65</f>
        <v>131.25</v>
      </c>
      <c r="AA184" s="93">
        <f>CaseData!D65</f>
        <v>137.8125</v>
      </c>
      <c r="AB184" s="93">
        <f>CaseData!E65</f>
        <v>144.703125</v>
      </c>
      <c r="AC184" s="93">
        <f>CaseData!F65</f>
        <v>151.93828125000002</v>
      </c>
      <c r="AD184" s="93">
        <f>CaseData!G65</f>
        <v>159.53519531250004</v>
      </c>
      <c r="AE184" s="93">
        <f>CaseData!H65</f>
        <v>167.51195507812506</v>
      </c>
    </row>
    <row r="185" spans="11:31">
      <c r="K185" s="50"/>
      <c r="L185" s="33" t="s">
        <v>9</v>
      </c>
      <c r="O185" s="37">
        <f>SUM(O181:O184)</f>
        <v>7847.0224086129201</v>
      </c>
      <c r="P185" s="37">
        <f t="shared" ref="P185:T185" si="179">SUM(P181:P184)</f>
        <v>7518.6615564354925</v>
      </c>
      <c r="Q185" s="37">
        <f t="shared" si="179"/>
        <v>7284.1107317427595</v>
      </c>
      <c r="R185" s="37">
        <f t="shared" si="179"/>
        <v>7148.6548173867659</v>
      </c>
      <c r="S185" s="37">
        <f t="shared" si="179"/>
        <v>7117.9311210624091</v>
      </c>
      <c r="T185" s="37">
        <f t="shared" si="179"/>
        <v>7197.951581232941</v>
      </c>
      <c r="V185" s="50"/>
      <c r="W185" s="33" t="s">
        <v>9</v>
      </c>
      <c r="Z185" s="37">
        <f>SUM(Z181:Z184)</f>
        <v>7847.0224086129201</v>
      </c>
      <c r="AA185" s="37">
        <f t="shared" ref="AA185:AE185" si="180">SUM(AA181:AA184)</f>
        <v>7518.6615564354925</v>
      </c>
      <c r="AB185" s="37">
        <f t="shared" si="180"/>
        <v>7284.1107317427595</v>
      </c>
      <c r="AC185" s="37">
        <f t="shared" si="180"/>
        <v>7148.6548173867659</v>
      </c>
      <c r="AD185" s="37">
        <f t="shared" si="180"/>
        <v>7117.9311210624091</v>
      </c>
      <c r="AE185" s="37">
        <f t="shared" si="180"/>
        <v>7197.951581232941</v>
      </c>
    </row>
    <row r="186" spans="11:31">
      <c r="K186" s="50"/>
      <c r="O186" s="37"/>
      <c r="P186" s="37"/>
      <c r="Q186" s="37"/>
      <c r="R186" s="37"/>
      <c r="S186" s="37"/>
      <c r="T186" s="37"/>
      <c r="V186" s="50"/>
      <c r="Z186" s="37"/>
      <c r="AA186" s="37"/>
      <c r="AB186" s="37"/>
      <c r="AC186" s="37"/>
      <c r="AD186" s="37"/>
      <c r="AE186" s="37"/>
    </row>
    <row r="187" spans="11:31">
      <c r="K187" s="50"/>
      <c r="L187" s="33" t="s">
        <v>45</v>
      </c>
      <c r="O187" s="114">
        <f>CaseData!C68</f>
        <v>15750</v>
      </c>
      <c r="P187" s="114">
        <f>CaseData!D68</f>
        <v>15832.6875</v>
      </c>
      <c r="Q187" s="114">
        <f>CaseData!E68</f>
        <v>15919.509375000001</v>
      </c>
      <c r="R187" s="114">
        <f>CaseData!F68</f>
        <v>16010.67234375</v>
      </c>
      <c r="S187" s="114">
        <f>CaseData!G68</f>
        <v>16106.393460937501</v>
      </c>
      <c r="T187" s="114">
        <f>CaseData!H68</f>
        <v>16206.900633984376</v>
      </c>
      <c r="V187" s="50"/>
      <c r="W187" s="33" t="s">
        <v>45</v>
      </c>
      <c r="Z187" s="114">
        <f>CaseData!C68</f>
        <v>15750</v>
      </c>
      <c r="AA187" s="114">
        <f>CaseData!D68</f>
        <v>15832.6875</v>
      </c>
      <c r="AB187" s="114">
        <f>CaseData!E68</f>
        <v>15919.509375000001</v>
      </c>
      <c r="AC187" s="114">
        <f>CaseData!F68</f>
        <v>16010.67234375</v>
      </c>
      <c r="AD187" s="114">
        <f>CaseData!G68</f>
        <v>16106.393460937501</v>
      </c>
      <c r="AE187" s="114">
        <f>CaseData!H68</f>
        <v>16206.900633984376</v>
      </c>
    </row>
    <row r="188" spans="11:31">
      <c r="K188" s="50"/>
      <c r="L188" s="33" t="s">
        <v>0</v>
      </c>
      <c r="O188" s="93">
        <f>CaseData!C69</f>
        <v>6</v>
      </c>
      <c r="P188" s="93">
        <f>CaseData!D69</f>
        <v>6</v>
      </c>
      <c r="Q188" s="93">
        <f>CaseData!E69</f>
        <v>6</v>
      </c>
      <c r="R188" s="93">
        <f>CaseData!F69</f>
        <v>6</v>
      </c>
      <c r="S188" s="93">
        <f>CaseData!G69</f>
        <v>6</v>
      </c>
      <c r="T188" s="93">
        <f>CaseData!H69</f>
        <v>6</v>
      </c>
      <c r="V188" s="50"/>
      <c r="W188" s="33" t="s">
        <v>0</v>
      </c>
      <c r="Z188" s="93">
        <f>CaseData!C69</f>
        <v>6</v>
      </c>
      <c r="AA188" s="93">
        <f>CaseData!D69</f>
        <v>6</v>
      </c>
      <c r="AB188" s="93">
        <f>CaseData!E69</f>
        <v>6</v>
      </c>
      <c r="AC188" s="93">
        <f>CaseData!F69</f>
        <v>6</v>
      </c>
      <c r="AD188" s="93">
        <f>CaseData!G69</f>
        <v>6</v>
      </c>
      <c r="AE188" s="93">
        <f>CaseData!H69</f>
        <v>6</v>
      </c>
    </row>
    <row r="189" spans="11:31">
      <c r="K189" s="50"/>
      <c r="L189" s="33" t="s">
        <v>46</v>
      </c>
      <c r="O189" s="37">
        <f>SUM(O187:O188)</f>
        <v>15756</v>
      </c>
      <c r="P189" s="37">
        <f t="shared" ref="P189:T189" si="181">SUM(P187:P188)</f>
        <v>15838.6875</v>
      </c>
      <c r="Q189" s="37">
        <f t="shared" si="181"/>
        <v>15925.509375000001</v>
      </c>
      <c r="R189" s="37">
        <f t="shared" si="181"/>
        <v>16016.67234375</v>
      </c>
      <c r="S189" s="37">
        <f t="shared" si="181"/>
        <v>16112.393460937501</v>
      </c>
      <c r="T189" s="37">
        <f t="shared" si="181"/>
        <v>16212.900633984376</v>
      </c>
      <c r="V189" s="50"/>
      <c r="W189" s="33" t="s">
        <v>46</v>
      </c>
      <c r="Z189" s="37">
        <f>SUM(Z187:Z188)</f>
        <v>15756</v>
      </c>
      <c r="AA189" s="37">
        <f t="shared" ref="AA189:AE189" si="182">SUM(AA187:AA188)</f>
        <v>15838.6875</v>
      </c>
      <c r="AB189" s="37">
        <f t="shared" si="182"/>
        <v>15925.509375000001</v>
      </c>
      <c r="AC189" s="37">
        <f t="shared" si="182"/>
        <v>16016.67234375</v>
      </c>
      <c r="AD189" s="37">
        <f t="shared" si="182"/>
        <v>16112.393460937501</v>
      </c>
      <c r="AE189" s="37">
        <f t="shared" si="182"/>
        <v>16212.900633984376</v>
      </c>
    </row>
    <row r="190" spans="11:31">
      <c r="K190" s="50"/>
      <c r="O190" s="37"/>
      <c r="P190" s="37"/>
      <c r="Q190" s="37"/>
      <c r="R190" s="37"/>
      <c r="S190" s="37"/>
      <c r="T190" s="37"/>
      <c r="V190" s="50"/>
      <c r="Z190" s="37"/>
      <c r="AA190" s="37"/>
      <c r="AB190" s="37"/>
      <c r="AC190" s="37"/>
      <c r="AD190" s="37"/>
      <c r="AE190" s="37"/>
    </row>
    <row r="191" spans="11:31">
      <c r="K191" s="50"/>
      <c r="L191" s="54" t="s">
        <v>10</v>
      </c>
      <c r="M191" s="54"/>
      <c r="N191" s="54"/>
      <c r="O191" s="89">
        <f>O185+O189</f>
        <v>23603.02240861292</v>
      </c>
      <c r="P191" s="89">
        <f t="shared" ref="P191:T191" si="183">P185+P189</f>
        <v>23357.349056435494</v>
      </c>
      <c r="Q191" s="89">
        <f t="shared" si="183"/>
        <v>23209.620106742761</v>
      </c>
      <c r="R191" s="89">
        <f t="shared" si="183"/>
        <v>23165.327161136767</v>
      </c>
      <c r="S191" s="89">
        <f t="shared" si="183"/>
        <v>23230.32458199991</v>
      </c>
      <c r="T191" s="89">
        <f t="shared" si="183"/>
        <v>23410.852215217317</v>
      </c>
      <c r="V191" s="50"/>
      <c r="W191" s="54" t="s">
        <v>10</v>
      </c>
      <c r="X191" s="54"/>
      <c r="Y191" s="54"/>
      <c r="Z191" s="89">
        <f>Z185+Z189</f>
        <v>23603.02240861292</v>
      </c>
      <c r="AA191" s="89">
        <f t="shared" ref="AA191:AE191" si="184">AA185+AA189</f>
        <v>23357.349056435494</v>
      </c>
      <c r="AB191" s="89">
        <f t="shared" si="184"/>
        <v>23209.620106742761</v>
      </c>
      <c r="AC191" s="89">
        <f t="shared" si="184"/>
        <v>23165.327161136767</v>
      </c>
      <c r="AD191" s="89">
        <f t="shared" si="184"/>
        <v>23230.32458199991</v>
      </c>
      <c r="AE191" s="89">
        <f t="shared" si="184"/>
        <v>23410.852215217317</v>
      </c>
    </row>
    <row r="192" spans="11:31">
      <c r="K192" s="50"/>
      <c r="O192" s="37"/>
      <c r="P192" s="37"/>
      <c r="Q192" s="37"/>
      <c r="R192" s="37"/>
      <c r="S192" s="37"/>
      <c r="T192" s="37"/>
      <c r="V192" s="50"/>
      <c r="Z192" s="37"/>
      <c r="AA192" s="37"/>
      <c r="AB192" s="37"/>
      <c r="AC192" s="37"/>
      <c r="AD192" s="37"/>
      <c r="AE192" s="37"/>
    </row>
    <row r="193" spans="2:31">
      <c r="K193" s="50"/>
      <c r="L193" s="54" t="s">
        <v>47</v>
      </c>
      <c r="M193" s="54"/>
      <c r="N193" s="54"/>
      <c r="O193" s="37"/>
      <c r="P193" s="37"/>
      <c r="Q193" s="37"/>
      <c r="R193" s="37"/>
      <c r="S193" s="37"/>
      <c r="T193" s="37"/>
      <c r="V193" s="50"/>
      <c r="W193" s="54" t="s">
        <v>47</v>
      </c>
      <c r="X193" s="54"/>
      <c r="Y193" s="54"/>
      <c r="Z193" s="37"/>
      <c r="AA193" s="37"/>
      <c r="AB193" s="37"/>
      <c r="AC193" s="37"/>
      <c r="AD193" s="37"/>
      <c r="AE193" s="37"/>
    </row>
    <row r="194" spans="2:31">
      <c r="K194" s="50"/>
      <c r="L194" s="33" t="s">
        <v>48</v>
      </c>
      <c r="O194" s="114">
        <f>CaseData!C75</f>
        <v>283.5</v>
      </c>
      <c r="P194" s="114">
        <f>CaseData!D75</f>
        <v>292.71375</v>
      </c>
      <c r="Q194" s="114">
        <f>CaseData!E75</f>
        <v>302.14012499999995</v>
      </c>
      <c r="R194" s="114">
        <f>CaseData!F75</f>
        <v>311.77735312499999</v>
      </c>
      <c r="S194" s="114">
        <f>CaseData!G75</f>
        <v>321.62295374999997</v>
      </c>
      <c r="T194" s="114">
        <f>CaseData!H75</f>
        <v>331.67367105468759</v>
      </c>
      <c r="V194" s="50"/>
      <c r="W194" s="33" t="s">
        <v>48</v>
      </c>
      <c r="Z194" s="114">
        <f>CaseData!C75</f>
        <v>283.5</v>
      </c>
      <c r="AA194" s="114">
        <f>CaseData!D75</f>
        <v>292.71375</v>
      </c>
      <c r="AB194" s="114">
        <f>CaseData!E75</f>
        <v>302.14012499999995</v>
      </c>
      <c r="AC194" s="114">
        <f>CaseData!F75</f>
        <v>311.77735312499999</v>
      </c>
      <c r="AD194" s="114">
        <f>CaseData!G75</f>
        <v>321.62295374999997</v>
      </c>
      <c r="AE194" s="114">
        <f>CaseData!H75</f>
        <v>331.67367105468759</v>
      </c>
    </row>
    <row r="195" spans="2:31">
      <c r="K195" s="50"/>
      <c r="L195" s="33" t="s">
        <v>49</v>
      </c>
      <c r="O195" s="114">
        <f>CaseData!C76</f>
        <v>750</v>
      </c>
      <c r="P195" s="114">
        <f>CaseData!D76</f>
        <v>750</v>
      </c>
      <c r="Q195" s="114">
        <f>CaseData!E76</f>
        <v>750</v>
      </c>
      <c r="R195" s="114">
        <f>CaseData!F76</f>
        <v>750</v>
      </c>
      <c r="S195" s="114">
        <f>CaseData!G76</f>
        <v>750</v>
      </c>
      <c r="T195" s="114">
        <f>CaseData!H76</f>
        <v>750</v>
      </c>
      <c r="V195" s="50"/>
      <c r="W195" s="33" t="s">
        <v>49</v>
      </c>
      <c r="Z195" s="114">
        <f>CaseData!C76</f>
        <v>750</v>
      </c>
      <c r="AA195" s="114">
        <f>CaseData!D76</f>
        <v>750</v>
      </c>
      <c r="AB195" s="114">
        <f>CaseData!E76</f>
        <v>750</v>
      </c>
      <c r="AC195" s="114">
        <f>CaseData!F76</f>
        <v>750</v>
      </c>
      <c r="AD195" s="114">
        <f>CaseData!G76</f>
        <v>750</v>
      </c>
      <c r="AE195" s="114">
        <f>CaseData!H76</f>
        <v>750</v>
      </c>
    </row>
    <row r="196" spans="2:31">
      <c r="K196" s="50"/>
      <c r="L196" s="33" t="s">
        <v>0</v>
      </c>
      <c r="O196" s="93">
        <f>CaseData!C77</f>
        <v>0.44999999999999996</v>
      </c>
      <c r="P196" s="93">
        <f>CaseData!D77</f>
        <v>0.44999999999999996</v>
      </c>
      <c r="Q196" s="93">
        <f>CaseData!E77</f>
        <v>0.44999999999999996</v>
      </c>
      <c r="R196" s="93">
        <f>CaseData!F77</f>
        <v>0.44999999999999996</v>
      </c>
      <c r="S196" s="93">
        <f>CaseData!G77</f>
        <v>0.44999999999999996</v>
      </c>
      <c r="T196" s="93">
        <f>CaseData!H77</f>
        <v>0.44999999999999996</v>
      </c>
      <c r="V196" s="50"/>
      <c r="W196" s="33" t="s">
        <v>0</v>
      </c>
      <c r="Z196" s="93">
        <f>CaseData!C77</f>
        <v>0.44999999999999996</v>
      </c>
      <c r="AA196" s="93">
        <f>CaseData!D77</f>
        <v>0.44999999999999996</v>
      </c>
      <c r="AB196" s="93">
        <f>CaseData!E77</f>
        <v>0.44999999999999996</v>
      </c>
      <c r="AC196" s="93">
        <f>CaseData!F77</f>
        <v>0.44999999999999996</v>
      </c>
      <c r="AD196" s="93">
        <f>CaseData!G77</f>
        <v>0.44999999999999996</v>
      </c>
      <c r="AE196" s="93">
        <f>CaseData!H77</f>
        <v>0.44999999999999996</v>
      </c>
    </row>
    <row r="197" spans="2:31">
      <c r="K197" s="50"/>
      <c r="L197" s="33" t="s">
        <v>11</v>
      </c>
      <c r="O197" s="40">
        <f>SUM(O194:O196)</f>
        <v>1033.95</v>
      </c>
      <c r="P197" s="40">
        <f t="shared" ref="P197:T197" si="185">SUM(P194:P196)</f>
        <v>1043.1637499999999</v>
      </c>
      <c r="Q197" s="40">
        <f t="shared" si="185"/>
        <v>1052.5901249999999</v>
      </c>
      <c r="R197" s="40">
        <f t="shared" si="185"/>
        <v>1062.227353125</v>
      </c>
      <c r="S197" s="40">
        <f t="shared" si="185"/>
        <v>1072.0729537499999</v>
      </c>
      <c r="T197" s="40">
        <f t="shared" si="185"/>
        <v>1082.1236710546875</v>
      </c>
      <c r="V197" s="50"/>
      <c r="W197" s="33" t="s">
        <v>11</v>
      </c>
      <c r="Z197" s="40">
        <f>SUM(Z194:Z196)</f>
        <v>1033.95</v>
      </c>
      <c r="AA197" s="40">
        <f t="shared" ref="AA197:AE197" si="186">SUM(AA194:AA196)</f>
        <v>1043.1637499999999</v>
      </c>
      <c r="AB197" s="40">
        <f t="shared" si="186"/>
        <v>1052.5901249999999</v>
      </c>
      <c r="AC197" s="40">
        <f t="shared" si="186"/>
        <v>1062.227353125</v>
      </c>
      <c r="AD197" s="40">
        <f t="shared" si="186"/>
        <v>1072.0729537499999</v>
      </c>
      <c r="AE197" s="40">
        <f t="shared" si="186"/>
        <v>1082.1236710546875</v>
      </c>
    </row>
    <row r="198" spans="2:31">
      <c r="K198" s="50"/>
      <c r="O198" s="37"/>
      <c r="P198" s="37"/>
      <c r="Q198" s="37"/>
      <c r="R198" s="37"/>
      <c r="S198" s="37"/>
      <c r="T198" s="37"/>
      <c r="V198" s="50"/>
      <c r="Z198" s="37"/>
      <c r="AA198" s="37"/>
      <c r="AB198" s="37"/>
      <c r="AC198" s="37"/>
      <c r="AD198" s="37"/>
      <c r="AE198" s="37"/>
    </row>
    <row r="199" spans="2:31">
      <c r="K199" s="50"/>
      <c r="L199" s="33" t="s">
        <v>50</v>
      </c>
      <c r="O199" s="114">
        <f>CaseData!C80</f>
        <v>5250</v>
      </c>
      <c r="P199" s="114">
        <f>CaseData!D80</f>
        <v>4500</v>
      </c>
      <c r="Q199" s="114">
        <f>CaseData!E80</f>
        <v>3750</v>
      </c>
      <c r="R199" s="114">
        <f>CaseData!F80</f>
        <v>3000</v>
      </c>
      <c r="S199" s="114">
        <f>CaseData!G80</f>
        <v>2250</v>
      </c>
      <c r="T199" s="114">
        <f>CaseData!H80</f>
        <v>1500</v>
      </c>
      <c r="V199" s="50"/>
      <c r="W199" s="33" t="s">
        <v>50</v>
      </c>
      <c r="Z199" s="114">
        <f>CaseData!C80</f>
        <v>5250</v>
      </c>
      <c r="AA199" s="114">
        <f>CaseData!D80</f>
        <v>4500</v>
      </c>
      <c r="AB199" s="114">
        <f>CaseData!E80</f>
        <v>3750</v>
      </c>
      <c r="AC199" s="114">
        <f>CaseData!F80</f>
        <v>3000</v>
      </c>
      <c r="AD199" s="114">
        <f>CaseData!G80</f>
        <v>2250</v>
      </c>
      <c r="AE199" s="114">
        <f>CaseData!H80</f>
        <v>1500</v>
      </c>
    </row>
    <row r="200" spans="2:31">
      <c r="K200" s="50"/>
      <c r="L200" s="33" t="s">
        <v>0</v>
      </c>
      <c r="O200" s="93">
        <f>CaseData!C81</f>
        <v>1.6500000000000001</v>
      </c>
      <c r="P200" s="93">
        <f>CaseData!D81</f>
        <v>1.6500000000000001</v>
      </c>
      <c r="Q200" s="93">
        <f>CaseData!E81</f>
        <v>1.6500000000000001</v>
      </c>
      <c r="R200" s="93">
        <f>CaseData!F81</f>
        <v>1.6500000000000001</v>
      </c>
      <c r="S200" s="93">
        <f>CaseData!G81</f>
        <v>1.6500000000000001</v>
      </c>
      <c r="T200" s="93">
        <f>CaseData!H81</f>
        <v>1.6500000000000001</v>
      </c>
      <c r="V200" s="50"/>
      <c r="W200" s="33" t="s">
        <v>0</v>
      </c>
      <c r="Z200" s="93">
        <f>CaseData!C81</f>
        <v>1.6500000000000001</v>
      </c>
      <c r="AA200" s="93">
        <f>CaseData!D81</f>
        <v>1.6500000000000001</v>
      </c>
      <c r="AB200" s="93">
        <f>CaseData!E81</f>
        <v>1.6500000000000001</v>
      </c>
      <c r="AC200" s="93">
        <f>CaseData!F81</f>
        <v>1.6500000000000001</v>
      </c>
      <c r="AD200" s="93">
        <f>CaseData!G81</f>
        <v>1.6500000000000001</v>
      </c>
      <c r="AE200" s="93">
        <f>CaseData!H81</f>
        <v>1.6500000000000001</v>
      </c>
    </row>
    <row r="201" spans="2:31">
      <c r="K201" s="50"/>
      <c r="L201" s="33" t="s">
        <v>51</v>
      </c>
      <c r="O201" s="40">
        <f t="shared" ref="O201:T201" si="187">SUM(O199:O200)</f>
        <v>5251.65</v>
      </c>
      <c r="P201" s="40">
        <f t="shared" si="187"/>
        <v>4501.6499999999996</v>
      </c>
      <c r="Q201" s="40">
        <f t="shared" si="187"/>
        <v>3751.65</v>
      </c>
      <c r="R201" s="40">
        <f t="shared" si="187"/>
        <v>3001.65</v>
      </c>
      <c r="S201" s="40">
        <f t="shared" si="187"/>
        <v>2251.65</v>
      </c>
      <c r="T201" s="40">
        <f t="shared" si="187"/>
        <v>1501.65</v>
      </c>
      <c r="V201" s="50"/>
      <c r="W201" s="33" t="s">
        <v>51</v>
      </c>
      <c r="Z201" s="40">
        <f t="shared" ref="Z201:AE201" si="188">SUM(Z199:Z200)</f>
        <v>5251.65</v>
      </c>
      <c r="AA201" s="40">
        <f t="shared" si="188"/>
        <v>4501.6499999999996</v>
      </c>
      <c r="AB201" s="40">
        <f t="shared" si="188"/>
        <v>3751.65</v>
      </c>
      <c r="AC201" s="40">
        <f t="shared" si="188"/>
        <v>3001.65</v>
      </c>
      <c r="AD201" s="40">
        <f t="shared" si="188"/>
        <v>2251.65</v>
      </c>
      <c r="AE201" s="40">
        <f t="shared" si="188"/>
        <v>1501.65</v>
      </c>
    </row>
    <row r="202" spans="2:31" s="54" customFormat="1">
      <c r="B202" s="33"/>
      <c r="C202" s="33"/>
      <c r="D202" s="33"/>
      <c r="E202" s="33"/>
      <c r="F202" s="33"/>
      <c r="G202" s="33"/>
      <c r="H202" s="33"/>
      <c r="I202" s="33"/>
      <c r="J202" s="33"/>
      <c r="K202" s="59"/>
      <c r="L202" s="33"/>
      <c r="M202" s="33"/>
      <c r="N202" s="33"/>
      <c r="O202" s="37"/>
      <c r="P202" s="37"/>
      <c r="Q202" s="37"/>
      <c r="R202" s="37"/>
      <c r="S202" s="37"/>
      <c r="T202" s="37"/>
      <c r="U202" s="33"/>
      <c r="V202" s="50"/>
      <c r="W202" s="33"/>
      <c r="X202" s="33"/>
      <c r="Y202" s="33"/>
      <c r="Z202" s="37"/>
      <c r="AA202" s="37"/>
      <c r="AB202" s="37"/>
      <c r="AC202" s="37"/>
      <c r="AD202" s="37"/>
      <c r="AE202" s="37"/>
    </row>
    <row r="203" spans="2:31" s="54" customFormat="1">
      <c r="B203" s="33"/>
      <c r="C203" s="33"/>
      <c r="D203" s="33"/>
      <c r="E203" s="33"/>
      <c r="F203" s="33"/>
      <c r="G203" s="33"/>
      <c r="H203" s="33"/>
      <c r="I203" s="33"/>
      <c r="J203" s="33"/>
      <c r="K203" s="59"/>
      <c r="L203" s="54" t="s">
        <v>12</v>
      </c>
      <c r="O203" s="89">
        <f>O197+O201</f>
        <v>6285.5999999999995</v>
      </c>
      <c r="P203" s="89">
        <f t="shared" ref="P203:T203" si="189">P197+P201</f>
        <v>5544.8137499999993</v>
      </c>
      <c r="Q203" s="89">
        <f t="shared" si="189"/>
        <v>4804.2401250000003</v>
      </c>
      <c r="R203" s="89">
        <f t="shared" si="189"/>
        <v>4063.8773531249999</v>
      </c>
      <c r="S203" s="89">
        <f t="shared" si="189"/>
        <v>3323.7229537499998</v>
      </c>
      <c r="T203" s="89">
        <f t="shared" si="189"/>
        <v>2583.7736710546878</v>
      </c>
      <c r="V203" s="59"/>
      <c r="W203" s="54" t="s">
        <v>12</v>
      </c>
      <c r="Z203" s="89">
        <f>Z197+Z201</f>
        <v>6285.5999999999995</v>
      </c>
      <c r="AA203" s="89">
        <f t="shared" ref="AA203:AE203" si="190">AA197+AA201</f>
        <v>5544.8137499999993</v>
      </c>
      <c r="AB203" s="89">
        <f t="shared" si="190"/>
        <v>4804.2401250000003</v>
      </c>
      <c r="AC203" s="89">
        <f t="shared" si="190"/>
        <v>4063.8773531249999</v>
      </c>
      <c r="AD203" s="89">
        <f t="shared" si="190"/>
        <v>3323.7229537499998</v>
      </c>
      <c r="AE203" s="89">
        <f t="shared" si="190"/>
        <v>2583.7736710546878</v>
      </c>
    </row>
    <row r="204" spans="2:31">
      <c r="K204" s="50"/>
      <c r="O204" s="37"/>
      <c r="P204" s="37"/>
      <c r="Q204" s="37"/>
      <c r="R204" s="37"/>
      <c r="S204" s="37"/>
      <c r="T204" s="37"/>
      <c r="U204" s="54"/>
      <c r="V204" s="59"/>
      <c r="Z204" s="37"/>
      <c r="AA204" s="37"/>
      <c r="AB204" s="37"/>
      <c r="AC204" s="37"/>
      <c r="AD204" s="37"/>
      <c r="AE204" s="37"/>
    </row>
    <row r="205" spans="2:31">
      <c r="K205" s="50"/>
      <c r="L205" s="54" t="s">
        <v>52</v>
      </c>
      <c r="M205" s="54"/>
      <c r="N205" s="54"/>
      <c r="O205" s="37"/>
      <c r="P205" s="37"/>
      <c r="Q205" s="37"/>
      <c r="R205" s="37"/>
      <c r="S205" s="37"/>
      <c r="T205" s="37"/>
      <c r="V205" s="50"/>
      <c r="W205" s="54" t="s">
        <v>52</v>
      </c>
      <c r="X205" s="54"/>
      <c r="Y205" s="54"/>
      <c r="Z205" s="37"/>
      <c r="AA205" s="37"/>
      <c r="AB205" s="37"/>
      <c r="AC205" s="37"/>
      <c r="AD205" s="37"/>
      <c r="AE205" s="37"/>
    </row>
    <row r="206" spans="2:31">
      <c r="K206" s="50"/>
      <c r="L206" s="33" t="s">
        <v>13</v>
      </c>
      <c r="O206" s="114">
        <f>CaseData!C87</f>
        <v>5550</v>
      </c>
      <c r="P206" s="114">
        <f>CaseData!D87</f>
        <v>5550</v>
      </c>
      <c r="Q206" s="114">
        <f>CaseData!E87</f>
        <v>5550</v>
      </c>
      <c r="R206" s="114">
        <f>CaseData!F87</f>
        <v>5550</v>
      </c>
      <c r="S206" s="114">
        <f>CaseData!G87</f>
        <v>5550</v>
      </c>
      <c r="T206" s="114">
        <f>CaseData!H87</f>
        <v>5550</v>
      </c>
      <c r="V206" s="50"/>
      <c r="W206" s="33" t="s">
        <v>13</v>
      </c>
      <c r="Z206" s="114">
        <f>CaseData!C87</f>
        <v>5550</v>
      </c>
      <c r="AA206" s="114">
        <f>CaseData!D87</f>
        <v>5550</v>
      </c>
      <c r="AB206" s="114">
        <f>CaseData!E87</f>
        <v>5550</v>
      </c>
      <c r="AC206" s="114">
        <f>CaseData!F87</f>
        <v>5550</v>
      </c>
      <c r="AD206" s="114">
        <f>CaseData!G87</f>
        <v>5550</v>
      </c>
      <c r="AE206" s="114">
        <f>CaseData!H87</f>
        <v>5550</v>
      </c>
    </row>
    <row r="207" spans="2:31">
      <c r="L207" s="33" t="s">
        <v>14</v>
      </c>
      <c r="O207" s="93">
        <f>CaseData!C88</f>
        <v>11767.422408612922</v>
      </c>
      <c r="P207" s="93">
        <f>CaseData!D88</f>
        <v>12262.535306435493</v>
      </c>
      <c r="Q207" s="93">
        <f>CaseData!E88</f>
        <v>12855.379981742761</v>
      </c>
      <c r="R207" s="93">
        <f>CaseData!F88</f>
        <v>13551.44980801177</v>
      </c>
      <c r="S207" s="93">
        <f>CaseData!G88</f>
        <v>14356.601628249915</v>
      </c>
      <c r="T207" s="93">
        <f>CaseData!H88</f>
        <v>15277.078544162636</v>
      </c>
      <c r="V207" s="50"/>
      <c r="W207" s="33" t="s">
        <v>14</v>
      </c>
      <c r="Z207" s="93">
        <f>CaseData!C88</f>
        <v>11767.422408612922</v>
      </c>
      <c r="AA207" s="93">
        <f>CaseData!D88</f>
        <v>12262.535306435493</v>
      </c>
      <c r="AB207" s="93">
        <f>CaseData!E88</f>
        <v>12855.379981742761</v>
      </c>
      <c r="AC207" s="93">
        <f>CaseData!F88</f>
        <v>13551.44980801177</v>
      </c>
      <c r="AD207" s="93">
        <f>CaseData!G88</f>
        <v>14356.601628249915</v>
      </c>
      <c r="AE207" s="93">
        <f>CaseData!H88</f>
        <v>15277.078544162636</v>
      </c>
    </row>
    <row r="208" spans="2:31">
      <c r="L208" s="54" t="s">
        <v>53</v>
      </c>
      <c r="M208" s="54"/>
      <c r="N208" s="54"/>
      <c r="O208" s="89">
        <f>SUM(O206:O207)</f>
        <v>17317.422408612922</v>
      </c>
      <c r="P208" s="89">
        <f t="shared" ref="P208:T208" si="191">SUM(P206:P207)</f>
        <v>17812.535306435493</v>
      </c>
      <c r="Q208" s="89">
        <f t="shared" si="191"/>
        <v>18405.379981742761</v>
      </c>
      <c r="R208" s="89">
        <f t="shared" si="191"/>
        <v>19101.44980801177</v>
      </c>
      <c r="S208" s="89">
        <f t="shared" si="191"/>
        <v>19906.601628249915</v>
      </c>
      <c r="T208" s="89">
        <f t="shared" si="191"/>
        <v>20827.078544162636</v>
      </c>
      <c r="W208" s="54" t="s">
        <v>53</v>
      </c>
      <c r="X208" s="54"/>
      <c r="Y208" s="54"/>
      <c r="Z208" s="89">
        <f>SUM(Z206:Z207)</f>
        <v>17317.422408612922</v>
      </c>
      <c r="AA208" s="89">
        <f t="shared" ref="AA208:AE208" si="192">SUM(AA206:AA207)</f>
        <v>17812.535306435493</v>
      </c>
      <c r="AB208" s="89">
        <f t="shared" si="192"/>
        <v>18405.379981742761</v>
      </c>
      <c r="AC208" s="89">
        <f t="shared" si="192"/>
        <v>19101.44980801177</v>
      </c>
      <c r="AD208" s="89">
        <f t="shared" si="192"/>
        <v>19906.601628249915</v>
      </c>
      <c r="AE208" s="89">
        <f t="shared" si="192"/>
        <v>20827.078544162636</v>
      </c>
    </row>
    <row r="209" spans="11:31">
      <c r="L209" s="54"/>
      <c r="M209" s="54"/>
      <c r="N209" s="54"/>
      <c r="O209" s="89"/>
      <c r="P209" s="89"/>
      <c r="Q209" s="89"/>
      <c r="R209" s="89"/>
      <c r="S209" s="89"/>
      <c r="T209" s="89"/>
      <c r="W209" s="54"/>
      <c r="X209" s="54"/>
      <c r="Y209" s="54"/>
      <c r="Z209" s="89"/>
      <c r="AA209" s="89"/>
      <c r="AB209" s="89"/>
      <c r="AC209" s="89"/>
      <c r="AD209" s="89"/>
      <c r="AE209" s="89"/>
    </row>
    <row r="210" spans="11:31">
      <c r="L210" s="54" t="s">
        <v>54</v>
      </c>
      <c r="M210" s="54"/>
      <c r="N210" s="54"/>
      <c r="O210" s="89">
        <f>O203+O208</f>
        <v>23603.02240861292</v>
      </c>
      <c r="P210" s="89">
        <f t="shared" ref="P210:T210" si="193">P203+P208</f>
        <v>23357.349056435494</v>
      </c>
      <c r="Q210" s="89">
        <f t="shared" si="193"/>
        <v>23209.620106742761</v>
      </c>
      <c r="R210" s="89">
        <f t="shared" si="193"/>
        <v>23165.327161136771</v>
      </c>
      <c r="S210" s="89">
        <f t="shared" si="193"/>
        <v>23230.324581999914</v>
      </c>
      <c r="T210" s="89">
        <f t="shared" si="193"/>
        <v>23410.852215217325</v>
      </c>
      <c r="W210" s="54" t="s">
        <v>54</v>
      </c>
      <c r="X210" s="54"/>
      <c r="Y210" s="54"/>
      <c r="Z210" s="89">
        <f>Z203+Z208</f>
        <v>23603.02240861292</v>
      </c>
      <c r="AA210" s="89">
        <f t="shared" ref="AA210:AE210" si="194">AA203+AA208</f>
        <v>23357.349056435494</v>
      </c>
      <c r="AB210" s="89">
        <f t="shared" si="194"/>
        <v>23209.620106742761</v>
      </c>
      <c r="AC210" s="89">
        <f t="shared" si="194"/>
        <v>23165.327161136771</v>
      </c>
      <c r="AD210" s="89">
        <f t="shared" si="194"/>
        <v>23230.324581999914</v>
      </c>
      <c r="AE210" s="89">
        <f t="shared" si="194"/>
        <v>23410.852215217325</v>
      </c>
    </row>
    <row r="211" spans="11:31">
      <c r="L211" s="51" t="s">
        <v>15</v>
      </c>
      <c r="M211" s="51"/>
      <c r="N211" s="51"/>
      <c r="O211" s="37">
        <f t="shared" ref="O211:T211" si="195">O191-O210</f>
        <v>0</v>
      </c>
      <c r="P211" s="37">
        <f t="shared" si="195"/>
        <v>0</v>
      </c>
      <c r="Q211" s="37">
        <f t="shared" si="195"/>
        <v>0</v>
      </c>
      <c r="R211" s="37">
        <f t="shared" si="195"/>
        <v>0</v>
      </c>
      <c r="S211" s="37">
        <f t="shared" si="195"/>
        <v>0</v>
      </c>
      <c r="T211" s="37">
        <f t="shared" si="195"/>
        <v>0</v>
      </c>
      <c r="W211" s="51" t="s">
        <v>15</v>
      </c>
      <c r="X211" s="51"/>
      <c r="Y211" s="51"/>
      <c r="Z211" s="37">
        <f t="shared" ref="Z211:AE211" si="196">Z191-Z210</f>
        <v>0</v>
      </c>
      <c r="AA211" s="37">
        <f t="shared" si="196"/>
        <v>0</v>
      </c>
      <c r="AB211" s="37">
        <f t="shared" si="196"/>
        <v>0</v>
      </c>
      <c r="AC211" s="37">
        <f t="shared" si="196"/>
        <v>0</v>
      </c>
      <c r="AD211" s="37">
        <f t="shared" si="196"/>
        <v>0</v>
      </c>
      <c r="AE211" s="37">
        <f t="shared" si="196"/>
        <v>0</v>
      </c>
    </row>
    <row r="212" spans="11:31">
      <c r="K212" s="47"/>
      <c r="L212" s="55"/>
      <c r="M212" s="55"/>
      <c r="N212" s="55"/>
      <c r="O212" s="56"/>
      <c r="P212" s="56"/>
      <c r="Q212" s="56"/>
      <c r="R212" s="56"/>
      <c r="S212" s="56"/>
      <c r="T212" s="56"/>
      <c r="W212" s="55"/>
      <c r="X212" s="55"/>
      <c r="Y212" s="55"/>
      <c r="Z212" s="56"/>
      <c r="AA212" s="56"/>
      <c r="AB212" s="56"/>
      <c r="AC212" s="56"/>
      <c r="AD212" s="56"/>
      <c r="AE212" s="56"/>
    </row>
    <row r="213" spans="11:31">
      <c r="K213" s="50"/>
      <c r="V213" s="47"/>
    </row>
    <row r="214" spans="11:31">
      <c r="K214" s="50"/>
      <c r="V214" s="50"/>
    </row>
    <row r="215" spans="11:31" ht="15.75">
      <c r="K215" s="30" t="s">
        <v>55</v>
      </c>
      <c r="L215" s="31"/>
      <c r="M215" s="31"/>
      <c r="N215" s="31"/>
      <c r="O215" s="31"/>
      <c r="P215" s="31"/>
      <c r="Q215" s="31"/>
      <c r="R215" s="31"/>
      <c r="S215" s="31"/>
      <c r="T215" s="32"/>
      <c r="V215" s="30" t="s">
        <v>55</v>
      </c>
      <c r="W215" s="31"/>
      <c r="X215" s="31"/>
      <c r="Y215" s="31"/>
      <c r="Z215" s="31"/>
      <c r="AA215" s="31"/>
      <c r="AB215" s="31"/>
      <c r="AC215" s="31"/>
      <c r="AD215" s="31"/>
      <c r="AE215" s="32"/>
    </row>
    <row r="216" spans="11:31">
      <c r="K216" s="50"/>
      <c r="V216" s="50"/>
    </row>
    <row r="217" spans="11:31">
      <c r="K217" s="50"/>
      <c r="V217" s="50"/>
    </row>
    <row r="218" spans="11:31" ht="15">
      <c r="K218" s="50"/>
      <c r="L218" s="49" t="s">
        <v>86</v>
      </c>
      <c r="M218" s="49"/>
      <c r="N218" s="49"/>
      <c r="O218" s="48"/>
      <c r="P218" s="48"/>
      <c r="Q218" s="48"/>
      <c r="R218" s="48"/>
      <c r="S218" s="48"/>
      <c r="T218" s="48"/>
      <c r="V218" s="50"/>
      <c r="W218" s="49" t="s">
        <v>86</v>
      </c>
      <c r="X218" s="49"/>
      <c r="Y218" s="49"/>
      <c r="Z218" s="48"/>
      <c r="AA218" s="48"/>
      <c r="AB218" s="48"/>
      <c r="AC218" s="48"/>
      <c r="AD218" s="48"/>
      <c r="AE218" s="48"/>
    </row>
    <row r="219" spans="11:31">
      <c r="K219" s="50"/>
      <c r="L219" s="51" t="s">
        <v>23</v>
      </c>
      <c r="M219" s="51"/>
      <c r="N219" s="51"/>
      <c r="V219" s="50"/>
      <c r="W219" s="51" t="s">
        <v>23</v>
      </c>
      <c r="X219" s="51"/>
      <c r="Y219" s="51"/>
    </row>
    <row r="220" spans="11:31">
      <c r="K220" s="50"/>
      <c r="V220" s="50"/>
    </row>
    <row r="221" spans="11:31">
      <c r="K221" s="50"/>
      <c r="O221" s="83">
        <f t="shared" ref="O221:T221" si="197">O178</f>
        <v>44926</v>
      </c>
      <c r="P221" s="84">
        <f t="shared" si="197"/>
        <v>45291</v>
      </c>
      <c r="Q221" s="84">
        <f t="shared" si="197"/>
        <v>45657</v>
      </c>
      <c r="R221" s="84">
        <f t="shared" si="197"/>
        <v>46022</v>
      </c>
      <c r="S221" s="84">
        <f t="shared" si="197"/>
        <v>46387</v>
      </c>
      <c r="T221" s="84">
        <f t="shared" si="197"/>
        <v>46752</v>
      </c>
      <c r="V221" s="50"/>
      <c r="Z221" s="83">
        <f t="shared" ref="Z221:AE221" si="198">Z178</f>
        <v>44926</v>
      </c>
      <c r="AA221" s="84">
        <f t="shared" si="198"/>
        <v>45291</v>
      </c>
      <c r="AB221" s="84">
        <f t="shared" si="198"/>
        <v>45657</v>
      </c>
      <c r="AC221" s="84">
        <f t="shared" si="198"/>
        <v>46022</v>
      </c>
      <c r="AD221" s="84">
        <f t="shared" si="198"/>
        <v>46387</v>
      </c>
      <c r="AE221" s="84">
        <f t="shared" si="198"/>
        <v>46752</v>
      </c>
    </row>
    <row r="222" spans="11:31">
      <c r="K222" s="50"/>
      <c r="V222" s="50"/>
    </row>
    <row r="223" spans="11:31">
      <c r="K223" s="50"/>
      <c r="L223" s="33" t="s">
        <v>2</v>
      </c>
      <c r="O223" s="114">
        <f>CaseData!C104</f>
        <v>2142.8571428571431</v>
      </c>
      <c r="P223" s="114">
        <f>CaseData!D104</f>
        <v>2271.4285714285716</v>
      </c>
      <c r="Q223" s="114">
        <f>CaseData!E104</f>
        <v>2407.7142857142862</v>
      </c>
      <c r="R223" s="114">
        <f>CaseData!F104</f>
        <v>2552.1771428571433</v>
      </c>
      <c r="S223" s="114">
        <f>CaseData!G104</f>
        <v>2705.3077714285719</v>
      </c>
      <c r="T223" s="114">
        <f>CaseData!H104</f>
        <v>2867.6262377142866</v>
      </c>
      <c r="V223" s="50"/>
      <c r="W223" s="33" t="s">
        <v>2</v>
      </c>
      <c r="Z223" s="114">
        <f>CaseData!C104</f>
        <v>2142.8571428571431</v>
      </c>
      <c r="AA223" s="114">
        <f>CaseData!D104</f>
        <v>2271.4285714285716</v>
      </c>
      <c r="AB223" s="114">
        <f>CaseData!E104</f>
        <v>2407.7142857142862</v>
      </c>
      <c r="AC223" s="114">
        <f>CaseData!F104</f>
        <v>2552.1771428571433</v>
      </c>
      <c r="AD223" s="114">
        <f>CaseData!G104</f>
        <v>2705.3077714285719</v>
      </c>
      <c r="AE223" s="114">
        <f>CaseData!H104</f>
        <v>2867.6262377142866</v>
      </c>
    </row>
    <row r="224" spans="11:31">
      <c r="K224" s="50"/>
      <c r="L224" s="33" t="s">
        <v>24</v>
      </c>
      <c r="O224" s="93">
        <f>CaseData!C105</f>
        <v>-1242.8571428571431</v>
      </c>
      <c r="P224" s="93">
        <f>CaseData!D105</f>
        <v>-1294.714285714286</v>
      </c>
      <c r="Q224" s="93">
        <f>CaseData!E105</f>
        <v>-1348.3200000000004</v>
      </c>
      <c r="R224" s="93">
        <f>CaseData!F105</f>
        <v>-1403.6974285714289</v>
      </c>
      <c r="S224" s="93">
        <f>CaseData!G105</f>
        <v>-1460.8661965714291</v>
      </c>
      <c r="T224" s="93">
        <f>CaseData!H105</f>
        <v>-1519.8419059885719</v>
      </c>
      <c r="V224" s="50"/>
      <c r="W224" s="33" t="s">
        <v>24</v>
      </c>
      <c r="Z224" s="93">
        <f>CaseData!C105</f>
        <v>-1242.8571428571431</v>
      </c>
      <c r="AA224" s="93">
        <f>CaseData!D105</f>
        <v>-1294.714285714286</v>
      </c>
      <c r="AB224" s="93">
        <f>CaseData!E105</f>
        <v>-1348.3200000000004</v>
      </c>
      <c r="AC224" s="93">
        <f>CaseData!F105</f>
        <v>-1403.6974285714289</v>
      </c>
      <c r="AD224" s="93">
        <f>CaseData!G105</f>
        <v>-1460.8661965714291</v>
      </c>
      <c r="AE224" s="93">
        <f>CaseData!H105</f>
        <v>-1519.8419059885719</v>
      </c>
    </row>
    <row r="225" spans="11:31">
      <c r="K225" s="50"/>
      <c r="L225" s="33" t="s">
        <v>25</v>
      </c>
      <c r="O225" s="40">
        <f>SUM(O223:O224)</f>
        <v>900</v>
      </c>
      <c r="P225" s="40">
        <f t="shared" ref="P225:T225" si="199">SUM(P223:P224)</f>
        <v>976.71428571428555</v>
      </c>
      <c r="Q225" s="40">
        <f t="shared" si="199"/>
        <v>1059.3942857142858</v>
      </c>
      <c r="R225" s="40">
        <f t="shared" si="199"/>
        <v>1148.4797142857144</v>
      </c>
      <c r="S225" s="40">
        <f t="shared" si="199"/>
        <v>1244.4415748571428</v>
      </c>
      <c r="T225" s="40">
        <f t="shared" si="199"/>
        <v>1347.7843317257148</v>
      </c>
      <c r="V225" s="50"/>
      <c r="W225" s="33" t="s">
        <v>25</v>
      </c>
      <c r="Z225" s="40">
        <f>SUM(Z223:Z224)</f>
        <v>900</v>
      </c>
      <c r="AA225" s="40">
        <f t="shared" ref="AA225:AE225" si="200">SUM(AA223:AA224)</f>
        <v>976.71428571428555</v>
      </c>
      <c r="AB225" s="40">
        <f t="shared" si="200"/>
        <v>1059.3942857142858</v>
      </c>
      <c r="AC225" s="40">
        <f t="shared" si="200"/>
        <v>1148.4797142857144</v>
      </c>
      <c r="AD225" s="40">
        <f t="shared" si="200"/>
        <v>1244.4415748571428</v>
      </c>
      <c r="AE225" s="40">
        <f t="shared" si="200"/>
        <v>1347.7843317257148</v>
      </c>
    </row>
    <row r="226" spans="11:31">
      <c r="K226" s="50"/>
      <c r="L226" s="33" t="s">
        <v>26</v>
      </c>
      <c r="O226" s="93">
        <f>CaseData!C107</f>
        <v>-85.714285714285722</v>
      </c>
      <c r="P226" s="93">
        <f>CaseData!D107</f>
        <v>-90.857142857142861</v>
      </c>
      <c r="Q226" s="93">
        <f>CaseData!E107</f>
        <v>-96.30857142857144</v>
      </c>
      <c r="R226" s="93">
        <f>CaseData!F107</f>
        <v>-102.08708571428573</v>
      </c>
      <c r="S226" s="93">
        <f>CaseData!G107</f>
        <v>-108.21231085714288</v>
      </c>
      <c r="T226" s="93">
        <f>CaseData!H107</f>
        <v>-114.70504950857145</v>
      </c>
      <c r="V226" s="50"/>
      <c r="W226" s="33" t="s">
        <v>26</v>
      </c>
      <c r="Z226" s="93">
        <f>CaseData!C107</f>
        <v>-85.714285714285722</v>
      </c>
      <c r="AA226" s="93">
        <f>CaseData!D107</f>
        <v>-90.857142857142861</v>
      </c>
      <c r="AB226" s="93">
        <f>CaseData!E107</f>
        <v>-96.30857142857144</v>
      </c>
      <c r="AC226" s="93">
        <f>CaseData!F107</f>
        <v>-102.08708571428573</v>
      </c>
      <c r="AD226" s="93">
        <f>CaseData!G107</f>
        <v>-108.21231085714288</v>
      </c>
      <c r="AE226" s="93">
        <f>CaseData!H107</f>
        <v>-114.70504950857145</v>
      </c>
    </row>
    <row r="227" spans="11:31">
      <c r="K227" s="50"/>
      <c r="L227" s="33" t="s">
        <v>3</v>
      </c>
      <c r="O227" s="40">
        <f>SUM(O225:O226)</f>
        <v>814.28571428571422</v>
      </c>
      <c r="P227" s="40">
        <f t="shared" ref="P227:T227" si="201">SUM(P225:P226)</f>
        <v>885.85714285714266</v>
      </c>
      <c r="Q227" s="40">
        <f t="shared" si="201"/>
        <v>963.0857142857144</v>
      </c>
      <c r="R227" s="40">
        <f t="shared" si="201"/>
        <v>1046.3926285714288</v>
      </c>
      <c r="S227" s="40">
        <f t="shared" si="201"/>
        <v>1136.2292639999998</v>
      </c>
      <c r="T227" s="40">
        <f t="shared" si="201"/>
        <v>1233.0792822171434</v>
      </c>
      <c r="V227" s="50"/>
      <c r="W227" s="33" t="s">
        <v>3</v>
      </c>
      <c r="Z227" s="40">
        <f>SUM(Z225:Z226)</f>
        <v>814.28571428571422</v>
      </c>
      <c r="AA227" s="40">
        <f t="shared" ref="AA227:AE227" si="202">SUM(AA225:AA226)</f>
        <v>885.85714285714266</v>
      </c>
      <c r="AB227" s="40">
        <f t="shared" si="202"/>
        <v>963.0857142857144</v>
      </c>
      <c r="AC227" s="40">
        <f t="shared" si="202"/>
        <v>1046.3926285714288</v>
      </c>
      <c r="AD227" s="40">
        <f t="shared" si="202"/>
        <v>1136.2292639999998</v>
      </c>
      <c r="AE227" s="40">
        <f t="shared" si="202"/>
        <v>1233.0792822171434</v>
      </c>
    </row>
    <row r="228" spans="11:31">
      <c r="K228" s="50"/>
      <c r="L228" s="33" t="s">
        <v>27</v>
      </c>
      <c r="O228" s="93">
        <f>CaseData!C109</f>
        <v>-310.71428571428572</v>
      </c>
      <c r="P228" s="93">
        <f>CaseData!D109</f>
        <v>-329.35714285714289</v>
      </c>
      <c r="Q228" s="93">
        <f>CaseData!E109</f>
        <v>-349.11857142857144</v>
      </c>
      <c r="R228" s="93">
        <f>CaseData!F109</f>
        <v>-370.06568571428573</v>
      </c>
      <c r="S228" s="93">
        <f>CaseData!G109</f>
        <v>-392.26962685714295</v>
      </c>
      <c r="T228" s="93">
        <f>CaseData!H109</f>
        <v>-415.80580446857152</v>
      </c>
      <c r="V228" s="50"/>
      <c r="W228" s="33" t="s">
        <v>27</v>
      </c>
      <c r="Z228" s="93">
        <f>CaseData!C109</f>
        <v>-310.71428571428572</v>
      </c>
      <c r="AA228" s="93">
        <f>CaseData!D109</f>
        <v>-329.35714285714289</v>
      </c>
      <c r="AB228" s="93">
        <f>CaseData!E109</f>
        <v>-349.11857142857144</v>
      </c>
      <c r="AC228" s="93">
        <f>CaseData!F109</f>
        <v>-370.06568571428573</v>
      </c>
      <c r="AD228" s="93">
        <f>CaseData!G109</f>
        <v>-392.26962685714295</v>
      </c>
      <c r="AE228" s="93">
        <f>CaseData!H109</f>
        <v>-415.80580446857152</v>
      </c>
    </row>
    <row r="229" spans="11:31">
      <c r="K229" s="50"/>
      <c r="L229" s="33" t="s">
        <v>4</v>
      </c>
      <c r="O229" s="40">
        <f>SUM(O227:O228)</f>
        <v>503.5714285714285</v>
      </c>
      <c r="P229" s="40">
        <f t="shared" ref="P229:T229" si="203">SUM(P227:P228)</f>
        <v>556.49999999999977</v>
      </c>
      <c r="Q229" s="40">
        <f t="shared" si="203"/>
        <v>613.96714285714302</v>
      </c>
      <c r="R229" s="40">
        <f t="shared" si="203"/>
        <v>676.32694285714297</v>
      </c>
      <c r="S229" s="40">
        <f t="shared" si="203"/>
        <v>743.95963714285688</v>
      </c>
      <c r="T229" s="40">
        <f t="shared" si="203"/>
        <v>817.27347774857185</v>
      </c>
      <c r="V229" s="50"/>
      <c r="W229" s="33" t="s">
        <v>4</v>
      </c>
      <c r="Z229" s="40">
        <f>SUM(Z227:Z228)</f>
        <v>503.5714285714285</v>
      </c>
      <c r="AA229" s="40">
        <f t="shared" ref="AA229:AE229" si="204">SUM(AA227:AA228)</f>
        <v>556.49999999999977</v>
      </c>
      <c r="AB229" s="40">
        <f t="shared" si="204"/>
        <v>613.96714285714302</v>
      </c>
      <c r="AC229" s="40">
        <f t="shared" si="204"/>
        <v>676.32694285714297</v>
      </c>
      <c r="AD229" s="40">
        <f t="shared" si="204"/>
        <v>743.95963714285688</v>
      </c>
      <c r="AE229" s="40">
        <f t="shared" si="204"/>
        <v>817.27347774857185</v>
      </c>
    </row>
    <row r="230" spans="11:31">
      <c r="K230" s="50"/>
      <c r="L230" s="33" t="s">
        <v>28</v>
      </c>
      <c r="O230" s="93">
        <f>CaseData!C111</f>
        <v>-182.67902605904314</v>
      </c>
      <c r="P230" s="93">
        <f>CaseData!D111</f>
        <v>-160.94891488804075</v>
      </c>
      <c r="Q230" s="93">
        <f>CaseData!E111</f>
        <v>-139.03089656611809</v>
      </c>
      <c r="R230" s="93">
        <f>CaseData!F111</f>
        <v>-116.90694155820489</v>
      </c>
      <c r="S230" s="93">
        <f>CaseData!G111</f>
        <v>-94.563646056093745</v>
      </c>
      <c r="T230" s="93">
        <f>CaseData!H111</f>
        <v>-71.986556748901279</v>
      </c>
      <c r="V230" s="50"/>
      <c r="W230" s="33" t="s">
        <v>28</v>
      </c>
      <c r="Z230" s="93">
        <f>CaseData!C111</f>
        <v>-182.67902605904314</v>
      </c>
      <c r="AA230" s="93">
        <f>CaseData!D111</f>
        <v>-160.94891488804075</v>
      </c>
      <c r="AB230" s="93">
        <f>CaseData!E111</f>
        <v>-139.03089656611809</v>
      </c>
      <c r="AC230" s="93">
        <f>CaseData!F111</f>
        <v>-116.90694155820489</v>
      </c>
      <c r="AD230" s="93">
        <f>CaseData!G111</f>
        <v>-94.563646056093745</v>
      </c>
      <c r="AE230" s="93">
        <f>CaseData!H111</f>
        <v>-71.986556748901279</v>
      </c>
    </row>
    <row r="231" spans="11:31">
      <c r="K231" s="47"/>
      <c r="L231" s="33" t="s">
        <v>5</v>
      </c>
      <c r="O231" s="40">
        <f>SUM(O229:O230)</f>
        <v>320.89240251238539</v>
      </c>
      <c r="P231" s="40">
        <f t="shared" ref="P231:T231" si="205">SUM(P229:P230)</f>
        <v>395.55108511195903</v>
      </c>
      <c r="Q231" s="40">
        <f t="shared" si="205"/>
        <v>474.93624629102493</v>
      </c>
      <c r="R231" s="40">
        <f t="shared" si="205"/>
        <v>559.42000129893813</v>
      </c>
      <c r="S231" s="40">
        <f t="shared" si="205"/>
        <v>649.39599108676316</v>
      </c>
      <c r="T231" s="40">
        <f t="shared" si="205"/>
        <v>745.28692099967054</v>
      </c>
      <c r="V231" s="50"/>
      <c r="W231" s="33" t="s">
        <v>5</v>
      </c>
      <c r="Z231" s="40">
        <f>SUM(Z229:Z230)</f>
        <v>320.89240251238539</v>
      </c>
      <c r="AA231" s="40">
        <f t="shared" ref="AA231:AE231" si="206">SUM(AA229:AA230)</f>
        <v>395.55108511195903</v>
      </c>
      <c r="AB231" s="40">
        <f t="shared" si="206"/>
        <v>474.93624629102493</v>
      </c>
      <c r="AC231" s="40">
        <f t="shared" si="206"/>
        <v>559.42000129893813</v>
      </c>
      <c r="AD231" s="40">
        <f t="shared" si="206"/>
        <v>649.39599108676316</v>
      </c>
      <c r="AE231" s="40">
        <f t="shared" si="206"/>
        <v>745.28692099967054</v>
      </c>
    </row>
    <row r="232" spans="11:31">
      <c r="K232" s="50"/>
      <c r="L232" s="33" t="s">
        <v>29</v>
      </c>
      <c r="O232" s="93">
        <f>CaseData!C113</f>
        <v>-73.805252577848648</v>
      </c>
      <c r="P232" s="93">
        <f>CaseData!D113</f>
        <v>-90.976749575750617</v>
      </c>
      <c r="Q232" s="93">
        <f>CaseData!E113</f>
        <v>-109.23533664693571</v>
      </c>
      <c r="R232" s="93">
        <f>CaseData!F113</f>
        <v>-128.6666002987557</v>
      </c>
      <c r="S232" s="93">
        <f>CaseData!G113</f>
        <v>-149.36107794995561</v>
      </c>
      <c r="T232" s="93">
        <f>CaseData!H113</f>
        <v>-171.41599182992417</v>
      </c>
      <c r="V232" s="47"/>
      <c r="W232" s="33" t="s">
        <v>29</v>
      </c>
      <c r="Z232" s="93">
        <f>CaseData!C113</f>
        <v>-73.805252577848648</v>
      </c>
      <c r="AA232" s="93">
        <f>CaseData!D113</f>
        <v>-90.976749575750617</v>
      </c>
      <c r="AB232" s="93">
        <f>CaseData!E113</f>
        <v>-109.23533664693571</v>
      </c>
      <c r="AC232" s="93">
        <f>CaseData!F113</f>
        <v>-128.6666002987557</v>
      </c>
      <c r="AD232" s="93">
        <f>CaseData!G113</f>
        <v>-149.36107794995561</v>
      </c>
      <c r="AE232" s="93">
        <f>CaseData!H113</f>
        <v>-171.41599182992417</v>
      </c>
    </row>
    <row r="233" spans="11:31">
      <c r="K233" s="50"/>
      <c r="L233" s="54" t="s">
        <v>6</v>
      </c>
      <c r="M233" s="54"/>
      <c r="N233" s="54"/>
      <c r="O233" s="86">
        <f>SUM(O231:O232)</f>
        <v>247.08714993453674</v>
      </c>
      <c r="P233" s="86">
        <f t="shared" ref="P233:T233" si="207">SUM(P231:P232)</f>
        <v>304.57433553620842</v>
      </c>
      <c r="Q233" s="86">
        <f t="shared" si="207"/>
        <v>365.70090964408922</v>
      </c>
      <c r="R233" s="86">
        <f t="shared" si="207"/>
        <v>430.75340100018241</v>
      </c>
      <c r="S233" s="86">
        <f t="shared" si="207"/>
        <v>500.03491313680752</v>
      </c>
      <c r="T233" s="86">
        <f t="shared" si="207"/>
        <v>573.87092916974643</v>
      </c>
      <c r="V233" s="50"/>
      <c r="W233" s="54" t="s">
        <v>6</v>
      </c>
      <c r="X233" s="54"/>
      <c r="Y233" s="54"/>
      <c r="Z233" s="86">
        <f>SUM(Z231:Z232)</f>
        <v>247.08714993453674</v>
      </c>
      <c r="AA233" s="86">
        <f t="shared" ref="AA233:AE233" si="208">SUM(AA231:AA232)</f>
        <v>304.57433553620842</v>
      </c>
      <c r="AB233" s="86">
        <f t="shared" si="208"/>
        <v>365.70090964408922</v>
      </c>
      <c r="AC233" s="86">
        <f t="shared" si="208"/>
        <v>430.75340100018241</v>
      </c>
      <c r="AD233" s="86">
        <f t="shared" si="208"/>
        <v>500.03491313680752</v>
      </c>
      <c r="AE233" s="86">
        <f t="shared" si="208"/>
        <v>573.87092916974643</v>
      </c>
    </row>
    <row r="234" spans="11:31">
      <c r="K234" s="50"/>
      <c r="L234" s="55"/>
      <c r="M234" s="55"/>
      <c r="N234" s="55"/>
      <c r="O234" s="56"/>
      <c r="P234" s="56"/>
      <c r="Q234" s="56"/>
      <c r="R234" s="56"/>
      <c r="S234" s="56"/>
      <c r="T234" s="56"/>
      <c r="V234" s="50"/>
      <c r="W234" s="55"/>
      <c r="X234" s="55"/>
      <c r="Y234" s="55"/>
      <c r="Z234" s="56"/>
      <c r="AA234" s="56"/>
      <c r="AB234" s="56"/>
      <c r="AC234" s="56"/>
      <c r="AD234" s="56"/>
      <c r="AE234" s="56"/>
    </row>
    <row r="235" spans="11:31">
      <c r="K235" s="50"/>
      <c r="O235" s="87"/>
      <c r="P235" s="87"/>
      <c r="Q235" s="87"/>
      <c r="R235" s="87"/>
      <c r="S235" s="87"/>
      <c r="T235" s="87"/>
      <c r="V235" s="50"/>
      <c r="Z235" s="87"/>
      <c r="AA235" s="87"/>
      <c r="AB235" s="87"/>
      <c r="AC235" s="87"/>
      <c r="AD235" s="87"/>
      <c r="AE235" s="87"/>
    </row>
    <row r="236" spans="11:31">
      <c r="K236" s="50"/>
      <c r="O236" s="87"/>
      <c r="P236" s="87"/>
      <c r="Q236" s="87"/>
      <c r="R236" s="87"/>
      <c r="S236" s="87"/>
      <c r="T236" s="87"/>
      <c r="V236" s="50"/>
      <c r="Z236" s="87"/>
      <c r="AA236" s="87"/>
      <c r="AB236" s="87"/>
      <c r="AC236" s="87"/>
      <c r="AD236" s="87"/>
      <c r="AE236" s="87"/>
    </row>
    <row r="237" spans="11:31" ht="15">
      <c r="K237" s="50"/>
      <c r="L237" s="49" t="s">
        <v>87</v>
      </c>
      <c r="M237" s="49"/>
      <c r="N237" s="49"/>
      <c r="O237" s="48"/>
      <c r="P237" s="48"/>
      <c r="Q237" s="48"/>
      <c r="R237" s="48"/>
      <c r="S237" s="48"/>
      <c r="T237" s="48"/>
      <c r="V237" s="50"/>
      <c r="W237" s="49" t="s">
        <v>87</v>
      </c>
      <c r="X237" s="49"/>
      <c r="Y237" s="49"/>
      <c r="Z237" s="48"/>
      <c r="AA237" s="48"/>
      <c r="AB237" s="48"/>
      <c r="AC237" s="48"/>
      <c r="AD237" s="48"/>
      <c r="AE237" s="48"/>
    </row>
    <row r="238" spans="11:31">
      <c r="K238" s="50"/>
      <c r="L238" s="51" t="s">
        <v>23</v>
      </c>
      <c r="M238" s="51"/>
      <c r="N238" s="51"/>
      <c r="V238" s="50"/>
      <c r="W238" s="51" t="s">
        <v>23</v>
      </c>
      <c r="X238" s="51"/>
      <c r="Y238" s="51"/>
    </row>
    <row r="239" spans="11:31">
      <c r="K239" s="50"/>
      <c r="L239" s="51"/>
      <c r="M239" s="51"/>
      <c r="N239" s="51"/>
      <c r="V239" s="50"/>
      <c r="W239" s="51"/>
      <c r="X239" s="51"/>
      <c r="Y239" s="51"/>
    </row>
    <row r="240" spans="11:31">
      <c r="K240" s="50"/>
      <c r="O240" s="83">
        <f t="shared" ref="O240:T240" si="209">O221</f>
        <v>44926</v>
      </c>
      <c r="P240" s="84">
        <f t="shared" si="209"/>
        <v>45291</v>
      </c>
      <c r="Q240" s="84">
        <f t="shared" si="209"/>
        <v>45657</v>
      </c>
      <c r="R240" s="84">
        <f t="shared" si="209"/>
        <v>46022</v>
      </c>
      <c r="S240" s="84">
        <f t="shared" si="209"/>
        <v>46387</v>
      </c>
      <c r="T240" s="84">
        <f t="shared" si="209"/>
        <v>46752</v>
      </c>
      <c r="V240" s="50"/>
      <c r="Z240" s="83">
        <f t="shared" ref="Z240:AE240" si="210">Z221</f>
        <v>44926</v>
      </c>
      <c r="AA240" s="84">
        <f t="shared" si="210"/>
        <v>45291</v>
      </c>
      <c r="AB240" s="84">
        <f t="shared" si="210"/>
        <v>45657</v>
      </c>
      <c r="AC240" s="84">
        <f t="shared" si="210"/>
        <v>46022</v>
      </c>
      <c r="AD240" s="84">
        <f t="shared" si="210"/>
        <v>46387</v>
      </c>
      <c r="AE240" s="84">
        <f t="shared" si="210"/>
        <v>46752</v>
      </c>
    </row>
    <row r="241" spans="11:31">
      <c r="K241" s="50"/>
      <c r="L241" s="51"/>
      <c r="M241" s="51"/>
      <c r="N241" s="51"/>
      <c r="V241" s="50"/>
      <c r="W241" s="51"/>
      <c r="X241" s="51"/>
      <c r="Y241" s="51"/>
    </row>
    <row r="242" spans="11:31">
      <c r="K242" s="50"/>
      <c r="L242" s="54" t="s">
        <v>30</v>
      </c>
      <c r="M242" s="54"/>
      <c r="N242" s="54"/>
      <c r="O242" s="87"/>
      <c r="V242" s="50"/>
      <c r="W242" s="54" t="s">
        <v>30</v>
      </c>
      <c r="X242" s="54"/>
      <c r="Y242" s="54"/>
      <c r="Z242" s="87"/>
    </row>
    <row r="243" spans="11:31">
      <c r="K243" s="50"/>
      <c r="L243" s="33" t="s">
        <v>6</v>
      </c>
      <c r="O243" s="40">
        <f t="shared" ref="O243:T243" si="211">O233</f>
        <v>247.08714993453674</v>
      </c>
      <c r="P243" s="40">
        <f t="shared" si="211"/>
        <v>304.57433553620842</v>
      </c>
      <c r="Q243" s="40">
        <f t="shared" si="211"/>
        <v>365.70090964408922</v>
      </c>
      <c r="R243" s="40">
        <f t="shared" si="211"/>
        <v>430.75340100018241</v>
      </c>
      <c r="S243" s="40">
        <f t="shared" si="211"/>
        <v>500.03491313680752</v>
      </c>
      <c r="T243" s="40">
        <f t="shared" si="211"/>
        <v>573.87092916974643</v>
      </c>
      <c r="V243" s="50"/>
      <c r="W243" s="33" t="s">
        <v>6</v>
      </c>
      <c r="Z243" s="40">
        <f t="shared" ref="Z243:AE243" si="212">Z233</f>
        <v>247.08714993453674</v>
      </c>
      <c r="AA243" s="40">
        <f t="shared" si="212"/>
        <v>304.57433553620842</v>
      </c>
      <c r="AB243" s="40">
        <f t="shared" si="212"/>
        <v>365.70090964408922</v>
      </c>
      <c r="AC243" s="40">
        <f t="shared" si="212"/>
        <v>430.75340100018241</v>
      </c>
      <c r="AD243" s="40">
        <f t="shared" si="212"/>
        <v>500.03491313680752</v>
      </c>
      <c r="AE243" s="40">
        <f t="shared" si="212"/>
        <v>573.87092916974643</v>
      </c>
    </row>
    <row r="244" spans="11:31">
      <c r="K244" s="50"/>
      <c r="L244" s="33" t="s">
        <v>31</v>
      </c>
      <c r="O244" s="40">
        <f t="shared" ref="O244:T244" si="213">-O228</f>
        <v>310.71428571428572</v>
      </c>
      <c r="P244" s="40">
        <f t="shared" si="213"/>
        <v>329.35714285714289</v>
      </c>
      <c r="Q244" s="40">
        <f t="shared" si="213"/>
        <v>349.11857142857144</v>
      </c>
      <c r="R244" s="40">
        <f t="shared" si="213"/>
        <v>370.06568571428573</v>
      </c>
      <c r="S244" s="40">
        <f t="shared" si="213"/>
        <v>392.26962685714295</v>
      </c>
      <c r="T244" s="40">
        <f t="shared" si="213"/>
        <v>415.80580446857152</v>
      </c>
      <c r="V244" s="50"/>
      <c r="W244" s="33" t="s">
        <v>31</v>
      </c>
      <c r="Z244" s="40">
        <f t="shared" ref="Z244:AE244" si="214">-Z228</f>
        <v>310.71428571428572</v>
      </c>
      <c r="AA244" s="40">
        <f t="shared" si="214"/>
        <v>329.35714285714289</v>
      </c>
      <c r="AB244" s="40">
        <f t="shared" si="214"/>
        <v>349.11857142857144</v>
      </c>
      <c r="AC244" s="40">
        <f t="shared" si="214"/>
        <v>370.06568571428573</v>
      </c>
      <c r="AD244" s="40">
        <f t="shared" si="214"/>
        <v>392.26962685714295</v>
      </c>
      <c r="AE244" s="40">
        <f t="shared" si="214"/>
        <v>415.80580446857152</v>
      </c>
    </row>
    <row r="245" spans="11:31">
      <c r="K245" s="50"/>
      <c r="L245" s="33" t="s">
        <v>32</v>
      </c>
      <c r="O245" s="93">
        <f>CaseData!C126</f>
        <v>-13.5</v>
      </c>
      <c r="P245" s="93">
        <f>CaseData!D126</f>
        <v>-16.611428571428604</v>
      </c>
      <c r="Q245" s="93">
        <f>CaseData!E126</f>
        <v>-17.52634285714278</v>
      </c>
      <c r="R245" s="93">
        <f>CaseData!F126</f>
        <v>-18.491245714285753</v>
      </c>
      <c r="S245" s="93">
        <f>CaseData!G126</f>
        <v>-19.508842080000065</v>
      </c>
      <c r="T245" s="93">
        <f>CaseData!H126</f>
        <v>-20.581981525028581</v>
      </c>
      <c r="V245" s="50"/>
      <c r="W245" s="33" t="s">
        <v>32</v>
      </c>
      <c r="Z245" s="93">
        <f>CaseData!C126</f>
        <v>-13.5</v>
      </c>
      <c r="AA245" s="93">
        <f>CaseData!D126</f>
        <v>-16.611428571428604</v>
      </c>
      <c r="AB245" s="93">
        <f>CaseData!E126</f>
        <v>-17.52634285714278</v>
      </c>
      <c r="AC245" s="93">
        <f>CaseData!F126</f>
        <v>-18.491245714285753</v>
      </c>
      <c r="AD245" s="93">
        <f>CaseData!G126</f>
        <v>-19.508842080000065</v>
      </c>
      <c r="AE245" s="93">
        <f>CaseData!H126</f>
        <v>-20.581981525028581</v>
      </c>
    </row>
    <row r="246" spans="11:31">
      <c r="K246" s="50"/>
      <c r="L246" s="33" t="s">
        <v>30</v>
      </c>
      <c r="O246" s="40">
        <f>SUM(O243:O245)</f>
        <v>544.30143564882246</v>
      </c>
      <c r="P246" s="40">
        <f t="shared" ref="P246:T246" si="215">SUM(P243:P245)</f>
        <v>617.32004982192268</v>
      </c>
      <c r="Q246" s="40">
        <f t="shared" si="215"/>
        <v>697.29313821551784</v>
      </c>
      <c r="R246" s="40">
        <f t="shared" si="215"/>
        <v>782.32784100018239</v>
      </c>
      <c r="S246" s="40">
        <f t="shared" si="215"/>
        <v>872.79569791395045</v>
      </c>
      <c r="T246" s="40">
        <f t="shared" si="215"/>
        <v>969.09475211328936</v>
      </c>
      <c r="V246" s="50"/>
      <c r="W246" s="33" t="s">
        <v>30</v>
      </c>
      <c r="Z246" s="40">
        <f>SUM(Z243:Z245)</f>
        <v>544.30143564882246</v>
      </c>
      <c r="AA246" s="40">
        <f t="shared" ref="AA246:AE246" si="216">SUM(AA243:AA245)</f>
        <v>617.32004982192268</v>
      </c>
      <c r="AB246" s="40">
        <f t="shared" si="216"/>
        <v>697.29313821551784</v>
      </c>
      <c r="AC246" s="40">
        <f t="shared" si="216"/>
        <v>782.32784100018239</v>
      </c>
      <c r="AD246" s="40">
        <f t="shared" si="216"/>
        <v>872.79569791395045</v>
      </c>
      <c r="AE246" s="40">
        <f t="shared" si="216"/>
        <v>969.09475211328936</v>
      </c>
    </row>
    <row r="247" spans="11:31">
      <c r="K247" s="50"/>
      <c r="L247" s="51"/>
      <c r="M247" s="51"/>
      <c r="N247" s="51"/>
      <c r="O247" s="37"/>
      <c r="P247" s="37"/>
      <c r="Q247" s="37"/>
      <c r="R247" s="37"/>
      <c r="S247" s="37"/>
      <c r="T247" s="37"/>
      <c r="V247" s="50"/>
      <c r="W247" s="51"/>
      <c r="X247" s="51"/>
      <c r="Y247" s="51"/>
      <c r="Z247" s="37"/>
      <c r="AA247" s="37"/>
      <c r="AB247" s="37"/>
      <c r="AC247" s="37"/>
      <c r="AD247" s="37"/>
      <c r="AE247" s="37"/>
    </row>
    <row r="248" spans="11:31">
      <c r="K248" s="50"/>
      <c r="L248" s="54" t="s">
        <v>33</v>
      </c>
      <c r="M248" s="54"/>
      <c r="N248" s="54"/>
      <c r="O248" s="37"/>
      <c r="P248" s="37"/>
      <c r="Q248" s="37"/>
      <c r="R248" s="37"/>
      <c r="S248" s="37"/>
      <c r="T248" s="37"/>
      <c r="V248" s="50"/>
      <c r="W248" s="54" t="s">
        <v>33</v>
      </c>
      <c r="X248" s="54"/>
      <c r="Y248" s="54"/>
      <c r="Z248" s="37"/>
      <c r="AA248" s="37"/>
      <c r="AB248" s="37"/>
      <c r="AC248" s="37"/>
      <c r="AD248" s="37"/>
      <c r="AE248" s="37"/>
    </row>
    <row r="249" spans="11:31">
      <c r="K249" s="50"/>
      <c r="L249" s="33" t="s">
        <v>34</v>
      </c>
      <c r="O249" s="93">
        <f>CaseData!C130</f>
        <v>-341.78571428571428</v>
      </c>
      <c r="P249" s="93">
        <f>CaseData!D130</f>
        <v>-362.2928571428572</v>
      </c>
      <c r="Q249" s="93">
        <f>CaseData!E130</f>
        <v>-384.03042857142862</v>
      </c>
      <c r="R249" s="93">
        <f>CaseData!F130</f>
        <v>-407.07225428571434</v>
      </c>
      <c r="S249" s="93">
        <f>CaseData!G130</f>
        <v>-431.49658954285724</v>
      </c>
      <c r="T249" s="93">
        <f>CaseData!H130</f>
        <v>-457.38638491542872</v>
      </c>
      <c r="V249" s="50"/>
      <c r="W249" s="33" t="s">
        <v>34</v>
      </c>
      <c r="Z249" s="93">
        <f>CaseData!C130</f>
        <v>-341.78571428571428</v>
      </c>
      <c r="AA249" s="93">
        <f>CaseData!D130</f>
        <v>-362.2928571428572</v>
      </c>
      <c r="AB249" s="93">
        <f>CaseData!E130</f>
        <v>-384.03042857142862</v>
      </c>
      <c r="AC249" s="93">
        <f>CaseData!F130</f>
        <v>-407.07225428571434</v>
      </c>
      <c r="AD249" s="93">
        <f>CaseData!G130</f>
        <v>-431.49658954285724</v>
      </c>
      <c r="AE249" s="93">
        <f>CaseData!H130</f>
        <v>-457.38638491542872</v>
      </c>
    </row>
    <row r="250" spans="11:31">
      <c r="K250" s="50"/>
      <c r="L250" s="33" t="s">
        <v>33</v>
      </c>
      <c r="O250" s="40">
        <f t="shared" ref="O250:T250" si="217">SUM(O249:O249)</f>
        <v>-341.78571428571428</v>
      </c>
      <c r="P250" s="40">
        <f t="shared" si="217"/>
        <v>-362.2928571428572</v>
      </c>
      <c r="Q250" s="40">
        <f t="shared" si="217"/>
        <v>-384.03042857142862</v>
      </c>
      <c r="R250" s="40">
        <f t="shared" si="217"/>
        <v>-407.07225428571434</v>
      </c>
      <c r="S250" s="40">
        <f t="shared" si="217"/>
        <v>-431.49658954285724</v>
      </c>
      <c r="T250" s="40">
        <f t="shared" si="217"/>
        <v>-457.38638491542872</v>
      </c>
      <c r="V250" s="50"/>
      <c r="W250" s="33" t="s">
        <v>33</v>
      </c>
      <c r="Z250" s="40">
        <f t="shared" ref="Z250:AE250" si="218">SUM(Z249:Z249)</f>
        <v>-341.78571428571428</v>
      </c>
      <c r="AA250" s="40">
        <f t="shared" si="218"/>
        <v>-362.2928571428572</v>
      </c>
      <c r="AB250" s="40">
        <f t="shared" si="218"/>
        <v>-384.03042857142862</v>
      </c>
      <c r="AC250" s="40">
        <f t="shared" si="218"/>
        <v>-407.07225428571434</v>
      </c>
      <c r="AD250" s="40">
        <f t="shared" si="218"/>
        <v>-431.49658954285724</v>
      </c>
      <c r="AE250" s="40">
        <f t="shared" si="218"/>
        <v>-457.38638491542872</v>
      </c>
    </row>
    <row r="251" spans="11:31">
      <c r="K251" s="50"/>
      <c r="O251" s="40"/>
      <c r="P251" s="40"/>
      <c r="Q251" s="40"/>
      <c r="R251" s="40"/>
      <c r="S251" s="40"/>
      <c r="T251" s="40"/>
      <c r="V251" s="50"/>
      <c r="Z251" s="40"/>
      <c r="AA251" s="40"/>
      <c r="AB251" s="40"/>
      <c r="AC251" s="40"/>
      <c r="AD251" s="40"/>
      <c r="AE251" s="40"/>
    </row>
    <row r="252" spans="11:31">
      <c r="K252" s="50"/>
      <c r="L252" s="54" t="s">
        <v>35</v>
      </c>
      <c r="M252" s="54"/>
      <c r="N252" s="54"/>
      <c r="O252" s="37"/>
      <c r="P252" s="37"/>
      <c r="Q252" s="37"/>
      <c r="R252" s="37"/>
      <c r="S252" s="37"/>
      <c r="T252" s="37"/>
      <c r="V252" s="50"/>
      <c r="W252" s="54" t="s">
        <v>35</v>
      </c>
      <c r="X252" s="54"/>
      <c r="Y252" s="54"/>
      <c r="Z252" s="37"/>
      <c r="AA252" s="37"/>
      <c r="AB252" s="37"/>
      <c r="AC252" s="37"/>
      <c r="AD252" s="37"/>
      <c r="AE252" s="37"/>
    </row>
    <row r="253" spans="11:31">
      <c r="K253" s="50"/>
      <c r="L253" s="33" t="s">
        <v>36</v>
      </c>
      <c r="O253" s="114">
        <f>CaseData!C134</f>
        <v>-300</v>
      </c>
      <c r="P253" s="114">
        <f>CaseData!D134</f>
        <v>-300</v>
      </c>
      <c r="Q253" s="114">
        <f>CaseData!E134</f>
        <v>-300</v>
      </c>
      <c r="R253" s="114">
        <f>CaseData!F134</f>
        <v>-300</v>
      </c>
      <c r="S253" s="114">
        <f>CaseData!G134</f>
        <v>-300</v>
      </c>
      <c r="T253" s="114">
        <f>CaseData!H134</f>
        <v>-300</v>
      </c>
      <c r="V253" s="50"/>
      <c r="W253" s="33" t="s">
        <v>36</v>
      </c>
      <c r="Z253" s="114">
        <f>CaseData!C134</f>
        <v>-300</v>
      </c>
      <c r="AA253" s="114">
        <f>CaseData!D134</f>
        <v>-300</v>
      </c>
      <c r="AB253" s="114">
        <f>CaseData!E134</f>
        <v>-300</v>
      </c>
      <c r="AC253" s="114">
        <f>CaseData!F134</f>
        <v>-300</v>
      </c>
      <c r="AD253" s="114">
        <f>CaseData!G134</f>
        <v>-300</v>
      </c>
      <c r="AE253" s="114">
        <f>CaseData!H134</f>
        <v>-300</v>
      </c>
    </row>
    <row r="254" spans="11:31">
      <c r="K254" s="50"/>
      <c r="L254" s="33" t="s">
        <v>37</v>
      </c>
      <c r="O254" s="114">
        <f>CaseData!C135</f>
        <v>0</v>
      </c>
      <c r="P254" s="114">
        <f>CaseData!D135</f>
        <v>0</v>
      </c>
      <c r="Q254" s="114">
        <f>CaseData!E135</f>
        <v>0</v>
      </c>
      <c r="R254" s="114">
        <f>CaseData!F135</f>
        <v>0</v>
      </c>
      <c r="S254" s="114">
        <f>CaseData!G135</f>
        <v>0</v>
      </c>
      <c r="T254" s="114">
        <f>CaseData!H135</f>
        <v>0</v>
      </c>
      <c r="V254" s="50"/>
      <c r="W254" s="33" t="s">
        <v>37</v>
      </c>
      <c r="Z254" s="114">
        <f>CaseData!C135</f>
        <v>0</v>
      </c>
      <c r="AA254" s="114">
        <f>CaseData!D135</f>
        <v>0</v>
      </c>
      <c r="AB254" s="114">
        <f>CaseData!E135</f>
        <v>0</v>
      </c>
      <c r="AC254" s="114">
        <f>CaseData!F135</f>
        <v>0</v>
      </c>
      <c r="AD254" s="114">
        <f>CaseData!G135</f>
        <v>0</v>
      </c>
      <c r="AE254" s="114">
        <f>CaseData!H135</f>
        <v>0</v>
      </c>
    </row>
    <row r="255" spans="11:31">
      <c r="K255" s="50"/>
      <c r="L255" s="33" t="s">
        <v>38</v>
      </c>
      <c r="O255" s="93">
        <f>CaseData!C136</f>
        <v>-74.126144980361019</v>
      </c>
      <c r="P255" s="93">
        <f>CaseData!D136</f>
        <v>-91.372300660862578</v>
      </c>
      <c r="Q255" s="93">
        <f>CaseData!E136</f>
        <v>-109.71027289322672</v>
      </c>
      <c r="R255" s="93">
        <f>CaseData!F136</f>
        <v>-129.22602030005464</v>
      </c>
      <c r="S255" s="93">
        <f>CaseData!G136</f>
        <v>-150.01047394104236</v>
      </c>
      <c r="T255" s="93">
        <f>CaseData!H136</f>
        <v>-172.16127875092383</v>
      </c>
      <c r="V255" s="50"/>
      <c r="W255" s="33" t="s">
        <v>38</v>
      </c>
      <c r="Z255" s="93">
        <f>CaseData!C136</f>
        <v>-74.126144980361019</v>
      </c>
      <c r="AA255" s="93">
        <f>CaseData!D136</f>
        <v>-91.372300660862578</v>
      </c>
      <c r="AB255" s="93">
        <f>CaseData!E136</f>
        <v>-109.71027289322672</v>
      </c>
      <c r="AC255" s="93">
        <f>CaseData!F136</f>
        <v>-129.22602030005464</v>
      </c>
      <c r="AD255" s="93">
        <f>CaseData!G136</f>
        <v>-150.01047394104236</v>
      </c>
      <c r="AE255" s="93">
        <f>CaseData!H136</f>
        <v>-172.16127875092383</v>
      </c>
    </row>
    <row r="256" spans="11:31">
      <c r="K256" s="50"/>
      <c r="L256" s="33" t="s">
        <v>35</v>
      </c>
      <c r="O256" s="40">
        <f>SUM(O253:O255)</f>
        <v>-374.126144980361</v>
      </c>
      <c r="P256" s="40">
        <f t="shared" ref="P256:T256" si="219">SUM(P253:P255)</f>
        <v>-391.37230066086261</v>
      </c>
      <c r="Q256" s="40">
        <f t="shared" si="219"/>
        <v>-409.71027289322672</v>
      </c>
      <c r="R256" s="40">
        <f t="shared" si="219"/>
        <v>-429.22602030005464</v>
      </c>
      <c r="S256" s="40">
        <f t="shared" si="219"/>
        <v>-450.01047394104239</v>
      </c>
      <c r="T256" s="40">
        <f t="shared" si="219"/>
        <v>-472.16127875092383</v>
      </c>
      <c r="V256" s="50"/>
      <c r="W256" s="33" t="s">
        <v>35</v>
      </c>
      <c r="Z256" s="40">
        <f>SUM(Z253:Z255)</f>
        <v>-374.126144980361</v>
      </c>
      <c r="AA256" s="40">
        <f t="shared" ref="AA256:AE256" si="220">SUM(AA253:AA255)</f>
        <v>-391.37230066086261</v>
      </c>
      <c r="AB256" s="40">
        <f t="shared" si="220"/>
        <v>-409.71027289322672</v>
      </c>
      <c r="AC256" s="40">
        <f t="shared" si="220"/>
        <v>-429.22602030005464</v>
      </c>
      <c r="AD256" s="40">
        <f t="shared" si="220"/>
        <v>-450.01047394104239</v>
      </c>
      <c r="AE256" s="40">
        <f t="shared" si="220"/>
        <v>-472.16127875092383</v>
      </c>
    </row>
    <row r="257" spans="11:31">
      <c r="K257" s="50"/>
      <c r="O257" s="40"/>
      <c r="P257" s="40"/>
      <c r="Q257" s="40"/>
      <c r="R257" s="40"/>
      <c r="S257" s="40"/>
      <c r="T257" s="40"/>
      <c r="V257" s="50"/>
      <c r="Z257" s="40"/>
      <c r="AA257" s="40"/>
      <c r="AB257" s="40"/>
      <c r="AC257" s="40"/>
      <c r="AD257" s="40"/>
      <c r="AE257" s="40"/>
    </row>
    <row r="258" spans="11:31">
      <c r="K258" s="47"/>
      <c r="L258" s="33" t="s">
        <v>39</v>
      </c>
      <c r="O258" s="114">
        <f>CaseData!C139</f>
        <v>1800</v>
      </c>
      <c r="P258" s="40">
        <f>O260</f>
        <v>1628.3895763827472</v>
      </c>
      <c r="Q258" s="40">
        <f t="shared" ref="Q258:T258" si="221">P260</f>
        <v>1492.0444684009501</v>
      </c>
      <c r="R258" s="40">
        <f t="shared" si="221"/>
        <v>1395.5969051518127</v>
      </c>
      <c r="S258" s="40">
        <f t="shared" si="221"/>
        <v>1341.6264715662262</v>
      </c>
      <c r="T258" s="40">
        <f t="shared" si="221"/>
        <v>1332.9151059962769</v>
      </c>
      <c r="V258" s="50"/>
      <c r="W258" s="33" t="s">
        <v>39</v>
      </c>
      <c r="Z258" s="114">
        <f>CaseData!C139</f>
        <v>1800</v>
      </c>
      <c r="AA258" s="40">
        <f>Z260</f>
        <v>1628.3895763827472</v>
      </c>
      <c r="AB258" s="40">
        <f t="shared" ref="AB258:AE258" si="222">AA260</f>
        <v>1492.0444684009501</v>
      </c>
      <c r="AC258" s="40">
        <f t="shared" si="222"/>
        <v>1395.5969051518127</v>
      </c>
      <c r="AD258" s="40">
        <f t="shared" si="222"/>
        <v>1341.6264715662262</v>
      </c>
      <c r="AE258" s="40">
        <f t="shared" si="222"/>
        <v>1332.9151059962769</v>
      </c>
    </row>
    <row r="259" spans="11:31">
      <c r="K259" s="50"/>
      <c r="L259" s="33" t="s">
        <v>40</v>
      </c>
      <c r="O259" s="85">
        <f>O246+O250+O256</f>
        <v>-171.61042361725282</v>
      </c>
      <c r="P259" s="85">
        <f t="shared" ref="P259:T259" si="223">P246+P250+P256</f>
        <v>-136.34510798179713</v>
      </c>
      <c r="Q259" s="85">
        <f t="shared" si="223"/>
        <v>-96.447563249137488</v>
      </c>
      <c r="R259" s="85">
        <f t="shared" si="223"/>
        <v>-53.970433585586591</v>
      </c>
      <c r="S259" s="85">
        <f t="shared" si="223"/>
        <v>-8.7113655699491801</v>
      </c>
      <c r="T259" s="85">
        <f t="shared" si="223"/>
        <v>39.547088446936812</v>
      </c>
      <c r="V259" s="47"/>
      <c r="W259" s="33" t="s">
        <v>40</v>
      </c>
      <c r="Z259" s="85">
        <f>Z246+Z250+Z256</f>
        <v>-171.61042361725282</v>
      </c>
      <c r="AA259" s="85">
        <f t="shared" ref="AA259:AE259" si="224">AA246+AA250+AA256</f>
        <v>-136.34510798179713</v>
      </c>
      <c r="AB259" s="85">
        <f t="shared" si="224"/>
        <v>-96.447563249137488</v>
      </c>
      <c r="AC259" s="85">
        <f t="shared" si="224"/>
        <v>-53.970433585586591</v>
      </c>
      <c r="AD259" s="85">
        <f t="shared" si="224"/>
        <v>-8.7113655699491801</v>
      </c>
      <c r="AE259" s="85">
        <f t="shared" si="224"/>
        <v>39.547088446936812</v>
      </c>
    </row>
    <row r="260" spans="11:31">
      <c r="K260" s="50"/>
      <c r="L260" s="54" t="s">
        <v>41</v>
      </c>
      <c r="M260" s="54"/>
      <c r="N260" s="54"/>
      <c r="O260" s="86">
        <f>SUM(O258:O259)</f>
        <v>1628.3895763827472</v>
      </c>
      <c r="P260" s="86">
        <f t="shared" ref="P260:T260" si="225">SUM(P258:P259)</f>
        <v>1492.0444684009501</v>
      </c>
      <c r="Q260" s="86">
        <f t="shared" si="225"/>
        <v>1395.5969051518127</v>
      </c>
      <c r="R260" s="86">
        <f t="shared" si="225"/>
        <v>1341.6264715662262</v>
      </c>
      <c r="S260" s="86">
        <f t="shared" si="225"/>
        <v>1332.9151059962769</v>
      </c>
      <c r="T260" s="86">
        <f t="shared" si="225"/>
        <v>1372.4621944432138</v>
      </c>
      <c r="V260" s="50"/>
      <c r="W260" s="54" t="s">
        <v>41</v>
      </c>
      <c r="X260" s="54"/>
      <c r="Y260" s="54"/>
      <c r="Z260" s="86">
        <f>SUM(Z258:Z259)</f>
        <v>1628.3895763827472</v>
      </c>
      <c r="AA260" s="86">
        <f t="shared" ref="AA260:AE260" si="226">SUM(AA258:AA259)</f>
        <v>1492.0444684009501</v>
      </c>
      <c r="AB260" s="86">
        <f t="shared" si="226"/>
        <v>1395.5969051518127</v>
      </c>
      <c r="AC260" s="86">
        <f t="shared" si="226"/>
        <v>1341.6264715662262</v>
      </c>
      <c r="AD260" s="86">
        <f t="shared" si="226"/>
        <v>1332.9151059962769</v>
      </c>
      <c r="AE260" s="86">
        <f t="shared" si="226"/>
        <v>1372.4621944432138</v>
      </c>
    </row>
    <row r="261" spans="11:31">
      <c r="K261" s="50"/>
      <c r="L261" s="55"/>
      <c r="M261" s="55"/>
      <c r="N261" s="55"/>
      <c r="O261" s="56"/>
      <c r="P261" s="56"/>
      <c r="Q261" s="56"/>
      <c r="R261" s="56"/>
      <c r="S261" s="56"/>
      <c r="T261" s="56"/>
      <c r="V261" s="50"/>
      <c r="W261" s="55"/>
      <c r="X261" s="55"/>
      <c r="Y261" s="55"/>
      <c r="Z261" s="56"/>
      <c r="AA261" s="56"/>
      <c r="AB261" s="56"/>
      <c r="AC261" s="56"/>
      <c r="AD261" s="56"/>
      <c r="AE261" s="56"/>
    </row>
    <row r="262" spans="11:31">
      <c r="K262" s="50"/>
      <c r="O262" s="87"/>
      <c r="P262" s="87"/>
      <c r="Q262" s="87"/>
      <c r="R262" s="87"/>
      <c r="S262" s="87"/>
      <c r="T262" s="87"/>
      <c r="V262" s="50"/>
      <c r="Z262" s="87"/>
      <c r="AA262" s="87"/>
      <c r="AB262" s="87"/>
      <c r="AC262" s="87"/>
      <c r="AD262" s="87"/>
      <c r="AE262" s="87"/>
    </row>
    <row r="263" spans="11:31">
      <c r="K263" s="50"/>
      <c r="O263" s="87"/>
      <c r="P263" s="87"/>
      <c r="Q263" s="87"/>
      <c r="R263" s="87"/>
      <c r="S263" s="87"/>
      <c r="T263" s="87"/>
      <c r="V263" s="50"/>
      <c r="Z263" s="87"/>
      <c r="AA263" s="87"/>
      <c r="AB263" s="87"/>
      <c r="AC263" s="87"/>
      <c r="AD263" s="87"/>
      <c r="AE263" s="87"/>
    </row>
    <row r="264" spans="11:31" ht="15">
      <c r="K264" s="50"/>
      <c r="L264" s="49" t="s">
        <v>88</v>
      </c>
      <c r="M264" s="49"/>
      <c r="N264" s="49"/>
      <c r="O264" s="48"/>
      <c r="P264" s="48"/>
      <c r="Q264" s="48"/>
      <c r="R264" s="48"/>
      <c r="S264" s="48"/>
      <c r="T264" s="48"/>
      <c r="V264" s="50"/>
      <c r="W264" s="49" t="s">
        <v>88</v>
      </c>
      <c r="X264" s="49"/>
      <c r="Y264" s="49"/>
      <c r="Z264" s="48"/>
      <c r="AA264" s="48"/>
      <c r="AB264" s="48"/>
      <c r="AC264" s="48"/>
      <c r="AD264" s="48"/>
      <c r="AE264" s="48"/>
    </row>
    <row r="265" spans="11:31">
      <c r="K265" s="50"/>
      <c r="L265" s="51" t="s">
        <v>23</v>
      </c>
      <c r="M265" s="51"/>
      <c r="N265" s="51"/>
      <c r="V265" s="50"/>
      <c r="W265" s="51" t="s">
        <v>23</v>
      </c>
      <c r="X265" s="51"/>
      <c r="Y265" s="51"/>
    </row>
    <row r="266" spans="11:31">
      <c r="K266" s="50"/>
      <c r="L266" s="51"/>
      <c r="M266" s="51"/>
      <c r="N266" s="51"/>
      <c r="V266" s="50"/>
      <c r="W266" s="51"/>
      <c r="X266" s="51"/>
      <c r="Y266" s="51"/>
    </row>
    <row r="267" spans="11:31">
      <c r="K267" s="50"/>
      <c r="O267" s="83">
        <f t="shared" ref="O267:T267" si="227">O240</f>
        <v>44926</v>
      </c>
      <c r="P267" s="84">
        <f t="shared" si="227"/>
        <v>45291</v>
      </c>
      <c r="Q267" s="84">
        <f t="shared" si="227"/>
        <v>45657</v>
      </c>
      <c r="R267" s="84">
        <f t="shared" si="227"/>
        <v>46022</v>
      </c>
      <c r="S267" s="84">
        <f t="shared" si="227"/>
        <v>46387</v>
      </c>
      <c r="T267" s="84">
        <f t="shared" si="227"/>
        <v>46752</v>
      </c>
      <c r="V267" s="50"/>
      <c r="Z267" s="83">
        <f t="shared" ref="Z267:AE267" si="228">Z240</f>
        <v>44926</v>
      </c>
      <c r="AA267" s="84">
        <f t="shared" si="228"/>
        <v>45291</v>
      </c>
      <c r="AB267" s="84">
        <f t="shared" si="228"/>
        <v>45657</v>
      </c>
      <c r="AC267" s="84">
        <f t="shared" si="228"/>
        <v>46022</v>
      </c>
      <c r="AD267" s="84">
        <f t="shared" si="228"/>
        <v>46387</v>
      </c>
      <c r="AE267" s="84">
        <f t="shared" si="228"/>
        <v>46752</v>
      </c>
    </row>
    <row r="268" spans="11:31">
      <c r="K268" s="50"/>
      <c r="O268" s="88"/>
      <c r="P268" s="88"/>
      <c r="Q268" s="88"/>
      <c r="R268" s="88"/>
      <c r="S268" s="88"/>
      <c r="T268" s="88"/>
      <c r="V268" s="50"/>
      <c r="Z268" s="88"/>
      <c r="AA268" s="88"/>
      <c r="AB268" s="88"/>
      <c r="AC268" s="88"/>
      <c r="AD268" s="88"/>
      <c r="AE268" s="88"/>
    </row>
    <row r="269" spans="11:31">
      <c r="K269" s="50"/>
      <c r="L269" s="54" t="s">
        <v>42</v>
      </c>
      <c r="M269" s="54"/>
      <c r="N269" s="54"/>
      <c r="O269" s="88"/>
      <c r="P269" s="88"/>
      <c r="Q269" s="88"/>
      <c r="R269" s="88"/>
      <c r="S269" s="88"/>
      <c r="T269" s="88"/>
      <c r="V269" s="50"/>
      <c r="W269" s="54" t="s">
        <v>42</v>
      </c>
      <c r="X269" s="54"/>
      <c r="Y269" s="54"/>
      <c r="Z269" s="88"/>
      <c r="AA269" s="88"/>
      <c r="AB269" s="88"/>
      <c r="AC269" s="88"/>
      <c r="AD269" s="88"/>
      <c r="AE269" s="88"/>
    </row>
    <row r="270" spans="11:31">
      <c r="K270" s="50"/>
      <c r="L270" s="33" t="s">
        <v>43</v>
      </c>
      <c r="O270" s="40">
        <f>O260</f>
        <v>1628.3895763827472</v>
      </c>
      <c r="P270" s="40">
        <f t="shared" ref="P270:T270" si="229">P260</f>
        <v>1492.0444684009501</v>
      </c>
      <c r="Q270" s="40">
        <f t="shared" si="229"/>
        <v>1395.5969051518127</v>
      </c>
      <c r="R270" s="40">
        <f t="shared" si="229"/>
        <v>1341.6264715662262</v>
      </c>
      <c r="S270" s="40">
        <f t="shared" si="229"/>
        <v>1332.9151059962769</v>
      </c>
      <c r="T270" s="40">
        <f t="shared" si="229"/>
        <v>1372.4621944432138</v>
      </c>
      <c r="V270" s="50"/>
      <c r="W270" s="33" t="s">
        <v>43</v>
      </c>
      <c r="Z270" s="40">
        <f>Z260</f>
        <v>1628.3895763827472</v>
      </c>
      <c r="AA270" s="40">
        <f t="shared" ref="AA270:AE270" si="230">AA260</f>
        <v>1492.0444684009501</v>
      </c>
      <c r="AB270" s="40">
        <f t="shared" si="230"/>
        <v>1395.5969051518127</v>
      </c>
      <c r="AC270" s="40">
        <f t="shared" si="230"/>
        <v>1341.6264715662262</v>
      </c>
      <c r="AD270" s="40">
        <f t="shared" si="230"/>
        <v>1332.9151059962769</v>
      </c>
      <c r="AE270" s="40">
        <f t="shared" si="230"/>
        <v>1372.4621944432138</v>
      </c>
    </row>
    <row r="271" spans="11:31">
      <c r="K271" s="50"/>
      <c r="L271" s="33" t="s">
        <v>44</v>
      </c>
      <c r="O271" s="114">
        <f>CaseData!C152</f>
        <v>171.42857142857144</v>
      </c>
      <c r="P271" s="114">
        <f>CaseData!D152</f>
        <v>181.71428571428572</v>
      </c>
      <c r="Q271" s="114">
        <f>CaseData!E152</f>
        <v>192.61714285714288</v>
      </c>
      <c r="R271" s="114">
        <f>CaseData!F152</f>
        <v>204.17417142857147</v>
      </c>
      <c r="S271" s="114">
        <f>CaseData!G152</f>
        <v>216.42462171428576</v>
      </c>
      <c r="T271" s="114">
        <f>CaseData!H152</f>
        <v>229.4100990171429</v>
      </c>
      <c r="V271" s="50"/>
      <c r="W271" s="33" t="s">
        <v>44</v>
      </c>
      <c r="Z271" s="114">
        <f>CaseData!C152</f>
        <v>171.42857142857144</v>
      </c>
      <c r="AA271" s="114">
        <f>CaseData!D152</f>
        <v>181.71428571428572</v>
      </c>
      <c r="AB271" s="114">
        <f>CaseData!E152</f>
        <v>192.61714285714288</v>
      </c>
      <c r="AC271" s="114">
        <f>CaseData!F152</f>
        <v>204.17417142857147</v>
      </c>
      <c r="AD271" s="114">
        <f>CaseData!G152</f>
        <v>216.42462171428576</v>
      </c>
      <c r="AE271" s="114">
        <f>CaseData!H152</f>
        <v>229.4100990171429</v>
      </c>
    </row>
    <row r="272" spans="11:31">
      <c r="K272" s="50"/>
      <c r="L272" s="33" t="s">
        <v>1</v>
      </c>
      <c r="O272" s="114">
        <f>CaseData!C153</f>
        <v>186.42857142857144</v>
      </c>
      <c r="P272" s="114">
        <f>CaseData!D153</f>
        <v>194.20714285714288</v>
      </c>
      <c r="Q272" s="114">
        <f>CaseData!E153</f>
        <v>202.24800000000005</v>
      </c>
      <c r="R272" s="114">
        <f>CaseData!F153</f>
        <v>210.55461428571431</v>
      </c>
      <c r="S272" s="114">
        <f>CaseData!G153</f>
        <v>219.12992948571434</v>
      </c>
      <c r="T272" s="114">
        <f>CaseData!H153</f>
        <v>227.97628589828579</v>
      </c>
      <c r="V272" s="50"/>
      <c r="W272" s="33" t="s">
        <v>1</v>
      </c>
      <c r="Z272" s="114">
        <f>CaseData!C153</f>
        <v>186.42857142857144</v>
      </c>
      <c r="AA272" s="114">
        <f>CaseData!D153</f>
        <v>194.20714285714288</v>
      </c>
      <c r="AB272" s="114">
        <f>CaseData!E153</f>
        <v>202.24800000000005</v>
      </c>
      <c r="AC272" s="114">
        <f>CaseData!F153</f>
        <v>210.55461428571431</v>
      </c>
      <c r="AD272" s="114">
        <f>CaseData!G153</f>
        <v>219.12992948571434</v>
      </c>
      <c r="AE272" s="114">
        <f>CaseData!H153</f>
        <v>227.97628589828579</v>
      </c>
    </row>
    <row r="273" spans="11:31">
      <c r="K273" s="50"/>
      <c r="L273" s="33" t="s">
        <v>0</v>
      </c>
      <c r="O273" s="93">
        <f>CaseData!C154</f>
        <v>53.571428571428569</v>
      </c>
      <c r="P273" s="93">
        <f>CaseData!D154</f>
        <v>56.785714285714292</v>
      </c>
      <c r="Q273" s="93">
        <f>CaseData!E154</f>
        <v>60.19285714285715</v>
      </c>
      <c r="R273" s="93">
        <f>CaseData!F154</f>
        <v>63.804428571428588</v>
      </c>
      <c r="S273" s="93">
        <f>CaseData!G154</f>
        <v>67.632694285714308</v>
      </c>
      <c r="T273" s="93">
        <f>CaseData!H154</f>
        <v>71.690655942857163</v>
      </c>
      <c r="V273" s="50"/>
      <c r="W273" s="33" t="s">
        <v>0</v>
      </c>
      <c r="Z273" s="93">
        <f>CaseData!C154</f>
        <v>53.571428571428569</v>
      </c>
      <c r="AA273" s="93">
        <f>CaseData!D154</f>
        <v>56.785714285714292</v>
      </c>
      <c r="AB273" s="93">
        <f>CaseData!E154</f>
        <v>60.19285714285715</v>
      </c>
      <c r="AC273" s="93">
        <f>CaseData!F154</f>
        <v>63.804428571428588</v>
      </c>
      <c r="AD273" s="93">
        <f>CaseData!G154</f>
        <v>67.632694285714308</v>
      </c>
      <c r="AE273" s="93">
        <f>CaseData!H154</f>
        <v>71.690655942857163</v>
      </c>
    </row>
    <row r="274" spans="11:31">
      <c r="K274" s="50"/>
      <c r="L274" s="33" t="s">
        <v>9</v>
      </c>
      <c r="O274" s="37">
        <f>SUM(O270:O273)</f>
        <v>2039.818147811319</v>
      </c>
      <c r="P274" s="37">
        <f t="shared" ref="P274:T274" si="231">SUM(P270:P273)</f>
        <v>1924.7516112580929</v>
      </c>
      <c r="Q274" s="37">
        <f t="shared" si="231"/>
        <v>1850.6549051518127</v>
      </c>
      <c r="R274" s="37">
        <f t="shared" si="231"/>
        <v>1820.1596858519406</v>
      </c>
      <c r="S274" s="37">
        <f t="shared" si="231"/>
        <v>1836.1023514819915</v>
      </c>
      <c r="T274" s="37">
        <f t="shared" si="231"/>
        <v>1901.5392353014995</v>
      </c>
      <c r="V274" s="50"/>
      <c r="W274" s="33" t="s">
        <v>9</v>
      </c>
      <c r="Z274" s="37">
        <f>SUM(Z270:Z273)</f>
        <v>2039.818147811319</v>
      </c>
      <c r="AA274" s="37">
        <f t="shared" ref="AA274:AE274" si="232">SUM(AA270:AA273)</f>
        <v>1924.7516112580929</v>
      </c>
      <c r="AB274" s="37">
        <f t="shared" si="232"/>
        <v>1850.6549051518127</v>
      </c>
      <c r="AC274" s="37">
        <f t="shared" si="232"/>
        <v>1820.1596858519406</v>
      </c>
      <c r="AD274" s="37">
        <f t="shared" si="232"/>
        <v>1836.1023514819915</v>
      </c>
      <c r="AE274" s="37">
        <f t="shared" si="232"/>
        <v>1901.5392353014995</v>
      </c>
    </row>
    <row r="275" spans="11:31">
      <c r="K275" s="50"/>
      <c r="O275" s="37"/>
      <c r="P275" s="37"/>
      <c r="Q275" s="37"/>
      <c r="R275" s="37"/>
      <c r="S275" s="37"/>
      <c r="T275" s="37"/>
      <c r="V275" s="50"/>
      <c r="Z275" s="37"/>
      <c r="AA275" s="37"/>
      <c r="AB275" s="37"/>
      <c r="AC275" s="37"/>
      <c r="AD275" s="37"/>
      <c r="AE275" s="37"/>
    </row>
    <row r="276" spans="11:31">
      <c r="K276" s="50"/>
      <c r="L276" s="33" t="s">
        <v>45</v>
      </c>
      <c r="O276" s="114">
        <f>CaseData!C157</f>
        <v>6214.2857142857138</v>
      </c>
      <c r="P276" s="114">
        <f>CaseData!D157</f>
        <v>6247.2214285714272</v>
      </c>
      <c r="Q276" s="114">
        <f>CaseData!E157</f>
        <v>6282.1332857142843</v>
      </c>
      <c r="R276" s="114">
        <f>CaseData!F157</f>
        <v>6319.1398542857114</v>
      </c>
      <c r="S276" s="114">
        <f>CaseData!G157</f>
        <v>6358.3668169714274</v>
      </c>
      <c r="T276" s="114">
        <f>CaseData!H157</f>
        <v>6399.9473974182847</v>
      </c>
      <c r="V276" s="50"/>
      <c r="W276" s="33" t="s">
        <v>45</v>
      </c>
      <c r="Z276" s="114">
        <f>CaseData!C157</f>
        <v>6214.2857142857138</v>
      </c>
      <c r="AA276" s="114">
        <f>CaseData!D157</f>
        <v>6247.2214285714272</v>
      </c>
      <c r="AB276" s="114">
        <f>CaseData!E157</f>
        <v>6282.1332857142843</v>
      </c>
      <c r="AC276" s="114">
        <f>CaseData!F157</f>
        <v>6319.1398542857114</v>
      </c>
      <c r="AD276" s="114">
        <f>CaseData!G157</f>
        <v>6358.3668169714274</v>
      </c>
      <c r="AE276" s="114">
        <f>CaseData!H157</f>
        <v>6399.9473974182847</v>
      </c>
    </row>
    <row r="277" spans="11:31">
      <c r="K277" s="50"/>
      <c r="L277" s="33" t="s">
        <v>0</v>
      </c>
      <c r="O277" s="93">
        <f>CaseData!C158</f>
        <v>18</v>
      </c>
      <c r="P277" s="93">
        <f>CaseData!D158</f>
        <v>18</v>
      </c>
      <c r="Q277" s="93">
        <f>CaseData!E158</f>
        <v>18</v>
      </c>
      <c r="R277" s="93">
        <f>CaseData!F158</f>
        <v>18</v>
      </c>
      <c r="S277" s="93">
        <f>CaseData!G158</f>
        <v>18</v>
      </c>
      <c r="T277" s="93">
        <f>CaseData!H158</f>
        <v>18</v>
      </c>
      <c r="V277" s="50"/>
      <c r="W277" s="33" t="s">
        <v>0</v>
      </c>
      <c r="Z277" s="93">
        <f>CaseData!C158</f>
        <v>18</v>
      </c>
      <c r="AA277" s="93">
        <f>CaseData!D158</f>
        <v>18</v>
      </c>
      <c r="AB277" s="93">
        <f>CaseData!E158</f>
        <v>18</v>
      </c>
      <c r="AC277" s="93">
        <f>CaseData!F158</f>
        <v>18</v>
      </c>
      <c r="AD277" s="93">
        <f>CaseData!G158</f>
        <v>18</v>
      </c>
      <c r="AE277" s="93">
        <f>CaseData!H158</f>
        <v>18</v>
      </c>
    </row>
    <row r="278" spans="11:31">
      <c r="K278" s="50"/>
      <c r="L278" s="33" t="s">
        <v>46</v>
      </c>
      <c r="O278" s="37">
        <f>SUM(O276:O277)</f>
        <v>6232.2857142857138</v>
      </c>
      <c r="P278" s="37">
        <f t="shared" ref="P278:T278" si="233">SUM(P276:P277)</f>
        <v>6265.2214285714272</v>
      </c>
      <c r="Q278" s="37">
        <f t="shared" si="233"/>
        <v>6300.1332857142843</v>
      </c>
      <c r="R278" s="37">
        <f t="shared" si="233"/>
        <v>6337.1398542857114</v>
      </c>
      <c r="S278" s="37">
        <f t="shared" si="233"/>
        <v>6376.3668169714274</v>
      </c>
      <c r="T278" s="37">
        <f t="shared" si="233"/>
        <v>6417.9473974182847</v>
      </c>
      <c r="V278" s="50"/>
      <c r="W278" s="33" t="s">
        <v>46</v>
      </c>
      <c r="Z278" s="37">
        <f>SUM(Z276:Z277)</f>
        <v>6232.2857142857138</v>
      </c>
      <c r="AA278" s="37">
        <f t="shared" ref="AA278:AE278" si="234">SUM(AA276:AA277)</f>
        <v>6265.2214285714272</v>
      </c>
      <c r="AB278" s="37">
        <f t="shared" si="234"/>
        <v>6300.1332857142843</v>
      </c>
      <c r="AC278" s="37">
        <f t="shared" si="234"/>
        <v>6337.1398542857114</v>
      </c>
      <c r="AD278" s="37">
        <f t="shared" si="234"/>
        <v>6376.3668169714274</v>
      </c>
      <c r="AE278" s="37">
        <f t="shared" si="234"/>
        <v>6417.9473974182847</v>
      </c>
    </row>
    <row r="279" spans="11:31">
      <c r="K279" s="50"/>
      <c r="O279" s="37"/>
      <c r="P279" s="37"/>
      <c r="Q279" s="37"/>
      <c r="R279" s="37"/>
      <c r="S279" s="37"/>
      <c r="T279" s="37"/>
      <c r="V279" s="50"/>
      <c r="Z279" s="37"/>
      <c r="AA279" s="37"/>
      <c r="AB279" s="37"/>
      <c r="AC279" s="37"/>
      <c r="AD279" s="37"/>
      <c r="AE279" s="37"/>
    </row>
    <row r="280" spans="11:31">
      <c r="K280" s="50"/>
      <c r="L280" s="54" t="s">
        <v>10</v>
      </c>
      <c r="M280" s="54"/>
      <c r="N280" s="54"/>
      <c r="O280" s="89">
        <f>O274+O278</f>
        <v>8272.1038620970321</v>
      </c>
      <c r="P280" s="89">
        <f t="shared" ref="P280:T280" si="235">P274+P278</f>
        <v>8189.9730398295196</v>
      </c>
      <c r="Q280" s="89">
        <f t="shared" si="235"/>
        <v>8150.7881908660966</v>
      </c>
      <c r="R280" s="89">
        <f t="shared" si="235"/>
        <v>8157.299540137652</v>
      </c>
      <c r="S280" s="89">
        <f t="shared" si="235"/>
        <v>8212.4691684534191</v>
      </c>
      <c r="T280" s="89">
        <f t="shared" si="235"/>
        <v>8319.4866327197851</v>
      </c>
      <c r="V280" s="50"/>
      <c r="W280" s="54" t="s">
        <v>10</v>
      </c>
      <c r="X280" s="54"/>
      <c r="Y280" s="54"/>
      <c r="Z280" s="89">
        <f>Z274+Z278</f>
        <v>8272.1038620970321</v>
      </c>
      <c r="AA280" s="89">
        <f t="shared" ref="AA280:AE280" si="236">AA274+AA278</f>
        <v>8189.9730398295196</v>
      </c>
      <c r="AB280" s="89">
        <f t="shared" si="236"/>
        <v>8150.7881908660966</v>
      </c>
      <c r="AC280" s="89">
        <f t="shared" si="236"/>
        <v>8157.299540137652</v>
      </c>
      <c r="AD280" s="89">
        <f t="shared" si="236"/>
        <v>8212.4691684534191</v>
      </c>
      <c r="AE280" s="89">
        <f t="shared" si="236"/>
        <v>8319.4866327197851</v>
      </c>
    </row>
    <row r="281" spans="11:31">
      <c r="K281" s="50"/>
      <c r="O281" s="37"/>
      <c r="P281" s="37"/>
      <c r="Q281" s="37"/>
      <c r="R281" s="37"/>
      <c r="S281" s="37"/>
      <c r="T281" s="37"/>
      <c r="V281" s="50"/>
      <c r="Z281" s="37"/>
      <c r="AA281" s="37"/>
      <c r="AB281" s="37"/>
      <c r="AC281" s="37"/>
      <c r="AD281" s="37"/>
      <c r="AE281" s="37"/>
    </row>
    <row r="282" spans="11:31">
      <c r="K282" s="50"/>
      <c r="L282" s="54" t="s">
        <v>47</v>
      </c>
      <c r="M282" s="54"/>
      <c r="N282" s="54"/>
      <c r="O282" s="37"/>
      <c r="P282" s="37"/>
      <c r="Q282" s="37"/>
      <c r="R282" s="37"/>
      <c r="S282" s="37"/>
      <c r="T282" s="37"/>
      <c r="V282" s="50"/>
      <c r="W282" s="54" t="s">
        <v>47</v>
      </c>
      <c r="X282" s="54"/>
      <c r="Y282" s="54"/>
      <c r="Z282" s="37"/>
      <c r="AA282" s="37"/>
      <c r="AB282" s="37"/>
      <c r="AC282" s="37"/>
      <c r="AD282" s="37"/>
      <c r="AE282" s="37"/>
    </row>
    <row r="283" spans="11:31">
      <c r="K283" s="50"/>
      <c r="L283" s="33" t="s">
        <v>48</v>
      </c>
      <c r="O283" s="114">
        <f>CaseData!C164</f>
        <v>111.85714285714288</v>
      </c>
      <c r="P283" s="114">
        <f>CaseData!D164</f>
        <v>116.52428571428574</v>
      </c>
      <c r="Q283" s="114">
        <f>CaseData!E164</f>
        <v>121.34880000000004</v>
      </c>
      <c r="R283" s="114">
        <f>CaseData!F164</f>
        <v>126.3327685714286</v>
      </c>
      <c r="S283" s="114">
        <f>CaseData!G164</f>
        <v>131.47795769142863</v>
      </c>
      <c r="T283" s="114">
        <f>CaseData!H164</f>
        <v>136.78577153897146</v>
      </c>
      <c r="V283" s="50"/>
      <c r="W283" s="33" t="s">
        <v>48</v>
      </c>
      <c r="Z283" s="114">
        <f>CaseData!C164</f>
        <v>111.85714285714288</v>
      </c>
      <c r="AA283" s="114">
        <f>CaseData!D164</f>
        <v>116.52428571428574</v>
      </c>
      <c r="AB283" s="114">
        <f>CaseData!E164</f>
        <v>121.34880000000004</v>
      </c>
      <c r="AC283" s="114">
        <f>CaseData!F164</f>
        <v>126.3327685714286</v>
      </c>
      <c r="AD283" s="114">
        <f>CaseData!G164</f>
        <v>131.47795769142863</v>
      </c>
      <c r="AE283" s="114">
        <f>CaseData!H164</f>
        <v>136.78577153897146</v>
      </c>
    </row>
    <row r="284" spans="11:31">
      <c r="K284" s="50"/>
      <c r="L284" s="33" t="s">
        <v>49</v>
      </c>
      <c r="O284" s="114">
        <f>CaseData!C165</f>
        <v>300</v>
      </c>
      <c r="P284" s="114">
        <f>CaseData!D165</f>
        <v>300</v>
      </c>
      <c r="Q284" s="114">
        <f>CaseData!E165</f>
        <v>300</v>
      </c>
      <c r="R284" s="114">
        <f>CaseData!F165</f>
        <v>300</v>
      </c>
      <c r="S284" s="114">
        <f>CaseData!G165</f>
        <v>300</v>
      </c>
      <c r="T284" s="114">
        <f>CaseData!H165</f>
        <v>300</v>
      </c>
      <c r="V284" s="50"/>
      <c r="W284" s="33" t="s">
        <v>49</v>
      </c>
      <c r="Z284" s="114">
        <f>CaseData!C165</f>
        <v>300</v>
      </c>
      <c r="AA284" s="114">
        <f>CaseData!D165</f>
        <v>300</v>
      </c>
      <c r="AB284" s="114">
        <f>CaseData!E165</f>
        <v>300</v>
      </c>
      <c r="AC284" s="114">
        <f>CaseData!F165</f>
        <v>300</v>
      </c>
      <c r="AD284" s="114">
        <f>CaseData!G165</f>
        <v>300</v>
      </c>
      <c r="AE284" s="114">
        <f>CaseData!H165</f>
        <v>300</v>
      </c>
    </row>
    <row r="285" spans="11:31">
      <c r="K285" s="50"/>
      <c r="L285" s="33" t="s">
        <v>0</v>
      </c>
      <c r="O285" s="93">
        <f>CaseData!C166</f>
        <v>9.4499999999999993</v>
      </c>
      <c r="P285" s="93">
        <f>CaseData!D166</f>
        <v>9.4499999999999993</v>
      </c>
      <c r="Q285" s="93">
        <f>CaseData!E166</f>
        <v>9.4499999999999993</v>
      </c>
      <c r="R285" s="93">
        <f>CaseData!F166</f>
        <v>9.4499999999999993</v>
      </c>
      <c r="S285" s="93">
        <f>CaseData!G166</f>
        <v>9.4499999999999993</v>
      </c>
      <c r="T285" s="93">
        <f>CaseData!H166</f>
        <v>9.4499999999999993</v>
      </c>
      <c r="V285" s="50"/>
      <c r="W285" s="33" t="s">
        <v>0</v>
      </c>
      <c r="Z285" s="93">
        <f>CaseData!C166</f>
        <v>9.4499999999999993</v>
      </c>
      <c r="AA285" s="93">
        <f>CaseData!D166</f>
        <v>9.4499999999999993</v>
      </c>
      <c r="AB285" s="93">
        <f>CaseData!E166</f>
        <v>9.4499999999999993</v>
      </c>
      <c r="AC285" s="93">
        <f>CaseData!F166</f>
        <v>9.4499999999999993</v>
      </c>
      <c r="AD285" s="93">
        <f>CaseData!G166</f>
        <v>9.4499999999999993</v>
      </c>
      <c r="AE285" s="93">
        <f>CaseData!H166</f>
        <v>9.4499999999999993</v>
      </c>
    </row>
    <row r="286" spans="11:31">
      <c r="K286" s="50"/>
      <c r="L286" s="33" t="s">
        <v>11</v>
      </c>
      <c r="O286" s="40">
        <f>SUM(O283:O285)</f>
        <v>421.30714285714288</v>
      </c>
      <c r="P286" s="40">
        <f t="shared" ref="P286:T286" si="237">SUM(P283:P285)</f>
        <v>425.97428571428571</v>
      </c>
      <c r="Q286" s="40">
        <f t="shared" si="237"/>
        <v>430.79880000000003</v>
      </c>
      <c r="R286" s="40">
        <f t="shared" si="237"/>
        <v>435.78276857142856</v>
      </c>
      <c r="S286" s="40">
        <f t="shared" si="237"/>
        <v>440.92795769142862</v>
      </c>
      <c r="T286" s="40">
        <f t="shared" si="237"/>
        <v>446.23577153897145</v>
      </c>
      <c r="V286" s="50"/>
      <c r="W286" s="33" t="s">
        <v>11</v>
      </c>
      <c r="Z286" s="40">
        <f>SUM(Z283:Z285)</f>
        <v>421.30714285714288</v>
      </c>
      <c r="AA286" s="40">
        <f t="shared" ref="AA286:AE286" si="238">SUM(AA283:AA285)</f>
        <v>425.97428571428571</v>
      </c>
      <c r="AB286" s="40">
        <f t="shared" si="238"/>
        <v>430.79880000000003</v>
      </c>
      <c r="AC286" s="40">
        <f t="shared" si="238"/>
        <v>435.78276857142856</v>
      </c>
      <c r="AD286" s="40">
        <f t="shared" si="238"/>
        <v>440.92795769142862</v>
      </c>
      <c r="AE286" s="40">
        <f t="shared" si="238"/>
        <v>446.23577153897145</v>
      </c>
    </row>
    <row r="287" spans="11:31">
      <c r="K287" s="50"/>
      <c r="O287" s="37"/>
      <c r="P287" s="37"/>
      <c r="Q287" s="37"/>
      <c r="R287" s="37"/>
      <c r="S287" s="37"/>
      <c r="T287" s="37"/>
      <c r="V287" s="50"/>
      <c r="Z287" s="37"/>
      <c r="AA287" s="37"/>
      <c r="AB287" s="37"/>
      <c r="AC287" s="37"/>
      <c r="AD287" s="37"/>
      <c r="AE287" s="37"/>
    </row>
    <row r="288" spans="11:31">
      <c r="K288" s="50"/>
      <c r="L288" s="33" t="s">
        <v>50</v>
      </c>
      <c r="O288" s="114">
        <f>CaseData!C169</f>
        <v>2100</v>
      </c>
      <c r="P288" s="114">
        <f>CaseData!D169</f>
        <v>1800</v>
      </c>
      <c r="Q288" s="114">
        <f>CaseData!E169</f>
        <v>1500</v>
      </c>
      <c r="R288" s="114">
        <f>CaseData!F169</f>
        <v>1200</v>
      </c>
      <c r="S288" s="114">
        <f>CaseData!G169</f>
        <v>900</v>
      </c>
      <c r="T288" s="114">
        <f>CaseData!H169</f>
        <v>600</v>
      </c>
      <c r="V288" s="50"/>
      <c r="W288" s="33" t="s">
        <v>50</v>
      </c>
      <c r="Z288" s="114">
        <f>CaseData!C169</f>
        <v>2100</v>
      </c>
      <c r="AA288" s="114">
        <f>CaseData!D169</f>
        <v>1800</v>
      </c>
      <c r="AB288" s="114">
        <f>CaseData!E169</f>
        <v>1500</v>
      </c>
      <c r="AC288" s="114">
        <f>CaseData!F169</f>
        <v>1200</v>
      </c>
      <c r="AD288" s="114">
        <f>CaseData!G169</f>
        <v>900</v>
      </c>
      <c r="AE288" s="114">
        <f>CaseData!H169</f>
        <v>600</v>
      </c>
    </row>
    <row r="289" spans="2:31">
      <c r="K289" s="50"/>
      <c r="L289" s="33" t="s">
        <v>0</v>
      </c>
      <c r="O289" s="93">
        <f>CaseData!C170</f>
        <v>3</v>
      </c>
      <c r="P289" s="93">
        <f>CaseData!D170</f>
        <v>3</v>
      </c>
      <c r="Q289" s="93">
        <f>CaseData!E170</f>
        <v>3</v>
      </c>
      <c r="R289" s="93">
        <f>CaseData!F170</f>
        <v>3</v>
      </c>
      <c r="S289" s="93">
        <f>CaseData!G170</f>
        <v>3</v>
      </c>
      <c r="T289" s="93">
        <f>CaseData!H170</f>
        <v>3</v>
      </c>
      <c r="V289" s="50"/>
      <c r="W289" s="33" t="s">
        <v>0</v>
      </c>
      <c r="Z289" s="93">
        <f>CaseData!C170</f>
        <v>3</v>
      </c>
      <c r="AA289" s="93">
        <f>CaseData!D170</f>
        <v>3</v>
      </c>
      <c r="AB289" s="93">
        <f>CaseData!E170</f>
        <v>3</v>
      </c>
      <c r="AC289" s="93">
        <f>CaseData!F170</f>
        <v>3</v>
      </c>
      <c r="AD289" s="93">
        <f>CaseData!G170</f>
        <v>3</v>
      </c>
      <c r="AE289" s="93">
        <f>CaseData!H170</f>
        <v>3</v>
      </c>
    </row>
    <row r="290" spans="2:31">
      <c r="K290" s="50"/>
      <c r="L290" s="33" t="s">
        <v>51</v>
      </c>
      <c r="O290" s="40">
        <f t="shared" ref="O290:T290" si="239">SUM(O288:O289)</f>
        <v>2103</v>
      </c>
      <c r="P290" s="40">
        <f t="shared" si="239"/>
        <v>1803</v>
      </c>
      <c r="Q290" s="40">
        <f t="shared" si="239"/>
        <v>1503</v>
      </c>
      <c r="R290" s="40">
        <f t="shared" si="239"/>
        <v>1203</v>
      </c>
      <c r="S290" s="40">
        <f t="shared" si="239"/>
        <v>903</v>
      </c>
      <c r="T290" s="40">
        <f t="shared" si="239"/>
        <v>603</v>
      </c>
      <c r="V290" s="50"/>
      <c r="W290" s="33" t="s">
        <v>51</v>
      </c>
      <c r="Z290" s="40">
        <f t="shared" ref="Z290:AE290" si="240">SUM(Z288:Z289)</f>
        <v>2103</v>
      </c>
      <c r="AA290" s="40">
        <f t="shared" si="240"/>
        <v>1803</v>
      </c>
      <c r="AB290" s="40">
        <f t="shared" si="240"/>
        <v>1503</v>
      </c>
      <c r="AC290" s="40">
        <f t="shared" si="240"/>
        <v>1203</v>
      </c>
      <c r="AD290" s="40">
        <f t="shared" si="240"/>
        <v>903</v>
      </c>
      <c r="AE290" s="40">
        <f t="shared" si="240"/>
        <v>603</v>
      </c>
    </row>
    <row r="291" spans="2:31" s="54" customFormat="1">
      <c r="B291" s="33"/>
      <c r="C291" s="33"/>
      <c r="D291" s="33"/>
      <c r="E291" s="33"/>
      <c r="F291" s="33"/>
      <c r="G291" s="33"/>
      <c r="H291" s="33"/>
      <c r="I291" s="33"/>
      <c r="J291" s="33"/>
      <c r="K291" s="59"/>
      <c r="L291" s="33"/>
      <c r="M291" s="33"/>
      <c r="N291" s="33"/>
      <c r="O291" s="37"/>
      <c r="P291" s="37"/>
      <c r="Q291" s="37"/>
      <c r="R291" s="37"/>
      <c r="S291" s="37"/>
      <c r="T291" s="37"/>
      <c r="U291" s="33"/>
      <c r="V291" s="50"/>
      <c r="W291" s="33"/>
      <c r="X291" s="33"/>
      <c r="Y291" s="33"/>
      <c r="Z291" s="37"/>
      <c r="AA291" s="37"/>
      <c r="AB291" s="37"/>
      <c r="AC291" s="37"/>
      <c r="AD291" s="37"/>
      <c r="AE291" s="37"/>
    </row>
    <row r="292" spans="2:31" s="54" customFormat="1">
      <c r="B292" s="33"/>
      <c r="C292" s="33"/>
      <c r="D292" s="33"/>
      <c r="E292" s="33"/>
      <c r="F292" s="33"/>
      <c r="G292" s="33"/>
      <c r="H292" s="33"/>
      <c r="I292" s="33"/>
      <c r="J292" s="33"/>
      <c r="K292" s="59"/>
      <c r="L292" s="54" t="s">
        <v>12</v>
      </c>
      <c r="O292" s="89">
        <f>O286+O290</f>
        <v>2524.3071428571429</v>
      </c>
      <c r="P292" s="89">
        <f t="shared" ref="P292:T292" si="241">P286+P290</f>
        <v>2228.9742857142855</v>
      </c>
      <c r="Q292" s="89">
        <f t="shared" si="241"/>
        <v>1933.7988</v>
      </c>
      <c r="R292" s="89">
        <f t="shared" si="241"/>
        <v>1638.7827685714285</v>
      </c>
      <c r="S292" s="89">
        <f t="shared" si="241"/>
        <v>1343.9279576914287</v>
      </c>
      <c r="T292" s="89">
        <f t="shared" si="241"/>
        <v>1049.2357715389714</v>
      </c>
      <c r="V292" s="59"/>
      <c r="W292" s="54" t="s">
        <v>12</v>
      </c>
      <c r="Z292" s="89">
        <f>Z286+Z290</f>
        <v>2524.3071428571429</v>
      </c>
      <c r="AA292" s="89">
        <f t="shared" ref="AA292:AE292" si="242">AA286+AA290</f>
        <v>2228.9742857142855</v>
      </c>
      <c r="AB292" s="89">
        <f t="shared" si="242"/>
        <v>1933.7988</v>
      </c>
      <c r="AC292" s="89">
        <f t="shared" si="242"/>
        <v>1638.7827685714285</v>
      </c>
      <c r="AD292" s="89">
        <f t="shared" si="242"/>
        <v>1343.9279576914287</v>
      </c>
      <c r="AE292" s="89">
        <f t="shared" si="242"/>
        <v>1049.2357715389714</v>
      </c>
    </row>
    <row r="293" spans="2:31">
      <c r="K293" s="50"/>
      <c r="O293" s="37"/>
      <c r="P293" s="37"/>
      <c r="Q293" s="37"/>
      <c r="R293" s="37"/>
      <c r="S293" s="37"/>
      <c r="T293" s="37"/>
      <c r="U293" s="54"/>
      <c r="V293" s="59"/>
      <c r="Z293" s="37"/>
      <c r="AA293" s="37"/>
      <c r="AB293" s="37"/>
      <c r="AC293" s="37"/>
      <c r="AD293" s="37"/>
      <c r="AE293" s="37"/>
    </row>
    <row r="294" spans="2:31">
      <c r="K294" s="50"/>
      <c r="L294" s="54" t="s">
        <v>52</v>
      </c>
      <c r="M294" s="54"/>
      <c r="N294" s="54"/>
      <c r="O294" s="37"/>
      <c r="P294" s="37"/>
      <c r="Q294" s="37"/>
      <c r="R294" s="37"/>
      <c r="S294" s="37"/>
      <c r="T294" s="37"/>
      <c r="V294" s="50"/>
      <c r="W294" s="54" t="s">
        <v>52</v>
      </c>
      <c r="X294" s="54"/>
      <c r="Y294" s="54"/>
      <c r="Z294" s="37"/>
      <c r="AA294" s="37"/>
      <c r="AB294" s="37"/>
      <c r="AC294" s="37"/>
      <c r="AD294" s="37"/>
      <c r="AE294" s="37"/>
    </row>
    <row r="295" spans="2:31">
      <c r="K295" s="50"/>
      <c r="L295" s="33" t="s">
        <v>13</v>
      </c>
      <c r="O295" s="114">
        <f>CaseData!C176</f>
        <v>3300</v>
      </c>
      <c r="P295" s="114">
        <f>CaseData!D176</f>
        <v>3300</v>
      </c>
      <c r="Q295" s="114">
        <f>CaseData!E176</f>
        <v>3300</v>
      </c>
      <c r="R295" s="114">
        <f>CaseData!F176</f>
        <v>3300</v>
      </c>
      <c r="S295" s="114">
        <f>CaseData!G176</f>
        <v>3300</v>
      </c>
      <c r="T295" s="114">
        <f>CaseData!H176</f>
        <v>3300</v>
      </c>
      <c r="V295" s="50"/>
      <c r="W295" s="33" t="s">
        <v>13</v>
      </c>
      <c r="Z295" s="114">
        <f>CaseData!C176</f>
        <v>3300</v>
      </c>
      <c r="AA295" s="114">
        <f>CaseData!D176</f>
        <v>3300</v>
      </c>
      <c r="AB295" s="114">
        <f>CaseData!E176</f>
        <v>3300</v>
      </c>
      <c r="AC295" s="114">
        <f>CaseData!F176</f>
        <v>3300</v>
      </c>
      <c r="AD295" s="114">
        <f>CaseData!G176</f>
        <v>3300</v>
      </c>
      <c r="AE295" s="114">
        <f>CaseData!H176</f>
        <v>3300</v>
      </c>
    </row>
    <row r="296" spans="2:31">
      <c r="L296" s="33" t="s">
        <v>14</v>
      </c>
      <c r="O296" s="93">
        <f>CaseData!C177</f>
        <v>2447.7967192398878</v>
      </c>
      <c r="P296" s="93">
        <f>CaseData!D177</f>
        <v>2660.9987541152341</v>
      </c>
      <c r="Q296" s="93">
        <f>CaseData!E177</f>
        <v>2916.9893908660961</v>
      </c>
      <c r="R296" s="93">
        <f>CaseData!F177</f>
        <v>3218.5167715662237</v>
      </c>
      <c r="S296" s="93">
        <f>CaseData!G177</f>
        <v>3568.5412107619895</v>
      </c>
      <c r="T296" s="93">
        <f>CaseData!H177</f>
        <v>3970.2508611808125</v>
      </c>
      <c r="V296" s="50"/>
      <c r="W296" s="33" t="s">
        <v>14</v>
      </c>
      <c r="Z296" s="93">
        <f>CaseData!C177</f>
        <v>2447.7967192398878</v>
      </c>
      <c r="AA296" s="93">
        <f>CaseData!D177</f>
        <v>2660.9987541152341</v>
      </c>
      <c r="AB296" s="93">
        <f>CaseData!E177</f>
        <v>2916.9893908660961</v>
      </c>
      <c r="AC296" s="93">
        <f>CaseData!F177</f>
        <v>3218.5167715662237</v>
      </c>
      <c r="AD296" s="93">
        <f>CaseData!G177</f>
        <v>3568.5412107619895</v>
      </c>
      <c r="AE296" s="93">
        <f>CaseData!H177</f>
        <v>3970.2508611808125</v>
      </c>
    </row>
    <row r="297" spans="2:31">
      <c r="L297" s="54" t="s">
        <v>53</v>
      </c>
      <c r="M297" s="54"/>
      <c r="N297" s="54"/>
      <c r="O297" s="89">
        <f>SUM(O295:O296)</f>
        <v>5747.7967192398883</v>
      </c>
      <c r="P297" s="89">
        <f t="shared" ref="P297:T297" si="243">SUM(P295:P296)</f>
        <v>5960.9987541152341</v>
      </c>
      <c r="Q297" s="89">
        <f t="shared" si="243"/>
        <v>6216.9893908660961</v>
      </c>
      <c r="R297" s="89">
        <f t="shared" si="243"/>
        <v>6518.5167715662237</v>
      </c>
      <c r="S297" s="89">
        <f t="shared" si="243"/>
        <v>6868.5412107619895</v>
      </c>
      <c r="T297" s="89">
        <f t="shared" si="243"/>
        <v>7270.2508611808125</v>
      </c>
      <c r="W297" s="54" t="s">
        <v>53</v>
      </c>
      <c r="X297" s="54"/>
      <c r="Y297" s="54"/>
      <c r="Z297" s="89">
        <f>SUM(Z295:Z296)</f>
        <v>5747.7967192398883</v>
      </c>
      <c r="AA297" s="89">
        <f t="shared" ref="AA297:AE297" si="244">SUM(AA295:AA296)</f>
        <v>5960.9987541152341</v>
      </c>
      <c r="AB297" s="89">
        <f t="shared" si="244"/>
        <v>6216.9893908660961</v>
      </c>
      <c r="AC297" s="89">
        <f t="shared" si="244"/>
        <v>6518.5167715662237</v>
      </c>
      <c r="AD297" s="89">
        <f t="shared" si="244"/>
        <v>6868.5412107619895</v>
      </c>
      <c r="AE297" s="89">
        <f t="shared" si="244"/>
        <v>7270.2508611808125</v>
      </c>
    </row>
    <row r="298" spans="2:31">
      <c r="L298" s="54"/>
      <c r="M298" s="54"/>
      <c r="N298" s="54"/>
      <c r="O298" s="89"/>
      <c r="P298" s="89"/>
      <c r="Q298" s="89"/>
      <c r="R298" s="89"/>
      <c r="S298" s="89"/>
      <c r="T298" s="89"/>
      <c r="W298" s="54"/>
      <c r="X298" s="54"/>
      <c r="Y298" s="54"/>
      <c r="Z298" s="89"/>
      <c r="AA298" s="89"/>
      <c r="AB298" s="89"/>
      <c r="AC298" s="89"/>
      <c r="AD298" s="89"/>
      <c r="AE298" s="89"/>
    </row>
    <row r="299" spans="2:31">
      <c r="L299" s="54" t="s">
        <v>54</v>
      </c>
      <c r="M299" s="54"/>
      <c r="N299" s="54"/>
      <c r="O299" s="89">
        <f>O292+O297</f>
        <v>8272.1038620970321</v>
      </c>
      <c r="P299" s="89">
        <f t="shared" ref="P299:T299" si="245">P292+P297</f>
        <v>8189.9730398295196</v>
      </c>
      <c r="Q299" s="89">
        <f t="shared" si="245"/>
        <v>8150.7881908660966</v>
      </c>
      <c r="R299" s="89">
        <f t="shared" si="245"/>
        <v>8157.299540137652</v>
      </c>
      <c r="S299" s="89">
        <f t="shared" si="245"/>
        <v>8212.4691684534191</v>
      </c>
      <c r="T299" s="89">
        <f t="shared" si="245"/>
        <v>8319.4866327197833</v>
      </c>
      <c r="W299" s="54" t="s">
        <v>54</v>
      </c>
      <c r="X299" s="54"/>
      <c r="Y299" s="54"/>
      <c r="Z299" s="89">
        <f>Z292+Z297</f>
        <v>8272.1038620970321</v>
      </c>
      <c r="AA299" s="89">
        <f t="shared" ref="AA299:AE299" si="246">AA292+AA297</f>
        <v>8189.9730398295196</v>
      </c>
      <c r="AB299" s="89">
        <f t="shared" si="246"/>
        <v>8150.7881908660966</v>
      </c>
      <c r="AC299" s="89">
        <f t="shared" si="246"/>
        <v>8157.299540137652</v>
      </c>
      <c r="AD299" s="89">
        <f t="shared" si="246"/>
        <v>8212.4691684534191</v>
      </c>
      <c r="AE299" s="89">
        <f t="shared" si="246"/>
        <v>8319.4866327197833</v>
      </c>
    </row>
    <row r="300" spans="2:31">
      <c r="L300" s="51" t="s">
        <v>15</v>
      </c>
      <c r="M300" s="51"/>
      <c r="N300" s="51"/>
      <c r="O300" s="37">
        <f t="shared" ref="O300:T300" si="247">O280-O299</f>
        <v>0</v>
      </c>
      <c r="P300" s="37">
        <f t="shared" si="247"/>
        <v>0</v>
      </c>
      <c r="Q300" s="37">
        <f t="shared" si="247"/>
        <v>0</v>
      </c>
      <c r="R300" s="37">
        <f t="shared" si="247"/>
        <v>0</v>
      </c>
      <c r="S300" s="37">
        <f t="shared" si="247"/>
        <v>0</v>
      </c>
      <c r="T300" s="37">
        <f t="shared" si="247"/>
        <v>0</v>
      </c>
      <c r="W300" s="51" t="s">
        <v>15</v>
      </c>
      <c r="X300" s="51"/>
      <c r="Y300" s="51"/>
      <c r="Z300" s="37">
        <f t="shared" ref="Z300:AE300" si="248">Z280-Z299</f>
        <v>0</v>
      </c>
      <c r="AA300" s="37">
        <f t="shared" si="248"/>
        <v>0</v>
      </c>
      <c r="AB300" s="37">
        <f t="shared" si="248"/>
        <v>0</v>
      </c>
      <c r="AC300" s="37">
        <f t="shared" si="248"/>
        <v>0</v>
      </c>
      <c r="AD300" s="37">
        <f t="shared" si="248"/>
        <v>0</v>
      </c>
      <c r="AE300" s="37">
        <f t="shared" si="248"/>
        <v>0</v>
      </c>
    </row>
    <row r="301" spans="2:31">
      <c r="L301" s="55"/>
      <c r="M301" s="55"/>
      <c r="N301" s="55"/>
      <c r="O301" s="115"/>
      <c r="P301" s="115"/>
      <c r="Q301" s="115"/>
      <c r="R301" s="115"/>
      <c r="S301" s="115"/>
      <c r="T301" s="115"/>
      <c r="W301" s="55"/>
      <c r="X301" s="55"/>
      <c r="Y301" s="55"/>
      <c r="Z301" s="115"/>
      <c r="AA301" s="115"/>
      <c r="AB301" s="115"/>
      <c r="AC301" s="115"/>
      <c r="AD301" s="115"/>
      <c r="AE301" s="115"/>
    </row>
  </sheetData>
  <conditionalFormatting sqref="D122:I122">
    <cfRule type="expression" dxfId="9" priority="9">
      <formula>D122&lt;&gt;0</formula>
    </cfRule>
  </conditionalFormatting>
  <conditionalFormatting sqref="I25">
    <cfRule type="cellIs" dxfId="8" priority="14" operator="notEqual">
      <formula>"Balanced"</formula>
    </cfRule>
  </conditionalFormatting>
  <conditionalFormatting sqref="M122:T122">
    <cfRule type="expression" dxfId="7" priority="5">
      <formula>M122&lt;&gt;0</formula>
    </cfRule>
  </conditionalFormatting>
  <conditionalFormatting sqref="O211:T211">
    <cfRule type="expression" dxfId="6" priority="13">
      <formula>O211&lt;&gt;0</formula>
    </cfRule>
  </conditionalFormatting>
  <conditionalFormatting sqref="O300:T300">
    <cfRule type="expression" dxfId="5" priority="12">
      <formula>O300&lt;&gt;0</formula>
    </cfRule>
  </conditionalFormatting>
  <conditionalFormatting sqref="S25">
    <cfRule type="cellIs" dxfId="4" priority="8" operator="notEqual">
      <formula>"Balanced"</formula>
    </cfRule>
  </conditionalFormatting>
  <conditionalFormatting sqref="X122:AE122">
    <cfRule type="expression" dxfId="3" priority="2">
      <formula>X122&lt;&gt;0</formula>
    </cfRule>
  </conditionalFormatting>
  <conditionalFormatting sqref="Z211:AE211">
    <cfRule type="expression" dxfId="2" priority="11">
      <formula>Z211&lt;&gt;0</formula>
    </cfRule>
  </conditionalFormatting>
  <conditionalFormatting sqref="Z300:AE300">
    <cfRule type="expression" dxfId="1" priority="10">
      <formula>Z300&lt;&gt;0</formula>
    </cfRule>
  </conditionalFormatting>
  <conditionalFormatting sqref="AD25">
    <cfRule type="cellIs" dxfId="0" priority="7" operator="notEqual">
      <formula>"Balanced"</formula>
    </cfRule>
  </conditionalFormatting>
  <hyperlinks>
    <hyperlink ref="D4" location="Pro_Forma_FS" tooltip="Pro Forma Financial Statements" display="Click Here" xr:uid="{03C85C89-1B3B-4231-ACB9-2396091BA309}"/>
  </hyperlink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Acquisition</vt:lpstr>
      <vt:lpstr>CaseData</vt:lpstr>
      <vt:lpstr>CaseSolution</vt:lpstr>
      <vt:lpstr>company</vt:lpstr>
      <vt:lpstr>methods</vt:lpstr>
      <vt:lpstr>percentage</vt:lpstr>
      <vt:lpstr>Acquisition!Print_Area</vt:lpstr>
      <vt:lpstr>Pro_Forma_FS</vt:lpstr>
      <vt:lpstr>selector</vt:lpstr>
      <vt:lpstr>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2019-10-07T17:07:36Z</dcterms:created>
  <dcterms:modified xsi:type="dcterms:W3CDTF">2026-09-16T12:51:08Z</dcterms:modified>
</cp:coreProperties>
</file>