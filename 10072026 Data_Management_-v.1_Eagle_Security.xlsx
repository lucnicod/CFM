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54F703795456207/Modeling/CFM/0. Topics/12. Data Management/12.1 Eagle Security Corp/"/>
    </mc:Choice>
  </mc:AlternateContent>
  <xr:revisionPtr revIDLastSave="286" documentId="13_ncr:1_{AABA8EEB-843A-47CC-B681-532F8B401CA4}" xr6:coauthVersionLast="47" xr6:coauthVersionMax="47" xr10:uidLastSave="{22ECB044-2991-4657-B4FA-ECA4D56F921D}"/>
  <bookViews>
    <workbookView xWindow="28692" yWindow="-108" windowWidth="29016" windowHeight="16416" xr2:uid="{00000000-000D-0000-FFFF-FFFF00000000}"/>
  </bookViews>
  <sheets>
    <sheet name="Calculations" sheetId="14" r:id="rId1"/>
    <sheet name="CaseData" sheetId="11" r:id="rId2"/>
    <sheet name="CaseSolution" sheetId="13" r:id="rId3"/>
  </sheets>
  <definedNames>
    <definedName name="cities">CaseData!$B$7:$B$16</definedName>
    <definedName name="company">Calculations!$F$51</definedName>
    <definedName name="months">Calculations!$F$55</definedName>
    <definedName name="start_date">Calculations!$F$54</definedName>
    <definedName name="states">CaseData!$C$7:$C$16</definedName>
    <definedName name="topic">"CFM Topic: " &amp; Calculations!$F$52</definedName>
  </definedNames>
  <calcPr calcId="191029" calcMode="manual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3"/>
    </ext>
  </extLst>
</workbook>
</file>

<file path=xl/calcChain.xml><?xml version="1.0" encoding="utf-8"?>
<calcChain xmlns="http://schemas.openxmlformats.org/spreadsheetml/2006/main">
  <c r="J3" i="14" l="1" a="1"/>
  <c r="J10" i="14" a="1"/>
  <c r="E20" i="14"/>
  <c r="E21" i="14"/>
  <c r="E22" i="14"/>
  <c r="E23" i="14"/>
  <c r="F20" i="14"/>
  <c r="F21" i="14"/>
  <c r="F22" i="14"/>
  <c r="F23" i="14"/>
  <c r="F24" i="14"/>
  <c r="E24" i="14"/>
  <c r="J20" i="14" a="1"/>
  <c r="J30" i="14" a="1"/>
  <c r="J40" i="14" a="1"/>
  <c r="J45" i="14" a="1"/>
  <c r="H45" i="14" a="1"/>
  <c r="H40" i="14" a="1"/>
  <c r="J39" i="14" a="1"/>
  <c r="D40" i="14" a="1"/>
  <c r="E40" i="14"/>
  <c r="F40" i="14"/>
  <c r="E41" i="14"/>
  <c r="F41" i="14"/>
  <c r="E42" i="14"/>
  <c r="F42" i="14"/>
  <c r="E43" i="14"/>
  <c r="F43" i="14"/>
  <c r="E44" i="14"/>
  <c r="F44" i="14"/>
  <c r="J35" i="14" a="1"/>
  <c r="H35" i="14" a="1"/>
  <c r="H30" i="14" a="1"/>
  <c r="J29" i="14" a="1"/>
  <c r="F34" i="14"/>
  <c r="F33" i="14"/>
  <c r="F32" i="14"/>
  <c r="F31" i="14"/>
  <c r="F30" i="14"/>
  <c r="E34" i="14"/>
  <c r="E33" i="14"/>
  <c r="E32" i="14"/>
  <c r="E31" i="14"/>
  <c r="E30" i="14"/>
  <c r="D30" i="14" a="1"/>
  <c r="J25" i="14" a="1"/>
  <c r="H25" i="14" a="1"/>
  <c r="H20" i="14" a="1"/>
  <c r="J19" i="14" a="1"/>
  <c r="D20" i="14" a="1"/>
  <c r="H10" i="14" a="1"/>
  <c r="J15" i="14" a="1"/>
  <c r="H15" i="14" a="1"/>
  <c r="D10" i="14" a="1"/>
  <c r="D7" i="11"/>
  <c r="J9" i="14" a="1"/>
  <c r="A16" i="11"/>
  <c r="A8" i="11"/>
  <c r="A9" i="11"/>
  <c r="A10" i="11"/>
  <c r="A15" i="11"/>
  <c r="A14" i="11"/>
  <c r="A13" i="11"/>
  <c r="A12" i="11"/>
  <c r="A11" i="11"/>
  <c r="A7" i="11"/>
  <c r="F57" i="14" a="1"/>
  <c r="A2" i="14" a="1"/>
  <c r="A1" i="14" a="1"/>
  <c r="B110" i="13"/>
  <c r="B111" i="13"/>
  <c r="B112" i="13"/>
  <c r="B113" i="13"/>
  <c r="B119" i="13"/>
  <c r="B118" i="13"/>
  <c r="B117" i="13"/>
  <c r="B116" i="13"/>
  <c r="B115" i="13"/>
  <c r="B114" i="13"/>
  <c r="C28" i="13"/>
  <c r="F14" i="13"/>
  <c r="D28" i="13"/>
  <c r="E28" i="13"/>
  <c r="F28" i="13"/>
  <c r="G28" i="13"/>
  <c r="G41" i="13"/>
  <c r="C54" i="13"/>
  <c r="J14" i="13"/>
  <c r="D54" i="13"/>
  <c r="E54" i="13"/>
  <c r="F54" i="13"/>
  <c r="G54" i="13"/>
  <c r="G67" i="13"/>
  <c r="C27" i="13"/>
  <c r="F13" i="13"/>
  <c r="D27" i="13"/>
  <c r="E27" i="13"/>
  <c r="F27" i="13"/>
  <c r="G27" i="13"/>
  <c r="G40" i="13"/>
  <c r="C53" i="13"/>
  <c r="J13" i="13"/>
  <c r="D53" i="13"/>
  <c r="E53" i="13"/>
  <c r="F53" i="13"/>
  <c r="G53" i="13"/>
  <c r="G66" i="13"/>
  <c r="C26" i="13"/>
  <c r="F12" i="13"/>
  <c r="D26" i="13"/>
  <c r="E26" i="13"/>
  <c r="F26" i="13"/>
  <c r="G26" i="13"/>
  <c r="G39" i="13"/>
  <c r="C52" i="13"/>
  <c r="J12" i="13"/>
  <c r="D52" i="13"/>
  <c r="E52" i="13"/>
  <c r="F52" i="13"/>
  <c r="G52" i="13"/>
  <c r="G65" i="13"/>
  <c r="C25" i="13"/>
  <c r="F11" i="13"/>
  <c r="D25" i="13"/>
  <c r="E25" i="13"/>
  <c r="F25" i="13"/>
  <c r="G25" i="13"/>
  <c r="G38" i="13"/>
  <c r="C51" i="13"/>
  <c r="J11" i="13"/>
  <c r="D51" i="13"/>
  <c r="E51" i="13"/>
  <c r="F51" i="13"/>
  <c r="G51" i="13"/>
  <c r="G64" i="13"/>
  <c r="C24" i="13"/>
  <c r="F10" i="13"/>
  <c r="D24" i="13"/>
  <c r="E24" i="13"/>
  <c r="F24" i="13"/>
  <c r="G24" i="13"/>
  <c r="G37" i="13"/>
  <c r="C50" i="13"/>
  <c r="J10" i="13"/>
  <c r="D50" i="13"/>
  <c r="E50" i="13"/>
  <c r="F50" i="13"/>
  <c r="G50" i="13"/>
  <c r="G63" i="13"/>
  <c r="C23" i="13"/>
  <c r="F9" i="13"/>
  <c r="D23" i="13"/>
  <c r="E23" i="13"/>
  <c r="F23" i="13"/>
  <c r="G23" i="13"/>
  <c r="G36" i="13"/>
  <c r="C49" i="13"/>
  <c r="J9" i="13"/>
  <c r="D49" i="13"/>
  <c r="E49" i="13"/>
  <c r="F49" i="13"/>
  <c r="G49" i="13"/>
  <c r="G62" i="13"/>
  <c r="C22" i="13"/>
  <c r="F8" i="13"/>
  <c r="D22" i="13"/>
  <c r="E22" i="13"/>
  <c r="F22" i="13"/>
  <c r="G22" i="13"/>
  <c r="G35" i="13"/>
  <c r="C48" i="13"/>
  <c r="J8" i="13"/>
  <c r="D48" i="13"/>
  <c r="E48" i="13"/>
  <c r="F48" i="13"/>
  <c r="G48" i="13"/>
  <c r="G61" i="13"/>
  <c r="C21" i="13"/>
  <c r="F7" i="13"/>
  <c r="D21" i="13"/>
  <c r="E21" i="13"/>
  <c r="F21" i="13"/>
  <c r="G21" i="13"/>
  <c r="G34" i="13"/>
  <c r="C47" i="13"/>
  <c r="J7" i="13"/>
  <c r="D47" i="13"/>
  <c r="E47" i="13"/>
  <c r="F47" i="13"/>
  <c r="G47" i="13"/>
  <c r="G60" i="13"/>
  <c r="C20" i="13"/>
  <c r="F6" i="13"/>
  <c r="D20" i="13"/>
  <c r="E20" i="13"/>
  <c r="F20" i="13"/>
  <c r="G20" i="13"/>
  <c r="G33" i="13"/>
  <c r="C46" i="13"/>
  <c r="J6" i="13"/>
  <c r="D46" i="13"/>
  <c r="E46" i="13"/>
  <c r="F46" i="13"/>
  <c r="G46" i="13"/>
  <c r="G59" i="13"/>
  <c r="D5" i="13"/>
  <c r="C19" i="13"/>
  <c r="F5" i="13"/>
  <c r="D19" i="13"/>
  <c r="E19" i="13"/>
  <c r="F19" i="13"/>
  <c r="G19" i="13"/>
  <c r="G32" i="13"/>
  <c r="C45" i="13"/>
  <c r="J5" i="13"/>
  <c r="D45" i="13"/>
  <c r="E45" i="13"/>
  <c r="F45" i="13"/>
  <c r="G45" i="13"/>
  <c r="G58" i="13"/>
  <c r="E17" i="13"/>
  <c r="F17" i="13"/>
  <c r="G17" i="13"/>
  <c r="G108" i="13"/>
  <c r="G119" i="13"/>
  <c r="G118" i="13"/>
  <c r="G117" i="13"/>
  <c r="G116" i="13"/>
  <c r="G115" i="13"/>
  <c r="G114" i="13"/>
  <c r="G113" i="13"/>
  <c r="G112" i="13"/>
  <c r="G111" i="13"/>
  <c r="G110" i="13"/>
  <c r="G125" i="13"/>
  <c r="P14" i="13"/>
  <c r="P13" i="13"/>
  <c r="P12" i="13"/>
  <c r="P11" i="13"/>
  <c r="P10" i="13"/>
  <c r="P9" i="13"/>
  <c r="P8" i="13"/>
  <c r="P7" i="13"/>
  <c r="P6" i="13"/>
  <c r="P5" i="13"/>
  <c r="M14" i="13"/>
  <c r="M13" i="13"/>
  <c r="M12" i="13"/>
  <c r="M11" i="13"/>
  <c r="M10" i="13"/>
  <c r="M9" i="13"/>
  <c r="M8" i="13"/>
  <c r="M7" i="13"/>
  <c r="M6" i="13"/>
  <c r="M5" i="13"/>
  <c r="B153" i="13"/>
  <c r="B152" i="13"/>
  <c r="B151" i="13"/>
  <c r="B150" i="13"/>
  <c r="B149" i="13"/>
  <c r="D148" i="13"/>
  <c r="B145" i="13"/>
  <c r="B144" i="13"/>
  <c r="B143" i="13"/>
  <c r="B142" i="13"/>
  <c r="B141" i="13"/>
  <c r="D140" i="13"/>
  <c r="B137" i="13"/>
  <c r="B136" i="13"/>
  <c r="B135" i="13"/>
  <c r="B134" i="13"/>
  <c r="B133" i="13"/>
  <c r="D132" i="13"/>
  <c r="D124" i="13"/>
  <c r="D108" i="13"/>
  <c r="C106" i="13"/>
  <c r="D106" i="13"/>
  <c r="E106" i="13"/>
  <c r="F106" i="13"/>
  <c r="G106" i="13"/>
  <c r="H106" i="13"/>
  <c r="I106" i="13"/>
  <c r="J106" i="13"/>
  <c r="K106" i="13"/>
  <c r="L106" i="13"/>
  <c r="M106" i="13"/>
  <c r="N106" i="13"/>
  <c r="O106" i="13"/>
  <c r="B106" i="13"/>
  <c r="C105" i="13"/>
  <c r="D105" i="13"/>
  <c r="E105" i="13"/>
  <c r="F105" i="13"/>
  <c r="G105" i="13"/>
  <c r="H105" i="13"/>
  <c r="I105" i="13"/>
  <c r="J105" i="13"/>
  <c r="K105" i="13"/>
  <c r="L105" i="13"/>
  <c r="M105" i="13"/>
  <c r="N105" i="13"/>
  <c r="O105" i="13"/>
  <c r="B105" i="13"/>
  <c r="C104" i="13"/>
  <c r="B104" i="13"/>
  <c r="C103" i="13"/>
  <c r="B103" i="13"/>
  <c r="C102" i="13"/>
  <c r="B102" i="13"/>
  <c r="C101" i="13"/>
  <c r="B101" i="13"/>
  <c r="C100" i="13"/>
  <c r="B100" i="13"/>
  <c r="C99" i="13"/>
  <c r="B99" i="13"/>
  <c r="C98" i="13"/>
  <c r="B98" i="13"/>
  <c r="C97" i="13"/>
  <c r="B97" i="13"/>
  <c r="D95" i="13"/>
  <c r="B93" i="13"/>
  <c r="B92" i="13"/>
  <c r="B91" i="13"/>
  <c r="B90" i="13"/>
  <c r="B89" i="13"/>
  <c r="B88" i="13"/>
  <c r="B87" i="13"/>
  <c r="B86" i="13"/>
  <c r="B85" i="13"/>
  <c r="B84" i="13"/>
  <c r="D82" i="13"/>
  <c r="C80" i="13"/>
  <c r="B80" i="13"/>
  <c r="C79" i="13"/>
  <c r="B79" i="13"/>
  <c r="C78" i="13"/>
  <c r="B78" i="13"/>
  <c r="C77" i="13"/>
  <c r="B77" i="13"/>
  <c r="C76" i="13"/>
  <c r="B76" i="13"/>
  <c r="C75" i="13"/>
  <c r="B75" i="13"/>
  <c r="C74" i="13"/>
  <c r="B74" i="13"/>
  <c r="C73" i="13"/>
  <c r="B73" i="13"/>
  <c r="C72" i="13"/>
  <c r="D72" i="13"/>
  <c r="E72" i="13"/>
  <c r="F72" i="13"/>
  <c r="G72" i="13"/>
  <c r="H72" i="13"/>
  <c r="I72" i="13"/>
  <c r="J72" i="13"/>
  <c r="K72" i="13"/>
  <c r="L72" i="13"/>
  <c r="M72" i="13"/>
  <c r="N72" i="13"/>
  <c r="O72" i="13"/>
  <c r="P72" i="13"/>
  <c r="B72" i="13"/>
  <c r="C71" i="13"/>
  <c r="B71" i="13"/>
  <c r="D69" i="13"/>
  <c r="B67" i="13"/>
  <c r="B66" i="13"/>
  <c r="B65" i="13"/>
  <c r="B64" i="13"/>
  <c r="B63" i="13"/>
  <c r="B62" i="13"/>
  <c r="B61" i="13"/>
  <c r="B60" i="13"/>
  <c r="B59" i="13"/>
  <c r="B58" i="13"/>
  <c r="D56" i="13"/>
  <c r="B54" i="13"/>
  <c r="B53" i="13"/>
  <c r="B52" i="13"/>
  <c r="B51" i="13"/>
  <c r="B50" i="13"/>
  <c r="B49" i="13"/>
  <c r="B48" i="13"/>
  <c r="B47" i="13"/>
  <c r="B46" i="13"/>
  <c r="B45" i="13"/>
  <c r="D43" i="13"/>
  <c r="B41" i="13"/>
  <c r="B40" i="13"/>
  <c r="B39" i="13"/>
  <c r="B38" i="13"/>
  <c r="B37" i="13"/>
  <c r="B36" i="13"/>
  <c r="B35" i="13"/>
  <c r="B34" i="13"/>
  <c r="B33" i="13"/>
  <c r="B32" i="13"/>
  <c r="D30" i="13"/>
  <c r="B28" i="13"/>
  <c r="B27" i="13"/>
  <c r="B26" i="13"/>
  <c r="B25" i="13"/>
  <c r="H24" i="13"/>
  <c r="I24" i="13"/>
  <c r="J24" i="13"/>
  <c r="K24" i="13"/>
  <c r="L24" i="13"/>
  <c r="M24" i="13"/>
  <c r="N24" i="13"/>
  <c r="O24" i="13"/>
  <c r="B24" i="13"/>
  <c r="B23" i="13"/>
  <c r="B22" i="13"/>
  <c r="B21" i="13"/>
  <c r="B20" i="13"/>
  <c r="B19" i="13"/>
  <c r="E124" i="13"/>
  <c r="C17" i="13"/>
  <c r="C69" i="13"/>
  <c r="D98" i="13"/>
  <c r="E98" i="13"/>
  <c r="F98" i="13"/>
  <c r="G98" i="13"/>
  <c r="H98" i="13"/>
  <c r="I98" i="13"/>
  <c r="J98" i="13"/>
  <c r="K98" i="13"/>
  <c r="L98" i="13"/>
  <c r="M98" i="13"/>
  <c r="N98" i="13"/>
  <c r="O98" i="13"/>
  <c r="D97" i="13"/>
  <c r="E97" i="13"/>
  <c r="F97" i="13"/>
  <c r="G97" i="13"/>
  <c r="H97" i="13"/>
  <c r="I97" i="13"/>
  <c r="J97" i="13"/>
  <c r="K97" i="13"/>
  <c r="L97" i="13"/>
  <c r="M97" i="13"/>
  <c r="N97" i="13"/>
  <c r="O97" i="13"/>
  <c r="D99" i="13"/>
  <c r="E99" i="13"/>
  <c r="F99" i="13"/>
  <c r="G99" i="13"/>
  <c r="H99" i="13"/>
  <c r="I99" i="13"/>
  <c r="J99" i="13"/>
  <c r="K99" i="13"/>
  <c r="L99" i="13"/>
  <c r="M99" i="13"/>
  <c r="N99" i="13"/>
  <c r="O99" i="13"/>
  <c r="D100" i="13"/>
  <c r="E100" i="13"/>
  <c r="F100" i="13"/>
  <c r="G100" i="13"/>
  <c r="H100" i="13"/>
  <c r="I100" i="13"/>
  <c r="J100" i="13"/>
  <c r="K100" i="13"/>
  <c r="L100" i="13"/>
  <c r="M100" i="13"/>
  <c r="N100" i="13"/>
  <c r="O100" i="13"/>
  <c r="D104" i="13"/>
  <c r="E104" i="13"/>
  <c r="F104" i="13"/>
  <c r="G104" i="13"/>
  <c r="H104" i="13"/>
  <c r="I104" i="13"/>
  <c r="J104" i="13"/>
  <c r="K104" i="13"/>
  <c r="L104" i="13"/>
  <c r="M104" i="13"/>
  <c r="N104" i="13"/>
  <c r="O104" i="13"/>
  <c r="D101" i="13"/>
  <c r="E101" i="13"/>
  <c r="F101" i="13"/>
  <c r="G101" i="13"/>
  <c r="H101" i="13"/>
  <c r="I101" i="13"/>
  <c r="J101" i="13"/>
  <c r="K101" i="13"/>
  <c r="L101" i="13"/>
  <c r="M101" i="13"/>
  <c r="N101" i="13"/>
  <c r="O101" i="13"/>
  <c r="D103" i="13"/>
  <c r="E103" i="13"/>
  <c r="F103" i="13"/>
  <c r="G103" i="13"/>
  <c r="H103" i="13"/>
  <c r="I103" i="13"/>
  <c r="J103" i="13"/>
  <c r="K103" i="13"/>
  <c r="L103" i="13"/>
  <c r="M103" i="13"/>
  <c r="N103" i="13"/>
  <c r="O103" i="13"/>
  <c r="P105" i="13"/>
  <c r="P98" i="13"/>
  <c r="P99" i="13"/>
  <c r="P103" i="13"/>
  <c r="P104" i="13"/>
  <c r="P106" i="13"/>
  <c r="D102" i="13"/>
  <c r="E102" i="13"/>
  <c r="F102" i="13"/>
  <c r="G102" i="13"/>
  <c r="H102" i="13"/>
  <c r="I102" i="13"/>
  <c r="J102" i="13"/>
  <c r="K102" i="13"/>
  <c r="L102" i="13"/>
  <c r="M102" i="13"/>
  <c r="N102" i="13"/>
  <c r="O102" i="13"/>
  <c r="P102" i="13"/>
  <c r="P97" i="13"/>
  <c r="P101" i="13"/>
  <c r="H19" i="13"/>
  <c r="I19" i="13"/>
  <c r="J19" i="13"/>
  <c r="K19" i="13"/>
  <c r="L19" i="13"/>
  <c r="M19" i="13"/>
  <c r="N19" i="13"/>
  <c r="O19" i="13"/>
  <c r="P19" i="13"/>
  <c r="H47" i="13"/>
  <c r="I47" i="13"/>
  <c r="J47" i="13"/>
  <c r="K47" i="13"/>
  <c r="L47" i="13"/>
  <c r="M47" i="13"/>
  <c r="N47" i="13"/>
  <c r="O47" i="13"/>
  <c r="P47" i="13"/>
  <c r="D78" i="13"/>
  <c r="E78" i="13"/>
  <c r="F78" i="13"/>
  <c r="G78" i="13"/>
  <c r="H78" i="13"/>
  <c r="I78" i="13"/>
  <c r="J78" i="13"/>
  <c r="K78" i="13"/>
  <c r="L78" i="13"/>
  <c r="M78" i="13"/>
  <c r="N78" i="13"/>
  <c r="O78" i="13"/>
  <c r="P78" i="13"/>
  <c r="D80" i="13"/>
  <c r="E80" i="13"/>
  <c r="F80" i="13"/>
  <c r="G80" i="13"/>
  <c r="H80" i="13"/>
  <c r="I80" i="13"/>
  <c r="J80" i="13"/>
  <c r="K80" i="13"/>
  <c r="L80" i="13"/>
  <c r="M80" i="13"/>
  <c r="N80" i="13"/>
  <c r="O80" i="13"/>
  <c r="P80" i="13"/>
  <c r="D79" i="13"/>
  <c r="E79" i="13"/>
  <c r="F79" i="13"/>
  <c r="G79" i="13"/>
  <c r="H79" i="13"/>
  <c r="I79" i="13"/>
  <c r="J79" i="13"/>
  <c r="K79" i="13"/>
  <c r="L79" i="13"/>
  <c r="M79" i="13"/>
  <c r="N79" i="13"/>
  <c r="O79" i="13"/>
  <c r="P79" i="13"/>
  <c r="D75" i="13"/>
  <c r="E75" i="13"/>
  <c r="F75" i="13"/>
  <c r="G75" i="13"/>
  <c r="H75" i="13"/>
  <c r="I75" i="13"/>
  <c r="J75" i="13"/>
  <c r="K75" i="13"/>
  <c r="L75" i="13"/>
  <c r="M75" i="13"/>
  <c r="N75" i="13"/>
  <c r="O75" i="13"/>
  <c r="P75" i="13"/>
  <c r="D76" i="13"/>
  <c r="E76" i="13"/>
  <c r="F76" i="13"/>
  <c r="G76" i="13"/>
  <c r="H76" i="13"/>
  <c r="I76" i="13"/>
  <c r="J76" i="13"/>
  <c r="K76" i="13"/>
  <c r="L76" i="13"/>
  <c r="M76" i="13"/>
  <c r="N76" i="13"/>
  <c r="O76" i="13"/>
  <c r="P76" i="13"/>
  <c r="D77" i="13"/>
  <c r="E77" i="13"/>
  <c r="F77" i="13"/>
  <c r="G77" i="13"/>
  <c r="H77" i="13"/>
  <c r="I77" i="13"/>
  <c r="J77" i="13"/>
  <c r="K77" i="13"/>
  <c r="L77" i="13"/>
  <c r="M77" i="13"/>
  <c r="N77" i="13"/>
  <c r="O77" i="13"/>
  <c r="P77" i="13"/>
  <c r="D74" i="13"/>
  <c r="E74" i="13"/>
  <c r="F74" i="13"/>
  <c r="G74" i="13"/>
  <c r="H74" i="13"/>
  <c r="I74" i="13"/>
  <c r="J74" i="13"/>
  <c r="K74" i="13"/>
  <c r="L74" i="13"/>
  <c r="M74" i="13"/>
  <c r="N74" i="13"/>
  <c r="O74" i="13"/>
  <c r="P74" i="13"/>
  <c r="D73" i="13"/>
  <c r="E73" i="13"/>
  <c r="F73" i="13"/>
  <c r="G73" i="13"/>
  <c r="H73" i="13"/>
  <c r="I73" i="13"/>
  <c r="J73" i="13"/>
  <c r="K73" i="13"/>
  <c r="L73" i="13"/>
  <c r="M73" i="13"/>
  <c r="N73" i="13"/>
  <c r="O73" i="13"/>
  <c r="P73" i="13"/>
  <c r="H52" i="13"/>
  <c r="I52" i="13"/>
  <c r="J52" i="13"/>
  <c r="K52" i="13"/>
  <c r="L52" i="13"/>
  <c r="M52" i="13"/>
  <c r="N52" i="13"/>
  <c r="O52" i="13"/>
  <c r="P52" i="13"/>
  <c r="D71" i="13"/>
  <c r="E71" i="13"/>
  <c r="F71" i="13"/>
  <c r="G71" i="13"/>
  <c r="H71" i="13"/>
  <c r="I71" i="13"/>
  <c r="J71" i="13"/>
  <c r="K71" i="13"/>
  <c r="L71" i="13"/>
  <c r="M71" i="13"/>
  <c r="N71" i="13"/>
  <c r="O71" i="13"/>
  <c r="P71" i="13"/>
  <c r="H50" i="13"/>
  <c r="I50" i="13"/>
  <c r="J50" i="13"/>
  <c r="K50" i="13"/>
  <c r="L50" i="13"/>
  <c r="M50" i="13"/>
  <c r="N50" i="13"/>
  <c r="O50" i="13"/>
  <c r="P50" i="13"/>
  <c r="H53" i="13"/>
  <c r="I53" i="13"/>
  <c r="J53" i="13"/>
  <c r="K53" i="13"/>
  <c r="L53" i="13"/>
  <c r="M53" i="13"/>
  <c r="N53" i="13"/>
  <c r="O53" i="13"/>
  <c r="P53" i="13"/>
  <c r="H51" i="13"/>
  <c r="I51" i="13"/>
  <c r="J51" i="13"/>
  <c r="K51" i="13"/>
  <c r="L51" i="13"/>
  <c r="M51" i="13"/>
  <c r="N51" i="13"/>
  <c r="O51" i="13"/>
  <c r="P51" i="13"/>
  <c r="H54" i="13"/>
  <c r="I54" i="13"/>
  <c r="J54" i="13"/>
  <c r="K54" i="13"/>
  <c r="L54" i="13"/>
  <c r="M54" i="13"/>
  <c r="N54" i="13"/>
  <c r="O54" i="13"/>
  <c r="P54" i="13"/>
  <c r="H49" i="13"/>
  <c r="I49" i="13"/>
  <c r="J49" i="13"/>
  <c r="K49" i="13"/>
  <c r="L49" i="13"/>
  <c r="M49" i="13"/>
  <c r="N49" i="13"/>
  <c r="O49" i="13"/>
  <c r="P49" i="13"/>
  <c r="H21" i="13"/>
  <c r="I21" i="13"/>
  <c r="J21" i="13"/>
  <c r="K21" i="13"/>
  <c r="L21" i="13"/>
  <c r="M21" i="13"/>
  <c r="N21" i="13"/>
  <c r="O21" i="13"/>
  <c r="H28" i="13"/>
  <c r="I28" i="13"/>
  <c r="J28" i="13"/>
  <c r="K28" i="13"/>
  <c r="L28" i="13"/>
  <c r="M28" i="13"/>
  <c r="N28" i="13"/>
  <c r="O28" i="13"/>
  <c r="H27" i="13"/>
  <c r="I27" i="13"/>
  <c r="J27" i="13"/>
  <c r="K27" i="13"/>
  <c r="L27" i="13"/>
  <c r="M27" i="13"/>
  <c r="N27" i="13"/>
  <c r="O27" i="13"/>
  <c r="H23" i="13"/>
  <c r="I23" i="13"/>
  <c r="J23" i="13"/>
  <c r="K23" i="13"/>
  <c r="L23" i="13"/>
  <c r="M23" i="13"/>
  <c r="N23" i="13"/>
  <c r="O23" i="13"/>
  <c r="H26" i="13"/>
  <c r="I26" i="13"/>
  <c r="J26" i="13"/>
  <c r="K26" i="13"/>
  <c r="L26" i="13"/>
  <c r="M26" i="13"/>
  <c r="N26" i="13"/>
  <c r="O26" i="13"/>
  <c r="H25" i="13"/>
  <c r="I25" i="13"/>
  <c r="J25" i="13"/>
  <c r="K25" i="13"/>
  <c r="L25" i="13"/>
  <c r="M25" i="13"/>
  <c r="N25" i="13"/>
  <c r="O25" i="13"/>
  <c r="H22" i="13"/>
  <c r="I22" i="13"/>
  <c r="J22" i="13"/>
  <c r="K22" i="13"/>
  <c r="L22" i="13"/>
  <c r="M22" i="13"/>
  <c r="N22" i="13"/>
  <c r="O22" i="13"/>
  <c r="H20" i="13"/>
  <c r="I20" i="13"/>
  <c r="J20" i="13"/>
  <c r="K20" i="13"/>
  <c r="L20" i="13"/>
  <c r="M20" i="13"/>
  <c r="N20" i="13"/>
  <c r="O20" i="13"/>
  <c r="E95" i="13"/>
  <c r="E108" i="13"/>
  <c r="E119" i="13"/>
  <c r="E30" i="13"/>
  <c r="E132" i="13"/>
  <c r="E140" i="13"/>
  <c r="E69" i="13"/>
  <c r="E82" i="13"/>
  <c r="C56" i="13"/>
  <c r="E56" i="13"/>
  <c r="C82" i="13"/>
  <c r="C108" i="13"/>
  <c r="D37" i="13"/>
  <c r="D111" i="13"/>
  <c r="D142" i="13"/>
  <c r="D115" i="13"/>
  <c r="D110" i="13"/>
  <c r="D116" i="13"/>
  <c r="D114" i="13"/>
  <c r="D145" i="13"/>
  <c r="D112" i="13"/>
  <c r="D143" i="13"/>
  <c r="D117" i="13"/>
  <c r="D119" i="13"/>
  <c r="D113" i="13"/>
  <c r="D144" i="13"/>
  <c r="D118" i="13"/>
  <c r="C30" i="13"/>
  <c r="C43" i="13"/>
  <c r="E148" i="13"/>
  <c r="E43" i="13"/>
  <c r="C95" i="13"/>
  <c r="D141" i="13"/>
  <c r="D32" i="13"/>
  <c r="E32" i="13"/>
  <c r="E36" i="13"/>
  <c r="E88" i="13"/>
  <c r="D39" i="13"/>
  <c r="D65" i="13"/>
  <c r="D35" i="13"/>
  <c r="D87" i="13"/>
  <c r="D136" i="13"/>
  <c r="E118" i="13"/>
  <c r="E110" i="13"/>
  <c r="D84" i="13"/>
  <c r="E114" i="13"/>
  <c r="E145" i="13"/>
  <c r="E41" i="13"/>
  <c r="E93" i="13"/>
  <c r="E33" i="13"/>
  <c r="E35" i="13"/>
  <c r="E87" i="13"/>
  <c r="D41" i="13"/>
  <c r="D67" i="13"/>
  <c r="E112" i="13"/>
  <c r="E143" i="13"/>
  <c r="E113" i="13"/>
  <c r="E144" i="13"/>
  <c r="F35" i="13"/>
  <c r="D34" i="13"/>
  <c r="D60" i="13"/>
  <c r="D127" i="13"/>
  <c r="H46" i="13"/>
  <c r="I46" i="13"/>
  <c r="J46" i="13"/>
  <c r="K46" i="13"/>
  <c r="L46" i="13"/>
  <c r="M46" i="13"/>
  <c r="N46" i="13"/>
  <c r="O46" i="13"/>
  <c r="P46" i="13"/>
  <c r="D40" i="13"/>
  <c r="D66" i="13"/>
  <c r="H48" i="13"/>
  <c r="I48" i="13"/>
  <c r="J48" i="13"/>
  <c r="K48" i="13"/>
  <c r="L48" i="13"/>
  <c r="M48" i="13"/>
  <c r="N48" i="13"/>
  <c r="O48" i="13"/>
  <c r="P48" i="13"/>
  <c r="D38" i="13"/>
  <c r="D90" i="13"/>
  <c r="D89" i="13"/>
  <c r="D133" i="13"/>
  <c r="D36" i="13"/>
  <c r="D88" i="13"/>
  <c r="D137" i="13"/>
  <c r="H45" i="13"/>
  <c r="I45" i="13"/>
  <c r="J45" i="13"/>
  <c r="K45" i="13"/>
  <c r="L45" i="13"/>
  <c r="M45" i="13"/>
  <c r="N45" i="13"/>
  <c r="O45" i="13"/>
  <c r="P45" i="13"/>
  <c r="D33" i="13"/>
  <c r="D85" i="13"/>
  <c r="D134" i="13"/>
  <c r="E111" i="13"/>
  <c r="E142" i="13"/>
  <c r="E117" i="13"/>
  <c r="E115" i="13"/>
  <c r="E116" i="13"/>
  <c r="E141" i="13"/>
  <c r="D58" i="13"/>
  <c r="E39" i="13"/>
  <c r="E38" i="13"/>
  <c r="F33" i="13"/>
  <c r="F41" i="13"/>
  <c r="E34" i="13"/>
  <c r="F36" i="13"/>
  <c r="E37" i="13"/>
  <c r="D63" i="13"/>
  <c r="E84" i="13"/>
  <c r="E40" i="13"/>
  <c r="F148" i="13"/>
  <c r="F43" i="13"/>
  <c r="F82" i="13"/>
  <c r="F124" i="13"/>
  <c r="F56" i="13"/>
  <c r="F132" i="13"/>
  <c r="F140" i="13"/>
  <c r="F30" i="13"/>
  <c r="F95" i="13"/>
  <c r="F108" i="13"/>
  <c r="F69" i="13"/>
  <c r="F32" i="13"/>
  <c r="E62" i="13"/>
  <c r="D86" i="13"/>
  <c r="D135" i="13"/>
  <c r="E59" i="13"/>
  <c r="E126" i="13"/>
  <c r="D61" i="13"/>
  <c r="D128" i="13"/>
  <c r="F61" i="13"/>
  <c r="D91" i="13"/>
  <c r="E67" i="13"/>
  <c r="D64" i="13"/>
  <c r="D125" i="13"/>
  <c r="D149" i="13"/>
  <c r="E85" i="13"/>
  <c r="D92" i="13"/>
  <c r="E129" i="13"/>
  <c r="D62" i="13"/>
  <c r="D129" i="13"/>
  <c r="D153" i="13"/>
  <c r="F87" i="13"/>
  <c r="D93" i="13"/>
  <c r="E136" i="13"/>
  <c r="E137" i="13"/>
  <c r="E134" i="13"/>
  <c r="E150" i="13"/>
  <c r="E58" i="13"/>
  <c r="E146" i="13"/>
  <c r="E61" i="13"/>
  <c r="E128" i="13"/>
  <c r="D59" i="13"/>
  <c r="D126" i="13"/>
  <c r="D138" i="13"/>
  <c r="D152" i="13"/>
  <c r="F39" i="13"/>
  <c r="D146" i="13"/>
  <c r="D151" i="13"/>
  <c r="E65" i="13"/>
  <c r="E91" i="13"/>
  <c r="F93" i="13"/>
  <c r="F67" i="13"/>
  <c r="G43" i="13"/>
  <c r="G124" i="13"/>
  <c r="G56" i="13"/>
  <c r="G132" i="13"/>
  <c r="G140" i="13"/>
  <c r="G30" i="13"/>
  <c r="H17" i="13"/>
  <c r="G82" i="13"/>
  <c r="G95" i="13"/>
  <c r="G69" i="13"/>
  <c r="G148" i="13"/>
  <c r="E92" i="13"/>
  <c r="E66" i="13"/>
  <c r="H35" i="13"/>
  <c r="F88" i="13"/>
  <c r="F62" i="13"/>
  <c r="E90" i="13"/>
  <c r="E89" i="13"/>
  <c r="E133" i="13"/>
  <c r="E64" i="13"/>
  <c r="E63" i="13"/>
  <c r="E125" i="13"/>
  <c r="F37" i="13"/>
  <c r="G87" i="13"/>
  <c r="F59" i="13"/>
  <c r="F85" i="13"/>
  <c r="F84" i="13"/>
  <c r="F58" i="13"/>
  <c r="F34" i="13"/>
  <c r="F38" i="13"/>
  <c r="F40" i="13"/>
  <c r="F117" i="13"/>
  <c r="F110" i="13"/>
  <c r="F118" i="13"/>
  <c r="F114" i="13"/>
  <c r="F145" i="13"/>
  <c r="F112" i="13"/>
  <c r="F143" i="13"/>
  <c r="F111" i="13"/>
  <c r="F142" i="13"/>
  <c r="F113" i="13"/>
  <c r="F144" i="13"/>
  <c r="F119" i="13"/>
  <c r="F116" i="13"/>
  <c r="F115" i="13"/>
  <c r="F141" i="13"/>
  <c r="E86" i="13"/>
  <c r="E135" i="13"/>
  <c r="E60" i="13"/>
  <c r="E127" i="13"/>
  <c r="E152" i="13"/>
  <c r="D130" i="13"/>
  <c r="E153" i="13"/>
  <c r="D150" i="13"/>
  <c r="F137" i="13"/>
  <c r="F146" i="13"/>
  <c r="F134" i="13"/>
  <c r="D154" i="13"/>
  <c r="E151" i="13"/>
  <c r="F128" i="13"/>
  <c r="E138" i="13"/>
  <c r="F136" i="13"/>
  <c r="F126" i="13"/>
  <c r="F91" i="13"/>
  <c r="F65" i="13"/>
  <c r="G93" i="13"/>
  <c r="G85" i="13"/>
  <c r="F64" i="13"/>
  <c r="F63" i="13"/>
  <c r="F125" i="13"/>
  <c r="F90" i="13"/>
  <c r="F89" i="13"/>
  <c r="F133" i="13"/>
  <c r="G144" i="13"/>
  <c r="G145" i="13"/>
  <c r="G141" i="13"/>
  <c r="G143" i="13"/>
  <c r="G142" i="13"/>
  <c r="H32" i="13"/>
  <c r="H33" i="13"/>
  <c r="G84" i="13"/>
  <c r="H41" i="13"/>
  <c r="F129" i="13"/>
  <c r="H61" i="13"/>
  <c r="H87" i="13"/>
  <c r="H124" i="13"/>
  <c r="H82" i="13"/>
  <c r="H56" i="13"/>
  <c r="H132" i="13"/>
  <c r="H140" i="13"/>
  <c r="H30" i="13"/>
  <c r="I17" i="13"/>
  <c r="H43" i="13"/>
  <c r="H95" i="13"/>
  <c r="H148" i="13"/>
  <c r="H108" i="13"/>
  <c r="H69" i="13"/>
  <c r="G88" i="13"/>
  <c r="F92" i="13"/>
  <c r="F66" i="13"/>
  <c r="E149" i="13"/>
  <c r="E130" i="13"/>
  <c r="F86" i="13"/>
  <c r="F135" i="13"/>
  <c r="F60" i="13"/>
  <c r="F127" i="13"/>
  <c r="I35" i="13"/>
  <c r="H36" i="13"/>
  <c r="G134" i="13"/>
  <c r="F138" i="13"/>
  <c r="E154" i="13"/>
  <c r="G146" i="13"/>
  <c r="G128" i="13"/>
  <c r="G137" i="13"/>
  <c r="F152" i="13"/>
  <c r="G136" i="13"/>
  <c r="G129" i="13"/>
  <c r="F150" i="13"/>
  <c r="G91" i="13"/>
  <c r="F153" i="13"/>
  <c r="H39" i="13"/>
  <c r="I41" i="13"/>
  <c r="H38" i="13"/>
  <c r="J35" i="13"/>
  <c r="H34" i="13"/>
  <c r="I32" i="13"/>
  <c r="H113" i="13"/>
  <c r="H144" i="13"/>
  <c r="H116" i="13"/>
  <c r="H115" i="13"/>
  <c r="H141" i="13"/>
  <c r="H119" i="13"/>
  <c r="H114" i="13"/>
  <c r="H145" i="13"/>
  <c r="H110" i="13"/>
  <c r="H111" i="13"/>
  <c r="H142" i="13"/>
  <c r="H118" i="13"/>
  <c r="H112" i="13"/>
  <c r="H143" i="13"/>
  <c r="H117" i="13"/>
  <c r="G152" i="13"/>
  <c r="F151" i="13"/>
  <c r="H67" i="13"/>
  <c r="H93" i="13"/>
  <c r="H37" i="13"/>
  <c r="H59" i="13"/>
  <c r="H85" i="13"/>
  <c r="I69" i="13"/>
  <c r="I82" i="13"/>
  <c r="I95" i="13"/>
  <c r="I132" i="13"/>
  <c r="I108" i="13"/>
  <c r="I30" i="13"/>
  <c r="I56" i="13"/>
  <c r="I124" i="13"/>
  <c r="J17" i="13"/>
  <c r="I43" i="13"/>
  <c r="I140" i="13"/>
  <c r="I148" i="13"/>
  <c r="G126" i="13"/>
  <c r="H58" i="13"/>
  <c r="H84" i="13"/>
  <c r="H88" i="13"/>
  <c r="H137" i="13"/>
  <c r="H62" i="13"/>
  <c r="G90" i="13"/>
  <c r="G89" i="13"/>
  <c r="G133" i="13"/>
  <c r="H40" i="13"/>
  <c r="F149" i="13"/>
  <c r="F130" i="13"/>
  <c r="I33" i="13"/>
  <c r="I36" i="13"/>
  <c r="I61" i="13"/>
  <c r="I87" i="13"/>
  <c r="G92" i="13"/>
  <c r="G127" i="13"/>
  <c r="G86" i="13"/>
  <c r="G135" i="13"/>
  <c r="H146" i="13"/>
  <c r="H128" i="13"/>
  <c r="G153" i="13"/>
  <c r="H134" i="13"/>
  <c r="G138" i="13"/>
  <c r="H136" i="13"/>
  <c r="H152" i="13"/>
  <c r="I39" i="13"/>
  <c r="H65" i="13"/>
  <c r="H91" i="13"/>
  <c r="F154" i="13"/>
  <c r="I40" i="13"/>
  <c r="G151" i="13"/>
  <c r="I37" i="13"/>
  <c r="H86" i="13"/>
  <c r="H135" i="13"/>
  <c r="H60" i="13"/>
  <c r="H127" i="13"/>
  <c r="I59" i="13"/>
  <c r="I85" i="13"/>
  <c r="J32" i="13"/>
  <c r="I34" i="13"/>
  <c r="H129" i="13"/>
  <c r="J33" i="13"/>
  <c r="I113" i="13"/>
  <c r="I144" i="13"/>
  <c r="I119" i="13"/>
  <c r="I111" i="13"/>
  <c r="I142" i="13"/>
  <c r="I114" i="13"/>
  <c r="I145" i="13"/>
  <c r="I116" i="13"/>
  <c r="I115" i="13"/>
  <c r="I141" i="13"/>
  <c r="I110" i="13"/>
  <c r="I112" i="13"/>
  <c r="I143" i="13"/>
  <c r="I117" i="13"/>
  <c r="I118" i="13"/>
  <c r="H92" i="13"/>
  <c r="H66" i="13"/>
  <c r="G149" i="13"/>
  <c r="G130" i="13"/>
  <c r="I58" i="13"/>
  <c r="I84" i="13"/>
  <c r="H63" i="13"/>
  <c r="H89" i="13"/>
  <c r="K35" i="13"/>
  <c r="G150" i="13"/>
  <c r="J108" i="13"/>
  <c r="J82" i="13"/>
  <c r="J56" i="13"/>
  <c r="J148" i="13"/>
  <c r="J30" i="13"/>
  <c r="J43" i="13"/>
  <c r="J132" i="13"/>
  <c r="J95" i="13"/>
  <c r="J140" i="13"/>
  <c r="J69" i="13"/>
  <c r="J124" i="13"/>
  <c r="K17" i="13"/>
  <c r="J41" i="13"/>
  <c r="H126" i="13"/>
  <c r="J61" i="13"/>
  <c r="J87" i="13"/>
  <c r="H64" i="13"/>
  <c r="H125" i="13"/>
  <c r="H90" i="13"/>
  <c r="H133" i="13"/>
  <c r="J36" i="13"/>
  <c r="I38" i="13"/>
  <c r="I62" i="13"/>
  <c r="I88" i="13"/>
  <c r="I67" i="13"/>
  <c r="I93" i="13"/>
  <c r="I129" i="13"/>
  <c r="I137" i="13"/>
  <c r="I146" i="13"/>
  <c r="I136" i="13"/>
  <c r="I134" i="13"/>
  <c r="I126" i="13"/>
  <c r="H138" i="13"/>
  <c r="I128" i="13"/>
  <c r="I152" i="13"/>
  <c r="G154" i="13"/>
  <c r="I91" i="13"/>
  <c r="I65" i="13"/>
  <c r="J39" i="13"/>
  <c r="J58" i="13"/>
  <c r="J84" i="13"/>
  <c r="K56" i="13"/>
  <c r="K95" i="13"/>
  <c r="K148" i="13"/>
  <c r="K140" i="13"/>
  <c r="K30" i="13"/>
  <c r="K108" i="13"/>
  <c r="K132" i="13"/>
  <c r="K82" i="13"/>
  <c r="K43" i="13"/>
  <c r="L17" i="13"/>
  <c r="K69" i="13"/>
  <c r="K124" i="13"/>
  <c r="J34" i="13"/>
  <c r="H130" i="13"/>
  <c r="H149" i="13"/>
  <c r="H151" i="13"/>
  <c r="J38" i="13"/>
  <c r="I60" i="13"/>
  <c r="I127" i="13"/>
  <c r="I86" i="13"/>
  <c r="I135" i="13"/>
  <c r="K36" i="13"/>
  <c r="J37" i="13"/>
  <c r="L35" i="13"/>
  <c r="I64" i="13"/>
  <c r="I63" i="13"/>
  <c r="I125" i="13"/>
  <c r="I90" i="13"/>
  <c r="I89" i="13"/>
  <c r="I133" i="13"/>
  <c r="K32" i="13"/>
  <c r="P100" i="13"/>
  <c r="I92" i="13"/>
  <c r="I66" i="13"/>
  <c r="J62" i="13"/>
  <c r="J88" i="13"/>
  <c r="J85" i="13"/>
  <c r="J59" i="13"/>
  <c r="K61" i="13"/>
  <c r="K87" i="13"/>
  <c r="K33" i="13"/>
  <c r="H153" i="13"/>
  <c r="J40" i="13"/>
  <c r="J67" i="13"/>
  <c r="J93" i="13"/>
  <c r="J116" i="13"/>
  <c r="J115" i="13"/>
  <c r="J141" i="13"/>
  <c r="J111" i="13"/>
  <c r="J142" i="13"/>
  <c r="J117" i="13"/>
  <c r="J119" i="13"/>
  <c r="J113" i="13"/>
  <c r="J144" i="13"/>
  <c r="J118" i="13"/>
  <c r="J110" i="13"/>
  <c r="J114" i="13"/>
  <c r="J145" i="13"/>
  <c r="J112" i="13"/>
  <c r="J143" i="13"/>
  <c r="H150" i="13"/>
  <c r="K41" i="13"/>
  <c r="J126" i="13"/>
  <c r="J134" i="13"/>
  <c r="J128" i="13"/>
  <c r="J146" i="13"/>
  <c r="J136" i="13"/>
  <c r="J137" i="13"/>
  <c r="I138" i="13"/>
  <c r="I153" i="13"/>
  <c r="J65" i="13"/>
  <c r="J91" i="13"/>
  <c r="K39" i="13"/>
  <c r="I150" i="13"/>
  <c r="I130" i="13"/>
  <c r="I149" i="13"/>
  <c r="L33" i="13"/>
  <c r="M35" i="13"/>
  <c r="J92" i="13"/>
  <c r="J66" i="13"/>
  <c r="K40" i="13"/>
  <c r="K34" i="13"/>
  <c r="K37" i="13"/>
  <c r="K88" i="13"/>
  <c r="K62" i="13"/>
  <c r="K112" i="13"/>
  <c r="K143" i="13"/>
  <c r="K116" i="13"/>
  <c r="K115" i="13"/>
  <c r="K141" i="13"/>
  <c r="K119" i="13"/>
  <c r="K111" i="13"/>
  <c r="K142" i="13"/>
  <c r="K117" i="13"/>
  <c r="K113" i="13"/>
  <c r="K144" i="13"/>
  <c r="K110" i="13"/>
  <c r="K118" i="13"/>
  <c r="K114" i="13"/>
  <c r="K145" i="13"/>
  <c r="L56" i="13"/>
  <c r="L95" i="13"/>
  <c r="L148" i="13"/>
  <c r="L140" i="13"/>
  <c r="L30" i="13"/>
  <c r="L108" i="13"/>
  <c r="L43" i="13"/>
  <c r="L82" i="13"/>
  <c r="L132" i="13"/>
  <c r="L69" i="13"/>
  <c r="M17" i="13"/>
  <c r="L124" i="13"/>
  <c r="L32" i="13"/>
  <c r="L61" i="13"/>
  <c r="L87" i="13"/>
  <c r="J64" i="13"/>
  <c r="J63" i="13"/>
  <c r="J125" i="13"/>
  <c r="J90" i="13"/>
  <c r="J89" i="13"/>
  <c r="J133" i="13"/>
  <c r="J129" i="13"/>
  <c r="K93" i="13"/>
  <c r="K67" i="13"/>
  <c r="K58" i="13"/>
  <c r="K84" i="13"/>
  <c r="I151" i="13"/>
  <c r="K38" i="13"/>
  <c r="J86" i="13"/>
  <c r="J135" i="13"/>
  <c r="J60" i="13"/>
  <c r="J127" i="13"/>
  <c r="L41" i="13"/>
  <c r="K59" i="13"/>
  <c r="K85" i="13"/>
  <c r="L36" i="13"/>
  <c r="H154" i="13"/>
  <c r="J150" i="13"/>
  <c r="J138" i="13"/>
  <c r="K146" i="13"/>
  <c r="J151" i="13"/>
  <c r="K128" i="13"/>
  <c r="K134" i="13"/>
  <c r="K137" i="13"/>
  <c r="K136" i="13"/>
  <c r="K126" i="13"/>
  <c r="K150" i="13"/>
  <c r="K91" i="13"/>
  <c r="K65" i="13"/>
  <c r="L39" i="13"/>
  <c r="J152" i="13"/>
  <c r="L88" i="13"/>
  <c r="L62" i="13"/>
  <c r="L37" i="13"/>
  <c r="L40" i="13"/>
  <c r="J153" i="13"/>
  <c r="J130" i="13"/>
  <c r="J149" i="13"/>
  <c r="I154" i="13"/>
  <c r="K86" i="13"/>
  <c r="K135" i="13"/>
  <c r="K60" i="13"/>
  <c r="K127" i="13"/>
  <c r="L58" i="13"/>
  <c r="L84" i="13"/>
  <c r="M87" i="13"/>
  <c r="M61" i="13"/>
  <c r="L38" i="13"/>
  <c r="L115" i="13"/>
  <c r="L116" i="13"/>
  <c r="L141" i="13"/>
  <c r="L111" i="13"/>
  <c r="L142" i="13"/>
  <c r="L119" i="13"/>
  <c r="L117" i="13"/>
  <c r="L113" i="13"/>
  <c r="L144" i="13"/>
  <c r="L118" i="13"/>
  <c r="L110" i="13"/>
  <c r="L114" i="13"/>
  <c r="L145" i="13"/>
  <c r="L112" i="13"/>
  <c r="L143" i="13"/>
  <c r="K89" i="13"/>
  <c r="K63" i="13"/>
  <c r="M36" i="13"/>
  <c r="L34" i="13"/>
  <c r="N35" i="13"/>
  <c r="M33" i="13"/>
  <c r="K64" i="13"/>
  <c r="K125" i="13"/>
  <c r="K90" i="13"/>
  <c r="K133" i="13"/>
  <c r="M95" i="13"/>
  <c r="M56" i="13"/>
  <c r="M148" i="13"/>
  <c r="M140" i="13"/>
  <c r="M69" i="13"/>
  <c r="M30" i="13"/>
  <c r="M108" i="13"/>
  <c r="M43" i="13"/>
  <c r="M82" i="13"/>
  <c r="M132" i="13"/>
  <c r="M124" i="13"/>
  <c r="N17" i="13"/>
  <c r="K66" i="13"/>
  <c r="K92" i="13"/>
  <c r="L67" i="13"/>
  <c r="L93" i="13"/>
  <c r="M41" i="13"/>
  <c r="M32" i="13"/>
  <c r="L59" i="13"/>
  <c r="L85" i="13"/>
  <c r="K129" i="13"/>
  <c r="K152" i="13"/>
  <c r="K138" i="13"/>
  <c r="L146" i="13"/>
  <c r="L134" i="13"/>
  <c r="L128" i="13"/>
  <c r="L126" i="13"/>
  <c r="L137" i="13"/>
  <c r="K153" i="13"/>
  <c r="L136" i="13"/>
  <c r="J154" i="13"/>
  <c r="K151" i="13"/>
  <c r="M39" i="13"/>
  <c r="L91" i="13"/>
  <c r="L65" i="13"/>
  <c r="M34" i="13"/>
  <c r="L86" i="13"/>
  <c r="L135" i="13"/>
  <c r="L60" i="13"/>
  <c r="L127" i="13"/>
  <c r="M88" i="13"/>
  <c r="M62" i="13"/>
  <c r="M84" i="13"/>
  <c r="M58" i="13"/>
  <c r="N32" i="13"/>
  <c r="M40" i="13"/>
  <c r="K130" i="13"/>
  <c r="K149" i="13"/>
  <c r="L89" i="13"/>
  <c r="L63" i="13"/>
  <c r="M38" i="13"/>
  <c r="M118" i="13"/>
  <c r="M111" i="13"/>
  <c r="M142" i="13"/>
  <c r="M119" i="13"/>
  <c r="M114" i="13"/>
  <c r="M145" i="13"/>
  <c r="M113" i="13"/>
  <c r="M144" i="13"/>
  <c r="M117" i="13"/>
  <c r="M115" i="13"/>
  <c r="M116" i="13"/>
  <c r="M141" i="13"/>
  <c r="M110" i="13"/>
  <c r="M112" i="13"/>
  <c r="M143" i="13"/>
  <c r="N33" i="13"/>
  <c r="M67" i="13"/>
  <c r="M93" i="13"/>
  <c r="L90" i="13"/>
  <c r="L133" i="13"/>
  <c r="L64" i="13"/>
  <c r="L125" i="13"/>
  <c r="L66" i="13"/>
  <c r="L92" i="13"/>
  <c r="N41" i="13"/>
  <c r="P22" i="13"/>
  <c r="O35" i="13"/>
  <c r="N87" i="13"/>
  <c r="N61" i="13"/>
  <c r="L129" i="13"/>
  <c r="N36" i="13"/>
  <c r="M59" i="13"/>
  <c r="M85" i="13"/>
  <c r="M37" i="13"/>
  <c r="N148" i="13"/>
  <c r="N95" i="13"/>
  <c r="N140" i="13"/>
  <c r="N30" i="13"/>
  <c r="N108" i="13"/>
  <c r="N56" i="13"/>
  <c r="N82" i="13"/>
  <c r="N132" i="13"/>
  <c r="N43" i="13"/>
  <c r="N69" i="13"/>
  <c r="O17" i="13"/>
  <c r="N124" i="13"/>
  <c r="M137" i="13"/>
  <c r="L150" i="13"/>
  <c r="M146" i="13"/>
  <c r="M128" i="13"/>
  <c r="M129" i="13"/>
  <c r="M134" i="13"/>
  <c r="L152" i="13"/>
  <c r="L138" i="13"/>
  <c r="M136" i="13"/>
  <c r="K154" i="13"/>
  <c r="N39" i="13"/>
  <c r="M65" i="13"/>
  <c r="M91" i="13"/>
  <c r="M126" i="13"/>
  <c r="L149" i="13"/>
  <c r="L130" i="13"/>
  <c r="M90" i="13"/>
  <c r="M89" i="13"/>
  <c r="M133" i="13"/>
  <c r="M86" i="13"/>
  <c r="M135" i="13"/>
  <c r="M138" i="13"/>
  <c r="M64" i="13"/>
  <c r="M63" i="13"/>
  <c r="M125" i="13"/>
  <c r="O33" i="13"/>
  <c r="P20" i="13"/>
  <c r="N59" i="13"/>
  <c r="N85" i="13"/>
  <c r="O36" i="13"/>
  <c r="P23" i="13"/>
  <c r="O140" i="13"/>
  <c r="O43" i="13"/>
  <c r="O69" i="13"/>
  <c r="O108" i="13"/>
  <c r="O30" i="13"/>
  <c r="O56" i="13"/>
  <c r="O82" i="13"/>
  <c r="O132" i="13"/>
  <c r="O95" i="13"/>
  <c r="O148" i="13"/>
  <c r="O124" i="13"/>
  <c r="N62" i="13"/>
  <c r="N88" i="13"/>
  <c r="P28" i="13"/>
  <c r="O41" i="13"/>
  <c r="M66" i="13"/>
  <c r="M92" i="13"/>
  <c r="O87" i="13"/>
  <c r="O61" i="13"/>
  <c r="M153" i="13"/>
  <c r="N58" i="13"/>
  <c r="N84" i="13"/>
  <c r="L153" i="13"/>
  <c r="N111" i="13"/>
  <c r="N142" i="13"/>
  <c r="N119" i="13"/>
  <c r="N113" i="13"/>
  <c r="N144" i="13"/>
  <c r="N117" i="13"/>
  <c r="N115" i="13"/>
  <c r="N112" i="13"/>
  <c r="N143" i="13"/>
  <c r="N110" i="13"/>
  <c r="N116" i="13"/>
  <c r="N141" i="13"/>
  <c r="N118" i="13"/>
  <c r="N114" i="13"/>
  <c r="N145" i="13"/>
  <c r="N67" i="13"/>
  <c r="N93" i="13"/>
  <c r="M60" i="13"/>
  <c r="M127" i="13"/>
  <c r="N40" i="13"/>
  <c r="O32" i="13"/>
  <c r="L151" i="13"/>
  <c r="M152" i="13"/>
  <c r="N37" i="13"/>
  <c r="N38" i="13"/>
  <c r="N34" i="13"/>
  <c r="N146" i="13"/>
  <c r="N128" i="13"/>
  <c r="N134" i="13"/>
  <c r="N126" i="13"/>
  <c r="N137" i="13"/>
  <c r="N136" i="13"/>
  <c r="M151" i="13"/>
  <c r="O39" i="13"/>
  <c r="P26" i="13"/>
  <c r="N65" i="13"/>
  <c r="N91" i="13"/>
  <c r="P21" i="13"/>
  <c r="O34" i="13"/>
  <c r="O119" i="13"/>
  <c r="O114" i="13"/>
  <c r="O145" i="13"/>
  <c r="O117" i="13"/>
  <c r="O115" i="13"/>
  <c r="O111" i="13"/>
  <c r="O142" i="13"/>
  <c r="O113" i="13"/>
  <c r="O144" i="13"/>
  <c r="O112" i="13"/>
  <c r="O143" i="13"/>
  <c r="O116" i="13"/>
  <c r="O141" i="13"/>
  <c r="O118" i="13"/>
  <c r="O110" i="13"/>
  <c r="N90" i="13"/>
  <c r="N89" i="13"/>
  <c r="N133" i="13"/>
  <c r="N64" i="13"/>
  <c r="N63" i="13"/>
  <c r="N125" i="13"/>
  <c r="O37" i="13"/>
  <c r="P24" i="13"/>
  <c r="O93" i="13"/>
  <c r="O67" i="13"/>
  <c r="O88" i="13"/>
  <c r="O62" i="13"/>
  <c r="N150" i="13"/>
  <c r="M150" i="13"/>
  <c r="M149" i="13"/>
  <c r="M130" i="13"/>
  <c r="N60" i="13"/>
  <c r="N127" i="13"/>
  <c r="N86" i="13"/>
  <c r="N135" i="13"/>
  <c r="O38" i="13"/>
  <c r="P25" i="13"/>
  <c r="N129" i="13"/>
  <c r="O84" i="13"/>
  <c r="O58" i="13"/>
  <c r="O85" i="13"/>
  <c r="O134" i="13"/>
  <c r="O59" i="13"/>
  <c r="N92" i="13"/>
  <c r="N66" i="13"/>
  <c r="P27" i="13"/>
  <c r="O40" i="13"/>
  <c r="N152" i="13"/>
  <c r="L154" i="13"/>
  <c r="N138" i="13"/>
  <c r="O136" i="13"/>
  <c r="O146" i="13"/>
  <c r="O128" i="13"/>
  <c r="O137" i="13"/>
  <c r="M154" i="13"/>
  <c r="O65" i="13"/>
  <c r="O91" i="13"/>
  <c r="N149" i="13"/>
  <c r="N130" i="13"/>
  <c r="N153" i="13"/>
  <c r="N151" i="13"/>
  <c r="O89" i="13"/>
  <c r="O63" i="13"/>
  <c r="O152" i="13"/>
  <c r="O90" i="13"/>
  <c r="O133" i="13"/>
  <c r="O86" i="13"/>
  <c r="O135" i="13"/>
  <c r="O138" i="13"/>
  <c r="O64" i="13"/>
  <c r="O125" i="13"/>
  <c r="O66" i="13"/>
  <c r="O92" i="13"/>
  <c r="O60" i="13"/>
  <c r="O127" i="13"/>
  <c r="O126" i="13"/>
  <c r="O129" i="13"/>
  <c r="O150" i="13"/>
  <c r="O151" i="13"/>
  <c r="O130" i="13"/>
  <c r="O149" i="13"/>
  <c r="O153" i="13"/>
  <c r="N154" i="13"/>
  <c r="O154" i="1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<sst xmlns="http://schemas.openxmlformats.org/spreadsheetml/2006/main" count="183" uniqueCount="78">
  <si>
    <t>Check</t>
  </si>
  <si>
    <t>Total Fixed Costs</t>
  </si>
  <si>
    <t>New York</t>
  </si>
  <si>
    <t>Rochester</t>
  </si>
  <si>
    <t>Connecticut</t>
  </si>
  <si>
    <t>Hartford</t>
  </si>
  <si>
    <t>Louisiana</t>
  </si>
  <si>
    <t>New Orleans</t>
  </si>
  <si>
    <t>Oklahoma</t>
  </si>
  <si>
    <t>Oklahoma City</t>
  </si>
  <si>
    <t>Tennessee</t>
  </si>
  <si>
    <t>Nashville</t>
  </si>
  <si>
    <t>Ohio</t>
  </si>
  <si>
    <t>Columbus</t>
  </si>
  <si>
    <t>Texas</t>
  </si>
  <si>
    <t>San Antonio</t>
  </si>
  <si>
    <t>Missouri</t>
  </si>
  <si>
    <t>St. Louis</t>
  </si>
  <si>
    <t>Colorado</t>
  </si>
  <si>
    <t>Denver</t>
  </si>
  <si>
    <t>Minnesota</t>
  </si>
  <si>
    <t>Minneapolis</t>
  </si>
  <si>
    <t>Growth %</t>
  </si>
  <si>
    <t>Costs ($)</t>
  </si>
  <si>
    <t>Hour</t>
  </si>
  <si>
    <t>Share</t>
  </si>
  <si>
    <t>in Market per Month</t>
  </si>
  <si>
    <t>State</t>
  </si>
  <si>
    <t>City</t>
  </si>
  <si>
    <t>Annualized</t>
  </si>
  <si>
    <t>Montly Fixed</t>
  </si>
  <si>
    <t xml:space="preserve">Salary / </t>
  </si>
  <si>
    <t>Revenue /</t>
  </si>
  <si>
    <t>Market</t>
  </si>
  <si>
    <t>Total Hrs Available</t>
  </si>
  <si>
    <t>Dec 2018 Base Data</t>
  </si>
  <si>
    <t>Total Operating Profit</t>
  </si>
  <si>
    <t>Operating Profit ($):</t>
  </si>
  <si>
    <t>Fixed Costs ($):</t>
  </si>
  <si>
    <t>Total Salaries</t>
  </si>
  <si>
    <t>Salaries ($):</t>
  </si>
  <si>
    <t>Total Revenues</t>
  </si>
  <si>
    <t>Revenues ($):</t>
  </si>
  <si>
    <t>CALCULATIONS</t>
  </si>
  <si>
    <t>On / Off Switch:</t>
  </si>
  <si>
    <t>Salaries ($)</t>
  </si>
  <si>
    <t>Salaries / Hour:</t>
  </si>
  <si>
    <t>Revenues (S):</t>
  </si>
  <si>
    <t>Revenues / Hour:</t>
  </si>
  <si>
    <t>Annual %</t>
  </si>
  <si>
    <t>Eagle Hours:</t>
  </si>
  <si>
    <t>Hours Available:</t>
  </si>
  <si>
    <t>INDEXES</t>
  </si>
  <si>
    <t>per Month</t>
  </si>
  <si>
    <t>Date</t>
  </si>
  <si>
    <t>Total Hrs Avail.</t>
  </si>
  <si>
    <t>Launch</t>
  </si>
  <si>
    <t>Monthly</t>
  </si>
  <si>
    <t>Model start date</t>
  </si>
  <si>
    <t>Model technical inputs</t>
  </si>
  <si>
    <t>Periods number</t>
  </si>
  <si>
    <t>months</t>
  </si>
  <si>
    <t>date</t>
  </si>
  <si>
    <t>CALCULATION SCHEDULE</t>
  </si>
  <si>
    <t>Company</t>
  </si>
  <si>
    <t>Eagle Security Corp.</t>
  </si>
  <si>
    <t>Topic</t>
  </si>
  <si>
    <t>Data Management</t>
  </si>
  <si>
    <t>label</t>
  </si>
  <si>
    <t>Cities</t>
  </si>
  <si>
    <t>Start Date</t>
  </si>
  <si>
    <t>Total Revenue</t>
  </si>
  <si>
    <t>USD</t>
  </si>
  <si>
    <t>Summary tables</t>
  </si>
  <si>
    <t>Revenues</t>
  </si>
  <si>
    <t>Salaries</t>
  </si>
  <si>
    <t>Fixed Costs</t>
  </si>
  <si>
    <t>Operating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</si>
</sst>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&quot;$&quot;#,##0.00_);[Red]\(&quot;$&quot;#,##0.00\)"/>
    <numFmt numFmtId="165" formatCode="_(* #,##0.00_);_(* \(#,##0.00\);_(* &quot;-&quot;??_);_(@_)"/>
    <numFmt numFmtId="166" formatCode="_-* #,##0_-;\-* #,##0_-;_-* &quot;-&quot;??_-;_-@_-"/>
    <numFmt numFmtId="167" formatCode="0.00\ &quot;%&quot;"/>
    <numFmt numFmtId="168" formatCode="&quot;$&quot;#,##0"/>
    <numFmt numFmtId="169" formatCode="0.0\ &quot;%&quot;"/>
    <numFmt numFmtId="170" formatCode="&quot;$&quot;#,##0.00"/>
    <numFmt numFmtId="171" formatCode="#,##0_);\(#,##0\);&quot;-  &quot;;&quot; &quot;@"/>
    <numFmt numFmtId="172" formatCode="0.00%\ ;\-0.00%\ _);&quot;-  &quot;;&quot; &quot;@&quot; &quot;"/>
    <numFmt numFmtId="173" formatCode="#,##0.0000_);\(#,##0.0000\);&quot;-  &quot;;&quot; &quot;@&quot; &quot;"/>
    <numFmt numFmtId="174" formatCode="dd\ mmm\ yyyy_);\(###0\);&quot;-  &quot;;&quot; &quot;@&quot; &quot;"/>
    <numFmt numFmtId="175" formatCode="dd\ mmm\ yy_);\(###0\);&quot;-  &quot;;&quot; &quot;@&quot; &quot;"/>
    <numFmt numFmtId="176" formatCode="###0_);\(###0\);&quot;-  &quot;;&quot; &quot;@&quot; &quot;"/>
  </numFmts>
  <fonts count="21">
    <font>
      <sz val="11"/>
      <color theme="1"/>
      <name val="Arial"/>
      <family val="2"/>
    </font>
    <font>
      <b/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ldine401 BT"/>
    </font>
    <font>
      <sz val="10"/>
      <name val="Book Antiqua"/>
      <family val="1"/>
    </font>
    <font>
      <sz val="11"/>
      <color indexed="12"/>
      <name val="Book Antiqua"/>
      <family val="1"/>
    </font>
    <font>
      <sz val="8"/>
      <name val="Arial"/>
      <family val="2"/>
    </font>
    <font>
      <sz val="11"/>
      <color rgb="FF0000FF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9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u/>
      <sz val="9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sz val="11"/>
      <color rgb="FF0000FF"/>
      <name val="Arial"/>
      <family val="2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theme="3" tint="-0.24994659260841701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6">
    <xf numFmtId="171" fontId="0" fillId="0" borderId="0" applyFont="0" applyFill="0" applyBorder="0" applyProtection="0">
      <alignment vertical="top"/>
    </xf>
    <xf numFmtId="0" fontId="3" fillId="0" borderId="0"/>
    <xf numFmtId="165" fontId="4" fillId="0" borderId="0" applyFont="0" applyFill="0" applyBorder="0" applyAlignment="0" applyProtection="0"/>
    <xf numFmtId="0" fontId="5" fillId="0" borderId="0" applyNumberFormat="0" applyFont="0" applyFill="0" applyBorder="0" applyProtection="0">
      <alignment horizontal="centerContinuous"/>
    </xf>
    <xf numFmtId="0" fontId="5" fillId="0" borderId="1" applyNumberFormat="0" applyFont="0" applyFill="0" applyAlignment="0" applyProtection="0"/>
    <xf numFmtId="0" fontId="5" fillId="0" borderId="0" applyNumberFormat="0" applyFont="0" applyFill="0" applyBorder="0" applyProtection="0">
      <alignment horizontal="center"/>
    </xf>
    <xf numFmtId="164" fontId="6" fillId="0" borderId="12">
      <protection locked="0"/>
    </xf>
    <xf numFmtId="0" fontId="5" fillId="0" borderId="13" applyNumberFormat="0" applyFont="0" applyFill="0" applyAlignment="0" applyProtection="0"/>
    <xf numFmtId="0" fontId="7" fillId="0" borderId="0" applyNumberFormat="0" applyFill="0" applyBorder="0" applyAlignment="0" applyProtection="0"/>
    <xf numFmtId="166" fontId="4" fillId="0" borderId="0" applyNumberFormat="0" applyFill="0" applyBorder="0" applyAlignment="0" applyProtection="0"/>
    <xf numFmtId="0" fontId="5" fillId="0" borderId="11" applyNumberFormat="0" applyFont="0" applyFill="0" applyAlignment="0" applyProtection="0"/>
    <xf numFmtId="172" fontId="16" fillId="0" borderId="0" applyFont="0" applyFill="0" applyBorder="0" applyProtection="0">
      <alignment vertical="top"/>
    </xf>
    <xf numFmtId="173" fontId="16" fillId="0" borderId="0" applyFont="0" applyFill="0" applyBorder="0" applyProtection="0">
      <alignment vertical="top"/>
    </xf>
    <xf numFmtId="174" fontId="16" fillId="0" borderId="0" applyFont="0" applyFill="0" applyBorder="0" applyProtection="0">
      <alignment vertical="top"/>
    </xf>
    <xf numFmtId="175" fontId="16" fillId="0" borderId="0" applyFont="0" applyFill="0" applyBorder="0" applyProtection="0">
      <alignment vertical="top"/>
    </xf>
    <xf numFmtId="176" fontId="16" fillId="0" borderId="0" applyFont="0" applyFill="0" applyBorder="0" applyProtection="0">
      <alignment vertical="top"/>
    </xf>
  </cellStyleXfs>
  <cellXfs count="74">
    <xf numFmtId="171" fontId="0" fillId="0" borderId="0" xfId="0">
      <alignment vertical="top"/>
    </xf>
    <xf numFmtId="171" fontId="2" fillId="0" borderId="0" xfId="0" applyFont="1">
      <alignment vertical="top"/>
    </xf>
    <xf numFmtId="167" fontId="8" fillId="0" borderId="10" xfId="0" applyNumberFormat="1" applyFont="1" applyBorder="1">
      <alignment vertical="top"/>
    </xf>
    <xf numFmtId="168" fontId="8" fillId="0" borderId="9" xfId="0" applyNumberFormat="1" applyFont="1" applyBorder="1">
      <alignment vertical="top"/>
    </xf>
    <xf numFmtId="169" fontId="8" fillId="0" borderId="10" xfId="0" applyNumberFormat="1" applyFont="1" applyBorder="1">
      <alignment vertical="top"/>
    </xf>
    <xf numFmtId="170" fontId="8" fillId="0" borderId="9" xfId="0" applyNumberFormat="1" applyFont="1" applyBorder="1">
      <alignment vertical="top"/>
    </xf>
    <xf numFmtId="169" fontId="8" fillId="0" borderId="1" xfId="0" applyNumberFormat="1" applyFont="1" applyBorder="1">
      <alignment vertical="top"/>
    </xf>
    <xf numFmtId="3" fontId="8" fillId="0" borderId="9" xfId="0" applyNumberFormat="1" applyFont="1" applyBorder="1">
      <alignment vertical="top"/>
    </xf>
    <xf numFmtId="171" fontId="0" fillId="0" borderId="0" xfId="0" applyAlignment="1">
      <alignment horizontal="center"/>
    </xf>
    <xf numFmtId="167" fontId="8" fillId="0" borderId="8" xfId="0" applyNumberFormat="1" applyFont="1" applyBorder="1">
      <alignment vertical="top"/>
    </xf>
    <xf numFmtId="168" fontId="8" fillId="0" borderId="7" xfId="0" applyNumberFormat="1" applyFont="1" applyBorder="1">
      <alignment vertical="top"/>
    </xf>
    <xf numFmtId="169" fontId="8" fillId="0" borderId="8" xfId="0" applyNumberFormat="1" applyFont="1" applyBorder="1">
      <alignment vertical="top"/>
    </xf>
    <xf numFmtId="170" fontId="8" fillId="0" borderId="7" xfId="0" applyNumberFormat="1" applyFont="1" applyBorder="1">
      <alignment vertical="top"/>
    </xf>
    <xf numFmtId="169" fontId="8" fillId="0" borderId="0" xfId="0" applyNumberFormat="1" applyFont="1">
      <alignment vertical="top"/>
    </xf>
    <xf numFmtId="3" fontId="8" fillId="0" borderId="7" xfId="0" applyNumberFormat="1" applyFont="1" applyBorder="1">
      <alignment vertical="top"/>
    </xf>
    <xf numFmtId="167" fontId="8" fillId="0" borderId="6" xfId="0" applyNumberFormat="1" applyFont="1" applyBorder="1">
      <alignment vertical="top"/>
    </xf>
    <xf numFmtId="169" fontId="8" fillId="0" borderId="6" xfId="0" applyNumberFormat="1" applyFont="1" applyBorder="1">
      <alignment vertical="top"/>
    </xf>
    <xf numFmtId="171" fontId="1" fillId="0" borderId="10" xfId="0" applyFont="1" applyBorder="1" applyAlignment="1">
      <alignment horizontal="center"/>
    </xf>
    <xf numFmtId="171" fontId="1" fillId="0" borderId="1" xfId="0" applyFont="1" applyBorder="1" applyAlignment="1">
      <alignment horizontal="center"/>
    </xf>
    <xf numFmtId="171" fontId="1" fillId="0" borderId="9" xfId="0" applyFont="1" applyBorder="1" applyAlignment="1">
      <alignment horizontal="center"/>
    </xf>
    <xf numFmtId="171" fontId="9" fillId="0" borderId="0" xfId="0" applyFont="1">
      <alignment vertical="top"/>
    </xf>
    <xf numFmtId="171" fontId="1" fillId="0" borderId="6" xfId="0" applyFont="1" applyBorder="1" applyAlignment="1">
      <alignment horizontal="center"/>
    </xf>
    <xf numFmtId="171" fontId="1" fillId="0" borderId="5" xfId="0" applyFont="1" applyBorder="1" applyAlignment="1">
      <alignment horizontal="center"/>
    </xf>
    <xf numFmtId="171" fontId="1" fillId="0" borderId="4" xfId="0" applyFont="1" applyBorder="1" applyAlignment="1">
      <alignment horizontal="center"/>
    </xf>
    <xf numFmtId="171" fontId="0" fillId="0" borderId="3" xfId="0" applyBorder="1" applyAlignment="1">
      <alignment horizontal="centerContinuous"/>
    </xf>
    <xf numFmtId="171" fontId="0" fillId="0" borderId="2" xfId="0" applyBorder="1" applyAlignment="1">
      <alignment horizontal="centerContinuous"/>
    </xf>
    <xf numFmtId="171" fontId="2" fillId="0" borderId="11" xfId="0" applyFont="1" applyBorder="1" applyAlignment="1">
      <alignment horizontal="centerContinuous"/>
    </xf>
    <xf numFmtId="168" fontId="0" fillId="0" borderId="0" xfId="0" applyNumberFormat="1">
      <alignment vertical="top"/>
    </xf>
    <xf numFmtId="168" fontId="2" fillId="0" borderId="0" xfId="0" applyNumberFormat="1" applyFont="1">
      <alignment vertical="top"/>
    </xf>
    <xf numFmtId="168" fontId="0" fillId="0" borderId="1" xfId="0" applyNumberFormat="1" applyBorder="1">
      <alignment vertical="top"/>
    </xf>
    <xf numFmtId="14" fontId="10" fillId="0" borderId="0" xfId="0" applyNumberFormat="1" applyFont="1">
      <alignment vertical="top"/>
    </xf>
    <xf numFmtId="171" fontId="11" fillId="0" borderId="0" xfId="0" applyFont="1">
      <alignment vertical="top"/>
    </xf>
    <xf numFmtId="171" fontId="12" fillId="0" borderId="0" xfId="0" applyFont="1">
      <alignment vertical="top"/>
    </xf>
    <xf numFmtId="3" fontId="0" fillId="0" borderId="0" xfId="0" applyNumberFormat="1" applyAlignment="1">
      <alignment horizontal="center"/>
    </xf>
    <xf numFmtId="170" fontId="0" fillId="0" borderId="0" xfId="0" applyNumberFormat="1">
      <alignment vertical="top"/>
    </xf>
    <xf numFmtId="10" fontId="0" fillId="0" borderId="0" xfId="0" applyNumberFormat="1">
      <alignment vertical="top"/>
    </xf>
    <xf numFmtId="171" fontId="13" fillId="0" borderId="0" xfId="0" applyFont="1" applyAlignment="1">
      <alignment horizontal="right"/>
    </xf>
    <xf numFmtId="171" fontId="14" fillId="0" borderId="0" xfId="0" applyFont="1" applyAlignment="1">
      <alignment horizontal="right"/>
    </xf>
    <xf numFmtId="3" fontId="0" fillId="0" borderId="0" xfId="0" applyNumberFormat="1">
      <alignment vertical="top"/>
    </xf>
    <xf numFmtId="171" fontId="10" fillId="0" borderId="0" xfId="0" applyFont="1" applyAlignment="1">
      <alignment horizontal="right"/>
    </xf>
    <xf numFmtId="14" fontId="13" fillId="0" borderId="0" xfId="0" applyNumberFormat="1" applyFont="1">
      <alignment vertical="top"/>
    </xf>
    <xf numFmtId="14" fontId="15" fillId="0" borderId="0" xfId="0" applyNumberFormat="1" applyFont="1">
      <alignment vertical="top"/>
    </xf>
    <xf numFmtId="14" fontId="8" fillId="0" borderId="0" xfId="0" applyNumberFormat="1" applyFont="1" applyAlignment="1">
      <alignment horizontal="center"/>
    </xf>
    <xf numFmtId="170" fontId="8" fillId="0" borderId="0" xfId="0" applyNumberFormat="1" applyFont="1">
      <alignment vertical="top"/>
    </xf>
    <xf numFmtId="170" fontId="8" fillId="0" borderId="4" xfId="0" applyNumberFormat="1" applyFont="1" applyBorder="1">
      <alignment vertical="top"/>
    </xf>
    <xf numFmtId="169" fontId="8" fillId="0" borderId="5" xfId="0" applyNumberFormat="1" applyFont="1" applyBorder="1">
      <alignment vertical="top"/>
    </xf>
    <xf numFmtId="10" fontId="0" fillId="0" borderId="1" xfId="0" applyNumberFormat="1" applyBorder="1">
      <alignment vertical="top"/>
    </xf>
    <xf numFmtId="10" fontId="0" fillId="0" borderId="6" xfId="0" applyNumberFormat="1" applyBorder="1">
      <alignment vertical="top"/>
    </xf>
    <xf numFmtId="10" fontId="0" fillId="0" borderId="8" xfId="0" applyNumberFormat="1" applyBorder="1">
      <alignment vertical="top"/>
    </xf>
    <xf numFmtId="10" fontId="0" fillId="0" borderId="10" xfId="0" applyNumberFormat="1" applyBorder="1">
      <alignment vertical="top"/>
    </xf>
    <xf numFmtId="171" fontId="0" fillId="2" borderId="0" xfId="0" applyFill="1">
      <alignment vertical="top"/>
    </xf>
    <xf numFmtId="171" fontId="0" fillId="3" borderId="14" xfId="0" applyFill="1" applyBorder="1">
      <alignment vertical="top"/>
    </xf>
    <xf numFmtId="171" fontId="2" fillId="0" borderId="0" xfId="0" applyFont="1" applyFill="1">
      <alignment vertical="top"/>
    </xf>
    <xf numFmtId="171" fontId="0" fillId="0" borderId="0" xfId="0" applyFill="1">
      <alignment vertical="top"/>
    </xf>
    <xf numFmtId="171" fontId="17" fillId="4" borderId="0" xfId="0" applyFont="1" applyFill="1">
      <alignment vertical="top"/>
    </xf>
    <xf numFmtId="171" fontId="19" fillId="3" borderId="14" xfId="0" applyFont="1" applyFill="1" applyBorder="1">
      <alignment vertical="top"/>
    </xf>
    <xf numFmtId="171" fontId="19" fillId="3" borderId="15" xfId="0" applyFont="1" applyFill="1" applyBorder="1">
      <alignment vertical="top"/>
    </xf>
    <xf numFmtId="171" fontId="18" fillId="2" borderId="0" xfId="0" applyFont="1" applyFill="1">
      <alignment vertical="top"/>
    </xf>
    <xf numFmtId="174" fontId="19" fillId="3" borderId="15" xfId="13" applyFont="1" applyFill="1" applyBorder="1">
      <alignment vertical="top"/>
    </xf>
    <xf numFmtId="175" fontId="17" fillId="4" borderId="0" xfId="14" applyFont="1" applyFill="1">
      <alignment vertical="top"/>
    </xf>
    <xf numFmtId="171" fontId="0" fillId="0" borderId="0" xfId="0" applyAlignment="1">
      <alignment horizontal="right" vertical="top"/>
    </xf>
    <xf numFmtId="171" fontId="18" fillId="0" borderId="0" xfId="0" applyFont="1">
      <alignment vertical="top"/>
    </xf>
    <xf numFmtId="171" fontId="18" fillId="0" borderId="5" xfId="0" applyFont="1" applyBorder="1">
      <alignment vertical="top"/>
    </xf>
    <xf numFmtId="175" fontId="18" fillId="0" borderId="1" xfId="14" applyFont="1" applyBorder="1">
      <alignment vertical="top"/>
    </xf>
    <xf numFmtId="173" fontId="0" fillId="0" borderId="0" xfId="12" applyFont="1">
      <alignment vertical="top"/>
    </xf>
    <xf numFmtId="169" fontId="8" fillId="0" borderId="0" xfId="11" applyNumberFormat="1" applyFont="1">
      <alignment vertical="top"/>
    </xf>
    <xf numFmtId="169" fontId="8" fillId="0" borderId="1" xfId="11" applyNumberFormat="1" applyFont="1" applyBorder="1">
      <alignment vertical="top"/>
    </xf>
    <xf numFmtId="171" fontId="2" fillId="0" borderId="0" xfId="0" applyFont="1" applyAlignment="1">
      <alignment horizontal="center"/>
    </xf>
    <xf numFmtId="171" fontId="2" fillId="0" borderId="1" xfId="0" applyFont="1" applyBorder="1" applyAlignment="1">
      <alignment horizontal="center"/>
    </xf>
    <xf numFmtId="171" fontId="0" fillId="0" borderId="0" xfId="0" applyFont="1">
      <alignment vertical="top"/>
    </xf>
    <xf numFmtId="174" fontId="19" fillId="3" borderId="16" xfId="13" applyFont="1" applyFill="1" applyBorder="1">
      <alignment vertical="top"/>
    </xf>
    <xf numFmtId="175" fontId="0" fillId="0" borderId="0" xfId="14" applyFont="1">
      <alignment vertical="top"/>
    </xf>
    <xf numFmtId="174" fontId="20" fillId="0" borderId="0" xfId="13" applyFont="1" applyFill="1" applyBorder="1">
      <alignment vertical="top"/>
    </xf>
    <xf numFmtId="174" fontId="19" fillId="3" borderId="17" xfId="13" applyFont="1" applyFill="1" applyBorder="1">
      <alignment vertical="top"/>
    </xf>
  </cellXfs>
  <cellStyles count="16">
    <cellStyle name="Across" xfId="3" xr:uid="{00000000-0005-0000-0000-000000000000}"/>
    <cellStyle name="Bottom" xfId="4" xr:uid="{00000000-0005-0000-0000-000001000000}"/>
    <cellStyle name="Center" xfId="5" xr:uid="{00000000-0005-0000-0000-000002000000}"/>
    <cellStyle name="Comma 2" xfId="2" xr:uid="{00000000-0005-0000-0000-000003000000}"/>
    <cellStyle name="Currency [2]" xfId="6" xr:uid="{00000000-0005-0000-0000-000004000000}"/>
    <cellStyle name="DateLong" xfId="13" xr:uid="{FC2E7368-392E-45A3-94DA-3AB7ACF6361A}"/>
    <cellStyle name="DateShort" xfId="14" xr:uid="{954926B7-C301-44B9-AFF0-1B907A1BB0AD}"/>
    <cellStyle name="Double" xfId="7" xr:uid="{00000000-0005-0000-0000-000005000000}"/>
    <cellStyle name="Factor" xfId="12" xr:uid="{9D7D8557-6CA2-4250-90A4-F9E05826E207}"/>
    <cellStyle name="Normal" xfId="0" builtinId="0" customBuiltin="1"/>
    <cellStyle name="Normal 2" xfId="1" xr:uid="{00000000-0005-0000-0000-000007000000}"/>
    <cellStyle name="Numbers" xfId="8" xr:uid="{00000000-0005-0000-0000-00000A000000}"/>
    <cellStyle name="Numbers - Bold - Italic" xfId="9" xr:uid="{00000000-0005-0000-0000-00000B000000}"/>
    <cellStyle name="Outline" xfId="10" xr:uid="{00000000-0005-0000-0000-00000C000000}"/>
    <cellStyle name="Percent" xfId="11" builtinId="5" customBuiltin="1"/>
    <cellStyle name="Year" xfId="15" xr:uid="{D83254D6-CED5-4B32-8010-B99123696F82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87AC9B5-3B44-40D5-9CB9-285F3F097EA3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0f4d90be-9a3f-4696-842a-af44012c9229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6873D-93AA-417E-A9EA-82949B38CF5E}">
  <sheetPr>
    <pageSetUpPr autoPageBreaks="0"/>
  </sheetPr>
  <dimension ref="A1:U66"/>
  <sheetViews>
    <sheetView tabSelected="1" zoomScale="85" zoomScaleNormal="85" workbookViewId="0">
      <pane xSplit="9" ySplit="3" topLeftCell="J4" activePane="bottomRight" state="frozen"/>
      <selection pane="topRight" activeCell="J1" sqref="J1"/>
      <selection pane="bottomLeft" activeCell="A4" sqref="A4"/>
      <selection pane="bottomRight" activeCell="L50" sqref="L50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8" defaultRowHeight="13.8"/>
  <cols>
    <col min="1" max="1" width="1.69921875" customWidth="1"/>
    <col min="2" max="3" width="1.59765625" customWidth="1"/>
    <col min="4" max="4" width="3.69921875" customWidth="1"/>
    <col min="5" max="5" width="27.69921875" customWidth="1"/>
    <col min="6" max="8" width="12.69921875" customWidth="1"/>
    <col min="9" max="9" width="1.59765625" customWidth="1"/>
    <col min="10" max="10" width="14" bestFit="1" customWidth="1"/>
    <col min="11" max="11" width="12.69921875" customWidth="1"/>
    <col min="12" max="12" width="12.09765625" bestFit="1" customWidth="1"/>
    <col min="13" max="13" width="11.8984375" bestFit="1" customWidth="1"/>
    <col min="14" max="14" width="12.19921875" bestFit="1" customWidth="1"/>
    <col min="15" max="15" width="11.69921875" bestFit="1" customWidth="1"/>
    <col min="16" max="16" width="11.19921875" bestFit="1" customWidth="1"/>
    <col min="17" max="18" width="12.69921875" customWidth="1"/>
    <col min="19" max="19" width="11.69921875" bestFit="1" customWidth="1"/>
    <col min="20" max="21" width="12.19921875" bestFit="1" customWidth="1"/>
  </cols>
  <sheetData>
    <row r="1" spans="1:21" s="54" customFormat="1">
      <c r="A1" s="54" t="str" cm="1">
        <f t="array" ref="A1">company</f>
        <v>Eagle Security Corp.</v>
      </c>
    </row>
    <row r="2" spans="1:21" s="54" customFormat="1">
      <c r="A2" s="54" t="str" cm="1">
        <f t="array" ref="A2">topic</f>
        <v>CFM Topic: Data Management</v>
      </c>
    </row>
    <row r="3" spans="1:21" s="54" customFormat="1">
      <c r="A3" s="54" t="s">
        <v>63</v>
      </c>
      <c r="J3" s="59" cm="1">
        <f t="array" ref="J3:U3" xml:space="preserve"> EDATE( start_date, _xlfn.SEQUENCE( 1, months, 0, 1 ) )</f>
        <v>43466</v>
      </c>
      <c r="K3" s="59">
        <v>43497</v>
      </c>
      <c r="L3" s="59">
        <v>43525</v>
      </c>
      <c r="M3" s="59">
        <v>43556</v>
      </c>
      <c r="N3" s="59">
        <v>43586</v>
      </c>
      <c r="O3" s="59">
        <v>43617</v>
      </c>
      <c r="P3" s="59">
        <v>43647</v>
      </c>
      <c r="Q3" s="59">
        <v>43678</v>
      </c>
      <c r="R3" s="59">
        <v>43709</v>
      </c>
      <c r="S3" s="59">
        <v>43739</v>
      </c>
      <c r="T3" s="59">
        <v>43770</v>
      </c>
      <c r="U3" s="59">
        <v>43800</v>
      </c>
    </row>
    <row r="5" spans="1:21" s="50" customFormat="1">
      <c r="A5" s="57" t="s">
        <v>73</v>
      </c>
    </row>
    <row r="7" spans="1:21">
      <c r="C7" s="61" t="s">
        <v>74</v>
      </c>
    </row>
    <row r="9" spans="1:21">
      <c r="E9" s="61" t="s">
        <v>28</v>
      </c>
      <c r="F9" s="61" t="s">
        <v>70</v>
      </c>
      <c r="J9" s="63" cm="1">
        <f t="array" ref="J9:U9">_xlfn.ANCHORARRAY( J3)</f>
        <v>43466</v>
      </c>
      <c r="K9" s="63">
        <v>43497</v>
      </c>
      <c r="L9" s="63">
        <v>43525</v>
      </c>
      <c r="M9" s="63">
        <v>43556</v>
      </c>
      <c r="N9" s="63">
        <v>43586</v>
      </c>
      <c r="O9" s="63">
        <v>43617</v>
      </c>
      <c r="P9" s="63">
        <v>43647</v>
      </c>
      <c r="Q9" s="63">
        <v>43678</v>
      </c>
      <c r="R9" s="63">
        <v>43709</v>
      </c>
      <c r="S9" s="63">
        <v>43739</v>
      </c>
      <c r="T9" s="63">
        <v>43770</v>
      </c>
      <c r="U9" s="63">
        <v>43800</v>
      </c>
    </row>
    <row r="10" spans="1:21">
      <c r="D10" s="60" cm="1">
        <f t="array" ref="D10:D14">_xlfn.LET(
     _xlpm.city_position,    CaseData!$A$7:$A$16,
     _xlpm.current_city,     Calculations!$E$10:$E$14,
     _xlfn.XLOOKUP( _xlpm.current_city, cities, _xlpm.city_position,, 0 ) )</f>
        <v>2</v>
      </c>
      <c r="E10" s="55" t="s">
        <v>19</v>
      </c>
      <c r="F10" s="73">
        <v>43466</v>
      </c>
      <c r="G10" t="s">
        <v>72</v>
      </c>
      <c r="H10" cm="1">
        <f t="array" ref="H10:H14" xml:space="preserve"> _xlfn.BYROW(_xlfn.ANCHORARRAY( J10), _xleta.SUM )</f>
        <v>50452232.860151827</v>
      </c>
      <c r="J10" s="69" cm="1">
        <f t="array" ref="J10:U14">_xlfn.LET(
      _xlpm.data,                 CaseData!$B$7:$L$16,
      _xlpm.cities,               INDEX( _xlpm.data,, 1 ),
      _xlpm.hours,                INDEX( _xlpm.data,, 3 ),
      _xlpm.hours_growth,         ((1 + INDEX( _xlpm.data,, 4 ) / 100 ) ^ ( 1 / months )) - 1,
      _xlpm.share,                INDEX( _xlpm.data,, 5 ) / 100,
      _xlpm.revenue,              INDEX( _xlpm.data,, 6 ),
      _xlpm.revenue_growth,       ((1 + INDEX( _xlpm.data,, 7 ) / 100 ) ^ ( 1 / months )) - 1,
      _xlpm.timeline,_xlfn.ANCHORARRAY(             $J$3),
      _xlpm.current_selection,    MATCH( $E$10:$E$14, _xlpm.cities, 0 ),
      _xlpm.current_city,         INDEX( _xlpm.cities, _xlpm.current_selection, 1 ),
      _xlpm.current_hours,        INDEX( _xlpm.hours, _xlpm.current_selection, 1 ),
      _xlpm.current_hours_growth, INDEX( _xlpm.hours_growth, _xlpm.current_selection, 1 ),
      _xlpm.current_share,        INDEX( _xlpm.share, _xlpm.current_selection, 1 ),
      _xlpm.current_revenue,      INDEX( _xlpm.revenue, _xlpm.current_selection, 1 ),
      _xlpm.current_rev_growth,   INDEX( _xlpm.revenue_growth, _xlpm.current_selection, 1 ),
      _xlpm.operation_start,      $F$10:$F$14,
      _xlpm.model_period_flag,    _xlfn.MAKEARRAY( ROWS( _xlpm.current_city ), COLUMNS( _xlpm.timeline ), _xlfn.LAMBDA(_xlpm.r,_xlpm.c, IF( INDEX( _xlpm.timeline, 1, _xlpm.c ) &gt;= start_date, 1, 0 ) ) ),
      _xlpm.operation_flag,       _xlfn.MAKEARRAY( ROWS( _xlpm.current_city ), COLUMNS( _xlpm.timeline ), _xlfn.LAMBDA(_xlpm.r,_xlpm.c, IF( INDEX( _xlpm.timeline, 1, _xlpm.c ) &gt;= INDEX( _xlpm.operation_start, _xlpm.r, 1 ), 1, 0 ) ) ),
      _xlpm.period_count,         _xlfn.MAKEARRAY( ROWS( _xlpm.current_city ), COLUMNS( _xlpm.timeline ), _xlfn.LAMBDA(_xlpm.r,_xlpm.c, SUM( INDEX( _xlpm.model_period_flag, _xlpm.r, _xlfn.SEQUENCE( 1, _xlpm.c ) ) ) ) ),
      _xlpm.hours_monthly_fact,   IF( _xlpm.model_period_flag, ( 1 + _xlpm.current_hours_growth ) ^ ( _xlpm.period_count ), 0 ),
      _xlpm.hours_available,      _xlfn.MAKEARRAY( ROWS( _xlpm.current_city ), COLUMNS( _xlpm.timeline ), _xlfn.LAMBDA(_xlpm.r,_xlpm.c, INDEX( _xlpm.current_hours, _xlpm.r, 1 ) ) ) * _xlpm.hours_monthly_fact * _xlpm.current_share,
      _xlpm.revenue_fact,         IF( _xlpm.model_period_flag, ( 1 + _xlpm.current_rev_growth ) ^ ( _xlpm.period_count ), 0 ),
      _xlpm.revenue_realised,     _xlfn.MAKEARRAY( ROWS( _xlpm.current_city ), COLUMNS( _xlpm.timeline ), _xlfn.LAMBDA(_xlpm.r,_xlpm.c, INDEX( _xlpm.current_revenue, _xlpm.r, 1 ) ) ) * _xlpm.revenue_fact,
      _xlpm.operation_flag * _xlpm.hours_available * _xlpm.revenue_realised )</f>
        <v>4076702.8322767401</v>
      </c>
      <c r="K10" s="69">
        <v>4099482.2418798963</v>
      </c>
      <c r="L10" s="69">
        <v>4122388.9360861299</v>
      </c>
      <c r="M10" s="69">
        <v>4145423.6261241529</v>
      </c>
      <c r="N10" s="69">
        <v>4168587.0271968148</v>
      </c>
      <c r="O10" s="69">
        <v>4191879.8585033068</v>
      </c>
      <c r="P10" s="69">
        <v>4215302.8432614924</v>
      </c>
      <c r="Q10" s="69">
        <v>4238856.7087303596</v>
      </c>
      <c r="R10" s="69">
        <v>4262542.1862326115</v>
      </c>
      <c r="S10" s="69">
        <v>4286360.0111773591</v>
      </c>
      <c r="T10" s="69">
        <v>4310310.9230829664</v>
      </c>
      <c r="U10" s="69">
        <v>4334395.6656000055</v>
      </c>
    </row>
    <row r="11" spans="1:21">
      <c r="D11" s="60">
        <v>6</v>
      </c>
      <c r="E11" s="55" t="s">
        <v>11</v>
      </c>
      <c r="F11" s="73">
        <v>43466</v>
      </c>
      <c r="G11" t="s">
        <v>72</v>
      </c>
      <c r="H11">
        <v>52975581.42956318</v>
      </c>
      <c r="J11" s="69">
        <v>4358587.8135004845</v>
      </c>
      <c r="K11" s="69">
        <v>4368699.0290893279</v>
      </c>
      <c r="L11" s="69">
        <v>4378833.7010555705</v>
      </c>
      <c r="M11" s="69">
        <v>4388991.8838141961</v>
      </c>
      <c r="N11" s="69">
        <v>4399173.6319064246</v>
      </c>
      <c r="O11" s="69">
        <v>4409379.0000000037</v>
      </c>
      <c r="P11" s="69">
        <v>4419608.0428894963</v>
      </c>
      <c r="Q11" s="69">
        <v>4429860.8154965825</v>
      </c>
      <c r="R11" s="69">
        <v>4440137.3728703521</v>
      </c>
      <c r="S11" s="69">
        <v>4450437.7701875996</v>
      </c>
      <c r="T11" s="69">
        <v>4460762.0627531223</v>
      </c>
      <c r="U11" s="69">
        <v>4471110.3060000082</v>
      </c>
    </row>
    <row r="12" spans="1:21">
      <c r="D12" s="60">
        <v>10</v>
      </c>
      <c r="E12" s="55" t="s">
        <v>3</v>
      </c>
      <c r="F12" s="73">
        <v>43466</v>
      </c>
      <c r="G12" t="s">
        <v>72</v>
      </c>
      <c r="H12">
        <v>22816799.785394356</v>
      </c>
      <c r="J12" s="69">
        <v>1850305.4072756818</v>
      </c>
      <c r="K12" s="69">
        <v>1859443.2202657908</v>
      </c>
      <c r="L12" s="69">
        <v>1868626.1607391322</v>
      </c>
      <c r="M12" s="69">
        <v>1877854.4515597271</v>
      </c>
      <c r="N12" s="69">
        <v>1887128.3166922196</v>
      </c>
      <c r="O12" s="69">
        <v>1896447.9812073135</v>
      </c>
      <c r="P12" s="69">
        <v>1905813.6712872316</v>
      </c>
      <c r="Q12" s="69">
        <v>1915225.6142312114</v>
      </c>
      <c r="R12" s="69">
        <v>1924684.0384610139</v>
      </c>
      <c r="S12" s="69">
        <v>1934189.1735264729</v>
      </c>
      <c r="T12" s="69">
        <v>1943741.2501110628</v>
      </c>
      <c r="U12" s="69">
        <v>1953340.5000374992</v>
      </c>
    </row>
    <row r="13" spans="1:21">
      <c r="D13" s="60">
        <v>4</v>
      </c>
      <c r="E13" s="55" t="s">
        <v>15</v>
      </c>
      <c r="F13" s="73">
        <v>43466</v>
      </c>
      <c r="G13" t="s">
        <v>72</v>
      </c>
      <c r="H13">
        <v>57056058.116676636</v>
      </c>
      <c r="J13" s="69">
        <v>4602046.7263897443</v>
      </c>
      <c r="K13" s="69">
        <v>4629253.3490436208</v>
      </c>
      <c r="L13" s="69">
        <v>4656620.8132447992</v>
      </c>
      <c r="M13" s="69">
        <v>4684150.0698648253</v>
      </c>
      <c r="N13" s="69">
        <v>4711842.0753966579</v>
      </c>
      <c r="O13" s="69">
        <v>4739697.7919879016</v>
      </c>
      <c r="P13" s="69">
        <v>4767718.187474234</v>
      </c>
      <c r="Q13" s="69">
        <v>4795904.2354130382</v>
      </c>
      <c r="R13" s="69">
        <v>4824256.915117221</v>
      </c>
      <c r="S13" s="69">
        <v>4852777.211689244</v>
      </c>
      <c r="T13" s="69">
        <v>4881466.1160553517</v>
      </c>
      <c r="U13" s="69">
        <v>4910324.625</v>
      </c>
    </row>
    <row r="14" spans="1:21">
      <c r="D14" s="60">
        <v>9</v>
      </c>
      <c r="E14" s="56" t="s">
        <v>5</v>
      </c>
      <c r="F14" s="70">
        <v>43466</v>
      </c>
      <c r="G14" t="s">
        <v>72</v>
      </c>
      <c r="H14">
        <v>16928143.34146579</v>
      </c>
      <c r="J14" s="69">
        <v>1383960.2987402354</v>
      </c>
      <c r="K14" s="69">
        <v>1388762.2009456099</v>
      </c>
      <c r="L14" s="69">
        <v>1393580.7642248687</v>
      </c>
      <c r="M14" s="69">
        <v>1398416.0463866405</v>
      </c>
      <c r="N14" s="69">
        <v>1403268.1054401321</v>
      </c>
      <c r="O14" s="69">
        <v>1408136.9995958228</v>
      </c>
      <c r="P14" s="69">
        <v>1413022.7872661655</v>
      </c>
      <c r="Q14" s="69">
        <v>1417925.5270662843</v>
      </c>
      <c r="R14" s="69">
        <v>1422845.2778146793</v>
      </c>
      <c r="S14" s="69">
        <v>1427782.0985339331</v>
      </c>
      <c r="T14" s="69">
        <v>1432736.0484514164</v>
      </c>
      <c r="U14" s="69">
        <v>1437707.1870000013</v>
      </c>
    </row>
    <row r="15" spans="1:21">
      <c r="E15" s="62" t="s">
        <v>71</v>
      </c>
      <c r="F15" s="62"/>
      <c r="G15" s="62" t="s">
        <v>72</v>
      </c>
      <c r="H15" s="62" cm="1">
        <f t="array" ref="H15" xml:space="preserve"> _xlfn.BYROW(_xlfn.ANCHORARRAY(J15), _xleta.SUM )</f>
        <v>200228815.53325179</v>
      </c>
      <c r="I15" s="62"/>
      <c r="J15" s="62" cm="1">
        <f t="array" ref="J15:U15" xml:space="preserve"> _xlfn.BYCOL(_xlfn.ANCHORARRAY( J10), _xleta.SUM )</f>
        <v>16271603.078182889</v>
      </c>
      <c r="K15" s="62">
        <v>16345640.041224245</v>
      </c>
      <c r="L15" s="62">
        <v>16420050.3753505</v>
      </c>
      <c r="M15" s="62">
        <v>16494836.077749539</v>
      </c>
      <c r="N15" s="62">
        <v>16569999.156632248</v>
      </c>
      <c r="O15" s="62">
        <v>16645541.631294347</v>
      </c>
      <c r="P15" s="62">
        <v>16721465.53217862</v>
      </c>
      <c r="Q15" s="62">
        <v>16797772.900937475</v>
      </c>
      <c r="R15" s="62">
        <v>16874465.79049588</v>
      </c>
      <c r="S15" s="62">
        <v>16951546.265114609</v>
      </c>
      <c r="T15" s="62">
        <v>17029016.400453918</v>
      </c>
      <c r="U15" s="62">
        <v>17106878.283637516</v>
      </c>
    </row>
    <row r="16" spans="1:21">
      <c r="J16" s="64"/>
    </row>
    <row r="17" spans="3:21">
      <c r="C17" s="61" t="s">
        <v>75</v>
      </c>
      <c r="J17" s="64"/>
    </row>
    <row r="18" spans="3:21">
      <c r="C18" s="61"/>
      <c r="J18" s="64"/>
    </row>
    <row r="19" spans="3:21">
      <c r="E19" s="61" t="s">
        <v>28</v>
      </c>
      <c r="F19" s="61" t="s">
        <v>70</v>
      </c>
      <c r="J19" s="63" cm="1">
        <f t="array" ref="J19:U19">_xlfn.ANCHORARRAY( $J$3)</f>
        <v>43466</v>
      </c>
      <c r="K19" s="63">
        <v>43497</v>
      </c>
      <c r="L19" s="63">
        <v>43525</v>
      </c>
      <c r="M19" s="63">
        <v>43556</v>
      </c>
      <c r="N19" s="63">
        <v>43586</v>
      </c>
      <c r="O19" s="63">
        <v>43617</v>
      </c>
      <c r="P19" s="63">
        <v>43647</v>
      </c>
      <c r="Q19" s="63">
        <v>43678</v>
      </c>
      <c r="R19" s="63">
        <v>43709</v>
      </c>
      <c r="S19" s="63">
        <v>43739</v>
      </c>
      <c r="T19" s="63">
        <v>43770</v>
      </c>
      <c r="U19" s="63">
        <v>43800</v>
      </c>
    </row>
    <row r="20" spans="3:21">
      <c r="D20" s="60" cm="1">
        <f t="array" ref="D20:D24">_xlfn.LET(
     _xlpm.city_position,    CaseData!$A$7:$A$16,
     _xlpm.current_city,     Calculations!$E$10:$E$14,
     _xlfn.XLOOKUP( _xlpm.current_city, cities, _xlpm.city_position,, 0 ) )</f>
        <v>2</v>
      </c>
      <c r="E20" t="str">
        <f>$E10</f>
        <v>Denver</v>
      </c>
      <c r="F20" s="72">
        <f xml:space="preserve"> $F10</f>
        <v>43466</v>
      </c>
      <c r="G20" t="s">
        <v>72</v>
      </c>
      <c r="H20" cm="1">
        <f t="array" ref="H20:H24" xml:space="preserve"> _xlfn.BYROW(_xlfn.ANCHORARRAY( J20), _xleta.SUM )</f>
        <v>20705821.668059941</v>
      </c>
      <c r="J20" s="69" cm="1">
        <f t="array" ref="J20:U24">_xlfn.LET(
      _xlpm.data,                 CaseData!$B$7:$L$16,
      _xlpm.cities,               INDEX( _xlpm.data,, 1 ),
      _xlpm.hours,                INDEX( _xlpm.data,, 3 ),
      _xlpm.hours_growth,         ((1 + INDEX( _xlpm.data,, 4 ) / 100 ) ^ ( 1 / months )) - 1,
      _xlpm.share,                INDEX( _xlpm.data,, 5 ) / 100,
      _xlpm.salary,               INDEX( _xlpm.data,, 8 ),
      _xlpm.salary_growth,        ((1 + INDEX( _xlpm.data,, 9 ) / 100 ) ^ ( 1 / months )) - 1,
      _xlpm.timeline,_xlfn.ANCHORARRAY(             $J$3),
      _xlpm.current_selection,    MATCH( $E$20:$E$24, _xlpm.cities, 0 ),
      _xlpm.current_city,         INDEX( _xlpm.cities, _xlpm.current_selection, 1 ),
      _xlpm.current_hours,        INDEX( _xlpm.hours, _xlpm.current_selection, 1 ),
      _xlpm.current_hours_growth, INDEX( _xlpm.hours_growth, _xlpm.current_selection, 1 ),
      _xlpm.current_share,        INDEX( _xlpm.share, _xlpm.current_selection, 1 ),
      _xlpm.current_salary,       INDEX( _xlpm.salary, _xlpm.current_selection, 1 ),
      _xlpm.current_sal_growth,   INDEX( _xlpm.salary_growth, _xlpm.current_selection, 1 ),
      _xlpm.operation_start,      $F$20:$F$24,
      _xlpm.model_period_flag,    _xlfn.MAKEARRAY( ROWS( _xlpm.current_city ), COLUMNS( _xlpm.timeline ), _xlfn.LAMBDA(_xlpm.r,_xlpm.c, IF( INDEX( _xlpm.timeline, 1, _xlpm.c ) &gt;= start_date, 1, 0 ) ) ),
      _xlpm.operation_flag,       _xlfn.MAKEARRAY( ROWS( _xlpm.current_city ), COLUMNS( _xlpm.timeline ), _xlfn.LAMBDA(_xlpm.r,_xlpm.c, IF( INDEX( _xlpm.timeline, 1, _xlpm.c ) &gt;= INDEX( _xlpm.operation_start, _xlpm.r, 1 ), 1, 0 ) ) ),
      _xlpm.period_count,         _xlfn.MAKEARRAY( ROWS( _xlpm.current_city ), COLUMNS( _xlpm.timeline ), _xlfn.LAMBDA(_xlpm.r,_xlpm.c, SUM( INDEX( _xlpm.model_period_flag, _xlpm.r, _xlfn.SEQUENCE( 1, _xlpm.c ) ) ) ) ),
      _xlpm.hours_monthly_fact,   IF( _xlpm.model_period_flag, ( 1 + _xlpm.current_hours_growth ) ^ ( _xlpm.period_count ), 0 ),
      _xlpm.hours_available,      _xlfn.MAKEARRAY( ROWS( _xlpm.current_city ), COLUMNS( _xlpm.timeline ), _xlfn.LAMBDA(_xlpm.r,_xlpm.c, INDEX( _xlpm.current_hours, _xlpm.r, 1 ) ) ) * _xlpm.hours_monthly_fact * _xlpm.current_share,
      _xlpm.salary_fact,          IF( _xlpm.model_period_flag, ( 1 + _xlpm.current_sal_growth ) ^ ( _xlpm.period_count ), 0 ),
      _xlpm.salary_paid,          _xlfn.MAKEARRAY( ROWS( _xlpm.current_city ), COLUMNS( _xlpm.timeline ), _xlfn.LAMBDA(_xlpm.r,_xlpm.c, INDEX( _xlpm.current_salary, _xlpm.r, 1 ) ) ) * _xlpm.salary_fact,
      _xlpm.operation_flag * _xlpm.hours_available * _xlpm.salary_paid )</f>
        <v>1671600.6540486538</v>
      </c>
      <c r="K20">
        <v>1681211.2467567888</v>
      </c>
      <c r="L20">
        <v>1690877.0939851813</v>
      </c>
      <c r="M20">
        <v>1700598.5134105978</v>
      </c>
      <c r="N20">
        <v>1710375.824536233</v>
      </c>
      <c r="O20">
        <v>1720209.3487022147</v>
      </c>
      <c r="P20">
        <v>1730099.4090961623</v>
      </c>
      <c r="Q20">
        <v>1740046.3307638085</v>
      </c>
      <c r="R20">
        <v>1750050.4406196838</v>
      </c>
      <c r="S20">
        <v>1760112.0674578599</v>
      </c>
      <c r="T20">
        <v>1770231.5419627542</v>
      </c>
      <c r="U20">
        <v>1780409.1967200036</v>
      </c>
    </row>
    <row r="21" spans="3:21">
      <c r="D21">
        <v>6</v>
      </c>
      <c r="E21" t="str">
        <f t="shared" ref="E21:E24" si="0">$E11</f>
        <v>Nashville</v>
      </c>
      <c r="F21" s="72">
        <f t="shared" ref="F21:F24" si="1" xml:space="preserve"> $F11</f>
        <v>43466</v>
      </c>
      <c r="G21" t="s">
        <v>72</v>
      </c>
      <c r="H21">
        <v>16943090.570121393</v>
      </c>
      <c r="J21">
        <v>1394633.4242081151</v>
      </c>
      <c r="K21">
        <v>1397753.8144751445</v>
      </c>
      <c r="L21">
        <v>1400881.1863871347</v>
      </c>
      <c r="M21">
        <v>1404015.5555650054</v>
      </c>
      <c r="N21">
        <v>1407156.9376646283</v>
      </c>
      <c r="O21">
        <v>1410305.3483769014</v>
      </c>
      <c r="P21">
        <v>1413460.8034278322</v>
      </c>
      <c r="Q21">
        <v>1416623.3185786132</v>
      </c>
      <c r="R21">
        <v>1419792.9096257007</v>
      </c>
      <c r="S21">
        <v>1422969.5924008957</v>
      </c>
      <c r="T21">
        <v>1426153.382771421</v>
      </c>
      <c r="U21">
        <v>1429344.2966400005</v>
      </c>
    </row>
    <row r="22" spans="3:21">
      <c r="D22">
        <v>10</v>
      </c>
      <c r="E22" t="str">
        <f t="shared" si="0"/>
        <v>Rochester</v>
      </c>
      <c r="F22" s="72">
        <f t="shared" si="1"/>
        <v>43466</v>
      </c>
      <c r="G22" t="s">
        <v>72</v>
      </c>
      <c r="H22">
        <v>9800646.7526631523</v>
      </c>
      <c r="J22">
        <v>795488.65130452951</v>
      </c>
      <c r="K22">
        <v>799287.86117890663</v>
      </c>
      <c r="L22">
        <v>803105.21586986387</v>
      </c>
      <c r="M22">
        <v>806940.80203604384</v>
      </c>
      <c r="N22">
        <v>810794.70674996462</v>
      </c>
      <c r="O22">
        <v>814667.01749999973</v>
      </c>
      <c r="P22">
        <v>818557.8221923603</v>
      </c>
      <c r="Q22">
        <v>822467.20915309456</v>
      </c>
      <c r="R22">
        <v>826395.26713008969</v>
      </c>
      <c r="S22">
        <v>830342.08529508859</v>
      </c>
      <c r="T22">
        <v>834307.75324571319</v>
      </c>
      <c r="U22">
        <v>838292.36100749916</v>
      </c>
    </row>
    <row r="23" spans="3:21">
      <c r="D23">
        <v>4</v>
      </c>
      <c r="E23" t="str">
        <f t="shared" si="0"/>
        <v>San Antonio</v>
      </c>
      <c r="F23" s="72">
        <f t="shared" si="1"/>
        <v>43466</v>
      </c>
      <c r="G23" t="s">
        <v>72</v>
      </c>
      <c r="H23">
        <v>25144412.867244262</v>
      </c>
      <c r="J23">
        <v>2025388.0766352415</v>
      </c>
      <c r="K23">
        <v>2037852.3899534049</v>
      </c>
      <c r="L23">
        <v>2050393.4091178628</v>
      </c>
      <c r="M23">
        <v>2063011.6061792369</v>
      </c>
      <c r="N23">
        <v>2075707.456093167</v>
      </c>
      <c r="O23">
        <v>2088481.4367381867</v>
      </c>
      <c r="P23">
        <v>2101334.0289337123</v>
      </c>
      <c r="Q23">
        <v>2114265.7164581395</v>
      </c>
      <c r="R23">
        <v>2127276.9860670557</v>
      </c>
      <c r="S23">
        <v>2140368.3275115583</v>
      </c>
      <c r="T23">
        <v>2153540.2335566939</v>
      </c>
      <c r="U23">
        <v>2166793.2000000007</v>
      </c>
    </row>
    <row r="24" spans="3:21">
      <c r="D24">
        <v>9</v>
      </c>
      <c r="E24" t="str">
        <f t="shared" si="0"/>
        <v>Hartford</v>
      </c>
      <c r="F24" s="72">
        <f t="shared" si="1"/>
        <v>43466</v>
      </c>
      <c r="G24" t="s">
        <v>72</v>
      </c>
      <c r="H24">
        <v>6255935.6940709669</v>
      </c>
      <c r="J24">
        <v>511916.76442033966</v>
      </c>
      <c r="K24">
        <v>513609.10509885644</v>
      </c>
      <c r="L24">
        <v>515307.04047004832</v>
      </c>
      <c r="M24">
        <v>517010.58902935573</v>
      </c>
      <c r="N24">
        <v>518719.76933336293</v>
      </c>
      <c r="O24">
        <v>520434.60000000003</v>
      </c>
      <c r="P24">
        <v>522155.09970874654</v>
      </c>
      <c r="Q24">
        <v>523881.28720083379</v>
      </c>
      <c r="R24">
        <v>525613.18127944949</v>
      </c>
      <c r="S24">
        <v>527350.80080994312</v>
      </c>
      <c r="T24">
        <v>529094.16472003027</v>
      </c>
      <c r="U24">
        <v>530843.29200000048</v>
      </c>
    </row>
    <row r="25" spans="3:21">
      <c r="E25" s="62" t="s">
        <v>39</v>
      </c>
      <c r="F25" s="62"/>
      <c r="G25" s="62" t="s">
        <v>72</v>
      </c>
      <c r="H25" s="62" cm="1">
        <f t="array" ref="H25" xml:space="preserve"> _xlfn.BYROW(_xlfn.ANCHORARRAY(J25), _xleta.SUM )</f>
        <v>78849907.552159712</v>
      </c>
      <c r="I25" s="62"/>
      <c r="J25" s="62" cm="1">
        <f t="array" ref="J25:U25" xml:space="preserve"> _xlfn.BYCOL(_xlfn.ANCHORARRAY( J20), _xleta.SUM )</f>
        <v>6399027.5706168804</v>
      </c>
      <c r="K25" s="62">
        <v>6429714.4174631014</v>
      </c>
      <c r="L25" s="62">
        <v>6460563.9458300918</v>
      </c>
      <c r="M25" s="62">
        <v>6491577.0662202397</v>
      </c>
      <c r="N25" s="62">
        <v>6522754.6943773553</v>
      </c>
      <c r="O25" s="62">
        <v>6554097.7513173018</v>
      </c>
      <c r="P25" s="62">
        <v>6585607.1633588132</v>
      </c>
      <c r="Q25" s="62">
        <v>6617283.8621544885</v>
      </c>
      <c r="R25" s="62">
        <v>6649128.7847219799</v>
      </c>
      <c r="S25" s="62">
        <v>6681142.8734753458</v>
      </c>
      <c r="T25" s="62">
        <v>6713327.0762566123</v>
      </c>
      <c r="U25" s="62">
        <v>6745682.3463675044</v>
      </c>
    </row>
    <row r="27" spans="3:21">
      <c r="C27" s="61" t="s">
        <v>76</v>
      </c>
    </row>
    <row r="29" spans="3:21">
      <c r="E29" s="61" t="s">
        <v>28</v>
      </c>
      <c r="F29" s="61" t="s">
        <v>70</v>
      </c>
      <c r="J29" s="63" cm="1">
        <f t="array" ref="J29:U29">_xlfn.ANCHORARRAY( $J$3)</f>
        <v>43466</v>
      </c>
      <c r="K29" s="63">
        <v>43497</v>
      </c>
      <c r="L29" s="63">
        <v>43525</v>
      </c>
      <c r="M29" s="63">
        <v>43556</v>
      </c>
      <c r="N29" s="63">
        <v>43586</v>
      </c>
      <c r="O29" s="63">
        <v>43617</v>
      </c>
      <c r="P29" s="63">
        <v>43647</v>
      </c>
      <c r="Q29" s="63">
        <v>43678</v>
      </c>
      <c r="R29" s="63">
        <v>43709</v>
      </c>
      <c r="S29" s="63">
        <v>43739</v>
      </c>
      <c r="T29" s="63">
        <v>43770</v>
      </c>
      <c r="U29" s="63">
        <v>43800</v>
      </c>
    </row>
    <row r="30" spans="3:21">
      <c r="D30" s="60" cm="1">
        <f t="array" ref="D30:D34">_xlfn.LET(
     _xlpm.city_position,    CaseData!$A$7:$A$16,
     _xlpm.current_city,     Calculations!$E$10:$E$14,
     _xlfn.XLOOKUP( _xlpm.current_city, cities, _xlpm.city_position,, 0 ) )</f>
        <v>2</v>
      </c>
      <c r="E30" t="str">
        <f>$E10</f>
        <v>Denver</v>
      </c>
      <c r="F30" s="72">
        <f>$F10</f>
        <v>43466</v>
      </c>
      <c r="G30" t="s">
        <v>72</v>
      </c>
      <c r="H30" cm="1">
        <f t="array" ref="H30:H34" xml:space="preserve"> _xlfn.BYROW(_xlfn.ANCHORARRAY( J30), _xleta.SUM )</f>
        <v>681958.00279129564</v>
      </c>
      <c r="J30" s="69" cm="1">
        <f t="array" ref="J30:U34">_xlfn.LET(
      _xlpm.data,                 CaseData!$B$7:$L$16,
      _xlpm.cities,               INDEX( _xlpm.data,, 1 ),
      _xlpm.fixed,                INDEX( _xlpm.data,, 10 ),
      _xlpm.fixed_growth,         ((1 + INDEX( _xlpm.data,, 11 ) / 100 ) ^ ( 1 / months )) - 1,
      _xlpm.timeline,_xlfn.ANCHORARRAY(             $J$3),
      _xlpm.current_selection,    MATCH( $E$20:$E$24, _xlpm.cities, 0 ),
      _xlpm.current_city,         INDEX( _xlpm.cities, _xlpm.current_selection, 1 ),
      _xlpm.current_fixed,        INDEX( _xlpm.fixed, _xlpm.current_selection, 1 ),
      _xlpm.current_fixd_growth,  INDEX( _xlpm.fixed_growth, _xlpm.current_selection, 1 ),
      _xlpm.operation_start,      $F$20:$F$24,
      _xlpm.model_period_flag,    _xlfn.MAKEARRAY( ROWS( _xlpm.current_city ), COLUMNS( _xlpm.timeline ), _xlfn.LAMBDA(_xlpm.r,_xlpm.c, IF( INDEX( _xlpm.timeline, 1, _xlpm.c ) &gt;= start_date, 1, 0 ) ) ),
      _xlpm.operation_flag,       _xlfn.MAKEARRAY( ROWS( _xlpm.current_city ), COLUMNS( _xlpm.timeline ), _xlfn.LAMBDA(_xlpm.r,_xlpm.c, IF( INDEX( _xlpm.timeline, 1, _xlpm.c ) &gt;= INDEX( _xlpm.operation_start, _xlpm.r, 1 ), 1, 0 ) ) ),
      _xlpm.period_count,         _xlfn.MAKEARRAY( ROWS( _xlpm.current_city ), COLUMNS( _xlpm.timeline ), _xlfn.LAMBDA(_xlpm.r,_xlpm.c, SUM( INDEX( _xlpm.model_period_flag, _xlpm.r, _xlfn.SEQUENCE( 1, _xlpm.c ) ) ) ) ),
      _xlpm.fixed_fact,           IF( _xlpm.model_period_flag, ( 1 + _xlpm.current_fixd_growth ) ^ ( _xlpm.period_count ), 0 ),
      _xlpm.fixed_costs,          _xlfn.MAKEARRAY( ROWS( _xlpm.current_city ), COLUMNS( _xlpm.timeline ), _xlfn.LAMBDA(_xlpm.r,_xlpm.c, INDEX( _xlpm.current_fixed, _xlpm.r, 1 ) ) ) * _xlpm.fixed_fact,
      _xlpm.operation_flag * _xlpm.fixed_costs )</f>
        <v>56465.845548890844</v>
      </c>
      <c r="K30">
        <v>56531.76797076589</v>
      </c>
      <c r="L30">
        <v>56597.767355372358</v>
      </c>
      <c r="M30">
        <v>56663.843792562271</v>
      </c>
      <c r="N30">
        <v>56729.997372292528</v>
      </c>
      <c r="O30">
        <v>56796.228184625063</v>
      </c>
      <c r="P30">
        <v>56862.53631972694</v>
      </c>
      <c r="Q30">
        <v>56928.921867870529</v>
      </c>
      <c r="R30">
        <v>56995.384919433549</v>
      </c>
      <c r="S30">
        <v>57061.92556489924</v>
      </c>
      <c r="T30">
        <v>57128.543894856499</v>
      </c>
      <c r="U30">
        <v>57195.239999999962</v>
      </c>
    </row>
    <row r="31" spans="3:21">
      <c r="D31">
        <v>6</v>
      </c>
      <c r="E31" t="str">
        <f t="shared" ref="E31:E34" si="2">$E11</f>
        <v>Nashville</v>
      </c>
      <c r="F31" s="72">
        <f>$F11</f>
        <v>43466</v>
      </c>
      <c r="G31" t="s">
        <v>72</v>
      </c>
      <c r="H31">
        <v>499671.03564117057</v>
      </c>
      <c r="J31">
        <v>41351.952384222976</v>
      </c>
      <c r="K31">
        <v>41403.97012075167</v>
      </c>
      <c r="L31">
        <v>41456.053291794524</v>
      </c>
      <c r="M31">
        <v>41508.201979663369</v>
      </c>
      <c r="N31">
        <v>41560.416266773587</v>
      </c>
      <c r="O31">
        <v>41612.696235644253</v>
      </c>
      <c r="P31">
        <v>41665.041968898193</v>
      </c>
      <c r="Q31">
        <v>41717.453549262224</v>
      </c>
      <c r="R31">
        <v>41769.9310595672</v>
      </c>
      <c r="S31">
        <v>41822.47458274816</v>
      </c>
      <c r="T31">
        <v>41875.084201844489</v>
      </c>
      <c r="U31">
        <v>41927.760000000024</v>
      </c>
    </row>
    <row r="32" spans="3:21">
      <c r="D32">
        <v>10</v>
      </c>
      <c r="E32" t="str">
        <f t="shared" si="2"/>
        <v>Rochester</v>
      </c>
      <c r="F32" s="72">
        <f>$F12</f>
        <v>43466</v>
      </c>
      <c r="G32" t="s">
        <v>72</v>
      </c>
      <c r="H32">
        <v>602456.05806534959</v>
      </c>
      <c r="J32">
        <v>49777.200360601048</v>
      </c>
      <c r="K32">
        <v>49854.520638620146</v>
      </c>
      <c r="L32">
        <v>49931.961020328279</v>
      </c>
      <c r="M32">
        <v>50009.521692285758</v>
      </c>
      <c r="N32">
        <v>50087.202841342703</v>
      </c>
      <c r="O32">
        <v>50165.004654639473</v>
      </c>
      <c r="P32">
        <v>50242.927319607123</v>
      </c>
      <c r="Q32">
        <v>50320.971023967802</v>
      </c>
      <c r="R32">
        <v>50399.135955735306</v>
      </c>
      <c r="S32">
        <v>50477.422303215477</v>
      </c>
      <c r="T32">
        <v>50555.830255006615</v>
      </c>
      <c r="U32">
        <v>50634.360000000015</v>
      </c>
    </row>
    <row r="33" spans="3:21">
      <c r="D33">
        <v>4</v>
      </c>
      <c r="E33" t="str">
        <f t="shared" si="2"/>
        <v>San Antonio</v>
      </c>
      <c r="F33" s="72">
        <f>$F13</f>
        <v>43466</v>
      </c>
      <c r="G33" t="s">
        <v>72</v>
      </c>
      <c r="H33">
        <v>563824.22650779819</v>
      </c>
      <c r="J33">
        <v>46743.749706021226</v>
      </c>
      <c r="K33">
        <v>46787.540397840683</v>
      </c>
      <c r="L33">
        <v>46831.372113854857</v>
      </c>
      <c r="M33">
        <v>46875.24489249623</v>
      </c>
      <c r="N33">
        <v>46919.15877223327</v>
      </c>
      <c r="O33">
        <v>46963.113791570504</v>
      </c>
      <c r="P33">
        <v>47007.109989048506</v>
      </c>
      <c r="Q33">
        <v>47051.14740324398</v>
      </c>
      <c r="R33">
        <v>47095.22607276975</v>
      </c>
      <c r="S33">
        <v>47139.34603627483</v>
      </c>
      <c r="T33">
        <v>47183.507332444424</v>
      </c>
      <c r="U33">
        <v>47227.709999999992</v>
      </c>
    </row>
    <row r="34" spans="3:21">
      <c r="D34">
        <v>9</v>
      </c>
      <c r="E34" t="str">
        <f t="shared" si="2"/>
        <v>Hartford</v>
      </c>
      <c r="F34" s="72">
        <f>$F14</f>
        <v>43466</v>
      </c>
      <c r="G34" t="s">
        <v>72</v>
      </c>
      <c r="H34">
        <v>666902.31316958787</v>
      </c>
      <c r="J34">
        <v>55342.218937842641</v>
      </c>
      <c r="K34">
        <v>55384.470107850058</v>
      </c>
      <c r="L34">
        <v>55426.753534629999</v>
      </c>
      <c r="M34">
        <v>55469.069242808975</v>
      </c>
      <c r="N34">
        <v>55511.417257032328</v>
      </c>
      <c r="O34">
        <v>55553.797601964165</v>
      </c>
      <c r="P34">
        <v>55596.210302287502</v>
      </c>
      <c r="Q34">
        <v>55638.655382704092</v>
      </c>
      <c r="R34">
        <v>55681.132867934655</v>
      </c>
      <c r="S34">
        <v>55723.642782718722</v>
      </c>
      <c r="T34">
        <v>55766.185151814723</v>
      </c>
      <c r="U34">
        <v>55808.759999999995</v>
      </c>
    </row>
    <row r="35" spans="3:21">
      <c r="E35" s="62" t="s">
        <v>1</v>
      </c>
      <c r="F35" s="62"/>
      <c r="G35" s="62" t="s">
        <v>72</v>
      </c>
      <c r="H35" s="62" cm="1">
        <f t="array" ref="H35" xml:space="preserve"> _xlfn.BYROW(_xlfn.ANCHORARRAY(J35), _xleta.SUM )</f>
        <v>3014811.6361752022</v>
      </c>
      <c r="I35" s="62"/>
      <c r="J35" s="62" cm="1">
        <f t="array" ref="J35:U35">_xlfn.BYCOL(_xlfn.ANCHORARRAY( J30), _xleta.SUM )</f>
        <v>249680.96693757872</v>
      </c>
      <c r="K35" s="62">
        <v>249962.26923582845</v>
      </c>
      <c r="L35" s="62">
        <v>250243.90731598</v>
      </c>
      <c r="M35" s="62">
        <v>250525.88159981661</v>
      </c>
      <c r="N35" s="62">
        <v>250808.19250967441</v>
      </c>
      <c r="O35" s="62">
        <v>251090.84046844346</v>
      </c>
      <c r="P35" s="62">
        <v>251373.82589956827</v>
      </c>
      <c r="Q35" s="62">
        <v>251657.14922704862</v>
      </c>
      <c r="R35" s="62">
        <v>251940.81087544045</v>
      </c>
      <c r="S35" s="62">
        <v>252224.81126985644</v>
      </c>
      <c r="T35" s="62">
        <v>252509.15083596675</v>
      </c>
      <c r="U35" s="62">
        <v>252793.82999999996</v>
      </c>
    </row>
    <row r="37" spans="3:21">
      <c r="C37" s="61" t="s">
        <v>77</v>
      </c>
    </row>
    <row r="39" spans="3:21">
      <c r="E39" s="61" t="s">
        <v>28</v>
      </c>
      <c r="F39" s="61" t="s">
        <v>70</v>
      </c>
      <c r="J39" s="63" cm="1">
        <f t="array" ref="J39:U39">_xlfn.ANCHORARRAY( $J$3)</f>
        <v>43466</v>
      </c>
      <c r="K39" s="63">
        <v>43497</v>
      </c>
      <c r="L39" s="63">
        <v>43525</v>
      </c>
      <c r="M39" s="63">
        <v>43556</v>
      </c>
      <c r="N39" s="63">
        <v>43586</v>
      </c>
      <c r="O39" s="63">
        <v>43617</v>
      </c>
      <c r="P39" s="63">
        <v>43647</v>
      </c>
      <c r="Q39" s="63">
        <v>43678</v>
      </c>
      <c r="R39" s="63">
        <v>43709</v>
      </c>
      <c r="S39" s="63">
        <v>43739</v>
      </c>
      <c r="T39" s="63">
        <v>43770</v>
      </c>
      <c r="U39" s="63">
        <v>43800</v>
      </c>
    </row>
    <row r="40" spans="3:21">
      <c r="D40" s="60" cm="1">
        <f t="array" ref="D40:D44">_xlfn.LET(
     _xlpm.city_position,    CaseData!$A$7:$A$16,
     _xlpm.current_city,     Calculations!$E$10:$E$14,
     _xlfn.XLOOKUP( _xlpm.current_city, cities, _xlpm.city_position,, 0 ) )</f>
        <v>2</v>
      </c>
      <c r="E40" t="str">
        <f t="shared" ref="E40:F44" si="3">E10</f>
        <v>Denver</v>
      </c>
      <c r="F40" s="71">
        <f t="shared" si="3"/>
        <v>43466</v>
      </c>
      <c r="G40" t="s">
        <v>72</v>
      </c>
      <c r="H40" cm="1">
        <f t="array" ref="H40:H44" xml:space="preserve"> _xlfn.BYROW(_xlfn.ANCHORARRAY( J40), _xleta.SUM )</f>
        <v>29064453.189300597</v>
      </c>
      <c r="J40" cm="1">
        <f t="array" ref="J40:U44">_xlfn.ANCHORARRAY( J10) -_xlfn.ANCHORARRAY( J20) -_xlfn.ANCHORARRAY( J30)</f>
        <v>2348636.3326791953</v>
      </c>
      <c r="K40">
        <v>2361739.2271523415</v>
      </c>
      <c r="L40">
        <v>2374914.0747455764</v>
      </c>
      <c r="M40">
        <v>2388161.2689209925</v>
      </c>
      <c r="N40">
        <v>2401481.2052882896</v>
      </c>
      <c r="O40">
        <v>2414874.2816164671</v>
      </c>
      <c r="P40">
        <v>2428340.8978456031</v>
      </c>
      <c r="Q40">
        <v>2441881.4560986804</v>
      </c>
      <c r="R40">
        <v>2455496.3606934943</v>
      </c>
      <c r="S40">
        <v>2469186.0181546002</v>
      </c>
      <c r="T40">
        <v>2482950.8372253557</v>
      </c>
      <c r="U40">
        <v>2496791.2288800022</v>
      </c>
    </row>
    <row r="41" spans="3:21">
      <c r="D41">
        <v>6</v>
      </c>
      <c r="E41" t="str">
        <f t="shared" si="3"/>
        <v>Nashville</v>
      </c>
      <c r="F41" s="71">
        <f t="shared" si="3"/>
        <v>43466</v>
      </c>
      <c r="G41" t="s">
        <v>72</v>
      </c>
      <c r="H41">
        <v>35532819.823800616</v>
      </c>
      <c r="J41">
        <v>2922602.4369081468</v>
      </c>
      <c r="K41">
        <v>2929541.2444934319</v>
      </c>
      <c r="L41">
        <v>2936496.4613766414</v>
      </c>
      <c r="M41">
        <v>2943468.1262695277</v>
      </c>
      <c r="N41">
        <v>2950456.2779750233</v>
      </c>
      <c r="O41">
        <v>2957460.9553874582</v>
      </c>
      <c r="P41">
        <v>2964482.1974927657</v>
      </c>
      <c r="Q41">
        <v>2971520.0433687074</v>
      </c>
      <c r="R41">
        <v>2978574.5321850842</v>
      </c>
      <c r="S41">
        <v>2985645.7032039561</v>
      </c>
      <c r="T41">
        <v>2992733.5957798567</v>
      </c>
      <c r="U41">
        <v>2999838.2493600077</v>
      </c>
    </row>
    <row r="42" spans="3:21">
      <c r="D42">
        <v>10</v>
      </c>
      <c r="E42" t="str">
        <f t="shared" si="3"/>
        <v>Rochester</v>
      </c>
      <c r="F42" s="71">
        <f t="shared" si="3"/>
        <v>43466</v>
      </c>
      <c r="G42" t="s">
        <v>72</v>
      </c>
      <c r="H42">
        <v>12413696.974665854</v>
      </c>
      <c r="J42">
        <v>1005039.5556105513</v>
      </c>
      <c r="K42">
        <v>1010300.8384482641</v>
      </c>
      <c r="L42">
        <v>1015588.9838489399</v>
      </c>
      <c r="M42">
        <v>1020904.1278313976</v>
      </c>
      <c r="N42">
        <v>1026246.4071009124</v>
      </c>
      <c r="O42">
        <v>1031615.9590526744</v>
      </c>
      <c r="P42">
        <v>1037012.9217752643</v>
      </c>
      <c r="Q42">
        <v>1042437.434054149</v>
      </c>
      <c r="R42">
        <v>1047889.6353751889</v>
      </c>
      <c r="S42">
        <v>1053369.6659281689</v>
      </c>
      <c r="T42">
        <v>1058877.6666103429</v>
      </c>
      <c r="U42">
        <v>1064413.7790300001</v>
      </c>
    </row>
    <row r="43" spans="3:21">
      <c r="D43">
        <v>4</v>
      </c>
      <c r="E43" t="str">
        <f t="shared" si="3"/>
        <v>San Antonio</v>
      </c>
      <c r="F43" s="71">
        <f t="shared" si="3"/>
        <v>43466</v>
      </c>
      <c r="G43" t="s">
        <v>72</v>
      </c>
      <c r="H43">
        <v>31347821.022924583</v>
      </c>
      <c r="J43">
        <v>2529914.9000484818</v>
      </c>
      <c r="K43">
        <v>2544613.4186923755</v>
      </c>
      <c r="L43">
        <v>2559396.0320130819</v>
      </c>
      <c r="M43">
        <v>2574263.2187930923</v>
      </c>
      <c r="N43">
        <v>2589215.4605312576</v>
      </c>
      <c r="O43">
        <v>2604253.2414581445</v>
      </c>
      <c r="P43">
        <v>2619377.0485514733</v>
      </c>
      <c r="Q43">
        <v>2634587.3715516548</v>
      </c>
      <c r="R43">
        <v>2649884.7029773956</v>
      </c>
      <c r="S43">
        <v>2665269.5381414108</v>
      </c>
      <c r="T43">
        <v>2680742.3751662131</v>
      </c>
      <c r="U43">
        <v>2696303.7149999994</v>
      </c>
    </row>
    <row r="44" spans="3:21">
      <c r="D44">
        <v>9</v>
      </c>
      <c r="E44" t="str">
        <f t="shared" si="3"/>
        <v>Hartford</v>
      </c>
      <c r="F44" s="71">
        <f t="shared" si="3"/>
        <v>43466</v>
      </c>
      <c r="G44" t="s">
        <v>72</v>
      </c>
      <c r="H44">
        <v>10005305.334225236</v>
      </c>
      <c r="J44">
        <v>816701.31538205314</v>
      </c>
      <c r="K44">
        <v>819768.62573890353</v>
      </c>
      <c r="L44">
        <v>822846.97022019047</v>
      </c>
      <c r="M44">
        <v>825936.38811447588</v>
      </c>
      <c r="N44">
        <v>829036.9188497368</v>
      </c>
      <c r="O44">
        <v>832148.60199385846</v>
      </c>
      <c r="P44">
        <v>835271.47725513147</v>
      </c>
      <c r="Q44">
        <v>838405.58448274643</v>
      </c>
      <c r="R44">
        <v>841550.96366729517</v>
      </c>
      <c r="S44">
        <v>844707.65494127118</v>
      </c>
      <c r="T44">
        <v>847875.69857957144</v>
      </c>
      <c r="U44">
        <v>851055.13500000082</v>
      </c>
    </row>
    <row r="45" spans="3:21">
      <c r="E45" s="62" t="s">
        <v>36</v>
      </c>
      <c r="F45" s="62"/>
      <c r="G45" s="62" t="s">
        <v>72</v>
      </c>
      <c r="H45" s="62" cm="1">
        <f t="array" ref="H45" xml:space="preserve"> _xlfn.BYROW(_xlfn.ANCHORARRAY(J45), _xleta.SUM )</f>
        <v>118364096.34491688</v>
      </c>
      <c r="I45" s="62"/>
      <c r="J45" s="62" cm="1">
        <f t="array" ref="J45:U45">_xlfn.BYCOL(_xlfn.ANCHORARRAY( J40), _xleta.SUM )</f>
        <v>9622894.5406284295</v>
      </c>
      <c r="K45" s="62">
        <v>9665963.3545253165</v>
      </c>
      <c r="L45" s="62">
        <v>9709242.5222044289</v>
      </c>
      <c r="M45" s="62">
        <v>9752733.1299294867</v>
      </c>
      <c r="N45" s="62">
        <v>9796436.2697452195</v>
      </c>
      <c r="O45" s="62">
        <v>9840353.0395086035</v>
      </c>
      <c r="P45" s="62">
        <v>9884484.5429202393</v>
      </c>
      <c r="Q45" s="62">
        <v>9928831.8895559385</v>
      </c>
      <c r="R45" s="62">
        <v>9973396.1948984601</v>
      </c>
      <c r="S45" s="62">
        <v>10018178.580369409</v>
      </c>
      <c r="T45" s="62">
        <v>10063180.173361341</v>
      </c>
      <c r="U45" s="62">
        <v>10108402.10727001</v>
      </c>
    </row>
    <row r="49" spans="1:7" s="50" customFormat="1">
      <c r="A49" s="57" t="s">
        <v>59</v>
      </c>
    </row>
    <row r="51" spans="1:7">
      <c r="E51" s="53" t="s">
        <v>64</v>
      </c>
      <c r="F51" s="56" t="s">
        <v>65</v>
      </c>
      <c r="G51" t="s">
        <v>68</v>
      </c>
    </row>
    <row r="52" spans="1:7">
      <c r="E52" s="53" t="s">
        <v>66</v>
      </c>
      <c r="F52" s="55" t="s">
        <v>67</v>
      </c>
      <c r="G52" t="s">
        <v>68</v>
      </c>
    </row>
    <row r="54" spans="1:7">
      <c r="E54" t="s">
        <v>58</v>
      </c>
      <c r="F54" s="58">
        <v>43466</v>
      </c>
      <c r="G54" s="53" t="s">
        <v>62</v>
      </c>
    </row>
    <row r="55" spans="1:7">
      <c r="E55" s="53" t="s">
        <v>60</v>
      </c>
      <c r="F55" s="51">
        <v>12</v>
      </c>
      <c r="G55" s="53" t="s">
        <v>61</v>
      </c>
    </row>
    <row r="57" spans="1:7">
      <c r="E57" t="s">
        <v>69</v>
      </c>
      <c r="F57" s="55" t="str" cm="1">
        <f t="array" ref="F57:F66" xml:space="preserve"> cities</f>
        <v>Minneapolis</v>
      </c>
    </row>
    <row r="58" spans="1:7">
      <c r="F58" s="55" t="str">
        <v>Denver</v>
      </c>
    </row>
    <row r="59" spans="1:7">
      <c r="F59" s="55" t="str">
        <v>St. Louis</v>
      </c>
    </row>
    <row r="60" spans="1:7">
      <c r="F60" s="55" t="str">
        <v>San Antonio</v>
      </c>
    </row>
    <row r="61" spans="1:7">
      <c r="F61" s="55" t="str">
        <v>Columbus</v>
      </c>
    </row>
    <row r="62" spans="1:7">
      <c r="F62" s="55" t="str">
        <v>Nashville</v>
      </c>
    </row>
    <row r="63" spans="1:7">
      <c r="F63" s="55" t="str">
        <v>Oklahoma City</v>
      </c>
    </row>
    <row r="64" spans="1:7">
      <c r="F64" s="55" t="str">
        <v>New Orleans</v>
      </c>
    </row>
    <row r="65" spans="6:6">
      <c r="F65" s="55" t="str">
        <v>Hartford</v>
      </c>
    </row>
    <row r="66" spans="6:6">
      <c r="F66" s="55" t="str">
        <v>Rochester</v>
      </c>
    </row>
  </sheetData>
  <dataValidations count="2">
    <dataValidation type="list" allowBlank="1" showInputMessage="1" showErrorMessage="1" sqref="E10:E14" xr:uid="{BB996F32-E0E2-4F85-863F-A16E7BF77971}">
      <formula1>cities</formula1>
    </dataValidation>
    <dataValidation type="list" allowBlank="1" showInputMessage="1" showErrorMessage="1" sqref="F10:F14" xr:uid="{FC38C6BA-0C23-4A8E-A7CA-6339201AC2F1}">
      <formula1>_xlfn.ANCHORARRAY( $J$3)</formula1>
    </dataValidation>
  </dataValidation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AB18"/>
  <sheetViews>
    <sheetView showGridLines="0" workbookViewId="0">
      <selection activeCell="E7" sqref="E7"/>
    </sheetView>
  </sheetViews>
  <sheetFormatPr defaultRowHeight="13.8"/>
  <cols>
    <col min="2" max="3" width="15.59765625" customWidth="1"/>
    <col min="4" max="4" width="13.59765625" customWidth="1"/>
    <col min="5" max="5" width="11.19921875" customWidth="1"/>
    <col min="6" max="6" width="11.69921875" customWidth="1"/>
    <col min="7" max="7" width="11.09765625" customWidth="1"/>
    <col min="8" max="8" width="11.8984375" customWidth="1"/>
    <col min="9" max="9" width="11" customWidth="1"/>
    <col min="10" max="10" width="10.5" customWidth="1"/>
    <col min="11" max="11" width="11.3984375" customWidth="1"/>
    <col min="12" max="12" width="11.8984375" customWidth="1"/>
    <col min="13" max="13" width="11.19921875" customWidth="1"/>
    <col min="14" max="14" width="11.69921875" customWidth="1"/>
    <col min="15" max="15" width="11.5" customWidth="1"/>
  </cols>
  <sheetData>
    <row r="1" spans="1:12" ht="12" customHeight="1"/>
    <row r="2" spans="1:12" ht="12" customHeight="1"/>
    <row r="3" spans="1:12" ht="12" customHeight="1"/>
    <row r="4" spans="1:12" ht="14.4">
      <c r="D4" s="26" t="s">
        <v>35</v>
      </c>
      <c r="E4" s="25"/>
      <c r="F4" s="25"/>
      <c r="G4" s="25"/>
      <c r="H4" s="25"/>
      <c r="I4" s="25"/>
      <c r="J4" s="25"/>
      <c r="K4" s="25"/>
      <c r="L4" s="24"/>
    </row>
    <row r="5" spans="1:12">
      <c r="D5" s="23" t="s">
        <v>34</v>
      </c>
      <c r="E5" s="22" t="s">
        <v>29</v>
      </c>
      <c r="F5" s="21" t="s">
        <v>33</v>
      </c>
      <c r="G5" s="22" t="s">
        <v>32</v>
      </c>
      <c r="H5" s="21" t="s">
        <v>29</v>
      </c>
      <c r="I5" s="22" t="s">
        <v>31</v>
      </c>
      <c r="J5" s="21" t="s">
        <v>29</v>
      </c>
      <c r="K5" s="22" t="s">
        <v>30</v>
      </c>
      <c r="L5" s="21" t="s">
        <v>29</v>
      </c>
    </row>
    <row r="6" spans="1:12" ht="14.4">
      <c r="B6" s="20" t="s">
        <v>28</v>
      </c>
      <c r="C6" s="20" t="s">
        <v>27</v>
      </c>
      <c r="D6" s="19" t="s">
        <v>26</v>
      </c>
      <c r="E6" s="18" t="s">
        <v>22</v>
      </c>
      <c r="F6" s="17" t="s">
        <v>25</v>
      </c>
      <c r="G6" s="18" t="s">
        <v>24</v>
      </c>
      <c r="H6" s="17" t="s">
        <v>22</v>
      </c>
      <c r="I6" s="18" t="s">
        <v>24</v>
      </c>
      <c r="J6" s="17" t="s">
        <v>22</v>
      </c>
      <c r="K6" s="18" t="s">
        <v>23</v>
      </c>
      <c r="L6" s="17" t="s">
        <v>22</v>
      </c>
    </row>
    <row r="7" spans="1:12" ht="14.4">
      <c r="A7" s="8">
        <f t="shared" ref="A7:A16" si="0">ROW()-ROW($A$6)</f>
        <v>1</v>
      </c>
      <c r="B7" t="s">
        <v>21</v>
      </c>
      <c r="C7" t="s">
        <v>20</v>
      </c>
      <c r="D7" s="14">
        <f>1000*30*14</f>
        <v>420000</v>
      </c>
      <c r="E7" s="65">
        <v>2.5</v>
      </c>
      <c r="F7" s="16">
        <v>30</v>
      </c>
      <c r="G7" s="12">
        <v>65.25</v>
      </c>
      <c r="H7" s="13">
        <v>2.5</v>
      </c>
      <c r="I7" s="12">
        <v>28.71</v>
      </c>
      <c r="J7" s="16">
        <v>2.2000000000000002</v>
      </c>
      <c r="K7" s="10">
        <v>50300</v>
      </c>
      <c r="L7" s="15">
        <v>1.39</v>
      </c>
    </row>
    <row r="8" spans="1:12" ht="14.4">
      <c r="A8" s="8">
        <f t="shared" si="0"/>
        <v>2</v>
      </c>
      <c r="B8" t="s">
        <v>19</v>
      </c>
      <c r="C8" t="s">
        <v>18</v>
      </c>
      <c r="D8" s="14">
        <v>385000</v>
      </c>
      <c r="E8" s="65">
        <v>3.2</v>
      </c>
      <c r="F8" s="11">
        <v>15</v>
      </c>
      <c r="G8" s="12">
        <v>70.2</v>
      </c>
      <c r="H8" s="13">
        <v>3.6</v>
      </c>
      <c r="I8" s="12">
        <v>28.78</v>
      </c>
      <c r="J8" s="11">
        <v>3.8</v>
      </c>
      <c r="K8" s="10">
        <v>56400</v>
      </c>
      <c r="L8" s="9">
        <v>1.41</v>
      </c>
    </row>
    <row r="9" spans="1:12" ht="14.4">
      <c r="A9" s="8">
        <f t="shared" si="0"/>
        <v>3</v>
      </c>
      <c r="B9" t="s">
        <v>17</v>
      </c>
      <c r="C9" t="s">
        <v>16</v>
      </c>
      <c r="D9" s="14">
        <v>315000</v>
      </c>
      <c r="E9" s="65">
        <v>1.6</v>
      </c>
      <c r="F9" s="11">
        <v>15</v>
      </c>
      <c r="G9" s="12">
        <v>62.5</v>
      </c>
      <c r="H9" s="13">
        <v>1.5</v>
      </c>
      <c r="I9" s="12">
        <v>20.62</v>
      </c>
      <c r="J9" s="11">
        <v>1.3</v>
      </c>
      <c r="K9" s="10">
        <v>50200</v>
      </c>
      <c r="L9" s="9">
        <v>1.07</v>
      </c>
    </row>
    <row r="10" spans="1:12" ht="14.4">
      <c r="A10" s="8">
        <f t="shared" si="0"/>
        <v>4</v>
      </c>
      <c r="B10" t="s">
        <v>15</v>
      </c>
      <c r="C10" t="s">
        <v>14</v>
      </c>
      <c r="D10" s="14">
        <v>305000</v>
      </c>
      <c r="E10" s="65">
        <v>3.5</v>
      </c>
      <c r="F10" s="11">
        <v>25</v>
      </c>
      <c r="G10" s="12">
        <v>60</v>
      </c>
      <c r="H10" s="13">
        <v>3.7</v>
      </c>
      <c r="I10" s="12">
        <v>26.4</v>
      </c>
      <c r="J10" s="11">
        <v>4</v>
      </c>
      <c r="K10" s="10">
        <v>46700</v>
      </c>
      <c r="L10" s="9">
        <v>1.1299999999999999</v>
      </c>
    </row>
    <row r="11" spans="1:12" ht="14.4">
      <c r="A11" s="8">
        <f t="shared" si="0"/>
        <v>5</v>
      </c>
      <c r="B11" t="s">
        <v>13</v>
      </c>
      <c r="C11" t="s">
        <v>12</v>
      </c>
      <c r="D11" s="14">
        <v>285000</v>
      </c>
      <c r="E11" s="65">
        <v>3.1</v>
      </c>
      <c r="F11" s="11">
        <v>17</v>
      </c>
      <c r="G11" s="12">
        <v>53.1</v>
      </c>
      <c r="H11" s="13">
        <v>3.2</v>
      </c>
      <c r="I11" s="12">
        <v>25.48</v>
      </c>
      <c r="J11" s="11">
        <v>3.4</v>
      </c>
      <c r="K11" s="10">
        <v>43100</v>
      </c>
      <c r="L11" s="9">
        <v>1.55</v>
      </c>
    </row>
    <row r="12" spans="1:12" ht="14.4">
      <c r="A12" s="8">
        <f t="shared" si="0"/>
        <v>6</v>
      </c>
      <c r="B12" t="s">
        <v>11</v>
      </c>
      <c r="C12" t="s">
        <v>10</v>
      </c>
      <c r="D12" s="14">
        <v>260000</v>
      </c>
      <c r="E12" s="65">
        <v>1.4</v>
      </c>
      <c r="F12" s="11">
        <v>30</v>
      </c>
      <c r="G12" s="12">
        <v>55.75</v>
      </c>
      <c r="H12" s="13">
        <v>1.4</v>
      </c>
      <c r="I12" s="12">
        <v>17.84</v>
      </c>
      <c r="J12" s="11">
        <v>1.3</v>
      </c>
      <c r="K12" s="10">
        <v>41300</v>
      </c>
      <c r="L12" s="9">
        <v>1.52</v>
      </c>
    </row>
    <row r="13" spans="1:12" ht="14.4">
      <c r="A13" s="8">
        <f t="shared" si="0"/>
        <v>7</v>
      </c>
      <c r="B13" t="s">
        <v>9</v>
      </c>
      <c r="C13" t="s">
        <v>8</v>
      </c>
      <c r="D13" s="14">
        <v>230000</v>
      </c>
      <c r="E13" s="65">
        <v>1.2</v>
      </c>
      <c r="F13" s="11">
        <v>25</v>
      </c>
      <c r="G13" s="12">
        <v>60</v>
      </c>
      <c r="H13" s="13">
        <v>1.2</v>
      </c>
      <c r="I13" s="12">
        <v>25.2</v>
      </c>
      <c r="J13" s="11">
        <v>1.2</v>
      </c>
      <c r="K13" s="10">
        <v>46300</v>
      </c>
      <c r="L13" s="9">
        <v>1.27</v>
      </c>
    </row>
    <row r="14" spans="1:12" ht="14.4">
      <c r="A14" s="8">
        <f t="shared" si="0"/>
        <v>8</v>
      </c>
      <c r="B14" t="s">
        <v>7</v>
      </c>
      <c r="C14" t="s">
        <v>6</v>
      </c>
      <c r="D14" s="14">
        <v>190000</v>
      </c>
      <c r="E14" s="65">
        <v>2.6</v>
      </c>
      <c r="F14" s="11">
        <v>20</v>
      </c>
      <c r="G14" s="12">
        <v>64.55</v>
      </c>
      <c r="H14" s="13">
        <v>2.7</v>
      </c>
      <c r="I14" s="12">
        <v>23.88</v>
      </c>
      <c r="J14" s="11">
        <v>2.7</v>
      </c>
      <c r="K14" s="10">
        <v>51300</v>
      </c>
      <c r="L14" s="9">
        <v>1.02</v>
      </c>
    </row>
    <row r="15" spans="1:12" ht="14.4">
      <c r="A15" s="8">
        <f t="shared" si="0"/>
        <v>9</v>
      </c>
      <c r="B15" t="s">
        <v>5</v>
      </c>
      <c r="C15" t="s">
        <v>4</v>
      </c>
      <c r="D15" s="14">
        <v>185000</v>
      </c>
      <c r="E15" s="65">
        <v>2</v>
      </c>
      <c r="F15" s="11">
        <v>10</v>
      </c>
      <c r="G15" s="12">
        <v>74.55</v>
      </c>
      <c r="H15" s="13">
        <v>2.2000000000000002</v>
      </c>
      <c r="I15" s="12">
        <v>27.58</v>
      </c>
      <c r="J15" s="11">
        <v>2</v>
      </c>
      <c r="K15" s="10">
        <v>55300</v>
      </c>
      <c r="L15" s="9">
        <v>0.92</v>
      </c>
    </row>
    <row r="16" spans="1:12" ht="14.4">
      <c r="A16" s="8">
        <f t="shared" si="0"/>
        <v>10</v>
      </c>
      <c r="B16" t="s">
        <v>3</v>
      </c>
      <c r="C16" t="s">
        <v>2</v>
      </c>
      <c r="D16" s="7">
        <v>185000</v>
      </c>
      <c r="E16" s="66">
        <v>2.9</v>
      </c>
      <c r="F16" s="4">
        <v>15</v>
      </c>
      <c r="G16" s="5">
        <v>66.349999999999994</v>
      </c>
      <c r="H16" s="6">
        <v>3.1</v>
      </c>
      <c r="I16" s="5">
        <v>28.53</v>
      </c>
      <c r="J16" s="4">
        <v>2.9</v>
      </c>
      <c r="K16" s="3">
        <v>49700</v>
      </c>
      <c r="L16" s="2">
        <v>1.88</v>
      </c>
    </row>
    <row r="18" spans="1:28" s="53" customFormat="1" ht="14.4">
      <c r="A18" s="52"/>
      <c r="Q18"/>
      <c r="R18"/>
      <c r="S18"/>
      <c r="T18"/>
      <c r="U18"/>
      <c r="V18"/>
      <c r="W18"/>
      <c r="X18"/>
      <c r="Y18"/>
      <c r="Z18"/>
      <c r="AA18"/>
      <c r="AB1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EBDE3-9C85-4418-A5D7-1C8F0CE57F91}">
  <dimension ref="A1:Q154"/>
  <sheetViews>
    <sheetView showGridLines="0" topLeftCell="A56" zoomScaleNormal="100" workbookViewId="0">
      <selection activeCell="F5" sqref="F5"/>
    </sheetView>
  </sheetViews>
  <sheetFormatPr defaultRowHeight="13.8"/>
  <cols>
    <col min="1" max="1" width="11.09765625" customWidth="1"/>
    <col min="2" max="2" width="15.59765625" customWidth="1"/>
    <col min="3" max="15" width="11.59765625" customWidth="1"/>
  </cols>
  <sheetData>
    <row r="1" spans="1:17" ht="12" customHeight="1">
      <c r="D1" s="67" t="s">
        <v>35</v>
      </c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</row>
    <row r="2" spans="1:17"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</row>
    <row r="3" spans="1:17" ht="14.4">
      <c r="A3" s="1" t="s">
        <v>56</v>
      </c>
      <c r="D3" s="23" t="s">
        <v>55</v>
      </c>
      <c r="E3" s="22" t="s">
        <v>29</v>
      </c>
      <c r="F3" s="22" t="s">
        <v>57</v>
      </c>
      <c r="G3" s="22" t="s">
        <v>33</v>
      </c>
      <c r="H3" s="23" t="s">
        <v>32</v>
      </c>
      <c r="I3" s="22" t="s">
        <v>29</v>
      </c>
      <c r="J3" s="21" t="s">
        <v>57</v>
      </c>
      <c r="K3" s="23" t="s">
        <v>31</v>
      </c>
      <c r="L3" s="22" t="s">
        <v>29</v>
      </c>
      <c r="M3" s="21" t="s">
        <v>57</v>
      </c>
      <c r="N3" s="23" t="s">
        <v>30</v>
      </c>
      <c r="O3" s="22" t="s">
        <v>29</v>
      </c>
      <c r="P3" s="21" t="s">
        <v>57</v>
      </c>
    </row>
    <row r="4" spans="1:17" ht="14.4">
      <c r="A4" s="20" t="s">
        <v>54</v>
      </c>
      <c r="B4" s="20" t="s">
        <v>28</v>
      </c>
      <c r="C4" s="20" t="s">
        <v>27</v>
      </c>
      <c r="D4" s="19" t="s">
        <v>53</v>
      </c>
      <c r="E4" s="18" t="s">
        <v>22</v>
      </c>
      <c r="F4" s="18" t="s">
        <v>22</v>
      </c>
      <c r="G4" s="18" t="s">
        <v>25</v>
      </c>
      <c r="H4" s="19" t="s">
        <v>24</v>
      </c>
      <c r="I4" s="18" t="s">
        <v>22</v>
      </c>
      <c r="J4" s="17" t="s">
        <v>22</v>
      </c>
      <c r="K4" s="19" t="s">
        <v>24</v>
      </c>
      <c r="L4" s="18" t="s">
        <v>22</v>
      </c>
      <c r="M4" s="17" t="s">
        <v>22</v>
      </c>
      <c r="N4" s="19" t="s">
        <v>23</v>
      </c>
      <c r="O4" s="18" t="s">
        <v>22</v>
      </c>
      <c r="P4" s="17" t="s">
        <v>22</v>
      </c>
    </row>
    <row r="5" spans="1:17" ht="14.4">
      <c r="A5" s="42">
        <v>43466</v>
      </c>
      <c r="B5" t="s">
        <v>21</v>
      </c>
      <c r="C5" t="s">
        <v>20</v>
      </c>
      <c r="D5" s="14">
        <f>1000*30*14</f>
        <v>420000</v>
      </c>
      <c r="E5" s="13">
        <v>2.5</v>
      </c>
      <c r="F5" s="35">
        <f>((1+E5/100)^(1/12))-1</f>
        <v>2.0598362698427408E-3</v>
      </c>
      <c r="G5" s="16">
        <v>30</v>
      </c>
      <c r="H5" s="12">
        <v>65.25</v>
      </c>
      <c r="I5" s="13">
        <v>2.5</v>
      </c>
      <c r="J5" s="35">
        <f>((1+I5/100)^(1/12))-1</f>
        <v>2.0598362698427408E-3</v>
      </c>
      <c r="K5" s="12">
        <v>28.71</v>
      </c>
      <c r="L5" s="13">
        <v>2.2000000000000002</v>
      </c>
      <c r="M5" s="35">
        <f>((1+L5/100)^(1/12))-1</f>
        <v>1.8151029571964461E-3</v>
      </c>
      <c r="N5" s="44">
        <v>50300</v>
      </c>
      <c r="O5" s="45">
        <v>1.39</v>
      </c>
      <c r="P5" s="47">
        <f>((1+O5/100)^(1/12))-1</f>
        <v>1.1510186621450647E-3</v>
      </c>
    </row>
    <row r="6" spans="1:17" ht="14.4">
      <c r="A6" s="42">
        <v>43617</v>
      </c>
      <c r="B6" t="s">
        <v>19</v>
      </c>
      <c r="C6" t="s">
        <v>18</v>
      </c>
      <c r="D6" s="14">
        <v>385000</v>
      </c>
      <c r="E6" s="13">
        <v>3.2</v>
      </c>
      <c r="F6" s="35">
        <f t="shared" ref="F6:F14" si="0">((1+E6/100)^(1/12))-1</f>
        <v>2.6283369587845051E-3</v>
      </c>
      <c r="G6" s="11">
        <v>15</v>
      </c>
      <c r="H6" s="12">
        <v>70.2</v>
      </c>
      <c r="I6" s="13">
        <v>3.6</v>
      </c>
      <c r="J6" s="35">
        <f t="shared" ref="J6:J14" si="1">((1+I6/100)^(1/12))-1</f>
        <v>2.9516094330215292E-3</v>
      </c>
      <c r="K6" s="12">
        <v>28.78</v>
      </c>
      <c r="L6" s="13">
        <v>3.8</v>
      </c>
      <c r="M6" s="35">
        <f t="shared" ref="M6:M14" si="2">((1+L6/100)^(1/12))-1</f>
        <v>3.1128168457330574E-3</v>
      </c>
      <c r="N6" s="12">
        <v>56400</v>
      </c>
      <c r="O6" s="13">
        <v>1.41</v>
      </c>
      <c r="P6" s="48">
        <f t="shared" ref="P6:P14" si="3">((1+O6/100)^(1/12))-1</f>
        <v>1.1674742711142994E-3</v>
      </c>
      <c r="Q6" s="43"/>
    </row>
    <row r="7" spans="1:17" ht="14.4">
      <c r="A7" s="42">
        <v>43647</v>
      </c>
      <c r="B7" t="s">
        <v>17</v>
      </c>
      <c r="C7" t="s">
        <v>16</v>
      </c>
      <c r="D7" s="14">
        <v>315000</v>
      </c>
      <c r="E7" s="13">
        <v>1.6</v>
      </c>
      <c r="F7" s="35">
        <f t="shared" si="0"/>
        <v>1.323654354508319E-3</v>
      </c>
      <c r="G7" s="11">
        <v>15</v>
      </c>
      <c r="H7" s="12">
        <v>62.5</v>
      </c>
      <c r="I7" s="13">
        <v>1.5</v>
      </c>
      <c r="J7" s="35">
        <f t="shared" si="1"/>
        <v>1.2414877164492744E-3</v>
      </c>
      <c r="K7" s="12">
        <v>20.62</v>
      </c>
      <c r="L7" s="13">
        <v>1.3</v>
      </c>
      <c r="M7" s="35">
        <f t="shared" si="2"/>
        <v>1.0769315803607071E-3</v>
      </c>
      <c r="N7" s="12">
        <v>50200</v>
      </c>
      <c r="O7" s="13">
        <v>1.07</v>
      </c>
      <c r="P7" s="48">
        <f t="shared" si="3"/>
        <v>8.8732344693531751E-4</v>
      </c>
      <c r="Q7" s="43"/>
    </row>
    <row r="8" spans="1:17" ht="14.4">
      <c r="A8" s="42">
        <v>43678</v>
      </c>
      <c r="B8" t="s">
        <v>15</v>
      </c>
      <c r="C8" t="s">
        <v>14</v>
      </c>
      <c r="D8" s="14">
        <v>305000</v>
      </c>
      <c r="E8" s="13">
        <v>3.5</v>
      </c>
      <c r="F8" s="35">
        <f t="shared" si="0"/>
        <v>2.8708987190766422E-3</v>
      </c>
      <c r="G8" s="11">
        <v>25</v>
      </c>
      <c r="H8" s="12">
        <v>60</v>
      </c>
      <c r="I8" s="13">
        <v>3.7</v>
      </c>
      <c r="J8" s="35">
        <f t="shared" si="1"/>
        <v>3.0322487646148311E-3</v>
      </c>
      <c r="K8" s="12">
        <v>26.4</v>
      </c>
      <c r="L8" s="13">
        <v>4</v>
      </c>
      <c r="M8" s="35">
        <f t="shared" si="2"/>
        <v>3.2737397821989145E-3</v>
      </c>
      <c r="N8" s="12">
        <v>46700</v>
      </c>
      <c r="O8" s="13">
        <v>1.1299999999999999</v>
      </c>
      <c r="P8" s="48">
        <f t="shared" si="3"/>
        <v>9.3682454006915883E-4</v>
      </c>
      <c r="Q8" s="43"/>
    </row>
    <row r="9" spans="1:17" ht="14.4">
      <c r="A9" s="42">
        <v>43556</v>
      </c>
      <c r="B9" t="s">
        <v>13</v>
      </c>
      <c r="C9" t="s">
        <v>12</v>
      </c>
      <c r="D9" s="14">
        <v>285000</v>
      </c>
      <c r="E9" s="13">
        <v>3.1</v>
      </c>
      <c r="F9" s="35">
        <f t="shared" si="0"/>
        <v>2.5473393892132545E-3</v>
      </c>
      <c r="G9" s="11">
        <v>17</v>
      </c>
      <c r="H9" s="12">
        <v>53.1</v>
      </c>
      <c r="I9" s="13">
        <v>3.2</v>
      </c>
      <c r="J9" s="35">
        <f t="shared" si="1"/>
        <v>2.6283369587845051E-3</v>
      </c>
      <c r="K9" s="12">
        <v>25.48</v>
      </c>
      <c r="L9" s="13">
        <v>3.4</v>
      </c>
      <c r="M9" s="35">
        <f t="shared" si="2"/>
        <v>2.7901164905321796E-3</v>
      </c>
      <c r="N9" s="12">
        <v>43100</v>
      </c>
      <c r="O9" s="13">
        <v>1.55</v>
      </c>
      <c r="P9" s="48">
        <f t="shared" si="3"/>
        <v>1.2825803067024744E-3</v>
      </c>
      <c r="Q9" s="43"/>
    </row>
    <row r="10" spans="1:17" ht="14.4">
      <c r="A10" s="42">
        <v>43586</v>
      </c>
      <c r="B10" t="s">
        <v>11</v>
      </c>
      <c r="C10" t="s">
        <v>10</v>
      </c>
      <c r="D10" s="14">
        <v>260000</v>
      </c>
      <c r="E10" s="13">
        <v>1.4</v>
      </c>
      <c r="F10" s="35">
        <f t="shared" si="0"/>
        <v>1.1592468385308585E-3</v>
      </c>
      <c r="G10" s="11">
        <v>30</v>
      </c>
      <c r="H10" s="12">
        <v>55.75</v>
      </c>
      <c r="I10" s="13">
        <v>1.4</v>
      </c>
      <c r="J10" s="35">
        <f t="shared" si="1"/>
        <v>1.1592468385308585E-3</v>
      </c>
      <c r="K10" s="12">
        <v>17.84</v>
      </c>
      <c r="L10" s="13">
        <v>1.3</v>
      </c>
      <c r="M10" s="35">
        <f t="shared" si="2"/>
        <v>1.0769315803607071E-3</v>
      </c>
      <c r="N10" s="12">
        <v>41300</v>
      </c>
      <c r="O10" s="13">
        <v>1.52</v>
      </c>
      <c r="P10" s="48">
        <f t="shared" si="3"/>
        <v>1.2579269787644787E-3</v>
      </c>
      <c r="Q10" s="43"/>
    </row>
    <row r="11" spans="1:17" ht="14.4">
      <c r="A11" s="42">
        <v>43617</v>
      </c>
      <c r="B11" t="s">
        <v>9</v>
      </c>
      <c r="C11" t="s">
        <v>8</v>
      </c>
      <c r="D11" s="14">
        <v>230000</v>
      </c>
      <c r="E11" s="13">
        <v>1.2</v>
      </c>
      <c r="F11" s="35">
        <f t="shared" si="0"/>
        <v>9.9454180114277868E-4</v>
      </c>
      <c r="G11" s="11">
        <v>25</v>
      </c>
      <c r="H11" s="12">
        <v>60</v>
      </c>
      <c r="I11" s="13">
        <v>1.2</v>
      </c>
      <c r="J11" s="35">
        <f t="shared" si="1"/>
        <v>9.9454180114277868E-4</v>
      </c>
      <c r="K11" s="12">
        <v>25.2</v>
      </c>
      <c r="L11" s="13">
        <v>1.2</v>
      </c>
      <c r="M11" s="35">
        <f t="shared" si="2"/>
        <v>9.9454180114277868E-4</v>
      </c>
      <c r="N11" s="12">
        <v>46300</v>
      </c>
      <c r="O11" s="13">
        <v>1.27</v>
      </c>
      <c r="P11" s="48">
        <f t="shared" si="3"/>
        <v>1.0522224777222977E-3</v>
      </c>
      <c r="Q11" s="43"/>
    </row>
    <row r="12" spans="1:17" ht="14.4">
      <c r="A12" s="42">
        <v>43617</v>
      </c>
      <c r="B12" t="s">
        <v>7</v>
      </c>
      <c r="C12" t="s">
        <v>6</v>
      </c>
      <c r="D12" s="14">
        <v>190000</v>
      </c>
      <c r="E12" s="13">
        <v>2.6</v>
      </c>
      <c r="F12" s="35">
        <f t="shared" si="0"/>
        <v>2.1412681429993086E-3</v>
      </c>
      <c r="G12" s="11">
        <v>20</v>
      </c>
      <c r="H12" s="12">
        <v>64.55</v>
      </c>
      <c r="I12" s="13">
        <v>2.7</v>
      </c>
      <c r="J12" s="35">
        <f t="shared" si="1"/>
        <v>2.2226272943570713E-3</v>
      </c>
      <c r="K12" s="12">
        <v>23.88</v>
      </c>
      <c r="L12" s="13">
        <v>2.7</v>
      </c>
      <c r="M12" s="35">
        <f t="shared" si="2"/>
        <v>2.2226272943570713E-3</v>
      </c>
      <c r="N12" s="12">
        <v>51300</v>
      </c>
      <c r="O12" s="13">
        <v>1.02</v>
      </c>
      <c r="P12" s="48">
        <f t="shared" si="3"/>
        <v>8.4605195453169024E-4</v>
      </c>
      <c r="Q12" s="43"/>
    </row>
    <row r="13" spans="1:17" ht="14.4">
      <c r="A13" s="42">
        <v>43617</v>
      </c>
      <c r="B13" t="s">
        <v>5</v>
      </c>
      <c r="C13" t="s">
        <v>4</v>
      </c>
      <c r="D13" s="14">
        <v>185000</v>
      </c>
      <c r="E13" s="13">
        <v>2</v>
      </c>
      <c r="F13" s="35">
        <f t="shared" si="0"/>
        <v>1.6515813019202241E-3</v>
      </c>
      <c r="G13" s="11">
        <v>10</v>
      </c>
      <c r="H13" s="12">
        <v>74.55</v>
      </c>
      <c r="I13" s="13">
        <v>2.2000000000000002</v>
      </c>
      <c r="J13" s="35">
        <f t="shared" si="1"/>
        <v>1.8151029571964461E-3</v>
      </c>
      <c r="K13" s="12">
        <v>27.58</v>
      </c>
      <c r="L13" s="13">
        <v>2</v>
      </c>
      <c r="M13" s="35">
        <f t="shared" si="2"/>
        <v>1.6515813019202241E-3</v>
      </c>
      <c r="N13" s="12">
        <v>55300</v>
      </c>
      <c r="O13" s="13">
        <v>0.92</v>
      </c>
      <c r="P13" s="48">
        <f t="shared" si="3"/>
        <v>7.6345276388134486E-4</v>
      </c>
      <c r="Q13" s="43"/>
    </row>
    <row r="14" spans="1:17" ht="14.4">
      <c r="A14" s="42">
        <v>43647</v>
      </c>
      <c r="B14" t="s">
        <v>3</v>
      </c>
      <c r="C14" t="s">
        <v>2</v>
      </c>
      <c r="D14" s="7">
        <v>185000</v>
      </c>
      <c r="E14" s="6">
        <v>2.9</v>
      </c>
      <c r="F14" s="46">
        <f t="shared" si="0"/>
        <v>2.3851279739270925E-3</v>
      </c>
      <c r="G14" s="4">
        <v>15</v>
      </c>
      <c r="H14" s="5">
        <v>66.349999999999994</v>
      </c>
      <c r="I14" s="6">
        <v>3.1</v>
      </c>
      <c r="J14" s="46">
        <f t="shared" si="1"/>
        <v>2.5473393892132545E-3</v>
      </c>
      <c r="K14" s="5">
        <v>28.53</v>
      </c>
      <c r="L14" s="6">
        <v>2.9</v>
      </c>
      <c r="M14" s="46">
        <f t="shared" si="2"/>
        <v>2.3851279739270925E-3</v>
      </c>
      <c r="N14" s="5">
        <v>49700</v>
      </c>
      <c r="O14" s="6">
        <v>1.88</v>
      </c>
      <c r="P14" s="49">
        <f t="shared" si="3"/>
        <v>1.5533271750713951E-3</v>
      </c>
    </row>
    <row r="16" spans="1:17" ht="14.4">
      <c r="A16" s="32" t="s">
        <v>52</v>
      </c>
      <c r="P16" s="37" t="s">
        <v>49</v>
      </c>
    </row>
    <row r="17" spans="2:16" ht="14.4">
      <c r="B17" s="20" t="s">
        <v>51</v>
      </c>
      <c r="C17" s="40">
        <f>EDATE(D17,-1)</f>
        <v>43435</v>
      </c>
      <c r="D17" s="41">
        <v>43466</v>
      </c>
      <c r="E17" s="40">
        <f t="shared" ref="E17:O17" si="4">EDATE(D17,1)</f>
        <v>43497</v>
      </c>
      <c r="F17" s="40">
        <f t="shared" si="4"/>
        <v>43525</v>
      </c>
      <c r="G17" s="40">
        <f t="shared" si="4"/>
        <v>43556</v>
      </c>
      <c r="H17" s="40">
        <f t="shared" si="4"/>
        <v>43586</v>
      </c>
      <c r="I17" s="40">
        <f t="shared" si="4"/>
        <v>43617</v>
      </c>
      <c r="J17" s="40">
        <f t="shared" si="4"/>
        <v>43647</v>
      </c>
      <c r="K17" s="40">
        <f t="shared" si="4"/>
        <v>43678</v>
      </c>
      <c r="L17" s="40">
        <f t="shared" si="4"/>
        <v>43709</v>
      </c>
      <c r="M17" s="40">
        <f t="shared" si="4"/>
        <v>43739</v>
      </c>
      <c r="N17" s="40">
        <f t="shared" si="4"/>
        <v>43770</v>
      </c>
      <c r="O17" s="40">
        <f t="shared" si="4"/>
        <v>43800</v>
      </c>
      <c r="P17" s="36" t="s">
        <v>0</v>
      </c>
    </row>
    <row r="18" spans="2:16" ht="4.95" customHeight="1"/>
    <row r="19" spans="2:16">
      <c r="B19" t="str">
        <f>$B$5</f>
        <v>Minneapolis</v>
      </c>
      <c r="C19" s="38">
        <f t="shared" ref="C19:C28" si="5">D5</f>
        <v>420000</v>
      </c>
      <c r="D19" s="38">
        <f>C19*(1+$F5)</f>
        <v>420865.13123333396</v>
      </c>
      <c r="E19" s="38">
        <f t="shared" ref="E19:O19" si="6">D19*(1+$F5)</f>
        <v>421732.04449536052</v>
      </c>
      <c r="F19" s="38">
        <f t="shared" si="6"/>
        <v>422600.743456767</v>
      </c>
      <c r="G19" s="38">
        <f t="shared" si="6"/>
        <v>423471.23179580178</v>
      </c>
      <c r="H19" s="38">
        <f t="shared" si="6"/>
        <v>424343.51319828973</v>
      </c>
      <c r="I19" s="38">
        <f t="shared" si="6"/>
        <v>425217.59135764808</v>
      </c>
      <c r="J19" s="38">
        <f t="shared" si="6"/>
        <v>426093.46997490176</v>
      </c>
      <c r="K19" s="38">
        <f t="shared" si="6"/>
        <v>426971.1527586992</v>
      </c>
      <c r="L19" s="38">
        <f t="shared" si="6"/>
        <v>427850.64342532813</v>
      </c>
      <c r="M19" s="38">
        <f t="shared" si="6"/>
        <v>428731.94569873117</v>
      </c>
      <c r="N19" s="38">
        <f t="shared" si="6"/>
        <v>429615.06331052165</v>
      </c>
      <c r="O19" s="38">
        <f t="shared" si="6"/>
        <v>430499.99999999948</v>
      </c>
      <c r="P19" s="35">
        <f>(O19/C19-1)*100-E5</f>
        <v>-1.1990408665951691E-13</v>
      </c>
    </row>
    <row r="20" spans="2:16">
      <c r="B20" t="str">
        <f>$B$6</f>
        <v>Denver</v>
      </c>
      <c r="C20" s="38">
        <f t="shared" si="5"/>
        <v>385000</v>
      </c>
      <c r="D20" s="38">
        <f t="shared" ref="D20:O28" si="7">C20*(1+$F6)</f>
        <v>386011.90972913202</v>
      </c>
      <c r="E20" s="38">
        <f t="shared" si="7"/>
        <v>387026.47909800411</v>
      </c>
      <c r="F20" s="38">
        <f t="shared" si="7"/>
        <v>388043.71509704564</v>
      </c>
      <c r="G20" s="38">
        <f t="shared" si="7"/>
        <v>389063.62473505927</v>
      </c>
      <c r="H20" s="38">
        <f t="shared" si="7"/>
        <v>390086.21503926913</v>
      </c>
      <c r="I20" s="38">
        <f t="shared" si="7"/>
        <v>391111.49305536918</v>
      </c>
      <c r="J20" s="38">
        <f t="shared" si="7"/>
        <v>392139.46584757202</v>
      </c>
      <c r="K20" s="38">
        <f t="shared" si="7"/>
        <v>393170.14049865719</v>
      </c>
      <c r="L20" s="38">
        <f t="shared" si="7"/>
        <v>394203.52411002031</v>
      </c>
      <c r="M20" s="38">
        <f t="shared" si="7"/>
        <v>395239.62380172178</v>
      </c>
      <c r="N20" s="38">
        <f t="shared" si="7"/>
        <v>396278.44671253592</v>
      </c>
      <c r="O20" s="38">
        <f t="shared" si="7"/>
        <v>397320.00000000017</v>
      </c>
      <c r="P20" s="35">
        <f t="shared" ref="P20:P28" si="8">(O20/C20-1)*100-E6</f>
        <v>4.7073456244106637E-14</v>
      </c>
    </row>
    <row r="21" spans="2:16">
      <c r="B21" t="str">
        <f>$B$7</f>
        <v>St. Louis</v>
      </c>
      <c r="C21" s="38">
        <f t="shared" si="5"/>
        <v>315000</v>
      </c>
      <c r="D21" s="38">
        <f t="shared" si="7"/>
        <v>315416.95112167014</v>
      </c>
      <c r="E21" s="38">
        <f t="shared" si="7"/>
        <v>315834.4541425081</v>
      </c>
      <c r="F21" s="38">
        <f t="shared" si="7"/>
        <v>316252.50979303761</v>
      </c>
      <c r="G21" s="38">
        <f t="shared" si="7"/>
        <v>316671.11880474933</v>
      </c>
      <c r="H21" s="38">
        <f t="shared" si="7"/>
        <v>317090.28191010229</v>
      </c>
      <c r="I21" s="38">
        <f t="shared" si="7"/>
        <v>317509.99984252488</v>
      </c>
      <c r="J21" s="38">
        <f t="shared" si="7"/>
        <v>317930.27333641634</v>
      </c>
      <c r="K21" s="38">
        <f t="shared" si="7"/>
        <v>318351.10312714812</v>
      </c>
      <c r="L21" s="38">
        <f t="shared" si="7"/>
        <v>318772.48995106487</v>
      </c>
      <c r="M21" s="38">
        <f t="shared" si="7"/>
        <v>319194.43454548606</v>
      </c>
      <c r="N21" s="38">
        <f t="shared" si="7"/>
        <v>319616.93764870701</v>
      </c>
      <c r="O21" s="38">
        <f t="shared" si="7"/>
        <v>320040.00000000035</v>
      </c>
      <c r="P21" s="35">
        <f t="shared" si="8"/>
        <v>1.1235457009206584E-13</v>
      </c>
    </row>
    <row r="22" spans="2:16">
      <c r="B22" t="str">
        <f>$B$8</f>
        <v>San Antonio</v>
      </c>
      <c r="C22" s="38">
        <f t="shared" si="5"/>
        <v>305000</v>
      </c>
      <c r="D22" s="38">
        <f t="shared" si="7"/>
        <v>305875.62410931836</v>
      </c>
      <c r="E22" s="38">
        <f t="shared" si="7"/>
        <v>306753.7620467706</v>
      </c>
      <c r="F22" s="38">
        <f t="shared" si="7"/>
        <v>307634.42102930264</v>
      </c>
      <c r="G22" s="38">
        <f t="shared" si="7"/>
        <v>308517.60829457955</v>
      </c>
      <c r="H22" s="38">
        <f t="shared" si="7"/>
        <v>309403.33110104507</v>
      </c>
      <c r="I22" s="38">
        <f t="shared" si="7"/>
        <v>310291.59672798112</v>
      </c>
      <c r="J22" s="38">
        <f t="shared" si="7"/>
        <v>311182.41247556772</v>
      </c>
      <c r="K22" s="38">
        <f t="shared" si="7"/>
        <v>312075.78566494299</v>
      </c>
      <c r="L22" s="38">
        <f t="shared" si="7"/>
        <v>312971.7236382633</v>
      </c>
      <c r="M22" s="38">
        <f t="shared" si="7"/>
        <v>313870.23375876358</v>
      </c>
      <c r="N22" s="38">
        <f t="shared" si="7"/>
        <v>314771.32341081789</v>
      </c>
      <c r="O22" s="38">
        <f t="shared" si="7"/>
        <v>315675.00000000006</v>
      </c>
      <c r="P22" s="35">
        <f t="shared" si="8"/>
        <v>1.4210854715202004E-14</v>
      </c>
    </row>
    <row r="23" spans="2:16">
      <c r="B23" t="str">
        <f>$B$9</f>
        <v>Columbus</v>
      </c>
      <c r="C23" s="38">
        <f t="shared" si="5"/>
        <v>285000</v>
      </c>
      <c r="D23" s="38">
        <f t="shared" si="7"/>
        <v>285725.99172592576</v>
      </c>
      <c r="E23" s="38">
        <f t="shared" si="7"/>
        <v>286453.83279917121</v>
      </c>
      <c r="F23" s="38">
        <f t="shared" si="7"/>
        <v>287183.52793065167</v>
      </c>
      <c r="G23" s="38">
        <f t="shared" si="7"/>
        <v>287915.08184328262</v>
      </c>
      <c r="H23" s="38">
        <f t="shared" si="7"/>
        <v>288648.49927201058</v>
      </c>
      <c r="I23" s="38">
        <f t="shared" si="7"/>
        <v>289383.78496384347</v>
      </c>
      <c r="J23" s="38">
        <f t="shared" si="7"/>
        <v>290120.9436778815</v>
      </c>
      <c r="K23" s="38">
        <f t="shared" si="7"/>
        <v>290859.9801853479</v>
      </c>
      <c r="L23" s="38">
        <f t="shared" si="7"/>
        <v>291600.89926961984</v>
      </c>
      <c r="M23" s="38">
        <f t="shared" si="7"/>
        <v>292343.70572625933</v>
      </c>
      <c r="N23" s="38">
        <f t="shared" si="7"/>
        <v>293088.40436304442</v>
      </c>
      <c r="O23" s="38">
        <f t="shared" si="7"/>
        <v>293835.00000000006</v>
      </c>
      <c r="P23" s="35">
        <f t="shared" si="8"/>
        <v>1.3766765505351941E-14</v>
      </c>
    </row>
    <row r="24" spans="2:16">
      <c r="B24" t="str">
        <f>$B$10</f>
        <v>Nashville</v>
      </c>
      <c r="C24" s="38">
        <f t="shared" si="5"/>
        <v>260000</v>
      </c>
      <c r="D24" s="38">
        <f t="shared" si="7"/>
        <v>260301.40417801801</v>
      </c>
      <c r="E24" s="38">
        <f t="shared" si="7"/>
        <v>260603.15775787653</v>
      </c>
      <c r="F24" s="38">
        <f t="shared" si="7"/>
        <v>260905.2611446185</v>
      </c>
      <c r="G24" s="38">
        <f t="shared" si="7"/>
        <v>261207.71474375646</v>
      </c>
      <c r="H24" s="38">
        <f t="shared" si="7"/>
        <v>261510.51896127302</v>
      </c>
      <c r="I24" s="38">
        <f t="shared" si="7"/>
        <v>261813.67420362143</v>
      </c>
      <c r="J24" s="38">
        <f t="shared" si="7"/>
        <v>262117.18087772612</v>
      </c>
      <c r="K24" s="38">
        <f t="shared" si="7"/>
        <v>262421.03939098323</v>
      </c>
      <c r="L24" s="38">
        <f t="shared" si="7"/>
        <v>262725.25015126122</v>
      </c>
      <c r="M24" s="38">
        <f t="shared" si="7"/>
        <v>263029.81356690131</v>
      </c>
      <c r="N24" s="38">
        <f t="shared" si="7"/>
        <v>263334.73004671809</v>
      </c>
      <c r="O24" s="38">
        <f t="shared" si="7"/>
        <v>263640.00000000012</v>
      </c>
      <c r="P24" s="35">
        <f t="shared" si="8"/>
        <v>4.5741188614556449E-14</v>
      </c>
    </row>
    <row r="25" spans="2:16">
      <c r="B25" t="str">
        <f>$B$11</f>
        <v>Oklahoma City</v>
      </c>
      <c r="C25" s="38">
        <f t="shared" si="5"/>
        <v>230000</v>
      </c>
      <c r="D25" s="38">
        <f t="shared" si="7"/>
        <v>230228.74461426283</v>
      </c>
      <c r="E25" s="38">
        <f t="shared" si="7"/>
        <v>230457.71672460635</v>
      </c>
      <c r="F25" s="38">
        <f t="shared" si="7"/>
        <v>230686.91655728489</v>
      </c>
      <c r="G25" s="38">
        <f t="shared" si="7"/>
        <v>230916.34433877785</v>
      </c>
      <c r="H25" s="38">
        <f t="shared" si="7"/>
        <v>231146.00029578985</v>
      </c>
      <c r="I25" s="38">
        <f t="shared" si="7"/>
        <v>231375.88465525096</v>
      </c>
      <c r="J25" s="38">
        <f t="shared" si="7"/>
        <v>231605.99764431699</v>
      </c>
      <c r="K25" s="38">
        <f t="shared" si="7"/>
        <v>231836.33949036963</v>
      </c>
      <c r="L25" s="38">
        <f t="shared" si="7"/>
        <v>232066.91042101674</v>
      </c>
      <c r="M25" s="38">
        <f t="shared" si="7"/>
        <v>232297.7106640925</v>
      </c>
      <c r="N25" s="38">
        <f t="shared" si="7"/>
        <v>232528.74044765771</v>
      </c>
      <c r="O25" s="38">
        <f t="shared" si="7"/>
        <v>232759.99999999997</v>
      </c>
      <c r="P25" s="35">
        <f t="shared" si="8"/>
        <v>-2.1094237467877974E-14</v>
      </c>
    </row>
    <row r="26" spans="2:16">
      <c r="B26" t="str">
        <f>$B$12</f>
        <v>New Orleans</v>
      </c>
      <c r="C26" s="38">
        <f t="shared" si="5"/>
        <v>190000</v>
      </c>
      <c r="D26" s="38">
        <f t="shared" si="7"/>
        <v>190406.84094716987</v>
      </c>
      <c r="E26" s="38">
        <f t="shared" si="7"/>
        <v>190814.55304989917</v>
      </c>
      <c r="F26" s="38">
        <f t="shared" si="7"/>
        <v>191223.13817356556</v>
      </c>
      <c r="G26" s="38">
        <f t="shared" si="7"/>
        <v>191632.59818754098</v>
      </c>
      <c r="H26" s="38">
        <f t="shared" si="7"/>
        <v>192042.93496520014</v>
      </c>
      <c r="I26" s="38">
        <f t="shared" si="7"/>
        <v>192454.1503839292</v>
      </c>
      <c r="J26" s="38">
        <f t="shared" si="7"/>
        <v>192866.2463251343</v>
      </c>
      <c r="K26" s="38">
        <f t="shared" si="7"/>
        <v>193279.22467425017</v>
      </c>
      <c r="L26" s="38">
        <f t="shared" si="7"/>
        <v>193693.08732074875</v>
      </c>
      <c r="M26" s="38">
        <f t="shared" si="7"/>
        <v>194107.83615814784</v>
      </c>
      <c r="N26" s="38">
        <f t="shared" si="7"/>
        <v>194523.47308401982</v>
      </c>
      <c r="O26" s="38">
        <f t="shared" si="7"/>
        <v>194940.0000000002</v>
      </c>
      <c r="P26" s="35">
        <f t="shared" si="8"/>
        <v>1.1324274851176597E-13</v>
      </c>
    </row>
    <row r="27" spans="2:16">
      <c r="B27" t="str">
        <f>$B$13</f>
        <v>Hartford</v>
      </c>
      <c r="C27" s="38">
        <f t="shared" si="5"/>
        <v>185000</v>
      </c>
      <c r="D27" s="38">
        <f t="shared" si="7"/>
        <v>185305.54254085524</v>
      </c>
      <c r="E27" s="38">
        <f t="shared" si="7"/>
        <v>185611.58971005789</v>
      </c>
      <c r="F27" s="38">
        <f t="shared" si="7"/>
        <v>185918.14234104269</v>
      </c>
      <c r="G27" s="38">
        <f t="shared" si="7"/>
        <v>186225.20126862091</v>
      </c>
      <c r="H27" s="38">
        <f t="shared" si="7"/>
        <v>186532.7673289825</v>
      </c>
      <c r="I27" s="38">
        <f t="shared" si="7"/>
        <v>186840.84135969848</v>
      </c>
      <c r="J27" s="38">
        <f t="shared" si="7"/>
        <v>187149.4241997232</v>
      </c>
      <c r="K27" s="38">
        <f t="shared" si="7"/>
        <v>187458.51668939661</v>
      </c>
      <c r="L27" s="38">
        <f t="shared" si="7"/>
        <v>187768.11967044653</v>
      </c>
      <c r="M27" s="38">
        <f t="shared" si="7"/>
        <v>188078.23398599096</v>
      </c>
      <c r="N27" s="38">
        <f t="shared" si="7"/>
        <v>188388.8604805404</v>
      </c>
      <c r="O27" s="38">
        <f t="shared" si="7"/>
        <v>188700.00000000012</v>
      </c>
      <c r="P27" s="35">
        <f t="shared" si="8"/>
        <v>6.8389738316909643E-14</v>
      </c>
    </row>
    <row r="28" spans="2:16">
      <c r="B28" t="str">
        <f>$B$14</f>
        <v>Rochester</v>
      </c>
      <c r="C28" s="38">
        <f t="shared" si="5"/>
        <v>185000</v>
      </c>
      <c r="D28" s="38">
        <f t="shared" si="7"/>
        <v>185441.24867517652</v>
      </c>
      <c r="E28" s="38">
        <f t="shared" si="7"/>
        <v>185883.54978491165</v>
      </c>
      <c r="F28" s="38">
        <f t="shared" si="7"/>
        <v>186326.90583939652</v>
      </c>
      <c r="G28" s="38">
        <f t="shared" si="7"/>
        <v>186771.31935480935</v>
      </c>
      <c r="H28" s="38">
        <f t="shared" si="7"/>
        <v>187216.79285332977</v>
      </c>
      <c r="I28" s="38">
        <f t="shared" si="7"/>
        <v>187663.32886315315</v>
      </c>
      <c r="J28" s="38">
        <f t="shared" si="7"/>
        <v>188110.92991850493</v>
      </c>
      <c r="K28" s="38">
        <f t="shared" si="7"/>
        <v>188559.59855965499</v>
      </c>
      <c r="L28" s="38">
        <f t="shared" si="7"/>
        <v>189009.33733293207</v>
      </c>
      <c r="M28" s="38">
        <f t="shared" si="7"/>
        <v>189460.14879073828</v>
      </c>
      <c r="N28" s="38">
        <f t="shared" si="7"/>
        <v>189912.03549156347</v>
      </c>
      <c r="O28" s="38">
        <f t="shared" si="7"/>
        <v>190364.99999999983</v>
      </c>
      <c r="P28" s="35">
        <f t="shared" si="8"/>
        <v>-9.7255536957163713E-14</v>
      </c>
    </row>
    <row r="30" spans="2:16" ht="14.4">
      <c r="B30" s="20" t="s">
        <v>50</v>
      </c>
      <c r="C30" s="30">
        <f>$C$17</f>
        <v>43435</v>
      </c>
      <c r="D30" s="30">
        <f>$D$17</f>
        <v>43466</v>
      </c>
      <c r="E30" s="30">
        <f>$E$17</f>
        <v>43497</v>
      </c>
      <c r="F30" s="30">
        <f>$F$17</f>
        <v>43525</v>
      </c>
      <c r="G30" s="30">
        <f>$G$17</f>
        <v>43556</v>
      </c>
      <c r="H30" s="30">
        <f>$H$17</f>
        <v>43586</v>
      </c>
      <c r="I30" s="30">
        <f>$I$17</f>
        <v>43617</v>
      </c>
      <c r="J30" s="30">
        <f>$J$17</f>
        <v>43647</v>
      </c>
      <c r="K30" s="30">
        <f>$K$17</f>
        <v>43678</v>
      </c>
      <c r="L30" s="30">
        <f>$L$17</f>
        <v>43709</v>
      </c>
      <c r="M30" s="30">
        <f>$M$17</f>
        <v>43739</v>
      </c>
      <c r="N30" s="30">
        <f>$N$17</f>
        <v>43770</v>
      </c>
      <c r="O30" s="30">
        <f>$O$17</f>
        <v>43800</v>
      </c>
      <c r="P30" s="39"/>
    </row>
    <row r="31" spans="2:16" ht="4.95" customHeight="1"/>
    <row r="32" spans="2:16">
      <c r="B32" t="str">
        <f>$B$5</f>
        <v>Minneapolis</v>
      </c>
      <c r="D32" s="38">
        <f t="shared" ref="D32:O32" si="9">D19*$G5/100</f>
        <v>126259.53937000019</v>
      </c>
      <c r="E32" s="38">
        <f t="shared" si="9"/>
        <v>126519.61334860815</v>
      </c>
      <c r="F32" s="38">
        <f t="shared" si="9"/>
        <v>126780.2230370301</v>
      </c>
      <c r="G32" s="38">
        <f t="shared" si="9"/>
        <v>127041.36953874053</v>
      </c>
      <c r="H32" s="38">
        <f t="shared" si="9"/>
        <v>127303.05395948692</v>
      </c>
      <c r="I32" s="38">
        <f t="shared" si="9"/>
        <v>127565.27740729442</v>
      </c>
      <c r="J32" s="38">
        <f t="shared" si="9"/>
        <v>127828.04099247053</v>
      </c>
      <c r="K32" s="38">
        <f t="shared" si="9"/>
        <v>128091.34582760977</v>
      </c>
      <c r="L32" s="38">
        <f t="shared" si="9"/>
        <v>128355.19302759845</v>
      </c>
      <c r="M32" s="38">
        <f t="shared" si="9"/>
        <v>128619.58370961934</v>
      </c>
      <c r="N32" s="38">
        <f t="shared" si="9"/>
        <v>128884.5189931565</v>
      </c>
      <c r="O32" s="38">
        <f t="shared" si="9"/>
        <v>129149.99999999985</v>
      </c>
      <c r="P32" s="38"/>
    </row>
    <row r="33" spans="2:16">
      <c r="B33" t="str">
        <f>$B$6</f>
        <v>Denver</v>
      </c>
      <c r="D33" s="38">
        <f t="shared" ref="D33:O33" si="10">D20*$G6/100</f>
        <v>57901.786459369796</v>
      </c>
      <c r="E33" s="38">
        <f t="shared" si="10"/>
        <v>58053.971864700616</v>
      </c>
      <c r="F33" s="38">
        <f t="shared" si="10"/>
        <v>58206.557264556846</v>
      </c>
      <c r="G33" s="38">
        <f t="shared" si="10"/>
        <v>58359.543710258891</v>
      </c>
      <c r="H33" s="38">
        <f t="shared" si="10"/>
        <v>58512.932255890366</v>
      </c>
      <c r="I33" s="38">
        <f t="shared" si="10"/>
        <v>58666.723958305382</v>
      </c>
      <c r="J33" s="38">
        <f t="shared" si="10"/>
        <v>58820.919877135799</v>
      </c>
      <c r="K33" s="38">
        <f t="shared" si="10"/>
        <v>58975.521074798584</v>
      </c>
      <c r="L33" s="38">
        <f t="shared" si="10"/>
        <v>59130.528616503048</v>
      </c>
      <c r="M33" s="38">
        <f t="shared" si="10"/>
        <v>59285.943570258263</v>
      </c>
      <c r="N33" s="38">
        <f t="shared" si="10"/>
        <v>59441.767006880393</v>
      </c>
      <c r="O33" s="38">
        <f t="shared" si="10"/>
        <v>59598.000000000029</v>
      </c>
      <c r="P33" s="38"/>
    </row>
    <row r="34" spans="2:16">
      <c r="B34" t="str">
        <f>$B$7</f>
        <v>St. Louis</v>
      </c>
      <c r="D34" s="38">
        <f t="shared" ref="D34:O34" si="11">D21*$G7/100</f>
        <v>47312.54266825052</v>
      </c>
      <c r="E34" s="38">
        <f t="shared" si="11"/>
        <v>47375.168121376213</v>
      </c>
      <c r="F34" s="38">
        <f t="shared" si="11"/>
        <v>47437.876468955641</v>
      </c>
      <c r="G34" s="38">
        <f t="shared" si="11"/>
        <v>47500.667820712406</v>
      </c>
      <c r="H34" s="38">
        <f t="shared" si="11"/>
        <v>47563.542286515345</v>
      </c>
      <c r="I34" s="38">
        <f t="shared" si="11"/>
        <v>47626.499976378735</v>
      </c>
      <c r="J34" s="38">
        <f t="shared" si="11"/>
        <v>47689.541000462457</v>
      </c>
      <c r="K34" s="38">
        <f t="shared" si="11"/>
        <v>47752.665469072221</v>
      </c>
      <c r="L34" s="38">
        <f t="shared" si="11"/>
        <v>47815.873492659732</v>
      </c>
      <c r="M34" s="38">
        <f t="shared" si="11"/>
        <v>47879.165181822907</v>
      </c>
      <c r="N34" s="38">
        <f t="shared" si="11"/>
        <v>47942.54064730605</v>
      </c>
      <c r="O34" s="38">
        <f t="shared" si="11"/>
        <v>48006.000000000058</v>
      </c>
      <c r="P34" s="38"/>
    </row>
    <row r="35" spans="2:16">
      <c r="B35" t="str">
        <f>$B$8</f>
        <v>San Antonio</v>
      </c>
      <c r="D35" s="38">
        <f t="shared" ref="D35:O35" si="12">D22*$G8/100</f>
        <v>76468.906027329591</v>
      </c>
      <c r="E35" s="38">
        <f t="shared" si="12"/>
        <v>76688.44051169265</v>
      </c>
      <c r="F35" s="38">
        <f t="shared" si="12"/>
        <v>76908.60525732566</v>
      </c>
      <c r="G35" s="38">
        <f t="shared" si="12"/>
        <v>77129.402073644887</v>
      </c>
      <c r="H35" s="38">
        <f t="shared" si="12"/>
        <v>77350.832775261268</v>
      </c>
      <c r="I35" s="38">
        <f t="shared" si="12"/>
        <v>77572.899181995279</v>
      </c>
      <c r="J35" s="38">
        <f t="shared" si="12"/>
        <v>77795.60311889193</v>
      </c>
      <c r="K35" s="38">
        <f t="shared" si="12"/>
        <v>78018.946416235747</v>
      </c>
      <c r="L35" s="38">
        <f t="shared" si="12"/>
        <v>78242.930909565825</v>
      </c>
      <c r="M35" s="38">
        <f t="shared" si="12"/>
        <v>78467.558439690896</v>
      </c>
      <c r="N35" s="38">
        <f t="shared" si="12"/>
        <v>78692.830852704472</v>
      </c>
      <c r="O35" s="38">
        <f t="shared" si="12"/>
        <v>78918.750000000015</v>
      </c>
      <c r="P35" s="38"/>
    </row>
    <row r="36" spans="2:16">
      <c r="B36" t="str">
        <f>$B$9</f>
        <v>Columbus</v>
      </c>
      <c r="D36" s="38">
        <f t="shared" ref="D36:O36" si="13">D23*$G9/100</f>
        <v>48573.418593407376</v>
      </c>
      <c r="E36" s="38">
        <f t="shared" si="13"/>
        <v>48697.151575859105</v>
      </c>
      <c r="F36" s="38">
        <f t="shared" si="13"/>
        <v>48821.199748210784</v>
      </c>
      <c r="G36" s="38">
        <f t="shared" si="13"/>
        <v>48945.563913358048</v>
      </c>
      <c r="H36" s="38">
        <f t="shared" si="13"/>
        <v>49070.244876241799</v>
      </c>
      <c r="I36" s="38">
        <f t="shared" si="13"/>
        <v>49195.243443853389</v>
      </c>
      <c r="J36" s="38">
        <f t="shared" si="13"/>
        <v>49320.560425239855</v>
      </c>
      <c r="K36" s="38">
        <f t="shared" si="13"/>
        <v>49446.196631509141</v>
      </c>
      <c r="L36" s="38">
        <f t="shared" si="13"/>
        <v>49572.152875835374</v>
      </c>
      <c r="M36" s="38">
        <f t="shared" si="13"/>
        <v>49698.429973464088</v>
      </c>
      <c r="N36" s="38">
        <f t="shared" si="13"/>
        <v>49825.02874171755</v>
      </c>
      <c r="O36" s="38">
        <f t="shared" si="13"/>
        <v>49951.950000000012</v>
      </c>
      <c r="P36" s="38"/>
    </row>
    <row r="37" spans="2:16">
      <c r="B37" t="str">
        <f>$B$10</f>
        <v>Nashville</v>
      </c>
      <c r="D37" s="38">
        <f t="shared" ref="D37:O37" si="14">D24*$G10/100</f>
        <v>78090.421253405395</v>
      </c>
      <c r="E37" s="38">
        <f t="shared" si="14"/>
        <v>78180.947327362956</v>
      </c>
      <c r="F37" s="38">
        <f t="shared" si="14"/>
        <v>78271.578343385554</v>
      </c>
      <c r="G37" s="38">
        <f t="shared" si="14"/>
        <v>78362.314423126925</v>
      </c>
      <c r="H37" s="38">
        <f t="shared" si="14"/>
        <v>78453.155688381899</v>
      </c>
      <c r="I37" s="38">
        <f t="shared" si="14"/>
        <v>78544.102261086431</v>
      </c>
      <c r="J37" s="38">
        <f t="shared" si="14"/>
        <v>78635.154263317832</v>
      </c>
      <c r="K37" s="38">
        <f t="shared" si="14"/>
        <v>78726.311817294976</v>
      </c>
      <c r="L37" s="38">
        <f t="shared" si="14"/>
        <v>78817.575045378369</v>
      </c>
      <c r="M37" s="38">
        <f t="shared" si="14"/>
        <v>78908.9440700704</v>
      </c>
      <c r="N37" s="38">
        <f t="shared" si="14"/>
        <v>79000.419014015424</v>
      </c>
      <c r="O37" s="38">
        <f t="shared" si="14"/>
        <v>79092.000000000044</v>
      </c>
      <c r="P37" s="38"/>
    </row>
    <row r="38" spans="2:16">
      <c r="B38" t="str">
        <f>$B$11</f>
        <v>Oklahoma City</v>
      </c>
      <c r="D38" s="38">
        <f t="shared" ref="D38:O38" si="15">D25*$G11/100</f>
        <v>57557.186153565708</v>
      </c>
      <c r="E38" s="38">
        <f t="shared" si="15"/>
        <v>57614.429181151587</v>
      </c>
      <c r="F38" s="38">
        <f t="shared" si="15"/>
        <v>57671.729139321222</v>
      </c>
      <c r="G38" s="38">
        <f t="shared" si="15"/>
        <v>57729.086084694463</v>
      </c>
      <c r="H38" s="38">
        <f t="shared" si="15"/>
        <v>57786.500073947456</v>
      </c>
      <c r="I38" s="38">
        <f t="shared" si="15"/>
        <v>57843.971163812748</v>
      </c>
      <c r="J38" s="38">
        <f t="shared" si="15"/>
        <v>57901.499411079247</v>
      </c>
      <c r="K38" s="38">
        <f t="shared" si="15"/>
        <v>57959.084872592408</v>
      </c>
      <c r="L38" s="38">
        <f t="shared" si="15"/>
        <v>58016.727605254186</v>
      </c>
      <c r="M38" s="38">
        <f t="shared" si="15"/>
        <v>58074.427666023119</v>
      </c>
      <c r="N38" s="38">
        <f t="shared" si="15"/>
        <v>58132.185111914427</v>
      </c>
      <c r="O38" s="38">
        <f t="shared" si="15"/>
        <v>58189.999999999993</v>
      </c>
      <c r="P38" s="38"/>
    </row>
    <row r="39" spans="2:16">
      <c r="B39" t="str">
        <f>$B$12</f>
        <v>New Orleans</v>
      </c>
      <c r="D39" s="38">
        <f t="shared" ref="D39:O39" si="16">D26*$G12/100</f>
        <v>38081.368189433968</v>
      </c>
      <c r="E39" s="38">
        <f t="shared" si="16"/>
        <v>38162.910609979837</v>
      </c>
      <c r="F39" s="38">
        <f t="shared" si="16"/>
        <v>38244.627634713106</v>
      </c>
      <c r="G39" s="38">
        <f t="shared" si="16"/>
        <v>38326.519637508194</v>
      </c>
      <c r="H39" s="38">
        <f t="shared" si="16"/>
        <v>38408.586993040029</v>
      </c>
      <c r="I39" s="38">
        <f t="shared" si="16"/>
        <v>38490.830076785845</v>
      </c>
      <c r="J39" s="38">
        <f t="shared" si="16"/>
        <v>38573.249265026861</v>
      </c>
      <c r="K39" s="38">
        <f t="shared" si="16"/>
        <v>38655.844934850036</v>
      </c>
      <c r="L39" s="38">
        <f t="shared" si="16"/>
        <v>38738.617464149749</v>
      </c>
      <c r="M39" s="38">
        <f t="shared" si="16"/>
        <v>38821.567231629568</v>
      </c>
      <c r="N39" s="38">
        <f t="shared" si="16"/>
        <v>38904.694616803965</v>
      </c>
      <c r="O39" s="38">
        <f t="shared" si="16"/>
        <v>38988.000000000044</v>
      </c>
      <c r="P39" s="38"/>
    </row>
    <row r="40" spans="2:16">
      <c r="B40" t="str">
        <f>$B$13</f>
        <v>Hartford</v>
      </c>
      <c r="D40" s="38">
        <f t="shared" ref="D40:O40" si="17">D27*$G13/100</f>
        <v>18530.554254085524</v>
      </c>
      <c r="E40" s="38">
        <f t="shared" si="17"/>
        <v>18561.158971005789</v>
      </c>
      <c r="F40" s="38">
        <f t="shared" si="17"/>
        <v>18591.814234104269</v>
      </c>
      <c r="G40" s="38">
        <f t="shared" si="17"/>
        <v>18622.520126862091</v>
      </c>
      <c r="H40" s="38">
        <f t="shared" si="17"/>
        <v>18653.276732898248</v>
      </c>
      <c r="I40" s="38">
        <f t="shared" si="17"/>
        <v>18684.084135969846</v>
      </c>
      <c r="J40" s="38">
        <f t="shared" si="17"/>
        <v>18714.942419972318</v>
      </c>
      <c r="K40" s="38">
        <f t="shared" si="17"/>
        <v>18745.85166893966</v>
      </c>
      <c r="L40" s="38">
        <f t="shared" si="17"/>
        <v>18776.81196704465</v>
      </c>
      <c r="M40" s="38">
        <f t="shared" si="17"/>
        <v>18807.823398599096</v>
      </c>
      <c r="N40" s="38">
        <f t="shared" si="17"/>
        <v>18838.886048054042</v>
      </c>
      <c r="O40" s="38">
        <f t="shared" si="17"/>
        <v>18870.000000000011</v>
      </c>
      <c r="P40" s="38"/>
    </row>
    <row r="41" spans="2:16">
      <c r="B41" t="str">
        <f>$B$14</f>
        <v>Rochester</v>
      </c>
      <c r="D41" s="38">
        <f t="shared" ref="D41:O41" si="18">D28*$G14/100</f>
        <v>27816.187301276481</v>
      </c>
      <c r="E41" s="38">
        <f t="shared" si="18"/>
        <v>27882.532467736746</v>
      </c>
      <c r="F41" s="38">
        <f t="shared" si="18"/>
        <v>27949.035875909478</v>
      </c>
      <c r="G41" s="38">
        <f t="shared" si="18"/>
        <v>28015.697903221404</v>
      </c>
      <c r="H41" s="38">
        <f t="shared" si="18"/>
        <v>28082.518927999467</v>
      </c>
      <c r="I41" s="38">
        <f t="shared" si="18"/>
        <v>28149.499329472972</v>
      </c>
      <c r="J41" s="38">
        <f t="shared" si="18"/>
        <v>28216.639487775741</v>
      </c>
      <c r="K41" s="38">
        <f t="shared" si="18"/>
        <v>28283.939783948252</v>
      </c>
      <c r="L41" s="38">
        <f t="shared" si="18"/>
        <v>28351.40059993981</v>
      </c>
      <c r="M41" s="38">
        <f t="shared" si="18"/>
        <v>28419.022318610743</v>
      </c>
      <c r="N41" s="38">
        <f t="shared" si="18"/>
        <v>28486.805323734519</v>
      </c>
      <c r="O41" s="38">
        <f t="shared" si="18"/>
        <v>28554.749999999971</v>
      </c>
      <c r="P41" s="38"/>
    </row>
    <row r="42" spans="2:16">
      <c r="P42" s="37" t="s">
        <v>49</v>
      </c>
    </row>
    <row r="43" spans="2:16" ht="14.4">
      <c r="B43" s="20" t="s">
        <v>48</v>
      </c>
      <c r="C43" s="30">
        <f>$C$17</f>
        <v>43435</v>
      </c>
      <c r="D43" s="30">
        <f>$D$17</f>
        <v>43466</v>
      </c>
      <c r="E43" s="30">
        <f>$E$17</f>
        <v>43497</v>
      </c>
      <c r="F43" s="30">
        <f>$F$17</f>
        <v>43525</v>
      </c>
      <c r="G43" s="30">
        <f>$G$17</f>
        <v>43556</v>
      </c>
      <c r="H43" s="30">
        <f>$H$17</f>
        <v>43586</v>
      </c>
      <c r="I43" s="30">
        <f>$I$17</f>
        <v>43617</v>
      </c>
      <c r="J43" s="30">
        <f>$J$17</f>
        <v>43647</v>
      </c>
      <c r="K43" s="30">
        <f>$K$17</f>
        <v>43678</v>
      </c>
      <c r="L43" s="30">
        <f>$L$17</f>
        <v>43709</v>
      </c>
      <c r="M43" s="30">
        <f>$M$17</f>
        <v>43739</v>
      </c>
      <c r="N43" s="30">
        <f>$N$17</f>
        <v>43770</v>
      </c>
      <c r="O43" s="30">
        <f>$O$17</f>
        <v>43800</v>
      </c>
      <c r="P43" s="36" t="s">
        <v>0</v>
      </c>
    </row>
    <row r="44" spans="2:16" ht="4.95" customHeight="1"/>
    <row r="45" spans="2:16">
      <c r="B45" t="str">
        <f>$B$5</f>
        <v>Minneapolis</v>
      </c>
      <c r="C45" s="34">
        <f t="shared" ref="C45:C54" si="19">H5</f>
        <v>65.25</v>
      </c>
      <c r="D45" s="34">
        <f>C45*(1+$J5)</f>
        <v>65.384404316607245</v>
      </c>
      <c r="E45" s="34">
        <f t="shared" ref="E45:O45" si="20">D45*(1+$J5)</f>
        <v>65.519085484100657</v>
      </c>
      <c r="F45" s="34">
        <f t="shared" si="20"/>
        <v>65.654044072747737</v>
      </c>
      <c r="G45" s="34">
        <f t="shared" si="20"/>
        <v>65.78928065399063</v>
      </c>
      <c r="H45" s="34">
        <f t="shared" si="20"/>
        <v>65.924795800448578</v>
      </c>
      <c r="I45" s="34">
        <f t="shared" si="20"/>
        <v>66.060590085920325</v>
      </c>
      <c r="J45" s="34">
        <f t="shared" si="20"/>
        <v>66.196664085386516</v>
      </c>
      <c r="K45" s="34">
        <f t="shared" si="20"/>
        <v>66.333018375012188</v>
      </c>
      <c r="L45" s="34">
        <f t="shared" si="20"/>
        <v>66.469653532149181</v>
      </c>
      <c r="M45" s="34">
        <f t="shared" si="20"/>
        <v>66.606570135338586</v>
      </c>
      <c r="N45" s="34">
        <f t="shared" si="20"/>
        <v>66.743768764313174</v>
      </c>
      <c r="O45" s="34">
        <f t="shared" si="20"/>
        <v>66.881249999999909</v>
      </c>
      <c r="P45" s="35">
        <f t="shared" ref="P45:P54" si="21">(O45/C45-1)*100-I5</f>
        <v>-1.4210854715202004E-13</v>
      </c>
    </row>
    <row r="46" spans="2:16">
      <c r="B46" t="str">
        <f>$B$6</f>
        <v>Denver</v>
      </c>
      <c r="C46" s="34">
        <f t="shared" si="19"/>
        <v>70.2</v>
      </c>
      <c r="D46" s="34">
        <f t="shared" ref="D46:O54" si="22">C46*(1+$J6)</f>
        <v>70.407202982198115</v>
      </c>
      <c r="E46" s="34">
        <f t="shared" si="22"/>
        <v>70.61501754667303</v>
      </c>
      <c r="F46" s="34">
        <f t="shared" si="22"/>
        <v>70.823445498576774</v>
      </c>
      <c r="G46" s="34">
        <f t="shared" si="22"/>
        <v>71.03248864838946</v>
      </c>
      <c r="H46" s="34">
        <f t="shared" si="22"/>
        <v>71.242148811935039</v>
      </c>
      <c r="I46" s="34">
        <f t="shared" si="22"/>
        <v>71.452427810397069</v>
      </c>
      <c r="J46" s="34">
        <f t="shared" si="22"/>
        <v>71.663327470334522</v>
      </c>
      <c r="K46" s="34">
        <f t="shared" si="22"/>
        <v>71.874849623697671</v>
      </c>
      <c r="L46" s="34">
        <f t="shared" si="22"/>
        <v>72.086996107843987</v>
      </c>
      <c r="M46" s="34">
        <f t="shared" si="22"/>
        <v>72.299768765554091</v>
      </c>
      <c r="N46" s="34">
        <f t="shared" si="22"/>
        <v>72.51316944504778</v>
      </c>
      <c r="O46" s="34">
        <f t="shared" si="22"/>
        <v>72.727200000000067</v>
      </c>
      <c r="P46" s="35">
        <f t="shared" si="21"/>
        <v>9.1926466438962962E-14</v>
      </c>
    </row>
    <row r="47" spans="2:16">
      <c r="B47" t="str">
        <f>$B$7</f>
        <v>St. Louis</v>
      </c>
      <c r="C47" s="34">
        <f t="shared" si="19"/>
        <v>62.5</v>
      </c>
      <c r="D47" s="34">
        <f t="shared" si="22"/>
        <v>62.577592982278077</v>
      </c>
      <c r="E47" s="34">
        <f t="shared" si="22"/>
        <v>62.65528229529054</v>
      </c>
      <c r="F47" s="34">
        <f t="shared" si="22"/>
        <v>62.733068058630806</v>
      </c>
      <c r="G47" s="34">
        <f t="shared" si="22"/>
        <v>62.810950392040773</v>
      </c>
      <c r="H47" s="34">
        <f t="shared" si="22"/>
        <v>62.888929415410999</v>
      </c>
      <c r="I47" s="34">
        <f t="shared" si="22"/>
        <v>62.967005248780879</v>
      </c>
      <c r="J47" s="34">
        <f t="shared" si="22"/>
        <v>63.045178012338837</v>
      </c>
      <c r="K47" s="34">
        <f t="shared" si="22"/>
        <v>63.123447826422513</v>
      </c>
      <c r="L47" s="34">
        <f t="shared" si="22"/>
        <v>63.201814811518943</v>
      </c>
      <c r="M47" s="34">
        <f t="shared" si="22"/>
        <v>63.280279088264749</v>
      </c>
      <c r="N47" s="34">
        <f t="shared" si="22"/>
        <v>63.358840777446311</v>
      </c>
      <c r="O47" s="34">
        <f t="shared" si="22"/>
        <v>63.437499999999979</v>
      </c>
      <c r="P47" s="35">
        <f t="shared" si="21"/>
        <v>-3.1974423109204508E-14</v>
      </c>
    </row>
    <row r="48" spans="2:16">
      <c r="B48" t="str">
        <f>$B$8</f>
        <v>San Antonio</v>
      </c>
      <c r="C48" s="34">
        <f t="shared" si="19"/>
        <v>60</v>
      </c>
      <c r="D48" s="34">
        <f t="shared" si="22"/>
        <v>60.181934925876888</v>
      </c>
      <c r="E48" s="34">
        <f t="shared" si="22"/>
        <v>60.36442152370801</v>
      </c>
      <c r="F48" s="34">
        <f t="shared" si="22"/>
        <v>60.547461466299964</v>
      </c>
      <c r="G48" s="34">
        <f t="shared" si="22"/>
        <v>60.731056431531719</v>
      </c>
      <c r="H48" s="34">
        <f t="shared" si="22"/>
        <v>60.915208102369988</v>
      </c>
      <c r="I48" s="34">
        <f t="shared" si="22"/>
        <v>61.099918166884656</v>
      </c>
      <c r="J48" s="34">
        <f t="shared" si="22"/>
        <v>61.285188318264261</v>
      </c>
      <c r="K48" s="34">
        <f t="shared" si="22"/>
        <v>61.471020254831508</v>
      </c>
      <c r="L48" s="34">
        <f t="shared" si="22"/>
        <v>61.657415680058833</v>
      </c>
      <c r="M48" s="34">
        <f t="shared" si="22"/>
        <v>61.844376302584031</v>
      </c>
      <c r="N48" s="34">
        <f t="shared" si="22"/>
        <v>62.031903836225915</v>
      </c>
      <c r="O48" s="34">
        <f t="shared" si="22"/>
        <v>62.22000000000002</v>
      </c>
      <c r="P48" s="35">
        <f t="shared" si="21"/>
        <v>3.6415315207705135E-14</v>
      </c>
    </row>
    <row r="49" spans="2:16">
      <c r="B49" t="str">
        <f>$B$9</f>
        <v>Columbus</v>
      </c>
      <c r="C49" s="34">
        <f t="shared" si="19"/>
        <v>53.1</v>
      </c>
      <c r="D49" s="34">
        <f t="shared" si="22"/>
        <v>53.239564692511458</v>
      </c>
      <c r="E49" s="34">
        <f t="shared" si="22"/>
        <v>53.379496208062385</v>
      </c>
      <c r="F49" s="34">
        <f t="shared" si="22"/>
        <v>53.519795510787333</v>
      </c>
      <c r="G49" s="34">
        <f t="shared" si="22"/>
        <v>53.660463567354924</v>
      </c>
      <c r="H49" s="34">
        <f t="shared" si="22"/>
        <v>53.801501346974511</v>
      </c>
      <c r="I49" s="34">
        <f t="shared" si="22"/>
        <v>53.942909821402857</v>
      </c>
      <c r="J49" s="34">
        <f t="shared" si="22"/>
        <v>54.084689964950833</v>
      </c>
      <c r="K49" s="34">
        <f t="shared" si="22"/>
        <v>54.226842754490114</v>
      </c>
      <c r="L49" s="34">
        <f t="shared" si="22"/>
        <v>54.369369169459937</v>
      </c>
      <c r="M49" s="34">
        <f t="shared" si="22"/>
        <v>54.512270191873824</v>
      </c>
      <c r="N49" s="34">
        <f t="shared" si="22"/>
        <v>54.65554680632637</v>
      </c>
      <c r="O49" s="34">
        <f t="shared" si="22"/>
        <v>54.799200000000013</v>
      </c>
      <c r="P49" s="35">
        <f t="shared" si="21"/>
        <v>2.4868995751603507E-14</v>
      </c>
    </row>
    <row r="50" spans="2:16">
      <c r="B50" t="str">
        <f>$B$10</f>
        <v>Nashville</v>
      </c>
      <c r="C50" s="34">
        <f t="shared" si="19"/>
        <v>55.75</v>
      </c>
      <c r="D50" s="34">
        <f t="shared" si="22"/>
        <v>55.814628011248097</v>
      </c>
      <c r="E50" s="34">
        <f t="shared" si="22"/>
        <v>55.879330942313914</v>
      </c>
      <c r="F50" s="34">
        <f t="shared" si="22"/>
        <v>55.944108880048013</v>
      </c>
      <c r="G50" s="34">
        <f t="shared" si="22"/>
        <v>56.008961911401634</v>
      </c>
      <c r="H50" s="34">
        <f t="shared" si="22"/>
        <v>56.073890123426821</v>
      </c>
      <c r="I50" s="34">
        <f t="shared" si="22"/>
        <v>56.138893603276529</v>
      </c>
      <c r="J50" s="34">
        <f t="shared" si="22"/>
        <v>56.203972438204744</v>
      </c>
      <c r="K50" s="34">
        <f t="shared" si="22"/>
        <v>56.269126715566607</v>
      </c>
      <c r="L50" s="34">
        <f t="shared" si="22"/>
        <v>56.334356522818517</v>
      </c>
      <c r="M50" s="34">
        <f t="shared" si="22"/>
        <v>56.399661947518261</v>
      </c>
      <c r="N50" s="34">
        <f t="shared" si="22"/>
        <v>56.465043077325134</v>
      </c>
      <c r="O50" s="34">
        <f t="shared" si="22"/>
        <v>56.530500000000032</v>
      </c>
      <c r="P50" s="35">
        <f t="shared" si="21"/>
        <v>6.794564910705958E-14</v>
      </c>
    </row>
    <row r="51" spans="2:16">
      <c r="B51" t="str">
        <f>$B$11</f>
        <v>Oklahoma City</v>
      </c>
      <c r="C51" s="34">
        <f t="shared" si="19"/>
        <v>60</v>
      </c>
      <c r="D51" s="34">
        <f t="shared" si="22"/>
        <v>60.059672508068566</v>
      </c>
      <c r="E51" s="34">
        <f t="shared" si="22"/>
        <v>60.119404362940784</v>
      </c>
      <c r="F51" s="34">
        <f t="shared" si="22"/>
        <v>60.179195623639536</v>
      </c>
      <c r="G51" s="34">
        <f t="shared" si="22"/>
        <v>60.239046349246394</v>
      </c>
      <c r="H51" s="34">
        <f t="shared" si="22"/>
        <v>60.298956598901697</v>
      </c>
      <c r="I51" s="34">
        <f t="shared" si="22"/>
        <v>60.358926431804598</v>
      </c>
      <c r="J51" s="34">
        <f t="shared" si="22"/>
        <v>60.418955907213132</v>
      </c>
      <c r="K51" s="34">
        <f t="shared" si="22"/>
        <v>60.479045084444259</v>
      </c>
      <c r="L51" s="34">
        <f t="shared" si="22"/>
        <v>60.539194022873936</v>
      </c>
      <c r="M51" s="34">
        <f t="shared" si="22"/>
        <v>60.599402781937179</v>
      </c>
      <c r="N51" s="34">
        <f t="shared" si="22"/>
        <v>60.659671421128103</v>
      </c>
      <c r="O51" s="34">
        <f t="shared" si="22"/>
        <v>60.72</v>
      </c>
      <c r="P51" s="35">
        <f t="shared" si="21"/>
        <v>0</v>
      </c>
    </row>
    <row r="52" spans="2:16">
      <c r="B52" t="str">
        <f>$B$12</f>
        <v>New Orleans</v>
      </c>
      <c r="C52" s="34">
        <f t="shared" si="19"/>
        <v>64.55</v>
      </c>
      <c r="D52" s="34">
        <f t="shared" si="22"/>
        <v>64.69347059185074</v>
      </c>
      <c r="E52" s="34">
        <f t="shared" si="22"/>
        <v>64.837260065354869</v>
      </c>
      <c r="F52" s="34">
        <f t="shared" si="22"/>
        <v>64.981369129267449</v>
      </c>
      <c r="G52" s="34">
        <f t="shared" si="22"/>
        <v>65.12579849391885</v>
      </c>
      <c r="H52" s="34">
        <f t="shared" si="22"/>
        <v>65.270548871218239</v>
      </c>
      <c r="I52" s="34">
        <f t="shared" si="22"/>
        <v>65.415620974657074</v>
      </c>
      <c r="J52" s="34">
        <f t="shared" si="22"/>
        <v>65.561015519312662</v>
      </c>
      <c r="K52" s="34">
        <f t="shared" si="22"/>
        <v>65.70673322185165</v>
      </c>
      <c r="L52" s="34">
        <f t="shared" si="22"/>
        <v>65.852774800533581</v>
      </c>
      <c r="M52" s="34">
        <f t="shared" si="22"/>
        <v>65.999140975214402</v>
      </c>
      <c r="N52" s="34">
        <f t="shared" si="22"/>
        <v>66.145832467350033</v>
      </c>
      <c r="O52" s="34">
        <f t="shared" si="22"/>
        <v>66.29284999999993</v>
      </c>
      <c r="P52" s="35">
        <f t="shared" si="21"/>
        <v>-9.7699626167013776E-14</v>
      </c>
    </row>
    <row r="53" spans="2:16">
      <c r="B53" t="str">
        <f>$B$13</f>
        <v>Hartford</v>
      </c>
      <c r="C53" s="34">
        <f t="shared" si="19"/>
        <v>74.55</v>
      </c>
      <c r="D53" s="34">
        <f t="shared" si="22"/>
        <v>74.685315925458994</v>
      </c>
      <c r="E53" s="34">
        <f t="shared" si="22"/>
        <v>74.820877463254448</v>
      </c>
      <c r="F53" s="34">
        <f t="shared" si="22"/>
        <v>74.956685059198037</v>
      </c>
      <c r="G53" s="34">
        <f t="shared" si="22"/>
        <v>75.092739159910636</v>
      </c>
      <c r="H53" s="34">
        <f t="shared" si="22"/>
        <v>75.229040212823776</v>
      </c>
      <c r="I53" s="34">
        <f t="shared" si="22"/>
        <v>75.365588666181125</v>
      </c>
      <c r="J53" s="34">
        <f t="shared" si="22"/>
        <v>75.502384969039966</v>
      </c>
      <c r="K53" s="34">
        <f t="shared" si="22"/>
        <v>75.639429571272657</v>
      </c>
      <c r="L53" s="34">
        <f t="shared" si="22"/>
        <v>75.77672292356813</v>
      </c>
      <c r="M53" s="34">
        <f t="shared" si="22"/>
        <v>75.914265477433361</v>
      </c>
      <c r="N53" s="34">
        <f t="shared" si="22"/>
        <v>76.052057685194839</v>
      </c>
      <c r="O53" s="34">
        <f t="shared" si="22"/>
        <v>76.190100000000115</v>
      </c>
      <c r="P53" s="35">
        <f t="shared" si="21"/>
        <v>1.5720758028692217E-13</v>
      </c>
    </row>
    <row r="54" spans="2:16">
      <c r="B54" t="str">
        <f>$B$14</f>
        <v>Rochester</v>
      </c>
      <c r="C54" s="34">
        <f t="shared" si="19"/>
        <v>66.349999999999994</v>
      </c>
      <c r="D54" s="34">
        <f t="shared" si="22"/>
        <v>66.519015968474292</v>
      </c>
      <c r="E54" s="34">
        <f t="shared" si="22"/>
        <v>66.688462477982497</v>
      </c>
      <c r="F54" s="34">
        <f t="shared" si="22"/>
        <v>66.858340625258734</v>
      </c>
      <c r="G54" s="34">
        <f t="shared" si="22"/>
        <v>67.028651509830894</v>
      </c>
      <c r="H54" s="34">
        <f t="shared" si="22"/>
        <v>67.199396234027731</v>
      </c>
      <c r="I54" s="34">
        <f t="shared" si="22"/>
        <v>67.370575902986019</v>
      </c>
      <c r="J54" s="34">
        <f t="shared" si="22"/>
        <v>67.542191624657676</v>
      </c>
      <c r="K54" s="34">
        <f t="shared" si="22"/>
        <v>67.71424450981695</v>
      </c>
      <c r="L54" s="34">
        <f t="shared" si="22"/>
        <v>67.88673567206763</v>
      </c>
      <c r="M54" s="34">
        <f t="shared" si="22"/>
        <v>68.059666227850201</v>
      </c>
      <c r="N54" s="34">
        <f t="shared" si="22"/>
        <v>68.233037296449112</v>
      </c>
      <c r="O54" s="34">
        <f t="shared" si="22"/>
        <v>68.40685000000002</v>
      </c>
      <c r="P54" s="35">
        <f t="shared" si="21"/>
        <v>3.5971225997855072E-14</v>
      </c>
    </row>
    <row r="56" spans="2:16" ht="14.4">
      <c r="B56" s="20" t="s">
        <v>47</v>
      </c>
      <c r="C56" s="30">
        <f>$C$17</f>
        <v>43435</v>
      </c>
      <c r="D56" s="30">
        <f>$D$17</f>
        <v>43466</v>
      </c>
      <c r="E56" s="30">
        <f>$E$17</f>
        <v>43497</v>
      </c>
      <c r="F56" s="30">
        <f>$F$17</f>
        <v>43525</v>
      </c>
      <c r="G56" s="30">
        <f>$G$17</f>
        <v>43556</v>
      </c>
      <c r="H56" s="30">
        <f>$H$17</f>
        <v>43586</v>
      </c>
      <c r="I56" s="30">
        <f>$I$17</f>
        <v>43617</v>
      </c>
      <c r="J56" s="30">
        <f>$J$17</f>
        <v>43647</v>
      </c>
      <c r="K56" s="30">
        <f>$K$17</f>
        <v>43678</v>
      </c>
      <c r="L56" s="30">
        <f>$L$17</f>
        <v>43709</v>
      </c>
      <c r="M56" s="30">
        <f>$M$17</f>
        <v>43739</v>
      </c>
      <c r="N56" s="30">
        <f>$N$17</f>
        <v>43770</v>
      </c>
      <c r="O56" s="30">
        <f>$O$17</f>
        <v>43800</v>
      </c>
      <c r="P56" s="36" t="s">
        <v>0</v>
      </c>
    </row>
    <row r="57" spans="2:16" ht="4.95" customHeight="1"/>
    <row r="58" spans="2:16">
      <c r="B58" t="str">
        <f>$B$5</f>
        <v>Minneapolis</v>
      </c>
      <c r="C58" s="34"/>
      <c r="D58" s="27">
        <f t="shared" ref="D58:O67" si="23">D32*D45</f>
        <v>8255404.7709966823</v>
      </c>
      <c r="E58" s="27">
        <f t="shared" si="23"/>
        <v>8289449.36240282</v>
      </c>
      <c r="F58" s="27">
        <f t="shared" si="23"/>
        <v>8323634.3508259617</v>
      </c>
      <c r="G58" s="27">
        <f t="shared" si="23"/>
        <v>8357960.3152515367</v>
      </c>
      <c r="H58" s="27">
        <f t="shared" si="23"/>
        <v>8392427.8370526619</v>
      </c>
      <c r="I58" s="27">
        <f t="shared" si="23"/>
        <v>8427037.4999999888</v>
      </c>
      <c r="J58" s="27">
        <f t="shared" si="23"/>
        <v>8461789.8902715892</v>
      </c>
      <c r="K58" s="27">
        <f t="shared" si="23"/>
        <v>8496685.5964628793</v>
      </c>
      <c r="L58" s="27">
        <f t="shared" si="23"/>
        <v>8531725.2095965985</v>
      </c>
      <c r="M58" s="27">
        <f t="shared" si="23"/>
        <v>8566909.323132813</v>
      </c>
      <c r="N58" s="27">
        <f t="shared" si="23"/>
        <v>8602238.5329789668</v>
      </c>
      <c r="O58" s="27">
        <f t="shared" si="23"/>
        <v>8637713.4374999776</v>
      </c>
      <c r="P58" s="27"/>
    </row>
    <row r="59" spans="2:16">
      <c r="B59" t="str">
        <f>$B$6</f>
        <v>Denver</v>
      </c>
      <c r="C59" s="34"/>
      <c r="D59" s="27">
        <f t="shared" si="23"/>
        <v>4076702.8322767396</v>
      </c>
      <c r="E59" s="27">
        <f t="shared" si="23"/>
        <v>4099482.2418798963</v>
      </c>
      <c r="F59" s="27">
        <f t="shared" si="23"/>
        <v>4122388.9360861299</v>
      </c>
      <c r="G59" s="27">
        <f t="shared" si="23"/>
        <v>4145423.6261241534</v>
      </c>
      <c r="H59" s="27">
        <f t="shared" si="23"/>
        <v>4168587.0271968152</v>
      </c>
      <c r="I59" s="27">
        <f t="shared" si="23"/>
        <v>4191879.8585033072</v>
      </c>
      <c r="J59" s="27">
        <f t="shared" si="23"/>
        <v>4215302.8432614915</v>
      </c>
      <c r="K59" s="27">
        <f t="shared" si="23"/>
        <v>4238856.7087303614</v>
      </c>
      <c r="L59" s="27">
        <f t="shared" si="23"/>
        <v>4262542.1862326125</v>
      </c>
      <c r="M59" s="27">
        <f t="shared" si="23"/>
        <v>4286360.011177361</v>
      </c>
      <c r="N59" s="27">
        <f t="shared" si="23"/>
        <v>4310310.9230829682</v>
      </c>
      <c r="O59" s="27">
        <f t="shared" si="23"/>
        <v>4334395.6656000065</v>
      </c>
      <c r="P59" s="27"/>
    </row>
    <row r="60" spans="2:16">
      <c r="B60" t="str">
        <f>$B$7</f>
        <v>St. Louis</v>
      </c>
      <c r="C60" s="34"/>
      <c r="D60" s="27">
        <f t="shared" si="23"/>
        <v>2960705.0380504457</v>
      </c>
      <c r="E60" s="27">
        <f t="shared" si="23"/>
        <v>2968304.5324316761</v>
      </c>
      <c r="F60" s="27">
        <f t="shared" si="23"/>
        <v>2975923.5330839152</v>
      </c>
      <c r="G60" s="27">
        <f t="shared" si="23"/>
        <v>2983562.0900755743</v>
      </c>
      <c r="H60" s="27">
        <f t="shared" si="23"/>
        <v>2991220.2536035799</v>
      </c>
      <c r="I60" s="27">
        <f t="shared" si="23"/>
        <v>2998898.073993702</v>
      </c>
      <c r="J60" s="27">
        <f t="shared" si="23"/>
        <v>3006595.6017008871</v>
      </c>
      <c r="K60" s="27">
        <f t="shared" si="23"/>
        <v>3014312.8873095885</v>
      </c>
      <c r="L60" s="27">
        <f t="shared" si="23"/>
        <v>3022049.9815340978</v>
      </c>
      <c r="M60" s="27">
        <f t="shared" si="23"/>
        <v>3029806.9352188818</v>
      </c>
      <c r="N60" s="27">
        <f t="shared" si="23"/>
        <v>3037583.7993389117</v>
      </c>
      <c r="O60" s="27">
        <f t="shared" si="23"/>
        <v>3045380.6250000028</v>
      </c>
      <c r="P60" s="27"/>
    </row>
    <row r="61" spans="2:16">
      <c r="B61" t="str">
        <f>$B$8</f>
        <v>San Antonio</v>
      </c>
      <c r="C61" s="34"/>
      <c r="D61" s="27">
        <f t="shared" si="23"/>
        <v>4602046.7263897443</v>
      </c>
      <c r="E61" s="27">
        <f t="shared" si="23"/>
        <v>4629253.3490436208</v>
      </c>
      <c r="F61" s="27">
        <f t="shared" si="23"/>
        <v>4656620.8132448001</v>
      </c>
      <c r="G61" s="27">
        <f t="shared" si="23"/>
        <v>4684150.0698648272</v>
      </c>
      <c r="H61" s="27">
        <f t="shared" si="23"/>
        <v>4711842.0753966616</v>
      </c>
      <c r="I61" s="27">
        <f t="shared" si="23"/>
        <v>4739697.7919879053</v>
      </c>
      <c r="J61" s="27">
        <f t="shared" si="23"/>
        <v>4767718.1874742387</v>
      </c>
      <c r="K61" s="27">
        <f t="shared" si="23"/>
        <v>4795904.2354130419</v>
      </c>
      <c r="L61" s="27">
        <f t="shared" si="23"/>
        <v>4824256.9151172237</v>
      </c>
      <c r="M61" s="27">
        <f t="shared" si="23"/>
        <v>4852777.2116892468</v>
      </c>
      <c r="N61" s="27">
        <f t="shared" si="23"/>
        <v>4881466.1160553554</v>
      </c>
      <c r="O61" s="27">
        <f t="shared" si="23"/>
        <v>4910324.6250000028</v>
      </c>
      <c r="P61" s="27"/>
    </row>
    <row r="62" spans="2:16">
      <c r="B62" t="str">
        <f>$B$9</f>
        <v>Columbus</v>
      </c>
      <c r="C62" s="34"/>
      <c r="D62" s="27">
        <f t="shared" si="23"/>
        <v>2586027.6615401506</v>
      </c>
      <c r="E62" s="27">
        <f t="shared" si="23"/>
        <v>2599429.4178870101</v>
      </c>
      <c r="F62" s="27">
        <f t="shared" si="23"/>
        <v>2612900.627115543</v>
      </c>
      <c r="G62" s="27">
        <f t="shared" si="23"/>
        <v>2626441.6491563916</v>
      </c>
      <c r="H62" s="27">
        <f t="shared" si="23"/>
        <v>2640052.8458054923</v>
      </c>
      <c r="I62" s="27">
        <f t="shared" si="23"/>
        <v>2653734.5807337435</v>
      </c>
      <c r="J62" s="27">
        <f t="shared" si="23"/>
        <v>2667487.2194967214</v>
      </c>
      <c r="K62" s="27">
        <f t="shared" si="23"/>
        <v>2681311.1295444448</v>
      </c>
      <c r="L62" s="27">
        <f t="shared" si="23"/>
        <v>2695206.6802311987</v>
      </c>
      <c r="M62" s="27">
        <f t="shared" si="23"/>
        <v>2709174.242825395</v>
      </c>
      <c r="N62" s="27">
        <f t="shared" si="23"/>
        <v>2723214.1905195001</v>
      </c>
      <c r="O62" s="27">
        <f t="shared" si="23"/>
        <v>2737326.8984400011</v>
      </c>
      <c r="P62" s="27"/>
    </row>
    <row r="63" spans="2:16">
      <c r="B63" t="str">
        <f>$B$10</f>
        <v>Nashville</v>
      </c>
      <c r="C63" s="34"/>
      <c r="D63" s="27">
        <f t="shared" si="23"/>
        <v>4358587.8135004845</v>
      </c>
      <c r="E63" s="27">
        <f t="shared" si="23"/>
        <v>4368699.029089327</v>
      </c>
      <c r="F63" s="27">
        <f t="shared" si="23"/>
        <v>4378833.7010555696</v>
      </c>
      <c r="G63" s="27">
        <f t="shared" si="23"/>
        <v>4388991.8838141952</v>
      </c>
      <c r="H63" s="27">
        <f t="shared" si="23"/>
        <v>4399173.6319064246</v>
      </c>
      <c r="I63" s="27">
        <f t="shared" si="23"/>
        <v>4409379.0000000028</v>
      </c>
      <c r="J63" s="27">
        <f t="shared" si="23"/>
        <v>4419608.0428894935</v>
      </c>
      <c r="K63" s="27">
        <f t="shared" si="23"/>
        <v>4429860.8154965797</v>
      </c>
      <c r="L63" s="27">
        <f t="shared" si="23"/>
        <v>4440137.3728703493</v>
      </c>
      <c r="M63" s="27">
        <f t="shared" si="23"/>
        <v>4450437.7701875959</v>
      </c>
      <c r="N63" s="27">
        <f t="shared" si="23"/>
        <v>4460762.0627531167</v>
      </c>
      <c r="O63" s="27">
        <f t="shared" si="23"/>
        <v>4471110.3060000055</v>
      </c>
      <c r="P63" s="27"/>
    </row>
    <row r="64" spans="2:16">
      <c r="B64" t="str">
        <f>$B$11</f>
        <v>Oklahoma City</v>
      </c>
      <c r="C64" s="34"/>
      <c r="D64" s="27">
        <f t="shared" si="23"/>
        <v>3456865.7508690949</v>
      </c>
      <c r="E64" s="27">
        <f t="shared" si="23"/>
        <v>3463745.1650816677</v>
      </c>
      <c r="F64" s="27">
        <f t="shared" si="23"/>
        <v>3470638.2698287643</v>
      </c>
      <c r="G64" s="27">
        <f t="shared" si="23"/>
        <v>3477545.0923555447</v>
      </c>
      <c r="H64" s="27">
        <f t="shared" si="23"/>
        <v>3484465.6599613875</v>
      </c>
      <c r="I64" s="27">
        <f t="shared" si="23"/>
        <v>3491400.0000000005</v>
      </c>
      <c r="J64" s="27">
        <f t="shared" si="23"/>
        <v>3498348.1398795242</v>
      </c>
      <c r="K64" s="27">
        <f t="shared" si="23"/>
        <v>3505310.1070626476</v>
      </c>
      <c r="L64" s="27">
        <f t="shared" si="23"/>
        <v>3512285.9290667092</v>
      </c>
      <c r="M64" s="27">
        <f t="shared" si="23"/>
        <v>3519275.6334638107</v>
      </c>
      <c r="N64" s="27">
        <f t="shared" si="23"/>
        <v>3526279.247880924</v>
      </c>
      <c r="O64" s="27">
        <f t="shared" si="23"/>
        <v>3533296.7999999993</v>
      </c>
      <c r="P64" s="27"/>
    </row>
    <row r="65" spans="2:16">
      <c r="B65" t="str">
        <f>$B$12</f>
        <v>New Orleans</v>
      </c>
      <c r="C65" s="34"/>
      <c r="D65" s="27">
        <f t="shared" si="23"/>
        <v>2463615.8730605869</v>
      </c>
      <c r="E65" s="27">
        <f t="shared" si="23"/>
        <v>2474378.5600701533</v>
      </c>
      <c r="F65" s="27">
        <f t="shared" si="23"/>
        <v>2485188.2655426748</v>
      </c>
      <c r="G65" s="27">
        <f t="shared" si="23"/>
        <v>2496045.1948855822</v>
      </c>
      <c r="H65" s="27">
        <f t="shared" si="23"/>
        <v>2506949.5544036566</v>
      </c>
      <c r="I65" s="27">
        <f t="shared" si="23"/>
        <v>2517901.5513029536</v>
      </c>
      <c r="J65" s="27">
        <f t="shared" si="23"/>
        <v>2528901.3936947417</v>
      </c>
      <c r="K65" s="27">
        <f t="shared" si="23"/>
        <v>2539949.2905994565</v>
      </c>
      <c r="L65" s="27">
        <f t="shared" si="23"/>
        <v>2551045.4519506707</v>
      </c>
      <c r="M65" s="27">
        <f t="shared" si="23"/>
        <v>2562190.0885990839</v>
      </c>
      <c r="N65" s="27">
        <f t="shared" si="23"/>
        <v>2573383.4123165295</v>
      </c>
      <c r="O65" s="27">
        <f t="shared" si="23"/>
        <v>2584625.6358000003</v>
      </c>
      <c r="P65" s="27"/>
    </row>
    <row r="66" spans="2:16">
      <c r="B66" t="str">
        <f>$B$13</f>
        <v>Hartford</v>
      </c>
      <c r="C66" s="34"/>
      <c r="D66" s="27">
        <f t="shared" si="23"/>
        <v>1383960.2987402354</v>
      </c>
      <c r="E66" s="27">
        <f t="shared" si="23"/>
        <v>1388762.2009456102</v>
      </c>
      <c r="F66" s="27">
        <f t="shared" si="23"/>
        <v>1393580.764224869</v>
      </c>
      <c r="G66" s="27">
        <f t="shared" si="23"/>
        <v>1398416.046386641</v>
      </c>
      <c r="H66" s="27">
        <f t="shared" si="23"/>
        <v>1403268.1054401323</v>
      </c>
      <c r="I66" s="27">
        <f t="shared" si="23"/>
        <v>1408136.9995958237</v>
      </c>
      <c r="J66" s="27">
        <f t="shared" si="23"/>
        <v>1413022.7872661664</v>
      </c>
      <c r="K66" s="27">
        <f t="shared" si="23"/>
        <v>1417925.5270662855</v>
      </c>
      <c r="L66" s="27">
        <f t="shared" si="23"/>
        <v>1422845.2778146807</v>
      </c>
      <c r="M66" s="27">
        <f t="shared" si="23"/>
        <v>1427782.0985339347</v>
      </c>
      <c r="N66" s="27">
        <f t="shared" si="23"/>
        <v>1432736.0484514183</v>
      </c>
      <c r="O66" s="27">
        <f t="shared" si="23"/>
        <v>1437707.1870000029</v>
      </c>
      <c r="P66" s="27"/>
    </row>
    <row r="67" spans="2:16">
      <c r="B67" t="str">
        <f>$B$14</f>
        <v>Rochester</v>
      </c>
      <c r="C67" s="34"/>
      <c r="D67" s="27">
        <f t="shared" si="23"/>
        <v>1850305.4072756821</v>
      </c>
      <c r="E67" s="27">
        <f t="shared" si="23"/>
        <v>1859443.2202657908</v>
      </c>
      <c r="F67" s="27">
        <f t="shared" si="23"/>
        <v>1868626.1607391324</v>
      </c>
      <c r="G67" s="27">
        <f t="shared" si="23"/>
        <v>1877854.4515597275</v>
      </c>
      <c r="H67" s="27">
        <f t="shared" si="23"/>
        <v>1887128.3166922198</v>
      </c>
      <c r="I67" s="27">
        <f t="shared" si="23"/>
        <v>1896447.981207313</v>
      </c>
      <c r="J67" s="27">
        <f t="shared" si="23"/>
        <v>1905813.6712872316</v>
      </c>
      <c r="K67" s="27">
        <f t="shared" si="23"/>
        <v>1915225.6142312111</v>
      </c>
      <c r="L67" s="27">
        <f t="shared" si="23"/>
        <v>1924684.0384610135</v>
      </c>
      <c r="M67" s="27">
        <f t="shared" si="23"/>
        <v>1934189.1735264726</v>
      </c>
      <c r="N67" s="27">
        <f t="shared" si="23"/>
        <v>1943741.2501110625</v>
      </c>
      <c r="O67" s="27">
        <f t="shared" si="23"/>
        <v>1953340.5000374985</v>
      </c>
      <c r="P67" s="27"/>
    </row>
    <row r="68" spans="2:16">
      <c r="P68" s="37" t="s">
        <v>49</v>
      </c>
    </row>
    <row r="69" spans="2:16" ht="14.4">
      <c r="B69" s="20" t="s">
        <v>46</v>
      </c>
      <c r="C69" s="30">
        <f>$C$17</f>
        <v>43435</v>
      </c>
      <c r="D69" s="30">
        <f>$D$17</f>
        <v>43466</v>
      </c>
      <c r="E69" s="30">
        <f>$E$17</f>
        <v>43497</v>
      </c>
      <c r="F69" s="30">
        <f>$F$17</f>
        <v>43525</v>
      </c>
      <c r="G69" s="30">
        <f>$G$17</f>
        <v>43556</v>
      </c>
      <c r="H69" s="30">
        <f>$H$17</f>
        <v>43586</v>
      </c>
      <c r="I69" s="30">
        <f>$I$17</f>
        <v>43617</v>
      </c>
      <c r="J69" s="30">
        <f>$J$17</f>
        <v>43647</v>
      </c>
      <c r="K69" s="30">
        <f>$K$17</f>
        <v>43678</v>
      </c>
      <c r="L69" s="30">
        <f>$L$17</f>
        <v>43709</v>
      </c>
      <c r="M69" s="30">
        <f>$M$17</f>
        <v>43739</v>
      </c>
      <c r="N69" s="30">
        <f>$N$17</f>
        <v>43770</v>
      </c>
      <c r="O69" s="30">
        <f>$O$17</f>
        <v>43800</v>
      </c>
      <c r="P69" s="36" t="s">
        <v>0</v>
      </c>
    </row>
    <row r="70" spans="2:16" ht="4.95" customHeight="1"/>
    <row r="71" spans="2:16">
      <c r="B71" t="str">
        <f>$B$5</f>
        <v>Minneapolis</v>
      </c>
      <c r="C71" s="34">
        <f t="shared" ref="C71:C80" si="24">K5</f>
        <v>28.71</v>
      </c>
      <c r="D71" s="34">
        <f>C71*(1+$M5)</f>
        <v>28.762111605901111</v>
      </c>
      <c r="E71" s="34">
        <f t="shared" ref="E71:O71" si="25">D71*(1+$M5)</f>
        <v>28.814317799732198</v>
      </c>
      <c r="F71" s="34">
        <f t="shared" si="25"/>
        <v>28.866618753180092</v>
      </c>
      <c r="G71" s="34">
        <f t="shared" si="25"/>
        <v>28.919014638243251</v>
      </c>
      <c r="H71" s="34">
        <f t="shared" si="25"/>
        <v>28.971505627232332</v>
      </c>
      <c r="I71" s="34">
        <f t="shared" si="25"/>
        <v>29.024091892770755</v>
      </c>
      <c r="J71" s="34">
        <f t="shared" si="25"/>
        <v>29.076773607795264</v>
      </c>
      <c r="K71" s="34">
        <f t="shared" si="25"/>
        <v>29.129550945556506</v>
      </c>
      <c r="L71" s="34">
        <f t="shared" si="25"/>
        <v>29.18242407961959</v>
      </c>
      <c r="M71" s="34">
        <f t="shared" si="25"/>
        <v>29.235393183864669</v>
      </c>
      <c r="N71" s="34">
        <f t="shared" si="25"/>
        <v>29.288458432487502</v>
      </c>
      <c r="O71" s="34">
        <f t="shared" si="25"/>
        <v>29.341620000000034</v>
      </c>
      <c r="P71" s="35">
        <f>(O71/C71-1)*100-L5</f>
        <v>1.127986593019159E-13</v>
      </c>
    </row>
    <row r="72" spans="2:16">
      <c r="B72" t="str">
        <f>$B$6</f>
        <v>Denver</v>
      </c>
      <c r="C72" s="34">
        <f t="shared" si="24"/>
        <v>28.78</v>
      </c>
      <c r="D72" s="34">
        <f t="shared" ref="D72:O80" si="26">C72*(1+$M6)</f>
        <v>28.8695868688202</v>
      </c>
      <c r="E72" s="34">
        <f t="shared" si="26"/>
        <v>28.959452605154816</v>
      </c>
      <c r="F72" s="34">
        <f t="shared" si="26"/>
        <v>29.049598077067351</v>
      </c>
      <c r="G72" s="34">
        <f t="shared" si="26"/>
        <v>29.14002415532342</v>
      </c>
      <c r="H72" s="34">
        <f t="shared" si="26"/>
        <v>29.23073171339918</v>
      </c>
      <c r="I72" s="34">
        <f t="shared" si="26"/>
        <v>29.321721627489751</v>
      </c>
      <c r="J72" s="34">
        <f t="shared" si="26"/>
        <v>29.412994776517696</v>
      </c>
      <c r="K72" s="34">
        <f t="shared" si="26"/>
        <v>29.504552042141498</v>
      </c>
      <c r="L72" s="34">
        <f t="shared" si="26"/>
        <v>29.596394308764083</v>
      </c>
      <c r="M72" s="34">
        <f t="shared" si="26"/>
        <v>29.688522463541361</v>
      </c>
      <c r="N72" s="34">
        <f t="shared" si="26"/>
        <v>29.780937396390797</v>
      </c>
      <c r="O72" s="34">
        <f t="shared" si="26"/>
        <v>29.873640000000005</v>
      </c>
      <c r="P72" s="35">
        <f t="shared" ref="P72:P80" si="27">(O72/C72-1)*100-L6</f>
        <v>3.5527136788005009E-15</v>
      </c>
    </row>
    <row r="73" spans="2:16">
      <c r="B73" t="str">
        <f>$B$7</f>
        <v>St. Louis</v>
      </c>
      <c r="C73" s="34">
        <f t="shared" si="24"/>
        <v>20.62</v>
      </c>
      <c r="D73" s="34">
        <f t="shared" si="26"/>
        <v>20.64220632918704</v>
      </c>
      <c r="E73" s="34">
        <f t="shared" si="26"/>
        <v>20.664436573071264</v>
      </c>
      <c r="F73" s="34">
        <f t="shared" si="26"/>
        <v>20.686690757407163</v>
      </c>
      <c r="G73" s="34">
        <f t="shared" si="26"/>
        <v>20.708968907976971</v>
      </c>
      <c r="H73" s="34">
        <f t="shared" si="26"/>
        <v>20.731271050590678</v>
      </c>
      <c r="I73" s="34">
        <f t="shared" si="26"/>
        <v>20.753597211086078</v>
      </c>
      <c r="J73" s="34">
        <f t="shared" si="26"/>
        <v>20.775947415328783</v>
      </c>
      <c r="K73" s="34">
        <f t="shared" si="26"/>
        <v>20.798321689212266</v>
      </c>
      <c r="L73" s="34">
        <f t="shared" si="26"/>
        <v>20.82072005865788</v>
      </c>
      <c r="M73" s="34">
        <f t="shared" si="26"/>
        <v>20.8431425496149</v>
      </c>
      <c r="N73" s="34">
        <f t="shared" si="26"/>
        <v>20.86558918806054</v>
      </c>
      <c r="O73" s="34">
        <f t="shared" si="26"/>
        <v>20.888059999999996</v>
      </c>
      <c r="P73" s="35">
        <f t="shared" si="27"/>
        <v>-3.219646771412954E-14</v>
      </c>
    </row>
    <row r="74" spans="2:16">
      <c r="B74" t="str">
        <f>$B$8</f>
        <v>San Antonio</v>
      </c>
      <c r="C74" s="34">
        <f t="shared" si="24"/>
        <v>26.4</v>
      </c>
      <c r="D74" s="34">
        <f t="shared" si="26"/>
        <v>26.486426730250049</v>
      </c>
      <c r="E74" s="34">
        <f t="shared" si="26"/>
        <v>26.573136399125165</v>
      </c>
      <c r="F74" s="34">
        <f t="shared" si="26"/>
        <v>26.660129932892779</v>
      </c>
      <c r="G74" s="34">
        <f t="shared" si="26"/>
        <v>26.747408260852684</v>
      </c>
      <c r="H74" s="34">
        <f t="shared" si="26"/>
        <v>26.834972315346953</v>
      </c>
      <c r="I74" s="34">
        <f t="shared" si="26"/>
        <v>26.922823031769912</v>
      </c>
      <c r="J74" s="34">
        <f t="shared" si="26"/>
        <v>27.010961348578117</v>
      </c>
      <c r="K74" s="34">
        <f t="shared" si="26"/>
        <v>27.099388207300397</v>
      </c>
      <c r="L74" s="34">
        <f t="shared" si="26"/>
        <v>27.188104552547887</v>
      </c>
      <c r="M74" s="34">
        <f t="shared" si="26"/>
        <v>27.277111332024148</v>
      </c>
      <c r="N74" s="34">
        <f t="shared" si="26"/>
        <v>27.366409496535265</v>
      </c>
      <c r="O74" s="34">
        <f t="shared" si="26"/>
        <v>27.456000000000017</v>
      </c>
      <c r="P74" s="35">
        <f t="shared" si="27"/>
        <v>7.0166095156309893E-14</v>
      </c>
    </row>
    <row r="75" spans="2:16">
      <c r="B75" t="str">
        <f>$B$9</f>
        <v>Columbus</v>
      </c>
      <c r="C75" s="34">
        <f t="shared" si="24"/>
        <v>25.48</v>
      </c>
      <c r="D75" s="34">
        <f t="shared" si="26"/>
        <v>25.551092168178759</v>
      </c>
      <c r="E75" s="34">
        <f t="shared" si="26"/>
        <v>25.622382691788303</v>
      </c>
      <c r="F75" s="34">
        <f t="shared" si="26"/>
        <v>25.69387212426339</v>
      </c>
      <c r="G75" s="34">
        <f t="shared" si="26"/>
        <v>25.765561020582922</v>
      </c>
      <c r="H75" s="34">
        <f t="shared" si="26"/>
        <v>25.837449937274265</v>
      </c>
      <c r="I75" s="34">
        <f t="shared" si="26"/>
        <v>25.909539432417553</v>
      </c>
      <c r="J75" s="34">
        <f t="shared" si="26"/>
        <v>25.981830065650033</v>
      </c>
      <c r="K75" s="34">
        <f t="shared" si="26"/>
        <v>26.05432239817041</v>
      </c>
      <c r="L75" s="34">
        <f t="shared" si="26"/>
        <v>26.127016992743187</v>
      </c>
      <c r="M75" s="34">
        <f t="shared" si="26"/>
        <v>26.199914413703056</v>
      </c>
      <c r="N75" s="34">
        <f t="shared" si="26"/>
        <v>26.273015226959259</v>
      </c>
      <c r="O75" s="34">
        <f t="shared" si="26"/>
        <v>26.346320000000002</v>
      </c>
      <c r="P75" s="35">
        <f t="shared" si="27"/>
        <v>0</v>
      </c>
    </row>
    <row r="76" spans="2:16">
      <c r="B76" t="str">
        <f>$B$10</f>
        <v>Nashville</v>
      </c>
      <c r="C76" s="34">
        <f t="shared" si="24"/>
        <v>17.84</v>
      </c>
      <c r="D76" s="34">
        <f t="shared" si="26"/>
        <v>17.859212459393635</v>
      </c>
      <c r="E76" s="34">
        <f t="shared" si="26"/>
        <v>17.878445609291528</v>
      </c>
      <c r="F76" s="34">
        <f t="shared" si="26"/>
        <v>17.897699471975937</v>
      </c>
      <c r="G76" s="34">
        <f t="shared" si="26"/>
        <v>17.916974069753113</v>
      </c>
      <c r="H76" s="34">
        <f t="shared" si="26"/>
        <v>17.936269424953334</v>
      </c>
      <c r="I76" s="34">
        <f t="shared" si="26"/>
        <v>17.955585559930924</v>
      </c>
      <c r="J76" s="34">
        <f t="shared" si="26"/>
        <v>17.974922497064281</v>
      </c>
      <c r="K76" s="34">
        <f t="shared" si="26"/>
        <v>17.994280258755904</v>
      </c>
      <c r="L76" s="34">
        <f t="shared" si="26"/>
        <v>18.013658867432419</v>
      </c>
      <c r="M76" s="34">
        <f t="shared" si="26"/>
        <v>18.0330583455446</v>
      </c>
      <c r="N76" s="34">
        <f t="shared" si="26"/>
        <v>18.052478715567403</v>
      </c>
      <c r="O76" s="34">
        <f t="shared" si="26"/>
        <v>18.071919999999988</v>
      </c>
      <c r="P76" s="35">
        <f t="shared" si="27"/>
        <v>-7.6605388699135801E-14</v>
      </c>
    </row>
    <row r="77" spans="2:16">
      <c r="B77" t="str">
        <f>$B$11</f>
        <v>Oklahoma City</v>
      </c>
      <c r="C77" s="34">
        <f t="shared" si="24"/>
        <v>25.2</v>
      </c>
      <c r="D77" s="34">
        <f t="shared" si="26"/>
        <v>25.225062453388798</v>
      </c>
      <c r="E77" s="34">
        <f t="shared" si="26"/>
        <v>25.250149832435131</v>
      </c>
      <c r="F77" s="34">
        <f t="shared" si="26"/>
        <v>25.275262161928605</v>
      </c>
      <c r="G77" s="34">
        <f t="shared" si="26"/>
        <v>25.300399466683487</v>
      </c>
      <c r="H77" s="34">
        <f t="shared" si="26"/>
        <v>25.325561771538716</v>
      </c>
      <c r="I77" s="34">
        <f t="shared" si="26"/>
        <v>25.350749101357934</v>
      </c>
      <c r="J77" s="34">
        <f t="shared" si="26"/>
        <v>25.375961481029517</v>
      </c>
      <c r="K77" s="34">
        <f t="shared" si="26"/>
        <v>25.401198935466589</v>
      </c>
      <c r="L77" s="34">
        <f t="shared" si="26"/>
        <v>25.426461489607053</v>
      </c>
      <c r="M77" s="34">
        <f t="shared" si="26"/>
        <v>25.451749168413613</v>
      </c>
      <c r="N77" s="34">
        <f t="shared" si="26"/>
        <v>25.4770619968738</v>
      </c>
      <c r="O77" s="34">
        <f t="shared" si="26"/>
        <v>25.502399999999998</v>
      </c>
      <c r="P77" s="35">
        <f t="shared" si="27"/>
        <v>0</v>
      </c>
    </row>
    <row r="78" spans="2:16">
      <c r="B78" t="str">
        <f>$B$12</f>
        <v>New Orleans</v>
      </c>
      <c r="C78" s="34">
        <f t="shared" si="24"/>
        <v>23.88</v>
      </c>
      <c r="D78" s="34">
        <f t="shared" si="26"/>
        <v>23.933076339789245</v>
      </c>
      <c r="E78" s="34">
        <f t="shared" si="26"/>
        <v>23.986270648499993</v>
      </c>
      <c r="F78" s="34">
        <f t="shared" si="26"/>
        <v>24.039583188333186</v>
      </c>
      <c r="G78" s="34">
        <f t="shared" si="26"/>
        <v>24.093014222072544</v>
      </c>
      <c r="H78" s="34">
        <f t="shared" si="26"/>
        <v>24.146564013085854</v>
      </c>
      <c r="I78" s="34">
        <f t="shared" si="26"/>
        <v>24.200232825326278</v>
      </c>
      <c r="J78" s="34">
        <f t="shared" si="26"/>
        <v>24.254020923333645</v>
      </c>
      <c r="K78" s="34">
        <f t="shared" si="26"/>
        <v>24.307928572235753</v>
      </c>
      <c r="L78" s="34">
        <f t="shared" si="26"/>
        <v>24.361956037749685</v>
      </c>
      <c r="M78" s="34">
        <f t="shared" si="26"/>
        <v>24.416103586183116</v>
      </c>
      <c r="N78" s="34">
        <f t="shared" si="26"/>
        <v>24.470371484435617</v>
      </c>
      <c r="O78" s="34">
        <f t="shared" si="26"/>
        <v>24.524759999999979</v>
      </c>
      <c r="P78" s="35">
        <f t="shared" si="27"/>
        <v>-7.5495165674510645E-14</v>
      </c>
    </row>
    <row r="79" spans="2:16">
      <c r="B79" t="str">
        <f>$B$13</f>
        <v>Hartford</v>
      </c>
      <c r="C79" s="34">
        <f t="shared" si="24"/>
        <v>27.58</v>
      </c>
      <c r="D79" s="34">
        <f t="shared" si="26"/>
        <v>27.625550612306959</v>
      </c>
      <c r="E79" s="34">
        <f t="shared" si="26"/>
        <v>27.671176455153496</v>
      </c>
      <c r="F79" s="34">
        <f t="shared" si="26"/>
        <v>27.716877652788963</v>
      </c>
      <c r="G79" s="34">
        <f t="shared" si="26"/>
        <v>27.762654329667921</v>
      </c>
      <c r="H79" s="34">
        <f t="shared" si="26"/>
        <v>27.808506610450475</v>
      </c>
      <c r="I79" s="34">
        <f t="shared" si="26"/>
        <v>27.854434620002621</v>
      </c>
      <c r="J79" s="34">
        <f t="shared" si="26"/>
        <v>27.900438483396577</v>
      </c>
      <c r="K79" s="34">
        <f t="shared" si="26"/>
        <v>27.946518325911132</v>
      </c>
      <c r="L79" s="34">
        <f t="shared" si="26"/>
        <v>27.992674273031977</v>
      </c>
      <c r="M79" s="34">
        <f t="shared" si="26"/>
        <v>28.03890645045206</v>
      </c>
      <c r="N79" s="34">
        <f t="shared" si="26"/>
        <v>28.085214984071918</v>
      </c>
      <c r="O79" s="34">
        <f t="shared" si="26"/>
        <v>28.13160000000002</v>
      </c>
      <c r="P79" s="35">
        <f t="shared" si="27"/>
        <v>6.8389738316909643E-14</v>
      </c>
    </row>
    <row r="80" spans="2:16">
      <c r="B80" t="str">
        <f>$B$14</f>
        <v>Rochester</v>
      </c>
      <c r="C80" s="34">
        <f t="shared" si="24"/>
        <v>28.53</v>
      </c>
      <c r="D80" s="34">
        <f t="shared" si="26"/>
        <v>28.598047701096142</v>
      </c>
      <c r="E80" s="34">
        <f t="shared" si="26"/>
        <v>28.666257704667728</v>
      </c>
      <c r="F80" s="34">
        <f t="shared" si="26"/>
        <v>28.734630397826933</v>
      </c>
      <c r="G80" s="34">
        <f t="shared" si="26"/>
        <v>28.803166168609245</v>
      </c>
      <c r="H80" s="34">
        <f t="shared" si="26"/>
        <v>28.871865405975665</v>
      </c>
      <c r="I80" s="34">
        <f t="shared" si="26"/>
        <v>28.940728499814917</v>
      </c>
      <c r="J80" s="34">
        <f t="shared" si="26"/>
        <v>29.009755840945655</v>
      </c>
      <c r="K80" s="34">
        <f t="shared" si="26"/>
        <v>29.078947821118689</v>
      </c>
      <c r="L80" s="34">
        <f t="shared" si="26"/>
        <v>29.148304833019207</v>
      </c>
      <c r="M80" s="34">
        <f t="shared" si="26"/>
        <v>29.217827270268995</v>
      </c>
      <c r="N80" s="34">
        <f t="shared" si="26"/>
        <v>29.287515527428685</v>
      </c>
      <c r="O80" s="34">
        <f t="shared" si="26"/>
        <v>29.357369999999978</v>
      </c>
      <c r="P80" s="35">
        <f t="shared" si="27"/>
        <v>-7.5051076464660582E-14</v>
      </c>
    </row>
    <row r="81" spans="2:16"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</row>
    <row r="82" spans="2:16" ht="14.4">
      <c r="B82" s="20" t="s">
        <v>45</v>
      </c>
      <c r="C82" s="30">
        <f>$C$17</f>
        <v>43435</v>
      </c>
      <c r="D82" s="30">
        <f>$D$17</f>
        <v>43466</v>
      </c>
      <c r="E82" s="30">
        <f>$E$17</f>
        <v>43497</v>
      </c>
      <c r="F82" s="30">
        <f>$F$17</f>
        <v>43525</v>
      </c>
      <c r="G82" s="30">
        <f>$G$17</f>
        <v>43556</v>
      </c>
      <c r="H82" s="30">
        <f>$H$17</f>
        <v>43586</v>
      </c>
      <c r="I82" s="30">
        <f>$I$17</f>
        <v>43617</v>
      </c>
      <c r="J82" s="30">
        <f>$J$17</f>
        <v>43647</v>
      </c>
      <c r="K82" s="30">
        <f>$K$17</f>
        <v>43678</v>
      </c>
      <c r="L82" s="30">
        <f>$L$17</f>
        <v>43709</v>
      </c>
      <c r="M82" s="30">
        <f>$M$17</f>
        <v>43739</v>
      </c>
      <c r="N82" s="30">
        <f>$N$17</f>
        <v>43770</v>
      </c>
      <c r="O82" s="30">
        <f>$O$17</f>
        <v>43800</v>
      </c>
    </row>
    <row r="83" spans="2:16" ht="4.95" customHeight="1"/>
    <row r="84" spans="2:16">
      <c r="B84" t="str">
        <f>$B$5</f>
        <v>Minneapolis</v>
      </c>
      <c r="C84" s="34"/>
      <c r="D84" s="27">
        <f t="shared" ref="D84:O93" si="28">D32*D71</f>
        <v>3631490.9626696105</v>
      </c>
      <c r="E84" s="27">
        <f t="shared" si="28"/>
        <v>3645576.3469260354</v>
      </c>
      <c r="F84" s="27">
        <f t="shared" si="28"/>
        <v>3659716.3638530876</v>
      </c>
      <c r="G84" s="27">
        <f t="shared" si="28"/>
        <v>3673911.2253533076</v>
      </c>
      <c r="H84" s="27">
        <f t="shared" si="28"/>
        <v>3688161.1441511367</v>
      </c>
      <c r="I84" s="27">
        <f t="shared" si="28"/>
        <v>3702466.3337961063</v>
      </c>
      <c r="J84" s="27">
        <f t="shared" si="28"/>
        <v>3716827.008666038</v>
      </c>
      <c r="K84" s="27">
        <f t="shared" si="28"/>
        <v>3731243.3839702555</v>
      </c>
      <c r="L84" s="27">
        <f t="shared" si="28"/>
        <v>3745715.6757528093</v>
      </c>
      <c r="M84" s="27">
        <f t="shared" si="28"/>
        <v>3760244.1008957168</v>
      </c>
      <c r="N84" s="27">
        <f t="shared" si="28"/>
        <v>3774828.8771222099</v>
      </c>
      <c r="O84" s="27">
        <f t="shared" si="28"/>
        <v>3789470.2230000002</v>
      </c>
    </row>
    <row r="85" spans="2:16">
      <c r="B85" t="str">
        <f>$B$6</f>
        <v>Denver</v>
      </c>
      <c r="C85" s="34"/>
      <c r="D85" s="27">
        <f t="shared" si="28"/>
        <v>1671600.6540486536</v>
      </c>
      <c r="E85" s="27">
        <f t="shared" si="28"/>
        <v>1681211.2467567886</v>
      </c>
      <c r="F85" s="27">
        <f t="shared" si="28"/>
        <v>1690877.0939851813</v>
      </c>
      <c r="G85" s="27">
        <f t="shared" si="28"/>
        <v>1700598.5134105971</v>
      </c>
      <c r="H85" s="27">
        <f t="shared" si="28"/>
        <v>1710375.8245362323</v>
      </c>
      <c r="I85" s="27">
        <f t="shared" si="28"/>
        <v>1720209.348702214</v>
      </c>
      <c r="J85" s="27">
        <f t="shared" si="28"/>
        <v>1730099.4090961611</v>
      </c>
      <c r="K85" s="27">
        <f t="shared" si="28"/>
        <v>1740046.3307638075</v>
      </c>
      <c r="L85" s="27">
        <f t="shared" si="28"/>
        <v>1750050.4406196827</v>
      </c>
      <c r="M85" s="27">
        <f t="shared" si="28"/>
        <v>1760112.067457858</v>
      </c>
      <c r="N85" s="27">
        <f t="shared" si="28"/>
        <v>1770231.5419627531</v>
      </c>
      <c r="O85" s="27">
        <f t="shared" si="28"/>
        <v>1780409.1967200013</v>
      </c>
    </row>
    <row r="86" spans="2:16">
      <c r="B86" t="str">
        <f>$B$7</f>
        <v>St. Louis</v>
      </c>
      <c r="C86" s="34"/>
      <c r="D86" s="27">
        <f t="shared" si="28"/>
        <v>976635.26771649276</v>
      </c>
      <c r="E86" s="27">
        <f t="shared" si="28"/>
        <v>978981.15678276645</v>
      </c>
      <c r="F86" s="27">
        <f t="shared" si="28"/>
        <v>981332.68070136744</v>
      </c>
      <c r="G86" s="27">
        <f t="shared" si="28"/>
        <v>983689.85300727538</v>
      </c>
      <c r="H86" s="27">
        <f t="shared" si="28"/>
        <v>986052.68726798112</v>
      </c>
      <c r="I86" s="27">
        <f t="shared" si="28"/>
        <v>988421.19708356482</v>
      </c>
      <c r="J86" s="27">
        <f t="shared" si="28"/>
        <v>990795.39608677407</v>
      </c>
      <c r="K86" s="27">
        <f t="shared" si="28"/>
        <v>993175.29794310243</v>
      </c>
      <c r="L86" s="27">
        <f t="shared" si="28"/>
        <v>995560.91635086806</v>
      </c>
      <c r="M86" s="27">
        <f t="shared" si="28"/>
        <v>997952.26504129323</v>
      </c>
      <c r="N86" s="27">
        <f t="shared" si="28"/>
        <v>1000349.357778582</v>
      </c>
      <c r="O86" s="27">
        <f t="shared" si="28"/>
        <v>1002752.208360001</v>
      </c>
    </row>
    <row r="87" spans="2:16">
      <c r="B87" t="str">
        <f>$B$8</f>
        <v>San Antonio</v>
      </c>
      <c r="C87" s="34"/>
      <c r="D87" s="27">
        <f t="shared" si="28"/>
        <v>2025388.0766352415</v>
      </c>
      <c r="E87" s="27">
        <f t="shared" si="28"/>
        <v>2037852.3899534049</v>
      </c>
      <c r="F87" s="27">
        <f t="shared" si="28"/>
        <v>2050393.4091178628</v>
      </c>
      <c r="G87" s="27">
        <f t="shared" si="28"/>
        <v>2063011.6061792374</v>
      </c>
      <c r="H87" s="27">
        <f t="shared" si="28"/>
        <v>2075707.4560931679</v>
      </c>
      <c r="I87" s="27">
        <f t="shared" si="28"/>
        <v>2088481.4367381879</v>
      </c>
      <c r="J87" s="27">
        <f t="shared" si="28"/>
        <v>2101334.0289337132</v>
      </c>
      <c r="K87" s="27">
        <f t="shared" si="28"/>
        <v>2114265.7164581404</v>
      </c>
      <c r="L87" s="27">
        <f t="shared" si="28"/>
        <v>2127276.9860670562</v>
      </c>
      <c r="M87" s="27">
        <f t="shared" si="28"/>
        <v>2140368.3275115597</v>
      </c>
      <c r="N87" s="27">
        <f t="shared" si="28"/>
        <v>2153540.2335566948</v>
      </c>
      <c r="O87" s="27">
        <f t="shared" si="28"/>
        <v>2166793.2000000016</v>
      </c>
    </row>
    <row r="88" spans="2:16">
      <c r="B88" t="str">
        <f>$B$9</f>
        <v>Columbus</v>
      </c>
      <c r="C88" s="34"/>
      <c r="D88" s="27">
        <f t="shared" si="28"/>
        <v>1241103.8954036797</v>
      </c>
      <c r="E88" s="27">
        <f t="shared" si="28"/>
        <v>1247737.0536766839</v>
      </c>
      <c r="F88" s="27">
        <f t="shared" si="28"/>
        <v>1254405.663283648</v>
      </c>
      <c r="G88" s="27">
        <f t="shared" si="28"/>
        <v>1261109.9136964681</v>
      </c>
      <c r="H88" s="27">
        <f t="shared" si="28"/>
        <v>1267849.9953996865</v>
      </c>
      <c r="I88" s="27">
        <f t="shared" si="28"/>
        <v>1274626.0998959006</v>
      </c>
      <c r="J88" s="27">
        <f t="shared" si="28"/>
        <v>1281438.4197112061</v>
      </c>
      <c r="K88" s="27">
        <f t="shared" si="28"/>
        <v>1288287.1484006669</v>
      </c>
      <c r="L88" s="27">
        <f t="shared" si="28"/>
        <v>1295172.4805538137</v>
      </c>
      <c r="M88" s="27">
        <f t="shared" si="28"/>
        <v>1302094.6118001738</v>
      </c>
      <c r="N88" s="27">
        <f t="shared" si="28"/>
        <v>1309053.738814828</v>
      </c>
      <c r="O88" s="27">
        <f t="shared" si="28"/>
        <v>1316050.0593240005</v>
      </c>
    </row>
    <row r="89" spans="2:16">
      <c r="B89" t="str">
        <f>$B$10</f>
        <v>Nashville</v>
      </c>
      <c r="C89" s="34"/>
      <c r="D89" s="27">
        <f t="shared" si="28"/>
        <v>1394633.4242081151</v>
      </c>
      <c r="E89" s="27">
        <f t="shared" si="28"/>
        <v>1397753.8144751445</v>
      </c>
      <c r="F89" s="27">
        <f t="shared" si="28"/>
        <v>1400881.1863871347</v>
      </c>
      <c r="G89" s="27">
        <f t="shared" si="28"/>
        <v>1404015.5555650054</v>
      </c>
      <c r="H89" s="27">
        <f t="shared" si="28"/>
        <v>1407156.937664628</v>
      </c>
      <c r="I89" s="27">
        <f t="shared" si="28"/>
        <v>1410305.3483769014</v>
      </c>
      <c r="J89" s="27">
        <f t="shared" si="28"/>
        <v>1413460.803427832</v>
      </c>
      <c r="K89" s="27">
        <f t="shared" si="28"/>
        <v>1416623.3185786125</v>
      </c>
      <c r="L89" s="27">
        <f t="shared" si="28"/>
        <v>1419792.9096257002</v>
      </c>
      <c r="M89" s="27">
        <f t="shared" si="28"/>
        <v>1422969.592400895</v>
      </c>
      <c r="N89" s="27">
        <f t="shared" si="28"/>
        <v>1426153.3827714198</v>
      </c>
      <c r="O89" s="27">
        <f t="shared" si="28"/>
        <v>1429344.2966399998</v>
      </c>
    </row>
    <row r="90" spans="2:16">
      <c r="B90" t="str">
        <f>$B$11</f>
        <v>Oklahoma City</v>
      </c>
      <c r="C90" s="34"/>
      <c r="D90" s="27">
        <f t="shared" si="28"/>
        <v>1451883.61536502</v>
      </c>
      <c r="E90" s="27">
        <f t="shared" si="28"/>
        <v>1454772.9693343004</v>
      </c>
      <c r="F90" s="27">
        <f t="shared" si="28"/>
        <v>1457668.0733280811</v>
      </c>
      <c r="G90" s="27">
        <f t="shared" si="28"/>
        <v>1460568.938789329</v>
      </c>
      <c r="H90" s="27">
        <f t="shared" si="28"/>
        <v>1463475.5771837828</v>
      </c>
      <c r="I90" s="27">
        <f t="shared" si="28"/>
        <v>1466388.0000000002</v>
      </c>
      <c r="J90" s="27">
        <f t="shared" si="28"/>
        <v>1469306.2187494002</v>
      </c>
      <c r="K90" s="27">
        <f t="shared" si="28"/>
        <v>1472230.2449663118</v>
      </c>
      <c r="L90" s="27">
        <f t="shared" si="28"/>
        <v>1475160.090208018</v>
      </c>
      <c r="M90" s="27">
        <f t="shared" si="28"/>
        <v>1478095.7660548005</v>
      </c>
      <c r="N90" s="27">
        <f t="shared" si="28"/>
        <v>1481037.284109988</v>
      </c>
      <c r="O90" s="27">
        <f t="shared" si="28"/>
        <v>1483984.6559999997</v>
      </c>
    </row>
    <row r="91" spans="2:16">
      <c r="B91" t="str">
        <f>$B$12</f>
        <v>New Orleans</v>
      </c>
      <c r="C91" s="34"/>
      <c r="D91" s="27">
        <f t="shared" si="28"/>
        <v>911404.29200134496</v>
      </c>
      <c r="E91" s="27">
        <f t="shared" si="28"/>
        <v>915385.90262548835</v>
      </c>
      <c r="F91" s="27">
        <f t="shared" si="28"/>
        <v>919384.90753151197</v>
      </c>
      <c r="G91" s="27">
        <f t="shared" si="28"/>
        <v>923401.3827090275</v>
      </c>
      <c r="H91" s="27">
        <f t="shared" si="28"/>
        <v>927435.40447961784</v>
      </c>
      <c r="I91" s="27">
        <f t="shared" si="28"/>
        <v>931487.04949828878</v>
      </c>
      <c r="J91" s="27">
        <f t="shared" si="28"/>
        <v>935556.39475492563</v>
      </c>
      <c r="K91" s="27">
        <f t="shared" si="28"/>
        <v>939643.51757575583</v>
      </c>
      <c r="L91" s="27">
        <f t="shared" si="28"/>
        <v>943748.49562481837</v>
      </c>
      <c r="M91" s="27">
        <f t="shared" si="28"/>
        <v>947871.40690543968</v>
      </c>
      <c r="N91" s="27">
        <f t="shared" si="28"/>
        <v>952012.32976171561</v>
      </c>
      <c r="O91" s="27">
        <f t="shared" si="28"/>
        <v>956171.34288000024</v>
      </c>
    </row>
    <row r="92" spans="2:16">
      <c r="B92" t="str">
        <f>$B$13</f>
        <v>Hartford</v>
      </c>
      <c r="C92" s="34"/>
      <c r="D92" s="27">
        <f t="shared" si="28"/>
        <v>511916.76442033966</v>
      </c>
      <c r="E92" s="27">
        <f t="shared" si="28"/>
        <v>513609.1050988565</v>
      </c>
      <c r="F92" s="27">
        <f t="shared" si="28"/>
        <v>515307.04047004838</v>
      </c>
      <c r="G92" s="27">
        <f t="shared" si="28"/>
        <v>517010.58902935585</v>
      </c>
      <c r="H92" s="27">
        <f t="shared" si="28"/>
        <v>518719.76933336299</v>
      </c>
      <c r="I92" s="27">
        <f t="shared" si="28"/>
        <v>520434.60000000027</v>
      </c>
      <c r="J92" s="27">
        <f t="shared" si="28"/>
        <v>522155.09970874671</v>
      </c>
      <c r="K92" s="27">
        <f t="shared" si="28"/>
        <v>523881.28720083402</v>
      </c>
      <c r="L92" s="27">
        <f t="shared" si="28"/>
        <v>525613.18127944972</v>
      </c>
      <c r="M92" s="27">
        <f t="shared" si="28"/>
        <v>527350.80080994335</v>
      </c>
      <c r="N92" s="27">
        <f t="shared" si="28"/>
        <v>529094.16472003073</v>
      </c>
      <c r="O92" s="27">
        <f t="shared" si="28"/>
        <v>530843.29200000071</v>
      </c>
    </row>
    <row r="93" spans="2:16">
      <c r="B93" t="str">
        <f>$B$14</f>
        <v>Rochester</v>
      </c>
      <c r="C93" s="34"/>
      <c r="D93" s="27">
        <f t="shared" si="28"/>
        <v>795488.65130452951</v>
      </c>
      <c r="E93" s="27">
        <f t="shared" si="28"/>
        <v>799287.86117890663</v>
      </c>
      <c r="F93" s="27">
        <f t="shared" si="28"/>
        <v>803105.21586986398</v>
      </c>
      <c r="G93" s="27">
        <f t="shared" si="28"/>
        <v>806940.80203604372</v>
      </c>
      <c r="H93" s="27">
        <f t="shared" si="28"/>
        <v>810794.70674996462</v>
      </c>
      <c r="I93" s="27">
        <f t="shared" si="28"/>
        <v>814667.01749999938</v>
      </c>
      <c r="J93" s="27">
        <f t="shared" si="28"/>
        <v>818557.82219236006</v>
      </c>
      <c r="K93" s="27">
        <f t="shared" si="28"/>
        <v>822467.20915309421</v>
      </c>
      <c r="L93" s="27">
        <f t="shared" si="28"/>
        <v>826395.26713008923</v>
      </c>
      <c r="M93" s="27">
        <f t="shared" si="28"/>
        <v>830342.08529508812</v>
      </c>
      <c r="N93" s="27">
        <f t="shared" si="28"/>
        <v>834307.75324571284</v>
      </c>
      <c r="O93" s="27">
        <f t="shared" si="28"/>
        <v>838292.36100749858</v>
      </c>
    </row>
    <row r="94" spans="2:16">
      <c r="P94" s="37" t="s">
        <v>49</v>
      </c>
    </row>
    <row r="95" spans="2:16" ht="14.4">
      <c r="B95" s="20" t="s">
        <v>38</v>
      </c>
      <c r="C95" s="30">
        <f>$C$17</f>
        <v>43435</v>
      </c>
      <c r="D95" s="30">
        <f>$D$17</f>
        <v>43466</v>
      </c>
      <c r="E95" s="30">
        <f>$E$17</f>
        <v>43497</v>
      </c>
      <c r="F95" s="30">
        <f>$F$17</f>
        <v>43525</v>
      </c>
      <c r="G95" s="30">
        <f>$G$17</f>
        <v>43556</v>
      </c>
      <c r="H95" s="30">
        <f>$H$17</f>
        <v>43586</v>
      </c>
      <c r="I95" s="30">
        <f>$I$17</f>
        <v>43617</v>
      </c>
      <c r="J95" s="30">
        <f>$J$17</f>
        <v>43647</v>
      </c>
      <c r="K95" s="30">
        <f>$K$17</f>
        <v>43678</v>
      </c>
      <c r="L95" s="30">
        <f>$L$17</f>
        <v>43709</v>
      </c>
      <c r="M95" s="30">
        <f>$M$17</f>
        <v>43739</v>
      </c>
      <c r="N95" s="30">
        <f>$N$17</f>
        <v>43770</v>
      </c>
      <c r="O95" s="30">
        <f>$O$17</f>
        <v>43800</v>
      </c>
      <c r="P95" s="36" t="s">
        <v>0</v>
      </c>
    </row>
    <row r="96" spans="2:16" ht="4.95" customHeight="1"/>
    <row r="97" spans="2:16">
      <c r="B97" t="str">
        <f>$B$5</f>
        <v>Minneapolis</v>
      </c>
      <c r="C97" s="34">
        <f t="shared" ref="C97:C106" si="29">N5</f>
        <v>50300</v>
      </c>
      <c r="D97" s="27">
        <f>C97*(1+$P5)</f>
        <v>50357.8962387059</v>
      </c>
      <c r="E97" s="27">
        <f t="shared" ref="E97:O97" si="30">D97*(1+$P5)</f>
        <v>50415.859117063017</v>
      </c>
      <c r="F97" s="27">
        <f t="shared" si="30"/>
        <v>50473.888711774831</v>
      </c>
      <c r="G97" s="27">
        <f t="shared" si="30"/>
        <v>50531.985099633115</v>
      </c>
      <c r="H97" s="27">
        <f t="shared" si="30"/>
        <v>50590.148357518032</v>
      </c>
      <c r="I97" s="27">
        <f t="shared" si="30"/>
        <v>50648.378562398226</v>
      </c>
      <c r="J97" s="27">
        <f t="shared" si="30"/>
        <v>50706.675791330934</v>
      </c>
      <c r="K97" s="27">
        <f t="shared" si="30"/>
        <v>50765.040121462094</v>
      </c>
      <c r="L97" s="27">
        <f t="shared" si="30"/>
        <v>50823.471630026441</v>
      </c>
      <c r="M97" s="27">
        <f t="shared" si="30"/>
        <v>50881.970394347598</v>
      </c>
      <c r="N97" s="27">
        <f t="shared" si="30"/>
        <v>50940.536491838204</v>
      </c>
      <c r="O97" s="27">
        <f t="shared" si="30"/>
        <v>50999.169999999991</v>
      </c>
      <c r="P97" s="35">
        <f t="shared" ref="P97:P106" si="31">(O97/C97-1)*100-O5</f>
        <v>-1.9761969838327786E-14</v>
      </c>
    </row>
    <row r="98" spans="2:16">
      <c r="B98" t="str">
        <f>$B$6</f>
        <v>Denver</v>
      </c>
      <c r="C98" s="34">
        <f t="shared" si="29"/>
        <v>56400</v>
      </c>
      <c r="D98" s="27">
        <f t="shared" ref="D98:O106" si="32">C98*(1+$P6)</f>
        <v>56465.845548890844</v>
      </c>
      <c r="E98" s="27">
        <f t="shared" si="32"/>
        <v>56531.76797076589</v>
      </c>
      <c r="F98" s="27">
        <f t="shared" si="32"/>
        <v>56597.767355372365</v>
      </c>
      <c r="G98" s="27">
        <f t="shared" si="32"/>
        <v>56663.843792562278</v>
      </c>
      <c r="H98" s="27">
        <f t="shared" si="32"/>
        <v>56729.997372292535</v>
      </c>
      <c r="I98" s="27">
        <f t="shared" si="32"/>
        <v>56796.22818462507</v>
      </c>
      <c r="J98" s="27">
        <f t="shared" si="32"/>
        <v>56862.536319726954</v>
      </c>
      <c r="K98" s="27">
        <f t="shared" si="32"/>
        <v>56928.921867870537</v>
      </c>
      <c r="L98" s="27">
        <f t="shared" si="32"/>
        <v>56995.384919433549</v>
      </c>
      <c r="M98" s="27">
        <f t="shared" si="32"/>
        <v>57061.92556489924</v>
      </c>
      <c r="N98" s="27">
        <f t="shared" si="32"/>
        <v>57128.543894856499</v>
      </c>
      <c r="O98" s="27">
        <f t="shared" si="32"/>
        <v>57195.239999999969</v>
      </c>
      <c r="P98" s="35">
        <f t="shared" si="31"/>
        <v>-4.418687638008123E-14</v>
      </c>
    </row>
    <row r="99" spans="2:16">
      <c r="B99" t="str">
        <f>$B$7</f>
        <v>St. Louis</v>
      </c>
      <c r="C99" s="34">
        <f t="shared" si="29"/>
        <v>50200</v>
      </c>
      <c r="D99" s="27">
        <f t="shared" si="32"/>
        <v>50244.543637036149</v>
      </c>
      <c r="E99" s="27">
        <f t="shared" si="32"/>
        <v>50289.126798685858</v>
      </c>
      <c r="F99" s="27">
        <f t="shared" si="32"/>
        <v>50333.749520020232</v>
      </c>
      <c r="G99" s="27">
        <f t="shared" si="32"/>
        <v>50378.411836141517</v>
      </c>
      <c r="H99" s="27">
        <f t="shared" si="32"/>
        <v>50423.113782183085</v>
      </c>
      <c r="I99" s="27">
        <f t="shared" si="32"/>
        <v>50467.855393309503</v>
      </c>
      <c r="J99" s="27">
        <f t="shared" si="32"/>
        <v>50512.636704716526</v>
      </c>
      <c r="K99" s="27">
        <f t="shared" si="32"/>
        <v>50557.457751631147</v>
      </c>
      <c r="L99" s="27">
        <f t="shared" si="32"/>
        <v>50602.31856931161</v>
      </c>
      <c r="M99" s="27">
        <f t="shared" si="32"/>
        <v>50647.219193047451</v>
      </c>
      <c r="N99" s="27">
        <f t="shared" si="32"/>
        <v>50692.159658159515</v>
      </c>
      <c r="O99" s="27">
        <f t="shared" si="32"/>
        <v>50737.139999999985</v>
      </c>
      <c r="P99" s="35">
        <f t="shared" si="31"/>
        <v>-2.9087843245179101E-14</v>
      </c>
    </row>
    <row r="100" spans="2:16">
      <c r="B100" t="str">
        <f>$B$8</f>
        <v>San Antonio</v>
      </c>
      <c r="C100" s="34">
        <f t="shared" si="29"/>
        <v>46700</v>
      </c>
      <c r="D100" s="27">
        <f t="shared" si="32"/>
        <v>46743.749706021226</v>
      </c>
      <c r="E100" s="27">
        <f t="shared" si="32"/>
        <v>46787.540397840676</v>
      </c>
      <c r="F100" s="27">
        <f t="shared" si="32"/>
        <v>46831.37211385485</v>
      </c>
      <c r="G100" s="27">
        <f t="shared" si="32"/>
        <v>46875.244892496223</v>
      </c>
      <c r="H100" s="27">
        <f t="shared" si="32"/>
        <v>46919.158772233262</v>
      </c>
      <c r="I100" s="27">
        <f t="shared" si="32"/>
        <v>46963.113791570489</v>
      </c>
      <c r="J100" s="27">
        <f t="shared" si="32"/>
        <v>47007.109989048491</v>
      </c>
      <c r="K100" s="27">
        <f t="shared" si="32"/>
        <v>47051.147403243958</v>
      </c>
      <c r="L100" s="27">
        <f t="shared" si="32"/>
        <v>47095.226072769728</v>
      </c>
      <c r="M100" s="27">
        <f t="shared" si="32"/>
        <v>47139.346036274801</v>
      </c>
      <c r="N100" s="27">
        <f t="shared" si="32"/>
        <v>47183.507332444395</v>
      </c>
      <c r="O100" s="27">
        <f t="shared" si="32"/>
        <v>47227.709999999963</v>
      </c>
      <c r="P100" s="35">
        <f t="shared" si="31"/>
        <v>-7.9936057773011271E-14</v>
      </c>
    </row>
    <row r="101" spans="2:16">
      <c r="B101" t="str">
        <f>$B$9</f>
        <v>Columbus</v>
      </c>
      <c r="C101" s="34">
        <f t="shared" si="29"/>
        <v>43100</v>
      </c>
      <c r="D101" s="27">
        <f t="shared" si="32"/>
        <v>43155.279211218876</v>
      </c>
      <c r="E101" s="27">
        <f t="shared" si="32"/>
        <v>43210.629322465429</v>
      </c>
      <c r="F101" s="27">
        <f t="shared" si="32"/>
        <v>43266.050424674642</v>
      </c>
      <c r="G101" s="27">
        <f t="shared" si="32"/>
        <v>43321.542608898126</v>
      </c>
      <c r="H101" s="27">
        <f t="shared" si="32"/>
        <v>43377.105966304269</v>
      </c>
      <c r="I101" s="27">
        <f t="shared" si="32"/>
        <v>43432.7405881784</v>
      </c>
      <c r="J101" s="27">
        <f t="shared" si="32"/>
        <v>43488.446565922917</v>
      </c>
      <c r="K101" s="27">
        <f t="shared" si="32"/>
        <v>43544.22399105745</v>
      </c>
      <c r="L101" s="27">
        <f t="shared" si="32"/>
        <v>43600.072955219024</v>
      </c>
      <c r="M101" s="27">
        <f t="shared" si="32"/>
        <v>43655.99355016218</v>
      </c>
      <c r="N101" s="27">
        <f t="shared" si="32"/>
        <v>43711.985867759147</v>
      </c>
      <c r="O101" s="27">
        <f t="shared" si="32"/>
        <v>43768.049999999996</v>
      </c>
      <c r="P101" s="35">
        <f t="shared" si="31"/>
        <v>-1.532107773982716E-14</v>
      </c>
    </row>
    <row r="102" spans="2:16">
      <c r="B102" t="str">
        <f>$B$10</f>
        <v>Nashville</v>
      </c>
      <c r="C102" s="34">
        <f t="shared" si="29"/>
        <v>41300</v>
      </c>
      <c r="D102" s="27">
        <f t="shared" si="32"/>
        <v>41351.952384222976</v>
      </c>
      <c r="E102" s="27">
        <f t="shared" si="32"/>
        <v>41403.970120751677</v>
      </c>
      <c r="F102" s="27">
        <f t="shared" si="32"/>
        <v>41456.053291794531</v>
      </c>
      <c r="G102" s="27">
        <f t="shared" si="32"/>
        <v>41508.201979663376</v>
      </c>
      <c r="H102" s="27">
        <f t="shared" si="32"/>
        <v>41560.416266773602</v>
      </c>
      <c r="I102" s="27">
        <f t="shared" si="32"/>
        <v>41612.69623564426</v>
      </c>
      <c r="J102" s="27">
        <f t="shared" si="32"/>
        <v>41665.041968898207</v>
      </c>
      <c r="K102" s="27">
        <f t="shared" si="32"/>
        <v>41717.453549262238</v>
      </c>
      <c r="L102" s="27">
        <f t="shared" si="32"/>
        <v>41769.931059567207</v>
      </c>
      <c r="M102" s="27">
        <f t="shared" si="32"/>
        <v>41822.474582748167</v>
      </c>
      <c r="N102" s="27">
        <f t="shared" si="32"/>
        <v>41875.084201844496</v>
      </c>
      <c r="O102" s="27">
        <f t="shared" si="32"/>
        <v>41927.760000000031</v>
      </c>
      <c r="P102" s="35">
        <f t="shared" si="31"/>
        <v>7.6827433304060833E-14</v>
      </c>
    </row>
    <row r="103" spans="2:16">
      <c r="B103" t="str">
        <f>$B$11</f>
        <v>Oklahoma City</v>
      </c>
      <c r="C103" s="34">
        <f t="shared" si="29"/>
        <v>46300</v>
      </c>
      <c r="D103" s="27">
        <f t="shared" si="32"/>
        <v>46348.71790071854</v>
      </c>
      <c r="E103" s="27">
        <f t="shared" si="32"/>
        <v>46397.487063507288</v>
      </c>
      <c r="F103" s="27">
        <f t="shared" si="32"/>
        <v>46446.307542305338</v>
      </c>
      <c r="G103" s="27">
        <f t="shared" si="32"/>
        <v>46495.179391108555</v>
      </c>
      <c r="H103" s="27">
        <f t="shared" si="32"/>
        <v>46544.102663969607</v>
      </c>
      <c r="I103" s="27">
        <f t="shared" si="32"/>
        <v>46593.07741499805</v>
      </c>
      <c r="J103" s="27">
        <f t="shared" si="32"/>
        <v>46642.103698360363</v>
      </c>
      <c r="K103" s="27">
        <f t="shared" si="32"/>
        <v>46691.18156828003</v>
      </c>
      <c r="L103" s="27">
        <f t="shared" si="32"/>
        <v>46740.311079037587</v>
      </c>
      <c r="M103" s="27">
        <f t="shared" si="32"/>
        <v>46789.492284970685</v>
      </c>
      <c r="N103" s="27">
        <f t="shared" si="32"/>
        <v>46838.725240474145</v>
      </c>
      <c r="O103" s="27">
        <f t="shared" si="32"/>
        <v>46888.010000000031</v>
      </c>
      <c r="P103" s="35">
        <f t="shared" si="31"/>
        <v>5.9952043329758453E-14</v>
      </c>
    </row>
    <row r="104" spans="2:16">
      <c r="B104" t="str">
        <f>$B$12</f>
        <v>New Orleans</v>
      </c>
      <c r="C104" s="34">
        <f t="shared" si="29"/>
        <v>51300</v>
      </c>
      <c r="D104" s="27">
        <f t="shared" si="32"/>
        <v>51343.402465267478</v>
      </c>
      <c r="E104" s="27">
        <f t="shared" si="32"/>
        <v>51386.841651275521</v>
      </c>
      <c r="F104" s="27">
        <f t="shared" si="32"/>
        <v>51430.317589091792</v>
      </c>
      <c r="G104" s="27">
        <f t="shared" si="32"/>
        <v>51473.830309810226</v>
      </c>
      <c r="H104" s="27">
        <f t="shared" si="32"/>
        <v>51517.379844551077</v>
      </c>
      <c r="I104" s="27">
        <f t="shared" si="32"/>
        <v>51560.966224460914</v>
      </c>
      <c r="J104" s="27">
        <f t="shared" si="32"/>
        <v>51604.589480712661</v>
      </c>
      <c r="K104" s="27">
        <f t="shared" si="32"/>
        <v>51648.249644505624</v>
      </c>
      <c r="L104" s="27">
        <f t="shared" si="32"/>
        <v>51691.9467470655</v>
      </c>
      <c r="M104" s="27">
        <f t="shared" si="32"/>
        <v>51735.680819644404</v>
      </c>
      <c r="N104" s="27">
        <f t="shared" si="32"/>
        <v>51779.451893520891</v>
      </c>
      <c r="O104" s="27">
        <f t="shared" si="32"/>
        <v>51823.25999999998</v>
      </c>
      <c r="P104" s="35">
        <f t="shared" si="31"/>
        <v>-4.5741188614556449E-14</v>
      </c>
    </row>
    <row r="105" spans="2:16">
      <c r="B105" t="str">
        <f>$B$13</f>
        <v>Hartford</v>
      </c>
      <c r="C105" s="34">
        <f t="shared" si="29"/>
        <v>55300</v>
      </c>
      <c r="D105" s="27">
        <f t="shared" si="32"/>
        <v>55342.218937842641</v>
      </c>
      <c r="E105" s="27">
        <f t="shared" si="32"/>
        <v>55384.470107850066</v>
      </c>
      <c r="F105" s="27">
        <f t="shared" si="32"/>
        <v>55426.753534630006</v>
      </c>
      <c r="G105" s="27">
        <f t="shared" si="32"/>
        <v>55469.06924280899</v>
      </c>
      <c r="H105" s="27">
        <f t="shared" si="32"/>
        <v>55511.417257032335</v>
      </c>
      <c r="I105" s="27">
        <f t="shared" si="32"/>
        <v>55553.797601964186</v>
      </c>
      <c r="J105" s="27">
        <f t="shared" si="32"/>
        <v>55596.210302287509</v>
      </c>
      <c r="K105" s="27">
        <f t="shared" si="32"/>
        <v>55638.655382704121</v>
      </c>
      <c r="L105" s="27">
        <f t="shared" si="32"/>
        <v>55681.132867934684</v>
      </c>
      <c r="M105" s="27">
        <f t="shared" si="32"/>
        <v>55723.642782718751</v>
      </c>
      <c r="N105" s="27">
        <f t="shared" si="32"/>
        <v>55766.185151814752</v>
      </c>
      <c r="O105" s="27">
        <f t="shared" si="32"/>
        <v>55808.760000000024</v>
      </c>
      <c r="P105" s="35">
        <f t="shared" si="31"/>
        <v>5.4067861299245124E-14</v>
      </c>
    </row>
    <row r="106" spans="2:16">
      <c r="B106" t="str">
        <f>$B$14</f>
        <v>Rochester</v>
      </c>
      <c r="C106" s="34">
        <f t="shared" si="29"/>
        <v>49700</v>
      </c>
      <c r="D106" s="27">
        <f t="shared" si="32"/>
        <v>49777.200360601048</v>
      </c>
      <c r="E106" s="27">
        <f t="shared" si="32"/>
        <v>49854.520638620146</v>
      </c>
      <c r="F106" s="27">
        <f t="shared" si="32"/>
        <v>49931.961020328272</v>
      </c>
      <c r="G106" s="27">
        <f t="shared" si="32"/>
        <v>50009.521692285751</v>
      </c>
      <c r="H106" s="27">
        <f t="shared" si="32"/>
        <v>50087.202841342703</v>
      </c>
      <c r="I106" s="27">
        <f t="shared" si="32"/>
        <v>50165.004654639473</v>
      </c>
      <c r="J106" s="27">
        <f t="shared" si="32"/>
        <v>50242.927319607108</v>
      </c>
      <c r="K106" s="27">
        <f t="shared" si="32"/>
        <v>50320.971023967788</v>
      </c>
      <c r="L106" s="27">
        <f t="shared" si="32"/>
        <v>50399.135955735299</v>
      </c>
      <c r="M106" s="27">
        <f t="shared" si="32"/>
        <v>50477.422303215462</v>
      </c>
      <c r="N106" s="27">
        <f t="shared" si="32"/>
        <v>50555.8302550066</v>
      </c>
      <c r="O106" s="27">
        <f t="shared" si="32"/>
        <v>50634.36</v>
      </c>
      <c r="P106" s="35">
        <f t="shared" si="31"/>
        <v>-7.1054273576010019E-15</v>
      </c>
    </row>
    <row r="108" spans="2:16" ht="14.4">
      <c r="B108" s="20" t="s">
        <v>44</v>
      </c>
      <c r="C108" s="30">
        <f>$C$17</f>
        <v>43435</v>
      </c>
      <c r="D108" s="30">
        <f>$D$17</f>
        <v>43466</v>
      </c>
      <c r="E108" s="30">
        <f>$E$17</f>
        <v>43497</v>
      </c>
      <c r="F108" s="30">
        <f>$F$17</f>
        <v>43525</v>
      </c>
      <c r="G108" s="30">
        <f>$G$17</f>
        <v>43556</v>
      </c>
      <c r="H108" s="30">
        <f>$H$17</f>
        <v>43586</v>
      </c>
      <c r="I108" s="30">
        <f>$I$17</f>
        <v>43617</v>
      </c>
      <c r="J108" s="30">
        <f>$J$17</f>
        <v>43647</v>
      </c>
      <c r="K108" s="30">
        <f>$K$17</f>
        <v>43678</v>
      </c>
      <c r="L108" s="30">
        <f>$L$17</f>
        <v>43709</v>
      </c>
      <c r="M108" s="30">
        <f>$M$17</f>
        <v>43739</v>
      </c>
      <c r="N108" s="30">
        <f>$N$17</f>
        <v>43770</v>
      </c>
      <c r="O108" s="30">
        <f>$O$17</f>
        <v>43800</v>
      </c>
    </row>
    <row r="109" spans="2:16" ht="4.95" customHeight="1"/>
    <row r="110" spans="2:16">
      <c r="B110" t="str">
        <f>$B$5</f>
        <v>Minneapolis</v>
      </c>
      <c r="C110" s="34"/>
      <c r="D110" s="33">
        <f t="shared" ref="D110:O119" si="33">IF($A5&lt;=D$108,1,0)</f>
        <v>1</v>
      </c>
      <c r="E110" s="33">
        <f t="shared" si="33"/>
        <v>1</v>
      </c>
      <c r="F110" s="33">
        <f t="shared" si="33"/>
        <v>1</v>
      </c>
      <c r="G110" s="33">
        <f t="shared" si="33"/>
        <v>1</v>
      </c>
      <c r="H110" s="33">
        <f t="shared" si="33"/>
        <v>1</v>
      </c>
      <c r="I110" s="33">
        <f t="shared" si="33"/>
        <v>1</v>
      </c>
      <c r="J110" s="33">
        <f t="shared" si="33"/>
        <v>1</v>
      </c>
      <c r="K110" s="33">
        <f t="shared" si="33"/>
        <v>1</v>
      </c>
      <c r="L110" s="33">
        <f t="shared" si="33"/>
        <v>1</v>
      </c>
      <c r="M110" s="33">
        <f t="shared" si="33"/>
        <v>1</v>
      </c>
      <c r="N110" s="33">
        <f t="shared" si="33"/>
        <v>1</v>
      </c>
      <c r="O110" s="33">
        <f t="shared" si="33"/>
        <v>1</v>
      </c>
    </row>
    <row r="111" spans="2:16">
      <c r="B111" t="str">
        <f>$B$6</f>
        <v>Denver</v>
      </c>
      <c r="C111" s="34"/>
      <c r="D111" s="33">
        <f t="shared" si="33"/>
        <v>0</v>
      </c>
      <c r="E111" s="33">
        <f t="shared" si="33"/>
        <v>0</v>
      </c>
      <c r="F111" s="33">
        <f t="shared" si="33"/>
        <v>0</v>
      </c>
      <c r="G111" s="33">
        <f t="shared" si="33"/>
        <v>0</v>
      </c>
      <c r="H111" s="33">
        <f t="shared" si="33"/>
        <v>0</v>
      </c>
      <c r="I111" s="33">
        <f t="shared" si="33"/>
        <v>1</v>
      </c>
      <c r="J111" s="33">
        <f t="shared" si="33"/>
        <v>1</v>
      </c>
      <c r="K111" s="33">
        <f t="shared" si="33"/>
        <v>1</v>
      </c>
      <c r="L111" s="33">
        <f t="shared" si="33"/>
        <v>1</v>
      </c>
      <c r="M111" s="33">
        <f t="shared" si="33"/>
        <v>1</v>
      </c>
      <c r="N111" s="33">
        <f t="shared" si="33"/>
        <v>1</v>
      </c>
      <c r="O111" s="33">
        <f t="shared" si="33"/>
        <v>1</v>
      </c>
    </row>
    <row r="112" spans="2:16">
      <c r="B112" t="str">
        <f>$B$7</f>
        <v>St. Louis</v>
      </c>
      <c r="C112" s="34"/>
      <c r="D112" s="33">
        <f t="shared" si="33"/>
        <v>0</v>
      </c>
      <c r="E112" s="33">
        <f t="shared" si="33"/>
        <v>0</v>
      </c>
      <c r="F112" s="33">
        <f t="shared" si="33"/>
        <v>0</v>
      </c>
      <c r="G112" s="33">
        <f t="shared" si="33"/>
        <v>0</v>
      </c>
      <c r="H112" s="33">
        <f t="shared" si="33"/>
        <v>0</v>
      </c>
      <c r="I112" s="33">
        <f t="shared" si="33"/>
        <v>0</v>
      </c>
      <c r="J112" s="33">
        <f t="shared" si="33"/>
        <v>1</v>
      </c>
      <c r="K112" s="33">
        <f t="shared" si="33"/>
        <v>1</v>
      </c>
      <c r="L112" s="33">
        <f t="shared" si="33"/>
        <v>1</v>
      </c>
      <c r="M112" s="33">
        <f t="shared" si="33"/>
        <v>1</v>
      </c>
      <c r="N112" s="33">
        <f t="shared" si="33"/>
        <v>1</v>
      </c>
      <c r="O112" s="33">
        <f t="shared" si="33"/>
        <v>1</v>
      </c>
    </row>
    <row r="113" spans="1:15">
      <c r="B113" t="str">
        <f>$B$8</f>
        <v>San Antonio</v>
      </c>
      <c r="C113" s="34"/>
      <c r="D113" s="33">
        <f t="shared" si="33"/>
        <v>0</v>
      </c>
      <c r="E113" s="33">
        <f t="shared" si="33"/>
        <v>0</v>
      </c>
      <c r="F113" s="33">
        <f t="shared" si="33"/>
        <v>0</v>
      </c>
      <c r="G113" s="33">
        <f t="shared" si="33"/>
        <v>0</v>
      </c>
      <c r="H113" s="33">
        <f t="shared" si="33"/>
        <v>0</v>
      </c>
      <c r="I113" s="33">
        <f t="shared" si="33"/>
        <v>0</v>
      </c>
      <c r="J113" s="33">
        <f t="shared" si="33"/>
        <v>0</v>
      </c>
      <c r="K113" s="33">
        <f t="shared" si="33"/>
        <v>1</v>
      </c>
      <c r="L113" s="33">
        <f t="shared" si="33"/>
        <v>1</v>
      </c>
      <c r="M113" s="33">
        <f t="shared" si="33"/>
        <v>1</v>
      </c>
      <c r="N113" s="33">
        <f t="shared" si="33"/>
        <v>1</v>
      </c>
      <c r="O113" s="33">
        <f t="shared" si="33"/>
        <v>1</v>
      </c>
    </row>
    <row r="114" spans="1:15">
      <c r="B114" t="str">
        <f>$B$9</f>
        <v>Columbus</v>
      </c>
      <c r="C114" s="34"/>
      <c r="D114" s="33">
        <f t="shared" si="33"/>
        <v>0</v>
      </c>
      <c r="E114" s="33">
        <f t="shared" si="33"/>
        <v>0</v>
      </c>
      <c r="F114" s="33">
        <f t="shared" si="33"/>
        <v>0</v>
      </c>
      <c r="G114" s="33">
        <f t="shared" si="33"/>
        <v>1</v>
      </c>
      <c r="H114" s="33">
        <f t="shared" si="33"/>
        <v>1</v>
      </c>
      <c r="I114" s="33">
        <f t="shared" si="33"/>
        <v>1</v>
      </c>
      <c r="J114" s="33">
        <f t="shared" si="33"/>
        <v>1</v>
      </c>
      <c r="K114" s="33">
        <f t="shared" si="33"/>
        <v>1</v>
      </c>
      <c r="L114" s="33">
        <f t="shared" si="33"/>
        <v>1</v>
      </c>
      <c r="M114" s="33">
        <f t="shared" si="33"/>
        <v>1</v>
      </c>
      <c r="N114" s="33">
        <f t="shared" si="33"/>
        <v>1</v>
      </c>
      <c r="O114" s="33">
        <f t="shared" si="33"/>
        <v>1</v>
      </c>
    </row>
    <row r="115" spans="1:15">
      <c r="B115" t="str">
        <f>$B$10</f>
        <v>Nashville</v>
      </c>
      <c r="C115" s="34"/>
      <c r="D115" s="33">
        <f t="shared" si="33"/>
        <v>0</v>
      </c>
      <c r="E115" s="33">
        <f t="shared" si="33"/>
        <v>0</v>
      </c>
      <c r="F115" s="33">
        <f t="shared" si="33"/>
        <v>0</v>
      </c>
      <c r="G115" s="33">
        <f t="shared" si="33"/>
        <v>0</v>
      </c>
      <c r="H115" s="33">
        <f t="shared" si="33"/>
        <v>1</v>
      </c>
      <c r="I115" s="33">
        <f t="shared" si="33"/>
        <v>1</v>
      </c>
      <c r="J115" s="33">
        <f t="shared" si="33"/>
        <v>1</v>
      </c>
      <c r="K115" s="33">
        <f t="shared" si="33"/>
        <v>1</v>
      </c>
      <c r="L115" s="33">
        <f t="shared" si="33"/>
        <v>1</v>
      </c>
      <c r="M115" s="33">
        <f t="shared" si="33"/>
        <v>1</v>
      </c>
      <c r="N115" s="33">
        <f t="shared" si="33"/>
        <v>1</v>
      </c>
      <c r="O115" s="33">
        <f t="shared" si="33"/>
        <v>1</v>
      </c>
    </row>
    <row r="116" spans="1:15">
      <c r="B116" t="str">
        <f>$B$11</f>
        <v>Oklahoma City</v>
      </c>
      <c r="C116" s="34"/>
      <c r="D116" s="33">
        <f t="shared" si="33"/>
        <v>0</v>
      </c>
      <c r="E116" s="33">
        <f t="shared" si="33"/>
        <v>0</v>
      </c>
      <c r="F116" s="33">
        <f t="shared" si="33"/>
        <v>0</v>
      </c>
      <c r="G116" s="33">
        <f t="shared" si="33"/>
        <v>0</v>
      </c>
      <c r="H116" s="33">
        <f t="shared" si="33"/>
        <v>0</v>
      </c>
      <c r="I116" s="33">
        <f t="shared" si="33"/>
        <v>1</v>
      </c>
      <c r="J116" s="33">
        <f t="shared" si="33"/>
        <v>1</v>
      </c>
      <c r="K116" s="33">
        <f t="shared" si="33"/>
        <v>1</v>
      </c>
      <c r="L116" s="33">
        <f t="shared" si="33"/>
        <v>1</v>
      </c>
      <c r="M116" s="33">
        <f t="shared" si="33"/>
        <v>1</v>
      </c>
      <c r="N116" s="33">
        <f t="shared" si="33"/>
        <v>1</v>
      </c>
      <c r="O116" s="33">
        <f t="shared" si="33"/>
        <v>1</v>
      </c>
    </row>
    <row r="117" spans="1:15">
      <c r="B117" t="str">
        <f>$B$12</f>
        <v>New Orleans</v>
      </c>
      <c r="C117" s="34"/>
      <c r="D117" s="33">
        <f t="shared" si="33"/>
        <v>0</v>
      </c>
      <c r="E117" s="33">
        <f t="shared" si="33"/>
        <v>0</v>
      </c>
      <c r="F117" s="33">
        <f t="shared" si="33"/>
        <v>0</v>
      </c>
      <c r="G117" s="33">
        <f t="shared" si="33"/>
        <v>0</v>
      </c>
      <c r="H117" s="33">
        <f t="shared" si="33"/>
        <v>0</v>
      </c>
      <c r="I117" s="33">
        <f t="shared" si="33"/>
        <v>1</v>
      </c>
      <c r="J117" s="33">
        <f t="shared" si="33"/>
        <v>1</v>
      </c>
      <c r="K117" s="33">
        <f t="shared" si="33"/>
        <v>1</v>
      </c>
      <c r="L117" s="33">
        <f t="shared" si="33"/>
        <v>1</v>
      </c>
      <c r="M117" s="33">
        <f t="shared" si="33"/>
        <v>1</v>
      </c>
      <c r="N117" s="33">
        <f t="shared" si="33"/>
        <v>1</v>
      </c>
      <c r="O117" s="33">
        <f t="shared" si="33"/>
        <v>1</v>
      </c>
    </row>
    <row r="118" spans="1:15">
      <c r="B118" t="str">
        <f>$B$13</f>
        <v>Hartford</v>
      </c>
      <c r="C118" s="34"/>
      <c r="D118" s="33">
        <f t="shared" si="33"/>
        <v>0</v>
      </c>
      <c r="E118" s="33">
        <f t="shared" si="33"/>
        <v>0</v>
      </c>
      <c r="F118" s="33">
        <f t="shared" si="33"/>
        <v>0</v>
      </c>
      <c r="G118" s="33">
        <f t="shared" si="33"/>
        <v>0</v>
      </c>
      <c r="H118" s="33">
        <f t="shared" si="33"/>
        <v>0</v>
      </c>
      <c r="I118" s="33">
        <f t="shared" si="33"/>
        <v>1</v>
      </c>
      <c r="J118" s="33">
        <f t="shared" si="33"/>
        <v>1</v>
      </c>
      <c r="K118" s="33">
        <f t="shared" si="33"/>
        <v>1</v>
      </c>
      <c r="L118" s="33">
        <f t="shared" si="33"/>
        <v>1</v>
      </c>
      <c r="M118" s="33">
        <f t="shared" si="33"/>
        <v>1</v>
      </c>
      <c r="N118" s="33">
        <f t="shared" si="33"/>
        <v>1</v>
      </c>
      <c r="O118" s="33">
        <f t="shared" si="33"/>
        <v>1</v>
      </c>
    </row>
    <row r="119" spans="1:15">
      <c r="B119" t="str">
        <f>$B$14</f>
        <v>Rochester</v>
      </c>
      <c r="C119" s="34"/>
      <c r="D119" s="33">
        <f t="shared" si="33"/>
        <v>0</v>
      </c>
      <c r="E119" s="33">
        <f t="shared" si="33"/>
        <v>0</v>
      </c>
      <c r="F119" s="33">
        <f t="shared" si="33"/>
        <v>0</v>
      </c>
      <c r="G119" s="33">
        <f t="shared" si="33"/>
        <v>0</v>
      </c>
      <c r="H119" s="33">
        <f t="shared" si="33"/>
        <v>0</v>
      </c>
      <c r="I119" s="33">
        <f t="shared" si="33"/>
        <v>0</v>
      </c>
      <c r="J119" s="33">
        <f t="shared" si="33"/>
        <v>1</v>
      </c>
      <c r="K119" s="33">
        <f t="shared" si="33"/>
        <v>1</v>
      </c>
      <c r="L119" s="33">
        <f t="shared" si="33"/>
        <v>1</v>
      </c>
      <c r="M119" s="33">
        <f t="shared" si="33"/>
        <v>1</v>
      </c>
      <c r="N119" s="33">
        <f t="shared" si="33"/>
        <v>1</v>
      </c>
      <c r="O119" s="33">
        <f t="shared" si="33"/>
        <v>1</v>
      </c>
    </row>
    <row r="122" spans="1:15" ht="14.4">
      <c r="A122" s="32" t="s">
        <v>43</v>
      </c>
    </row>
    <row r="124" spans="1:15" ht="14.4">
      <c r="B124" s="1" t="s">
        <v>42</v>
      </c>
      <c r="C124" s="30"/>
      <c r="D124" s="30">
        <f>$D$17</f>
        <v>43466</v>
      </c>
      <c r="E124" s="30">
        <f>$E$17</f>
        <v>43497</v>
      </c>
      <c r="F124" s="30">
        <f>$F$17</f>
        <v>43525</v>
      </c>
      <c r="G124" s="30">
        <f>$G$17</f>
        <v>43556</v>
      </c>
      <c r="H124" s="30">
        <f>$H$17</f>
        <v>43586</v>
      </c>
      <c r="I124" s="30">
        <f>$I$17</f>
        <v>43617</v>
      </c>
      <c r="J124" s="30">
        <f>$J$17</f>
        <v>43647</v>
      </c>
      <c r="K124" s="30">
        <f>$K$17</f>
        <v>43678</v>
      </c>
      <c r="L124" s="30">
        <f>$L$17</f>
        <v>43709</v>
      </c>
      <c r="M124" s="30">
        <f>$M$17</f>
        <v>43739</v>
      </c>
      <c r="N124" s="30">
        <f>$N$17</f>
        <v>43770</v>
      </c>
      <c r="O124" s="30">
        <f>$O$17</f>
        <v>43800</v>
      </c>
    </row>
    <row r="125" spans="1:15" ht="14.4">
      <c r="B125" s="31" t="s">
        <v>11</v>
      </c>
      <c r="D125" s="27">
        <f>INDEX(D$58:D$67,MATCH($B125,$B$110:$B$119,0))*INDEX(D$110:D$119,MATCH($B125,$B$110:$B$119,0))</f>
        <v>0</v>
      </c>
      <c r="E125" s="27">
        <f t="shared" ref="E125:O125" si="34">INDEX(E$58:E$67,MATCH($B125,$B$110:$B$119,0))*INDEX(E$110:E$119,MATCH($B125,$B$110:$B$119,0))</f>
        <v>0</v>
      </c>
      <c r="F125" s="27">
        <f t="shared" si="34"/>
        <v>0</v>
      </c>
      <c r="G125" s="27">
        <f>INDEX(G$58:G$67,MATCH($B125,$B$110:$B$119,0))*INDEX(G$110:G$119,MATCH($B125,$B$110:$B$119,0))</f>
        <v>0</v>
      </c>
      <c r="H125" s="27">
        <f t="shared" si="34"/>
        <v>4399173.6319064246</v>
      </c>
      <c r="I125" s="27">
        <f t="shared" si="34"/>
        <v>4409379.0000000028</v>
      </c>
      <c r="J125" s="27">
        <f t="shared" si="34"/>
        <v>4419608.0428894935</v>
      </c>
      <c r="K125" s="27">
        <f t="shared" si="34"/>
        <v>4429860.8154965797</v>
      </c>
      <c r="L125" s="27">
        <f t="shared" si="34"/>
        <v>4440137.3728703493</v>
      </c>
      <c r="M125" s="27">
        <f t="shared" si="34"/>
        <v>4450437.7701875959</v>
      </c>
      <c r="N125" s="27">
        <f t="shared" si="34"/>
        <v>4460762.0627531167</v>
      </c>
      <c r="O125" s="27">
        <f t="shared" si="34"/>
        <v>4471110.3060000055</v>
      </c>
    </row>
    <row r="126" spans="1:15" ht="14.4">
      <c r="B126" s="31" t="s">
        <v>19</v>
      </c>
      <c r="D126" s="27">
        <f t="shared" ref="D126:O129" si="35">INDEX(D$58:D$67,MATCH($B126,$B$110:$B$119,0))*INDEX(D$110:D$119,MATCH($B126,$B$110:$B$119,0))</f>
        <v>0</v>
      </c>
      <c r="E126" s="27">
        <f t="shared" si="35"/>
        <v>0</v>
      </c>
      <c r="F126" s="27">
        <f t="shared" si="35"/>
        <v>0</v>
      </c>
      <c r="G126" s="27">
        <f t="shared" si="35"/>
        <v>0</v>
      </c>
      <c r="H126" s="27">
        <f t="shared" si="35"/>
        <v>0</v>
      </c>
      <c r="I126" s="27">
        <f t="shared" si="35"/>
        <v>4191879.8585033072</v>
      </c>
      <c r="J126" s="27">
        <f t="shared" si="35"/>
        <v>4215302.8432614915</v>
      </c>
      <c r="K126" s="27">
        <f t="shared" si="35"/>
        <v>4238856.7087303614</v>
      </c>
      <c r="L126" s="27">
        <f t="shared" si="35"/>
        <v>4262542.1862326125</v>
      </c>
      <c r="M126" s="27">
        <f t="shared" si="35"/>
        <v>4286360.011177361</v>
      </c>
      <c r="N126" s="27">
        <f t="shared" si="35"/>
        <v>4310310.9230829682</v>
      </c>
      <c r="O126" s="27">
        <f t="shared" si="35"/>
        <v>4334395.6656000065</v>
      </c>
    </row>
    <row r="127" spans="1:15" ht="14.4">
      <c r="B127" s="31" t="s">
        <v>17</v>
      </c>
      <c r="D127" s="27">
        <f t="shared" si="35"/>
        <v>0</v>
      </c>
      <c r="E127" s="27">
        <f t="shared" si="35"/>
        <v>0</v>
      </c>
      <c r="F127" s="27">
        <f t="shared" si="35"/>
        <v>0</v>
      </c>
      <c r="G127" s="27">
        <f t="shared" si="35"/>
        <v>0</v>
      </c>
      <c r="H127" s="27">
        <f t="shared" si="35"/>
        <v>0</v>
      </c>
      <c r="I127" s="27">
        <f t="shared" si="35"/>
        <v>0</v>
      </c>
      <c r="J127" s="27">
        <f t="shared" si="35"/>
        <v>3006595.6017008871</v>
      </c>
      <c r="K127" s="27">
        <f t="shared" si="35"/>
        <v>3014312.8873095885</v>
      </c>
      <c r="L127" s="27">
        <f t="shared" si="35"/>
        <v>3022049.9815340978</v>
      </c>
      <c r="M127" s="27">
        <f t="shared" si="35"/>
        <v>3029806.9352188818</v>
      </c>
      <c r="N127" s="27">
        <f t="shared" si="35"/>
        <v>3037583.7993389117</v>
      </c>
      <c r="O127" s="27">
        <f t="shared" si="35"/>
        <v>3045380.6250000028</v>
      </c>
    </row>
    <row r="128" spans="1:15" ht="14.4">
      <c r="B128" s="31" t="s">
        <v>15</v>
      </c>
      <c r="D128" s="27">
        <f t="shared" si="35"/>
        <v>0</v>
      </c>
      <c r="E128" s="27">
        <f t="shared" si="35"/>
        <v>0</v>
      </c>
      <c r="F128" s="27">
        <f t="shared" si="35"/>
        <v>0</v>
      </c>
      <c r="G128" s="27">
        <f t="shared" si="35"/>
        <v>0</v>
      </c>
      <c r="H128" s="27">
        <f t="shared" si="35"/>
        <v>0</v>
      </c>
      <c r="I128" s="27">
        <f t="shared" si="35"/>
        <v>0</v>
      </c>
      <c r="J128" s="27">
        <f t="shared" si="35"/>
        <v>0</v>
      </c>
      <c r="K128" s="27">
        <f t="shared" si="35"/>
        <v>4795904.2354130419</v>
      </c>
      <c r="L128" s="27">
        <f t="shared" si="35"/>
        <v>4824256.9151172237</v>
      </c>
      <c r="M128" s="27">
        <f t="shared" si="35"/>
        <v>4852777.2116892468</v>
      </c>
      <c r="N128" s="27">
        <f t="shared" si="35"/>
        <v>4881466.1160553554</v>
      </c>
      <c r="O128" s="27">
        <f t="shared" si="35"/>
        <v>4910324.6250000028</v>
      </c>
    </row>
    <row r="129" spans="2:16" ht="14.4">
      <c r="B129" s="31" t="s">
        <v>13</v>
      </c>
      <c r="D129" s="29">
        <f t="shared" si="35"/>
        <v>0</v>
      </c>
      <c r="E129" s="29">
        <f t="shared" si="35"/>
        <v>0</v>
      </c>
      <c r="F129" s="29">
        <f t="shared" si="35"/>
        <v>0</v>
      </c>
      <c r="G129" s="29">
        <f t="shared" si="35"/>
        <v>2626441.6491563916</v>
      </c>
      <c r="H129" s="29">
        <f t="shared" si="35"/>
        <v>2640052.8458054923</v>
      </c>
      <c r="I129" s="29">
        <f t="shared" si="35"/>
        <v>2653734.5807337435</v>
      </c>
      <c r="J129" s="29">
        <f t="shared" si="35"/>
        <v>2667487.2194967214</v>
      </c>
      <c r="K129" s="29">
        <f t="shared" si="35"/>
        <v>2681311.1295444448</v>
      </c>
      <c r="L129" s="29">
        <f t="shared" si="35"/>
        <v>2695206.6802311987</v>
      </c>
      <c r="M129" s="29">
        <f t="shared" si="35"/>
        <v>2709174.242825395</v>
      </c>
      <c r="N129" s="29">
        <f t="shared" si="35"/>
        <v>2723214.1905195001</v>
      </c>
      <c r="O129" s="29">
        <f t="shared" si="35"/>
        <v>2737326.8984400011</v>
      </c>
    </row>
    <row r="130" spans="2:16" ht="14.4">
      <c r="B130" s="1" t="s">
        <v>41</v>
      </c>
      <c r="D130" s="28">
        <f t="shared" ref="D130:O130" si="36">SUM(D125:D129)</f>
        <v>0</v>
      </c>
      <c r="E130" s="28">
        <f t="shared" si="36"/>
        <v>0</v>
      </c>
      <c r="F130" s="28">
        <f t="shared" si="36"/>
        <v>0</v>
      </c>
      <c r="G130" s="28">
        <f t="shared" si="36"/>
        <v>2626441.6491563916</v>
      </c>
      <c r="H130" s="28">
        <f t="shared" si="36"/>
        <v>7039226.4777119169</v>
      </c>
      <c r="I130" s="28">
        <f t="shared" si="36"/>
        <v>11254993.439237054</v>
      </c>
      <c r="J130" s="28">
        <f t="shared" si="36"/>
        <v>14308993.707348594</v>
      </c>
      <c r="K130" s="28">
        <f t="shared" si="36"/>
        <v>19160245.776494015</v>
      </c>
      <c r="L130" s="28">
        <f t="shared" si="36"/>
        <v>19244193.135985482</v>
      </c>
      <c r="M130" s="28">
        <f t="shared" si="36"/>
        <v>19328556.171098482</v>
      </c>
      <c r="N130" s="28">
        <f t="shared" si="36"/>
        <v>19413337.091749851</v>
      </c>
      <c r="O130" s="28">
        <f t="shared" si="36"/>
        <v>19498538.120040018</v>
      </c>
      <c r="P130" s="27"/>
    </row>
    <row r="132" spans="2:16" ht="14.4">
      <c r="B132" s="1" t="s">
        <v>40</v>
      </c>
      <c r="C132" s="30"/>
      <c r="D132" s="30">
        <f>$D$17</f>
        <v>43466</v>
      </c>
      <c r="E132" s="30">
        <f>$E$17</f>
        <v>43497</v>
      </c>
      <c r="F132" s="30">
        <f>$F$17</f>
        <v>43525</v>
      </c>
      <c r="G132" s="30">
        <f>$G$17</f>
        <v>43556</v>
      </c>
      <c r="H132" s="30">
        <f>$H$17</f>
        <v>43586</v>
      </c>
      <c r="I132" s="30">
        <f>$I$17</f>
        <v>43617</v>
      </c>
      <c r="J132" s="30">
        <f>$J$17</f>
        <v>43647</v>
      </c>
      <c r="K132" s="30">
        <f>$K$17</f>
        <v>43678</v>
      </c>
      <c r="L132" s="30">
        <f>$L$17</f>
        <v>43709</v>
      </c>
      <c r="M132" s="30">
        <f>$M$17</f>
        <v>43739</v>
      </c>
      <c r="N132" s="30">
        <f>$N$17</f>
        <v>43770</v>
      </c>
      <c r="O132" s="30">
        <f>$O$17</f>
        <v>43800</v>
      </c>
    </row>
    <row r="133" spans="2:16">
      <c r="B133" t="str">
        <f>$B$125</f>
        <v>Nashville</v>
      </c>
      <c r="D133" s="27">
        <f>INDEX(D$84:D$93,MATCH($B133,$B$110:$B$119,0))*INDEX(D$110:D$119,MATCH($B133,$B$110:$B$119,0))</f>
        <v>0</v>
      </c>
      <c r="E133" s="27">
        <f t="shared" ref="E133:O133" si="37">INDEX(E$84:E$93,MATCH($B133,$B$110:$B$119,0))*INDEX(E$110:E$119,MATCH($B133,$B$110:$B$119,0))</f>
        <v>0</v>
      </c>
      <c r="F133" s="27">
        <f t="shared" si="37"/>
        <v>0</v>
      </c>
      <c r="G133" s="27">
        <f t="shared" si="37"/>
        <v>0</v>
      </c>
      <c r="H133" s="27">
        <f t="shared" si="37"/>
        <v>1407156.937664628</v>
      </c>
      <c r="I133" s="27">
        <f t="shared" si="37"/>
        <v>1410305.3483769014</v>
      </c>
      <c r="J133" s="27">
        <f t="shared" si="37"/>
        <v>1413460.803427832</v>
      </c>
      <c r="K133" s="27">
        <f t="shared" si="37"/>
        <v>1416623.3185786125</v>
      </c>
      <c r="L133" s="27">
        <f t="shared" si="37"/>
        <v>1419792.9096257002</v>
      </c>
      <c r="M133" s="27">
        <f t="shared" si="37"/>
        <v>1422969.592400895</v>
      </c>
      <c r="N133" s="27">
        <f t="shared" si="37"/>
        <v>1426153.3827714198</v>
      </c>
      <c r="O133" s="27">
        <f t="shared" si="37"/>
        <v>1429344.2966399998</v>
      </c>
    </row>
    <row r="134" spans="2:16">
      <c r="B134" t="str">
        <f>$B$126</f>
        <v>Denver</v>
      </c>
      <c r="D134" s="27">
        <f t="shared" ref="D134:O137" si="38">INDEX(D$84:D$93,MATCH($B134,$B$110:$B$119,0))*INDEX(D$110:D$119,MATCH($B134,$B$110:$B$119,0))</f>
        <v>0</v>
      </c>
      <c r="E134" s="27">
        <f t="shared" si="38"/>
        <v>0</v>
      </c>
      <c r="F134" s="27">
        <f t="shared" si="38"/>
        <v>0</v>
      </c>
      <c r="G134" s="27">
        <f t="shared" si="38"/>
        <v>0</v>
      </c>
      <c r="H134" s="27">
        <f t="shared" si="38"/>
        <v>0</v>
      </c>
      <c r="I134" s="27">
        <f t="shared" si="38"/>
        <v>1720209.348702214</v>
      </c>
      <c r="J134" s="27">
        <f t="shared" si="38"/>
        <v>1730099.4090961611</v>
      </c>
      <c r="K134" s="27">
        <f t="shared" si="38"/>
        <v>1740046.3307638075</v>
      </c>
      <c r="L134" s="27">
        <f t="shared" si="38"/>
        <v>1750050.4406196827</v>
      </c>
      <c r="M134" s="27">
        <f t="shared" si="38"/>
        <v>1760112.067457858</v>
      </c>
      <c r="N134" s="27">
        <f t="shared" si="38"/>
        <v>1770231.5419627531</v>
      </c>
      <c r="O134" s="27">
        <f t="shared" si="38"/>
        <v>1780409.1967200013</v>
      </c>
    </row>
    <row r="135" spans="2:16">
      <c r="B135" t="str">
        <f>$B$127</f>
        <v>St. Louis</v>
      </c>
      <c r="D135" s="27">
        <f t="shared" si="38"/>
        <v>0</v>
      </c>
      <c r="E135" s="27">
        <f t="shared" si="38"/>
        <v>0</v>
      </c>
      <c r="F135" s="27">
        <f t="shared" si="38"/>
        <v>0</v>
      </c>
      <c r="G135" s="27">
        <f t="shared" si="38"/>
        <v>0</v>
      </c>
      <c r="H135" s="27">
        <f t="shared" si="38"/>
        <v>0</v>
      </c>
      <c r="I135" s="27">
        <f t="shared" si="38"/>
        <v>0</v>
      </c>
      <c r="J135" s="27">
        <f t="shared" si="38"/>
        <v>990795.39608677407</v>
      </c>
      <c r="K135" s="27">
        <f t="shared" si="38"/>
        <v>993175.29794310243</v>
      </c>
      <c r="L135" s="27">
        <f t="shared" si="38"/>
        <v>995560.91635086806</v>
      </c>
      <c r="M135" s="27">
        <f t="shared" si="38"/>
        <v>997952.26504129323</v>
      </c>
      <c r="N135" s="27">
        <f t="shared" si="38"/>
        <v>1000349.357778582</v>
      </c>
      <c r="O135" s="27">
        <f t="shared" si="38"/>
        <v>1002752.208360001</v>
      </c>
    </row>
    <row r="136" spans="2:16">
      <c r="B136" t="str">
        <f>$B$128</f>
        <v>San Antonio</v>
      </c>
      <c r="D136" s="27">
        <f t="shared" si="38"/>
        <v>0</v>
      </c>
      <c r="E136" s="27">
        <f t="shared" si="38"/>
        <v>0</v>
      </c>
      <c r="F136" s="27">
        <f t="shared" si="38"/>
        <v>0</v>
      </c>
      <c r="G136" s="27">
        <f t="shared" si="38"/>
        <v>0</v>
      </c>
      <c r="H136" s="27">
        <f t="shared" si="38"/>
        <v>0</v>
      </c>
      <c r="I136" s="27">
        <f t="shared" si="38"/>
        <v>0</v>
      </c>
      <c r="J136" s="27">
        <f t="shared" si="38"/>
        <v>0</v>
      </c>
      <c r="K136" s="27">
        <f t="shared" si="38"/>
        <v>2114265.7164581404</v>
      </c>
      <c r="L136" s="27">
        <f t="shared" si="38"/>
        <v>2127276.9860670562</v>
      </c>
      <c r="M136" s="27">
        <f t="shared" si="38"/>
        <v>2140368.3275115597</v>
      </c>
      <c r="N136" s="27">
        <f t="shared" si="38"/>
        <v>2153540.2335566948</v>
      </c>
      <c r="O136" s="27">
        <f t="shared" si="38"/>
        <v>2166793.2000000016</v>
      </c>
    </row>
    <row r="137" spans="2:16">
      <c r="B137" t="str">
        <f>$B$129</f>
        <v>Columbus</v>
      </c>
      <c r="D137" s="29">
        <f t="shared" si="38"/>
        <v>0</v>
      </c>
      <c r="E137" s="29">
        <f t="shared" si="38"/>
        <v>0</v>
      </c>
      <c r="F137" s="29">
        <f t="shared" si="38"/>
        <v>0</v>
      </c>
      <c r="G137" s="29">
        <f t="shared" si="38"/>
        <v>1261109.9136964681</v>
      </c>
      <c r="H137" s="29">
        <f t="shared" si="38"/>
        <v>1267849.9953996865</v>
      </c>
      <c r="I137" s="29">
        <f t="shared" si="38"/>
        <v>1274626.0998959006</v>
      </c>
      <c r="J137" s="29">
        <f t="shared" si="38"/>
        <v>1281438.4197112061</v>
      </c>
      <c r="K137" s="29">
        <f t="shared" si="38"/>
        <v>1288287.1484006669</v>
      </c>
      <c r="L137" s="29">
        <f t="shared" si="38"/>
        <v>1295172.4805538137</v>
      </c>
      <c r="M137" s="29">
        <f t="shared" si="38"/>
        <v>1302094.6118001738</v>
      </c>
      <c r="N137" s="29">
        <f t="shared" si="38"/>
        <v>1309053.738814828</v>
      </c>
      <c r="O137" s="29">
        <f t="shared" si="38"/>
        <v>1316050.0593240005</v>
      </c>
    </row>
    <row r="138" spans="2:16" ht="14.4">
      <c r="B138" s="1" t="s">
        <v>39</v>
      </c>
      <c r="D138" s="28">
        <f t="shared" ref="D138" si="39">SUM(D133:D137)</f>
        <v>0</v>
      </c>
      <c r="E138" s="28">
        <f t="shared" ref="E138:O138" si="40">SUM(E133:E137)</f>
        <v>0</v>
      </c>
      <c r="F138" s="28">
        <f t="shared" si="40"/>
        <v>0</v>
      </c>
      <c r="G138" s="28">
        <f t="shared" si="40"/>
        <v>1261109.9136964681</v>
      </c>
      <c r="H138" s="28">
        <f t="shared" si="40"/>
        <v>2675006.9330643145</v>
      </c>
      <c r="I138" s="28">
        <f t="shared" si="40"/>
        <v>4405140.7969750166</v>
      </c>
      <c r="J138" s="28">
        <f t="shared" si="40"/>
        <v>5415794.028321973</v>
      </c>
      <c r="K138" s="28">
        <f t="shared" si="40"/>
        <v>7552397.8121443307</v>
      </c>
      <c r="L138" s="28">
        <f t="shared" si="40"/>
        <v>7587853.7332171202</v>
      </c>
      <c r="M138" s="28">
        <f t="shared" si="40"/>
        <v>7623496.8642117791</v>
      </c>
      <c r="N138" s="28">
        <f t="shared" si="40"/>
        <v>7659328.2548842775</v>
      </c>
      <c r="O138" s="28">
        <f t="shared" si="40"/>
        <v>7695348.9610440042</v>
      </c>
      <c r="P138" s="27"/>
    </row>
    <row r="140" spans="2:16" ht="14.4">
      <c r="B140" s="1" t="s">
        <v>38</v>
      </c>
      <c r="C140" s="30"/>
      <c r="D140" s="30">
        <f>$D$17</f>
        <v>43466</v>
      </c>
      <c r="E140" s="30">
        <f>$E$17</f>
        <v>43497</v>
      </c>
      <c r="F140" s="30">
        <f>$F$17</f>
        <v>43525</v>
      </c>
      <c r="G140" s="30">
        <f>$G$17</f>
        <v>43556</v>
      </c>
      <c r="H140" s="30">
        <f>$H$17</f>
        <v>43586</v>
      </c>
      <c r="I140" s="30">
        <f>$I$17</f>
        <v>43617</v>
      </c>
      <c r="J140" s="30">
        <f>$J$17</f>
        <v>43647</v>
      </c>
      <c r="K140" s="30">
        <f>$K$17</f>
        <v>43678</v>
      </c>
      <c r="L140" s="30">
        <f>$L$17</f>
        <v>43709</v>
      </c>
      <c r="M140" s="30">
        <f>$M$17</f>
        <v>43739</v>
      </c>
      <c r="N140" s="30">
        <f>$N$17</f>
        <v>43770</v>
      </c>
      <c r="O140" s="30">
        <f>$O$17</f>
        <v>43800</v>
      </c>
    </row>
    <row r="141" spans="2:16">
      <c r="B141" t="str">
        <f>$B$125</f>
        <v>Nashville</v>
      </c>
      <c r="D141" s="27">
        <f>INDEX(D$97:D$106,MATCH($B141,$B$110:$B$119,0))*INDEX(D$110:D$119,MATCH($B141,$B$110:$B$119,0))</f>
        <v>0</v>
      </c>
      <c r="E141" s="27">
        <f t="shared" ref="E141:O141" si="41">INDEX(E$97:E$106,MATCH($B141,$B$110:$B$119,0))*INDEX(E$110:E$119,MATCH($B141,$B$110:$B$119,0))</f>
        <v>0</v>
      </c>
      <c r="F141" s="27">
        <f t="shared" si="41"/>
        <v>0</v>
      </c>
      <c r="G141" s="27">
        <f t="shared" si="41"/>
        <v>0</v>
      </c>
      <c r="H141" s="27">
        <f t="shared" si="41"/>
        <v>41560.416266773602</v>
      </c>
      <c r="I141" s="27">
        <f t="shared" si="41"/>
        <v>41612.69623564426</v>
      </c>
      <c r="J141" s="27">
        <f t="shared" si="41"/>
        <v>41665.041968898207</v>
      </c>
      <c r="K141" s="27">
        <f t="shared" si="41"/>
        <v>41717.453549262238</v>
      </c>
      <c r="L141" s="27">
        <f t="shared" si="41"/>
        <v>41769.931059567207</v>
      </c>
      <c r="M141" s="27">
        <f t="shared" si="41"/>
        <v>41822.474582748167</v>
      </c>
      <c r="N141" s="27">
        <f t="shared" si="41"/>
        <v>41875.084201844496</v>
      </c>
      <c r="O141" s="27">
        <f t="shared" si="41"/>
        <v>41927.760000000031</v>
      </c>
    </row>
    <row r="142" spans="2:16">
      <c r="B142" t="str">
        <f>$B$126</f>
        <v>Denver</v>
      </c>
      <c r="D142" s="27">
        <f t="shared" ref="D142:O145" si="42">INDEX(D$97:D$106,MATCH($B142,$B$110:$B$119,0))*INDEX(D$110:D$119,MATCH($B142,$B$110:$B$119,0))</f>
        <v>0</v>
      </c>
      <c r="E142" s="27">
        <f t="shared" si="42"/>
        <v>0</v>
      </c>
      <c r="F142" s="27">
        <f t="shared" si="42"/>
        <v>0</v>
      </c>
      <c r="G142" s="27">
        <f t="shared" si="42"/>
        <v>0</v>
      </c>
      <c r="H142" s="27">
        <f t="shared" si="42"/>
        <v>0</v>
      </c>
      <c r="I142" s="27">
        <f t="shared" si="42"/>
        <v>56796.22818462507</v>
      </c>
      <c r="J142" s="27">
        <f t="shared" si="42"/>
        <v>56862.536319726954</v>
      </c>
      <c r="K142" s="27">
        <f t="shared" si="42"/>
        <v>56928.921867870537</v>
      </c>
      <c r="L142" s="27">
        <f t="shared" si="42"/>
        <v>56995.384919433549</v>
      </c>
      <c r="M142" s="27">
        <f t="shared" si="42"/>
        <v>57061.92556489924</v>
      </c>
      <c r="N142" s="27">
        <f t="shared" si="42"/>
        <v>57128.543894856499</v>
      </c>
      <c r="O142" s="27">
        <f t="shared" si="42"/>
        <v>57195.239999999969</v>
      </c>
    </row>
    <row r="143" spans="2:16">
      <c r="B143" t="str">
        <f>$B$127</f>
        <v>St. Louis</v>
      </c>
      <c r="D143" s="27">
        <f t="shared" si="42"/>
        <v>0</v>
      </c>
      <c r="E143" s="27">
        <f t="shared" si="42"/>
        <v>0</v>
      </c>
      <c r="F143" s="27">
        <f t="shared" si="42"/>
        <v>0</v>
      </c>
      <c r="G143" s="27">
        <f t="shared" si="42"/>
        <v>0</v>
      </c>
      <c r="H143" s="27">
        <f t="shared" si="42"/>
        <v>0</v>
      </c>
      <c r="I143" s="27">
        <f t="shared" si="42"/>
        <v>0</v>
      </c>
      <c r="J143" s="27">
        <f t="shared" si="42"/>
        <v>50512.636704716526</v>
      </c>
      <c r="K143" s="27">
        <f t="shared" si="42"/>
        <v>50557.457751631147</v>
      </c>
      <c r="L143" s="27">
        <f t="shared" si="42"/>
        <v>50602.31856931161</v>
      </c>
      <c r="M143" s="27">
        <f t="shared" si="42"/>
        <v>50647.219193047451</v>
      </c>
      <c r="N143" s="27">
        <f t="shared" si="42"/>
        <v>50692.159658159515</v>
      </c>
      <c r="O143" s="27">
        <f t="shared" si="42"/>
        <v>50737.139999999985</v>
      </c>
    </row>
    <row r="144" spans="2:16">
      <c r="B144" t="str">
        <f>$B$128</f>
        <v>San Antonio</v>
      </c>
      <c r="D144" s="27">
        <f t="shared" si="42"/>
        <v>0</v>
      </c>
      <c r="E144" s="27">
        <f t="shared" si="42"/>
        <v>0</v>
      </c>
      <c r="F144" s="27">
        <f t="shared" si="42"/>
        <v>0</v>
      </c>
      <c r="G144" s="27">
        <f t="shared" si="42"/>
        <v>0</v>
      </c>
      <c r="H144" s="27">
        <f t="shared" si="42"/>
        <v>0</v>
      </c>
      <c r="I144" s="27">
        <f t="shared" si="42"/>
        <v>0</v>
      </c>
      <c r="J144" s="27">
        <f t="shared" si="42"/>
        <v>0</v>
      </c>
      <c r="K144" s="27">
        <f t="shared" si="42"/>
        <v>47051.147403243958</v>
      </c>
      <c r="L144" s="27">
        <f t="shared" si="42"/>
        <v>47095.226072769728</v>
      </c>
      <c r="M144" s="27">
        <f t="shared" si="42"/>
        <v>47139.346036274801</v>
      </c>
      <c r="N144" s="27">
        <f t="shared" si="42"/>
        <v>47183.507332444395</v>
      </c>
      <c r="O144" s="27">
        <f t="shared" si="42"/>
        <v>47227.709999999963</v>
      </c>
    </row>
    <row r="145" spans="2:16">
      <c r="B145" t="str">
        <f>$B$129</f>
        <v>Columbus</v>
      </c>
      <c r="D145" s="29">
        <f t="shared" si="42"/>
        <v>0</v>
      </c>
      <c r="E145" s="29">
        <f t="shared" si="42"/>
        <v>0</v>
      </c>
      <c r="F145" s="29">
        <f t="shared" si="42"/>
        <v>0</v>
      </c>
      <c r="G145" s="29">
        <f t="shared" si="42"/>
        <v>43321.542608898126</v>
      </c>
      <c r="H145" s="29">
        <f t="shared" si="42"/>
        <v>43377.105966304269</v>
      </c>
      <c r="I145" s="29">
        <f t="shared" si="42"/>
        <v>43432.7405881784</v>
      </c>
      <c r="J145" s="29">
        <f t="shared" si="42"/>
        <v>43488.446565922917</v>
      </c>
      <c r="K145" s="29">
        <f t="shared" si="42"/>
        <v>43544.22399105745</v>
      </c>
      <c r="L145" s="29">
        <f t="shared" si="42"/>
        <v>43600.072955219024</v>
      </c>
      <c r="M145" s="29">
        <f t="shared" si="42"/>
        <v>43655.99355016218</v>
      </c>
      <c r="N145" s="29">
        <f t="shared" si="42"/>
        <v>43711.985867759147</v>
      </c>
      <c r="O145" s="29">
        <f t="shared" si="42"/>
        <v>43768.049999999996</v>
      </c>
    </row>
    <row r="146" spans="2:16" ht="14.4">
      <c r="B146" s="1" t="s">
        <v>1</v>
      </c>
      <c r="D146" s="28">
        <f t="shared" ref="D146" si="43">SUM(D141:D145)</f>
        <v>0</v>
      </c>
      <c r="E146" s="28">
        <f t="shared" ref="E146:O146" si="44">SUM(E141:E145)</f>
        <v>0</v>
      </c>
      <c r="F146" s="28">
        <f t="shared" si="44"/>
        <v>0</v>
      </c>
      <c r="G146" s="28">
        <f t="shared" si="44"/>
        <v>43321.542608898126</v>
      </c>
      <c r="H146" s="28">
        <f t="shared" si="44"/>
        <v>84937.522233077878</v>
      </c>
      <c r="I146" s="28">
        <f t="shared" si="44"/>
        <v>141841.66500844772</v>
      </c>
      <c r="J146" s="28">
        <f t="shared" si="44"/>
        <v>192528.66155926464</v>
      </c>
      <c r="K146" s="28">
        <f t="shared" si="44"/>
        <v>239799.20456306534</v>
      </c>
      <c r="L146" s="28">
        <f t="shared" si="44"/>
        <v>240062.93357630112</v>
      </c>
      <c r="M146" s="28">
        <f t="shared" si="44"/>
        <v>240326.95892713184</v>
      </c>
      <c r="N146" s="28">
        <f t="shared" si="44"/>
        <v>240591.28095506405</v>
      </c>
      <c r="O146" s="28">
        <f t="shared" si="44"/>
        <v>240855.89999999994</v>
      </c>
      <c r="P146" s="27"/>
    </row>
    <row r="148" spans="2:16" ht="14.4">
      <c r="B148" s="1" t="s">
        <v>37</v>
      </c>
      <c r="C148" s="30"/>
      <c r="D148" s="30">
        <f>$D$17</f>
        <v>43466</v>
      </c>
      <c r="E148" s="30">
        <f>$E$17</f>
        <v>43497</v>
      </c>
      <c r="F148" s="30">
        <f>$F$17</f>
        <v>43525</v>
      </c>
      <c r="G148" s="30">
        <f>$G$17</f>
        <v>43556</v>
      </c>
      <c r="H148" s="30">
        <f>$H$17</f>
        <v>43586</v>
      </c>
      <c r="I148" s="30">
        <f>$I$17</f>
        <v>43617</v>
      </c>
      <c r="J148" s="30">
        <f>$J$17</f>
        <v>43647</v>
      </c>
      <c r="K148" s="30">
        <f>$K$17</f>
        <v>43678</v>
      </c>
      <c r="L148" s="30">
        <f>$L$17</f>
        <v>43709</v>
      </c>
      <c r="M148" s="30">
        <f>$M$17</f>
        <v>43739</v>
      </c>
      <c r="N148" s="30">
        <f>$N$17</f>
        <v>43770</v>
      </c>
      <c r="O148" s="30">
        <f>$O$17</f>
        <v>43800</v>
      </c>
    </row>
    <row r="149" spans="2:16">
      <c r="B149" t="str">
        <f>$B$125</f>
        <v>Nashville</v>
      </c>
      <c r="D149" s="27">
        <f t="shared" ref="D149:O153" si="45">D125-D133-D141</f>
        <v>0</v>
      </c>
      <c r="E149" s="27">
        <f t="shared" si="45"/>
        <v>0</v>
      </c>
      <c r="F149" s="27">
        <f t="shared" si="45"/>
        <v>0</v>
      </c>
      <c r="G149" s="27">
        <f t="shared" si="45"/>
        <v>0</v>
      </c>
      <c r="H149" s="27">
        <f t="shared" si="45"/>
        <v>2950456.2779750228</v>
      </c>
      <c r="I149" s="27">
        <f t="shared" si="45"/>
        <v>2957460.9553874573</v>
      </c>
      <c r="J149" s="27">
        <f t="shared" si="45"/>
        <v>2964482.1974927629</v>
      </c>
      <c r="K149" s="27">
        <f t="shared" si="45"/>
        <v>2971520.0433687051</v>
      </c>
      <c r="L149" s="27">
        <f t="shared" si="45"/>
        <v>2978574.5321850819</v>
      </c>
      <c r="M149" s="27">
        <f t="shared" si="45"/>
        <v>2985645.7032039529</v>
      </c>
      <c r="N149" s="27">
        <f t="shared" si="45"/>
        <v>2992733.5957798525</v>
      </c>
      <c r="O149" s="27">
        <f t="shared" si="45"/>
        <v>2999838.2493600054</v>
      </c>
    </row>
    <row r="150" spans="2:16">
      <c r="B150" t="str">
        <f>$B$126</f>
        <v>Denver</v>
      </c>
      <c r="D150" s="27">
        <f t="shared" si="45"/>
        <v>0</v>
      </c>
      <c r="E150" s="27">
        <f t="shared" si="45"/>
        <v>0</v>
      </c>
      <c r="F150" s="27">
        <f t="shared" si="45"/>
        <v>0</v>
      </c>
      <c r="G150" s="27">
        <f t="shared" si="45"/>
        <v>0</v>
      </c>
      <c r="H150" s="27">
        <f t="shared" si="45"/>
        <v>0</v>
      </c>
      <c r="I150" s="27">
        <f t="shared" si="45"/>
        <v>2414874.2816164684</v>
      </c>
      <c r="J150" s="27">
        <f t="shared" si="45"/>
        <v>2428340.8978456035</v>
      </c>
      <c r="K150" s="27">
        <f t="shared" si="45"/>
        <v>2441881.4560986832</v>
      </c>
      <c r="L150" s="27">
        <f t="shared" si="45"/>
        <v>2455496.3606934962</v>
      </c>
      <c r="M150" s="27">
        <f t="shared" si="45"/>
        <v>2469186.0181546039</v>
      </c>
      <c r="N150" s="27">
        <f t="shared" si="45"/>
        <v>2482950.8372253585</v>
      </c>
      <c r="O150" s="27">
        <f t="shared" si="45"/>
        <v>2496791.2288800054</v>
      </c>
    </row>
    <row r="151" spans="2:16">
      <c r="B151" t="str">
        <f>$B$127</f>
        <v>St. Louis</v>
      </c>
      <c r="D151" s="27">
        <f t="shared" si="45"/>
        <v>0</v>
      </c>
      <c r="E151" s="27">
        <f t="shared" si="45"/>
        <v>0</v>
      </c>
      <c r="F151" s="27">
        <f t="shared" si="45"/>
        <v>0</v>
      </c>
      <c r="G151" s="27">
        <f t="shared" si="45"/>
        <v>0</v>
      </c>
      <c r="H151" s="27">
        <f t="shared" si="45"/>
        <v>0</v>
      </c>
      <c r="I151" s="27">
        <f t="shared" si="45"/>
        <v>0</v>
      </c>
      <c r="J151" s="27">
        <f t="shared" si="45"/>
        <v>1965287.5689093964</v>
      </c>
      <c r="K151" s="27">
        <f t="shared" si="45"/>
        <v>1970580.131614855</v>
      </c>
      <c r="L151" s="27">
        <f t="shared" si="45"/>
        <v>1975886.7466139181</v>
      </c>
      <c r="M151" s="27">
        <f t="shared" si="45"/>
        <v>1981207.4509845413</v>
      </c>
      <c r="N151" s="27">
        <f t="shared" si="45"/>
        <v>1986542.28190217</v>
      </c>
      <c r="O151" s="27">
        <f t="shared" si="45"/>
        <v>1991891.2766400019</v>
      </c>
    </row>
    <row r="152" spans="2:16">
      <c r="B152" t="str">
        <f>$B$128</f>
        <v>San Antonio</v>
      </c>
      <c r="D152" s="27">
        <f t="shared" si="45"/>
        <v>0</v>
      </c>
      <c r="E152" s="27">
        <f t="shared" si="45"/>
        <v>0</v>
      </c>
      <c r="F152" s="27">
        <f t="shared" si="45"/>
        <v>0</v>
      </c>
      <c r="G152" s="27">
        <f t="shared" si="45"/>
        <v>0</v>
      </c>
      <c r="H152" s="27">
        <f t="shared" si="45"/>
        <v>0</v>
      </c>
      <c r="I152" s="27">
        <f t="shared" si="45"/>
        <v>0</v>
      </c>
      <c r="J152" s="27">
        <f t="shared" si="45"/>
        <v>0</v>
      </c>
      <c r="K152" s="27">
        <f t="shared" si="45"/>
        <v>2634587.3715516576</v>
      </c>
      <c r="L152" s="27">
        <f t="shared" si="45"/>
        <v>2649884.7029773979</v>
      </c>
      <c r="M152" s="27">
        <f t="shared" si="45"/>
        <v>2665269.5381414122</v>
      </c>
      <c r="N152" s="27">
        <f t="shared" si="45"/>
        <v>2680742.3751662164</v>
      </c>
      <c r="O152" s="27">
        <f t="shared" si="45"/>
        <v>2696303.7150000012</v>
      </c>
    </row>
    <row r="153" spans="2:16">
      <c r="B153" t="str">
        <f>$B$129</f>
        <v>Columbus</v>
      </c>
      <c r="D153" s="29">
        <f t="shared" si="45"/>
        <v>0</v>
      </c>
      <c r="E153" s="29">
        <f t="shared" si="45"/>
        <v>0</v>
      </c>
      <c r="F153" s="29">
        <f t="shared" si="45"/>
        <v>0</v>
      </c>
      <c r="G153" s="29">
        <f t="shared" si="45"/>
        <v>1322010.1928510254</v>
      </c>
      <c r="H153" s="29">
        <f t="shared" si="45"/>
        <v>1328825.7444395015</v>
      </c>
      <c r="I153" s="29">
        <f t="shared" si="45"/>
        <v>1335675.7402496645</v>
      </c>
      <c r="J153" s="29">
        <f t="shared" si="45"/>
        <v>1342560.3532195925</v>
      </c>
      <c r="K153" s="29">
        <f t="shared" si="45"/>
        <v>1349479.7571527206</v>
      </c>
      <c r="L153" s="29">
        <f t="shared" si="45"/>
        <v>1356434.1267221658</v>
      </c>
      <c r="M153" s="29">
        <f t="shared" si="45"/>
        <v>1363423.6374750589</v>
      </c>
      <c r="N153" s="29">
        <f t="shared" si="45"/>
        <v>1370448.4658369129</v>
      </c>
      <c r="O153" s="29">
        <f t="shared" si="45"/>
        <v>1377508.7891160005</v>
      </c>
    </row>
    <row r="154" spans="2:16" ht="14.4">
      <c r="B154" s="1" t="s">
        <v>36</v>
      </c>
      <c r="D154" s="28">
        <f t="shared" ref="D154:O154" si="46">SUM(D149:D153)</f>
        <v>0</v>
      </c>
      <c r="E154" s="28">
        <f t="shared" si="46"/>
        <v>0</v>
      </c>
      <c r="F154" s="28">
        <f t="shared" si="46"/>
        <v>0</v>
      </c>
      <c r="G154" s="28">
        <f t="shared" si="46"/>
        <v>1322010.1928510254</v>
      </c>
      <c r="H154" s="28">
        <f t="shared" si="46"/>
        <v>4279282.0224145241</v>
      </c>
      <c r="I154" s="28">
        <f t="shared" si="46"/>
        <v>6708010.9772535907</v>
      </c>
      <c r="J154" s="28">
        <f t="shared" si="46"/>
        <v>8700671.0174673554</v>
      </c>
      <c r="K154" s="28">
        <f t="shared" si="46"/>
        <v>11368048.759786621</v>
      </c>
      <c r="L154" s="28">
        <f t="shared" si="46"/>
        <v>11416276.46919206</v>
      </c>
      <c r="M154" s="28">
        <f t="shared" si="46"/>
        <v>11464732.347959569</v>
      </c>
      <c r="N154" s="28">
        <f t="shared" si="46"/>
        <v>11513417.555910509</v>
      </c>
      <c r="O154" s="28">
        <f t="shared" si="46"/>
        <v>11562333.258996015</v>
      </c>
      <c r="P154" s="27"/>
    </row>
  </sheetData>
  <mergeCells count="1">
    <mergeCell ref="D1:P2"/>
  </mergeCells>
  <dataValidations count="2">
    <dataValidation type="list" allowBlank="1" showInputMessage="1" showErrorMessage="1" sqref="B125:B129" xr:uid="{A6766E28-3F39-459A-AF70-C8A0E3136821}">
      <formula1>$B$5:$B$14</formula1>
    </dataValidation>
    <dataValidation type="list" allowBlank="1" showInputMessage="1" showErrorMessage="1" sqref="A5:A14" xr:uid="{2C2ECC84-155E-45AA-B367-09AB7214482C}">
      <formula1>$D$17:$P$17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Calculations</vt:lpstr>
      <vt:lpstr>CaseData</vt:lpstr>
      <vt:lpstr>CaseSolution</vt:lpstr>
      <vt:lpstr>cities</vt:lpstr>
      <vt:lpstr>company</vt:lpstr>
      <vt:lpstr>months</vt:lpstr>
      <vt:lpstr>start_date</vt:lpstr>
      <vt:lpstr>states</vt:lpstr>
    </vt:vector>
  </TitlesOfParts>
  <Company>The Marquee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Schnoor</dc:creator>
  <cp:lastModifiedBy>Luc Nicod</cp:lastModifiedBy>
  <cp:lastPrinted>2026-10-07T23:08:29Z</cp:lastPrinted>
  <dcterms:created xsi:type="dcterms:W3CDTF">2018-05-21T22:41:19Z</dcterms:created>
  <dcterms:modified xsi:type="dcterms:W3CDTF">2026-10-08T22:02:53Z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a5a5f50-0881-436f-9c49-8a41d790817e_Enabled">
    <vt:lpwstr>true</vt:lpwstr>
  </property>
  <property fmtid="{D5CDD505-2E9C-101B-9397-08002B2CF9AE}" pid="3" name="MSIP_Label_da5a5f50-0881-436f-9c49-8a41d790817e_SetDate">
    <vt:lpwstr>2026-10-07T09:58:31Z</vt:lpwstr>
  </property>
  <property fmtid="{D5CDD505-2E9C-101B-9397-08002B2CF9AE}" pid="4" name="MSIP_Label_da5a5f50-0881-436f-9c49-8a41d790817e_Method">
    <vt:lpwstr>Privileged</vt:lpwstr>
  </property>
  <property fmtid="{D5CDD505-2E9C-101B-9397-08002B2CF9AE}" pid="5" name="MSIP_Label_da5a5f50-0881-436f-9c49-8a41d790817e_Name">
    <vt:lpwstr>L1</vt:lpwstr>
  </property>
  <property fmtid="{D5CDD505-2E9C-101B-9397-08002B2CF9AE}" pid="6" name="MSIP_Label_da5a5f50-0881-436f-9c49-8a41d790817e_SiteId">
    <vt:lpwstr>02e3c4d5-27fd-43fe-8203-97710d02fae4</vt:lpwstr>
  </property>
  <property fmtid="{D5CDD505-2E9C-101B-9397-08002B2CF9AE}" pid="7" name="MSIP_Label_da5a5f50-0881-436f-9c49-8a41d790817e_ActionId">
    <vt:lpwstr>12dcd2b5-df11-4bed-9d15-463f0ab276fc</vt:lpwstr>
  </property>
  <property fmtid="{D5CDD505-2E9C-101B-9397-08002B2CF9AE}" pid="8" name="MSIP_Label_da5a5f50-0881-436f-9c49-8a41d790817e_ContentBits">
    <vt:lpwstr>0</vt:lpwstr>
  </property>
  <property fmtid="{D5CDD505-2E9C-101B-9397-08002B2CF9AE}" pid="9" name="MSIP_Label_da5a5f50-0881-436f-9c49-8a41d790817e_Tag">
    <vt:lpwstr>10, 0, 1, 1</vt:lpwstr>
  </property>
</Properties>
</file>