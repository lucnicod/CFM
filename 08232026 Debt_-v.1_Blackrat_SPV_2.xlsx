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25"/>
  <workbookPr filterPrivacy="1" defaultThemeVersion="124226"/>
  <xr:revisionPtr revIDLastSave="2991" documentId="8_{680C4CB0-F1DD-419F-BDA5-9E30BF36474A}" xr6:coauthVersionLast="47" xr6:coauthVersionMax="47" xr10:uidLastSave="{9C2953B3-1B7A-4C98-A005-7BC0333EB9AA}"/>
  <bookViews>
    <workbookView xWindow="28692" yWindow="-108" windowWidth="29016" windowHeight="16416" xr2:uid="{00000000-000D-0000-FFFF-FFFF00000000}"/>
  </bookViews>
  <sheets>
    <sheet name="Debt" sheetId="36" r:id="rId1"/>
    <sheet name="CaseData" sheetId="23" r:id="rId2"/>
    <sheet name="CaseSolution" sheetId="35" r:id="rId3"/>
  </sheets>
  <definedNames>
    <definedName name="company">CaseData!$D$133</definedName>
    <definedName name="ebidta_profiles">_xlfn.ANCHORARRAY(CaseData!$D$137)</definedName>
    <definedName name="ebidta_selector">Debt!$H$3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periods">CaseData!$G$32</definedName>
    <definedName name="_xlnm.Print_Titles" localSheetId="0">Debt!$1:$4</definedName>
    <definedName name="start_date">CaseData!$G$30</definedName>
    <definedName name="topic">"CFM Topic: " &amp; CaseData!$D$134</definedName>
  </definedNames>
  <calcPr calcId="191029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8" i="36" l="1" a="1"/>
  <c r="J3" i="36" a="1"/>
  <c r="G31" i="23"/>
  <c r="D89" i="23"/>
  <c r="D90" i="23"/>
  <c r="D91" i="23"/>
  <c r="F51" i="36"/>
  <c r="F50" i="36"/>
  <c r="I59" i="36"/>
  <c r="J54" i="36"/>
  <c r="F63" i="36"/>
  <c r="F64" i="36"/>
  <c r="J65" i="36"/>
  <c r="D42" i="23"/>
  <c r="D43" i="23"/>
  <c r="D44" i="23"/>
  <c r="D45" i="23"/>
  <c r="F70" i="36"/>
  <c r="I74" i="36"/>
  <c r="J72" i="36"/>
  <c r="F78" i="36"/>
  <c r="F79" i="36"/>
  <c r="J80" i="36"/>
  <c r="J40" i="36"/>
  <c r="J39" i="36"/>
  <c r="F95" i="36"/>
  <c r="F96" i="36"/>
  <c r="J9" i="36"/>
  <c r="J12" i="36"/>
  <c r="F85" i="36"/>
  <c r="I91" i="36"/>
  <c r="J87" i="36"/>
  <c r="J97" i="36"/>
  <c r="J113" i="36"/>
  <c r="F36" i="36"/>
  <c r="I89" i="36"/>
  <c r="G89" i="36"/>
  <c r="E89" i="36"/>
  <c r="I90" i="36"/>
  <c r="G90" i="36"/>
  <c r="E90" i="36"/>
  <c r="I28" i="36"/>
  <c r="G28" i="36"/>
  <c r="E28" i="36"/>
  <c r="I115" i="36"/>
  <c r="G115" i="36"/>
  <c r="E115" i="36"/>
  <c r="I114" i="36"/>
  <c r="G114" i="36"/>
  <c r="E114" i="36"/>
  <c r="I111" i="36"/>
  <c r="G26" i="36"/>
  <c r="G111" i="36"/>
  <c r="E111" i="36"/>
  <c r="I88" i="36"/>
  <c r="G88" i="36"/>
  <c r="E88" i="36"/>
  <c r="I25" i="36"/>
  <c r="G25" i="36"/>
  <c r="E25" i="36"/>
  <c r="E22" i="36"/>
  <c r="I105" i="36"/>
  <c r="G105" i="36"/>
  <c r="E105" i="36"/>
  <c r="I99" i="36"/>
  <c r="G99" i="36"/>
  <c r="E99" i="36"/>
  <c r="G19" i="36"/>
  <c r="E19" i="36"/>
  <c r="I57" i="36"/>
  <c r="G57" i="36"/>
  <c r="E57" i="36"/>
  <c r="I55" i="36"/>
  <c r="G55" i="36"/>
  <c r="E55" i="36"/>
  <c r="I39" i="36"/>
  <c r="G39" i="36"/>
  <c r="E39" i="36"/>
  <c r="I40" i="36"/>
  <c r="G40" i="36"/>
  <c r="E40" i="36"/>
  <c r="I41" i="36"/>
  <c r="G41" i="36"/>
  <c r="E41" i="36"/>
  <c r="I12" i="36"/>
  <c r="G12" i="36"/>
  <c r="E12" i="36"/>
  <c r="I13" i="36"/>
  <c r="G13" i="36"/>
  <c r="E13" i="36"/>
  <c r="I9" i="36"/>
  <c r="G9" i="36"/>
  <c r="E9" i="36"/>
  <c r="D137" i="23" a="1"/>
  <c r="M87" i="23" a="1"/>
  <c r="J140" i="36" a="1"/>
  <c r="J139" i="36" a="1"/>
  <c r="F136" i="36"/>
  <c r="J137" i="36" a="1"/>
  <c r="J2" i="36" a="1"/>
  <c r="F135" i="36"/>
  <c r="A2" i="36" a="1"/>
  <c r="A1" i="36" a="1"/>
  <c r="J94" i="35"/>
  <c r="H78" i="35"/>
  <c r="AV78" i="35"/>
  <c r="AU78" i="35"/>
  <c r="AS78" i="35"/>
  <c r="AP78" i="35"/>
  <c r="AO78" i="35"/>
  <c r="AN78" i="35"/>
  <c r="AK78" i="35"/>
  <c r="AJ78" i="35"/>
  <c r="AH78" i="35"/>
  <c r="AD78" i="35"/>
  <c r="AC78" i="35"/>
  <c r="AB78" i="35"/>
  <c r="AA78" i="35"/>
  <c r="V78" i="35"/>
  <c r="U78" i="35"/>
  <c r="R78" i="35"/>
  <c r="Q78" i="35"/>
  <c r="P78" i="35"/>
  <c r="O78" i="35"/>
  <c r="M78" i="35"/>
  <c r="K78" i="35"/>
  <c r="J78" i="35"/>
  <c r="I76" i="35"/>
  <c r="J72" i="35"/>
  <c r="H68" i="35"/>
  <c r="H65" i="35"/>
  <c r="N65" i="35"/>
  <c r="I63" i="35"/>
  <c r="J58" i="35"/>
  <c r="H52" i="35"/>
  <c r="AU52" i="35"/>
  <c r="AT52" i="35"/>
  <c r="AR52" i="35"/>
  <c r="AG52" i="35"/>
  <c r="AF52" i="35"/>
  <c r="AE52" i="35"/>
  <c r="AC52" i="35"/>
  <c r="AB52" i="35"/>
  <c r="Z52" i="35"/>
  <c r="V52" i="35"/>
  <c r="U52" i="35"/>
  <c r="T52" i="35"/>
  <c r="S52" i="35"/>
  <c r="M52" i="35"/>
  <c r="L52" i="35"/>
  <c r="K52" i="35"/>
  <c r="J52" i="35"/>
  <c r="H40" i="35"/>
  <c r="K40" i="35"/>
  <c r="I38" i="35"/>
  <c r="J36" i="35"/>
  <c r="J4" i="35"/>
  <c r="K4" i="35"/>
  <c r="L4" i="35"/>
  <c r="M4" i="35"/>
  <c r="N4" i="35"/>
  <c r="O4" i="35"/>
  <c r="P4" i="35"/>
  <c r="Q4" i="35"/>
  <c r="R4" i="35"/>
  <c r="S4" i="35"/>
  <c r="T4" i="35"/>
  <c r="U4" i="35"/>
  <c r="V4" i="35"/>
  <c r="W4" i="35"/>
  <c r="X4" i="35"/>
  <c r="Y4" i="35"/>
  <c r="Z4" i="35"/>
  <c r="AA4" i="35"/>
  <c r="AB4" i="35"/>
  <c r="AC4" i="35"/>
  <c r="AD4" i="35"/>
  <c r="AE4" i="35"/>
  <c r="AF4" i="35"/>
  <c r="AG4" i="35"/>
  <c r="AH4" i="35"/>
  <c r="AI4" i="35"/>
  <c r="AJ4" i="35"/>
  <c r="AK4" i="35"/>
  <c r="AL4" i="35"/>
  <c r="AM4" i="35"/>
  <c r="AN4" i="35"/>
  <c r="AO4" i="35"/>
  <c r="AP4" i="35"/>
  <c r="AQ4" i="35"/>
  <c r="AR4" i="35"/>
  <c r="AS4" i="35"/>
  <c r="AT4" i="35"/>
  <c r="AU4" i="35"/>
  <c r="AV4" i="35"/>
  <c r="AW4" i="35"/>
  <c r="I3" i="35"/>
  <c r="J17" i="23"/>
  <c r="H20" i="23"/>
  <c r="J65" i="35"/>
  <c r="J66" i="35"/>
  <c r="J10" i="35"/>
  <c r="AP65" i="35"/>
  <c r="V65" i="35"/>
  <c r="AF65" i="35"/>
  <c r="K65" i="35"/>
  <c r="AQ65" i="35"/>
  <c r="U65" i="35"/>
  <c r="AA65" i="35"/>
  <c r="AV65" i="35"/>
  <c r="X65" i="35"/>
  <c r="AU65" i="35"/>
  <c r="W65" i="35"/>
  <c r="AT65" i="35"/>
  <c r="T65" i="35"/>
  <c r="AJ65" i="35"/>
  <c r="L65" i="35"/>
  <c r="AO65" i="35"/>
  <c r="M65" i="35"/>
  <c r="AN65" i="35"/>
  <c r="R65" i="35"/>
  <c r="Q65" i="35"/>
  <c r="P65" i="35"/>
  <c r="AB65" i="35"/>
  <c r="Z65" i="35"/>
  <c r="Y65" i="35"/>
  <c r="S65" i="35"/>
  <c r="AR65" i="35"/>
  <c r="AM65" i="35"/>
  <c r="AI65" i="35"/>
  <c r="AH65" i="35"/>
  <c r="AG65" i="35"/>
  <c r="AE65" i="35"/>
  <c r="AL65" i="35"/>
  <c r="AK65" i="35"/>
  <c r="AW65" i="35"/>
  <c r="AD65" i="35"/>
  <c r="AS65" i="35"/>
  <c r="AC65" i="35"/>
  <c r="O65" i="35"/>
  <c r="AI40" i="35"/>
  <c r="O40" i="35"/>
  <c r="AQ40" i="35"/>
  <c r="V40" i="35"/>
  <c r="AF40" i="35"/>
  <c r="J40" i="35"/>
  <c r="J41" i="35"/>
  <c r="AR40" i="35"/>
  <c r="T40" i="35"/>
  <c r="AP40" i="35"/>
  <c r="S40" i="35"/>
  <c r="AO40" i="35"/>
  <c r="R40" i="35"/>
  <c r="AE40" i="35"/>
  <c r="AA40" i="35"/>
  <c r="Z40" i="35"/>
  <c r="AD40" i="35"/>
  <c r="AC40" i="35"/>
  <c r="AB40" i="35"/>
  <c r="AN40" i="35"/>
  <c r="AM40" i="35"/>
  <c r="AL40" i="35"/>
  <c r="AK40" i="35"/>
  <c r="U40" i="35"/>
  <c r="Q40" i="35"/>
  <c r="P40" i="35"/>
  <c r="N40" i="35"/>
  <c r="M40" i="35"/>
  <c r="AV40" i="35"/>
  <c r="AT40" i="35"/>
  <c r="AS40" i="35"/>
  <c r="AU40" i="35"/>
  <c r="AJ40" i="35"/>
  <c r="AG40" i="35"/>
  <c r="Y40" i="35"/>
  <c r="W40" i="35"/>
  <c r="L40" i="35"/>
  <c r="AW40" i="35"/>
  <c r="AH40" i="35"/>
  <c r="X40" i="35"/>
  <c r="J2" i="35"/>
  <c r="J3" i="35"/>
  <c r="J79" i="35"/>
  <c r="AS52" i="35"/>
  <c r="Y52" i="35"/>
  <c r="AK52" i="35"/>
  <c r="P52" i="35"/>
  <c r="AV52" i="35"/>
  <c r="AA52" i="35"/>
  <c r="AM52" i="35"/>
  <c r="O52" i="35"/>
  <c r="AP52" i="35"/>
  <c r="R52" i="35"/>
  <c r="AO52" i="35"/>
  <c r="Q52" i="35"/>
  <c r="AN52" i="35"/>
  <c r="N52" i="35"/>
  <c r="AD52" i="35"/>
  <c r="AI52" i="35"/>
  <c r="AH52" i="35"/>
  <c r="AQ52" i="35"/>
  <c r="AL52" i="35"/>
  <c r="AJ52" i="35"/>
  <c r="AW52" i="35"/>
  <c r="W52" i="35"/>
  <c r="X52" i="35"/>
  <c r="AM78" i="35"/>
  <c r="S78" i="35"/>
  <c r="AT78" i="35"/>
  <c r="Y78" i="35"/>
  <c r="AI78" i="35"/>
  <c r="N78" i="35"/>
  <c r="AE78" i="35"/>
  <c r="AQ78" i="35"/>
  <c r="T78" i="35"/>
  <c r="Z78" i="35"/>
  <c r="X78" i="35"/>
  <c r="AW78" i="35"/>
  <c r="W78" i="35"/>
  <c r="AL78" i="35"/>
  <c r="L78" i="35"/>
  <c r="AG78" i="35"/>
  <c r="AF78" i="35"/>
  <c r="AR78" i="35"/>
  <c r="J14" i="35"/>
  <c r="J47" i="35"/>
  <c r="K3" i="35"/>
  <c r="J85" i="35"/>
  <c r="J13" i="35"/>
  <c r="J9" i="35"/>
  <c r="K2" i="35"/>
  <c r="J46" i="35"/>
  <c r="J45" i="35"/>
  <c r="J11" i="35"/>
  <c r="J15" i="35"/>
  <c r="J37" i="35"/>
  <c r="L3" i="35"/>
  <c r="K85" i="35"/>
  <c r="K13" i="35"/>
  <c r="K9" i="35"/>
  <c r="K45" i="35"/>
  <c r="L2" i="35"/>
  <c r="K37" i="35"/>
  <c r="M3" i="35"/>
  <c r="L85" i="35"/>
  <c r="L13" i="35"/>
  <c r="L9" i="35"/>
  <c r="M2" i="35"/>
  <c r="J44" i="35"/>
  <c r="J38" i="35"/>
  <c r="J48" i="35"/>
  <c r="K48" i="35"/>
  <c r="J17" i="35"/>
  <c r="J50" i="35"/>
  <c r="J53" i="35"/>
  <c r="J19" i="35"/>
  <c r="J59" i="35"/>
  <c r="J68" i="35"/>
  <c r="J20" i="35"/>
  <c r="J60" i="35"/>
  <c r="J54" i="35"/>
  <c r="J21" i="35"/>
  <c r="J61" i="35"/>
  <c r="J62" i="35"/>
  <c r="J63" i="35"/>
  <c r="K58" i="35"/>
  <c r="K66" i="35"/>
  <c r="K10" i="35"/>
  <c r="K46" i="35"/>
  <c r="K36" i="35"/>
  <c r="K41" i="35"/>
  <c r="K47" i="35"/>
  <c r="K50" i="35"/>
  <c r="K53" i="35"/>
  <c r="L45" i="35"/>
  <c r="K11" i="35"/>
  <c r="K14" i="35"/>
  <c r="K15" i="35"/>
  <c r="K17" i="35"/>
  <c r="K19" i="35"/>
  <c r="K59" i="35"/>
  <c r="K38" i="35"/>
  <c r="K68" i="35"/>
  <c r="K20" i="35"/>
  <c r="K60" i="35"/>
  <c r="K54" i="35"/>
  <c r="K21" i="35"/>
  <c r="K61" i="35"/>
  <c r="K62" i="35"/>
  <c r="K63" i="35"/>
  <c r="L58" i="35"/>
  <c r="L66" i="35"/>
  <c r="L10" i="35"/>
  <c r="L46" i="35"/>
  <c r="L36" i="35"/>
  <c r="L41" i="35"/>
  <c r="L47" i="35"/>
  <c r="L37" i="35"/>
  <c r="L48" i="35"/>
  <c r="L50" i="35"/>
  <c r="L53" i="35"/>
  <c r="L11" i="35"/>
  <c r="L14" i="35"/>
  <c r="L15" i="35"/>
  <c r="L17" i="35"/>
  <c r="L19" i="35"/>
  <c r="L59" i="35"/>
  <c r="L38" i="35"/>
  <c r="L68" i="35"/>
  <c r="L20" i="35"/>
  <c r="L60" i="35"/>
  <c r="L54" i="35"/>
  <c r="L21" i="35"/>
  <c r="L61" i="35"/>
  <c r="L62" i="35"/>
  <c r="L63" i="35"/>
  <c r="M58" i="35"/>
  <c r="M66" i="35"/>
  <c r="M10" i="35"/>
  <c r="M46" i="35"/>
  <c r="N3" i="35"/>
  <c r="M36" i="35"/>
  <c r="M13" i="35"/>
  <c r="M37" i="35"/>
  <c r="M38" i="35"/>
  <c r="M68" i="35"/>
  <c r="O3" i="35"/>
  <c r="P3" i="35"/>
  <c r="Q3" i="35"/>
  <c r="R3" i="35"/>
  <c r="S3" i="35"/>
  <c r="T3" i="35"/>
  <c r="U3" i="35"/>
  <c r="V3" i="35"/>
  <c r="W3" i="35"/>
  <c r="X3" i="35"/>
  <c r="Y3" i="35"/>
  <c r="Z3" i="35"/>
  <c r="AA3" i="35"/>
  <c r="AB3" i="35"/>
  <c r="AC3" i="35"/>
  <c r="AD3" i="35"/>
  <c r="AE3" i="35"/>
  <c r="AF3" i="35"/>
  <c r="AG3" i="35"/>
  <c r="AH3" i="35"/>
  <c r="AI3" i="35"/>
  <c r="AJ3" i="35"/>
  <c r="AK3" i="35"/>
  <c r="AL3" i="35"/>
  <c r="AM3" i="35"/>
  <c r="AN3" i="35"/>
  <c r="AO3" i="35"/>
  <c r="AP3" i="35"/>
  <c r="AQ3" i="35"/>
  <c r="AR3" i="35"/>
  <c r="AS3" i="35"/>
  <c r="AT3" i="35"/>
  <c r="AU3" i="35"/>
  <c r="AV3" i="35"/>
  <c r="AW3" i="35"/>
  <c r="N36" i="35"/>
  <c r="M85" i="35"/>
  <c r="N2" i="35"/>
  <c r="M48" i="35"/>
  <c r="J22" i="35"/>
  <c r="O2" i="35"/>
  <c r="K44" i="35"/>
  <c r="P2" i="35"/>
  <c r="J23" i="35"/>
  <c r="J81" i="35"/>
  <c r="J82" i="35"/>
  <c r="Q2" i="35"/>
  <c r="R2" i="35"/>
  <c r="L44" i="35"/>
  <c r="J25" i="35"/>
  <c r="J26" i="35"/>
  <c r="J83" i="35"/>
  <c r="J87" i="35"/>
  <c r="J88" i="35"/>
  <c r="M41" i="35"/>
  <c r="J73" i="35"/>
  <c r="J95" i="35"/>
  <c r="S2" i="35"/>
  <c r="K22" i="35"/>
  <c r="M14" i="35"/>
  <c r="M15" i="35"/>
  <c r="M44" i="35"/>
  <c r="M47" i="35"/>
  <c r="J28" i="35"/>
  <c r="J89" i="35"/>
  <c r="J96" i="35"/>
  <c r="T2" i="35"/>
  <c r="U2" i="35"/>
  <c r="J74" i="35"/>
  <c r="J29" i="35"/>
  <c r="N41" i="35"/>
  <c r="V2" i="35"/>
  <c r="N14" i="35"/>
  <c r="N47" i="35"/>
  <c r="J92" i="35"/>
  <c r="J97" i="35"/>
  <c r="K23" i="35"/>
  <c r="J75" i="35"/>
  <c r="J76" i="35"/>
  <c r="K72" i="35"/>
  <c r="J31" i="35"/>
  <c r="J32" i="35"/>
  <c r="J98" i="35"/>
  <c r="K94" i="35"/>
  <c r="K81" i="35"/>
  <c r="W2" i="35"/>
  <c r="X2" i="35"/>
  <c r="K79" i="35"/>
  <c r="Y2" i="35"/>
  <c r="K82" i="35"/>
  <c r="K25" i="35"/>
  <c r="K26" i="35"/>
  <c r="K87" i="35"/>
  <c r="K88" i="35"/>
  <c r="K83" i="35"/>
  <c r="Z2" i="35"/>
  <c r="AA2" i="35"/>
  <c r="L22" i="35"/>
  <c r="K95" i="35"/>
  <c r="K73" i="35"/>
  <c r="K28" i="35"/>
  <c r="K89" i="35"/>
  <c r="K96" i="35"/>
  <c r="K74" i="35"/>
  <c r="K29" i="35"/>
  <c r="AB2" i="35"/>
  <c r="L23" i="35"/>
  <c r="L81" i="35"/>
  <c r="AC2" i="35"/>
  <c r="K92" i="35"/>
  <c r="K97" i="35"/>
  <c r="AD2" i="35"/>
  <c r="K75" i="35"/>
  <c r="K76" i="35"/>
  <c r="L72" i="35"/>
  <c r="K31" i="35"/>
  <c r="K32" i="35"/>
  <c r="K98" i="35"/>
  <c r="L94" i="35"/>
  <c r="AE2" i="35"/>
  <c r="L79" i="35"/>
  <c r="AF2" i="35"/>
  <c r="L82" i="35"/>
  <c r="L25" i="35"/>
  <c r="L26" i="35"/>
  <c r="L83" i="35"/>
  <c r="L95" i="35"/>
  <c r="AG2" i="35"/>
  <c r="L87" i="35"/>
  <c r="L88" i="35"/>
  <c r="L73" i="35"/>
  <c r="AH2" i="35"/>
  <c r="L28" i="35"/>
  <c r="L89" i="35"/>
  <c r="L96" i="35"/>
  <c r="L74" i="35"/>
  <c r="L29" i="35"/>
  <c r="AI2" i="35"/>
  <c r="AJ2" i="35"/>
  <c r="L92" i="35"/>
  <c r="L97" i="35"/>
  <c r="AK2" i="35"/>
  <c r="L75" i="35"/>
  <c r="L76" i="35"/>
  <c r="M72" i="35"/>
  <c r="L31" i="35"/>
  <c r="L32" i="35"/>
  <c r="L98" i="35"/>
  <c r="M94" i="35"/>
  <c r="AL2" i="35"/>
  <c r="M79" i="35"/>
  <c r="AM2" i="35"/>
  <c r="AN2" i="35"/>
  <c r="AO2" i="35"/>
  <c r="AP2" i="35"/>
  <c r="AQ2" i="35"/>
  <c r="AR2" i="35"/>
  <c r="AS2" i="35"/>
  <c r="AT2" i="35"/>
  <c r="AU2" i="35"/>
  <c r="AV2" i="35"/>
  <c r="AW2" i="35"/>
  <c r="K42" i="23"/>
  <c r="K43" i="23"/>
  <c r="K44" i="23"/>
  <c r="K45" i="23"/>
  <c r="K46" i="23"/>
  <c r="K47" i="23"/>
  <c r="K48" i="23"/>
  <c r="K49" i="23"/>
  <c r="K50" i="23"/>
  <c r="K51" i="23"/>
  <c r="K52" i="23"/>
  <c r="K53" i="23"/>
  <c r="K54" i="23"/>
  <c r="K55" i="23"/>
  <c r="K56" i="23"/>
  <c r="K57" i="23"/>
  <c r="K58" i="23"/>
  <c r="K59" i="23"/>
  <c r="K60" i="23"/>
  <c r="K61" i="23"/>
  <c r="K62" i="23"/>
  <c r="K63" i="23"/>
  <c r="K64" i="23"/>
  <c r="K65" i="23"/>
  <c r="K66" i="23"/>
  <c r="K67" i="23"/>
  <c r="K68" i="23"/>
  <c r="K69" i="23"/>
  <c r="K70" i="23"/>
  <c r="K71" i="23"/>
  <c r="K72" i="23"/>
  <c r="K73" i="23"/>
  <c r="K74" i="23"/>
  <c r="K75" i="23"/>
  <c r="K76" i="23"/>
  <c r="K77" i="23"/>
  <c r="K78" i="23"/>
  <c r="K79" i="23"/>
  <c r="K80" i="23"/>
  <c r="K8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G33" i="23"/>
  <c r="G22" i="23"/>
  <c r="H114" i="35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0" i="23"/>
  <c r="D121" i="23"/>
  <c r="D122" i="23"/>
  <c r="D123" i="23"/>
  <c r="D124" i="23"/>
  <c r="D125" i="23"/>
  <c r="D126" i="23"/>
  <c r="D127" i="23"/>
  <c r="D128" i="23"/>
  <c r="J8" i="36" a="1"/>
  <c r="J38" i="36"/>
  <c r="D46" i="23"/>
  <c r="D47" i="23"/>
  <c r="D48" i="23"/>
  <c r="D49" i="23"/>
  <c r="J10" i="36"/>
  <c r="K38" i="36"/>
  <c r="L38" i="36"/>
  <c r="M38" i="36"/>
  <c r="N38" i="36"/>
  <c r="O38" i="36"/>
  <c r="P38" i="36"/>
  <c r="Q38" i="36"/>
  <c r="R38" i="36"/>
  <c r="S38" i="36"/>
  <c r="T38" i="36"/>
  <c r="U38" i="36"/>
  <c r="V38" i="36"/>
  <c r="W38" i="36"/>
  <c r="X38" i="36"/>
  <c r="Y38" i="36"/>
  <c r="Z38" i="36"/>
  <c r="AA38" i="36"/>
  <c r="AB38" i="36"/>
  <c r="AC38" i="36"/>
  <c r="AD38" i="36"/>
  <c r="AE38" i="36"/>
  <c r="AF38" i="36"/>
  <c r="AG38" i="36"/>
  <c r="AH38" i="36"/>
  <c r="AI38" i="36"/>
  <c r="AJ38" i="36"/>
  <c r="AK38" i="36"/>
  <c r="AL38" i="36"/>
  <c r="AM38" i="36"/>
  <c r="AN38" i="36"/>
  <c r="AO38" i="36"/>
  <c r="AP38" i="36"/>
  <c r="AQ38" i="36"/>
  <c r="AR38" i="36"/>
  <c r="AS38" i="36"/>
  <c r="AT38" i="36"/>
  <c r="AU38" i="36"/>
  <c r="AV38" i="36"/>
  <c r="AW38" i="36"/>
  <c r="M9" i="35"/>
  <c r="M45" i="35"/>
  <c r="M50" i="35"/>
  <c r="M53" i="35"/>
  <c r="N9" i="35"/>
  <c r="N45" i="35"/>
  <c r="M11" i="35"/>
  <c r="M17" i="35"/>
  <c r="M19" i="35"/>
  <c r="M59" i="35"/>
  <c r="M20" i="35"/>
  <c r="M60" i="35"/>
  <c r="M54" i="35"/>
  <c r="M21" i="35"/>
  <c r="M61" i="35"/>
  <c r="M62" i="35"/>
  <c r="M63" i="35"/>
  <c r="N58" i="35"/>
  <c r="N66" i="35"/>
  <c r="N10" i="35"/>
  <c r="N46" i="35"/>
  <c r="N13" i="35"/>
  <c r="N37" i="35"/>
  <c r="N48" i="35"/>
  <c r="N50" i="35"/>
  <c r="N53" i="35"/>
  <c r="AT9" i="35"/>
  <c r="AU9" i="35"/>
  <c r="AV9" i="35"/>
  <c r="AW9" i="35"/>
  <c r="AW45" i="35"/>
  <c r="N11" i="35"/>
  <c r="N15" i="35"/>
  <c r="N17" i="35"/>
  <c r="N19" i="35"/>
  <c r="N59" i="35"/>
  <c r="N38" i="35"/>
  <c r="N68" i="35"/>
  <c r="N20" i="35"/>
  <c r="N60" i="35"/>
  <c r="N54" i="35"/>
  <c r="N21" i="35"/>
  <c r="N61" i="35"/>
  <c r="N62" i="35"/>
  <c r="N63" i="35"/>
  <c r="O58" i="35"/>
  <c r="O9" i="35"/>
  <c r="O66" i="35"/>
  <c r="O10" i="35"/>
  <c r="O11" i="35"/>
  <c r="O13" i="35"/>
  <c r="O36" i="35"/>
  <c r="O41" i="35"/>
  <c r="O14" i="35"/>
  <c r="O15" i="35"/>
  <c r="O17" i="35"/>
  <c r="O19" i="35"/>
  <c r="O59" i="35"/>
  <c r="O37" i="35"/>
  <c r="O38" i="35"/>
  <c r="O68" i="35"/>
  <c r="O20" i="35"/>
  <c r="O60" i="35"/>
  <c r="N85" i="35"/>
  <c r="O85" i="35"/>
  <c r="O45" i="35"/>
  <c r="P13" i="35"/>
  <c r="P9" i="35"/>
  <c r="P85" i="35"/>
  <c r="Q9" i="35"/>
  <c r="Q45" i="35"/>
  <c r="Q13" i="35"/>
  <c r="Q85" i="35"/>
  <c r="P45" i="35"/>
  <c r="P37" i="35"/>
  <c r="O48" i="35"/>
  <c r="P48" i="35"/>
  <c r="Q37" i="35"/>
  <c r="R9" i="35"/>
  <c r="Q48" i="35"/>
  <c r="S9" i="35"/>
  <c r="S45" i="35"/>
  <c r="R45" i="35"/>
  <c r="T9" i="35"/>
  <c r="U9" i="35"/>
  <c r="U45" i="35"/>
  <c r="T45" i="35"/>
  <c r="N44" i="35"/>
  <c r="V9" i="35"/>
  <c r="P36" i="35"/>
  <c r="V45" i="35"/>
  <c r="W9" i="35"/>
  <c r="O44" i="35"/>
  <c r="O47" i="35"/>
  <c r="X9" i="35"/>
  <c r="W45" i="35"/>
  <c r="P38" i="35"/>
  <c r="P41" i="35"/>
  <c r="Q36" i="35"/>
  <c r="P68" i="35"/>
  <c r="P14" i="35"/>
  <c r="P15" i="35"/>
  <c r="P44" i="35"/>
  <c r="P47" i="35"/>
  <c r="Y9" i="35"/>
  <c r="X45" i="35"/>
  <c r="Z9" i="35"/>
  <c r="Z45" i="35"/>
  <c r="Y45" i="35"/>
  <c r="Q41" i="35"/>
  <c r="Q38" i="35"/>
  <c r="R36" i="35"/>
  <c r="Q68" i="35"/>
  <c r="Q14" i="35"/>
  <c r="Q15" i="35"/>
  <c r="Q44" i="35"/>
  <c r="Q47" i="35"/>
  <c r="AA9" i="35"/>
  <c r="AB9" i="35"/>
  <c r="AB45" i="35"/>
  <c r="R41" i="35"/>
  <c r="AA45" i="35"/>
  <c r="AC9" i="35"/>
  <c r="AC45" i="35"/>
  <c r="R14" i="35"/>
  <c r="R47" i="35"/>
  <c r="AD9" i="35"/>
  <c r="AD45" i="35"/>
  <c r="AE9" i="35"/>
  <c r="AE45" i="35"/>
  <c r="M22" i="35"/>
  <c r="AF9" i="35"/>
  <c r="AF45" i="35"/>
  <c r="M23" i="35"/>
  <c r="M81" i="35"/>
  <c r="AG9" i="35"/>
  <c r="AH9" i="35"/>
  <c r="AG45" i="35"/>
  <c r="AI9" i="35"/>
  <c r="AH45" i="35"/>
  <c r="AJ9" i="35"/>
  <c r="AI45" i="35"/>
  <c r="AK9" i="35"/>
  <c r="AK45" i="35"/>
  <c r="AJ45" i="35"/>
  <c r="N22" i="35"/>
  <c r="M82" i="35"/>
  <c r="M25" i="35"/>
  <c r="M26" i="35"/>
  <c r="AL9" i="35"/>
  <c r="M83" i="35"/>
  <c r="AM9" i="35"/>
  <c r="M87" i="35"/>
  <c r="M88" i="35"/>
  <c r="N23" i="35"/>
  <c r="AL45" i="35"/>
  <c r="M28" i="35"/>
  <c r="M89" i="35"/>
  <c r="M96" i="35"/>
  <c r="AN9" i="35"/>
  <c r="AM45" i="35"/>
  <c r="N81" i="35"/>
  <c r="M95" i="35"/>
  <c r="M73" i="35"/>
  <c r="M74" i="35"/>
  <c r="M29" i="35"/>
  <c r="AN45" i="35"/>
  <c r="AO9" i="35"/>
  <c r="AP9" i="35"/>
  <c r="M92" i="35"/>
  <c r="M97" i="35"/>
  <c r="AO45" i="35"/>
  <c r="O46" i="35"/>
  <c r="O50" i="35"/>
  <c r="M31" i="35"/>
  <c r="M32" i="35"/>
  <c r="M75" i="35"/>
  <c r="M76" i="35"/>
  <c r="N72" i="35"/>
  <c r="M98" i="35"/>
  <c r="N94" i="35"/>
  <c r="AQ9" i="35"/>
  <c r="AP45" i="35"/>
  <c r="AQ45" i="35"/>
  <c r="AR9" i="35"/>
  <c r="N79" i="35"/>
  <c r="AS9" i="35"/>
  <c r="AR45" i="35"/>
  <c r="N82" i="35"/>
  <c r="N25" i="35"/>
  <c r="N26" i="35"/>
  <c r="AS45" i="35"/>
  <c r="N87" i="35"/>
  <c r="N88" i="35"/>
  <c r="N83" i="35"/>
  <c r="N95" i="35"/>
  <c r="N73" i="35"/>
  <c r="N28" i="35"/>
  <c r="N89" i="35"/>
  <c r="N96" i="35"/>
  <c r="AT45" i="35"/>
  <c r="N74" i="35"/>
  <c r="N29" i="35"/>
  <c r="AU45" i="35"/>
  <c r="N92" i="35"/>
  <c r="N97" i="35"/>
  <c r="AV45" i="35"/>
  <c r="N31" i="35"/>
  <c r="N32" i="35"/>
  <c r="N75" i="35"/>
  <c r="N76" i="35"/>
  <c r="O72" i="35"/>
  <c r="N98" i="35"/>
  <c r="O94" i="35"/>
  <c r="O79" i="35"/>
  <c r="O53" i="35"/>
  <c r="O54" i="35"/>
  <c r="O21" i="35"/>
  <c r="O61" i="35"/>
  <c r="O62" i="35"/>
  <c r="O63" i="35"/>
  <c r="P58" i="35"/>
  <c r="P66" i="35"/>
  <c r="P10" i="35"/>
  <c r="P11" i="35"/>
  <c r="P17" i="35"/>
  <c r="P19" i="35"/>
  <c r="P59" i="35"/>
  <c r="P20" i="35"/>
  <c r="P60" i="35"/>
  <c r="P46" i="35"/>
  <c r="P50" i="35"/>
  <c r="P53" i="35"/>
  <c r="P54" i="35"/>
  <c r="P21" i="35"/>
  <c r="P61" i="35"/>
  <c r="P62" i="35"/>
  <c r="P63" i="35"/>
  <c r="Q58" i="35"/>
  <c r="Q66" i="35"/>
  <c r="Q10" i="35"/>
  <c r="Q11" i="35"/>
  <c r="Q17" i="35"/>
  <c r="Q19" i="35"/>
  <c r="Q59" i="35"/>
  <c r="Q20" i="35"/>
  <c r="Q60" i="35"/>
  <c r="Q46" i="35"/>
  <c r="Q50" i="35"/>
  <c r="Q53" i="35"/>
  <c r="Q54" i="35"/>
  <c r="Q21" i="35"/>
  <c r="Q61" i="35"/>
  <c r="Q62" i="35"/>
  <c r="Q63" i="35"/>
  <c r="R58" i="35"/>
  <c r="R66" i="35"/>
  <c r="R10" i="35"/>
  <c r="R11" i="35"/>
  <c r="R46" i="35"/>
  <c r="O22" i="35"/>
  <c r="O23" i="35"/>
  <c r="O81" i="35"/>
  <c r="P22" i="35"/>
  <c r="P23" i="35"/>
  <c r="P81" i="35"/>
  <c r="O82" i="35"/>
  <c r="O25" i="35"/>
  <c r="O26" i="35"/>
  <c r="O83" i="35"/>
  <c r="O73" i="35"/>
  <c r="O87" i="35"/>
  <c r="O88" i="35"/>
  <c r="O95" i="35"/>
  <c r="O28" i="35"/>
  <c r="O89" i="35"/>
  <c r="O96" i="35"/>
  <c r="Q22" i="35"/>
  <c r="O74" i="35"/>
  <c r="O29" i="35"/>
  <c r="Q23" i="35"/>
  <c r="O92" i="35"/>
  <c r="O97" i="35"/>
  <c r="Q81" i="35"/>
  <c r="O31" i="35"/>
  <c r="O32" i="35"/>
  <c r="O75" i="35"/>
  <c r="O76" i="35"/>
  <c r="P72" i="35"/>
  <c r="O98" i="35"/>
  <c r="P94" i="35"/>
  <c r="P79" i="35"/>
  <c r="P82" i="35"/>
  <c r="P25" i="35"/>
  <c r="P26" i="35"/>
  <c r="P83" i="35"/>
  <c r="P87" i="35"/>
  <c r="P88" i="35"/>
  <c r="P95" i="35"/>
  <c r="P73" i="35"/>
  <c r="P28" i="35"/>
  <c r="P89" i="35"/>
  <c r="P96" i="35"/>
  <c r="P74" i="35"/>
  <c r="P29" i="35"/>
  <c r="P92" i="35"/>
  <c r="P97" i="35"/>
  <c r="P31" i="35"/>
  <c r="P32" i="35"/>
  <c r="P75" i="35"/>
  <c r="P76" i="35"/>
  <c r="Q72" i="35"/>
  <c r="P98" i="35"/>
  <c r="Q94" i="35"/>
  <c r="Q79" i="35"/>
  <c r="Q82" i="35"/>
  <c r="Q25" i="35"/>
  <c r="Q26" i="35"/>
  <c r="Q87" i="35"/>
  <c r="Q88" i="35"/>
  <c r="Q83" i="35"/>
  <c r="Q28" i="35"/>
  <c r="Q89" i="35"/>
  <c r="Q96" i="35"/>
  <c r="Q73" i="35"/>
  <c r="Q95" i="35"/>
  <c r="Q74" i="35"/>
  <c r="Q29" i="35"/>
  <c r="Q92" i="35"/>
  <c r="Q97" i="35"/>
  <c r="Q31" i="35"/>
  <c r="Q32" i="35"/>
  <c r="Q75" i="35"/>
  <c r="Q76" i="35"/>
  <c r="R72" i="35"/>
  <c r="Q98" i="35"/>
  <c r="R94" i="35"/>
  <c r="R79" i="35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J73" i="36" a="1"/>
  <c r="J41" i="36"/>
  <c r="J43" i="36"/>
  <c r="J44" i="36"/>
  <c r="J45" i="36"/>
  <c r="J13" i="36"/>
  <c r="J14" i="36"/>
  <c r="J16" i="36"/>
  <c r="J55" i="36"/>
  <c r="J17" i="36"/>
  <c r="J18" i="36"/>
  <c r="J57" i="36"/>
  <c r="J56" i="36"/>
  <c r="J58" i="36"/>
  <c r="J59" i="36"/>
  <c r="K54" i="36"/>
  <c r="K65" i="36"/>
  <c r="K39" i="36"/>
  <c r="J74" i="36"/>
  <c r="K72" i="36"/>
  <c r="K80" i="36"/>
  <c r="K40" i="36"/>
  <c r="K41" i="36"/>
  <c r="K43" i="36"/>
  <c r="K9" i="36"/>
  <c r="K10" i="36"/>
  <c r="K12" i="36"/>
  <c r="K13" i="36"/>
  <c r="K14" i="36"/>
  <c r="K16" i="36"/>
  <c r="K55" i="36"/>
  <c r="K17" i="36"/>
  <c r="K56" i="36"/>
  <c r="K44" i="36"/>
  <c r="K45" i="36"/>
  <c r="K18" i="36"/>
  <c r="K57" i="36"/>
  <c r="K58" i="36"/>
  <c r="K59" i="36"/>
  <c r="L54" i="36"/>
  <c r="L65" i="36"/>
  <c r="L39" i="36"/>
  <c r="K74" i="36"/>
  <c r="L72" i="36"/>
  <c r="L80" i="36"/>
  <c r="L40" i="36"/>
  <c r="L41" i="36"/>
  <c r="L43" i="36"/>
  <c r="L9" i="36"/>
  <c r="L10" i="36"/>
  <c r="L12" i="36"/>
  <c r="L13" i="36"/>
  <c r="L14" i="36"/>
  <c r="L16" i="36"/>
  <c r="L55" i="36"/>
  <c r="L17" i="36"/>
  <c r="L56" i="36"/>
  <c r="L44" i="36"/>
  <c r="L45" i="36"/>
  <c r="L18" i="36"/>
  <c r="L57" i="36"/>
  <c r="L58" i="36"/>
  <c r="L59" i="36"/>
  <c r="M54" i="36"/>
  <c r="M65" i="36"/>
  <c r="M39" i="36"/>
  <c r="L74" i="36"/>
  <c r="M72" i="36"/>
  <c r="M80" i="36"/>
  <c r="M40" i="36"/>
  <c r="M41" i="36"/>
  <c r="M43" i="36"/>
  <c r="M9" i="36"/>
  <c r="M10" i="36"/>
  <c r="M12" i="36"/>
  <c r="M13" i="36"/>
  <c r="M14" i="36"/>
  <c r="M16" i="36"/>
  <c r="M55" i="36"/>
  <c r="M17" i="36"/>
  <c r="M56" i="36"/>
  <c r="M44" i="36"/>
  <c r="M45" i="36"/>
  <c r="M18" i="36"/>
  <c r="M57" i="36"/>
  <c r="M58" i="36"/>
  <c r="M59" i="36"/>
  <c r="N54" i="36"/>
  <c r="N65" i="36"/>
  <c r="N39" i="36"/>
  <c r="M74" i="36"/>
  <c r="N72" i="36"/>
  <c r="N80" i="36"/>
  <c r="N40" i="36"/>
  <c r="N41" i="36"/>
  <c r="N43" i="36"/>
  <c r="N9" i="36"/>
  <c r="N10" i="36"/>
  <c r="N12" i="36"/>
  <c r="N13" i="36"/>
  <c r="N14" i="36"/>
  <c r="N16" i="36"/>
  <c r="N55" i="36"/>
  <c r="N17" i="36"/>
  <c r="N56" i="36"/>
  <c r="N44" i="36"/>
  <c r="N45" i="36"/>
  <c r="N18" i="36"/>
  <c r="N57" i="36"/>
  <c r="N58" i="36"/>
  <c r="N59" i="36"/>
  <c r="O54" i="36"/>
  <c r="O65" i="36"/>
  <c r="O39" i="36"/>
  <c r="N74" i="36"/>
  <c r="O72" i="36"/>
  <c r="O80" i="36"/>
  <c r="O40" i="36"/>
  <c r="O41" i="36"/>
  <c r="O43" i="36"/>
  <c r="O9" i="36"/>
  <c r="O10" i="36"/>
  <c r="O12" i="36"/>
  <c r="O13" i="36"/>
  <c r="O14" i="36"/>
  <c r="O16" i="36"/>
  <c r="O55" i="36"/>
  <c r="O17" i="36"/>
  <c r="O56" i="36"/>
  <c r="O44" i="36"/>
  <c r="O45" i="36"/>
  <c r="O18" i="36"/>
  <c r="O57" i="36"/>
  <c r="O58" i="36"/>
  <c r="O59" i="36"/>
  <c r="P54" i="36"/>
  <c r="P65" i="36"/>
  <c r="P39" i="36"/>
  <c r="O74" i="36"/>
  <c r="P72" i="36"/>
  <c r="P80" i="36"/>
  <c r="P40" i="36"/>
  <c r="P41" i="36"/>
  <c r="P43" i="36"/>
  <c r="P9" i="36"/>
  <c r="P10" i="36"/>
  <c r="P12" i="36"/>
  <c r="P13" i="36"/>
  <c r="P14" i="36"/>
  <c r="P16" i="36"/>
  <c r="P55" i="36"/>
  <c r="P17" i="36"/>
  <c r="P56" i="36"/>
  <c r="P44" i="36"/>
  <c r="P45" i="36"/>
  <c r="P18" i="36"/>
  <c r="P57" i="36"/>
  <c r="P58" i="36"/>
  <c r="P59" i="36"/>
  <c r="Q54" i="36"/>
  <c r="Q65" i="36"/>
  <c r="Q39" i="36"/>
  <c r="P74" i="36"/>
  <c r="Q72" i="36"/>
  <c r="Q80" i="36"/>
  <c r="Q40" i="36"/>
  <c r="Q41" i="36"/>
  <c r="Q43" i="36"/>
  <c r="Q9" i="36"/>
  <c r="Q10" i="36"/>
  <c r="Q12" i="36"/>
  <c r="Q13" i="36"/>
  <c r="Q14" i="36"/>
  <c r="Q16" i="36"/>
  <c r="Q55" i="36"/>
  <c r="Q17" i="36"/>
  <c r="Q56" i="36"/>
  <c r="Q44" i="36"/>
  <c r="Q45" i="36"/>
  <c r="Q18" i="36"/>
  <c r="Q57" i="36"/>
  <c r="Q58" i="36"/>
  <c r="Q59" i="36"/>
  <c r="R54" i="36"/>
  <c r="R65" i="36"/>
  <c r="R39" i="36"/>
  <c r="Q74" i="36"/>
  <c r="R72" i="36"/>
  <c r="R80" i="36"/>
  <c r="R40" i="36"/>
  <c r="R41" i="36"/>
  <c r="R43" i="36"/>
  <c r="R9" i="36"/>
  <c r="R10" i="36"/>
  <c r="R12" i="36"/>
  <c r="R13" i="36"/>
  <c r="R14" i="36"/>
  <c r="R16" i="36"/>
  <c r="R55" i="36"/>
  <c r="R17" i="36"/>
  <c r="R56" i="36"/>
  <c r="R44" i="36"/>
  <c r="R45" i="36"/>
  <c r="R18" i="36"/>
  <c r="R57" i="36"/>
  <c r="R58" i="36"/>
  <c r="R59" i="36"/>
  <c r="S54" i="36"/>
  <c r="S65" i="36"/>
  <c r="S39" i="36"/>
  <c r="R74" i="36"/>
  <c r="S72" i="36"/>
  <c r="S80" i="36"/>
  <c r="S40" i="36"/>
  <c r="S41" i="36"/>
  <c r="S43" i="36"/>
  <c r="S9" i="36"/>
  <c r="S10" i="36"/>
  <c r="S12" i="36"/>
  <c r="S13" i="36"/>
  <c r="S14" i="36"/>
  <c r="S16" i="36"/>
  <c r="S55" i="36"/>
  <c r="S17" i="36"/>
  <c r="S56" i="36"/>
  <c r="S44" i="36"/>
  <c r="S45" i="36"/>
  <c r="S18" i="36"/>
  <c r="S57" i="36"/>
  <c r="S58" i="36"/>
  <c r="S59" i="36"/>
  <c r="T54" i="36"/>
  <c r="T65" i="36"/>
  <c r="T39" i="36"/>
  <c r="S74" i="36"/>
  <c r="T72" i="36"/>
  <c r="T80" i="36"/>
  <c r="T40" i="36"/>
  <c r="T41" i="36"/>
  <c r="T43" i="36"/>
  <c r="T9" i="36"/>
  <c r="T10" i="36"/>
  <c r="T12" i="36"/>
  <c r="T13" i="36"/>
  <c r="T14" i="36"/>
  <c r="T16" i="36"/>
  <c r="T55" i="36"/>
  <c r="T17" i="36"/>
  <c r="T56" i="36"/>
  <c r="T44" i="36"/>
  <c r="T45" i="36"/>
  <c r="T18" i="36"/>
  <c r="T57" i="36"/>
  <c r="T58" i="36"/>
  <c r="T59" i="36"/>
  <c r="U54" i="36"/>
  <c r="U65" i="36"/>
  <c r="U39" i="36"/>
  <c r="T74" i="36"/>
  <c r="U72" i="36"/>
  <c r="U80" i="36"/>
  <c r="U40" i="36"/>
  <c r="U41" i="36"/>
  <c r="U43" i="36"/>
  <c r="U9" i="36"/>
  <c r="U10" i="36"/>
  <c r="U12" i="36"/>
  <c r="U13" i="36"/>
  <c r="U14" i="36"/>
  <c r="U16" i="36"/>
  <c r="U55" i="36"/>
  <c r="U17" i="36"/>
  <c r="U56" i="36"/>
  <c r="U44" i="36"/>
  <c r="U45" i="36"/>
  <c r="U18" i="36"/>
  <c r="U57" i="36"/>
  <c r="U58" i="36"/>
  <c r="U59" i="36"/>
  <c r="V54" i="36"/>
  <c r="V65" i="36"/>
  <c r="V39" i="36"/>
  <c r="U74" i="36"/>
  <c r="V72" i="36"/>
  <c r="V80" i="36"/>
  <c r="V40" i="36"/>
  <c r="V41" i="36"/>
  <c r="V43" i="36"/>
  <c r="V9" i="36"/>
  <c r="V10" i="36"/>
  <c r="V12" i="36"/>
  <c r="V13" i="36"/>
  <c r="V14" i="36"/>
  <c r="V16" i="36"/>
  <c r="V55" i="36"/>
  <c r="V17" i="36"/>
  <c r="V56" i="36"/>
  <c r="V44" i="36"/>
  <c r="V45" i="36"/>
  <c r="V18" i="36"/>
  <c r="V57" i="36"/>
  <c r="V58" i="36"/>
  <c r="V59" i="36"/>
  <c r="W54" i="36"/>
  <c r="W65" i="36"/>
  <c r="W39" i="36"/>
  <c r="V74" i="36"/>
  <c r="W72" i="36"/>
  <c r="W80" i="36"/>
  <c r="W40" i="36"/>
  <c r="W41" i="36"/>
  <c r="W43" i="36"/>
  <c r="W9" i="36"/>
  <c r="W10" i="36"/>
  <c r="W12" i="36"/>
  <c r="W13" i="36"/>
  <c r="W14" i="36"/>
  <c r="W16" i="36"/>
  <c r="W55" i="36"/>
  <c r="W17" i="36"/>
  <c r="W56" i="36"/>
  <c r="W44" i="36"/>
  <c r="W45" i="36"/>
  <c r="W18" i="36"/>
  <c r="W57" i="36"/>
  <c r="W58" i="36"/>
  <c r="W59" i="36"/>
  <c r="X54" i="36"/>
  <c r="X65" i="36"/>
  <c r="X39" i="36"/>
  <c r="W74" i="36"/>
  <c r="X72" i="36"/>
  <c r="X80" i="36"/>
  <c r="X40" i="36"/>
  <c r="X41" i="36"/>
  <c r="X43" i="36"/>
  <c r="X9" i="36"/>
  <c r="X10" i="36"/>
  <c r="X12" i="36"/>
  <c r="X13" i="36"/>
  <c r="X14" i="36"/>
  <c r="X16" i="36"/>
  <c r="X55" i="36"/>
  <c r="X17" i="36"/>
  <c r="X56" i="36"/>
  <c r="X44" i="36"/>
  <c r="X45" i="36"/>
  <c r="X18" i="36"/>
  <c r="X57" i="36"/>
  <c r="X58" i="36"/>
  <c r="X59" i="36"/>
  <c r="Y54" i="36"/>
  <c r="Y65" i="36"/>
  <c r="Y39" i="36"/>
  <c r="X74" i="36"/>
  <c r="Y72" i="36"/>
  <c r="Y80" i="36"/>
  <c r="Y40" i="36"/>
  <c r="Y41" i="36"/>
  <c r="Y43" i="36"/>
  <c r="Y9" i="36"/>
  <c r="Y10" i="36"/>
  <c r="Y12" i="36"/>
  <c r="Y13" i="36"/>
  <c r="Y14" i="36"/>
  <c r="Y16" i="36"/>
  <c r="Y55" i="36"/>
  <c r="Y17" i="36"/>
  <c r="Y56" i="36"/>
  <c r="Y44" i="36"/>
  <c r="Y45" i="36"/>
  <c r="Y18" i="36"/>
  <c r="Y57" i="36"/>
  <c r="Y58" i="36"/>
  <c r="Y59" i="36"/>
  <c r="Z54" i="36"/>
  <c r="Z65" i="36"/>
  <c r="Z39" i="36"/>
  <c r="Y74" i="36"/>
  <c r="Z72" i="36"/>
  <c r="Z80" i="36"/>
  <c r="Z40" i="36"/>
  <c r="Z41" i="36"/>
  <c r="Z43" i="36"/>
  <c r="Z9" i="36"/>
  <c r="Z10" i="36"/>
  <c r="Z12" i="36"/>
  <c r="Z13" i="36"/>
  <c r="Z14" i="36"/>
  <c r="Z16" i="36"/>
  <c r="Z55" i="36"/>
  <c r="Z17" i="36"/>
  <c r="Z56" i="36"/>
  <c r="Z44" i="36"/>
  <c r="Z45" i="36"/>
  <c r="Z18" i="36"/>
  <c r="Z57" i="36"/>
  <c r="Z58" i="36"/>
  <c r="Z59" i="36"/>
  <c r="AA54" i="36"/>
  <c r="AA65" i="36"/>
  <c r="AA39" i="36"/>
  <c r="Z74" i="36"/>
  <c r="AA72" i="36"/>
  <c r="AA80" i="36"/>
  <c r="AA40" i="36"/>
  <c r="AA41" i="36"/>
  <c r="AA43" i="36"/>
  <c r="AA9" i="36"/>
  <c r="AA10" i="36"/>
  <c r="AA12" i="36"/>
  <c r="AA13" i="36"/>
  <c r="AA14" i="36"/>
  <c r="AA16" i="36"/>
  <c r="AA55" i="36"/>
  <c r="AA17" i="36"/>
  <c r="AA56" i="36"/>
  <c r="AA44" i="36"/>
  <c r="AA45" i="36"/>
  <c r="AA18" i="36"/>
  <c r="AA57" i="36"/>
  <c r="AA58" i="36"/>
  <c r="AA59" i="36"/>
  <c r="AB54" i="36"/>
  <c r="AB65" i="36"/>
  <c r="AB39" i="36"/>
  <c r="AA74" i="36"/>
  <c r="AB72" i="36"/>
  <c r="AB80" i="36"/>
  <c r="AB40" i="36"/>
  <c r="AB41" i="36"/>
  <c r="AB43" i="36"/>
  <c r="AB9" i="36"/>
  <c r="AB10" i="36"/>
  <c r="AB12" i="36"/>
  <c r="AB13" i="36"/>
  <c r="AB14" i="36"/>
  <c r="AB16" i="36"/>
  <c r="AB55" i="36"/>
  <c r="AB17" i="36"/>
  <c r="AB56" i="36"/>
  <c r="AB44" i="36"/>
  <c r="AB45" i="36"/>
  <c r="AB18" i="36"/>
  <c r="AB57" i="36"/>
  <c r="AB58" i="36"/>
  <c r="AB59" i="36"/>
  <c r="AC54" i="36"/>
  <c r="AC65" i="36"/>
  <c r="AC39" i="36"/>
  <c r="AB74" i="36"/>
  <c r="AC72" i="36"/>
  <c r="AC80" i="36"/>
  <c r="AC40" i="36"/>
  <c r="AC41" i="36"/>
  <c r="AC43" i="36"/>
  <c r="AC9" i="36"/>
  <c r="AC10" i="36"/>
  <c r="AC12" i="36"/>
  <c r="AC13" i="36"/>
  <c r="AC14" i="36"/>
  <c r="AC16" i="36"/>
  <c r="AC55" i="36"/>
  <c r="AC17" i="36"/>
  <c r="AC56" i="36"/>
  <c r="AC44" i="36"/>
  <c r="AC45" i="36"/>
  <c r="AC18" i="36"/>
  <c r="AC57" i="36"/>
  <c r="AC58" i="36"/>
  <c r="AC59" i="36"/>
  <c r="AD54" i="36"/>
  <c r="AD65" i="36"/>
  <c r="AD39" i="36"/>
  <c r="AC74" i="36"/>
  <c r="AD72" i="36"/>
  <c r="AD80" i="36"/>
  <c r="AD40" i="36"/>
  <c r="AD41" i="36"/>
  <c r="AD43" i="36"/>
  <c r="AD9" i="36"/>
  <c r="AD10" i="36"/>
  <c r="AD12" i="36"/>
  <c r="AD13" i="36"/>
  <c r="AD14" i="36"/>
  <c r="AD16" i="36"/>
  <c r="AD55" i="36"/>
  <c r="AD17" i="36"/>
  <c r="AD56" i="36"/>
  <c r="AD44" i="36"/>
  <c r="AD45" i="36"/>
  <c r="AD18" i="36"/>
  <c r="AD57" i="36"/>
  <c r="AD58" i="36"/>
  <c r="AD59" i="36"/>
  <c r="AE54" i="36"/>
  <c r="AE65" i="36"/>
  <c r="AE39" i="36"/>
  <c r="AD74" i="36"/>
  <c r="AE72" i="36"/>
  <c r="AE80" i="36"/>
  <c r="AE40" i="36"/>
  <c r="AE41" i="36"/>
  <c r="AE43" i="36"/>
  <c r="AE9" i="36"/>
  <c r="AE10" i="36"/>
  <c r="AE12" i="36"/>
  <c r="AE13" i="36"/>
  <c r="AE14" i="36"/>
  <c r="AE16" i="36"/>
  <c r="AE55" i="36"/>
  <c r="AE17" i="36"/>
  <c r="AE56" i="36"/>
  <c r="AE44" i="36"/>
  <c r="AE45" i="36"/>
  <c r="AE18" i="36"/>
  <c r="AE57" i="36"/>
  <c r="AE58" i="36"/>
  <c r="AE59" i="36"/>
  <c r="AF54" i="36"/>
  <c r="AF65" i="36"/>
  <c r="AF39" i="36"/>
  <c r="AE74" i="36"/>
  <c r="AF72" i="36"/>
  <c r="AF80" i="36"/>
  <c r="AF40" i="36"/>
  <c r="AF41" i="36"/>
  <c r="AF43" i="36"/>
  <c r="AF9" i="36"/>
  <c r="AF10" i="36"/>
  <c r="AF12" i="36"/>
  <c r="AF13" i="36"/>
  <c r="AF14" i="36"/>
  <c r="AF16" i="36"/>
  <c r="AF55" i="36"/>
  <c r="AF17" i="36"/>
  <c r="AF56" i="36"/>
  <c r="AF44" i="36"/>
  <c r="AF45" i="36"/>
  <c r="AF18" i="36"/>
  <c r="AF57" i="36"/>
  <c r="AF58" i="36"/>
  <c r="AF59" i="36"/>
  <c r="AG54" i="36"/>
  <c r="AG65" i="36"/>
  <c r="AG39" i="36"/>
  <c r="AF74" i="36"/>
  <c r="AG72" i="36"/>
  <c r="AG80" i="36"/>
  <c r="AG40" i="36"/>
  <c r="AG41" i="36"/>
  <c r="AG43" i="36"/>
  <c r="AG9" i="36"/>
  <c r="AG10" i="36"/>
  <c r="AG12" i="36"/>
  <c r="AG13" i="36"/>
  <c r="AG14" i="36"/>
  <c r="AG16" i="36"/>
  <c r="AG55" i="36"/>
  <c r="AG17" i="36"/>
  <c r="AG56" i="36"/>
  <c r="AG44" i="36"/>
  <c r="AG45" i="36"/>
  <c r="AG18" i="36"/>
  <c r="AG57" i="36"/>
  <c r="AG58" i="36"/>
  <c r="AG59" i="36"/>
  <c r="AH54" i="36"/>
  <c r="AH65" i="36"/>
  <c r="AH39" i="36"/>
  <c r="AG74" i="36"/>
  <c r="AH72" i="36"/>
  <c r="AH80" i="36"/>
  <c r="AH40" i="36"/>
  <c r="AH41" i="36"/>
  <c r="AH43" i="36"/>
  <c r="AH9" i="36"/>
  <c r="AH10" i="36"/>
  <c r="AH12" i="36"/>
  <c r="AH13" i="36"/>
  <c r="AH14" i="36"/>
  <c r="AH16" i="36"/>
  <c r="AH55" i="36"/>
  <c r="AH17" i="36"/>
  <c r="AH56" i="36"/>
  <c r="AH44" i="36"/>
  <c r="AH45" i="36"/>
  <c r="AH18" i="36"/>
  <c r="AH57" i="36"/>
  <c r="AH58" i="36"/>
  <c r="AH59" i="36"/>
  <c r="AI54" i="36"/>
  <c r="AI65" i="36"/>
  <c r="AI39" i="36"/>
  <c r="AH74" i="36"/>
  <c r="AI72" i="36"/>
  <c r="AI80" i="36"/>
  <c r="AI40" i="36"/>
  <c r="AI41" i="36"/>
  <c r="AI43" i="36"/>
  <c r="AI9" i="36"/>
  <c r="AI10" i="36"/>
  <c r="AI12" i="36"/>
  <c r="AI13" i="36"/>
  <c r="AI14" i="36"/>
  <c r="AI16" i="36"/>
  <c r="AI55" i="36"/>
  <c r="AI17" i="36"/>
  <c r="AI56" i="36"/>
  <c r="AI44" i="36"/>
  <c r="AI45" i="36"/>
  <c r="AI18" i="36"/>
  <c r="AI57" i="36"/>
  <c r="AI58" i="36"/>
  <c r="AI59" i="36"/>
  <c r="AJ54" i="36"/>
  <c r="AJ65" i="36"/>
  <c r="AJ39" i="36"/>
  <c r="AI74" i="36"/>
  <c r="AJ72" i="36"/>
  <c r="AJ80" i="36"/>
  <c r="AJ40" i="36"/>
  <c r="AJ41" i="36"/>
  <c r="AJ43" i="36"/>
  <c r="AJ9" i="36"/>
  <c r="AJ10" i="36"/>
  <c r="AJ12" i="36"/>
  <c r="AJ13" i="36"/>
  <c r="AJ14" i="36"/>
  <c r="AJ16" i="36"/>
  <c r="AJ55" i="36"/>
  <c r="AJ17" i="36"/>
  <c r="AJ56" i="36"/>
  <c r="AJ44" i="36"/>
  <c r="AJ45" i="36"/>
  <c r="AJ18" i="36"/>
  <c r="AJ57" i="36"/>
  <c r="AJ58" i="36"/>
  <c r="AJ59" i="36"/>
  <c r="AK54" i="36"/>
  <c r="AK65" i="36"/>
  <c r="AK39" i="36"/>
  <c r="AJ74" i="36"/>
  <c r="AK72" i="36"/>
  <c r="AK80" i="36"/>
  <c r="AK40" i="36"/>
  <c r="AK41" i="36"/>
  <c r="AK43" i="36"/>
  <c r="AK9" i="36"/>
  <c r="AK10" i="36"/>
  <c r="AK12" i="36"/>
  <c r="AK13" i="36"/>
  <c r="AK14" i="36"/>
  <c r="AK16" i="36"/>
  <c r="AK55" i="36"/>
  <c r="AK17" i="36"/>
  <c r="AK56" i="36"/>
  <c r="AK44" i="36"/>
  <c r="AK45" i="36"/>
  <c r="AK18" i="36"/>
  <c r="AK57" i="36"/>
  <c r="AK58" i="36"/>
  <c r="AK59" i="36"/>
  <c r="AL54" i="36"/>
  <c r="AL65" i="36"/>
  <c r="AL39" i="36"/>
  <c r="AK74" i="36"/>
  <c r="AL72" i="36"/>
  <c r="AL80" i="36"/>
  <c r="AL40" i="36"/>
  <c r="AL41" i="36"/>
  <c r="AL43" i="36"/>
  <c r="AL9" i="36"/>
  <c r="AL10" i="36"/>
  <c r="AL12" i="36"/>
  <c r="AL13" i="36"/>
  <c r="AL14" i="36"/>
  <c r="AL16" i="36"/>
  <c r="AL55" i="36"/>
  <c r="AL17" i="36"/>
  <c r="AL56" i="36"/>
  <c r="AL44" i="36"/>
  <c r="AL45" i="36"/>
  <c r="AL18" i="36"/>
  <c r="AL57" i="36"/>
  <c r="AL58" i="36"/>
  <c r="AL59" i="36"/>
  <c r="AM54" i="36"/>
  <c r="AM65" i="36"/>
  <c r="AM39" i="36"/>
  <c r="AL74" i="36"/>
  <c r="AM72" i="36"/>
  <c r="AM80" i="36"/>
  <c r="AM40" i="36"/>
  <c r="AM41" i="36"/>
  <c r="AM43" i="36"/>
  <c r="AM9" i="36"/>
  <c r="AM10" i="36"/>
  <c r="AM12" i="36"/>
  <c r="AM13" i="36"/>
  <c r="AM14" i="36"/>
  <c r="AM16" i="36"/>
  <c r="AM55" i="36"/>
  <c r="AM17" i="36"/>
  <c r="AM56" i="36"/>
  <c r="AM44" i="36"/>
  <c r="AM45" i="36"/>
  <c r="AM18" i="36"/>
  <c r="AM57" i="36"/>
  <c r="AM58" i="36"/>
  <c r="AM59" i="36"/>
  <c r="AN54" i="36"/>
  <c r="AN65" i="36"/>
  <c r="AN39" i="36"/>
  <c r="AM74" i="36"/>
  <c r="AN72" i="36"/>
  <c r="AN80" i="36"/>
  <c r="AN40" i="36"/>
  <c r="AN41" i="36"/>
  <c r="AN43" i="36"/>
  <c r="AN9" i="36"/>
  <c r="AN10" i="36"/>
  <c r="AN12" i="36"/>
  <c r="AN13" i="36"/>
  <c r="AN14" i="36"/>
  <c r="AN16" i="36"/>
  <c r="AN55" i="36"/>
  <c r="AN17" i="36"/>
  <c r="AN56" i="36"/>
  <c r="AN44" i="36"/>
  <c r="AN45" i="36"/>
  <c r="AN18" i="36"/>
  <c r="AN57" i="36"/>
  <c r="AN58" i="36"/>
  <c r="AN59" i="36"/>
  <c r="AO54" i="36"/>
  <c r="AO65" i="36"/>
  <c r="AO39" i="36"/>
  <c r="AN74" i="36"/>
  <c r="AO72" i="36"/>
  <c r="AO80" i="36"/>
  <c r="AO40" i="36"/>
  <c r="AO41" i="36"/>
  <c r="AO43" i="36"/>
  <c r="AO9" i="36"/>
  <c r="AO10" i="36"/>
  <c r="AO12" i="36"/>
  <c r="AO13" i="36"/>
  <c r="AO14" i="36"/>
  <c r="AO16" i="36"/>
  <c r="AO55" i="36"/>
  <c r="AO17" i="36"/>
  <c r="AO56" i="36"/>
  <c r="AO44" i="36"/>
  <c r="AO45" i="36"/>
  <c r="AO18" i="36"/>
  <c r="AO57" i="36"/>
  <c r="AO58" i="36"/>
  <c r="AO59" i="36"/>
  <c r="AP54" i="36"/>
  <c r="AP65" i="36"/>
  <c r="AP39" i="36"/>
  <c r="AO74" i="36"/>
  <c r="AP72" i="36"/>
  <c r="AP80" i="36"/>
  <c r="AP40" i="36"/>
  <c r="AP41" i="36"/>
  <c r="AP43" i="36"/>
  <c r="AP9" i="36"/>
  <c r="AP10" i="36"/>
  <c r="AP12" i="36"/>
  <c r="AP13" i="36"/>
  <c r="AP14" i="36"/>
  <c r="AP16" i="36"/>
  <c r="AP55" i="36"/>
  <c r="AP17" i="36"/>
  <c r="AP56" i="36"/>
  <c r="AP44" i="36"/>
  <c r="AP45" i="36"/>
  <c r="AP18" i="36"/>
  <c r="AP57" i="36"/>
  <c r="AP58" i="36"/>
  <c r="AP59" i="36"/>
  <c r="AQ54" i="36"/>
  <c r="AQ65" i="36"/>
  <c r="AQ39" i="36"/>
  <c r="AP74" i="36"/>
  <c r="AQ72" i="36"/>
  <c r="AQ80" i="36"/>
  <c r="AQ40" i="36"/>
  <c r="AQ41" i="36"/>
  <c r="AQ43" i="36"/>
  <c r="AQ9" i="36"/>
  <c r="AQ10" i="36"/>
  <c r="AQ12" i="36"/>
  <c r="AQ13" i="36"/>
  <c r="AQ14" i="36"/>
  <c r="AQ16" i="36"/>
  <c r="AQ55" i="36"/>
  <c r="AQ17" i="36"/>
  <c r="AQ56" i="36"/>
  <c r="AQ44" i="36"/>
  <c r="AQ45" i="36"/>
  <c r="AQ18" i="36"/>
  <c r="AQ57" i="36"/>
  <c r="AQ58" i="36"/>
  <c r="AQ59" i="36"/>
  <c r="AR54" i="36"/>
  <c r="AR65" i="36"/>
  <c r="AR39" i="36"/>
  <c r="AQ74" i="36"/>
  <c r="AR72" i="36"/>
  <c r="AR80" i="36"/>
  <c r="AR40" i="36"/>
  <c r="AR41" i="36"/>
  <c r="AR43" i="36"/>
  <c r="AR9" i="36"/>
  <c r="AR10" i="36"/>
  <c r="AR12" i="36"/>
  <c r="AR13" i="36"/>
  <c r="AR14" i="36"/>
  <c r="AR16" i="36"/>
  <c r="AR55" i="36"/>
  <c r="AR17" i="36"/>
  <c r="AR56" i="36"/>
  <c r="AR44" i="36"/>
  <c r="AR45" i="36"/>
  <c r="AR18" i="36"/>
  <c r="AR57" i="36"/>
  <c r="AR58" i="36"/>
  <c r="AR59" i="36"/>
  <c r="AS54" i="36"/>
  <c r="AS65" i="36"/>
  <c r="AS39" i="36"/>
  <c r="AR74" i="36"/>
  <c r="AS72" i="36"/>
  <c r="AS80" i="36"/>
  <c r="AS40" i="36"/>
  <c r="AS41" i="36"/>
  <c r="AS43" i="36"/>
  <c r="AS9" i="36"/>
  <c r="AS10" i="36"/>
  <c r="AS12" i="36"/>
  <c r="AS13" i="36"/>
  <c r="AS14" i="36"/>
  <c r="AS16" i="36"/>
  <c r="AS55" i="36"/>
  <c r="AS17" i="36"/>
  <c r="AS56" i="36"/>
  <c r="AS44" i="36"/>
  <c r="AS45" i="36"/>
  <c r="AS18" i="36"/>
  <c r="AS57" i="36"/>
  <c r="AS58" i="36"/>
  <c r="AS59" i="36"/>
  <c r="AT54" i="36"/>
  <c r="AT65" i="36"/>
  <c r="AT39" i="36"/>
  <c r="AS74" i="36"/>
  <c r="AT72" i="36"/>
  <c r="AT80" i="36"/>
  <c r="AT40" i="36"/>
  <c r="AT41" i="36"/>
  <c r="AT43" i="36"/>
  <c r="AT9" i="36"/>
  <c r="AT10" i="36"/>
  <c r="AT12" i="36"/>
  <c r="AT13" i="36"/>
  <c r="AT14" i="36"/>
  <c r="AT16" i="36"/>
  <c r="AT55" i="36"/>
  <c r="AT17" i="36"/>
  <c r="AT56" i="36"/>
  <c r="AT44" i="36"/>
  <c r="AT45" i="36"/>
  <c r="AT18" i="36"/>
  <c r="AT57" i="36"/>
  <c r="AT58" i="36"/>
  <c r="AT59" i="36"/>
  <c r="AU54" i="36"/>
  <c r="AU65" i="36"/>
  <c r="AU39" i="36"/>
  <c r="AT74" i="36"/>
  <c r="AU72" i="36"/>
  <c r="AU80" i="36"/>
  <c r="AU40" i="36"/>
  <c r="AU41" i="36"/>
  <c r="AU43" i="36"/>
  <c r="AU9" i="36"/>
  <c r="AU10" i="36"/>
  <c r="AU12" i="36"/>
  <c r="AU13" i="36"/>
  <c r="AU14" i="36"/>
  <c r="AU16" i="36"/>
  <c r="AU55" i="36"/>
  <c r="AU17" i="36"/>
  <c r="AU56" i="36"/>
  <c r="AU44" i="36"/>
  <c r="AU45" i="36"/>
  <c r="AU18" i="36"/>
  <c r="AU57" i="36"/>
  <c r="AU58" i="36"/>
  <c r="AU59" i="36"/>
  <c r="AV54" i="36"/>
  <c r="AV65" i="36"/>
  <c r="AV39" i="36"/>
  <c r="AU74" i="36"/>
  <c r="AV72" i="36"/>
  <c r="AV80" i="36"/>
  <c r="AV40" i="36"/>
  <c r="AV41" i="36"/>
  <c r="AV43" i="36"/>
  <c r="AV9" i="36"/>
  <c r="AV10" i="36"/>
  <c r="AV12" i="36"/>
  <c r="AV13" i="36"/>
  <c r="AV14" i="36"/>
  <c r="AV16" i="36"/>
  <c r="AV55" i="36"/>
  <c r="AV17" i="36"/>
  <c r="AV56" i="36"/>
  <c r="AV44" i="36"/>
  <c r="AV45" i="36"/>
  <c r="AV18" i="36"/>
  <c r="AV57" i="36"/>
  <c r="AV58" i="36"/>
  <c r="AV59" i="36"/>
  <c r="AW54" i="36"/>
  <c r="AW65" i="36"/>
  <c r="AW39" i="36"/>
  <c r="AV74" i="36"/>
  <c r="AW72" i="36"/>
  <c r="AW80" i="36"/>
  <c r="AW40" i="36"/>
  <c r="AW41" i="36"/>
  <c r="AW43" i="36"/>
  <c r="J19" i="36"/>
  <c r="J20" i="36"/>
  <c r="J99" i="36"/>
  <c r="J101" i="36"/>
  <c r="J102" i="36"/>
  <c r="J88" i="36"/>
  <c r="J22" i="36"/>
  <c r="J23" i="36"/>
  <c r="J105" i="36"/>
  <c r="J104" i="36" a="1"/>
  <c r="J106" i="36"/>
  <c r="J89" i="36"/>
  <c r="J114" i="36"/>
  <c r="J107" i="36"/>
  <c r="J115" i="36"/>
  <c r="J25" i="36"/>
  <c r="J26" i="36"/>
  <c r="J111" i="36"/>
  <c r="J116" i="36"/>
  <c r="J90" i="36"/>
  <c r="J91" i="36"/>
  <c r="K87" i="36"/>
  <c r="K97" i="36"/>
  <c r="K19" i="36"/>
  <c r="K20" i="36"/>
  <c r="K99" i="36"/>
  <c r="K101" i="36"/>
  <c r="K102" i="36"/>
  <c r="K88" i="36"/>
  <c r="K22" i="36"/>
  <c r="K23" i="36"/>
  <c r="K105" i="36"/>
  <c r="K106" i="36"/>
  <c r="K89" i="36"/>
  <c r="K114" i="36"/>
  <c r="K107" i="36"/>
  <c r="K115" i="36"/>
  <c r="K25" i="36"/>
  <c r="K26" i="36"/>
  <c r="K111" i="36"/>
  <c r="J117" i="36"/>
  <c r="K113" i="36"/>
  <c r="K116" i="36"/>
  <c r="K90" i="36"/>
  <c r="K91" i="36"/>
  <c r="L87" i="36"/>
  <c r="L97" i="36"/>
  <c r="L19" i="36"/>
  <c r="L20" i="36"/>
  <c r="L99" i="36"/>
  <c r="L101" i="36"/>
  <c r="L102" i="36"/>
  <c r="L88" i="36"/>
  <c r="L22" i="36"/>
  <c r="L23" i="36"/>
  <c r="L105" i="36"/>
  <c r="L106" i="36"/>
  <c r="L89" i="36"/>
  <c r="K117" i="36"/>
  <c r="L113" i="36"/>
  <c r="L114" i="36"/>
  <c r="L107" i="36"/>
  <c r="L115" i="36"/>
  <c r="L25" i="36"/>
  <c r="L26" i="36"/>
  <c r="L111" i="36"/>
  <c r="L116" i="36"/>
  <c r="L90" i="36"/>
  <c r="L91" i="36"/>
  <c r="M87" i="36"/>
  <c r="M97" i="36"/>
  <c r="M19" i="36"/>
  <c r="M20" i="36"/>
  <c r="M99" i="36"/>
  <c r="M101" i="36"/>
  <c r="M102" i="36"/>
  <c r="M88" i="36"/>
  <c r="M22" i="36"/>
  <c r="M23" i="36"/>
  <c r="M105" i="36"/>
  <c r="M106" i="36"/>
  <c r="M89" i="36"/>
  <c r="L117" i="36"/>
  <c r="M113" i="36"/>
  <c r="M114" i="36"/>
  <c r="M107" i="36"/>
  <c r="M115" i="36"/>
  <c r="M25" i="36"/>
  <c r="M26" i="36"/>
  <c r="M111" i="36"/>
  <c r="M116" i="36"/>
  <c r="M90" i="36"/>
  <c r="M91" i="36"/>
  <c r="N87" i="36"/>
  <c r="N97" i="36"/>
  <c r="N19" i="36"/>
  <c r="N20" i="36"/>
  <c r="N99" i="36"/>
  <c r="N101" i="36"/>
  <c r="N102" i="36"/>
  <c r="N88" i="36"/>
  <c r="N22" i="36"/>
  <c r="N23" i="36"/>
  <c r="N105" i="36"/>
  <c r="N106" i="36"/>
  <c r="N89" i="36"/>
  <c r="M117" i="36"/>
  <c r="N113" i="36"/>
  <c r="N114" i="36"/>
  <c r="N107" i="36"/>
  <c r="N115" i="36"/>
  <c r="N25" i="36"/>
  <c r="N26" i="36"/>
  <c r="N111" i="36"/>
  <c r="N116" i="36"/>
  <c r="N90" i="36"/>
  <c r="N91" i="36"/>
  <c r="O87" i="36"/>
  <c r="O97" i="36"/>
  <c r="O19" i="36"/>
  <c r="O20" i="36"/>
  <c r="O99" i="36"/>
  <c r="O101" i="36"/>
  <c r="O102" i="36"/>
  <c r="O88" i="36"/>
  <c r="O22" i="36"/>
  <c r="O23" i="36"/>
  <c r="O105" i="36"/>
  <c r="O106" i="36"/>
  <c r="O89" i="36"/>
  <c r="N117" i="36"/>
  <c r="O113" i="36"/>
  <c r="O114" i="36"/>
  <c r="O107" i="36"/>
  <c r="O115" i="36"/>
  <c r="O25" i="36"/>
  <c r="O26" i="36"/>
  <c r="O111" i="36"/>
  <c r="O116" i="36"/>
  <c r="O90" i="36"/>
  <c r="O91" i="36"/>
  <c r="P87" i="36"/>
  <c r="P97" i="36"/>
  <c r="P19" i="36"/>
  <c r="P20" i="36"/>
  <c r="P99" i="36"/>
  <c r="P101" i="36"/>
  <c r="P102" i="36"/>
  <c r="P88" i="36"/>
  <c r="P22" i="36"/>
  <c r="P23" i="36"/>
  <c r="P105" i="36"/>
  <c r="P106" i="36"/>
  <c r="P89" i="36"/>
  <c r="O117" i="36"/>
  <c r="P113" i="36"/>
  <c r="P114" i="36"/>
  <c r="P107" i="36"/>
  <c r="P115" i="36"/>
  <c r="P25" i="36"/>
  <c r="P26" i="36"/>
  <c r="P111" i="36"/>
  <c r="P116" i="36"/>
  <c r="P90" i="36"/>
  <c r="P91" i="36"/>
  <c r="Q87" i="36"/>
  <c r="Q97" i="36"/>
  <c r="Q19" i="36"/>
  <c r="Q20" i="36"/>
  <c r="Q99" i="36"/>
  <c r="Q101" i="36"/>
  <c r="Q102" i="36"/>
  <c r="Q88" i="36"/>
  <c r="Q22" i="36"/>
  <c r="Q23" i="36"/>
  <c r="Q105" i="36"/>
  <c r="Q106" i="36"/>
  <c r="Q89" i="36"/>
  <c r="P117" i="36"/>
  <c r="Q113" i="36"/>
  <c r="Q114" i="36"/>
  <c r="Q107" i="36"/>
  <c r="Q115" i="36"/>
  <c r="Q25" i="36"/>
  <c r="Q26" i="36"/>
  <c r="Q111" i="36"/>
  <c r="Q116" i="36"/>
  <c r="Q90" i="36"/>
  <c r="Q91" i="36"/>
  <c r="R87" i="36"/>
  <c r="R97" i="36"/>
  <c r="R19" i="36"/>
  <c r="R20" i="36"/>
  <c r="R99" i="36"/>
  <c r="R101" i="36"/>
  <c r="R102" i="36"/>
  <c r="R88" i="36"/>
  <c r="R22" i="36"/>
  <c r="R23" i="36"/>
  <c r="R105" i="36"/>
  <c r="R106" i="36"/>
  <c r="R89" i="36"/>
  <c r="Q117" i="36"/>
  <c r="R113" i="36"/>
  <c r="R114" i="36"/>
  <c r="R107" i="36"/>
  <c r="R115" i="36"/>
  <c r="R25" i="36"/>
  <c r="R26" i="36"/>
  <c r="R111" i="36"/>
  <c r="R116" i="36"/>
  <c r="R90" i="36"/>
  <c r="R91" i="36"/>
  <c r="S87" i="36"/>
  <c r="S97" i="36"/>
  <c r="S19" i="36"/>
  <c r="S20" i="36"/>
  <c r="S99" i="36"/>
  <c r="S101" i="36"/>
  <c r="S102" i="36"/>
  <c r="S88" i="36"/>
  <c r="S22" i="36"/>
  <c r="S23" i="36"/>
  <c r="S105" i="36"/>
  <c r="S106" i="36"/>
  <c r="S89" i="36"/>
  <c r="R117" i="36"/>
  <c r="S113" i="36"/>
  <c r="S114" i="36"/>
  <c r="S107" i="36"/>
  <c r="S115" i="36"/>
  <c r="S25" i="36"/>
  <c r="S26" i="36"/>
  <c r="S111" i="36"/>
  <c r="S116" i="36"/>
  <c r="S90" i="36"/>
  <c r="S91" i="36"/>
  <c r="T87" i="36"/>
  <c r="T97" i="36"/>
  <c r="T19" i="36"/>
  <c r="T20" i="36"/>
  <c r="T99" i="36"/>
  <c r="T101" i="36"/>
  <c r="T102" i="36"/>
  <c r="T88" i="36"/>
  <c r="T22" i="36"/>
  <c r="T23" i="36"/>
  <c r="T105" i="36"/>
  <c r="T106" i="36"/>
  <c r="T89" i="36"/>
  <c r="S117" i="36"/>
  <c r="T113" i="36"/>
  <c r="T114" i="36"/>
  <c r="T107" i="36"/>
  <c r="T115" i="36"/>
  <c r="T25" i="36"/>
  <c r="T26" i="36"/>
  <c r="T111" i="36"/>
  <c r="T116" i="36"/>
  <c r="T90" i="36"/>
  <c r="T91" i="36"/>
  <c r="U87" i="36"/>
  <c r="U97" i="36"/>
  <c r="U19" i="36"/>
  <c r="U20" i="36"/>
  <c r="U99" i="36"/>
  <c r="U101" i="36"/>
  <c r="U102" i="36"/>
  <c r="U88" i="36"/>
  <c r="U22" i="36"/>
  <c r="U23" i="36"/>
  <c r="U105" i="36"/>
  <c r="U106" i="36"/>
  <c r="U89" i="36"/>
  <c r="T117" i="36"/>
  <c r="U113" i="36"/>
  <c r="U114" i="36"/>
  <c r="U107" i="36"/>
  <c r="U115" i="36"/>
  <c r="U25" i="36"/>
  <c r="U26" i="36"/>
  <c r="U111" i="36"/>
  <c r="U116" i="36"/>
  <c r="U90" i="36"/>
  <c r="U91" i="36"/>
  <c r="V87" i="36"/>
  <c r="V97" i="36"/>
  <c r="V19" i="36"/>
  <c r="V20" i="36"/>
  <c r="V99" i="36"/>
  <c r="V101" i="36"/>
  <c r="V102" i="36"/>
  <c r="V88" i="36"/>
  <c r="V22" i="36"/>
  <c r="V23" i="36"/>
  <c r="V105" i="36"/>
  <c r="V106" i="36"/>
  <c r="V89" i="36"/>
  <c r="U117" i="36"/>
  <c r="V113" i="36"/>
  <c r="V114" i="36"/>
  <c r="V107" i="36"/>
  <c r="V115" i="36"/>
  <c r="V25" i="36"/>
  <c r="V26" i="36"/>
  <c r="V111" i="36"/>
  <c r="V116" i="36"/>
  <c r="V90" i="36"/>
  <c r="V91" i="36"/>
  <c r="W87" i="36"/>
  <c r="W97" i="36"/>
  <c r="W19" i="36"/>
  <c r="W20" i="36"/>
  <c r="W99" i="36"/>
  <c r="W101" i="36"/>
  <c r="W102" i="36"/>
  <c r="W88" i="36"/>
  <c r="W22" i="36"/>
  <c r="W23" i="36"/>
  <c r="W105" i="36"/>
  <c r="W106" i="36"/>
  <c r="W89" i="36"/>
  <c r="V117" i="36"/>
  <c r="W113" i="36"/>
  <c r="W114" i="36"/>
  <c r="W107" i="36"/>
  <c r="W115" i="36"/>
  <c r="W25" i="36"/>
  <c r="W26" i="36"/>
  <c r="W111" i="36"/>
  <c r="W116" i="36"/>
  <c r="W90" i="36"/>
  <c r="W91" i="36"/>
  <c r="X87" i="36"/>
  <c r="X97" i="36"/>
  <c r="X19" i="36"/>
  <c r="X20" i="36"/>
  <c r="X99" i="36"/>
  <c r="X101" i="36"/>
  <c r="X102" i="36"/>
  <c r="X88" i="36"/>
  <c r="X22" i="36"/>
  <c r="X23" i="36"/>
  <c r="X105" i="36"/>
  <c r="X106" i="36"/>
  <c r="X89" i="36"/>
  <c r="W117" i="36"/>
  <c r="X113" i="36"/>
  <c r="X114" i="36"/>
  <c r="X107" i="36"/>
  <c r="X115" i="36"/>
  <c r="X25" i="36"/>
  <c r="X26" i="36"/>
  <c r="X111" i="36"/>
  <c r="X116" i="36"/>
  <c r="X90" i="36"/>
  <c r="X91" i="36"/>
  <c r="Y87" i="36"/>
  <c r="Y97" i="36"/>
  <c r="Y19" i="36"/>
  <c r="Y20" i="36"/>
  <c r="Y99" i="36"/>
  <c r="Y101" i="36"/>
  <c r="Y102" i="36"/>
  <c r="Y88" i="36"/>
  <c r="Y22" i="36"/>
  <c r="Y23" i="36"/>
  <c r="Y105" i="36"/>
  <c r="Y106" i="36"/>
  <c r="Y89" i="36"/>
  <c r="X117" i="36"/>
  <c r="Y113" i="36"/>
  <c r="Y114" i="36"/>
  <c r="Y107" i="36"/>
  <c r="Y115" i="36"/>
  <c r="Y25" i="36"/>
  <c r="Y26" i="36"/>
  <c r="Y111" i="36"/>
  <c r="Y116" i="36"/>
  <c r="Y90" i="36"/>
  <c r="Y91" i="36"/>
  <c r="Z87" i="36"/>
  <c r="Z97" i="36"/>
  <c r="Z19" i="36"/>
  <c r="Z20" i="36"/>
  <c r="Z99" i="36"/>
  <c r="Z101" i="36"/>
  <c r="Z102" i="36"/>
  <c r="Z88" i="36"/>
  <c r="Z22" i="36"/>
  <c r="Z23" i="36"/>
  <c r="Z105" i="36"/>
  <c r="Z106" i="36"/>
  <c r="Z89" i="36"/>
  <c r="Y117" i="36"/>
  <c r="Z113" i="36"/>
  <c r="Z114" i="36"/>
  <c r="Z107" i="36"/>
  <c r="Z115" i="36"/>
  <c r="Z25" i="36"/>
  <c r="Z26" i="36"/>
  <c r="Z111" i="36"/>
  <c r="Z116" i="36"/>
  <c r="Z90" i="36"/>
  <c r="Z91" i="36"/>
  <c r="AA87" i="36"/>
  <c r="AA97" i="36"/>
  <c r="AA19" i="36"/>
  <c r="AA20" i="36"/>
  <c r="AA99" i="36"/>
  <c r="AA101" i="36"/>
  <c r="AA102" i="36"/>
  <c r="AA88" i="36"/>
  <c r="AA22" i="36"/>
  <c r="AA23" i="36"/>
  <c r="AA105" i="36"/>
  <c r="AA106" i="36"/>
  <c r="AA89" i="36"/>
  <c r="Z117" i="36"/>
  <c r="AA113" i="36"/>
  <c r="AA114" i="36"/>
  <c r="AA107" i="36"/>
  <c r="AA115" i="36"/>
  <c r="AA25" i="36"/>
  <c r="AA26" i="36"/>
  <c r="AA111" i="36"/>
  <c r="AA116" i="36"/>
  <c r="AA90" i="36"/>
  <c r="AA91" i="36"/>
  <c r="AB87" i="36"/>
  <c r="AB97" i="36"/>
  <c r="AB19" i="36"/>
  <c r="AB20" i="36"/>
  <c r="AB99" i="36"/>
  <c r="AB101" i="36"/>
  <c r="AB102" i="36"/>
  <c r="AB88" i="36"/>
  <c r="AB22" i="36"/>
  <c r="AB23" i="36"/>
  <c r="AB105" i="36"/>
  <c r="AB106" i="36"/>
  <c r="AB89" i="36"/>
  <c r="AA117" i="36"/>
  <c r="AB113" i="36"/>
  <c r="AB114" i="36"/>
  <c r="AB107" i="36"/>
  <c r="AB115" i="36"/>
  <c r="AB25" i="36"/>
  <c r="AB26" i="36"/>
  <c r="AB111" i="36"/>
  <c r="AB116" i="36"/>
  <c r="AB90" i="36"/>
  <c r="AB91" i="36"/>
  <c r="AC87" i="36"/>
  <c r="AC97" i="36"/>
  <c r="AC19" i="36"/>
  <c r="AC20" i="36"/>
  <c r="AC99" i="36"/>
  <c r="AC101" i="36"/>
  <c r="AC102" i="36"/>
  <c r="AC88" i="36"/>
  <c r="AC22" i="36"/>
  <c r="AC23" i="36"/>
  <c r="AC105" i="36"/>
  <c r="AC106" i="36"/>
  <c r="AC89" i="36"/>
  <c r="AB117" i="36"/>
  <c r="AC113" i="36"/>
  <c r="AC114" i="36"/>
  <c r="AC107" i="36"/>
  <c r="AC115" i="36"/>
  <c r="AC25" i="36"/>
  <c r="AC26" i="36"/>
  <c r="AC111" i="36"/>
  <c r="AC116" i="36"/>
  <c r="AC90" i="36"/>
  <c r="AC91" i="36"/>
  <c r="AD87" i="36"/>
  <c r="AD97" i="36"/>
  <c r="AD19" i="36"/>
  <c r="AD20" i="36"/>
  <c r="AD99" i="36"/>
  <c r="AD101" i="36"/>
  <c r="AD102" i="36"/>
  <c r="AD88" i="36"/>
  <c r="AD22" i="36"/>
  <c r="AD23" i="36"/>
  <c r="AD105" i="36"/>
  <c r="AD106" i="36"/>
  <c r="AD89" i="36"/>
  <c r="AC117" i="36"/>
  <c r="AD113" i="36"/>
  <c r="AD114" i="36"/>
  <c r="AD107" i="36"/>
  <c r="AD115" i="36"/>
  <c r="AD25" i="36"/>
  <c r="AD26" i="36"/>
  <c r="AD111" i="36"/>
  <c r="AD116" i="36"/>
  <c r="AD90" i="36"/>
  <c r="AD91" i="36"/>
  <c r="AE87" i="36"/>
  <c r="AE97" i="36"/>
  <c r="AE19" i="36"/>
  <c r="AE20" i="36"/>
  <c r="AE99" i="36"/>
  <c r="AE101" i="36"/>
  <c r="AE102" i="36"/>
  <c r="AE88" i="36"/>
  <c r="AE22" i="36"/>
  <c r="AE23" i="36"/>
  <c r="AE105" i="36"/>
  <c r="AE106" i="36"/>
  <c r="AE89" i="36"/>
  <c r="AD117" i="36"/>
  <c r="AE113" i="36"/>
  <c r="AE114" i="36"/>
  <c r="AE107" i="36"/>
  <c r="AE115" i="36"/>
  <c r="AE25" i="36"/>
  <c r="AE26" i="36"/>
  <c r="AE111" i="36"/>
  <c r="AE116" i="36"/>
  <c r="AE90" i="36"/>
  <c r="AE91" i="36"/>
  <c r="AF87" i="36"/>
  <c r="AF97" i="36"/>
  <c r="AF19" i="36"/>
  <c r="AF20" i="36"/>
  <c r="AF99" i="36"/>
  <c r="AF101" i="36"/>
  <c r="AF102" i="36"/>
  <c r="AF88" i="36"/>
  <c r="AF22" i="36"/>
  <c r="AF23" i="36"/>
  <c r="AF105" i="36"/>
  <c r="AF106" i="36"/>
  <c r="AF89" i="36"/>
  <c r="AE117" i="36"/>
  <c r="AF113" i="36"/>
  <c r="AF114" i="36"/>
  <c r="AF107" i="36"/>
  <c r="AF115" i="36"/>
  <c r="AF25" i="36"/>
  <c r="AF26" i="36"/>
  <c r="AF111" i="36"/>
  <c r="AF116" i="36"/>
  <c r="AF90" i="36"/>
  <c r="AF91" i="36"/>
  <c r="AG87" i="36"/>
  <c r="AG97" i="36"/>
  <c r="AG19" i="36"/>
  <c r="AG20" i="36"/>
  <c r="AG99" i="36"/>
  <c r="AG101" i="36"/>
  <c r="AG102" i="36"/>
  <c r="AG88" i="36"/>
  <c r="AG22" i="36"/>
  <c r="AG23" i="36"/>
  <c r="AG105" i="36"/>
  <c r="AG106" i="36"/>
  <c r="AG89" i="36"/>
  <c r="AF117" i="36"/>
  <c r="AG113" i="36"/>
  <c r="AG114" i="36"/>
  <c r="AG107" i="36"/>
  <c r="AG115" i="36"/>
  <c r="AG25" i="36"/>
  <c r="AG26" i="36"/>
  <c r="AG111" i="36"/>
  <c r="AG116" i="36"/>
  <c r="AG90" i="36"/>
  <c r="AG91" i="36"/>
  <c r="AH87" i="36"/>
  <c r="AH97" i="36"/>
  <c r="AH19" i="36"/>
  <c r="AH20" i="36"/>
  <c r="AH99" i="36"/>
  <c r="AH101" i="36"/>
  <c r="AH102" i="36"/>
  <c r="AH88" i="36"/>
  <c r="AH22" i="36"/>
  <c r="AH23" i="36"/>
  <c r="AH105" i="36"/>
  <c r="AH106" i="36"/>
  <c r="AH89" i="36"/>
  <c r="AG117" i="36"/>
  <c r="AH113" i="36"/>
  <c r="AH114" i="36"/>
  <c r="AH107" i="36"/>
  <c r="AH115" i="36"/>
  <c r="AH25" i="36"/>
  <c r="AH26" i="36"/>
  <c r="AH111" i="36"/>
  <c r="AH116" i="36"/>
  <c r="AH90" i="36"/>
  <c r="AH91" i="36"/>
  <c r="AI87" i="36"/>
  <c r="AI97" i="36"/>
  <c r="AI19" i="36"/>
  <c r="AI20" i="36"/>
  <c r="AI99" i="36"/>
  <c r="AI101" i="36"/>
  <c r="AI102" i="36"/>
  <c r="AI88" i="36"/>
  <c r="AI22" i="36"/>
  <c r="AI23" i="36"/>
  <c r="AI105" i="36"/>
  <c r="AI106" i="36"/>
  <c r="AI89" i="36"/>
  <c r="AH117" i="36"/>
  <c r="AI113" i="36"/>
  <c r="AI114" i="36"/>
  <c r="AI107" i="36"/>
  <c r="AI115" i="36"/>
  <c r="AI25" i="36"/>
  <c r="AI26" i="36"/>
  <c r="AI111" i="36"/>
  <c r="AI116" i="36"/>
  <c r="AI90" i="36"/>
  <c r="AI91" i="36"/>
  <c r="AJ87" i="36"/>
  <c r="AJ97" i="36"/>
  <c r="AJ19" i="36"/>
  <c r="AJ20" i="36"/>
  <c r="AJ99" i="36"/>
  <c r="AJ101" i="36"/>
  <c r="AJ102" i="36"/>
  <c r="AJ88" i="36"/>
  <c r="AJ22" i="36"/>
  <c r="AJ23" i="36"/>
  <c r="AJ105" i="36"/>
  <c r="AJ106" i="36"/>
  <c r="AJ89" i="36"/>
  <c r="AI117" i="36"/>
  <c r="AJ113" i="36"/>
  <c r="AJ114" i="36"/>
  <c r="AJ107" i="36"/>
  <c r="AJ115" i="36"/>
  <c r="AJ25" i="36"/>
  <c r="AJ26" i="36"/>
  <c r="AJ111" i="36"/>
  <c r="AJ116" i="36"/>
  <c r="AJ90" i="36"/>
  <c r="AJ91" i="36"/>
  <c r="AK87" i="36"/>
  <c r="AK97" i="36"/>
  <c r="AK19" i="36"/>
  <c r="AK20" i="36"/>
  <c r="AK99" i="36"/>
  <c r="AK101" i="36"/>
  <c r="AK102" i="36"/>
  <c r="AK88" i="36"/>
  <c r="AK22" i="36"/>
  <c r="AK23" i="36"/>
  <c r="AK105" i="36"/>
  <c r="AK106" i="36"/>
  <c r="AK89" i="36"/>
  <c r="AJ117" i="36"/>
  <c r="AK113" i="36"/>
  <c r="AK114" i="36"/>
  <c r="AK107" i="36"/>
  <c r="AK115" i="36"/>
  <c r="AK25" i="36"/>
  <c r="AK26" i="36"/>
  <c r="AK111" i="36"/>
  <c r="AK116" i="36"/>
  <c r="AK90" i="36"/>
  <c r="AK91" i="36"/>
  <c r="AL87" i="36"/>
  <c r="AL97" i="36"/>
  <c r="AL19" i="36"/>
  <c r="AL20" i="36"/>
  <c r="AL99" i="36"/>
  <c r="AL101" i="36"/>
  <c r="AL102" i="36"/>
  <c r="AL88" i="36"/>
  <c r="AL22" i="36"/>
  <c r="AL23" i="36"/>
  <c r="AL105" i="36"/>
  <c r="AL106" i="36"/>
  <c r="AL89" i="36"/>
  <c r="AK117" i="36"/>
  <c r="AL113" i="36"/>
  <c r="AL114" i="36"/>
  <c r="AL107" i="36"/>
  <c r="AL115" i="36"/>
  <c r="AL25" i="36"/>
  <c r="AL26" i="36"/>
  <c r="AL111" i="36"/>
  <c r="AL116" i="36"/>
  <c r="AL90" i="36"/>
  <c r="AL91" i="36"/>
  <c r="AM87" i="36"/>
  <c r="AM97" i="36"/>
  <c r="AM19" i="36"/>
  <c r="AM20" i="36"/>
  <c r="AM99" i="36"/>
  <c r="AM101" i="36"/>
  <c r="AM102" i="36"/>
  <c r="AM88" i="36"/>
  <c r="AM22" i="36"/>
  <c r="AM23" i="36"/>
  <c r="AM105" i="36"/>
  <c r="AM106" i="36"/>
  <c r="AM89" i="36"/>
  <c r="AL117" i="36"/>
  <c r="AM113" i="36"/>
  <c r="AM114" i="36"/>
  <c r="AM107" i="36"/>
  <c r="AM115" i="36"/>
  <c r="AM25" i="36"/>
  <c r="AM26" i="36"/>
  <c r="AM111" i="36"/>
  <c r="AM116" i="36"/>
  <c r="AM90" i="36"/>
  <c r="AM91" i="36"/>
  <c r="AN87" i="36"/>
  <c r="AN97" i="36"/>
  <c r="AN19" i="36"/>
  <c r="AN20" i="36"/>
  <c r="AN99" i="36"/>
  <c r="AN101" i="36"/>
  <c r="AN102" i="36"/>
  <c r="AN88" i="36"/>
  <c r="AN22" i="36"/>
  <c r="AN23" i="36"/>
  <c r="AN105" i="36"/>
  <c r="AN106" i="36"/>
  <c r="AN89" i="36"/>
  <c r="AM117" i="36"/>
  <c r="AN113" i="36"/>
  <c r="AN114" i="36"/>
  <c r="AN107" i="36"/>
  <c r="AN115" i="36"/>
  <c r="AN25" i="36"/>
  <c r="AN26" i="36"/>
  <c r="AN111" i="36"/>
  <c r="AN116" i="36"/>
  <c r="AN90" i="36"/>
  <c r="AN91" i="36"/>
  <c r="AO87" i="36"/>
  <c r="AO97" i="36"/>
  <c r="AO19" i="36"/>
  <c r="AO20" i="36"/>
  <c r="AO99" i="36"/>
  <c r="AO101" i="36"/>
  <c r="AO102" i="36"/>
  <c r="AO88" i="36"/>
  <c r="AO22" i="36"/>
  <c r="AO23" i="36"/>
  <c r="AO105" i="36"/>
  <c r="AO106" i="36"/>
  <c r="AO89" i="36"/>
  <c r="AN117" i="36"/>
  <c r="AO113" i="36"/>
  <c r="AO114" i="36"/>
  <c r="AO107" i="36"/>
  <c r="AO115" i="36"/>
  <c r="AO25" i="36"/>
  <c r="AO26" i="36"/>
  <c r="AO111" i="36"/>
  <c r="AO116" i="36"/>
  <c r="AO90" i="36"/>
  <c r="AO91" i="36"/>
  <c r="AP87" i="36"/>
  <c r="AP97" i="36"/>
  <c r="AP19" i="36"/>
  <c r="AP20" i="36"/>
  <c r="AP99" i="36"/>
  <c r="AP101" i="36"/>
  <c r="AP102" i="36"/>
  <c r="AP88" i="36"/>
  <c r="AP22" i="36"/>
  <c r="AP23" i="36"/>
  <c r="AP105" i="36"/>
  <c r="AP106" i="36"/>
  <c r="AP89" i="36"/>
  <c r="AO117" i="36"/>
  <c r="AP113" i="36"/>
  <c r="AP114" i="36"/>
  <c r="AP107" i="36"/>
  <c r="AP115" i="36"/>
  <c r="AP25" i="36"/>
  <c r="AP26" i="36"/>
  <c r="AP111" i="36"/>
  <c r="AP116" i="36"/>
  <c r="AP90" i="36"/>
  <c r="AP91" i="36"/>
  <c r="AQ87" i="36"/>
  <c r="AQ97" i="36"/>
  <c r="AQ19" i="36"/>
  <c r="AQ20" i="36"/>
  <c r="AQ99" i="36"/>
  <c r="AQ101" i="36"/>
  <c r="AQ102" i="36"/>
  <c r="AQ88" i="36"/>
  <c r="AQ22" i="36"/>
  <c r="AQ23" i="36"/>
  <c r="AQ105" i="36"/>
  <c r="AQ106" i="36"/>
  <c r="AQ89" i="36"/>
  <c r="AP117" i="36"/>
  <c r="AQ113" i="36"/>
  <c r="AQ114" i="36"/>
  <c r="AQ107" i="36"/>
  <c r="AQ115" i="36"/>
  <c r="AQ25" i="36"/>
  <c r="AQ26" i="36"/>
  <c r="AQ111" i="36"/>
  <c r="AQ116" i="36"/>
  <c r="AQ90" i="36"/>
  <c r="AQ91" i="36"/>
  <c r="AR87" i="36"/>
  <c r="AR97" i="36"/>
  <c r="AR19" i="36"/>
  <c r="AR20" i="36"/>
  <c r="AR99" i="36"/>
  <c r="AR101" i="36"/>
  <c r="AR102" i="36"/>
  <c r="AR88" i="36"/>
  <c r="AR22" i="36"/>
  <c r="AR23" i="36"/>
  <c r="AR105" i="36"/>
  <c r="AR106" i="36"/>
  <c r="AR89" i="36"/>
  <c r="AQ117" i="36"/>
  <c r="AR113" i="36"/>
  <c r="AR114" i="36"/>
  <c r="AR107" i="36"/>
  <c r="AR115" i="36"/>
  <c r="AR25" i="36"/>
  <c r="AR26" i="36"/>
  <c r="AR111" i="36"/>
  <c r="AR116" i="36"/>
  <c r="AR90" i="36"/>
  <c r="AR91" i="36"/>
  <c r="AS87" i="36"/>
  <c r="AS97" i="36"/>
  <c r="AS19" i="36"/>
  <c r="AS20" i="36"/>
  <c r="AS99" i="36"/>
  <c r="AS101" i="36"/>
  <c r="AS102" i="36"/>
  <c r="AS88" i="36"/>
  <c r="AS22" i="36"/>
  <c r="AS23" i="36"/>
  <c r="AS105" i="36"/>
  <c r="AS106" i="36"/>
  <c r="AS89" i="36"/>
  <c r="AR117" i="36"/>
  <c r="AS113" i="36"/>
  <c r="AS114" i="36"/>
  <c r="AS107" i="36"/>
  <c r="AS115" i="36"/>
  <c r="AS25" i="36"/>
  <c r="AS26" i="36"/>
  <c r="AS111" i="36"/>
  <c r="AS116" i="36"/>
  <c r="AS90" i="36"/>
  <c r="AS91" i="36"/>
  <c r="AT87" i="36"/>
  <c r="AT97" i="36"/>
  <c r="AT19" i="36"/>
  <c r="AT20" i="36"/>
  <c r="AT99" i="36"/>
  <c r="AT101" i="36"/>
  <c r="AT102" i="36"/>
  <c r="AT88" i="36"/>
  <c r="AT22" i="36"/>
  <c r="AT23" i="36"/>
  <c r="AT105" i="36"/>
  <c r="AT106" i="36"/>
  <c r="AT89" i="36"/>
  <c r="AS117" i="36"/>
  <c r="AT113" i="36"/>
  <c r="AT114" i="36"/>
  <c r="AT107" i="36"/>
  <c r="AT115" i="36"/>
  <c r="AT25" i="36"/>
  <c r="AT26" i="36"/>
  <c r="AT111" i="36"/>
  <c r="AT116" i="36"/>
  <c r="AT90" i="36"/>
  <c r="AT91" i="36"/>
  <c r="AU87" i="36"/>
  <c r="AU97" i="36"/>
  <c r="AU19" i="36"/>
  <c r="AU20" i="36"/>
  <c r="AU99" i="36"/>
  <c r="AU101" i="36"/>
  <c r="AU102" i="36"/>
  <c r="AU88" i="36"/>
  <c r="AU22" i="36"/>
  <c r="AU23" i="36"/>
  <c r="AU105" i="36"/>
  <c r="AU106" i="36"/>
  <c r="AU89" i="36"/>
  <c r="AT117" i="36"/>
  <c r="AU113" i="36"/>
  <c r="AU114" i="36"/>
  <c r="AU107" i="36"/>
  <c r="AU115" i="36"/>
  <c r="AU25" i="36"/>
  <c r="AU26" i="36"/>
  <c r="AU111" i="36"/>
  <c r="AU116" i="36"/>
  <c r="AU90" i="36"/>
  <c r="AU91" i="36"/>
  <c r="AV87" i="36"/>
  <c r="AV97" i="36"/>
  <c r="AV19" i="36"/>
  <c r="AV20" i="36"/>
  <c r="AV99" i="36"/>
  <c r="AV101" i="36"/>
  <c r="AV102" i="36"/>
  <c r="AV88" i="36"/>
  <c r="AV22" i="36"/>
  <c r="AV23" i="36"/>
  <c r="AV105" i="36"/>
  <c r="AV106" i="36"/>
  <c r="AV89" i="36"/>
  <c r="AU117" i="36"/>
  <c r="AV113" i="36"/>
  <c r="AV114" i="36"/>
  <c r="AV107" i="36"/>
  <c r="AV115" i="36"/>
  <c r="AV25" i="36"/>
  <c r="AV26" i="36"/>
  <c r="AV111" i="36"/>
  <c r="AV116" i="36"/>
  <c r="AV90" i="36"/>
  <c r="AV91" i="36"/>
  <c r="AW87" i="36"/>
  <c r="AW97" i="36"/>
  <c r="AW9" i="36"/>
  <c r="AW10" i="36"/>
  <c r="AW12" i="36"/>
  <c r="AW13" i="36"/>
  <c r="AW14" i="36"/>
  <c r="AW16" i="36"/>
  <c r="AW55" i="36"/>
  <c r="AW17" i="36"/>
  <c r="AW44" i="36"/>
  <c r="AW45" i="36"/>
  <c r="AW18" i="36"/>
  <c r="AW56" i="36"/>
  <c r="AW57" i="36"/>
  <c r="AW58" i="36"/>
  <c r="AW19" i="36"/>
  <c r="AW20" i="36"/>
  <c r="AW99" i="36"/>
  <c r="AW101" i="36"/>
  <c r="AW102" i="36"/>
  <c r="AW88" i="36"/>
  <c r="AW22" i="36"/>
  <c r="AW23" i="36"/>
  <c r="AW105" i="36"/>
  <c r="AW106" i="36"/>
  <c r="AW89" i="36"/>
  <c r="AV117" i="36"/>
  <c r="AW113" i="36"/>
  <c r="AW114" i="36"/>
  <c r="AW107" i="36"/>
  <c r="AW115" i="36"/>
  <c r="AW25" i="36"/>
  <c r="AW26" i="36"/>
  <c r="AW111" i="36"/>
  <c r="AW116" i="36"/>
  <c r="AW90" i="36"/>
  <c r="AW91" i="36"/>
  <c r="H80" i="36"/>
  <c r="M28" i="36"/>
  <c r="M29" i="36"/>
  <c r="L28" i="36"/>
  <c r="L29" i="36"/>
  <c r="K28" i="36"/>
  <c r="K29" i="36"/>
  <c r="J28" i="36"/>
  <c r="J29" i="36"/>
  <c r="AW74" i="36"/>
  <c r="R85" i="35"/>
  <c r="R13" i="35"/>
  <c r="R37" i="35"/>
  <c r="R48" i="35"/>
  <c r="S85" i="35"/>
  <c r="S13" i="35"/>
  <c r="S37" i="35"/>
  <c r="T13" i="35"/>
  <c r="T85" i="35"/>
  <c r="S48" i="35"/>
  <c r="U85" i="35"/>
  <c r="U13" i="35"/>
  <c r="T37" i="35"/>
  <c r="T48" i="35"/>
  <c r="U37" i="35"/>
  <c r="V85" i="35"/>
  <c r="V13" i="35"/>
  <c r="W85" i="35"/>
  <c r="W13" i="35"/>
  <c r="V37" i="35"/>
  <c r="U48" i="35"/>
  <c r="X13" i="35"/>
  <c r="X85" i="35"/>
  <c r="W37" i="35"/>
  <c r="V48" i="35"/>
  <c r="W48" i="35"/>
  <c r="X37" i="35"/>
  <c r="X48" i="35"/>
  <c r="Y85" i="35"/>
  <c r="Y13" i="35"/>
  <c r="Z13" i="35"/>
  <c r="Z85" i="35"/>
  <c r="Y37" i="35"/>
  <c r="Y48" i="35"/>
  <c r="AA85" i="35"/>
  <c r="AA13" i="35"/>
  <c r="Z37" i="35"/>
  <c r="AB85" i="35"/>
  <c r="AB13" i="35"/>
  <c r="Z48" i="35"/>
  <c r="R38" i="35"/>
  <c r="AA37" i="35"/>
  <c r="AA48" i="35"/>
  <c r="AC13" i="35"/>
  <c r="AC85" i="35"/>
  <c r="R68" i="35"/>
  <c r="S36" i="35"/>
  <c r="R15" i="35"/>
  <c r="R44" i="35"/>
  <c r="AB37" i="35"/>
  <c r="S41" i="35"/>
  <c r="S38" i="35"/>
  <c r="AB48" i="35"/>
  <c r="AD85" i="35"/>
  <c r="AD13" i="35"/>
  <c r="AC37" i="35"/>
  <c r="AD37" i="35"/>
  <c r="AE85" i="35"/>
  <c r="AE13" i="35"/>
  <c r="S68" i="35"/>
  <c r="T36" i="35"/>
  <c r="S14" i="35"/>
  <c r="S15" i="35"/>
  <c r="S47" i="35"/>
  <c r="AC48" i="35"/>
  <c r="T41" i="35"/>
  <c r="T38" i="35"/>
  <c r="AF85" i="35"/>
  <c r="AF13" i="35"/>
  <c r="AE37" i="35"/>
  <c r="AD48" i="35"/>
  <c r="T68" i="35"/>
  <c r="U36" i="35"/>
  <c r="AG85" i="35"/>
  <c r="AG13" i="35"/>
  <c r="AF37" i="35"/>
  <c r="AF48" i="35"/>
  <c r="AE48" i="35"/>
  <c r="T14" i="35"/>
  <c r="T15" i="35"/>
  <c r="T47" i="35"/>
  <c r="AG37" i="35"/>
  <c r="U38" i="35"/>
  <c r="U41" i="35"/>
  <c r="AH85" i="35"/>
  <c r="AH13" i="35"/>
  <c r="AI85" i="35"/>
  <c r="AI13" i="35"/>
  <c r="U14" i="35"/>
  <c r="U15" i="35"/>
  <c r="U47" i="35"/>
  <c r="U68" i="35"/>
  <c r="V36" i="35"/>
  <c r="AH37" i="35"/>
  <c r="AG48" i="35"/>
  <c r="V41" i="35"/>
  <c r="V38" i="35"/>
  <c r="AH48" i="35"/>
  <c r="AI37" i="35"/>
  <c r="AJ13" i="35"/>
  <c r="AJ85" i="35"/>
  <c r="AK85" i="35"/>
  <c r="AK13" i="35"/>
  <c r="AJ37" i="35"/>
  <c r="W36" i="35"/>
  <c r="V68" i="35"/>
  <c r="V14" i="35"/>
  <c r="V15" i="35"/>
  <c r="V47" i="35"/>
  <c r="AI48" i="35"/>
  <c r="AJ48" i="35"/>
  <c r="W38" i="35"/>
  <c r="W41" i="35"/>
  <c r="AK37" i="35"/>
  <c r="AL85" i="35"/>
  <c r="AL13" i="35"/>
  <c r="W14" i="35"/>
  <c r="W15" i="35"/>
  <c r="W47" i="35"/>
  <c r="AM85" i="35"/>
  <c r="AM13" i="35"/>
  <c r="AK48" i="35"/>
  <c r="X36" i="35"/>
  <c r="W68" i="35"/>
  <c r="AL37" i="35"/>
  <c r="X41" i="35"/>
  <c r="X38" i="35"/>
  <c r="AL48" i="35"/>
  <c r="AM37" i="35"/>
  <c r="AN85" i="35"/>
  <c r="AN13" i="35"/>
  <c r="AN37" i="35"/>
  <c r="AO85" i="35"/>
  <c r="AO13" i="35"/>
  <c r="Y36" i="35"/>
  <c r="X68" i="35"/>
  <c r="X14" i="35"/>
  <c r="X15" i="35"/>
  <c r="X47" i="35"/>
  <c r="AM48" i="35"/>
  <c r="AP85" i="35"/>
  <c r="AP13" i="35"/>
  <c r="AO37" i="35"/>
  <c r="Y41" i="35"/>
  <c r="Y38" i="35"/>
  <c r="AN48" i="35"/>
  <c r="AO48" i="35"/>
  <c r="AQ13" i="35"/>
  <c r="AQ85" i="35"/>
  <c r="Y68" i="35"/>
  <c r="Z36" i="35"/>
  <c r="Y14" i="35"/>
  <c r="Y15" i="35"/>
  <c r="Y47" i="35"/>
  <c r="AP37" i="35"/>
  <c r="AP48" i="35"/>
  <c r="Z41" i="35"/>
  <c r="Z38" i="35"/>
  <c r="AR85" i="35"/>
  <c r="AR13" i="35"/>
  <c r="AQ37" i="35"/>
  <c r="AQ48" i="35"/>
  <c r="AS85" i="35"/>
  <c r="AS13" i="35"/>
  <c r="AR37" i="35"/>
  <c r="AA36" i="35"/>
  <c r="Z68" i="35"/>
  <c r="Z14" i="35"/>
  <c r="Z15" i="35"/>
  <c r="Z47" i="35"/>
  <c r="AA41" i="35"/>
  <c r="AA38" i="35"/>
  <c r="AT85" i="35"/>
  <c r="AT13" i="35"/>
  <c r="AS37" i="35"/>
  <c r="AR48" i="35"/>
  <c r="AU85" i="35"/>
  <c r="AU13" i="35"/>
  <c r="AS48" i="35"/>
  <c r="AT37" i="35"/>
  <c r="AT48" i="35"/>
  <c r="AB36" i="35"/>
  <c r="AA68" i="35"/>
  <c r="AA14" i="35"/>
  <c r="AA15" i="35"/>
  <c r="AA47" i="35"/>
  <c r="AU37" i="35"/>
  <c r="AU48" i="35"/>
  <c r="AB38" i="35"/>
  <c r="AB41" i="35"/>
  <c r="AV85" i="35"/>
  <c r="AV13" i="35"/>
  <c r="AV37" i="35"/>
  <c r="AW13" i="35"/>
  <c r="AW85" i="35"/>
  <c r="AB14" i="35"/>
  <c r="AB15" i="35"/>
  <c r="AB47" i="35"/>
  <c r="AC36" i="35"/>
  <c r="AB68" i="35"/>
  <c r="AW37" i="35"/>
  <c r="AW48" i="35"/>
  <c r="AV48" i="35"/>
  <c r="AC38" i="35"/>
  <c r="AC41" i="35"/>
  <c r="AC14" i="35"/>
  <c r="AC15" i="35"/>
  <c r="AC47" i="35"/>
  <c r="AC68" i="35"/>
  <c r="AD36" i="35"/>
  <c r="AD41" i="35"/>
  <c r="AD38" i="35"/>
  <c r="AE36" i="35"/>
  <c r="AD68" i="35"/>
  <c r="AD14" i="35"/>
  <c r="AD15" i="35"/>
  <c r="AD47" i="35"/>
  <c r="AE41" i="35"/>
  <c r="AE38" i="35"/>
  <c r="AE68" i="35"/>
  <c r="AF36" i="35"/>
  <c r="AE14" i="35"/>
  <c r="AE15" i="35"/>
  <c r="AE47" i="35"/>
  <c r="AF41" i="35"/>
  <c r="AF38" i="35"/>
  <c r="AG36" i="35"/>
  <c r="AF68" i="35"/>
  <c r="AF14" i="35"/>
  <c r="AF15" i="35"/>
  <c r="AF47" i="35"/>
  <c r="AG38" i="35"/>
  <c r="AG41" i="35"/>
  <c r="AG14" i="35"/>
  <c r="AG15" i="35"/>
  <c r="AG47" i="35"/>
  <c r="AH36" i="35"/>
  <c r="AG68" i="35"/>
  <c r="AH38" i="35"/>
  <c r="AH41" i="35"/>
  <c r="AH14" i="35"/>
  <c r="AH15" i="35"/>
  <c r="AH47" i="35"/>
  <c r="AI36" i="35"/>
  <c r="AH68" i="35"/>
  <c r="AI41" i="35"/>
  <c r="AI38" i="35"/>
  <c r="AI14" i="35"/>
  <c r="AI15" i="35"/>
  <c r="AI47" i="35"/>
  <c r="AI68" i="35"/>
  <c r="AJ36" i="35"/>
  <c r="AJ38" i="35"/>
  <c r="AJ41" i="35"/>
  <c r="AJ14" i="35"/>
  <c r="AJ15" i="35"/>
  <c r="AJ47" i="35"/>
  <c r="AK36" i="35"/>
  <c r="AJ68" i="35"/>
  <c r="AK41" i="35"/>
  <c r="AK38" i="35"/>
  <c r="AK68" i="35"/>
  <c r="AL36" i="35"/>
  <c r="AK14" i="35"/>
  <c r="AK15" i="35"/>
  <c r="AK47" i="35"/>
  <c r="AL38" i="35"/>
  <c r="AL41" i="35"/>
  <c r="AL14" i="35"/>
  <c r="AL15" i="35"/>
  <c r="AL47" i="35"/>
  <c r="AM36" i="35"/>
  <c r="AL68" i="35"/>
  <c r="AM41" i="35"/>
  <c r="AM38" i="35"/>
  <c r="AM68" i="35"/>
  <c r="AN36" i="35"/>
  <c r="AM14" i="35"/>
  <c r="AM15" i="35"/>
  <c r="AM47" i="35"/>
  <c r="AN38" i="35"/>
  <c r="AN41" i="35"/>
  <c r="AN14" i="35"/>
  <c r="AN15" i="35"/>
  <c r="AN47" i="35"/>
  <c r="AN68" i="35"/>
  <c r="AO36" i="35"/>
  <c r="AO38" i="35"/>
  <c r="AO41" i="35"/>
  <c r="AO14" i="35"/>
  <c r="AO15" i="35"/>
  <c r="AO47" i="35"/>
  <c r="AO68" i="35"/>
  <c r="AP36" i="35"/>
  <c r="AP38" i="35"/>
  <c r="AP41" i="35"/>
  <c r="AP14" i="35"/>
  <c r="AP15" i="35"/>
  <c r="AP47" i="35"/>
  <c r="AP68" i="35"/>
  <c r="AQ36" i="35"/>
  <c r="AQ41" i="35"/>
  <c r="AQ38" i="35"/>
  <c r="AQ14" i="35"/>
  <c r="AQ15" i="35"/>
  <c r="AQ47" i="35"/>
  <c r="AR36" i="35"/>
  <c r="AQ68" i="35"/>
  <c r="AR41" i="35"/>
  <c r="AR38" i="35"/>
  <c r="AS36" i="35"/>
  <c r="AR68" i="35"/>
  <c r="AR14" i="35"/>
  <c r="AR15" i="35"/>
  <c r="AR47" i="35"/>
  <c r="AS41" i="35"/>
  <c r="AS38" i="35"/>
  <c r="AT36" i="35"/>
  <c r="AS68" i="35"/>
  <c r="AS14" i="35"/>
  <c r="AS15" i="35"/>
  <c r="AS47" i="35"/>
  <c r="AT38" i="35"/>
  <c r="AT41" i="35"/>
  <c r="AT14" i="35"/>
  <c r="AT15" i="35"/>
  <c r="AT47" i="35"/>
  <c r="AT68" i="35"/>
  <c r="AU36" i="35"/>
  <c r="AU41" i="35"/>
  <c r="AU38" i="35"/>
  <c r="AV36" i="35"/>
  <c r="AU68" i="35"/>
  <c r="AU14" i="35"/>
  <c r="AU15" i="35"/>
  <c r="AU47" i="35"/>
  <c r="AV41" i="35"/>
  <c r="AV38" i="35"/>
  <c r="AW36" i="35"/>
  <c r="AV68" i="35"/>
  <c r="AV14" i="35"/>
  <c r="AV15" i="35"/>
  <c r="AV47" i="35"/>
  <c r="AW41" i="35"/>
  <c r="AW38" i="35"/>
  <c r="AW68" i="35"/>
  <c r="AW14" i="35"/>
  <c r="AW15" i="35"/>
  <c r="AW47" i="35"/>
  <c r="H101" i="36"/>
  <c r="H97" i="36"/>
  <c r="H65" i="36"/>
  <c r="AW28" i="36"/>
  <c r="AW29" i="36"/>
  <c r="AV28" i="36"/>
  <c r="AV29" i="36"/>
  <c r="AU28" i="36"/>
  <c r="AU29" i="36"/>
  <c r="AT28" i="36"/>
  <c r="AT29" i="36"/>
  <c r="AS28" i="36"/>
  <c r="AS29" i="36"/>
  <c r="AR28" i="36"/>
  <c r="AR29" i="36"/>
  <c r="AQ28" i="36"/>
  <c r="AQ29" i="36"/>
  <c r="AP28" i="36"/>
  <c r="AP29" i="36"/>
  <c r="AO28" i="36"/>
  <c r="AO29" i="36"/>
  <c r="AN28" i="36"/>
  <c r="AN29" i="36"/>
  <c r="AM28" i="36"/>
  <c r="AM29" i="36"/>
  <c r="AL28" i="36"/>
  <c r="AL29" i="36"/>
  <c r="AK28" i="36"/>
  <c r="AK29" i="36"/>
  <c r="AJ28" i="36"/>
  <c r="AJ29" i="36"/>
  <c r="AI28" i="36"/>
  <c r="AI29" i="36"/>
  <c r="AH28" i="36"/>
  <c r="AH29" i="36"/>
  <c r="AG28" i="36"/>
  <c r="AG29" i="36"/>
  <c r="AF28" i="36"/>
  <c r="AF29" i="36"/>
  <c r="AE28" i="36"/>
  <c r="AE29" i="36"/>
  <c r="AD28" i="36"/>
  <c r="AD29" i="36"/>
  <c r="AC28" i="36"/>
  <c r="AC29" i="36"/>
  <c r="AB28" i="36"/>
  <c r="AB29" i="36"/>
  <c r="AA28" i="36"/>
  <c r="AA29" i="36"/>
  <c r="Z28" i="36"/>
  <c r="Z29" i="36"/>
  <c r="Y28" i="36"/>
  <c r="Y29" i="36"/>
  <c r="X28" i="36"/>
  <c r="X29" i="36"/>
  <c r="W28" i="36"/>
  <c r="W29" i="36"/>
  <c r="V28" i="36"/>
  <c r="V29" i="36"/>
  <c r="U28" i="36"/>
  <c r="U29" i="36"/>
  <c r="T28" i="36"/>
  <c r="T29" i="36"/>
  <c r="S28" i="36"/>
  <c r="S29" i="36"/>
  <c r="R28" i="36"/>
  <c r="R29" i="36"/>
  <c r="Q28" i="36"/>
  <c r="Q29" i="36"/>
  <c r="P28" i="36"/>
  <c r="P29" i="36"/>
  <c r="O28" i="36"/>
  <c r="O29" i="36"/>
  <c r="N28" i="36"/>
  <c r="N29" i="36"/>
  <c r="AW117" i="36"/>
  <c r="AW59" i="36"/>
  <c r="R17" i="35"/>
  <c r="R19" i="35"/>
  <c r="R59" i="35"/>
  <c r="R20" i="35"/>
  <c r="R60" i="35"/>
  <c r="R50" i="35"/>
  <c r="R53" i="35"/>
  <c r="R54" i="35"/>
  <c r="R21" i="35"/>
  <c r="R61" i="35"/>
  <c r="R62" i="35"/>
  <c r="R63" i="35"/>
  <c r="S58" i="35"/>
  <c r="S66" i="35"/>
  <c r="S10" i="35"/>
  <c r="S11" i="35"/>
  <c r="S17" i="35"/>
  <c r="S19" i="35"/>
  <c r="S59" i="35"/>
  <c r="S20" i="35"/>
  <c r="S60" i="35"/>
  <c r="S46" i="35"/>
  <c r="S50" i="35"/>
  <c r="S53" i="35"/>
  <c r="S54" i="35"/>
  <c r="S21" i="35"/>
  <c r="S61" i="35"/>
  <c r="S62" i="35"/>
  <c r="S63" i="35"/>
  <c r="T58" i="35"/>
  <c r="T66" i="35"/>
  <c r="T10" i="35"/>
  <c r="T11" i="35"/>
  <c r="T17" i="35"/>
  <c r="T19" i="35"/>
  <c r="T59" i="35"/>
  <c r="T20" i="35"/>
  <c r="T60" i="35"/>
  <c r="T46" i="35"/>
  <c r="T50" i="35"/>
  <c r="T53" i="35"/>
  <c r="T54" i="35"/>
  <c r="T21" i="35"/>
  <c r="T61" i="35"/>
  <c r="T62" i="35"/>
  <c r="T63" i="35"/>
  <c r="U58" i="35"/>
  <c r="U66" i="35"/>
  <c r="U10" i="35"/>
  <c r="U11" i="35"/>
  <c r="U17" i="35"/>
  <c r="U19" i="35"/>
  <c r="U59" i="35"/>
  <c r="U20" i="35"/>
  <c r="U60" i="35"/>
  <c r="U46" i="35"/>
  <c r="U50" i="35"/>
  <c r="U53" i="35"/>
  <c r="U54" i="35"/>
  <c r="U21" i="35"/>
  <c r="U61" i="35"/>
  <c r="U62" i="35"/>
  <c r="U63" i="35"/>
  <c r="V58" i="35"/>
  <c r="V66" i="35"/>
  <c r="V10" i="35"/>
  <c r="V11" i="35"/>
  <c r="V17" i="35"/>
  <c r="V19" i="35"/>
  <c r="V59" i="35"/>
  <c r="V20" i="35"/>
  <c r="V60" i="35"/>
  <c r="V46" i="35"/>
  <c r="V50" i="35"/>
  <c r="V53" i="35"/>
  <c r="V54" i="35"/>
  <c r="V21" i="35"/>
  <c r="V61" i="35"/>
  <c r="V62" i="35"/>
  <c r="V63" i="35"/>
  <c r="W58" i="35"/>
  <c r="W66" i="35"/>
  <c r="W10" i="35"/>
  <c r="W11" i="35"/>
  <c r="W17" i="35"/>
  <c r="W19" i="35"/>
  <c r="W59" i="35"/>
  <c r="W20" i="35"/>
  <c r="W60" i="35"/>
  <c r="W46" i="35"/>
  <c r="W50" i="35"/>
  <c r="W53" i="35"/>
  <c r="W54" i="35"/>
  <c r="W21" i="35"/>
  <c r="W61" i="35"/>
  <c r="W62" i="35"/>
  <c r="W63" i="35"/>
  <c r="X58" i="35"/>
  <c r="X66" i="35"/>
  <c r="X10" i="35"/>
  <c r="X11" i="35"/>
  <c r="X17" i="35"/>
  <c r="X19" i="35"/>
  <c r="X59" i="35"/>
  <c r="X20" i="35"/>
  <c r="X60" i="35"/>
  <c r="X46" i="35"/>
  <c r="X50" i="35"/>
  <c r="X53" i="35"/>
  <c r="X54" i="35"/>
  <c r="X21" i="35"/>
  <c r="X61" i="35"/>
  <c r="X62" i="35"/>
  <c r="X63" i="35"/>
  <c r="Y58" i="35"/>
  <c r="Y66" i="35"/>
  <c r="Y10" i="35"/>
  <c r="Y11" i="35"/>
  <c r="Y17" i="35"/>
  <c r="Y19" i="35"/>
  <c r="Y59" i="35"/>
  <c r="Y20" i="35"/>
  <c r="Y60" i="35"/>
  <c r="Y46" i="35"/>
  <c r="Y50" i="35"/>
  <c r="Y53" i="35"/>
  <c r="Y54" i="35"/>
  <c r="Y21" i="35"/>
  <c r="Y61" i="35"/>
  <c r="Y62" i="35"/>
  <c r="Y63" i="35"/>
  <c r="Z58" i="35"/>
  <c r="Z66" i="35"/>
  <c r="Z10" i="35"/>
  <c r="Z11" i="35"/>
  <c r="Z17" i="35"/>
  <c r="Z19" i="35"/>
  <c r="Z59" i="35"/>
  <c r="Z20" i="35"/>
  <c r="Z60" i="35"/>
  <c r="Z46" i="35"/>
  <c r="Z50" i="35"/>
  <c r="Z53" i="35"/>
  <c r="Z54" i="35"/>
  <c r="Z21" i="35"/>
  <c r="Z61" i="35"/>
  <c r="Z62" i="35"/>
  <c r="Z63" i="35"/>
  <c r="AA58" i="35"/>
  <c r="AA66" i="35"/>
  <c r="AA10" i="35"/>
  <c r="AA11" i="35"/>
  <c r="AA17" i="35"/>
  <c r="AA19" i="35"/>
  <c r="AA59" i="35"/>
  <c r="AA20" i="35"/>
  <c r="AA60" i="35"/>
  <c r="AA46" i="35"/>
  <c r="AA50" i="35"/>
  <c r="AA53" i="35"/>
  <c r="AA54" i="35"/>
  <c r="AA21" i="35"/>
  <c r="AA61" i="35"/>
  <c r="AA62" i="35"/>
  <c r="AA63" i="35"/>
  <c r="AB58" i="35"/>
  <c r="AB66" i="35"/>
  <c r="AB10" i="35"/>
  <c r="AB11" i="35"/>
  <c r="AB17" i="35"/>
  <c r="AB19" i="35"/>
  <c r="AB59" i="35"/>
  <c r="AB20" i="35"/>
  <c r="AB60" i="35"/>
  <c r="AB46" i="35"/>
  <c r="AB50" i="35"/>
  <c r="AB53" i="35"/>
  <c r="AB54" i="35"/>
  <c r="AB21" i="35"/>
  <c r="AB61" i="35"/>
  <c r="AB62" i="35"/>
  <c r="AB63" i="35"/>
  <c r="AC58" i="35"/>
  <c r="AC66" i="35"/>
  <c r="AC10" i="35"/>
  <c r="AC11" i="35"/>
  <c r="AC17" i="35"/>
  <c r="AC19" i="35"/>
  <c r="AC59" i="35"/>
  <c r="AC20" i="35"/>
  <c r="AC60" i="35"/>
  <c r="AC46" i="35"/>
  <c r="AC50" i="35"/>
  <c r="AC53" i="35"/>
  <c r="AC54" i="35"/>
  <c r="AC21" i="35"/>
  <c r="AC61" i="35"/>
  <c r="AC62" i="35"/>
  <c r="AC63" i="35"/>
  <c r="AD58" i="35"/>
  <c r="AD66" i="35"/>
  <c r="AD10" i="35"/>
  <c r="AD11" i="35"/>
  <c r="AD17" i="35"/>
  <c r="AD19" i="35"/>
  <c r="AD59" i="35"/>
  <c r="AD20" i="35"/>
  <c r="AD60" i="35"/>
  <c r="AD46" i="35"/>
  <c r="AD50" i="35"/>
  <c r="AD53" i="35"/>
  <c r="AD54" i="35"/>
  <c r="AD21" i="35"/>
  <c r="AD61" i="35"/>
  <c r="AD62" i="35"/>
  <c r="AD63" i="35"/>
  <c r="AE58" i="35"/>
  <c r="AE66" i="35"/>
  <c r="AE10" i="35"/>
  <c r="AE11" i="35"/>
  <c r="AE17" i="35"/>
  <c r="AE19" i="35"/>
  <c r="AE59" i="35"/>
  <c r="AE20" i="35"/>
  <c r="AE60" i="35"/>
  <c r="AE46" i="35"/>
  <c r="AE50" i="35"/>
  <c r="AE53" i="35"/>
  <c r="AE54" i="35"/>
  <c r="AE21" i="35"/>
  <c r="AE61" i="35"/>
  <c r="AE62" i="35"/>
  <c r="AE63" i="35"/>
  <c r="AF58" i="35"/>
  <c r="AF66" i="35"/>
  <c r="AF10" i="35"/>
  <c r="AF11" i="35"/>
  <c r="AF17" i="35"/>
  <c r="AF19" i="35"/>
  <c r="AF59" i="35"/>
  <c r="AF20" i="35"/>
  <c r="AF60" i="35"/>
  <c r="AF46" i="35"/>
  <c r="AF50" i="35"/>
  <c r="AF53" i="35"/>
  <c r="AF54" i="35"/>
  <c r="AF21" i="35"/>
  <c r="AF61" i="35"/>
  <c r="AF62" i="35"/>
  <c r="AF63" i="35"/>
  <c r="AG58" i="35"/>
  <c r="AG66" i="35"/>
  <c r="AG10" i="35"/>
  <c r="AG11" i="35"/>
  <c r="AG17" i="35"/>
  <c r="AG19" i="35"/>
  <c r="AG59" i="35"/>
  <c r="AG20" i="35"/>
  <c r="AG60" i="35"/>
  <c r="AG46" i="35"/>
  <c r="AG50" i="35"/>
  <c r="AG53" i="35"/>
  <c r="AG54" i="35"/>
  <c r="AG21" i="35"/>
  <c r="AG61" i="35"/>
  <c r="AG62" i="35"/>
  <c r="AG63" i="35"/>
  <c r="AH58" i="35"/>
  <c r="AH66" i="35"/>
  <c r="AH10" i="35"/>
  <c r="AH11" i="35"/>
  <c r="AH17" i="35"/>
  <c r="AH19" i="35"/>
  <c r="AH59" i="35"/>
  <c r="AH20" i="35"/>
  <c r="AH60" i="35"/>
  <c r="AH46" i="35"/>
  <c r="AH50" i="35"/>
  <c r="AH53" i="35"/>
  <c r="AH54" i="35"/>
  <c r="AH21" i="35"/>
  <c r="AH61" i="35"/>
  <c r="AH62" i="35"/>
  <c r="AH63" i="35"/>
  <c r="AI58" i="35"/>
  <c r="AI66" i="35"/>
  <c r="AI10" i="35"/>
  <c r="AI11" i="35"/>
  <c r="AI17" i="35"/>
  <c r="AI19" i="35"/>
  <c r="AI59" i="35"/>
  <c r="AI20" i="35"/>
  <c r="AI60" i="35"/>
  <c r="AI46" i="35"/>
  <c r="AI50" i="35"/>
  <c r="AI53" i="35"/>
  <c r="AI54" i="35"/>
  <c r="AI21" i="35"/>
  <c r="AI61" i="35"/>
  <c r="AI62" i="35"/>
  <c r="AI63" i="35"/>
  <c r="AJ58" i="35"/>
  <c r="AJ66" i="35"/>
  <c r="AJ10" i="35"/>
  <c r="AJ11" i="35"/>
  <c r="AJ17" i="35"/>
  <c r="AJ19" i="35"/>
  <c r="AJ59" i="35"/>
  <c r="AJ20" i="35"/>
  <c r="AJ60" i="35"/>
  <c r="AJ46" i="35"/>
  <c r="AJ50" i="35"/>
  <c r="AJ53" i="35"/>
  <c r="AJ54" i="35"/>
  <c r="AJ21" i="35"/>
  <c r="AJ61" i="35"/>
  <c r="AJ62" i="35"/>
  <c r="AJ63" i="35"/>
  <c r="AK58" i="35"/>
  <c r="AK66" i="35"/>
  <c r="AK10" i="35"/>
  <c r="AK11" i="35"/>
  <c r="AK17" i="35"/>
  <c r="AK19" i="35"/>
  <c r="AK59" i="35"/>
  <c r="AK20" i="35"/>
  <c r="AK60" i="35"/>
  <c r="AK46" i="35"/>
  <c r="AK50" i="35"/>
  <c r="AK53" i="35"/>
  <c r="AK54" i="35"/>
  <c r="AK21" i="35"/>
  <c r="AK61" i="35"/>
  <c r="AK62" i="35"/>
  <c r="AK63" i="35"/>
  <c r="AL58" i="35"/>
  <c r="AL66" i="35"/>
  <c r="AL10" i="35"/>
  <c r="AL11" i="35"/>
  <c r="AL17" i="35"/>
  <c r="AL19" i="35"/>
  <c r="AL59" i="35"/>
  <c r="AL20" i="35"/>
  <c r="AL60" i="35"/>
  <c r="AL46" i="35"/>
  <c r="AL50" i="35"/>
  <c r="AL53" i="35"/>
  <c r="AL54" i="35"/>
  <c r="AL21" i="35"/>
  <c r="AL61" i="35"/>
  <c r="AL62" i="35"/>
  <c r="AL63" i="35"/>
  <c r="AM58" i="35"/>
  <c r="AM66" i="35"/>
  <c r="AM10" i="35"/>
  <c r="AM11" i="35"/>
  <c r="AM17" i="35"/>
  <c r="AM19" i="35"/>
  <c r="AM59" i="35"/>
  <c r="AM20" i="35"/>
  <c r="AM60" i="35"/>
  <c r="AM46" i="35"/>
  <c r="AM50" i="35"/>
  <c r="AM53" i="35"/>
  <c r="AM54" i="35"/>
  <c r="AM21" i="35"/>
  <c r="AM61" i="35"/>
  <c r="AM62" i="35"/>
  <c r="AM63" i="35"/>
  <c r="AN58" i="35"/>
  <c r="AN66" i="35"/>
  <c r="AN10" i="35"/>
  <c r="AN11" i="35"/>
  <c r="AN17" i="35"/>
  <c r="AN19" i="35"/>
  <c r="AN59" i="35"/>
  <c r="AN20" i="35"/>
  <c r="AN60" i="35"/>
  <c r="AN46" i="35"/>
  <c r="AN50" i="35"/>
  <c r="AN53" i="35"/>
  <c r="AN54" i="35"/>
  <c r="AN21" i="35"/>
  <c r="AN61" i="35"/>
  <c r="AN62" i="35"/>
  <c r="AN63" i="35"/>
  <c r="AO58" i="35"/>
  <c r="AO66" i="35"/>
  <c r="AO10" i="35"/>
  <c r="AO11" i="35"/>
  <c r="AO17" i="35"/>
  <c r="AO19" i="35"/>
  <c r="AO59" i="35"/>
  <c r="AO20" i="35"/>
  <c r="AO60" i="35"/>
  <c r="AO46" i="35"/>
  <c r="AO50" i="35"/>
  <c r="AO53" i="35"/>
  <c r="AO54" i="35"/>
  <c r="AO21" i="35"/>
  <c r="AO61" i="35"/>
  <c r="AO62" i="35"/>
  <c r="AO63" i="35"/>
  <c r="AP58" i="35"/>
  <c r="AP66" i="35"/>
  <c r="AP10" i="35"/>
  <c r="AP11" i="35"/>
  <c r="AP17" i="35"/>
  <c r="AP19" i="35"/>
  <c r="AP59" i="35"/>
  <c r="AP20" i="35"/>
  <c r="AP60" i="35"/>
  <c r="AP46" i="35"/>
  <c r="AP50" i="35"/>
  <c r="AP53" i="35"/>
  <c r="AP54" i="35"/>
  <c r="AP21" i="35"/>
  <c r="AP61" i="35"/>
  <c r="AP62" i="35"/>
  <c r="AP63" i="35"/>
  <c r="AQ58" i="35"/>
  <c r="AQ66" i="35"/>
  <c r="AQ10" i="35"/>
  <c r="AQ11" i="35"/>
  <c r="AQ17" i="35"/>
  <c r="AQ19" i="35"/>
  <c r="AQ59" i="35"/>
  <c r="AQ20" i="35"/>
  <c r="AQ60" i="35"/>
  <c r="AQ46" i="35"/>
  <c r="AQ50" i="35"/>
  <c r="AQ53" i="35"/>
  <c r="AQ54" i="35"/>
  <c r="AQ21" i="35"/>
  <c r="AQ61" i="35"/>
  <c r="AQ62" i="35"/>
  <c r="AQ63" i="35"/>
  <c r="AR58" i="35"/>
  <c r="AR66" i="35"/>
  <c r="AR10" i="35"/>
  <c r="AR11" i="35"/>
  <c r="AR17" i="35"/>
  <c r="AR19" i="35"/>
  <c r="AR59" i="35"/>
  <c r="AR20" i="35"/>
  <c r="AR60" i="35"/>
  <c r="AR46" i="35"/>
  <c r="AR50" i="35"/>
  <c r="AR53" i="35"/>
  <c r="AR54" i="35"/>
  <c r="AR21" i="35"/>
  <c r="AR61" i="35"/>
  <c r="AR62" i="35"/>
  <c r="AR63" i="35"/>
  <c r="AS58" i="35"/>
  <c r="AS66" i="35"/>
  <c r="AS10" i="35"/>
  <c r="AS11" i="35"/>
  <c r="AS17" i="35"/>
  <c r="AS19" i="35"/>
  <c r="AS59" i="35"/>
  <c r="AS20" i="35"/>
  <c r="AS60" i="35"/>
  <c r="AS46" i="35"/>
  <c r="AS50" i="35"/>
  <c r="AS53" i="35"/>
  <c r="AS54" i="35"/>
  <c r="AS21" i="35"/>
  <c r="AS61" i="35"/>
  <c r="AS62" i="35"/>
  <c r="AS63" i="35"/>
  <c r="AT58" i="35"/>
  <c r="AT66" i="35"/>
  <c r="AT10" i="35"/>
  <c r="AT11" i="35"/>
  <c r="AT17" i="35"/>
  <c r="AT19" i="35"/>
  <c r="AT59" i="35"/>
  <c r="AT20" i="35"/>
  <c r="AT60" i="35"/>
  <c r="AT46" i="35"/>
  <c r="AT50" i="35"/>
  <c r="AT53" i="35"/>
  <c r="AT54" i="35"/>
  <c r="AT21" i="35"/>
  <c r="AT61" i="35"/>
  <c r="AT62" i="35"/>
  <c r="AT63" i="35"/>
  <c r="AU58" i="35"/>
  <c r="AU66" i="35"/>
  <c r="AU10" i="35"/>
  <c r="AU11" i="35"/>
  <c r="AU17" i="35"/>
  <c r="AU19" i="35"/>
  <c r="AU59" i="35"/>
  <c r="AU20" i="35"/>
  <c r="AU60" i="35"/>
  <c r="AU46" i="35"/>
  <c r="AU50" i="35"/>
  <c r="AU53" i="35"/>
  <c r="AU54" i="35"/>
  <c r="AU21" i="35"/>
  <c r="AU61" i="35"/>
  <c r="AU62" i="35"/>
  <c r="AU63" i="35"/>
  <c r="AV58" i="35"/>
  <c r="AV66" i="35"/>
  <c r="AV10" i="35"/>
  <c r="AV11" i="35"/>
  <c r="AV17" i="35"/>
  <c r="AV19" i="35"/>
  <c r="AV59" i="35"/>
  <c r="AV20" i="35"/>
  <c r="AV60" i="35"/>
  <c r="AV46" i="35"/>
  <c r="AV50" i="35"/>
  <c r="AV53" i="35"/>
  <c r="AV54" i="35"/>
  <c r="AV21" i="35"/>
  <c r="AV61" i="35"/>
  <c r="AV62" i="35"/>
  <c r="AV63" i="35"/>
  <c r="AW58" i="35"/>
  <c r="AW66" i="35"/>
  <c r="AW10" i="35"/>
  <c r="AW46" i="35"/>
  <c r="AW50" i="35"/>
  <c r="AW53" i="35"/>
  <c r="R22" i="35"/>
  <c r="R23" i="35"/>
  <c r="R81" i="35"/>
  <c r="S22" i="35"/>
  <c r="S23" i="35"/>
  <c r="S81" i="35"/>
  <c r="T22" i="35"/>
  <c r="T23" i="35"/>
  <c r="T81" i="35"/>
  <c r="R82" i="35"/>
  <c r="R25" i="35"/>
  <c r="R26" i="35"/>
  <c r="R83" i="35"/>
  <c r="R73" i="35"/>
  <c r="U22" i="35"/>
  <c r="R87" i="35"/>
  <c r="R88" i="35"/>
  <c r="R95" i="35"/>
  <c r="R28" i="35"/>
  <c r="R89" i="35"/>
  <c r="R96" i="35"/>
  <c r="U23" i="35"/>
  <c r="R74" i="35"/>
  <c r="R29" i="35"/>
  <c r="R92" i="35"/>
  <c r="R97" i="35"/>
  <c r="U81" i="35"/>
  <c r="R75" i="35"/>
  <c r="R76" i="35"/>
  <c r="R31" i="35"/>
  <c r="R32" i="35"/>
  <c r="R98" i="35"/>
  <c r="S94" i="35"/>
  <c r="S72" i="35"/>
  <c r="H104" i="35"/>
  <c r="V22" i="35"/>
  <c r="V23" i="35"/>
  <c r="S79" i="35"/>
  <c r="S82" i="35"/>
  <c r="S25" i="35"/>
  <c r="S26" i="35"/>
  <c r="V81" i="35"/>
  <c r="S87" i="35"/>
  <c r="S88" i="35"/>
  <c r="S83" i="35"/>
  <c r="S95" i="35"/>
  <c r="S73" i="35"/>
  <c r="S28" i="35"/>
  <c r="S89" i="35"/>
  <c r="S96" i="35"/>
  <c r="W22" i="35"/>
  <c r="S74" i="35"/>
  <c r="S29" i="35"/>
  <c r="S92" i="35"/>
  <c r="S97" i="35"/>
  <c r="W23" i="35"/>
  <c r="W81" i="35"/>
  <c r="S75" i="35"/>
  <c r="S76" i="35"/>
  <c r="T72" i="35"/>
  <c r="S31" i="35"/>
  <c r="S32" i="35"/>
  <c r="S98" i="35"/>
  <c r="T94" i="35"/>
  <c r="T79" i="35"/>
  <c r="T82" i="35"/>
  <c r="T25" i="35"/>
  <c r="T26" i="35"/>
  <c r="T87" i="35"/>
  <c r="T88" i="35"/>
  <c r="X22" i="35"/>
  <c r="T83" i="35"/>
  <c r="T73" i="35"/>
  <c r="T95" i="35"/>
  <c r="T28" i="35"/>
  <c r="T89" i="35"/>
  <c r="T96" i="35"/>
  <c r="X23" i="35"/>
  <c r="T74" i="35"/>
  <c r="T29" i="35"/>
  <c r="X81" i="35"/>
  <c r="T92" i="35"/>
  <c r="T97" i="35"/>
  <c r="T31" i="35"/>
  <c r="T32" i="35"/>
  <c r="T75" i="35"/>
  <c r="T76" i="35"/>
  <c r="U72" i="35"/>
  <c r="T98" i="35"/>
  <c r="U94" i="35"/>
  <c r="U79" i="35"/>
  <c r="Y22" i="35"/>
  <c r="U82" i="35"/>
  <c r="U25" i="35"/>
  <c r="U26" i="35"/>
  <c r="U83" i="35"/>
  <c r="U73" i="35"/>
  <c r="U87" i="35"/>
  <c r="U88" i="35"/>
  <c r="Y23" i="35"/>
  <c r="U95" i="35"/>
  <c r="Y81" i="35"/>
  <c r="U28" i="35"/>
  <c r="U89" i="35"/>
  <c r="U96" i="35"/>
  <c r="U74" i="35"/>
  <c r="U29" i="35"/>
  <c r="U92" i="35"/>
  <c r="U97" i="35"/>
  <c r="Z22" i="35"/>
  <c r="U75" i="35"/>
  <c r="U76" i="35"/>
  <c r="V72" i="35"/>
  <c r="U31" i="35"/>
  <c r="U32" i="35"/>
  <c r="U98" i="35"/>
  <c r="V94" i="35"/>
  <c r="Z23" i="35"/>
  <c r="Z81" i="35"/>
  <c r="V79" i="35"/>
  <c r="V82" i="35"/>
  <c r="V25" i="35"/>
  <c r="V26" i="35"/>
  <c r="V87" i="35"/>
  <c r="V88" i="35"/>
  <c r="V83" i="35"/>
  <c r="V95" i="35"/>
  <c r="V73" i="35"/>
  <c r="V28" i="35"/>
  <c r="V89" i="35"/>
  <c r="V96" i="35"/>
  <c r="AA22" i="35"/>
  <c r="AA23" i="35"/>
  <c r="V74" i="35"/>
  <c r="V29" i="35"/>
  <c r="V92" i="35"/>
  <c r="V97" i="35"/>
  <c r="AA81" i="35"/>
  <c r="V75" i="35"/>
  <c r="V76" i="35"/>
  <c r="W72" i="35"/>
  <c r="V31" i="35"/>
  <c r="V32" i="35"/>
  <c r="V98" i="35"/>
  <c r="W94" i="35"/>
  <c r="W79" i="35"/>
  <c r="AB22" i="35"/>
  <c r="W82" i="35"/>
  <c r="W25" i="35"/>
  <c r="W26" i="35"/>
  <c r="W83" i="35"/>
  <c r="W87" i="35"/>
  <c r="W88" i="35"/>
  <c r="AB23" i="35"/>
  <c r="AB81" i="35"/>
  <c r="W28" i="35"/>
  <c r="W89" i="35"/>
  <c r="W96" i="35"/>
  <c r="W73" i="35"/>
  <c r="W95" i="35"/>
  <c r="W74" i="35"/>
  <c r="W29" i="35"/>
  <c r="W92" i="35"/>
  <c r="W97" i="35"/>
  <c r="W75" i="35"/>
  <c r="W76" i="35"/>
  <c r="X72" i="35"/>
  <c r="W31" i="35"/>
  <c r="W32" i="35"/>
  <c r="W98" i="35"/>
  <c r="X94" i="35"/>
  <c r="AC22" i="35"/>
  <c r="AC23" i="35"/>
  <c r="X79" i="35"/>
  <c r="X82" i="35"/>
  <c r="X25" i="35"/>
  <c r="X26" i="35"/>
  <c r="AC81" i="35"/>
  <c r="X87" i="35"/>
  <c r="X88" i="35"/>
  <c r="X83" i="35"/>
  <c r="X95" i="35"/>
  <c r="X73" i="35"/>
  <c r="X28" i="35"/>
  <c r="X89" i="35"/>
  <c r="X96" i="35"/>
  <c r="AD22" i="35"/>
  <c r="AD23" i="35"/>
  <c r="X74" i="35"/>
  <c r="X29" i="35"/>
  <c r="X92" i="35"/>
  <c r="X97" i="35"/>
  <c r="AD81" i="35"/>
  <c r="X75" i="35"/>
  <c r="X76" i="35"/>
  <c r="Y72" i="35"/>
  <c r="X31" i="35"/>
  <c r="X32" i="35"/>
  <c r="X98" i="35"/>
  <c r="Y94" i="35"/>
  <c r="Y79" i="35"/>
  <c r="Y82" i="35"/>
  <c r="Y25" i="35"/>
  <c r="Y26" i="35"/>
  <c r="AE22" i="35"/>
  <c r="Y83" i="35"/>
  <c r="Y95" i="35"/>
  <c r="Y73" i="35"/>
  <c r="Y87" i="35"/>
  <c r="Y88" i="35"/>
  <c r="AE23" i="35"/>
  <c r="AE81" i="35"/>
  <c r="Y28" i="35"/>
  <c r="Y89" i="35"/>
  <c r="Y96" i="35"/>
  <c r="Y74" i="35"/>
  <c r="Y29" i="35"/>
  <c r="Y92" i="35"/>
  <c r="Y97" i="35"/>
  <c r="Y75" i="35"/>
  <c r="Y76" i="35"/>
  <c r="Z72" i="35"/>
  <c r="Y31" i="35"/>
  <c r="Y32" i="35"/>
  <c r="Y98" i="35"/>
  <c r="Z94" i="35"/>
  <c r="AF22" i="35"/>
  <c r="Z79" i="35"/>
  <c r="AF23" i="35"/>
  <c r="Z82" i="35"/>
  <c r="Z25" i="35"/>
  <c r="Z26" i="35"/>
  <c r="AF81" i="35"/>
  <c r="Z87" i="35"/>
  <c r="Z88" i="35"/>
  <c r="Z83" i="35"/>
  <c r="AG22" i="35"/>
  <c r="Z95" i="35"/>
  <c r="Z73" i="35"/>
  <c r="Z28" i="35"/>
  <c r="Z89" i="35"/>
  <c r="Z96" i="35"/>
  <c r="Z74" i="35"/>
  <c r="Z29" i="35"/>
  <c r="AG23" i="35"/>
  <c r="AG81" i="35"/>
  <c r="Z92" i="35"/>
  <c r="Z97" i="35"/>
  <c r="Z31" i="35"/>
  <c r="Z32" i="35"/>
  <c r="Z75" i="35"/>
  <c r="Z76" i="35"/>
  <c r="AA72" i="35"/>
  <c r="Z98" i="35"/>
  <c r="AA94" i="35"/>
  <c r="AA79" i="35"/>
  <c r="AH22" i="35"/>
  <c r="AH23" i="35"/>
  <c r="AA82" i="35"/>
  <c r="AA25" i="35"/>
  <c r="AA26" i="35"/>
  <c r="AA87" i="35"/>
  <c r="AA88" i="35"/>
  <c r="AA83" i="35"/>
  <c r="AH81" i="35"/>
  <c r="AA95" i="35"/>
  <c r="AA73" i="35"/>
  <c r="AA28" i="35"/>
  <c r="AA89" i="35"/>
  <c r="AA96" i="35"/>
  <c r="AA74" i="35"/>
  <c r="AA29" i="35"/>
  <c r="AA92" i="35"/>
  <c r="AA97" i="35"/>
  <c r="AI22" i="35"/>
  <c r="AI23" i="35"/>
  <c r="AA75" i="35"/>
  <c r="AA76" i="35"/>
  <c r="AB72" i="35"/>
  <c r="AA31" i="35"/>
  <c r="AA32" i="35"/>
  <c r="AA98" i="35"/>
  <c r="AB94" i="35"/>
  <c r="AB79" i="35"/>
  <c r="AI81" i="35"/>
  <c r="AB82" i="35"/>
  <c r="AB25" i="35"/>
  <c r="AB26" i="35"/>
  <c r="AB83" i="35"/>
  <c r="AB95" i="35"/>
  <c r="AB73" i="35"/>
  <c r="AB87" i="35"/>
  <c r="AB88" i="35"/>
  <c r="AB28" i="35"/>
  <c r="AB89" i="35"/>
  <c r="AB96" i="35"/>
  <c r="AB74" i="35"/>
  <c r="AB29" i="35"/>
  <c r="AJ22" i="35"/>
  <c r="AJ23" i="35"/>
  <c r="AB92" i="35"/>
  <c r="AB97" i="35"/>
  <c r="AB75" i="35"/>
  <c r="AB76" i="35"/>
  <c r="AC72" i="35"/>
  <c r="AB31" i="35"/>
  <c r="AB32" i="35"/>
  <c r="AB98" i="35"/>
  <c r="AC94" i="35"/>
  <c r="AJ81" i="35"/>
  <c r="AC79" i="35"/>
  <c r="AC82" i="35"/>
  <c r="AC25" i="35"/>
  <c r="AC26" i="35"/>
  <c r="AK22" i="35"/>
  <c r="AC83" i="35"/>
  <c r="AK23" i="35"/>
  <c r="AC73" i="35"/>
  <c r="AC95" i="35"/>
  <c r="AC87" i="35"/>
  <c r="AC88" i="35"/>
  <c r="AC28" i="35"/>
  <c r="AC89" i="35"/>
  <c r="AC96" i="35"/>
  <c r="AK81" i="35"/>
  <c r="H123" i="35"/>
  <c r="AC74" i="35"/>
  <c r="AC29" i="35"/>
  <c r="AC92" i="35"/>
  <c r="AC97" i="35"/>
  <c r="AC75" i="35"/>
  <c r="AC76" i="35"/>
  <c r="AD72" i="35"/>
  <c r="AC31" i="35"/>
  <c r="AC32" i="35"/>
  <c r="AC98" i="35"/>
  <c r="AD94" i="35"/>
  <c r="AD79" i="35"/>
  <c r="AL22" i="35"/>
  <c r="AL23" i="35"/>
  <c r="AD82" i="35"/>
  <c r="AD25" i="35"/>
  <c r="AD26" i="35"/>
  <c r="AD83" i="35"/>
  <c r="AD73" i="35"/>
  <c r="AD95" i="35"/>
  <c r="AD87" i="35"/>
  <c r="AD88" i="35"/>
  <c r="AL81" i="35"/>
  <c r="AD28" i="35"/>
  <c r="AD89" i="35"/>
  <c r="AD96" i="35"/>
  <c r="AD74" i="35"/>
  <c r="AD29" i="35"/>
  <c r="AM22" i="35"/>
  <c r="AD92" i="35"/>
  <c r="AD97" i="35"/>
  <c r="AD75" i="35"/>
  <c r="AD76" i="35"/>
  <c r="AE72" i="35"/>
  <c r="AD31" i="35"/>
  <c r="AD32" i="35"/>
  <c r="AD98" i="35"/>
  <c r="AE94" i="35"/>
  <c r="AM23" i="35"/>
  <c r="AM81" i="35"/>
  <c r="AE79" i="35"/>
  <c r="AE82" i="35"/>
  <c r="AE25" i="35"/>
  <c r="AE26" i="35"/>
  <c r="AE83" i="35"/>
  <c r="AE95" i="35"/>
  <c r="AE87" i="35"/>
  <c r="AE88" i="35"/>
  <c r="AE73" i="35"/>
  <c r="AE28" i="35"/>
  <c r="AE89" i="35"/>
  <c r="AE96" i="35"/>
  <c r="AN22" i="35"/>
  <c r="AE74" i="35"/>
  <c r="AE29" i="35"/>
  <c r="AN23" i="35"/>
  <c r="AN81" i="35"/>
  <c r="AE92" i="35"/>
  <c r="AE97" i="35"/>
  <c r="AE75" i="35"/>
  <c r="AE76" i="35"/>
  <c r="AF72" i="35"/>
  <c r="AE31" i="35"/>
  <c r="AE32" i="35"/>
  <c r="AE98" i="35"/>
  <c r="AF94" i="35"/>
  <c r="AF79" i="35"/>
  <c r="AF82" i="35"/>
  <c r="AF25" i="35"/>
  <c r="AF26" i="35"/>
  <c r="AO22" i="35"/>
  <c r="AF87" i="35"/>
  <c r="AF88" i="35"/>
  <c r="AF83" i="35"/>
  <c r="AO23" i="35"/>
  <c r="AO81" i="35"/>
  <c r="AF95" i="35"/>
  <c r="AF73" i="35"/>
  <c r="AF28" i="35"/>
  <c r="AF89" i="35"/>
  <c r="AF96" i="35"/>
  <c r="AF74" i="35"/>
  <c r="AF29" i="35"/>
  <c r="AF92" i="35"/>
  <c r="AF97" i="35"/>
  <c r="AF75" i="35"/>
  <c r="AF76" i="35"/>
  <c r="AG72" i="35"/>
  <c r="AF31" i="35"/>
  <c r="AF32" i="35"/>
  <c r="AF98" i="35"/>
  <c r="AG94" i="35"/>
  <c r="AP22" i="35"/>
  <c r="AG79" i="35"/>
  <c r="AP23" i="35"/>
  <c r="AP81" i="35"/>
  <c r="AG82" i="35"/>
  <c r="AG25" i="35"/>
  <c r="AG26" i="35"/>
  <c r="AG87" i="35"/>
  <c r="AG88" i="35"/>
  <c r="AG83" i="35"/>
  <c r="AG73" i="35"/>
  <c r="AG95" i="35"/>
  <c r="AG28" i="35"/>
  <c r="AG89" i="35"/>
  <c r="AG96" i="35"/>
  <c r="AG74" i="35"/>
  <c r="AG29" i="35"/>
  <c r="AQ22" i="35"/>
  <c r="AQ23" i="35"/>
  <c r="AG92" i="35"/>
  <c r="AG97" i="35"/>
  <c r="AQ81" i="35"/>
  <c r="AG75" i="35"/>
  <c r="AG76" i="35"/>
  <c r="AH72" i="35"/>
  <c r="AG31" i="35"/>
  <c r="AG32" i="35"/>
  <c r="AG98" i="35"/>
  <c r="AH94" i="35"/>
  <c r="AH79" i="35"/>
  <c r="AH82" i="35"/>
  <c r="AH25" i="35"/>
  <c r="AH26" i="35"/>
  <c r="AH83" i="35"/>
  <c r="AH95" i="35"/>
  <c r="AH87" i="35"/>
  <c r="AH88" i="35"/>
  <c r="AH73" i="35"/>
  <c r="AH28" i="35"/>
  <c r="AH89" i="35"/>
  <c r="AH96" i="35"/>
  <c r="AR22" i="35"/>
  <c r="AR23" i="35"/>
  <c r="AR81" i="35"/>
  <c r="AH74" i="35"/>
  <c r="AH29" i="35"/>
  <c r="AH92" i="35"/>
  <c r="AH97" i="35"/>
  <c r="AH31" i="35"/>
  <c r="AH32" i="35"/>
  <c r="AH75" i="35"/>
  <c r="AH76" i="35"/>
  <c r="AI72" i="35"/>
  <c r="AH98" i="35"/>
  <c r="AI94" i="35"/>
  <c r="AI79" i="35"/>
  <c r="AS22" i="35"/>
  <c r="AS23" i="35"/>
  <c r="AI82" i="35"/>
  <c r="AI25" i="35"/>
  <c r="AI26" i="35"/>
  <c r="AI87" i="35"/>
  <c r="AI88" i="35"/>
  <c r="AI83" i="35"/>
  <c r="AS81" i="35"/>
  <c r="AI95" i="35"/>
  <c r="AI73" i="35"/>
  <c r="AI28" i="35"/>
  <c r="AI89" i="35"/>
  <c r="AI96" i="35"/>
  <c r="AI74" i="35"/>
  <c r="AI29" i="35"/>
  <c r="AI92" i="35"/>
  <c r="AI97" i="35"/>
  <c r="AT22" i="35"/>
  <c r="AI31" i="35"/>
  <c r="AI32" i="35"/>
  <c r="AI75" i="35"/>
  <c r="AI76" i="35"/>
  <c r="AJ72" i="35"/>
  <c r="AI98" i="35"/>
  <c r="AJ94" i="35"/>
  <c r="AT23" i="35"/>
  <c r="AT81" i="35"/>
  <c r="AJ79" i="35"/>
  <c r="AJ82" i="35"/>
  <c r="AJ25" i="35"/>
  <c r="AJ26" i="35"/>
  <c r="AJ83" i="35"/>
  <c r="AJ73" i="35"/>
  <c r="AJ87" i="35"/>
  <c r="AJ88" i="35"/>
  <c r="AJ95" i="35"/>
  <c r="AJ28" i="35"/>
  <c r="AJ89" i="35"/>
  <c r="AJ96" i="35"/>
  <c r="AJ74" i="35"/>
  <c r="AJ29" i="35"/>
  <c r="AU22" i="35"/>
  <c r="AU23" i="35"/>
  <c r="AU81" i="35"/>
  <c r="AJ92" i="35"/>
  <c r="AJ97" i="35"/>
  <c r="AJ31" i="35"/>
  <c r="AJ32" i="35"/>
  <c r="AJ75" i="35"/>
  <c r="AJ76" i="35"/>
  <c r="AK72" i="35"/>
  <c r="AJ98" i="35"/>
  <c r="AK94" i="35"/>
  <c r="AK79" i="35"/>
  <c r="AK82" i="35"/>
  <c r="AK25" i="35"/>
  <c r="AK26" i="35"/>
  <c r="AK83" i="35"/>
  <c r="AK95" i="35"/>
  <c r="AK87" i="35"/>
  <c r="AK88" i="35"/>
  <c r="AK73" i="35"/>
  <c r="AK28" i="35"/>
  <c r="AK89" i="35"/>
  <c r="AK96" i="35"/>
  <c r="AV22" i="35"/>
  <c r="AV23" i="35"/>
  <c r="AK74" i="35"/>
  <c r="AK29" i="35"/>
  <c r="AK92" i="35"/>
  <c r="AK97" i="35"/>
  <c r="AV81" i="35"/>
  <c r="AK31" i="35"/>
  <c r="AK32" i="35"/>
  <c r="AK75" i="35"/>
  <c r="AK76" i="35"/>
  <c r="AL72" i="35"/>
  <c r="AK98" i="35"/>
  <c r="AL94" i="35"/>
  <c r="AL79" i="35"/>
  <c r="AW11" i="35"/>
  <c r="AW17" i="35"/>
  <c r="AW54" i="35"/>
  <c r="AW21" i="35"/>
  <c r="AW61" i="35"/>
  <c r="H54" i="35"/>
  <c r="AW19" i="35"/>
  <c r="AW59" i="35"/>
  <c r="AL82" i="35"/>
  <c r="AL25" i="35"/>
  <c r="AL26" i="35"/>
  <c r="AL83" i="35"/>
  <c r="AL95" i="35"/>
  <c r="AL87" i="35"/>
  <c r="AL88" i="35"/>
  <c r="AW20" i="35"/>
  <c r="AW60" i="35"/>
  <c r="AL73" i="35"/>
  <c r="AW62" i="35"/>
  <c r="AW22" i="35"/>
  <c r="AW23" i="35"/>
  <c r="AL28" i="35"/>
  <c r="AL89" i="35"/>
  <c r="AL96" i="35"/>
  <c r="AL74" i="35"/>
  <c r="AL29" i="35"/>
  <c r="AW81" i="35"/>
  <c r="AW63" i="35"/>
  <c r="AL92" i="35"/>
  <c r="AL97" i="35"/>
  <c r="AL31" i="35"/>
  <c r="AL32" i="35"/>
  <c r="AL75" i="35"/>
  <c r="AL76" i="35"/>
  <c r="AM72" i="35"/>
  <c r="AL98" i="35"/>
  <c r="AM94" i="35"/>
  <c r="AM79" i="35"/>
  <c r="AM82" i="35"/>
  <c r="AM25" i="35"/>
  <c r="AM26" i="35"/>
  <c r="AM87" i="35"/>
  <c r="AM88" i="35"/>
  <c r="AM83" i="35"/>
  <c r="AM95" i="35"/>
  <c r="AM73" i="35"/>
  <c r="AM28" i="35"/>
  <c r="AM89" i="35"/>
  <c r="AM96" i="35"/>
  <c r="AM74" i="35"/>
  <c r="AM29" i="35"/>
  <c r="AM92" i="35"/>
  <c r="AM97" i="35"/>
  <c r="AM31" i="35"/>
  <c r="AM32" i="35"/>
  <c r="AM75" i="35"/>
  <c r="AM76" i="35"/>
  <c r="AN72" i="35"/>
  <c r="AM98" i="35"/>
  <c r="AN94" i="35"/>
  <c r="AN79" i="35"/>
  <c r="AN82" i="35"/>
  <c r="AN25" i="35"/>
  <c r="AN26" i="35"/>
  <c r="AN83" i="35"/>
  <c r="AN95" i="35"/>
  <c r="AN73" i="35"/>
  <c r="AN87" i="35"/>
  <c r="AN88" i="35"/>
  <c r="AN28" i="35"/>
  <c r="AN89" i="35"/>
  <c r="AN96" i="35"/>
  <c r="AN74" i="35"/>
  <c r="AN29" i="35"/>
  <c r="AN92" i="35"/>
  <c r="AN97" i="35"/>
  <c r="AN75" i="35"/>
  <c r="AN76" i="35"/>
  <c r="AO72" i="35"/>
  <c r="AN31" i="35"/>
  <c r="AN32" i="35"/>
  <c r="AN98" i="35"/>
  <c r="AO94" i="35"/>
  <c r="AO79" i="35"/>
  <c r="AO82" i="35"/>
  <c r="AO25" i="35"/>
  <c r="AO26" i="35"/>
  <c r="AO83" i="35"/>
  <c r="AO73" i="35"/>
  <c r="AO87" i="35"/>
  <c r="AO88" i="35"/>
  <c r="AO95" i="35"/>
  <c r="AO28" i="35"/>
  <c r="AO89" i="35"/>
  <c r="AO96" i="35"/>
  <c r="AO74" i="35"/>
  <c r="AO29" i="35"/>
  <c r="AO92" i="35"/>
  <c r="AO97" i="35"/>
  <c r="AO75" i="35"/>
  <c r="AO76" i="35"/>
  <c r="AP72" i="35"/>
  <c r="AO31" i="35"/>
  <c r="AO32" i="35"/>
  <c r="AO98" i="35"/>
  <c r="AP94" i="35"/>
  <c r="AP79" i="35"/>
  <c r="AP82" i="35"/>
  <c r="AP25" i="35"/>
  <c r="AP26" i="35"/>
  <c r="AP83" i="35"/>
  <c r="AP95" i="35"/>
  <c r="AP87" i="35"/>
  <c r="AP88" i="35"/>
  <c r="AP73" i="35"/>
  <c r="AP28" i="35"/>
  <c r="AP89" i="35"/>
  <c r="AP96" i="35"/>
  <c r="AP74" i="35"/>
  <c r="AP29" i="35"/>
  <c r="AP92" i="35"/>
  <c r="AP97" i="35"/>
  <c r="AP75" i="35"/>
  <c r="AP76" i="35"/>
  <c r="AQ72" i="35"/>
  <c r="AP31" i="35"/>
  <c r="AP32" i="35"/>
  <c r="AP98" i="35"/>
  <c r="AQ94" i="35"/>
  <c r="AQ79" i="35"/>
  <c r="AQ82" i="35"/>
  <c r="AQ25" i="35"/>
  <c r="AQ26" i="35"/>
  <c r="AQ83" i="35"/>
  <c r="AQ95" i="35"/>
  <c r="AQ87" i="35"/>
  <c r="AQ88" i="35"/>
  <c r="AQ73" i="35"/>
  <c r="AQ28" i="35"/>
  <c r="AQ89" i="35"/>
  <c r="AQ96" i="35"/>
  <c r="AQ74" i="35"/>
  <c r="AQ29" i="35"/>
  <c r="AQ92" i="35"/>
  <c r="AQ97" i="35"/>
  <c r="AQ75" i="35"/>
  <c r="AQ76" i="35"/>
  <c r="AR72" i="35"/>
  <c r="AQ31" i="35"/>
  <c r="AQ32" i="35"/>
  <c r="AQ98" i="35"/>
  <c r="AR94" i="35"/>
  <c r="AR79" i="35"/>
  <c r="AR82" i="35"/>
  <c r="AR25" i="35"/>
  <c r="AR26" i="35"/>
  <c r="AR87" i="35"/>
  <c r="AR88" i="35"/>
  <c r="AR83" i="35"/>
  <c r="AR95" i="35"/>
  <c r="AR73" i="35"/>
  <c r="AR28" i="35"/>
  <c r="AR89" i="35"/>
  <c r="AR96" i="35"/>
  <c r="AR74" i="35"/>
  <c r="AR29" i="35"/>
  <c r="AR92" i="35"/>
  <c r="AR97" i="35"/>
  <c r="AR75" i="35"/>
  <c r="AR76" i="35"/>
  <c r="AS72" i="35"/>
  <c r="AR31" i="35"/>
  <c r="AR32" i="35"/>
  <c r="AR98" i="35"/>
  <c r="AS94" i="35"/>
  <c r="AS79" i="35"/>
  <c r="AS82" i="35"/>
  <c r="AS25" i="35"/>
  <c r="AS26" i="35"/>
  <c r="AS87" i="35"/>
  <c r="AS88" i="35"/>
  <c r="AS83" i="35"/>
  <c r="AS95" i="35"/>
  <c r="AS73" i="35"/>
  <c r="AS28" i="35"/>
  <c r="AS89" i="35"/>
  <c r="AS96" i="35"/>
  <c r="AS74" i="35"/>
  <c r="AS29" i="35"/>
  <c r="AS92" i="35"/>
  <c r="AS97" i="35"/>
  <c r="AS31" i="35"/>
  <c r="AS32" i="35"/>
  <c r="AS75" i="35"/>
  <c r="AS76" i="35"/>
  <c r="AT72" i="35"/>
  <c r="AS98" i="35"/>
  <c r="AT94" i="35"/>
  <c r="AT79" i="35"/>
  <c r="AT82" i="35"/>
  <c r="AT25" i="35"/>
  <c r="AT26" i="35"/>
  <c r="AT87" i="35"/>
  <c r="AT88" i="35"/>
  <c r="AT83" i="35"/>
  <c r="AT95" i="35"/>
  <c r="AT73" i="35"/>
  <c r="AT28" i="35"/>
  <c r="AT89" i="35"/>
  <c r="AT96" i="35"/>
  <c r="AT74" i="35"/>
  <c r="AT29" i="35"/>
  <c r="AT92" i="35"/>
  <c r="AT97" i="35"/>
  <c r="AT31" i="35"/>
  <c r="AT32" i="35"/>
  <c r="AT75" i="35"/>
  <c r="AT76" i="35"/>
  <c r="AU72" i="35"/>
  <c r="AT98" i="35"/>
  <c r="AU94" i="35"/>
  <c r="AU79" i="35"/>
  <c r="AU82" i="35"/>
  <c r="AU25" i="35"/>
  <c r="AU26" i="35"/>
  <c r="AU87" i="35"/>
  <c r="AU88" i="35"/>
  <c r="AU83" i="35"/>
  <c r="AU28" i="35"/>
  <c r="AU89" i="35"/>
  <c r="AU96" i="35"/>
  <c r="AU95" i="35"/>
  <c r="AU73" i="35"/>
  <c r="AU74" i="35"/>
  <c r="AU29" i="35"/>
  <c r="AU92" i="35"/>
  <c r="AU97" i="35"/>
  <c r="AU31" i="35"/>
  <c r="AU32" i="35"/>
  <c r="AU75" i="35"/>
  <c r="AU76" i="35"/>
  <c r="AV72" i="35"/>
  <c r="AU98" i="35"/>
  <c r="AV94" i="35"/>
  <c r="AV79" i="35"/>
  <c r="AV82" i="35"/>
  <c r="AV25" i="35"/>
  <c r="AV26" i="35"/>
  <c r="AV87" i="35"/>
  <c r="AV88" i="35"/>
  <c r="AV83" i="35"/>
  <c r="AV28" i="35"/>
  <c r="AV89" i="35"/>
  <c r="AV96" i="35"/>
  <c r="AV95" i="35"/>
  <c r="AV73" i="35"/>
  <c r="AV74" i="35"/>
  <c r="AV29" i="35"/>
  <c r="AV92" i="35"/>
  <c r="AV97" i="35"/>
  <c r="AV75" i="35"/>
  <c r="AV76" i="35"/>
  <c r="AW72" i="35"/>
  <c r="AV31" i="35"/>
  <c r="AV32" i="35"/>
  <c r="AV98" i="35"/>
  <c r="AW94" i="35"/>
  <c r="AW79" i="35"/>
  <c r="AW82" i="35"/>
  <c r="AW25" i="35"/>
  <c r="AW26" i="35"/>
  <c r="H132" i="35"/>
  <c r="AW87" i="35"/>
  <c r="AW88" i="35"/>
  <c r="AW83" i="35"/>
  <c r="AW28" i="35"/>
  <c r="AW89" i="35"/>
  <c r="AW96" i="35"/>
  <c r="AW73" i="35"/>
  <c r="AW95" i="35"/>
  <c r="AW74" i="35"/>
  <c r="AW29" i="35"/>
  <c r="AW92" i="35"/>
  <c r="AW97" i="35"/>
  <c r="AW31" i="35"/>
  <c r="AW32" i="35"/>
  <c r="AW75" i="35"/>
  <c r="AW76" i="35"/>
  <c r="H141" i="35"/>
  <c r="AW98" i="3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<sst xmlns="http://schemas.openxmlformats.org/spreadsheetml/2006/main" count="329" uniqueCount="181">
  <si>
    <t>Assumptions</t>
  </si>
  <si>
    <t>[$]</t>
  </si>
  <si>
    <t>[#]</t>
  </si>
  <si>
    <t>[% p.a.]</t>
  </si>
  <si>
    <t>[date]</t>
  </si>
  <si>
    <t>[# qtrs]</t>
  </si>
  <si>
    <t>End Sheet</t>
  </si>
  <si>
    <t>Period Start</t>
  </si>
  <si>
    <t>Period End</t>
  </si>
  <si>
    <t>Senior Facility</t>
  </si>
  <si>
    <t>Facility Balance at model start date</t>
  </si>
  <si>
    <t xml:space="preserve">Senior DSCR Lock up trigger </t>
  </si>
  <si>
    <t>[x]</t>
  </si>
  <si>
    <t>Look-back quarters for DSCR incl. current quarter (Last Twelve Months)</t>
  </si>
  <si>
    <t>Do not change</t>
  </si>
  <si>
    <t>To get out of lock-up:</t>
  </si>
  <si>
    <t>Number of quarters required for Sr DSCR to be greater than lock-up trigger:</t>
  </si>
  <si>
    <t>Debt Service Reserve Account</t>
  </si>
  <si>
    <t>Initial balance at project start (already funded)</t>
  </si>
  <si>
    <t>Required minimum balance during term of Senior Facility</t>
  </si>
  <si>
    <t>Junior Facility</t>
  </si>
  <si>
    <t>Amortisation Quarters</t>
  </si>
  <si>
    <t>Scheduled final payment date</t>
  </si>
  <si>
    <t>Equity</t>
  </si>
  <si>
    <t>Contribution amount at model start date</t>
  </si>
  <si>
    <t>Discount rate for Net Present Value Calculations</t>
  </si>
  <si>
    <t>Other Assumptions</t>
  </si>
  <si>
    <t>Model start date (Project start date)</t>
  </si>
  <si>
    <t>Initial quarter end date</t>
  </si>
  <si>
    <t>Number of quarters in project</t>
  </si>
  <si>
    <t>Final quarter end date (Project end date)</t>
  </si>
  <si>
    <t>Schedule Debt Repayments</t>
  </si>
  <si>
    <t>Senior Debt</t>
  </si>
  <si>
    <t>Junior Debt</t>
  </si>
  <si>
    <t>Scheduled Snr</t>
  </si>
  <si>
    <t>Scheduled Jnr</t>
  </si>
  <si>
    <t>Principal</t>
  </si>
  <si>
    <t>Closing Balance</t>
  </si>
  <si>
    <t>Quarter Ending</t>
  </si>
  <si>
    <t>EBITDA Profiles</t>
  </si>
  <si>
    <t>Profile Number --&gt;</t>
  </si>
  <si>
    <t>Profile Name --&gt;</t>
  </si>
  <si>
    <t>Base Case</t>
  </si>
  <si>
    <t>Case 2</t>
  </si>
  <si>
    <t>Case 3</t>
  </si>
  <si>
    <t>Case 4</t>
  </si>
  <si>
    <t>Case 5</t>
  </si>
  <si>
    <t>Case 6</t>
  </si>
  <si>
    <t>Annual cash interest rate</t>
  </si>
  <si>
    <t>Cash interest rate earned on account balance</t>
  </si>
  <si>
    <t>Cash interest rate earned on cash account balance</t>
  </si>
  <si>
    <t>Model Quarter</t>
  </si>
  <si>
    <t>Cash Flow Waterfall</t>
  </si>
  <si>
    <t>EBITDA</t>
  </si>
  <si>
    <t>Interest Income</t>
  </si>
  <si>
    <t>Funds Available for Debt Service</t>
  </si>
  <si>
    <t>Sr. Debt Repayment</t>
  </si>
  <si>
    <t>Sr. Debt Interest</t>
  </si>
  <si>
    <t>Sr. Debt Service</t>
  </si>
  <si>
    <t>Funds Available / (Required) post Sr. Debt Service</t>
  </si>
  <si>
    <t>Withdrawl from DSRA</t>
  </si>
  <si>
    <t>Top Up of DSRA</t>
  </si>
  <si>
    <t>DSRA Additions in Lockup</t>
  </si>
  <si>
    <t>Release</t>
  </si>
  <si>
    <t>Funds Available for Jr. Debt Service</t>
  </si>
  <si>
    <t>Cash Interest Paid</t>
  </si>
  <si>
    <t>Jr. Debt Repayment</t>
  </si>
  <si>
    <t>Sr Facility</t>
  </si>
  <si>
    <t>Opening Balance</t>
  </si>
  <si>
    <t>Repayment</t>
  </si>
  <si>
    <t>Interest Rate</t>
  </si>
  <si>
    <t>Interest Expense</t>
  </si>
  <si>
    <t>DSCR (LTM)</t>
  </si>
  <si>
    <t>Sr. Interest Expense</t>
  </si>
  <si>
    <t>Sr. Principal Repayments</t>
  </si>
  <si>
    <t>DSCR</t>
  </si>
  <si>
    <t>Lock-up Trigger</t>
  </si>
  <si>
    <t>Lock Up Flag</t>
  </si>
  <si>
    <t>Release Test</t>
  </si>
  <si>
    <t>DSRA</t>
  </si>
  <si>
    <t>Fund Sr. Debt Repayment Shortfall</t>
  </si>
  <si>
    <t>Top Up to minimum balance</t>
  </si>
  <si>
    <t>Sweep while in Lock-up</t>
  </si>
  <si>
    <t>Minimum Balance</t>
  </si>
  <si>
    <t>Scheduled Repayment</t>
  </si>
  <si>
    <t>Closing</t>
  </si>
  <si>
    <t>Answers</t>
  </si>
  <si>
    <t>C)</t>
  </si>
  <si>
    <t>Jr Debt</t>
  </si>
  <si>
    <t>D)</t>
  </si>
  <si>
    <t>First Lockup</t>
  </si>
  <si>
    <t>E)</t>
  </si>
  <si>
    <t>Min DSRA to 2025</t>
  </si>
  <si>
    <t>F)</t>
  </si>
  <si>
    <t>Total Jr. Debt Int</t>
  </si>
  <si>
    <t>G)</t>
  </si>
  <si>
    <t>Unmet Scheduled Repayments</t>
  </si>
  <si>
    <t>Unmet Interest Owed</t>
  </si>
  <si>
    <t>Scheduled Repayment Paid</t>
  </si>
  <si>
    <t>Funds Available for Jr. Debt - Arrears Amount Owed</t>
  </si>
  <si>
    <t>Funds Available for Jr. Debt - Scheduled Repayments</t>
  </si>
  <si>
    <t>Arrears Amount Owed</t>
  </si>
  <si>
    <t>Funds Distributed to Equity</t>
  </si>
  <si>
    <t>Jr. Debt Interest Paid</t>
  </si>
  <si>
    <t>Arrears Amount Owed Repayment</t>
  </si>
  <si>
    <t>Toggle for EBITDA values</t>
  </si>
  <si>
    <t>Scenario</t>
  </si>
  <si>
    <t>EBITDA + Interest Income / Senior Debt Costs</t>
  </si>
  <si>
    <t>LTM</t>
  </si>
  <si>
    <t>DEBT SCHEDULE</t>
  </si>
  <si>
    <t>Company</t>
  </si>
  <si>
    <t>Black Rat SPV 2</t>
  </si>
  <si>
    <t>CFM Topic</t>
  </si>
  <si>
    <t>Debt</t>
  </si>
  <si>
    <t>Model timeline</t>
  </si>
  <si>
    <t>Model period beginning</t>
  </si>
  <si>
    <t>Model period ending</t>
  </si>
  <si>
    <t>Constant</t>
  </si>
  <si>
    <t>Unit</t>
  </si>
  <si>
    <t>Model start date</t>
  </si>
  <si>
    <t>date</t>
  </si>
  <si>
    <t>Number of model periods</t>
  </si>
  <si>
    <t>quarters</t>
  </si>
  <si>
    <t>Quarter</t>
  </si>
  <si>
    <t>quarter</t>
  </si>
  <si>
    <t>Year</t>
  </si>
  <si>
    <t>year</t>
  </si>
  <si>
    <t>EBIDTA profile labels</t>
  </si>
  <si>
    <t>EBIDTA</t>
  </si>
  <si>
    <t>USD</t>
  </si>
  <si>
    <t>Senior Debt balance at model start date</t>
  </si>
  <si>
    <t>Senior Debt opening balance</t>
  </si>
  <si>
    <t>%</t>
  </si>
  <si>
    <t>Quarterly cash interest rate</t>
  </si>
  <si>
    <t>Senior Debt interest expenses</t>
  </si>
  <si>
    <t>Junior Debt balance at model start date</t>
  </si>
  <si>
    <t>Junior Debt opening balance</t>
  </si>
  <si>
    <t>Junior Debt interest expenses</t>
  </si>
  <si>
    <t>Debt Service Reserve Account Debt opening balance</t>
  </si>
  <si>
    <t>Debt Service Reserve Account Debt</t>
  </si>
  <si>
    <t>Debt Service Reserve Account interest income</t>
  </si>
  <si>
    <t>Debt Service Reserve Account Debt balance at model start</t>
  </si>
  <si>
    <t>Cash flow</t>
  </si>
  <si>
    <t>Senior Debt principal addition / (repayment)</t>
  </si>
  <si>
    <t>factor</t>
  </si>
  <si>
    <t>flag</t>
  </si>
  <si>
    <t>Lock up trigger flag</t>
  </si>
  <si>
    <t>Release trigger</t>
  </si>
  <si>
    <t>Top Up of DSRA to keep required minimum balance</t>
  </si>
  <si>
    <t>Withdrawal from DSRA to cover for Senior Debt repayment shortfall</t>
  </si>
  <si>
    <t>Release from DSRA</t>
  </si>
  <si>
    <t xml:space="preserve">Scheduled Junior Debt repayment </t>
  </si>
  <si>
    <t>Junior Debt interest paid</t>
  </si>
  <si>
    <t>Junior Debt Scheduled Repayment Paid</t>
  </si>
  <si>
    <t>Arrears amount owed opening balance</t>
  </si>
  <si>
    <t>Unmet Junior Debt interest owed</t>
  </si>
  <si>
    <t>Repayment of arrears owed</t>
  </si>
  <si>
    <t>Arrears amount owed closing balance</t>
  </si>
  <si>
    <t>Funds available after Senior Debt service</t>
  </si>
  <si>
    <t>Funds available for Junior Debt service</t>
  </si>
  <si>
    <t>Funds Available for Junior Debt Scheduled Repayments</t>
  </si>
  <si>
    <t>Funds Available for Junior Debt Arrears Amount Owed</t>
  </si>
  <si>
    <t>Funds distributed to Equity</t>
  </si>
  <si>
    <t>Funds available for Debt repayment</t>
  </si>
  <si>
    <t>Unmet Scheduled Junior Debt repayment</t>
  </si>
  <si>
    <t>EBIDTA Profile</t>
  </si>
  <si>
    <t xml:space="preserve">a) </t>
  </si>
  <si>
    <t>Build schedules for Senior and Junior Debt, DSRA, Equity and Cash flow waterfall</t>
  </si>
  <si>
    <t>see above</t>
  </si>
  <si>
    <t>b)</t>
  </si>
  <si>
    <t>Ensure that the model has flexibility for the user to change EBIDTA scenario</t>
  </si>
  <si>
    <t>c)</t>
  </si>
  <si>
    <t>Under EBIDTA scenario 3, what is the closing balance of the Junior Debt on 31/3/2021</t>
  </si>
  <si>
    <t>e)</t>
  </si>
  <si>
    <t>Under EBIDTA scenario 2, what is the minimum balance of the DSRA during the period 2019-15</t>
  </si>
  <si>
    <t xml:space="preserve">f) </t>
  </si>
  <si>
    <t>Under EBIDTA scenario 6, what is the total cash interest expenses for the Junior Debt</t>
  </si>
  <si>
    <t>g)</t>
  </si>
  <si>
    <t>Under EBIDTA scenario 4, what is the outstanding Junior Debt balance on 31/12/2028</t>
  </si>
  <si>
    <t>DSCR (Last Twelve Months)</t>
  </si>
  <si>
    <t>DSCR LTM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</si>
</sst>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&quot;$&quot;#,##0.00_);[Red]\(&quot;$&quot;#,##0.00\)"/>
    <numFmt numFmtId="165" formatCode="_(* #,##0.00_);_(* \(#,##0.00\);_(* &quot;-&quot;??_);_(@_)"/>
    <numFmt numFmtId="166" formatCode="_-* #,##0_-;\-* #,##0_-;_-* &quot;-&quot;??_-;_-@_-"/>
    <numFmt numFmtId="167" formatCode="#,##0_);\(#,##0\);\-"/>
    <numFmt numFmtId="168" formatCode="#,##0_);\(#,##0\);\-_)"/>
    <numFmt numFmtId="169" formatCode="#,##0.00_);\(#,##0.00\);\-_)"/>
    <numFmt numFmtId="170" formatCode="0.00%_);\(0.00%\);\-_)"/>
    <numFmt numFmtId="171" formatCode="d/mmm/yy;d/mmm/yy;\-"/>
    <numFmt numFmtId="172" formatCode="[Red]&quot;Error&quot;;[Red]&quot;Error&quot;;&quot;OK&quot;;[Red]General"/>
    <numFmt numFmtId="173" formatCode="&quot;On&quot;;[Black]\(#,##0\);[Red]&quot;Off&quot;;[Black]General"/>
    <numFmt numFmtId="174" formatCode="&quot;Yes&quot;;[Black]\(#,##0\);[Red]&quot;No&quot;;[Black]General"/>
    <numFmt numFmtId="175" formatCode="d\-mmm\-yy;d\-mmm\-yy;\-"/>
    <numFmt numFmtId="176" formatCode="###0_);\(###0\);\-_)"/>
    <numFmt numFmtId="177" formatCode="#,##0_);\(#,##0\);&quot;-  &quot;;&quot; &quot;@"/>
    <numFmt numFmtId="178" formatCode="0.00%\ ;\-0.00%\ _);&quot;-  &quot;;&quot; &quot;@&quot; &quot;"/>
    <numFmt numFmtId="179" formatCode="#,##0.0000_);\(#,##0.0000\);&quot;-  &quot;;&quot; &quot;@&quot; &quot;"/>
    <numFmt numFmtId="180" formatCode="dd\ mmm\ yyyy_);\(###0\);&quot;-  &quot;;&quot; &quot;@&quot; &quot;"/>
    <numFmt numFmtId="181" formatCode="dd\ mmm\ yy_);\(###0\);&quot;-  &quot;;&quot; &quot;@&quot; &quot;"/>
    <numFmt numFmtId="182" formatCode="###0_);\(###0\);&quot;-  &quot;;&quot; &quot;@&quot; &quot;"/>
    <numFmt numFmtId="183" formatCode="&quot;Q&quot;#"/>
    <numFmt numFmtId="184" formatCode="#,##0.00_);\(#,##0.00\);&quot;-  &quot;;&quot; &quot;@&quot; &quot;"/>
    <numFmt numFmtId="185" formatCode="#,##0.00_);\(#,##0.00\);&quot;-  &quot;;&quot; &quot;@"/>
  </numFmts>
  <fonts count="3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i/>
      <sz val="10"/>
      <color rgb="FFFF0000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b/>
      <sz val="10"/>
      <color rgb="FF366092"/>
      <name val="Arial"/>
      <family val="2"/>
    </font>
    <font>
      <b/>
      <u/>
      <sz val="10"/>
      <color theme="1"/>
      <name val="Arial"/>
      <family val="2"/>
    </font>
    <font>
      <b/>
      <u/>
      <sz val="10"/>
      <color rgb="FF006600"/>
      <name val="Arial"/>
      <family val="2"/>
    </font>
    <font>
      <b/>
      <sz val="11"/>
      <color theme="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rgb="FFD9D9D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</borders>
  <cellStyleXfs count="52">
    <xf numFmtId="177" fontId="0" fillId="0" borderId="0" applyFont="0" applyFill="0" applyBorder="0" applyProtection="0">
      <alignment vertical="top"/>
    </xf>
    <xf numFmtId="0" fontId="3" fillId="0" borderId="0"/>
    <xf numFmtId="165" fontId="4" fillId="0" borderId="0" applyFont="0" applyFill="0" applyBorder="0" applyAlignment="0" applyProtection="0"/>
    <xf numFmtId="0" fontId="5" fillId="0" borderId="0" applyNumberFormat="0" applyFont="0" applyFill="0" applyBorder="0" applyProtection="0">
      <alignment horizontal="centerContinuous"/>
    </xf>
    <xf numFmtId="0" fontId="5" fillId="0" borderId="1" applyNumberFormat="0" applyFont="0" applyFill="0" applyAlignment="0" applyProtection="0"/>
    <xf numFmtId="0" fontId="5" fillId="0" borderId="0" applyNumberFormat="0" applyFont="0" applyFill="0" applyBorder="0" applyProtection="0">
      <alignment horizontal="center"/>
    </xf>
    <xf numFmtId="164" fontId="6" fillId="0" borderId="4">
      <protection locked="0"/>
    </xf>
    <xf numFmtId="0" fontId="5" fillId="0" borderId="5" applyNumberFormat="0" applyFont="0" applyFill="0" applyAlignment="0" applyProtection="0"/>
    <xf numFmtId="0" fontId="7" fillId="0" borderId="0" applyNumberFormat="0" applyFill="0" applyBorder="0" applyAlignment="0" applyProtection="0"/>
    <xf numFmtId="166" fontId="4" fillId="0" borderId="0" applyNumberFormat="0" applyFill="0" applyBorder="0" applyAlignment="0" applyProtection="0"/>
    <xf numFmtId="0" fontId="5" fillId="0" borderId="3" applyNumberFormat="0" applyFont="0" applyFill="0" applyAlignment="0" applyProtection="0"/>
    <xf numFmtId="9" fontId="3" fillId="0" borderId="0" applyFont="0" applyFill="0" applyBorder="0" applyAlignment="0" applyProtection="0"/>
    <xf numFmtId="0" fontId="11" fillId="3" borderId="0" applyNumberFormat="0" applyAlignment="0"/>
    <xf numFmtId="168" fontId="2" fillId="0" borderId="0" applyBorder="0"/>
    <xf numFmtId="4" fontId="8" fillId="4" borderId="2">
      <alignment horizontal="left"/>
    </xf>
    <xf numFmtId="167" fontId="12" fillId="0" borderId="0" applyFill="0" applyBorder="0"/>
    <xf numFmtId="168" fontId="10" fillId="0" borderId="0" applyBorder="0"/>
    <xf numFmtId="0" fontId="13" fillId="0" borderId="0" applyNumberFormat="0" applyFill="0" applyBorder="0">
      <alignment horizontal="right"/>
    </xf>
    <xf numFmtId="168" fontId="13" fillId="5" borderId="8">
      <protection locked="0"/>
    </xf>
    <xf numFmtId="169" fontId="13" fillId="5" borderId="8">
      <protection locked="0"/>
    </xf>
    <xf numFmtId="170" fontId="13" fillId="5" borderId="8">
      <protection locked="0"/>
    </xf>
    <xf numFmtId="171" fontId="2" fillId="0" borderId="0" applyBorder="0"/>
    <xf numFmtId="171" fontId="13" fillId="5" borderId="8">
      <protection locked="0"/>
    </xf>
    <xf numFmtId="168" fontId="13" fillId="0" borderId="8"/>
    <xf numFmtId="15" fontId="9" fillId="0" borderId="0" applyFill="0" applyBorder="0" applyAlignment="0"/>
    <xf numFmtId="172" fontId="15" fillId="0" borderId="9">
      <alignment horizontal="center"/>
    </xf>
    <xf numFmtId="168" fontId="16" fillId="7" borderId="0" applyBorder="0" applyAlignment="0"/>
    <xf numFmtId="172" fontId="17" fillId="8" borderId="10">
      <alignment horizontal="center"/>
    </xf>
    <xf numFmtId="0" fontId="18" fillId="0" borderId="0" applyNumberFormat="0" applyFill="0" applyBorder="0" applyAlignment="0"/>
    <xf numFmtId="0" fontId="19" fillId="0" borderId="0" applyNumberFormat="0" applyFill="0" applyBorder="0" applyAlignment="0"/>
    <xf numFmtId="167" fontId="20" fillId="6" borderId="8" applyNumberFormat="0" applyAlignment="0">
      <protection locked="0"/>
    </xf>
    <xf numFmtId="173" fontId="21" fillId="5" borderId="8">
      <alignment horizontal="center"/>
      <protection locked="0"/>
    </xf>
    <xf numFmtId="174" fontId="21" fillId="5" borderId="8">
      <alignment horizontal="center"/>
      <protection locked="0"/>
    </xf>
    <xf numFmtId="169" fontId="2" fillId="0" borderId="0" applyBorder="0"/>
    <xf numFmtId="174" fontId="22" fillId="0" borderId="11" applyFill="0">
      <alignment horizontal="center"/>
    </xf>
    <xf numFmtId="173" fontId="21" fillId="0" borderId="11">
      <alignment horizontal="center"/>
    </xf>
    <xf numFmtId="170" fontId="3" fillId="0" borderId="0" applyFill="0" applyBorder="0" applyAlignment="0"/>
    <xf numFmtId="168" fontId="2" fillId="9" borderId="11"/>
    <xf numFmtId="0" fontId="23" fillId="0" borderId="6" applyNumberFormat="0" applyFill="0" applyAlignment="0" applyProtection="0"/>
    <xf numFmtId="0" fontId="24" fillId="0" borderId="0"/>
    <xf numFmtId="0" fontId="25" fillId="2" borderId="7" applyNumberFormat="0" applyAlignment="0" applyProtection="0"/>
    <xf numFmtId="0" fontId="25" fillId="2" borderId="7" applyFill="0" applyAlignment="0" applyProtection="0"/>
    <xf numFmtId="0" fontId="2" fillId="0" borderId="0"/>
    <xf numFmtId="0" fontId="26" fillId="0" borderId="0"/>
    <xf numFmtId="175" fontId="2" fillId="0" borderId="0" applyBorder="0"/>
    <xf numFmtId="176" fontId="2" fillId="0" borderId="0" applyBorder="0"/>
    <xf numFmtId="175" fontId="13" fillId="5" borderId="8">
      <protection locked="0"/>
    </xf>
    <xf numFmtId="178" fontId="26" fillId="0" borderId="0" applyFont="0" applyFill="0" applyBorder="0" applyProtection="0">
      <alignment vertical="top"/>
    </xf>
    <xf numFmtId="179" fontId="26" fillId="0" borderId="0" applyFont="0" applyFill="0" applyBorder="0" applyProtection="0">
      <alignment vertical="top"/>
    </xf>
    <xf numFmtId="180" fontId="26" fillId="0" borderId="0" applyFont="0" applyFill="0" applyBorder="0" applyProtection="0">
      <alignment vertical="top"/>
    </xf>
    <xf numFmtId="181" fontId="26" fillId="0" borderId="0" applyFont="0" applyFill="0" applyBorder="0" applyProtection="0">
      <alignment vertical="top"/>
    </xf>
    <xf numFmtId="182" fontId="26" fillId="0" borderId="0" applyFont="0" applyFill="0" applyBorder="0" applyProtection="0">
      <alignment vertical="top"/>
    </xf>
  </cellStyleXfs>
  <cellXfs count="107">
    <xf numFmtId="177" fontId="0" fillId="0" borderId="0" xfId="0">
      <alignment vertical="top"/>
    </xf>
    <xf numFmtId="168" fontId="2" fillId="0" borderId="0" xfId="13"/>
    <xf numFmtId="168" fontId="14" fillId="0" borderId="0" xfId="13" applyFont="1"/>
    <xf numFmtId="168" fontId="27" fillId="0" borderId="0" xfId="13" applyFont="1"/>
    <xf numFmtId="4" fontId="8" fillId="4" borderId="2" xfId="14">
      <alignment horizontal="left"/>
    </xf>
    <xf numFmtId="167" fontId="28" fillId="0" borderId="0" xfId="15" applyFont="1"/>
    <xf numFmtId="168" fontId="0" fillId="0" borderId="0" xfId="13" applyFont="1"/>
    <xf numFmtId="167" fontId="12" fillId="0" borderId="0" xfId="15"/>
    <xf numFmtId="168" fontId="10" fillId="0" borderId="0" xfId="16"/>
    <xf numFmtId="168" fontId="13" fillId="0" borderId="0" xfId="17" applyNumberFormat="1">
      <alignment horizontal="right"/>
    </xf>
    <xf numFmtId="168" fontId="13" fillId="5" borderId="8" xfId="23" applyFill="1"/>
    <xf numFmtId="175" fontId="2" fillId="0" borderId="0" xfId="44"/>
    <xf numFmtId="168" fontId="0" fillId="0" borderId="1" xfId="13" applyFont="1" applyBorder="1"/>
    <xf numFmtId="168" fontId="13" fillId="5" borderId="8" xfId="18" applyAlignment="1">
      <alignment horizontal="right"/>
      <protection locked="0"/>
    </xf>
    <xf numFmtId="0" fontId="2" fillId="0" borderId="0" xfId="42"/>
    <xf numFmtId="0" fontId="2" fillId="0" borderId="0" xfId="42" applyAlignment="1">
      <alignment horizontal="center"/>
    </xf>
    <xf numFmtId="175" fontId="2" fillId="0" borderId="0" xfId="42" applyNumberFormat="1"/>
    <xf numFmtId="0" fontId="10" fillId="0" borderId="0" xfId="42" applyFont="1"/>
    <xf numFmtId="170" fontId="2" fillId="0" borderId="0" xfId="42" applyNumberFormat="1"/>
    <xf numFmtId="0" fontId="2" fillId="0" borderId="16" xfId="42" applyBorder="1"/>
    <xf numFmtId="0" fontId="2" fillId="0" borderId="17" xfId="42" applyBorder="1"/>
    <xf numFmtId="169" fontId="2" fillId="0" borderId="0" xfId="42" applyNumberFormat="1"/>
    <xf numFmtId="168" fontId="2" fillId="0" borderId="0" xfId="42" applyNumberFormat="1"/>
    <xf numFmtId="168" fontId="10" fillId="0" borderId="12" xfId="42" applyNumberFormat="1" applyFont="1" applyBorder="1"/>
    <xf numFmtId="168" fontId="2" fillId="0" borderId="12" xfId="42" applyNumberFormat="1" applyBorder="1"/>
    <xf numFmtId="0" fontId="10" fillId="0" borderId="2" xfId="42" applyFont="1" applyBorder="1"/>
    <xf numFmtId="168" fontId="10" fillId="0" borderId="2" xfId="42" applyNumberFormat="1" applyFont="1" applyBorder="1"/>
    <xf numFmtId="168" fontId="10" fillId="0" borderId="0" xfId="42" applyNumberFormat="1" applyFont="1"/>
    <xf numFmtId="168" fontId="22" fillId="0" borderId="0" xfId="42" applyNumberFormat="1" applyFont="1"/>
    <xf numFmtId="0" fontId="2" fillId="0" borderId="2" xfId="42" applyBorder="1"/>
    <xf numFmtId="168" fontId="13" fillId="0" borderId="12" xfId="18" applyFill="1" applyBorder="1">
      <protection locked="0"/>
    </xf>
    <xf numFmtId="169" fontId="3" fillId="0" borderId="0" xfId="19" applyFont="1" applyFill="1" applyBorder="1" applyAlignment="1">
      <alignment horizontal="right"/>
      <protection locked="0"/>
    </xf>
    <xf numFmtId="168" fontId="2" fillId="0" borderId="13" xfId="42" applyNumberFormat="1" applyBorder="1"/>
    <xf numFmtId="168" fontId="2" fillId="0" borderId="14" xfId="42" applyNumberFormat="1" applyBorder="1"/>
    <xf numFmtId="168" fontId="2" fillId="10" borderId="14" xfId="42" applyNumberFormat="1" applyFill="1" applyBorder="1"/>
    <xf numFmtId="168" fontId="2" fillId="0" borderId="15" xfId="42" applyNumberFormat="1" applyBorder="1"/>
    <xf numFmtId="175" fontId="2" fillId="0" borderId="13" xfId="42" applyNumberFormat="1" applyBorder="1" applyAlignment="1">
      <alignment horizontal="right"/>
    </xf>
    <xf numFmtId="175" fontId="2" fillId="10" borderId="14" xfId="42" applyNumberFormat="1" applyFill="1" applyBorder="1" applyAlignment="1">
      <alignment horizontal="right"/>
    </xf>
    <xf numFmtId="168" fontId="2" fillId="10" borderId="15" xfId="42" applyNumberFormat="1" applyFill="1" applyBorder="1"/>
    <xf numFmtId="175" fontId="2" fillId="0" borderId="0" xfId="42" applyNumberFormat="1" applyAlignment="1">
      <alignment horizontal="center"/>
    </xf>
    <xf numFmtId="175" fontId="29" fillId="0" borderId="0" xfId="44" applyFont="1" applyAlignment="1">
      <alignment horizontal="center"/>
    </xf>
    <xf numFmtId="170" fontId="22" fillId="0" borderId="0" xfId="20" applyFont="1" applyFill="1" applyBorder="1">
      <protection locked="0"/>
    </xf>
    <xf numFmtId="169" fontId="22" fillId="0" borderId="0" xfId="19" applyFont="1" applyFill="1" applyBorder="1">
      <protection locked="0"/>
    </xf>
    <xf numFmtId="168" fontId="22" fillId="0" borderId="12" xfId="18" applyFont="1" applyFill="1" applyBorder="1">
      <protection locked="0"/>
    </xf>
    <xf numFmtId="168" fontId="22" fillId="0" borderId="0" xfId="18" applyFont="1" applyFill="1" applyBorder="1">
      <protection locked="0"/>
    </xf>
    <xf numFmtId="175" fontId="30" fillId="0" borderId="0" xfId="44" applyFont="1" applyAlignment="1">
      <alignment horizontal="center"/>
    </xf>
    <xf numFmtId="168" fontId="3" fillId="0" borderId="0" xfId="18" applyFont="1" applyFill="1" applyBorder="1">
      <protection locked="0"/>
    </xf>
    <xf numFmtId="168" fontId="13" fillId="5" borderId="8" xfId="18">
      <protection locked="0"/>
    </xf>
    <xf numFmtId="170" fontId="13" fillId="5" borderId="8" xfId="20">
      <protection locked="0"/>
    </xf>
    <xf numFmtId="175" fontId="13" fillId="5" borderId="8" xfId="46">
      <protection locked="0"/>
    </xf>
    <xf numFmtId="169" fontId="13" fillId="5" borderId="8" xfId="19">
      <protection locked="0"/>
    </xf>
    <xf numFmtId="15" fontId="9" fillId="0" borderId="0" xfId="24" applyFill="1"/>
    <xf numFmtId="168" fontId="9" fillId="0" borderId="0" xfId="13" applyFont="1"/>
    <xf numFmtId="175" fontId="2" fillId="0" borderId="14" xfId="42" applyNumberFormat="1" applyBorder="1" applyAlignment="1">
      <alignment horizontal="right"/>
    </xf>
    <xf numFmtId="175" fontId="2" fillId="0" borderId="15" xfId="42" applyNumberFormat="1" applyBorder="1" applyAlignment="1">
      <alignment horizontal="right"/>
    </xf>
    <xf numFmtId="177" fontId="1" fillId="0" borderId="0" xfId="0" applyFont="1">
      <alignment vertical="top"/>
    </xf>
    <xf numFmtId="177" fontId="31" fillId="11" borderId="0" xfId="0" applyFont="1" applyFill="1">
      <alignment vertical="top"/>
    </xf>
    <xf numFmtId="177" fontId="13" fillId="12" borderId="19" xfId="0" applyFont="1" applyFill="1" applyBorder="1">
      <alignment vertical="top"/>
    </xf>
    <xf numFmtId="175" fontId="13" fillId="12" borderId="18" xfId="44" applyFont="1" applyFill="1" applyBorder="1"/>
    <xf numFmtId="177" fontId="1" fillId="13" borderId="0" xfId="0" applyFont="1" applyFill="1">
      <alignment vertical="top"/>
    </xf>
    <xf numFmtId="177" fontId="33" fillId="13" borderId="0" xfId="0" applyFont="1" applyFill="1">
      <alignment vertical="top"/>
    </xf>
    <xf numFmtId="181" fontId="31" fillId="11" borderId="0" xfId="50" applyFont="1" applyFill="1">
      <alignment vertical="top"/>
    </xf>
    <xf numFmtId="177" fontId="33" fillId="0" borderId="0" xfId="0" applyFont="1" applyFill="1">
      <alignment vertical="top"/>
    </xf>
    <xf numFmtId="177" fontId="1" fillId="0" borderId="0" xfId="0" applyFont="1" applyFill="1">
      <alignment vertical="top"/>
    </xf>
    <xf numFmtId="181" fontId="34" fillId="0" borderId="0" xfId="50" applyFont="1" applyFill="1">
      <alignment vertical="top"/>
    </xf>
    <xf numFmtId="181" fontId="1" fillId="0" borderId="0" xfId="50" applyFont="1">
      <alignment vertical="top"/>
    </xf>
    <xf numFmtId="181" fontId="32" fillId="12" borderId="19" xfId="50" applyFont="1" applyFill="1" applyBorder="1">
      <alignment vertical="top"/>
    </xf>
    <xf numFmtId="177" fontId="32" fillId="12" borderId="18" xfId="0" applyFont="1" applyFill="1" applyBorder="1">
      <alignment vertical="top"/>
    </xf>
    <xf numFmtId="183" fontId="1" fillId="0" borderId="0" xfId="0" applyNumberFormat="1" applyFont="1">
      <alignment vertical="top"/>
    </xf>
    <xf numFmtId="182" fontId="1" fillId="0" borderId="0" xfId="51" applyFont="1">
      <alignment vertical="top"/>
    </xf>
    <xf numFmtId="168" fontId="2" fillId="13" borderId="0" xfId="13" applyFill="1"/>
    <xf numFmtId="175" fontId="2" fillId="13" borderId="0" xfId="44" applyFill="1"/>
    <xf numFmtId="177" fontId="32" fillId="0" borderId="0" xfId="0" applyFont="1">
      <alignment vertical="top"/>
    </xf>
    <xf numFmtId="177" fontId="1" fillId="0" borderId="0" xfId="0" applyFont="1" applyBorder="1">
      <alignment vertical="top"/>
    </xf>
    <xf numFmtId="177" fontId="1" fillId="13" borderId="0" xfId="0" applyFont="1" applyFill="1" applyBorder="1">
      <alignment vertical="top"/>
    </xf>
    <xf numFmtId="177" fontId="1" fillId="0" borderId="20" xfId="0" applyFont="1" applyBorder="1">
      <alignment vertical="top"/>
    </xf>
    <xf numFmtId="177" fontId="1" fillId="0" borderId="21" xfId="0" applyFont="1" applyBorder="1">
      <alignment vertical="top"/>
    </xf>
    <xf numFmtId="177" fontId="1" fillId="13" borderId="21" xfId="0" applyFont="1" applyFill="1" applyBorder="1">
      <alignment vertical="top"/>
    </xf>
    <xf numFmtId="177" fontId="32" fillId="0" borderId="0" xfId="0" applyFont="1" applyBorder="1">
      <alignment vertical="top"/>
    </xf>
    <xf numFmtId="177" fontId="35" fillId="0" borderId="0" xfId="0" applyFont="1">
      <alignment vertical="top"/>
    </xf>
    <xf numFmtId="177" fontId="32" fillId="13" borderId="18" xfId="0" applyFont="1" applyFill="1" applyBorder="1">
      <alignment vertical="top"/>
    </xf>
    <xf numFmtId="178" fontId="32" fillId="13" borderId="19" xfId="47" applyFont="1" applyFill="1" applyBorder="1">
      <alignment vertical="top"/>
    </xf>
    <xf numFmtId="177" fontId="33" fillId="0" borderId="12" xfId="0" applyFont="1" applyBorder="1">
      <alignment vertical="top"/>
    </xf>
    <xf numFmtId="177" fontId="33" fillId="13" borderId="0" xfId="0" applyFont="1" applyFill="1" applyBorder="1">
      <alignment vertical="top"/>
    </xf>
    <xf numFmtId="0" fontId="31" fillId="11" borderId="0" xfId="0" applyNumberFormat="1" applyFont="1" applyFill="1">
      <alignment vertical="top"/>
    </xf>
    <xf numFmtId="0" fontId="1" fillId="13" borderId="0" xfId="0" applyNumberFormat="1" applyFont="1" applyFill="1">
      <alignment vertical="top"/>
    </xf>
    <xf numFmtId="0" fontId="1" fillId="0" borderId="0" xfId="0" applyNumberFormat="1" applyFont="1" applyFill="1">
      <alignment vertical="top"/>
    </xf>
    <xf numFmtId="0" fontId="1" fillId="0" borderId="0" xfId="0" applyNumberFormat="1" applyFont="1">
      <alignment vertical="top"/>
    </xf>
    <xf numFmtId="0" fontId="1" fillId="0" borderId="20" xfId="0" applyNumberFormat="1" applyFont="1" applyBorder="1">
      <alignment vertical="top"/>
    </xf>
    <xf numFmtId="0" fontId="1" fillId="0" borderId="0" xfId="0" applyNumberFormat="1" applyFont="1" applyBorder="1">
      <alignment vertical="top"/>
    </xf>
    <xf numFmtId="0" fontId="1" fillId="0" borderId="21" xfId="0" applyNumberFormat="1" applyFont="1" applyBorder="1">
      <alignment vertical="top"/>
    </xf>
    <xf numFmtId="0" fontId="33" fillId="0" borderId="12" xfId="0" applyNumberFormat="1" applyFont="1" applyBorder="1">
      <alignment vertical="top"/>
    </xf>
    <xf numFmtId="0" fontId="1" fillId="13" borderId="0" xfId="0" applyNumberFormat="1" applyFont="1" applyFill="1" applyBorder="1">
      <alignment vertical="top"/>
    </xf>
    <xf numFmtId="177" fontId="32" fillId="0" borderId="0" xfId="0" applyFont="1" applyFill="1" applyBorder="1">
      <alignment vertical="top"/>
    </xf>
    <xf numFmtId="177" fontId="33" fillId="0" borderId="0" xfId="0" applyFont="1">
      <alignment vertical="top"/>
    </xf>
    <xf numFmtId="0" fontId="33" fillId="0" borderId="0" xfId="0" applyNumberFormat="1" applyFont="1" applyBorder="1">
      <alignment vertical="top"/>
    </xf>
    <xf numFmtId="177" fontId="33" fillId="0" borderId="0" xfId="0" applyFont="1" applyBorder="1">
      <alignment vertical="top"/>
    </xf>
    <xf numFmtId="184" fontId="32" fillId="13" borderId="0" xfId="48" applyNumberFormat="1" applyFont="1" applyFill="1">
      <alignment vertical="top"/>
    </xf>
    <xf numFmtId="184" fontId="32" fillId="0" borderId="0" xfId="48" applyNumberFormat="1" applyFont="1" applyFill="1">
      <alignment vertical="top"/>
    </xf>
    <xf numFmtId="185" fontId="1" fillId="0" borderId="0" xfId="0" applyNumberFormat="1" applyFont="1">
      <alignment vertical="top"/>
    </xf>
    <xf numFmtId="182" fontId="1" fillId="0" borderId="0" xfId="51" applyFont="1" applyBorder="1">
      <alignment vertical="top"/>
    </xf>
    <xf numFmtId="182" fontId="33" fillId="0" borderId="12" xfId="51" applyFont="1" applyBorder="1">
      <alignment vertical="top"/>
    </xf>
    <xf numFmtId="0" fontId="1" fillId="0" borderId="0" xfId="0" applyNumberFormat="1" applyFont="1" applyBorder="1" applyAlignment="1">
      <alignment horizontal="left" vertical="top" indent="2"/>
    </xf>
    <xf numFmtId="0" fontId="1" fillId="0" borderId="0" xfId="0" applyNumberFormat="1" applyFont="1" applyAlignment="1">
      <alignment horizontal="centerContinuous" vertical="top"/>
    </xf>
    <xf numFmtId="177" fontId="1" fillId="0" borderId="0" xfId="0" applyFont="1" applyAlignment="1">
      <alignment horizontal="centerContinuous" vertical="top"/>
    </xf>
    <xf numFmtId="177" fontId="31" fillId="11" borderId="0" xfId="0" applyFont="1" applyFill="1" applyAlignment="1">
      <alignment horizontal="right" vertical="top"/>
    </xf>
    <xf numFmtId="177" fontId="34" fillId="0" borderId="0" xfId="0" applyFont="1">
      <alignment vertical="top"/>
    </xf>
  </cellXfs>
  <cellStyles count="52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 2" xfId="2" xr:uid="{00000000-0005-0000-0000-000003000000}"/>
    <cellStyle name="Currency [2]" xfId="6" xr:uid="{00000000-0005-0000-0000-000004000000}"/>
    <cellStyle name="DateLong" xfId="49" xr:uid="{D9CF959E-DD38-466A-8BCC-8621DC098FAA}"/>
    <cellStyle name="DateShort" xfId="50" xr:uid="{31C3A68E-F185-49CD-8BA6-79ACAC64A3BA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48" xr:uid="{B0D2F720-0335-4B1E-B85A-3755B2A9367B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47" builtinId="5" customBuiltin="1"/>
    <cellStyle name="Percent 2" xfId="11" xr:uid="{00000000-0005-0000-0000-00002E000000}"/>
    <cellStyle name="Year" xfId="51" xr:uid="{F0DB0580-5D25-43E8-BBA2-E62356C582DC}"/>
  </cellStyles>
  <dxfs count="0"/>
  <tableStyles count="0" defaultTableStyle="TableStyleMedium2" defaultPivotStyle="PivotStyleLight16"/>
  <colors>
    <mruColors>
      <color rgb="FF000000"/>
      <color rgb="FF006600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Drop" dropStyle="combo" dx="26" fmlaLink="ebidta_selector" fmlaRange="ebidta_profiles" noThreeD="1" sel="6" val="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556260</xdr:colOff>
          <xdr:row>2</xdr:row>
          <xdr:rowOff>0</xdr:rowOff>
        </xdr:from>
        <xdr:to>
          <xdr:col>7</xdr:col>
          <xdr:colOff>757966</xdr:colOff>
          <xdr:row>3</xdr:row>
          <xdr:rowOff>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0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BD9416-3D97-4A3C-8DB0-1C3E1F5DC778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ea227c39-29bd-4e20-b7ca-871b8206ce7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F6824-8DCD-4B80-B672-44F7C8254D22}">
  <sheetPr>
    <pageSetUpPr autoPageBreaks="0"/>
  </sheetPr>
  <dimension ref="A1:AW140"/>
  <sheetViews>
    <sheetView showGridLines="0" tabSelected="1" zoomScale="85" zoomScaleNormal="85" workbookViewId="0">
      <pane xSplit="9" ySplit="3" topLeftCell="J24" activePane="bottomRight" state="frozen"/>
      <selection pane="topRight" activeCell="J1" sqref="J1"/>
      <selection pane="bottomLeft" activeCell="A4" sqref="A4"/>
      <selection pane="bottomRight" activeCell="J66" sqref="J66"/>
    </sheetView>
  </sheetViews>
  <sheetFormatPr defaultColWidth="10.77734375" defaultRowHeight="13.8"/>
  <cols>
    <col min="1" max="4" width="1.77734375" style="55" customWidth="1"/>
    <col min="5" max="5" width="53.77734375" style="87" customWidth="1"/>
    <col min="6" max="6" width="11.77734375" style="55" customWidth="1"/>
    <col min="7" max="7" width="10.77734375" style="87" customWidth="1"/>
    <col min="8" max="8" width="11.77734375" style="55" customWidth="1"/>
    <col min="9" max="9" width="1.77734375" style="55" customWidth="1"/>
    <col min="10" max="10" width="13.33203125" style="55" bestFit="1" customWidth="1"/>
    <col min="11" max="11" width="13.109375" style="55" bestFit="1" customWidth="1"/>
    <col min="12" max="12" width="13.21875" style="55" bestFit="1" customWidth="1"/>
    <col min="13" max="13" width="13.109375" style="55" bestFit="1" customWidth="1"/>
    <col min="14" max="14" width="13.33203125" style="55" bestFit="1" customWidth="1"/>
    <col min="15" max="15" width="13.21875" style="55" bestFit="1" customWidth="1"/>
    <col min="16" max="16" width="12.44140625" style="55" bestFit="1" customWidth="1"/>
    <col min="17" max="17" width="13.109375" style="55" bestFit="1" customWidth="1"/>
    <col min="18" max="18" width="13.33203125" style="55" bestFit="1" customWidth="1"/>
    <col min="19" max="19" width="13.109375" style="55" bestFit="1" customWidth="1"/>
    <col min="20" max="20" width="13.33203125" style="55" bestFit="1" customWidth="1"/>
    <col min="21" max="21" width="13.21875" style="55" bestFit="1" customWidth="1"/>
    <col min="22" max="22" width="13.33203125" style="55" bestFit="1" customWidth="1"/>
    <col min="23" max="23" width="13.109375" style="55" bestFit="1" customWidth="1"/>
    <col min="24" max="24" width="13.21875" style="55" bestFit="1" customWidth="1"/>
    <col min="25" max="25" width="13.109375" style="55" bestFit="1" customWidth="1"/>
    <col min="26" max="26" width="13.33203125" style="55" bestFit="1" customWidth="1"/>
    <col min="27" max="27" width="13.21875" style="55" bestFit="1" customWidth="1"/>
    <col min="28" max="28" width="12.44140625" style="55" bestFit="1" customWidth="1"/>
    <col min="29" max="29" width="13.109375" style="55" bestFit="1" customWidth="1"/>
    <col min="30" max="30" width="13.33203125" style="55" bestFit="1" customWidth="1"/>
    <col min="31" max="31" width="13.109375" style="55" bestFit="1" customWidth="1"/>
    <col min="32" max="32" width="13.33203125" style="55" bestFit="1" customWidth="1"/>
    <col min="33" max="33" width="13.21875" style="55" bestFit="1" customWidth="1"/>
    <col min="34" max="34" width="13.33203125" style="55" bestFit="1" customWidth="1"/>
    <col min="35" max="35" width="13.109375" style="55" bestFit="1" customWidth="1"/>
    <col min="36" max="36" width="13.21875" style="55" bestFit="1" customWidth="1"/>
    <col min="37" max="37" width="13.109375" style="55" bestFit="1" customWidth="1"/>
    <col min="38" max="38" width="13.33203125" style="55" bestFit="1" customWidth="1"/>
    <col min="39" max="39" width="13.21875" style="55" bestFit="1" customWidth="1"/>
    <col min="40" max="40" width="12.44140625" style="55" bestFit="1" customWidth="1"/>
    <col min="41" max="41" width="13.109375" style="55" bestFit="1" customWidth="1"/>
    <col min="42" max="42" width="13.33203125" style="55" bestFit="1" customWidth="1"/>
    <col min="43" max="43" width="13.109375" style="55" bestFit="1" customWidth="1"/>
    <col min="44" max="44" width="13.33203125" style="55" bestFit="1" customWidth="1"/>
    <col min="45" max="45" width="13.21875" style="55" bestFit="1" customWidth="1"/>
    <col min="46" max="46" width="13.33203125" style="55" bestFit="1" customWidth="1"/>
    <col min="47" max="47" width="13.109375" style="55" bestFit="1" customWidth="1"/>
    <col min="48" max="48" width="13.21875" style="55" bestFit="1" customWidth="1"/>
    <col min="49" max="49" width="13.109375" style="55" bestFit="1" customWidth="1"/>
    <col min="50" max="16384" width="10.77734375" style="55"/>
  </cols>
  <sheetData>
    <row r="1" spans="1:49" s="56" customFormat="1">
      <c r="A1" s="56" t="str" cm="1">
        <f t="array" ref="A1">company</f>
        <v>Black Rat SPV 2</v>
      </c>
      <c r="E1" s="84"/>
      <c r="G1" s="84"/>
    </row>
    <row r="2" spans="1:49" s="56" customFormat="1">
      <c r="A2" s="56" t="str" cm="1">
        <f t="array" ref="A2">topic</f>
        <v>CFM Topic: Debt</v>
      </c>
      <c r="E2" s="84"/>
      <c r="G2" s="84"/>
      <c r="H2" s="105" t="s">
        <v>165</v>
      </c>
      <c r="J2" s="61" cm="1">
        <f t="array" ref="J2:AW2">_xlfn.ANCHORARRAY($J$137)</f>
        <v>43466</v>
      </c>
      <c r="K2" s="61">
        <v>43556</v>
      </c>
      <c r="L2" s="61">
        <v>43647</v>
      </c>
      <c r="M2" s="61">
        <v>43739</v>
      </c>
      <c r="N2" s="61">
        <v>43831</v>
      </c>
      <c r="O2" s="61">
        <v>43922</v>
      </c>
      <c r="P2" s="61">
        <v>44013</v>
      </c>
      <c r="Q2" s="61">
        <v>44105</v>
      </c>
      <c r="R2" s="61">
        <v>44197</v>
      </c>
      <c r="S2" s="61">
        <v>44287</v>
      </c>
      <c r="T2" s="61">
        <v>44378</v>
      </c>
      <c r="U2" s="61">
        <v>44470</v>
      </c>
      <c r="V2" s="61">
        <v>44562</v>
      </c>
      <c r="W2" s="61">
        <v>44652</v>
      </c>
      <c r="X2" s="61">
        <v>44743</v>
      </c>
      <c r="Y2" s="61">
        <v>44835</v>
      </c>
      <c r="Z2" s="61">
        <v>44927</v>
      </c>
      <c r="AA2" s="61">
        <v>45017</v>
      </c>
      <c r="AB2" s="61">
        <v>45108</v>
      </c>
      <c r="AC2" s="61">
        <v>45200</v>
      </c>
      <c r="AD2" s="61">
        <v>45292</v>
      </c>
      <c r="AE2" s="61">
        <v>45383</v>
      </c>
      <c r="AF2" s="61">
        <v>45474</v>
      </c>
      <c r="AG2" s="61">
        <v>45566</v>
      </c>
      <c r="AH2" s="61">
        <v>45658</v>
      </c>
      <c r="AI2" s="61">
        <v>45748</v>
      </c>
      <c r="AJ2" s="61">
        <v>45839</v>
      </c>
      <c r="AK2" s="61">
        <v>45931</v>
      </c>
      <c r="AL2" s="61">
        <v>46023</v>
      </c>
      <c r="AM2" s="61">
        <v>46113</v>
      </c>
      <c r="AN2" s="61">
        <v>46204</v>
      </c>
      <c r="AO2" s="61">
        <v>46296</v>
      </c>
      <c r="AP2" s="61">
        <v>46388</v>
      </c>
      <c r="AQ2" s="61">
        <v>46478</v>
      </c>
      <c r="AR2" s="61">
        <v>46569</v>
      </c>
      <c r="AS2" s="61">
        <v>46661</v>
      </c>
      <c r="AT2" s="61">
        <v>46753</v>
      </c>
      <c r="AU2" s="61">
        <v>46844</v>
      </c>
      <c r="AV2" s="61">
        <v>46935</v>
      </c>
      <c r="AW2" s="61">
        <v>47027</v>
      </c>
    </row>
    <row r="3" spans="1:49" s="56" customFormat="1">
      <c r="A3" s="56" t="s">
        <v>109</v>
      </c>
      <c r="E3" s="84"/>
      <c r="F3" s="56" t="s">
        <v>117</v>
      </c>
      <c r="G3" s="84" t="s">
        <v>118</v>
      </c>
      <c r="H3" s="60">
        <v>6</v>
      </c>
      <c r="J3" s="61" cm="1">
        <f t="array" ref="J3:AW3">_xlfn.ANCHORARRAY( $J$138)</f>
        <v>43555</v>
      </c>
      <c r="K3" s="61">
        <v>43646</v>
      </c>
      <c r="L3" s="61">
        <v>43738</v>
      </c>
      <c r="M3" s="61">
        <v>43830</v>
      </c>
      <c r="N3" s="61">
        <v>43921</v>
      </c>
      <c r="O3" s="61">
        <v>44012</v>
      </c>
      <c r="P3" s="61">
        <v>44104</v>
      </c>
      <c r="Q3" s="61">
        <v>44196</v>
      </c>
      <c r="R3" s="61">
        <v>44286</v>
      </c>
      <c r="S3" s="61">
        <v>44377</v>
      </c>
      <c r="T3" s="61">
        <v>44469</v>
      </c>
      <c r="U3" s="61">
        <v>44561</v>
      </c>
      <c r="V3" s="61">
        <v>44651</v>
      </c>
      <c r="W3" s="61">
        <v>44742</v>
      </c>
      <c r="X3" s="61">
        <v>44834</v>
      </c>
      <c r="Y3" s="61">
        <v>44926</v>
      </c>
      <c r="Z3" s="61">
        <v>45016</v>
      </c>
      <c r="AA3" s="61">
        <v>45107</v>
      </c>
      <c r="AB3" s="61">
        <v>45199</v>
      </c>
      <c r="AC3" s="61">
        <v>45291</v>
      </c>
      <c r="AD3" s="61">
        <v>45382</v>
      </c>
      <c r="AE3" s="61">
        <v>45473</v>
      </c>
      <c r="AF3" s="61">
        <v>45565</v>
      </c>
      <c r="AG3" s="61">
        <v>45657</v>
      </c>
      <c r="AH3" s="61">
        <v>45747</v>
      </c>
      <c r="AI3" s="61">
        <v>45838</v>
      </c>
      <c r="AJ3" s="61">
        <v>45930</v>
      </c>
      <c r="AK3" s="61">
        <v>46022</v>
      </c>
      <c r="AL3" s="61">
        <v>46112</v>
      </c>
      <c r="AM3" s="61">
        <v>46203</v>
      </c>
      <c r="AN3" s="61">
        <v>46295</v>
      </c>
      <c r="AO3" s="61">
        <v>46387</v>
      </c>
      <c r="AP3" s="61">
        <v>46477</v>
      </c>
      <c r="AQ3" s="61">
        <v>46568</v>
      </c>
      <c r="AR3" s="61">
        <v>46660</v>
      </c>
      <c r="AS3" s="61">
        <v>46752</v>
      </c>
      <c r="AT3" s="61">
        <v>46843</v>
      </c>
      <c r="AU3" s="61">
        <v>46934</v>
      </c>
      <c r="AV3" s="61">
        <v>47026</v>
      </c>
      <c r="AW3" s="61">
        <v>47118</v>
      </c>
    </row>
    <row r="5" spans="1:49" s="59" customFormat="1">
      <c r="A5" s="60" t="s">
        <v>142</v>
      </c>
      <c r="E5" s="85"/>
      <c r="G5" s="85"/>
    </row>
    <row r="7" spans="1:49">
      <c r="G7" s="103"/>
      <c r="I7" s="104"/>
    </row>
    <row r="8" spans="1:49">
      <c r="E8" s="87" t="s">
        <v>128</v>
      </c>
      <c r="G8" s="87" t="s">
        <v>129</v>
      </c>
      <c r="J8" s="72" cm="1">
        <f t="array" ref="J8:AW8" xml:space="preserve"> INDEX( CaseData!$F$89:$K$128, MATCH(_xlfn.ANCHORARRAY( Debt!J3), CaseData!$D$89:$D$128, 0 ), MATCH( ebidta_selector, CaseData!$F$86:$K$86, 0 ) )</f>
        <v>602417</v>
      </c>
      <c r="K8" s="72">
        <v>595476</v>
      </c>
      <c r="L8" s="72">
        <v>593198</v>
      </c>
      <c r="M8" s="72">
        <v>606599</v>
      </c>
      <c r="N8" s="72">
        <v>631767</v>
      </c>
      <c r="O8" s="72">
        <v>610527</v>
      </c>
      <c r="P8" s="72">
        <v>585598</v>
      </c>
      <c r="Q8" s="72">
        <v>637572</v>
      </c>
      <c r="R8" s="72">
        <v>646990</v>
      </c>
      <c r="S8" s="72">
        <v>675583</v>
      </c>
      <c r="T8" s="72">
        <v>584611</v>
      </c>
      <c r="U8" s="72">
        <v>218154</v>
      </c>
      <c r="V8" s="72">
        <v>227447</v>
      </c>
      <c r="W8" s="72">
        <v>265153</v>
      </c>
      <c r="X8" s="72">
        <v>259078</v>
      </c>
      <c r="Y8" s="72">
        <v>604305</v>
      </c>
      <c r="Z8" s="72">
        <v>574768</v>
      </c>
      <c r="AA8" s="72">
        <v>641271</v>
      </c>
      <c r="AB8" s="72">
        <v>640757</v>
      </c>
      <c r="AC8" s="72">
        <v>633725</v>
      </c>
      <c r="AD8" s="72">
        <v>576167</v>
      </c>
      <c r="AE8" s="72">
        <v>581131</v>
      </c>
      <c r="AF8" s="72">
        <v>709982</v>
      </c>
      <c r="AG8" s="72">
        <v>602019</v>
      </c>
      <c r="AH8" s="72">
        <v>675479</v>
      </c>
      <c r="AI8" s="72">
        <v>669801</v>
      </c>
      <c r="AJ8" s="72">
        <v>709031</v>
      </c>
      <c r="AK8" s="72">
        <v>693006</v>
      </c>
      <c r="AL8" s="72">
        <v>717913</v>
      </c>
      <c r="AM8" s="72">
        <v>628697</v>
      </c>
      <c r="AN8" s="72">
        <v>657781</v>
      </c>
      <c r="AO8" s="72">
        <v>700979</v>
      </c>
      <c r="AP8" s="72">
        <v>638273</v>
      </c>
      <c r="AQ8" s="72">
        <v>652849</v>
      </c>
      <c r="AR8" s="72">
        <v>724981</v>
      </c>
      <c r="AS8" s="72">
        <v>637701</v>
      </c>
      <c r="AT8" s="72">
        <v>745903</v>
      </c>
      <c r="AU8" s="72">
        <v>750208</v>
      </c>
      <c r="AV8" s="72">
        <v>740965</v>
      </c>
      <c r="AW8" s="72">
        <v>750009</v>
      </c>
    </row>
    <row r="9" spans="1:49">
      <c r="E9" s="87" t="str">
        <f>E$65</f>
        <v>Debt Service Reserve Account interest income</v>
      </c>
      <c r="F9" s="87"/>
      <c r="G9" s="87" t="str">
        <f>G$65</f>
        <v>USD</v>
      </c>
      <c r="H9" s="87"/>
      <c r="I9" s="87">
        <f t="shared" ref="I9:AW9" si="0">I$65</f>
        <v>0</v>
      </c>
      <c r="J9" s="55">
        <f t="shared" si="0"/>
        <v>1875</v>
      </c>
      <c r="K9" s="55">
        <f t="shared" si="0"/>
        <v>2721.7970833333329</v>
      </c>
      <c r="L9" s="55">
        <f t="shared" si="0"/>
        <v>3561.070072395833</v>
      </c>
      <c r="M9" s="55">
        <f t="shared" si="0"/>
        <v>4408.1207518339843</v>
      </c>
      <c r="N9" s="55">
        <f t="shared" si="0"/>
        <v>5313.1203713200284</v>
      </c>
      <c r="O9" s="55">
        <f t="shared" si="0"/>
        <v>6313.8208227124787</v>
      </c>
      <c r="P9" s="55">
        <f t="shared" si="0"/>
        <v>1875</v>
      </c>
      <c r="Q9" s="55">
        <f t="shared" si="0"/>
        <v>1875</v>
      </c>
      <c r="R9" s="55">
        <f t="shared" si="0"/>
        <v>1875</v>
      </c>
      <c r="S9" s="55">
        <f t="shared" si="0"/>
        <v>1875</v>
      </c>
      <c r="T9" s="55">
        <f t="shared" si="0"/>
        <v>1875</v>
      </c>
      <c r="U9" s="55">
        <f t="shared" si="0"/>
        <v>1875</v>
      </c>
      <c r="V9" s="55">
        <f t="shared" si="0"/>
        <v>1354.6108333333336</v>
      </c>
      <c r="W9" s="55">
        <f t="shared" si="0"/>
        <v>870.60229062500036</v>
      </c>
      <c r="X9" s="55">
        <f t="shared" si="0"/>
        <v>464.75329921484416</v>
      </c>
      <c r="Y9" s="55">
        <f t="shared" si="0"/>
        <v>28.717790753566661</v>
      </c>
      <c r="Z9" s="55">
        <f t="shared" si="0"/>
        <v>863.40881580222617</v>
      </c>
      <c r="AA9" s="55">
        <f t="shared" si="0"/>
        <v>1642.5224321948178</v>
      </c>
      <c r="AB9" s="55">
        <f t="shared" si="0"/>
        <v>2638.7231413155482</v>
      </c>
      <c r="AC9" s="55">
        <f t="shared" si="0"/>
        <v>3615.6612697621481</v>
      </c>
      <c r="AD9" s="55">
        <f t="shared" si="0"/>
        <v>1875</v>
      </c>
      <c r="AE9" s="55">
        <f t="shared" si="0"/>
        <v>2540.3429166666665</v>
      </c>
      <c r="AF9" s="55">
        <f t="shared" si="0"/>
        <v>3280.7750359375</v>
      </c>
      <c r="AG9" s="55">
        <f t="shared" si="0"/>
        <v>4465.8896089889322</v>
      </c>
      <c r="AH9" s="55">
        <f t="shared" si="0"/>
        <v>5281.374611689308</v>
      </c>
      <c r="AI9" s="55">
        <f t="shared" si="0"/>
        <v>6373.1072664831427</v>
      </c>
      <c r="AJ9" s="55">
        <f t="shared" si="0"/>
        <v>1875</v>
      </c>
      <c r="AK9" s="55">
        <f t="shared" si="0"/>
        <v>1875</v>
      </c>
      <c r="AL9" s="55">
        <f t="shared" si="0"/>
        <v>1875</v>
      </c>
      <c r="AM9" s="55">
        <f t="shared" si="0"/>
        <v>1875</v>
      </c>
      <c r="AN9" s="55">
        <f t="shared" si="0"/>
        <v>1875</v>
      </c>
      <c r="AO9" s="55">
        <f t="shared" si="0"/>
        <v>1875</v>
      </c>
      <c r="AP9" s="55">
        <f t="shared" si="0"/>
        <v>1875</v>
      </c>
      <c r="AQ9" s="55">
        <f t="shared" si="0"/>
        <v>1875</v>
      </c>
      <c r="AR9" s="55">
        <f t="shared" si="0"/>
        <v>1875</v>
      </c>
      <c r="AS9" s="55">
        <f t="shared" si="0"/>
        <v>1875</v>
      </c>
      <c r="AT9" s="55">
        <f t="shared" si="0"/>
        <v>1875</v>
      </c>
      <c r="AU9" s="55">
        <f t="shared" si="0"/>
        <v>1875</v>
      </c>
      <c r="AV9" s="55">
        <f t="shared" si="0"/>
        <v>1875</v>
      </c>
      <c r="AW9" s="55">
        <f t="shared" si="0"/>
        <v>1875</v>
      </c>
    </row>
    <row r="10" spans="1:49">
      <c r="E10" s="91" t="s">
        <v>163</v>
      </c>
      <c r="F10" s="82"/>
      <c r="G10" s="91" t="s">
        <v>129</v>
      </c>
      <c r="H10" s="82"/>
      <c r="I10" s="82"/>
      <c r="J10" s="82">
        <f>SUM(J8:J9)</f>
        <v>604292</v>
      </c>
      <c r="K10" s="82">
        <f t="shared" ref="K10:AW10" si="1">SUM(K8:K9)</f>
        <v>598197.79708333337</v>
      </c>
      <c r="L10" s="82">
        <f t="shared" si="1"/>
        <v>596759.07007239584</v>
      </c>
      <c r="M10" s="82">
        <f t="shared" si="1"/>
        <v>611007.12075183401</v>
      </c>
      <c r="N10" s="82">
        <f t="shared" si="1"/>
        <v>637080.12037132005</v>
      </c>
      <c r="O10" s="82">
        <f t="shared" si="1"/>
        <v>616840.8208227125</v>
      </c>
      <c r="P10" s="82">
        <f t="shared" si="1"/>
        <v>587473</v>
      </c>
      <c r="Q10" s="82">
        <f t="shared" si="1"/>
        <v>639447</v>
      </c>
      <c r="R10" s="82">
        <f t="shared" si="1"/>
        <v>648865</v>
      </c>
      <c r="S10" s="82">
        <f t="shared" si="1"/>
        <v>677458</v>
      </c>
      <c r="T10" s="82">
        <f t="shared" si="1"/>
        <v>586486</v>
      </c>
      <c r="U10" s="82">
        <f t="shared" si="1"/>
        <v>220029</v>
      </c>
      <c r="V10" s="82">
        <f t="shared" si="1"/>
        <v>228801.61083333334</v>
      </c>
      <c r="W10" s="82">
        <f t="shared" si="1"/>
        <v>266023.60229062499</v>
      </c>
      <c r="X10" s="82">
        <f t="shared" si="1"/>
        <v>259542.75329921485</v>
      </c>
      <c r="Y10" s="82">
        <f t="shared" si="1"/>
        <v>604333.71779075358</v>
      </c>
      <c r="Z10" s="82">
        <f t="shared" si="1"/>
        <v>575631.40881580219</v>
      </c>
      <c r="AA10" s="82">
        <f t="shared" si="1"/>
        <v>642913.52243219479</v>
      </c>
      <c r="AB10" s="82">
        <f t="shared" si="1"/>
        <v>643395.72314131551</v>
      </c>
      <c r="AC10" s="82">
        <f t="shared" si="1"/>
        <v>637340.6612697622</v>
      </c>
      <c r="AD10" s="82">
        <f t="shared" si="1"/>
        <v>578042</v>
      </c>
      <c r="AE10" s="82">
        <f t="shared" si="1"/>
        <v>583671.34291666665</v>
      </c>
      <c r="AF10" s="82">
        <f t="shared" si="1"/>
        <v>713262.77503593755</v>
      </c>
      <c r="AG10" s="82">
        <f t="shared" si="1"/>
        <v>606484.88960898889</v>
      </c>
      <c r="AH10" s="82">
        <f t="shared" si="1"/>
        <v>680760.37461168936</v>
      </c>
      <c r="AI10" s="82">
        <f t="shared" si="1"/>
        <v>676174.10726648313</v>
      </c>
      <c r="AJ10" s="82">
        <f t="shared" si="1"/>
        <v>710906</v>
      </c>
      <c r="AK10" s="82">
        <f t="shared" si="1"/>
        <v>694881</v>
      </c>
      <c r="AL10" s="82">
        <f t="shared" si="1"/>
        <v>719788</v>
      </c>
      <c r="AM10" s="82">
        <f t="shared" si="1"/>
        <v>630572</v>
      </c>
      <c r="AN10" s="82">
        <f t="shared" si="1"/>
        <v>659656</v>
      </c>
      <c r="AO10" s="82">
        <f t="shared" si="1"/>
        <v>702854</v>
      </c>
      <c r="AP10" s="82">
        <f t="shared" si="1"/>
        <v>640148</v>
      </c>
      <c r="AQ10" s="82">
        <f t="shared" si="1"/>
        <v>654724</v>
      </c>
      <c r="AR10" s="82">
        <f t="shared" si="1"/>
        <v>726856</v>
      </c>
      <c r="AS10" s="82">
        <f t="shared" si="1"/>
        <v>639576</v>
      </c>
      <c r="AT10" s="82">
        <f t="shared" si="1"/>
        <v>747778</v>
      </c>
      <c r="AU10" s="82">
        <f t="shared" si="1"/>
        <v>752083</v>
      </c>
      <c r="AV10" s="82">
        <f t="shared" si="1"/>
        <v>742840</v>
      </c>
      <c r="AW10" s="82">
        <f t="shared" si="1"/>
        <v>751884</v>
      </c>
    </row>
    <row r="12" spans="1:49">
      <c r="E12" s="87" t="str">
        <f>E$80</f>
        <v>Senior Debt interest expenses</v>
      </c>
      <c r="F12" s="87"/>
      <c r="G12" s="87" t="str">
        <f t="shared" ref="G12:I12" si="2">G$80</f>
        <v>USD</v>
      </c>
      <c r="H12" s="87"/>
      <c r="I12" s="87">
        <f t="shared" si="2"/>
        <v>0</v>
      </c>
      <c r="J12" s="55">
        <f>J$80 * - 1</f>
        <v>-125000</v>
      </c>
      <c r="K12" s="55">
        <f t="shared" ref="K12:AW12" si="3">K$80 * - 1</f>
        <v>-121831.50694444445</v>
      </c>
      <c r="L12" s="55">
        <f t="shared" si="3"/>
        <v>-118674.50494791668</v>
      </c>
      <c r="M12" s="55">
        <f t="shared" si="3"/>
        <v>-115521.95014865452</v>
      </c>
      <c r="N12" s="55">
        <f t="shared" si="3"/>
        <v>-112345.0509144016</v>
      </c>
      <c r="O12" s="55">
        <f t="shared" si="3"/>
        <v>-109121.53071749827</v>
      </c>
      <c r="P12" s="55">
        <f t="shared" si="3"/>
        <v>-105957.66096257813</v>
      </c>
      <c r="Q12" s="55">
        <f t="shared" si="3"/>
        <v>-102758.27755794369</v>
      </c>
      <c r="R12" s="55">
        <f t="shared" si="3"/>
        <v>-99550.165749640204</v>
      </c>
      <c r="S12" s="55">
        <f t="shared" si="3"/>
        <v>-96080.841432621819</v>
      </c>
      <c r="T12" s="55">
        <f t="shared" si="3"/>
        <v>-92808.483894974052</v>
      </c>
      <c r="U12" s="55">
        <f t="shared" si="3"/>
        <v>-89422.645499216771</v>
      </c>
      <c r="V12" s="55">
        <f t="shared" si="3"/>
        <v>-86055.435512401426</v>
      </c>
      <c r="W12" s="55">
        <f t="shared" si="3"/>
        <v>-82657.746511862002</v>
      </c>
      <c r="X12" s="55">
        <f t="shared" si="3"/>
        <v>-79012.843343260276</v>
      </c>
      <c r="Y12" s="55">
        <f t="shared" si="3"/>
        <v>-75302.767773939922</v>
      </c>
      <c r="Z12" s="55">
        <f t="shared" si="3"/>
        <v>-71472.18431555861</v>
      </c>
      <c r="AA12" s="55">
        <f t="shared" si="3"/>
        <v>-67767.239397280864</v>
      </c>
      <c r="AB12" s="55">
        <f t="shared" si="3"/>
        <v>-63898.579889746878</v>
      </c>
      <c r="AC12" s="55">
        <f t="shared" si="3"/>
        <v>-59911.326027257601</v>
      </c>
      <c r="AD12" s="55">
        <f t="shared" si="3"/>
        <v>-55791.127324820547</v>
      </c>
      <c r="AE12" s="55">
        <f t="shared" si="3"/>
        <v>-51480.801138603027</v>
      </c>
      <c r="AF12" s="55">
        <f t="shared" si="3"/>
        <v>-47296.526430613339</v>
      </c>
      <c r="AG12" s="55">
        <f t="shared" si="3"/>
        <v>-42922.330233218236</v>
      </c>
      <c r="AH12" s="55">
        <f t="shared" si="3"/>
        <v>-38596.081583355684</v>
      </c>
      <c r="AI12" s="55">
        <f t="shared" si="3"/>
        <v>-34208.136769814293</v>
      </c>
      <c r="AJ12" s="55">
        <f t="shared" si="3"/>
        <v>-29717.550979436975</v>
      </c>
      <c r="AK12" s="55">
        <f t="shared" si="3"/>
        <v>-24947.242588902162</v>
      </c>
      <c r="AL12" s="55">
        <f t="shared" si="3"/>
        <v>-20340.208121263437</v>
      </c>
      <c r="AM12" s="55">
        <f t="shared" si="3"/>
        <v>-15742.939889445895</v>
      </c>
      <c r="AN12" s="55">
        <f t="shared" si="3"/>
        <v>-10963.955804730636</v>
      </c>
      <c r="AO12" s="55">
        <f t="shared" si="3"/>
        <v>-5840.3733078453251</v>
      </c>
      <c r="AP12" s="55">
        <f t="shared" si="3"/>
        <v>-689.60714086005828</v>
      </c>
      <c r="AQ12" s="55">
        <f t="shared" si="3"/>
        <v>0</v>
      </c>
      <c r="AR12" s="55">
        <f t="shared" si="3"/>
        <v>0</v>
      </c>
      <c r="AS12" s="55">
        <f t="shared" si="3"/>
        <v>0</v>
      </c>
      <c r="AT12" s="55">
        <f t="shared" si="3"/>
        <v>0</v>
      </c>
      <c r="AU12" s="55">
        <f t="shared" si="3"/>
        <v>0</v>
      </c>
      <c r="AV12" s="55">
        <f t="shared" si="3"/>
        <v>0</v>
      </c>
      <c r="AW12" s="55">
        <f t="shared" si="3"/>
        <v>0</v>
      </c>
    </row>
    <row r="13" spans="1:49">
      <c r="E13" s="87" t="str">
        <f>E$73</f>
        <v>Senior Debt principal addition / (repayment)</v>
      </c>
      <c r="F13" s="87"/>
      <c r="G13" s="87" t="str">
        <f t="shared" ref="G13:AW13" si="4">G$73</f>
        <v>USD</v>
      </c>
      <c r="H13" s="87"/>
      <c r="I13" s="87">
        <f t="shared" si="4"/>
        <v>0</v>
      </c>
      <c r="J13" s="55">
        <f t="shared" si="4"/>
        <v>-253479.44444444444</v>
      </c>
      <c r="K13" s="55">
        <f t="shared" si="4"/>
        <v>-252560.15972222225</v>
      </c>
      <c r="L13" s="55">
        <f t="shared" si="4"/>
        <v>-252204.38394097221</v>
      </c>
      <c r="M13" s="55">
        <f t="shared" si="4"/>
        <v>-254151.93874023436</v>
      </c>
      <c r="N13" s="55">
        <f t="shared" si="4"/>
        <v>-257881.61575226509</v>
      </c>
      <c r="O13" s="55">
        <f t="shared" si="4"/>
        <v>-253109.58039361285</v>
      </c>
      <c r="P13" s="55">
        <f t="shared" si="4"/>
        <v>-255950.67237075517</v>
      </c>
      <c r="Q13" s="55">
        <f t="shared" si="4"/>
        <v>-256648.9446642785</v>
      </c>
      <c r="R13" s="55">
        <f t="shared" si="4"/>
        <v>-277545.94536147092</v>
      </c>
      <c r="S13" s="55">
        <f t="shared" si="4"/>
        <v>-261788.60301182262</v>
      </c>
      <c r="T13" s="55">
        <f t="shared" si="4"/>
        <v>-270867.07166058151</v>
      </c>
      <c r="U13" s="55">
        <f t="shared" si="4"/>
        <v>-269376.79894522764</v>
      </c>
      <c r="V13" s="55">
        <f t="shared" si="4"/>
        <v>-271815.12004315411</v>
      </c>
      <c r="W13" s="55">
        <f t="shared" si="4"/>
        <v>-291592.25348813797</v>
      </c>
      <c r="X13" s="55">
        <f t="shared" si="4"/>
        <v>-296806.04554562859</v>
      </c>
      <c r="Y13" s="55">
        <f t="shared" si="4"/>
        <v>-306446.6766705045</v>
      </c>
      <c r="Z13" s="55">
        <f t="shared" si="4"/>
        <v>-296395.59346221911</v>
      </c>
      <c r="AA13" s="55">
        <f t="shared" si="4"/>
        <v>-309492.76060271915</v>
      </c>
      <c r="AB13" s="55">
        <f t="shared" si="4"/>
        <v>-318980.30899914203</v>
      </c>
      <c r="AC13" s="55">
        <f t="shared" si="4"/>
        <v>-329615.89619496459</v>
      </c>
      <c r="AD13" s="55">
        <f t="shared" si="4"/>
        <v>-344826.09489740164</v>
      </c>
      <c r="AE13" s="55">
        <f t="shared" si="4"/>
        <v>-334741.97663917474</v>
      </c>
      <c r="AF13" s="55">
        <f t="shared" si="4"/>
        <v>-349935.69579160883</v>
      </c>
      <c r="AG13" s="55">
        <f t="shared" si="4"/>
        <v>-346099.89198900398</v>
      </c>
      <c r="AH13" s="55">
        <f t="shared" si="4"/>
        <v>-351035.58508331102</v>
      </c>
      <c r="AI13" s="55">
        <f t="shared" si="4"/>
        <v>-359246.8632301857</v>
      </c>
      <c r="AJ13" s="55">
        <f t="shared" si="4"/>
        <v>-381624.67124278523</v>
      </c>
      <c r="AK13" s="55">
        <f t="shared" si="4"/>
        <v>-368562.75741109782</v>
      </c>
      <c r="AL13" s="55">
        <f t="shared" si="4"/>
        <v>-367781.45854540326</v>
      </c>
      <c r="AM13" s="55">
        <f t="shared" si="4"/>
        <v>-382318.72677722073</v>
      </c>
      <c r="AN13" s="55">
        <f t="shared" si="4"/>
        <v>-409886.59975082491</v>
      </c>
      <c r="AO13" s="55">
        <f t="shared" si="4"/>
        <v>-412061.29335882131</v>
      </c>
      <c r="AP13" s="55">
        <f t="shared" si="4"/>
        <v>-55168.571268804662</v>
      </c>
      <c r="AQ13" s="55">
        <f t="shared" si="4"/>
        <v>0</v>
      </c>
      <c r="AR13" s="55">
        <f t="shared" si="4"/>
        <v>0</v>
      </c>
      <c r="AS13" s="55">
        <f t="shared" si="4"/>
        <v>0</v>
      </c>
      <c r="AT13" s="55">
        <f t="shared" si="4"/>
        <v>0</v>
      </c>
      <c r="AU13" s="55">
        <f t="shared" si="4"/>
        <v>0</v>
      </c>
      <c r="AV13" s="55">
        <f t="shared" si="4"/>
        <v>0</v>
      </c>
      <c r="AW13" s="55">
        <f t="shared" si="4"/>
        <v>0</v>
      </c>
    </row>
    <row r="14" spans="1:49">
      <c r="E14" s="91" t="s">
        <v>158</v>
      </c>
      <c r="F14" s="91"/>
      <c r="G14" s="91" t="s">
        <v>129</v>
      </c>
      <c r="H14" s="91"/>
      <c r="I14" s="91"/>
      <c r="J14" s="82">
        <f>SUM(J10:J13)</f>
        <v>225812.55555555556</v>
      </c>
      <c r="K14" s="82">
        <f t="shared" ref="K14:AW14" si="5">SUM(K10:K13)</f>
        <v>223806.13041666668</v>
      </c>
      <c r="L14" s="82">
        <f t="shared" si="5"/>
        <v>225880.18118350697</v>
      </c>
      <c r="M14" s="82">
        <f t="shared" si="5"/>
        <v>241333.23186294513</v>
      </c>
      <c r="N14" s="82">
        <f t="shared" si="5"/>
        <v>266853.45370465331</v>
      </c>
      <c r="O14" s="82">
        <f t="shared" si="5"/>
        <v>254609.70971160138</v>
      </c>
      <c r="P14" s="82">
        <f t="shared" si="5"/>
        <v>225564.66666666669</v>
      </c>
      <c r="Q14" s="82">
        <f t="shared" si="5"/>
        <v>280039.77777777775</v>
      </c>
      <c r="R14" s="82">
        <f t="shared" si="5"/>
        <v>271768.88888888888</v>
      </c>
      <c r="S14" s="82">
        <f t="shared" si="5"/>
        <v>319588.55555555556</v>
      </c>
      <c r="T14" s="82">
        <f t="shared" si="5"/>
        <v>222810.44444444444</v>
      </c>
      <c r="U14" s="82">
        <f t="shared" si="5"/>
        <v>-138770.44444444441</v>
      </c>
      <c r="V14" s="82">
        <f t="shared" si="5"/>
        <v>-129068.94472222219</v>
      </c>
      <c r="W14" s="82">
        <f t="shared" si="5"/>
        <v>-108226.39770937499</v>
      </c>
      <c r="X14" s="82">
        <f t="shared" si="5"/>
        <v>-116276.135589674</v>
      </c>
      <c r="Y14" s="82">
        <f t="shared" si="5"/>
        <v>222584.2733463092</v>
      </c>
      <c r="Z14" s="82">
        <f t="shared" si="5"/>
        <v>207763.63103802444</v>
      </c>
      <c r="AA14" s="82">
        <f t="shared" si="5"/>
        <v>265653.52243219479</v>
      </c>
      <c r="AB14" s="82">
        <f t="shared" si="5"/>
        <v>260516.83425242663</v>
      </c>
      <c r="AC14" s="82">
        <f t="shared" si="5"/>
        <v>247813.43904754001</v>
      </c>
      <c r="AD14" s="82">
        <f t="shared" si="5"/>
        <v>177424.77777777781</v>
      </c>
      <c r="AE14" s="82">
        <f t="shared" si="5"/>
        <v>197448.56513888889</v>
      </c>
      <c r="AF14" s="82">
        <f t="shared" si="5"/>
        <v>316030.55281371536</v>
      </c>
      <c r="AG14" s="82">
        <f t="shared" si="5"/>
        <v>217462.66738676664</v>
      </c>
      <c r="AH14" s="82">
        <f t="shared" si="5"/>
        <v>291128.70794502267</v>
      </c>
      <c r="AI14" s="82">
        <f t="shared" si="5"/>
        <v>282719.10726648313</v>
      </c>
      <c r="AJ14" s="82">
        <f t="shared" si="5"/>
        <v>299563.77777777781</v>
      </c>
      <c r="AK14" s="82">
        <f t="shared" si="5"/>
        <v>301371.00000000006</v>
      </c>
      <c r="AL14" s="82">
        <f t="shared" si="5"/>
        <v>331666.33333333331</v>
      </c>
      <c r="AM14" s="82">
        <f t="shared" si="5"/>
        <v>232510.33333333337</v>
      </c>
      <c r="AN14" s="82">
        <f t="shared" si="5"/>
        <v>238805.44444444444</v>
      </c>
      <c r="AO14" s="82">
        <f t="shared" si="5"/>
        <v>284952.33333333337</v>
      </c>
      <c r="AP14" s="82">
        <f t="shared" si="5"/>
        <v>584289.82159033534</v>
      </c>
      <c r="AQ14" s="82">
        <f t="shared" si="5"/>
        <v>654724</v>
      </c>
      <c r="AR14" s="82">
        <f t="shared" si="5"/>
        <v>726856</v>
      </c>
      <c r="AS14" s="82">
        <f t="shared" si="5"/>
        <v>639576</v>
      </c>
      <c r="AT14" s="82">
        <f t="shared" si="5"/>
        <v>747778</v>
      </c>
      <c r="AU14" s="82">
        <f t="shared" si="5"/>
        <v>752083</v>
      </c>
      <c r="AV14" s="82">
        <f t="shared" si="5"/>
        <v>742840</v>
      </c>
      <c r="AW14" s="82">
        <f t="shared" si="5"/>
        <v>751884</v>
      </c>
    </row>
    <row r="15" spans="1:49">
      <c r="E15" s="95"/>
      <c r="F15" s="95"/>
      <c r="G15" s="95"/>
      <c r="H15" s="95"/>
      <c r="I15" s="95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</row>
    <row r="16" spans="1:49">
      <c r="E16" s="87" t="s">
        <v>149</v>
      </c>
      <c r="F16" s="89"/>
      <c r="G16" s="89" t="s">
        <v>129</v>
      </c>
      <c r="H16" s="89"/>
      <c r="I16" s="89"/>
      <c r="J16" s="73">
        <f xml:space="preserve"> - MIN( J14, 0 )</f>
        <v>0</v>
      </c>
      <c r="K16" s="73">
        <f t="shared" ref="K16:AW16" si="6" xml:space="preserve"> - MIN( K14, 0 )</f>
        <v>0</v>
      </c>
      <c r="L16" s="73">
        <f t="shared" si="6"/>
        <v>0</v>
      </c>
      <c r="M16" s="73">
        <f t="shared" si="6"/>
        <v>0</v>
      </c>
      <c r="N16" s="73">
        <f t="shared" si="6"/>
        <v>0</v>
      </c>
      <c r="O16" s="73">
        <f t="shared" si="6"/>
        <v>0</v>
      </c>
      <c r="P16" s="73">
        <f t="shared" si="6"/>
        <v>0</v>
      </c>
      <c r="Q16" s="73">
        <f t="shared" si="6"/>
        <v>0</v>
      </c>
      <c r="R16" s="73">
        <f t="shared" si="6"/>
        <v>0</v>
      </c>
      <c r="S16" s="73">
        <f t="shared" si="6"/>
        <v>0</v>
      </c>
      <c r="T16" s="73">
        <f t="shared" si="6"/>
        <v>0</v>
      </c>
      <c r="U16" s="73">
        <f t="shared" si="6"/>
        <v>138770.44444444441</v>
      </c>
      <c r="V16" s="73">
        <f t="shared" si="6"/>
        <v>129068.94472222219</v>
      </c>
      <c r="W16" s="73">
        <f t="shared" si="6"/>
        <v>108226.39770937499</v>
      </c>
      <c r="X16" s="73">
        <f t="shared" si="6"/>
        <v>116276.135589674</v>
      </c>
      <c r="Y16" s="73">
        <f t="shared" si="6"/>
        <v>0</v>
      </c>
      <c r="Z16" s="73">
        <f t="shared" si="6"/>
        <v>0</v>
      </c>
      <c r="AA16" s="73">
        <f t="shared" si="6"/>
        <v>0</v>
      </c>
      <c r="AB16" s="73">
        <f t="shared" si="6"/>
        <v>0</v>
      </c>
      <c r="AC16" s="73">
        <f t="shared" si="6"/>
        <v>0</v>
      </c>
      <c r="AD16" s="73">
        <f t="shared" si="6"/>
        <v>0</v>
      </c>
      <c r="AE16" s="73">
        <f t="shared" si="6"/>
        <v>0</v>
      </c>
      <c r="AF16" s="73">
        <f t="shared" si="6"/>
        <v>0</v>
      </c>
      <c r="AG16" s="73">
        <f t="shared" si="6"/>
        <v>0</v>
      </c>
      <c r="AH16" s="73">
        <f t="shared" si="6"/>
        <v>0</v>
      </c>
      <c r="AI16" s="73">
        <f t="shared" si="6"/>
        <v>0</v>
      </c>
      <c r="AJ16" s="73">
        <f t="shared" si="6"/>
        <v>0</v>
      </c>
      <c r="AK16" s="73">
        <f t="shared" si="6"/>
        <v>0</v>
      </c>
      <c r="AL16" s="73">
        <f t="shared" si="6"/>
        <v>0</v>
      </c>
      <c r="AM16" s="73">
        <f t="shared" si="6"/>
        <v>0</v>
      </c>
      <c r="AN16" s="73">
        <f t="shared" si="6"/>
        <v>0</v>
      </c>
      <c r="AO16" s="73">
        <f t="shared" si="6"/>
        <v>0</v>
      </c>
      <c r="AP16" s="73">
        <f t="shared" si="6"/>
        <v>0</v>
      </c>
      <c r="AQ16" s="73">
        <f t="shared" si="6"/>
        <v>0</v>
      </c>
      <c r="AR16" s="73">
        <f t="shared" si="6"/>
        <v>0</v>
      </c>
      <c r="AS16" s="73">
        <f t="shared" si="6"/>
        <v>0</v>
      </c>
      <c r="AT16" s="73">
        <f t="shared" si="6"/>
        <v>0</v>
      </c>
      <c r="AU16" s="73">
        <f t="shared" si="6"/>
        <v>0</v>
      </c>
      <c r="AV16" s="73">
        <f t="shared" si="6"/>
        <v>0</v>
      </c>
      <c r="AW16" s="73">
        <f t="shared" si="6"/>
        <v>0</v>
      </c>
    </row>
    <row r="17" spans="5:49">
      <c r="E17" s="89" t="s">
        <v>148</v>
      </c>
      <c r="F17" s="95"/>
      <c r="G17" s="89" t="s">
        <v>129</v>
      </c>
      <c r="H17" s="95"/>
      <c r="I17" s="95"/>
      <c r="J17" s="96">
        <f t="shared" ref="J17:AW17" si="7" xml:space="preserve"> - MAX( MIN( J14, $F$51 - SUM( J54:J55 ) ), 0 )</f>
        <v>0</v>
      </c>
      <c r="K17" s="96">
        <f t="shared" si="7"/>
        <v>0</v>
      </c>
      <c r="L17" s="96">
        <f t="shared" si="7"/>
        <v>0</v>
      </c>
      <c r="M17" s="96">
        <f t="shared" si="7"/>
        <v>0</v>
      </c>
      <c r="N17" s="96">
        <f t="shared" si="7"/>
        <v>0</v>
      </c>
      <c r="O17" s="96">
        <f t="shared" si="7"/>
        <v>0</v>
      </c>
      <c r="P17" s="96">
        <f t="shared" si="7"/>
        <v>0</v>
      </c>
      <c r="Q17" s="96">
        <f t="shared" si="7"/>
        <v>0</v>
      </c>
      <c r="R17" s="96">
        <f t="shared" si="7"/>
        <v>0</v>
      </c>
      <c r="S17" s="96">
        <f t="shared" si="7"/>
        <v>0</v>
      </c>
      <c r="T17" s="96">
        <f t="shared" si="7"/>
        <v>0</v>
      </c>
      <c r="U17" s="96">
        <f t="shared" si="7"/>
        <v>0</v>
      </c>
      <c r="V17" s="96">
        <f t="shared" si="7"/>
        <v>0</v>
      </c>
      <c r="W17" s="96">
        <f t="shared" si="7"/>
        <v>0</v>
      </c>
      <c r="X17" s="96">
        <f t="shared" si="7"/>
        <v>0</v>
      </c>
      <c r="Y17" s="96">
        <f t="shared" si="7"/>
        <v>-222584.2733463092</v>
      </c>
      <c r="Z17" s="96">
        <f t="shared" si="7"/>
        <v>-207763.63103802444</v>
      </c>
      <c r="AA17" s="96">
        <f t="shared" si="7"/>
        <v>-61994.018081381917</v>
      </c>
      <c r="AB17" s="96">
        <f t="shared" si="7"/>
        <v>0</v>
      </c>
      <c r="AC17" s="96">
        <f t="shared" si="7"/>
        <v>0</v>
      </c>
      <c r="AD17" s="96">
        <f t="shared" si="7"/>
        <v>0</v>
      </c>
      <c r="AE17" s="96">
        <f t="shared" si="7"/>
        <v>0</v>
      </c>
      <c r="AF17" s="96">
        <f t="shared" si="7"/>
        <v>0</v>
      </c>
      <c r="AG17" s="96">
        <f t="shared" si="7"/>
        <v>0</v>
      </c>
      <c r="AH17" s="96">
        <f t="shared" si="7"/>
        <v>0</v>
      </c>
      <c r="AI17" s="96">
        <f t="shared" si="7"/>
        <v>0</v>
      </c>
      <c r="AJ17" s="96">
        <f t="shared" si="7"/>
        <v>0</v>
      </c>
      <c r="AK17" s="96">
        <f t="shared" si="7"/>
        <v>0</v>
      </c>
      <c r="AL17" s="96">
        <f t="shared" si="7"/>
        <v>0</v>
      </c>
      <c r="AM17" s="96">
        <f t="shared" si="7"/>
        <v>0</v>
      </c>
      <c r="AN17" s="96">
        <f t="shared" si="7"/>
        <v>0</v>
      </c>
      <c r="AO17" s="96">
        <f t="shared" si="7"/>
        <v>0</v>
      </c>
      <c r="AP17" s="96">
        <f t="shared" si="7"/>
        <v>0</v>
      </c>
      <c r="AQ17" s="96">
        <f t="shared" si="7"/>
        <v>0</v>
      </c>
      <c r="AR17" s="96">
        <f t="shared" si="7"/>
        <v>0</v>
      </c>
      <c r="AS17" s="96">
        <f t="shared" si="7"/>
        <v>0</v>
      </c>
      <c r="AT17" s="96">
        <f t="shared" si="7"/>
        <v>0</v>
      </c>
      <c r="AU17" s="96">
        <f t="shared" si="7"/>
        <v>0</v>
      </c>
      <c r="AV17" s="96">
        <f t="shared" si="7"/>
        <v>0</v>
      </c>
      <c r="AW17" s="96">
        <f t="shared" si="7"/>
        <v>0</v>
      </c>
    </row>
    <row r="18" spans="5:49">
      <c r="E18" s="89" t="s">
        <v>62</v>
      </c>
      <c r="F18" s="89"/>
      <c r="G18" s="89" t="s">
        <v>129</v>
      </c>
      <c r="H18" s="89"/>
      <c r="I18" s="89"/>
      <c r="J18" s="73">
        <f t="shared" ref="J18:AW18" si="8">IF( J$45 = 1, -SUM( J14:J17 ), 0 )</f>
        <v>-225812.55555555556</v>
      </c>
      <c r="K18" s="73">
        <f t="shared" si="8"/>
        <v>-223806.13041666668</v>
      </c>
      <c r="L18" s="73">
        <f t="shared" si="8"/>
        <v>-225880.18118350697</v>
      </c>
      <c r="M18" s="73">
        <f t="shared" si="8"/>
        <v>-241333.23186294513</v>
      </c>
      <c r="N18" s="73">
        <f t="shared" si="8"/>
        <v>-266853.45370465331</v>
      </c>
      <c r="O18" s="73">
        <f t="shared" si="8"/>
        <v>0</v>
      </c>
      <c r="P18" s="73">
        <f t="shared" si="8"/>
        <v>0</v>
      </c>
      <c r="Q18" s="73">
        <f t="shared" si="8"/>
        <v>0</v>
      </c>
      <c r="R18" s="73">
        <f t="shared" si="8"/>
        <v>0</v>
      </c>
      <c r="S18" s="73">
        <f t="shared" si="8"/>
        <v>0</v>
      </c>
      <c r="T18" s="73">
        <f t="shared" si="8"/>
        <v>0</v>
      </c>
      <c r="U18" s="73">
        <f t="shared" si="8"/>
        <v>0</v>
      </c>
      <c r="V18" s="73">
        <f t="shared" si="8"/>
        <v>0</v>
      </c>
      <c r="W18" s="73">
        <f t="shared" si="8"/>
        <v>0</v>
      </c>
      <c r="X18" s="73">
        <f t="shared" si="8"/>
        <v>0</v>
      </c>
      <c r="Y18" s="73">
        <f t="shared" si="8"/>
        <v>0</v>
      </c>
      <c r="Z18" s="73">
        <f t="shared" si="8"/>
        <v>0</v>
      </c>
      <c r="AA18" s="73">
        <f t="shared" si="8"/>
        <v>-203659.50435081287</v>
      </c>
      <c r="AB18" s="73">
        <f t="shared" si="8"/>
        <v>-260516.83425242663</v>
      </c>
      <c r="AC18" s="73">
        <f t="shared" si="8"/>
        <v>0</v>
      </c>
      <c r="AD18" s="73">
        <f t="shared" si="8"/>
        <v>-177424.77777777781</v>
      </c>
      <c r="AE18" s="73">
        <f t="shared" si="8"/>
        <v>-197448.56513888889</v>
      </c>
      <c r="AF18" s="73">
        <f t="shared" si="8"/>
        <v>-316030.55281371536</v>
      </c>
      <c r="AG18" s="73">
        <f t="shared" si="8"/>
        <v>-217462.66738676664</v>
      </c>
      <c r="AH18" s="73">
        <f t="shared" si="8"/>
        <v>-291128.70794502267</v>
      </c>
      <c r="AI18" s="73">
        <f t="shared" si="8"/>
        <v>0</v>
      </c>
      <c r="AJ18" s="73">
        <f t="shared" si="8"/>
        <v>0</v>
      </c>
      <c r="AK18" s="73">
        <f t="shared" si="8"/>
        <v>0</v>
      </c>
      <c r="AL18" s="73">
        <f t="shared" si="8"/>
        <v>0</v>
      </c>
      <c r="AM18" s="73">
        <f t="shared" si="8"/>
        <v>0</v>
      </c>
      <c r="AN18" s="73">
        <f t="shared" si="8"/>
        <v>0</v>
      </c>
      <c r="AO18" s="73">
        <f t="shared" si="8"/>
        <v>0</v>
      </c>
      <c r="AP18" s="73">
        <f t="shared" si="8"/>
        <v>0</v>
      </c>
      <c r="AQ18" s="73">
        <f t="shared" si="8"/>
        <v>0</v>
      </c>
      <c r="AR18" s="73">
        <f t="shared" si="8"/>
        <v>0</v>
      </c>
      <c r="AS18" s="73">
        <f t="shared" si="8"/>
        <v>0</v>
      </c>
      <c r="AT18" s="73">
        <f t="shared" si="8"/>
        <v>0</v>
      </c>
      <c r="AU18" s="73">
        <f t="shared" si="8"/>
        <v>0</v>
      </c>
      <c r="AV18" s="73">
        <f t="shared" si="8"/>
        <v>0</v>
      </c>
      <c r="AW18" s="73">
        <f t="shared" si="8"/>
        <v>0</v>
      </c>
    </row>
    <row r="19" spans="5:49">
      <c r="E19" s="89" t="str">
        <f>E$58</f>
        <v>Release from DSRA</v>
      </c>
      <c r="F19" s="89"/>
      <c r="G19" s="89" t="str">
        <f>G$58</f>
        <v>USD</v>
      </c>
      <c r="H19" s="100"/>
      <c r="I19" s="100"/>
      <c r="J19" s="73">
        <f t="shared" ref="J19:AW19" si="9">J$58 * - 1</f>
        <v>0</v>
      </c>
      <c r="K19" s="73">
        <f t="shared" si="9"/>
        <v>0</v>
      </c>
      <c r="L19" s="73">
        <f t="shared" si="9"/>
        <v>0</v>
      </c>
      <c r="M19" s="73">
        <f t="shared" si="9"/>
        <v>0</v>
      </c>
      <c r="N19" s="73">
        <f t="shared" si="9"/>
        <v>0</v>
      </c>
      <c r="O19" s="73">
        <f t="shared" si="9"/>
        <v>1183685.5527233277</v>
      </c>
      <c r="P19" s="73">
        <f t="shared" si="9"/>
        <v>0</v>
      </c>
      <c r="Q19" s="73">
        <f t="shared" si="9"/>
        <v>0</v>
      </c>
      <c r="R19" s="73">
        <f t="shared" si="9"/>
        <v>0</v>
      </c>
      <c r="S19" s="73">
        <f t="shared" si="9"/>
        <v>0</v>
      </c>
      <c r="T19" s="73">
        <f t="shared" si="9"/>
        <v>0</v>
      </c>
      <c r="U19" s="73">
        <f t="shared" si="9"/>
        <v>0</v>
      </c>
      <c r="V19" s="73">
        <f t="shared" si="9"/>
        <v>0</v>
      </c>
      <c r="W19" s="73">
        <f t="shared" si="9"/>
        <v>0</v>
      </c>
      <c r="X19" s="73">
        <f t="shared" si="9"/>
        <v>0</v>
      </c>
      <c r="Y19" s="73">
        <f t="shared" si="9"/>
        <v>0</v>
      </c>
      <c r="Z19" s="73">
        <f t="shared" si="9"/>
        <v>0</v>
      </c>
      <c r="AA19" s="73">
        <f t="shared" si="9"/>
        <v>0</v>
      </c>
      <c r="AB19" s="73">
        <f t="shared" si="9"/>
        <v>0</v>
      </c>
      <c r="AC19" s="73">
        <f t="shared" si="9"/>
        <v>464176.33860323951</v>
      </c>
      <c r="AD19" s="73">
        <f t="shared" si="9"/>
        <v>0</v>
      </c>
      <c r="AE19" s="73">
        <f t="shared" si="9"/>
        <v>0</v>
      </c>
      <c r="AF19" s="73">
        <f t="shared" si="9"/>
        <v>0</v>
      </c>
      <c r="AG19" s="73">
        <f t="shared" si="9"/>
        <v>0</v>
      </c>
      <c r="AH19" s="73">
        <f t="shared" si="9"/>
        <v>0</v>
      </c>
      <c r="AI19" s="73">
        <f t="shared" si="9"/>
        <v>1199495.2710621716</v>
      </c>
      <c r="AJ19" s="73">
        <f t="shared" si="9"/>
        <v>0</v>
      </c>
      <c r="AK19" s="73">
        <f t="shared" si="9"/>
        <v>0</v>
      </c>
      <c r="AL19" s="73">
        <f t="shared" si="9"/>
        <v>0</v>
      </c>
      <c r="AM19" s="73">
        <f t="shared" si="9"/>
        <v>0</v>
      </c>
      <c r="AN19" s="73">
        <f t="shared" si="9"/>
        <v>0</v>
      </c>
      <c r="AO19" s="73">
        <f t="shared" si="9"/>
        <v>0</v>
      </c>
      <c r="AP19" s="73">
        <f t="shared" si="9"/>
        <v>0</v>
      </c>
      <c r="AQ19" s="73">
        <f t="shared" si="9"/>
        <v>0</v>
      </c>
      <c r="AR19" s="73">
        <f t="shared" si="9"/>
        <v>0</v>
      </c>
      <c r="AS19" s="73">
        <f t="shared" si="9"/>
        <v>0</v>
      </c>
      <c r="AT19" s="73">
        <f t="shared" si="9"/>
        <v>0</v>
      </c>
      <c r="AU19" s="73">
        <f t="shared" si="9"/>
        <v>0</v>
      </c>
      <c r="AV19" s="73">
        <f t="shared" si="9"/>
        <v>0</v>
      </c>
      <c r="AW19" s="73">
        <f t="shared" si="9"/>
        <v>0</v>
      </c>
    </row>
    <row r="20" spans="5:49">
      <c r="E20" s="91" t="s">
        <v>159</v>
      </c>
      <c r="F20" s="91"/>
      <c r="G20" s="91" t="s">
        <v>129</v>
      </c>
      <c r="H20" s="101"/>
      <c r="I20" s="101"/>
      <c r="J20" s="82">
        <f>SUM(J14:J19)</f>
        <v>0</v>
      </c>
      <c r="K20" s="82">
        <f t="shared" ref="K20:AW20" si="10">SUM(K14:K19)</f>
        <v>0</v>
      </c>
      <c r="L20" s="82">
        <f t="shared" si="10"/>
        <v>0</v>
      </c>
      <c r="M20" s="82">
        <f t="shared" si="10"/>
        <v>0</v>
      </c>
      <c r="N20" s="82">
        <f t="shared" si="10"/>
        <v>0</v>
      </c>
      <c r="O20" s="82">
        <f t="shared" si="10"/>
        <v>1438295.2624349291</v>
      </c>
      <c r="P20" s="82">
        <f t="shared" si="10"/>
        <v>225564.66666666669</v>
      </c>
      <c r="Q20" s="82">
        <f t="shared" si="10"/>
        <v>280039.77777777775</v>
      </c>
      <c r="R20" s="82">
        <f t="shared" si="10"/>
        <v>271768.88888888888</v>
      </c>
      <c r="S20" s="82">
        <f t="shared" si="10"/>
        <v>319588.55555555556</v>
      </c>
      <c r="T20" s="82">
        <f t="shared" si="10"/>
        <v>222810.44444444444</v>
      </c>
      <c r="U20" s="82">
        <f t="shared" si="10"/>
        <v>0</v>
      </c>
      <c r="V20" s="82">
        <f t="shared" si="10"/>
        <v>0</v>
      </c>
      <c r="W20" s="82">
        <f t="shared" si="10"/>
        <v>0</v>
      </c>
      <c r="X20" s="82">
        <f t="shared" si="10"/>
        <v>0</v>
      </c>
      <c r="Y20" s="82">
        <f t="shared" si="10"/>
        <v>0</v>
      </c>
      <c r="Z20" s="82">
        <f t="shared" si="10"/>
        <v>0</v>
      </c>
      <c r="AA20" s="82">
        <f t="shared" si="10"/>
        <v>0</v>
      </c>
      <c r="AB20" s="82">
        <f t="shared" si="10"/>
        <v>0</v>
      </c>
      <c r="AC20" s="82">
        <f t="shared" si="10"/>
        <v>711989.77765077958</v>
      </c>
      <c r="AD20" s="82">
        <f t="shared" si="10"/>
        <v>0</v>
      </c>
      <c r="AE20" s="82">
        <f t="shared" si="10"/>
        <v>0</v>
      </c>
      <c r="AF20" s="82">
        <f t="shared" si="10"/>
        <v>0</v>
      </c>
      <c r="AG20" s="82">
        <f t="shared" si="10"/>
        <v>0</v>
      </c>
      <c r="AH20" s="82">
        <f t="shared" si="10"/>
        <v>0</v>
      </c>
      <c r="AI20" s="82">
        <f t="shared" si="10"/>
        <v>1482214.3783286547</v>
      </c>
      <c r="AJ20" s="82">
        <f t="shared" si="10"/>
        <v>299563.77777777781</v>
      </c>
      <c r="AK20" s="82">
        <f t="shared" si="10"/>
        <v>301371.00000000006</v>
      </c>
      <c r="AL20" s="82">
        <f t="shared" si="10"/>
        <v>331666.33333333331</v>
      </c>
      <c r="AM20" s="82">
        <f t="shared" si="10"/>
        <v>232510.33333333337</v>
      </c>
      <c r="AN20" s="82">
        <f t="shared" si="10"/>
        <v>238805.44444444444</v>
      </c>
      <c r="AO20" s="82">
        <f t="shared" si="10"/>
        <v>284952.33333333337</v>
      </c>
      <c r="AP20" s="82">
        <f t="shared" si="10"/>
        <v>584289.82159033534</v>
      </c>
      <c r="AQ20" s="82">
        <f t="shared" si="10"/>
        <v>654724</v>
      </c>
      <c r="AR20" s="82">
        <f t="shared" si="10"/>
        <v>726856</v>
      </c>
      <c r="AS20" s="82">
        <f t="shared" si="10"/>
        <v>639576</v>
      </c>
      <c r="AT20" s="82">
        <f t="shared" si="10"/>
        <v>747778</v>
      </c>
      <c r="AU20" s="82">
        <f t="shared" si="10"/>
        <v>752083</v>
      </c>
      <c r="AV20" s="82">
        <f t="shared" si="10"/>
        <v>742840</v>
      </c>
      <c r="AW20" s="82">
        <f t="shared" si="10"/>
        <v>751884</v>
      </c>
    </row>
    <row r="21" spans="5:49">
      <c r="F21" s="87"/>
      <c r="H21" s="87"/>
      <c r="I21" s="87"/>
    </row>
    <row r="22" spans="5:49" customFormat="1" ht="14.4">
      <c r="E22" s="87" t="str">
        <f>E$101</f>
        <v>Junior Debt interest paid</v>
      </c>
      <c r="G22" s="87" t="s">
        <v>129</v>
      </c>
      <c r="J22" s="73">
        <f xml:space="preserve"> J$101 * - 1</f>
        <v>0</v>
      </c>
      <c r="K22" s="73">
        <f t="shared" ref="K22:AW22" si="11" xml:space="preserve"> K$101 * - 1</f>
        <v>0</v>
      </c>
      <c r="L22" s="73">
        <f t="shared" si="11"/>
        <v>0</v>
      </c>
      <c r="M22" s="73">
        <f t="shared" si="11"/>
        <v>0</v>
      </c>
      <c r="N22" s="73">
        <f t="shared" si="11"/>
        <v>0</v>
      </c>
      <c r="O22" s="73">
        <f t="shared" si="11"/>
        <v>-114514.73925534522</v>
      </c>
      <c r="P22" s="73">
        <f t="shared" si="11"/>
        <v>-91348.580099702493</v>
      </c>
      <c r="Q22" s="73">
        <f t="shared" si="11"/>
        <v>-88999.798584780627</v>
      </c>
      <c r="R22" s="73">
        <f t="shared" si="11"/>
        <v>-85656.598948903164</v>
      </c>
      <c r="S22" s="73">
        <f t="shared" si="11"/>
        <v>-82399.633874953419</v>
      </c>
      <c r="T22" s="73">
        <f t="shared" si="11"/>
        <v>-78749.999999999985</v>
      </c>
      <c r="U22" s="73">
        <f t="shared" si="11"/>
        <v>0</v>
      </c>
      <c r="V22" s="73">
        <f t="shared" si="11"/>
        <v>0</v>
      </c>
      <c r="W22" s="73">
        <f t="shared" si="11"/>
        <v>0</v>
      </c>
      <c r="X22" s="73">
        <f t="shared" si="11"/>
        <v>0</v>
      </c>
      <c r="Y22" s="73">
        <f t="shared" si="11"/>
        <v>0</v>
      </c>
      <c r="Z22" s="73">
        <f t="shared" si="11"/>
        <v>0</v>
      </c>
      <c r="AA22" s="73">
        <f t="shared" si="11"/>
        <v>0</v>
      </c>
      <c r="AB22" s="73">
        <f t="shared" si="11"/>
        <v>0</v>
      </c>
      <c r="AC22" s="73">
        <f t="shared" si="11"/>
        <v>-87578.043053111032</v>
      </c>
      <c r="AD22" s="73">
        <f t="shared" si="11"/>
        <v>0</v>
      </c>
      <c r="AE22" s="73">
        <f t="shared" si="11"/>
        <v>0</v>
      </c>
      <c r="AF22" s="73">
        <f t="shared" si="11"/>
        <v>0</v>
      </c>
      <c r="AG22" s="73">
        <f t="shared" si="11"/>
        <v>0</v>
      </c>
      <c r="AH22" s="73">
        <f t="shared" si="11"/>
        <v>0</v>
      </c>
      <c r="AI22" s="73">
        <f t="shared" si="11"/>
        <v>-83596.673263336997</v>
      </c>
      <c r="AJ22" s="73">
        <f t="shared" si="11"/>
        <v>-59120.86342469394</v>
      </c>
      <c r="AK22" s="73">
        <f t="shared" si="11"/>
        <v>-54913.112423514976</v>
      </c>
      <c r="AL22" s="73">
        <f t="shared" si="11"/>
        <v>-50600.099390926487</v>
      </c>
      <c r="AM22" s="73">
        <f t="shared" si="11"/>
        <v>-45681.440296934372</v>
      </c>
      <c r="AN22" s="73">
        <f t="shared" si="11"/>
        <v>-42411.934668797388</v>
      </c>
      <c r="AO22" s="73">
        <f t="shared" si="11"/>
        <v>-38975.048247723564</v>
      </c>
      <c r="AP22" s="73">
        <f t="shared" si="11"/>
        <v>-34670.445758725393</v>
      </c>
      <c r="AQ22" s="73">
        <f t="shared" si="11"/>
        <v>-25052.106681672216</v>
      </c>
      <c r="AR22" s="73">
        <f t="shared" si="11"/>
        <v>-15749.999999999987</v>
      </c>
      <c r="AS22" s="73">
        <f t="shared" si="11"/>
        <v>-13124.999999999987</v>
      </c>
      <c r="AT22" s="73">
        <f t="shared" si="11"/>
        <v>-10499.999999999987</v>
      </c>
      <c r="AU22" s="73">
        <f t="shared" si="11"/>
        <v>-7874.9999999999864</v>
      </c>
      <c r="AV22" s="73">
        <f t="shared" si="11"/>
        <v>-5249.9999999999864</v>
      </c>
      <c r="AW22" s="73">
        <f t="shared" si="11"/>
        <v>-2624.9999999999859</v>
      </c>
    </row>
    <row r="23" spans="5:49">
      <c r="E23" s="91" t="s">
        <v>160</v>
      </c>
      <c r="F23" s="91"/>
      <c r="G23" s="91" t="s">
        <v>129</v>
      </c>
      <c r="H23" s="101"/>
      <c r="I23" s="101"/>
      <c r="J23" s="82">
        <f>SUM(J20:J22)</f>
        <v>0</v>
      </c>
      <c r="K23" s="82">
        <f t="shared" ref="K23:AW23" si="12">SUM(K20:K22)</f>
        <v>0</v>
      </c>
      <c r="L23" s="82">
        <f t="shared" si="12"/>
        <v>0</v>
      </c>
      <c r="M23" s="82">
        <f t="shared" si="12"/>
        <v>0</v>
      </c>
      <c r="N23" s="82">
        <f t="shared" si="12"/>
        <v>0</v>
      </c>
      <c r="O23" s="82">
        <f t="shared" si="12"/>
        <v>1323780.5231795839</v>
      </c>
      <c r="P23" s="82">
        <f t="shared" si="12"/>
        <v>134216.08656696419</v>
      </c>
      <c r="Q23" s="82">
        <f t="shared" si="12"/>
        <v>191039.97919299713</v>
      </c>
      <c r="R23" s="82">
        <f t="shared" si="12"/>
        <v>186112.28993998573</v>
      </c>
      <c r="S23" s="82">
        <f t="shared" si="12"/>
        <v>237188.92168060213</v>
      </c>
      <c r="T23" s="82">
        <f t="shared" si="12"/>
        <v>144060.44444444444</v>
      </c>
      <c r="U23" s="82">
        <f t="shared" si="12"/>
        <v>0</v>
      </c>
      <c r="V23" s="82">
        <f t="shared" si="12"/>
        <v>0</v>
      </c>
      <c r="W23" s="82">
        <f t="shared" si="12"/>
        <v>0</v>
      </c>
      <c r="X23" s="82">
        <f t="shared" si="12"/>
        <v>0</v>
      </c>
      <c r="Y23" s="82">
        <f t="shared" si="12"/>
        <v>0</v>
      </c>
      <c r="Z23" s="82">
        <f t="shared" si="12"/>
        <v>0</v>
      </c>
      <c r="AA23" s="82">
        <f t="shared" si="12"/>
        <v>0</v>
      </c>
      <c r="AB23" s="82">
        <f t="shared" si="12"/>
        <v>0</v>
      </c>
      <c r="AC23" s="82">
        <f t="shared" si="12"/>
        <v>624411.73459766852</v>
      </c>
      <c r="AD23" s="82">
        <f t="shared" si="12"/>
        <v>0</v>
      </c>
      <c r="AE23" s="82">
        <f t="shared" si="12"/>
        <v>0</v>
      </c>
      <c r="AF23" s="82">
        <f t="shared" si="12"/>
        <v>0</v>
      </c>
      <c r="AG23" s="82">
        <f t="shared" si="12"/>
        <v>0</v>
      </c>
      <c r="AH23" s="82">
        <f t="shared" si="12"/>
        <v>0</v>
      </c>
      <c r="AI23" s="82">
        <f t="shared" si="12"/>
        <v>1398617.7050653177</v>
      </c>
      <c r="AJ23" s="82">
        <f t="shared" si="12"/>
        <v>240442.91435308388</v>
      </c>
      <c r="AK23" s="82">
        <f t="shared" si="12"/>
        <v>246457.88757648508</v>
      </c>
      <c r="AL23" s="82">
        <f t="shared" si="12"/>
        <v>281066.23394240683</v>
      </c>
      <c r="AM23" s="82">
        <f t="shared" si="12"/>
        <v>186828.89303639901</v>
      </c>
      <c r="AN23" s="82">
        <f t="shared" si="12"/>
        <v>196393.50977564705</v>
      </c>
      <c r="AO23" s="82">
        <f t="shared" si="12"/>
        <v>245977.28508560982</v>
      </c>
      <c r="AP23" s="82">
        <f t="shared" si="12"/>
        <v>549619.37583160994</v>
      </c>
      <c r="AQ23" s="82">
        <f t="shared" si="12"/>
        <v>629671.89331832784</v>
      </c>
      <c r="AR23" s="82">
        <f t="shared" si="12"/>
        <v>711106</v>
      </c>
      <c r="AS23" s="82">
        <f t="shared" si="12"/>
        <v>626451</v>
      </c>
      <c r="AT23" s="82">
        <f t="shared" si="12"/>
        <v>737278</v>
      </c>
      <c r="AU23" s="82">
        <f t="shared" si="12"/>
        <v>744208</v>
      </c>
      <c r="AV23" s="82">
        <f t="shared" si="12"/>
        <v>737590</v>
      </c>
      <c r="AW23" s="82">
        <f t="shared" si="12"/>
        <v>749259</v>
      </c>
    </row>
    <row r="25" spans="5:49">
      <c r="E25" s="87" t="str">
        <f>E$106</f>
        <v>Junior Debt Scheduled Repayment Paid</v>
      </c>
      <c r="F25" s="87"/>
      <c r="G25" s="87" t="str">
        <f>G$106</f>
        <v>USD</v>
      </c>
      <c r="H25" s="87"/>
      <c r="I25" s="55">
        <f>I$106</f>
        <v>0</v>
      </c>
      <c r="J25" s="55">
        <f>J$106 * - 1</f>
        <v>0</v>
      </c>
      <c r="K25" s="55">
        <f t="shared" ref="K25:AW25" si="13">K$106 * - 1</f>
        <v>0</v>
      </c>
      <c r="L25" s="55">
        <f t="shared" si="13"/>
        <v>0</v>
      </c>
      <c r="M25" s="55">
        <f t="shared" si="13"/>
        <v>0</v>
      </c>
      <c r="N25" s="55">
        <f t="shared" si="13"/>
        <v>0</v>
      </c>
      <c r="O25" s="55">
        <f t="shared" si="13"/>
        <v>-150000</v>
      </c>
      <c r="P25" s="55">
        <f t="shared" si="13"/>
        <v>-134216.08656696419</v>
      </c>
      <c r="Q25" s="55">
        <f t="shared" si="13"/>
        <v>-150000</v>
      </c>
      <c r="R25" s="55">
        <f t="shared" si="13"/>
        <v>-150000</v>
      </c>
      <c r="S25" s="55">
        <f t="shared" si="13"/>
        <v>-150000</v>
      </c>
      <c r="T25" s="55">
        <f t="shared" si="13"/>
        <v>-144060.44444444444</v>
      </c>
      <c r="U25" s="55">
        <f t="shared" si="13"/>
        <v>0</v>
      </c>
      <c r="V25" s="55">
        <f t="shared" si="13"/>
        <v>0</v>
      </c>
      <c r="W25" s="55">
        <f t="shared" si="13"/>
        <v>0</v>
      </c>
      <c r="X25" s="55">
        <f t="shared" si="13"/>
        <v>0</v>
      </c>
      <c r="Y25" s="55">
        <f t="shared" si="13"/>
        <v>0</v>
      </c>
      <c r="Z25" s="55">
        <f t="shared" si="13"/>
        <v>0</v>
      </c>
      <c r="AA25" s="55">
        <f t="shared" si="13"/>
        <v>0</v>
      </c>
      <c r="AB25" s="55">
        <f t="shared" si="13"/>
        <v>0</v>
      </c>
      <c r="AC25" s="55">
        <f t="shared" si="13"/>
        <v>-150000</v>
      </c>
      <c r="AD25" s="55">
        <f t="shared" si="13"/>
        <v>0</v>
      </c>
      <c r="AE25" s="55">
        <f t="shared" si="13"/>
        <v>0</v>
      </c>
      <c r="AF25" s="55">
        <f t="shared" si="13"/>
        <v>0</v>
      </c>
      <c r="AG25" s="55">
        <f t="shared" si="13"/>
        <v>0</v>
      </c>
      <c r="AH25" s="55">
        <f t="shared" si="13"/>
        <v>0</v>
      </c>
      <c r="AI25" s="55">
        <f t="shared" si="13"/>
        <v>-150000</v>
      </c>
      <c r="AJ25" s="55">
        <f t="shared" si="13"/>
        <v>-150000</v>
      </c>
      <c r="AK25" s="55">
        <f t="shared" si="13"/>
        <v>-150000</v>
      </c>
      <c r="AL25" s="55">
        <f t="shared" si="13"/>
        <v>-150000</v>
      </c>
      <c r="AM25" s="55">
        <f t="shared" si="13"/>
        <v>-150000</v>
      </c>
      <c r="AN25" s="55">
        <f t="shared" si="13"/>
        <v>-150000</v>
      </c>
      <c r="AO25" s="55">
        <f t="shared" si="13"/>
        <v>-150000</v>
      </c>
      <c r="AP25" s="55">
        <f t="shared" si="13"/>
        <v>-150000</v>
      </c>
      <c r="AQ25" s="55">
        <f t="shared" si="13"/>
        <v>-150000</v>
      </c>
      <c r="AR25" s="55">
        <f t="shared" si="13"/>
        <v>-150000</v>
      </c>
      <c r="AS25" s="55">
        <f t="shared" si="13"/>
        <v>-150000</v>
      </c>
      <c r="AT25" s="55">
        <f t="shared" si="13"/>
        <v>-150000</v>
      </c>
      <c r="AU25" s="55">
        <f t="shared" si="13"/>
        <v>-150000</v>
      </c>
      <c r="AV25" s="55">
        <f t="shared" si="13"/>
        <v>-150000</v>
      </c>
      <c r="AW25" s="55">
        <f t="shared" si="13"/>
        <v>-150000</v>
      </c>
    </row>
    <row r="26" spans="5:49">
      <c r="E26" s="91" t="s">
        <v>161</v>
      </c>
      <c r="F26" s="82"/>
      <c r="G26" s="91" t="str">
        <f>G$106</f>
        <v>USD</v>
      </c>
      <c r="H26" s="82"/>
      <c r="I26" s="82"/>
      <c r="J26" s="82">
        <f>SUM(J23:J25)</f>
        <v>0</v>
      </c>
      <c r="K26" s="82">
        <f t="shared" ref="K26:AW26" si="14">SUM(K23:K25)</f>
        <v>0</v>
      </c>
      <c r="L26" s="82">
        <f t="shared" si="14"/>
        <v>0</v>
      </c>
      <c r="M26" s="82">
        <f t="shared" si="14"/>
        <v>0</v>
      </c>
      <c r="N26" s="82">
        <f t="shared" si="14"/>
        <v>0</v>
      </c>
      <c r="O26" s="82">
        <f t="shared" si="14"/>
        <v>1173780.5231795839</v>
      </c>
      <c r="P26" s="82">
        <f t="shared" si="14"/>
        <v>0</v>
      </c>
      <c r="Q26" s="82">
        <f t="shared" si="14"/>
        <v>41039.979192997125</v>
      </c>
      <c r="R26" s="82">
        <f t="shared" si="14"/>
        <v>36112.289939985727</v>
      </c>
      <c r="S26" s="82">
        <f t="shared" si="14"/>
        <v>87188.921680602129</v>
      </c>
      <c r="T26" s="82">
        <f t="shared" si="14"/>
        <v>0</v>
      </c>
      <c r="U26" s="82">
        <f t="shared" si="14"/>
        <v>0</v>
      </c>
      <c r="V26" s="82">
        <f t="shared" si="14"/>
        <v>0</v>
      </c>
      <c r="W26" s="82">
        <f t="shared" si="14"/>
        <v>0</v>
      </c>
      <c r="X26" s="82">
        <f t="shared" si="14"/>
        <v>0</v>
      </c>
      <c r="Y26" s="82">
        <f t="shared" si="14"/>
        <v>0</v>
      </c>
      <c r="Z26" s="82">
        <f t="shared" si="14"/>
        <v>0</v>
      </c>
      <c r="AA26" s="82">
        <f t="shared" si="14"/>
        <v>0</v>
      </c>
      <c r="AB26" s="82">
        <f t="shared" si="14"/>
        <v>0</v>
      </c>
      <c r="AC26" s="82">
        <f t="shared" si="14"/>
        <v>474411.73459766852</v>
      </c>
      <c r="AD26" s="82">
        <f t="shared" si="14"/>
        <v>0</v>
      </c>
      <c r="AE26" s="82">
        <f t="shared" si="14"/>
        <v>0</v>
      </c>
      <c r="AF26" s="82">
        <f t="shared" si="14"/>
        <v>0</v>
      </c>
      <c r="AG26" s="82">
        <f t="shared" si="14"/>
        <v>0</v>
      </c>
      <c r="AH26" s="82">
        <f t="shared" si="14"/>
        <v>0</v>
      </c>
      <c r="AI26" s="82">
        <f t="shared" si="14"/>
        <v>1248617.7050653177</v>
      </c>
      <c r="AJ26" s="82">
        <f t="shared" si="14"/>
        <v>90442.914353083877</v>
      </c>
      <c r="AK26" s="82">
        <f t="shared" si="14"/>
        <v>96457.887576485082</v>
      </c>
      <c r="AL26" s="82">
        <f t="shared" si="14"/>
        <v>131066.23394240683</v>
      </c>
      <c r="AM26" s="82">
        <f t="shared" si="14"/>
        <v>36828.893036399008</v>
      </c>
      <c r="AN26" s="82">
        <f t="shared" si="14"/>
        <v>46393.50977564705</v>
      </c>
      <c r="AO26" s="82">
        <f t="shared" si="14"/>
        <v>95977.285085609823</v>
      </c>
      <c r="AP26" s="82">
        <f t="shared" si="14"/>
        <v>399619.37583160994</v>
      </c>
      <c r="AQ26" s="82">
        <f t="shared" si="14"/>
        <v>479671.89331832784</v>
      </c>
      <c r="AR26" s="82">
        <f t="shared" si="14"/>
        <v>561106</v>
      </c>
      <c r="AS26" s="82">
        <f t="shared" si="14"/>
        <v>476451</v>
      </c>
      <c r="AT26" s="82">
        <f t="shared" si="14"/>
        <v>587278</v>
      </c>
      <c r="AU26" s="82">
        <f t="shared" si="14"/>
        <v>594208</v>
      </c>
      <c r="AV26" s="82">
        <f t="shared" si="14"/>
        <v>587590</v>
      </c>
      <c r="AW26" s="82">
        <f t="shared" si="14"/>
        <v>599259</v>
      </c>
    </row>
    <row r="28" spans="5:49">
      <c r="E28" s="87" t="str">
        <f>E$116</f>
        <v>Repayment of arrears owed</v>
      </c>
      <c r="F28" s="87"/>
      <c r="G28" s="87" t="str">
        <f>G$116</f>
        <v>USD</v>
      </c>
      <c r="H28" s="87"/>
      <c r="I28" s="55">
        <f t="shared" ref="I28:AW28" si="15">I$116</f>
        <v>0</v>
      </c>
      <c r="J28" s="55">
        <f t="shared" si="15"/>
        <v>0</v>
      </c>
      <c r="K28" s="55">
        <f t="shared" si="15"/>
        <v>0</v>
      </c>
      <c r="L28" s="55">
        <f t="shared" si="15"/>
        <v>0</v>
      </c>
      <c r="M28" s="55">
        <f t="shared" si="15"/>
        <v>0</v>
      </c>
      <c r="N28" s="55">
        <f t="shared" si="15"/>
        <v>0</v>
      </c>
      <c r="O28" s="55">
        <f t="shared" si="15"/>
        <v>-1173780.5231795839</v>
      </c>
      <c r="P28" s="55">
        <f t="shared" si="15"/>
        <v>0</v>
      </c>
      <c r="Q28" s="55">
        <f t="shared" si="15"/>
        <v>-41039.979192997125</v>
      </c>
      <c r="R28" s="55">
        <f t="shared" si="15"/>
        <v>-36112.289939985727</v>
      </c>
      <c r="S28" s="55">
        <f t="shared" si="15"/>
        <v>-58550.507140195521</v>
      </c>
      <c r="T28" s="55">
        <f t="shared" si="15"/>
        <v>0</v>
      </c>
      <c r="U28" s="55">
        <f t="shared" si="15"/>
        <v>0</v>
      </c>
      <c r="V28" s="55">
        <f t="shared" si="15"/>
        <v>0</v>
      </c>
      <c r="W28" s="55">
        <f t="shared" si="15"/>
        <v>0</v>
      </c>
      <c r="X28" s="55">
        <f t="shared" si="15"/>
        <v>0</v>
      </c>
      <c r="Y28" s="55">
        <f t="shared" si="15"/>
        <v>0</v>
      </c>
      <c r="Z28" s="55">
        <f t="shared" si="15"/>
        <v>0</v>
      </c>
      <c r="AA28" s="55">
        <f t="shared" si="15"/>
        <v>0</v>
      </c>
      <c r="AB28" s="55">
        <f t="shared" si="15"/>
        <v>0</v>
      </c>
      <c r="AC28" s="55">
        <f t="shared" si="15"/>
        <v>-474411.73459766852</v>
      </c>
      <c r="AD28" s="55">
        <f t="shared" si="15"/>
        <v>0</v>
      </c>
      <c r="AE28" s="55">
        <f t="shared" si="15"/>
        <v>0</v>
      </c>
      <c r="AF28" s="55">
        <f t="shared" si="15"/>
        <v>0</v>
      </c>
      <c r="AG28" s="55">
        <f t="shared" si="15"/>
        <v>0</v>
      </c>
      <c r="AH28" s="55">
        <f t="shared" si="15"/>
        <v>0</v>
      </c>
      <c r="AI28" s="55">
        <f t="shared" si="15"/>
        <v>-1248617.7050653177</v>
      </c>
      <c r="AJ28" s="55">
        <f t="shared" si="15"/>
        <v>-90442.914353083877</v>
      </c>
      <c r="AK28" s="55">
        <f t="shared" si="15"/>
        <v>-96457.887576485082</v>
      </c>
      <c r="AL28" s="55">
        <f t="shared" si="15"/>
        <v>-131066.23394240683</v>
      </c>
      <c r="AM28" s="55">
        <f t="shared" si="15"/>
        <v>-36828.893036399008</v>
      </c>
      <c r="AN28" s="55">
        <f t="shared" si="15"/>
        <v>-46393.50977564705</v>
      </c>
      <c r="AO28" s="55">
        <f t="shared" si="15"/>
        <v>-95977.285085609823</v>
      </c>
      <c r="AP28" s="55">
        <f t="shared" si="15"/>
        <v>-399619.37583160994</v>
      </c>
      <c r="AQ28" s="55">
        <f t="shared" si="15"/>
        <v>-381548.95323841309</v>
      </c>
      <c r="AR28" s="55">
        <f t="shared" si="15"/>
        <v>0</v>
      </c>
      <c r="AS28" s="55">
        <f t="shared" si="15"/>
        <v>0</v>
      </c>
      <c r="AT28" s="55">
        <f t="shared" si="15"/>
        <v>0</v>
      </c>
      <c r="AU28" s="55">
        <f t="shared" si="15"/>
        <v>0</v>
      </c>
      <c r="AV28" s="55">
        <f t="shared" si="15"/>
        <v>0</v>
      </c>
      <c r="AW28" s="55">
        <f t="shared" si="15"/>
        <v>0</v>
      </c>
    </row>
    <row r="29" spans="5:49">
      <c r="E29" s="91" t="s">
        <v>162</v>
      </c>
      <c r="F29" s="82"/>
      <c r="G29" s="91" t="s">
        <v>129</v>
      </c>
      <c r="H29" s="82"/>
      <c r="I29" s="82"/>
      <c r="J29" s="82">
        <f>SUM(J26:J28)</f>
        <v>0</v>
      </c>
      <c r="K29" s="82">
        <f t="shared" ref="K29:AW29" si="16">SUM(K26:K28)</f>
        <v>0</v>
      </c>
      <c r="L29" s="82">
        <f t="shared" si="16"/>
        <v>0</v>
      </c>
      <c r="M29" s="82">
        <f t="shared" si="16"/>
        <v>0</v>
      </c>
      <c r="N29" s="82">
        <f t="shared" si="16"/>
        <v>0</v>
      </c>
      <c r="O29" s="82">
        <f t="shared" si="16"/>
        <v>0</v>
      </c>
      <c r="P29" s="82">
        <f t="shared" si="16"/>
        <v>0</v>
      </c>
      <c r="Q29" s="82">
        <f t="shared" si="16"/>
        <v>0</v>
      </c>
      <c r="R29" s="82">
        <f t="shared" si="16"/>
        <v>0</v>
      </c>
      <c r="S29" s="82">
        <f t="shared" si="16"/>
        <v>28638.414540406608</v>
      </c>
      <c r="T29" s="82">
        <f t="shared" si="16"/>
        <v>0</v>
      </c>
      <c r="U29" s="82">
        <f t="shared" si="16"/>
        <v>0</v>
      </c>
      <c r="V29" s="82">
        <f t="shared" si="16"/>
        <v>0</v>
      </c>
      <c r="W29" s="82">
        <f t="shared" si="16"/>
        <v>0</v>
      </c>
      <c r="X29" s="82">
        <f t="shared" si="16"/>
        <v>0</v>
      </c>
      <c r="Y29" s="82">
        <f t="shared" si="16"/>
        <v>0</v>
      </c>
      <c r="Z29" s="82">
        <f t="shared" si="16"/>
        <v>0</v>
      </c>
      <c r="AA29" s="82">
        <f t="shared" si="16"/>
        <v>0</v>
      </c>
      <c r="AB29" s="82">
        <f t="shared" si="16"/>
        <v>0</v>
      </c>
      <c r="AC29" s="82">
        <f t="shared" si="16"/>
        <v>0</v>
      </c>
      <c r="AD29" s="82">
        <f t="shared" si="16"/>
        <v>0</v>
      </c>
      <c r="AE29" s="82">
        <f t="shared" si="16"/>
        <v>0</v>
      </c>
      <c r="AF29" s="82">
        <f t="shared" si="16"/>
        <v>0</v>
      </c>
      <c r="AG29" s="82">
        <f t="shared" si="16"/>
        <v>0</v>
      </c>
      <c r="AH29" s="82">
        <f t="shared" si="16"/>
        <v>0</v>
      </c>
      <c r="AI29" s="82">
        <f t="shared" si="16"/>
        <v>0</v>
      </c>
      <c r="AJ29" s="82">
        <f t="shared" si="16"/>
        <v>0</v>
      </c>
      <c r="AK29" s="82">
        <f t="shared" si="16"/>
        <v>0</v>
      </c>
      <c r="AL29" s="82">
        <f t="shared" si="16"/>
        <v>0</v>
      </c>
      <c r="AM29" s="82">
        <f t="shared" si="16"/>
        <v>0</v>
      </c>
      <c r="AN29" s="82">
        <f t="shared" si="16"/>
        <v>0</v>
      </c>
      <c r="AO29" s="82">
        <f t="shared" si="16"/>
        <v>0</v>
      </c>
      <c r="AP29" s="82">
        <f t="shared" si="16"/>
        <v>0</v>
      </c>
      <c r="AQ29" s="82">
        <f t="shared" si="16"/>
        <v>98122.940079914755</v>
      </c>
      <c r="AR29" s="82">
        <f t="shared" si="16"/>
        <v>561106</v>
      </c>
      <c r="AS29" s="82">
        <f t="shared" si="16"/>
        <v>476451</v>
      </c>
      <c r="AT29" s="82">
        <f t="shared" si="16"/>
        <v>587278</v>
      </c>
      <c r="AU29" s="82">
        <f t="shared" si="16"/>
        <v>594208</v>
      </c>
      <c r="AV29" s="82">
        <f t="shared" si="16"/>
        <v>587590</v>
      </c>
      <c r="AW29" s="82">
        <f t="shared" si="16"/>
        <v>599259</v>
      </c>
    </row>
    <row r="34" spans="1:49" s="74" customFormat="1">
      <c r="A34" s="83" t="s">
        <v>179</v>
      </c>
      <c r="E34" s="92"/>
      <c r="G34" s="92"/>
    </row>
    <row r="36" spans="1:49">
      <c r="E36" s="87" t="s">
        <v>11</v>
      </c>
      <c r="F36" s="97">
        <f>CaseData!$G$7</f>
        <v>1.62</v>
      </c>
      <c r="G36" s="87" t="s">
        <v>144</v>
      </c>
    </row>
    <row r="37" spans="1:49">
      <c r="F37" s="98"/>
    </row>
    <row r="38" spans="1:49">
      <c r="E38" s="87" t="s">
        <v>128</v>
      </c>
      <c r="G38" s="87" t="s">
        <v>129</v>
      </c>
      <c r="J38" s="106">
        <f xml:space="preserve"> J8</f>
        <v>602417</v>
      </c>
      <c r="K38" s="106">
        <f>SUM(J8:K8)</f>
        <v>1197893</v>
      </c>
      <c r="L38" s="106">
        <f xml:space="preserve"> SUM( J8:L8)</f>
        <v>1791091</v>
      </c>
      <c r="M38" s="106">
        <f xml:space="preserve"> SUM( J8:M8)</f>
        <v>2397690</v>
      </c>
      <c r="N38" s="106">
        <f>SUM( K8:N8)</f>
        <v>2427040</v>
      </c>
      <c r="O38" s="106">
        <f t="shared" ref="O38:AW38" si="17">SUM( L8:O8)</f>
        <v>2442091</v>
      </c>
      <c r="P38" s="106">
        <f t="shared" si="17"/>
        <v>2434491</v>
      </c>
      <c r="Q38" s="106">
        <f t="shared" si="17"/>
        <v>2465464</v>
      </c>
      <c r="R38" s="106">
        <f t="shared" si="17"/>
        <v>2480687</v>
      </c>
      <c r="S38" s="106">
        <f t="shared" si="17"/>
        <v>2545743</v>
      </c>
      <c r="T38" s="106">
        <f t="shared" si="17"/>
        <v>2544756</v>
      </c>
      <c r="U38" s="106">
        <f t="shared" si="17"/>
        <v>2125338</v>
      </c>
      <c r="V38" s="106">
        <f t="shared" si="17"/>
        <v>1705795</v>
      </c>
      <c r="W38" s="106">
        <f t="shared" si="17"/>
        <v>1295365</v>
      </c>
      <c r="X38" s="106">
        <f t="shared" si="17"/>
        <v>969832</v>
      </c>
      <c r="Y38" s="106">
        <f t="shared" si="17"/>
        <v>1355983</v>
      </c>
      <c r="Z38" s="106">
        <f t="shared" si="17"/>
        <v>1703304</v>
      </c>
      <c r="AA38" s="106">
        <f t="shared" si="17"/>
        <v>2079422</v>
      </c>
      <c r="AB38" s="106">
        <f t="shared" si="17"/>
        <v>2461101</v>
      </c>
      <c r="AC38" s="106">
        <f t="shared" si="17"/>
        <v>2490521</v>
      </c>
      <c r="AD38" s="106">
        <f t="shared" si="17"/>
        <v>2491920</v>
      </c>
      <c r="AE38" s="106">
        <f t="shared" si="17"/>
        <v>2431780</v>
      </c>
      <c r="AF38" s="106">
        <f t="shared" si="17"/>
        <v>2501005</v>
      </c>
      <c r="AG38" s="106">
        <f t="shared" si="17"/>
        <v>2469299</v>
      </c>
      <c r="AH38" s="106">
        <f t="shared" si="17"/>
        <v>2568611</v>
      </c>
      <c r="AI38" s="106">
        <f t="shared" si="17"/>
        <v>2657281</v>
      </c>
      <c r="AJ38" s="106">
        <f t="shared" si="17"/>
        <v>2656330</v>
      </c>
      <c r="AK38" s="106">
        <f t="shared" si="17"/>
        <v>2747317</v>
      </c>
      <c r="AL38" s="106">
        <f t="shared" si="17"/>
        <v>2789751</v>
      </c>
      <c r="AM38" s="106">
        <f t="shared" si="17"/>
        <v>2748647</v>
      </c>
      <c r="AN38" s="106">
        <f t="shared" si="17"/>
        <v>2697397</v>
      </c>
      <c r="AO38" s="106">
        <f t="shared" si="17"/>
        <v>2705370</v>
      </c>
      <c r="AP38" s="106">
        <f t="shared" si="17"/>
        <v>2625730</v>
      </c>
      <c r="AQ38" s="106">
        <f t="shared" si="17"/>
        <v>2649882</v>
      </c>
      <c r="AR38" s="106">
        <f t="shared" si="17"/>
        <v>2717082</v>
      </c>
      <c r="AS38" s="106">
        <f t="shared" si="17"/>
        <v>2653804</v>
      </c>
      <c r="AT38" s="106">
        <f t="shared" si="17"/>
        <v>2761434</v>
      </c>
      <c r="AU38" s="106">
        <f t="shared" si="17"/>
        <v>2858793</v>
      </c>
      <c r="AV38" s="106">
        <f t="shared" si="17"/>
        <v>2874777</v>
      </c>
      <c r="AW38" s="106">
        <f t="shared" si="17"/>
        <v>2987085</v>
      </c>
    </row>
    <row r="39" spans="1:49">
      <c r="E39" s="87" t="str">
        <f>E$65</f>
        <v>Debt Service Reserve Account interest income</v>
      </c>
      <c r="G39" s="87" t="str">
        <f>G$65</f>
        <v>USD</v>
      </c>
      <c r="I39" s="55">
        <f>I$65</f>
        <v>0</v>
      </c>
      <c r="J39" s="55">
        <f xml:space="preserve"> J65</f>
        <v>1875</v>
      </c>
      <c r="K39" s="55">
        <f>SUM( J65:K65)</f>
        <v>4596.7970833333329</v>
      </c>
      <c r="L39" s="55">
        <f>SUM( J65:L65)</f>
        <v>8157.8671557291655</v>
      </c>
      <c r="M39" s="55">
        <f>SUM( J65:M65)</f>
        <v>12565.987907563151</v>
      </c>
      <c r="N39" s="55">
        <f>SUM( K65:N65)</f>
        <v>16004.108278883179</v>
      </c>
      <c r="O39" s="55">
        <f t="shared" ref="O39:AW39" si="18">SUM( L65:O65)</f>
        <v>19596.132018262324</v>
      </c>
      <c r="P39" s="55">
        <f t="shared" si="18"/>
        <v>17910.061945866491</v>
      </c>
      <c r="Q39" s="55">
        <f t="shared" si="18"/>
        <v>15376.941194032508</v>
      </c>
      <c r="R39" s="55">
        <f t="shared" si="18"/>
        <v>11938.820822712478</v>
      </c>
      <c r="S39" s="55">
        <f t="shared" si="18"/>
        <v>7500</v>
      </c>
      <c r="T39" s="55">
        <f t="shared" si="18"/>
        <v>7500</v>
      </c>
      <c r="U39" s="55">
        <f t="shared" si="18"/>
        <v>7500</v>
      </c>
      <c r="V39" s="55">
        <f t="shared" si="18"/>
        <v>6979.6108333333341</v>
      </c>
      <c r="W39" s="55">
        <f t="shared" si="18"/>
        <v>5975.2131239583341</v>
      </c>
      <c r="X39" s="55">
        <f t="shared" si="18"/>
        <v>4564.9664231731786</v>
      </c>
      <c r="Y39" s="55">
        <f t="shared" si="18"/>
        <v>2718.6842139267446</v>
      </c>
      <c r="Z39" s="55">
        <f t="shared" si="18"/>
        <v>2227.4821963956374</v>
      </c>
      <c r="AA39" s="55">
        <f t="shared" si="18"/>
        <v>2999.4023379654545</v>
      </c>
      <c r="AB39" s="55">
        <f t="shared" si="18"/>
        <v>5173.3721800661588</v>
      </c>
      <c r="AC39" s="55">
        <f t="shared" si="18"/>
        <v>8760.3156590747403</v>
      </c>
      <c r="AD39" s="55">
        <f t="shared" si="18"/>
        <v>9771.9068432725144</v>
      </c>
      <c r="AE39" s="55">
        <f t="shared" si="18"/>
        <v>10669.727327744364</v>
      </c>
      <c r="AF39" s="55">
        <f t="shared" si="18"/>
        <v>11311.779222366315</v>
      </c>
      <c r="AG39" s="55">
        <f t="shared" si="18"/>
        <v>12162.007561593098</v>
      </c>
      <c r="AH39" s="55">
        <f t="shared" si="18"/>
        <v>15568.382173282407</v>
      </c>
      <c r="AI39" s="55">
        <f t="shared" si="18"/>
        <v>19401.146523098883</v>
      </c>
      <c r="AJ39" s="55">
        <f t="shared" si="18"/>
        <v>17995.371487161385</v>
      </c>
      <c r="AK39" s="55">
        <f t="shared" si="18"/>
        <v>15404.48187817245</v>
      </c>
      <c r="AL39" s="55">
        <f t="shared" si="18"/>
        <v>11998.107266483143</v>
      </c>
      <c r="AM39" s="55">
        <f t="shared" si="18"/>
        <v>7500</v>
      </c>
      <c r="AN39" s="55">
        <f t="shared" si="18"/>
        <v>7500</v>
      </c>
      <c r="AO39" s="55">
        <f t="shared" si="18"/>
        <v>7500</v>
      </c>
      <c r="AP39" s="55">
        <f t="shared" si="18"/>
        <v>7500</v>
      </c>
      <c r="AQ39" s="55">
        <f t="shared" si="18"/>
        <v>7500</v>
      </c>
      <c r="AR39" s="55">
        <f t="shared" si="18"/>
        <v>7500</v>
      </c>
      <c r="AS39" s="55">
        <f t="shared" si="18"/>
        <v>7500</v>
      </c>
      <c r="AT39" s="55">
        <f t="shared" si="18"/>
        <v>7500</v>
      </c>
      <c r="AU39" s="55">
        <f t="shared" si="18"/>
        <v>7500</v>
      </c>
      <c r="AV39" s="55">
        <f t="shared" si="18"/>
        <v>7500</v>
      </c>
      <c r="AW39" s="55">
        <f t="shared" si="18"/>
        <v>7500</v>
      </c>
    </row>
    <row r="40" spans="1:49">
      <c r="E40" s="87" t="str">
        <f>E$80</f>
        <v>Senior Debt interest expenses</v>
      </c>
      <c r="G40" s="87" t="str">
        <f t="shared" ref="G40:I40" si="19">G$80</f>
        <v>USD</v>
      </c>
      <c r="I40" s="55">
        <f t="shared" si="19"/>
        <v>0</v>
      </c>
      <c r="J40" s="55">
        <f xml:space="preserve"> J80 * - 1</f>
        <v>-125000</v>
      </c>
      <c r="K40" s="55">
        <f>SUM( J80:K80 ) * - 1</f>
        <v>-246831.50694444444</v>
      </c>
      <c r="L40" s="55">
        <f>SUM( J80:L80 ) * - 1</f>
        <v>-365506.0118923611</v>
      </c>
      <c r="M40" s="55">
        <f xml:space="preserve"> SUM( J80:M80 ) * - 1</f>
        <v>-481027.96204101562</v>
      </c>
      <c r="N40" s="55">
        <f t="shared" ref="N40:AW40" si="20" xml:space="preserve"> SUM( K80:N80 ) * - 1</f>
        <v>-468373.01295541722</v>
      </c>
      <c r="O40" s="55">
        <f t="shared" si="20"/>
        <v>-455663.03672847105</v>
      </c>
      <c r="P40" s="55">
        <f t="shared" si="20"/>
        <v>-442946.19274313253</v>
      </c>
      <c r="Q40" s="55">
        <f t="shared" si="20"/>
        <v>-430182.52015242167</v>
      </c>
      <c r="R40" s="55">
        <f t="shared" si="20"/>
        <v>-417387.63498766033</v>
      </c>
      <c r="S40" s="55">
        <f t="shared" si="20"/>
        <v>-404346.94570278382</v>
      </c>
      <c r="T40" s="55">
        <f t="shared" si="20"/>
        <v>-391197.76863517979</v>
      </c>
      <c r="U40" s="55">
        <f t="shared" si="20"/>
        <v>-377862.13657645287</v>
      </c>
      <c r="V40" s="55">
        <f t="shared" si="20"/>
        <v>-364367.40633921407</v>
      </c>
      <c r="W40" s="55">
        <f t="shared" si="20"/>
        <v>-350944.31141845428</v>
      </c>
      <c r="X40" s="55">
        <f t="shared" si="20"/>
        <v>-337148.67086674046</v>
      </c>
      <c r="Y40" s="55">
        <f t="shared" si="20"/>
        <v>-323028.79314146366</v>
      </c>
      <c r="Z40" s="55">
        <f t="shared" si="20"/>
        <v>-308445.54194462078</v>
      </c>
      <c r="AA40" s="55">
        <f t="shared" si="20"/>
        <v>-293555.03483003966</v>
      </c>
      <c r="AB40" s="55">
        <f t="shared" si="20"/>
        <v>-278440.77137652622</v>
      </c>
      <c r="AC40" s="55">
        <f t="shared" si="20"/>
        <v>-263049.32962984394</v>
      </c>
      <c r="AD40" s="55">
        <f t="shared" si="20"/>
        <v>-247368.27263910591</v>
      </c>
      <c r="AE40" s="55">
        <f t="shared" si="20"/>
        <v>-231081.83438042807</v>
      </c>
      <c r="AF40" s="55">
        <f t="shared" si="20"/>
        <v>-214479.7809212945</v>
      </c>
      <c r="AG40" s="55">
        <f t="shared" si="20"/>
        <v>-197490.78512725513</v>
      </c>
      <c r="AH40" s="55">
        <f t="shared" si="20"/>
        <v>-180295.73938579031</v>
      </c>
      <c r="AI40" s="55">
        <f t="shared" si="20"/>
        <v>-163023.07501700154</v>
      </c>
      <c r="AJ40" s="55">
        <f t="shared" si="20"/>
        <v>-145444.09956582519</v>
      </c>
      <c r="AK40" s="55">
        <f t="shared" si="20"/>
        <v>-127469.01192150911</v>
      </c>
      <c r="AL40" s="55">
        <f t="shared" si="20"/>
        <v>-109213.13845941688</v>
      </c>
      <c r="AM40" s="55">
        <f t="shared" si="20"/>
        <v>-90747.941579048478</v>
      </c>
      <c r="AN40" s="55">
        <f t="shared" si="20"/>
        <v>-71994.346404342126</v>
      </c>
      <c r="AO40" s="55">
        <f t="shared" si="20"/>
        <v>-52887.477123285287</v>
      </c>
      <c r="AP40" s="55">
        <f t="shared" si="20"/>
        <v>-33236.876142881913</v>
      </c>
      <c r="AQ40" s="55">
        <f t="shared" si="20"/>
        <v>-17493.936253436019</v>
      </c>
      <c r="AR40" s="55">
        <f t="shared" si="20"/>
        <v>-6529.9804487053834</v>
      </c>
      <c r="AS40" s="55">
        <f t="shared" si="20"/>
        <v>-689.60714086005828</v>
      </c>
      <c r="AT40" s="55">
        <f t="shared" si="20"/>
        <v>0</v>
      </c>
      <c r="AU40" s="55">
        <f t="shared" si="20"/>
        <v>0</v>
      </c>
      <c r="AV40" s="55">
        <f t="shared" si="20"/>
        <v>0</v>
      </c>
      <c r="AW40" s="55">
        <f t="shared" si="20"/>
        <v>0</v>
      </c>
    </row>
    <row r="41" spans="1:49">
      <c r="E41" s="87" t="str">
        <f>E$73</f>
        <v>Senior Debt principal addition / (repayment)</v>
      </c>
      <c r="G41" s="87" t="str">
        <f t="shared" ref="G41:J41" si="21">G$73</f>
        <v>USD</v>
      </c>
      <c r="I41" s="55">
        <f t="shared" si="21"/>
        <v>0</v>
      </c>
      <c r="J41" s="55">
        <f t="shared" si="21"/>
        <v>-253479.44444444444</v>
      </c>
      <c r="K41" s="55">
        <f>SUM( J73:K73)</f>
        <v>-506039.60416666669</v>
      </c>
      <c r="L41" s="55">
        <f>SUM( J73:L73)</f>
        <v>-758243.9881076389</v>
      </c>
      <c r="M41" s="55">
        <f>SUM( J73:M73)</f>
        <v>-1012395.9268478733</v>
      </c>
      <c r="N41" s="55">
        <f t="shared" ref="N41:AW41" si="22">SUM( K73:N73)</f>
        <v>-1016798.0981556938</v>
      </c>
      <c r="O41" s="55">
        <f t="shared" si="22"/>
        <v>-1017347.5188270845</v>
      </c>
      <c r="P41" s="55">
        <f t="shared" si="22"/>
        <v>-1021093.8072568674</v>
      </c>
      <c r="Q41" s="55">
        <f t="shared" si="22"/>
        <v>-1023590.8131809116</v>
      </c>
      <c r="R41" s="55">
        <f t="shared" si="22"/>
        <v>-1043255.1427901174</v>
      </c>
      <c r="S41" s="55">
        <f t="shared" si="22"/>
        <v>-1051934.1654083272</v>
      </c>
      <c r="T41" s="55">
        <f t="shared" si="22"/>
        <v>-1066850.5646981536</v>
      </c>
      <c r="U41" s="55">
        <f t="shared" si="22"/>
        <v>-1079578.4189791027</v>
      </c>
      <c r="V41" s="55">
        <f t="shared" si="22"/>
        <v>-1073847.5936607858</v>
      </c>
      <c r="W41" s="55">
        <f t="shared" si="22"/>
        <v>-1103651.2441371013</v>
      </c>
      <c r="X41" s="55">
        <f t="shared" si="22"/>
        <v>-1129590.2180221484</v>
      </c>
      <c r="Y41" s="55">
        <f t="shared" si="22"/>
        <v>-1166660.0957474252</v>
      </c>
      <c r="Z41" s="55">
        <f t="shared" si="22"/>
        <v>-1191240.5691664903</v>
      </c>
      <c r="AA41" s="55">
        <f t="shared" si="22"/>
        <v>-1209141.0762810712</v>
      </c>
      <c r="AB41" s="55">
        <f t="shared" si="22"/>
        <v>-1231315.3397345848</v>
      </c>
      <c r="AC41" s="55">
        <f t="shared" si="22"/>
        <v>-1254484.5592590449</v>
      </c>
      <c r="AD41" s="55">
        <f t="shared" si="22"/>
        <v>-1302915.0606942275</v>
      </c>
      <c r="AE41" s="55">
        <f t="shared" si="22"/>
        <v>-1328164.2767306829</v>
      </c>
      <c r="AF41" s="55">
        <f t="shared" si="22"/>
        <v>-1359119.6635231497</v>
      </c>
      <c r="AG41" s="55">
        <f t="shared" si="22"/>
        <v>-1375603.6593171894</v>
      </c>
      <c r="AH41" s="55">
        <f t="shared" si="22"/>
        <v>-1381813.1495030986</v>
      </c>
      <c r="AI41" s="55">
        <f t="shared" si="22"/>
        <v>-1406318.0360941095</v>
      </c>
      <c r="AJ41" s="55">
        <f t="shared" si="22"/>
        <v>-1438007.011545286</v>
      </c>
      <c r="AK41" s="55">
        <f t="shared" si="22"/>
        <v>-1460469.8769673798</v>
      </c>
      <c r="AL41" s="55">
        <f t="shared" si="22"/>
        <v>-1477215.7504294722</v>
      </c>
      <c r="AM41" s="55">
        <f t="shared" si="22"/>
        <v>-1500287.613976507</v>
      </c>
      <c r="AN41" s="55">
        <f t="shared" si="22"/>
        <v>-1528549.5424845468</v>
      </c>
      <c r="AO41" s="55">
        <f t="shared" si="22"/>
        <v>-1572048.0784322703</v>
      </c>
      <c r="AP41" s="55">
        <f t="shared" si="22"/>
        <v>-1259435.1911556714</v>
      </c>
      <c r="AQ41" s="55">
        <f t="shared" si="22"/>
        <v>-877116.46437845076</v>
      </c>
      <c r="AR41" s="55">
        <f t="shared" si="22"/>
        <v>-467229.86462762597</v>
      </c>
      <c r="AS41" s="55">
        <f t="shared" si="22"/>
        <v>-55168.571268804662</v>
      </c>
      <c r="AT41" s="55">
        <f t="shared" si="22"/>
        <v>0</v>
      </c>
      <c r="AU41" s="55">
        <f t="shared" si="22"/>
        <v>0</v>
      </c>
      <c r="AV41" s="55">
        <f t="shared" si="22"/>
        <v>0</v>
      </c>
      <c r="AW41" s="55">
        <f t="shared" si="22"/>
        <v>0</v>
      </c>
    </row>
    <row r="43" spans="1:49">
      <c r="E43" s="87" t="s">
        <v>180</v>
      </c>
      <c r="G43" s="87" t="s">
        <v>144</v>
      </c>
      <c r="J43" s="99">
        <f t="shared" ref="J43:AW43" si="23">IFERROR(SUM(J38,J39)/-SUM(J40,J41),"n/a")</f>
        <v>1.596630963372442</v>
      </c>
      <c r="K43" s="99">
        <f t="shared" si="23"/>
        <v>1.5972053905862595</v>
      </c>
      <c r="L43" s="99">
        <f t="shared" si="23"/>
        <v>1.601111338959492</v>
      </c>
      <c r="M43" s="99">
        <f t="shared" si="23"/>
        <v>1.6139128387056938</v>
      </c>
      <c r="N43" s="99">
        <f t="shared" si="23"/>
        <v>1.6449580051763546</v>
      </c>
      <c r="O43" s="99">
        <f t="shared" si="23"/>
        <v>1.6711944953373543</v>
      </c>
      <c r="P43" s="99">
        <f t="shared" si="23"/>
        <v>1.6750915698654862</v>
      </c>
      <c r="Q43" s="99">
        <f t="shared" si="23"/>
        <v>1.7064840056639039</v>
      </c>
      <c r="R43" s="99">
        <f t="shared" si="23"/>
        <v>1.7065266461762774</v>
      </c>
      <c r="S43" s="99">
        <f t="shared" si="23"/>
        <v>1.7532624577214566</v>
      </c>
      <c r="T43" s="99">
        <f t="shared" si="23"/>
        <v>1.7504604899929013</v>
      </c>
      <c r="U43" s="99">
        <f t="shared" si="23"/>
        <v>1.4634133734442381</v>
      </c>
      <c r="V43" s="99">
        <f t="shared" si="23"/>
        <v>1.1909030366345319</v>
      </c>
      <c r="W43" s="99">
        <f t="shared" si="23"/>
        <v>0.89464058112492706</v>
      </c>
      <c r="X43" s="99">
        <f t="shared" si="23"/>
        <v>0.66432885485249282</v>
      </c>
      <c r="Y43" s="99">
        <f t="shared" si="23"/>
        <v>0.91207076480736771</v>
      </c>
      <c r="Z43" s="99">
        <f t="shared" si="23"/>
        <v>1.1372589701005997</v>
      </c>
      <c r="AA43" s="99">
        <f t="shared" si="23"/>
        <v>1.3857901054912554</v>
      </c>
      <c r="AB43" s="99">
        <f t="shared" si="23"/>
        <v>1.6335581316938679</v>
      </c>
      <c r="AC43" s="99">
        <f t="shared" si="23"/>
        <v>1.6469360809391898</v>
      </c>
      <c r="AD43" s="99">
        <f t="shared" si="23"/>
        <v>1.613699801225543</v>
      </c>
      <c r="AE43" s="99">
        <f t="shared" si="23"/>
        <v>1.5664298983482903</v>
      </c>
      <c r="AF43" s="99">
        <f t="shared" si="23"/>
        <v>1.5965414757180054</v>
      </c>
      <c r="AG43" s="99">
        <f t="shared" si="23"/>
        <v>1.5774393052655833</v>
      </c>
      <c r="AH43" s="99">
        <f t="shared" si="23"/>
        <v>1.6542888914814262</v>
      </c>
      <c r="AI43" s="99">
        <f t="shared" si="23"/>
        <v>1.7056088874317312</v>
      </c>
      <c r="AJ43" s="99">
        <f t="shared" si="23"/>
        <v>1.6889219709540519</v>
      </c>
      <c r="AK43" s="99">
        <f t="shared" si="23"/>
        <v>1.7398159974602683</v>
      </c>
      <c r="AL43" s="99">
        <f t="shared" si="23"/>
        <v>1.766072924471759</v>
      </c>
      <c r="AM43" s="99">
        <f t="shared" si="23"/>
        <v>1.7322975532357683</v>
      </c>
      <c r="AN43" s="99">
        <f t="shared" si="23"/>
        <v>1.6899861470701452</v>
      </c>
      <c r="AO43" s="99">
        <f t="shared" si="23"/>
        <v>1.6695246717476659</v>
      </c>
      <c r="AP43" s="99">
        <f t="shared" si="23"/>
        <v>2.03704409386904</v>
      </c>
      <c r="AQ43" s="99">
        <f t="shared" si="23"/>
        <v>2.9704349492505582</v>
      </c>
      <c r="AR43" s="99">
        <f t="shared" si="23"/>
        <v>5.7509770579248229</v>
      </c>
      <c r="AS43" s="99">
        <f t="shared" si="23"/>
        <v>47.643945358940215</v>
      </c>
      <c r="AT43" s="99" t="str">
        <f t="shared" si="23"/>
        <v>n/a</v>
      </c>
      <c r="AU43" s="99" t="str">
        <f t="shared" si="23"/>
        <v>n/a</v>
      </c>
      <c r="AV43" s="99" t="str">
        <f t="shared" si="23"/>
        <v>n/a</v>
      </c>
      <c r="AW43" s="99" t="str">
        <f t="shared" si="23"/>
        <v>n/a</v>
      </c>
    </row>
    <row r="44" spans="1:49">
      <c r="E44" s="87" t="s">
        <v>146</v>
      </c>
      <c r="G44" s="87" t="s">
        <v>145</v>
      </c>
      <c r="J44" s="55">
        <f t="shared" ref="J44:AW44" si="24" xml:space="preserve"> IF( J$43 &lt; $F$36, 1, 0 )</f>
        <v>1</v>
      </c>
      <c r="K44" s="55">
        <f t="shared" si="24"/>
        <v>1</v>
      </c>
      <c r="L44" s="55">
        <f t="shared" si="24"/>
        <v>1</v>
      </c>
      <c r="M44" s="55">
        <f t="shared" si="24"/>
        <v>1</v>
      </c>
      <c r="N44" s="55">
        <f t="shared" si="24"/>
        <v>0</v>
      </c>
      <c r="O44" s="55">
        <f t="shared" si="24"/>
        <v>0</v>
      </c>
      <c r="P44" s="55">
        <f t="shared" si="24"/>
        <v>0</v>
      </c>
      <c r="Q44" s="55">
        <f t="shared" si="24"/>
        <v>0</v>
      </c>
      <c r="R44" s="55">
        <f t="shared" si="24"/>
        <v>0</v>
      </c>
      <c r="S44" s="55">
        <f t="shared" si="24"/>
        <v>0</v>
      </c>
      <c r="T44" s="55">
        <f t="shared" si="24"/>
        <v>0</v>
      </c>
      <c r="U44" s="55">
        <f t="shared" si="24"/>
        <v>1</v>
      </c>
      <c r="V44" s="55">
        <f t="shared" si="24"/>
        <v>1</v>
      </c>
      <c r="W44" s="55">
        <f t="shared" si="24"/>
        <v>1</v>
      </c>
      <c r="X44" s="55">
        <f t="shared" si="24"/>
        <v>1</v>
      </c>
      <c r="Y44" s="55">
        <f t="shared" si="24"/>
        <v>1</v>
      </c>
      <c r="Z44" s="55">
        <f t="shared" si="24"/>
        <v>1</v>
      </c>
      <c r="AA44" s="55">
        <f t="shared" si="24"/>
        <v>1</v>
      </c>
      <c r="AB44" s="55">
        <f t="shared" si="24"/>
        <v>0</v>
      </c>
      <c r="AC44" s="55">
        <f t="shared" si="24"/>
        <v>0</v>
      </c>
      <c r="AD44" s="55">
        <f t="shared" si="24"/>
        <v>1</v>
      </c>
      <c r="AE44" s="55">
        <f t="shared" si="24"/>
        <v>1</v>
      </c>
      <c r="AF44" s="55">
        <f t="shared" si="24"/>
        <v>1</v>
      </c>
      <c r="AG44" s="55">
        <f t="shared" si="24"/>
        <v>1</v>
      </c>
      <c r="AH44" s="55">
        <f t="shared" si="24"/>
        <v>0</v>
      </c>
      <c r="AI44" s="55">
        <f t="shared" si="24"/>
        <v>0</v>
      </c>
      <c r="AJ44" s="55">
        <f t="shared" si="24"/>
        <v>0</v>
      </c>
      <c r="AK44" s="55">
        <f t="shared" si="24"/>
        <v>0</v>
      </c>
      <c r="AL44" s="55">
        <f t="shared" si="24"/>
        <v>0</v>
      </c>
      <c r="AM44" s="55">
        <f t="shared" si="24"/>
        <v>0</v>
      </c>
      <c r="AN44" s="55">
        <f t="shared" si="24"/>
        <v>0</v>
      </c>
      <c r="AO44" s="55">
        <f t="shared" si="24"/>
        <v>0</v>
      </c>
      <c r="AP44" s="55">
        <f t="shared" si="24"/>
        <v>0</v>
      </c>
      <c r="AQ44" s="55">
        <f t="shared" si="24"/>
        <v>0</v>
      </c>
      <c r="AR44" s="55">
        <f t="shared" si="24"/>
        <v>0</v>
      </c>
      <c r="AS44" s="55">
        <f t="shared" si="24"/>
        <v>0</v>
      </c>
      <c r="AT44" s="55">
        <f t="shared" si="24"/>
        <v>0</v>
      </c>
      <c r="AU44" s="55">
        <f t="shared" si="24"/>
        <v>0</v>
      </c>
      <c r="AV44" s="55">
        <f t="shared" si="24"/>
        <v>0</v>
      </c>
      <c r="AW44" s="55">
        <f t="shared" si="24"/>
        <v>0</v>
      </c>
    </row>
    <row r="45" spans="1:49">
      <c r="E45" s="87" t="s">
        <v>147</v>
      </c>
      <c r="G45" s="87" t="s">
        <v>145</v>
      </c>
      <c r="J45" s="55">
        <f>MAX(I44:J44)</f>
        <v>1</v>
      </c>
      <c r="K45" s="55">
        <f t="shared" ref="K45:AW45" si="25">MAX(J44:K44)</f>
        <v>1</v>
      </c>
      <c r="L45" s="55">
        <f t="shared" si="25"/>
        <v>1</v>
      </c>
      <c r="M45" s="55">
        <f t="shared" si="25"/>
        <v>1</v>
      </c>
      <c r="N45" s="55">
        <f t="shared" si="25"/>
        <v>1</v>
      </c>
      <c r="O45" s="55">
        <f t="shared" si="25"/>
        <v>0</v>
      </c>
      <c r="P45" s="55">
        <f t="shared" si="25"/>
        <v>0</v>
      </c>
      <c r="Q45" s="55">
        <f t="shared" si="25"/>
        <v>0</v>
      </c>
      <c r="R45" s="55">
        <f t="shared" si="25"/>
        <v>0</v>
      </c>
      <c r="S45" s="55">
        <f t="shared" si="25"/>
        <v>0</v>
      </c>
      <c r="T45" s="55">
        <f t="shared" si="25"/>
        <v>0</v>
      </c>
      <c r="U45" s="55">
        <f t="shared" si="25"/>
        <v>1</v>
      </c>
      <c r="V45" s="55">
        <f t="shared" si="25"/>
        <v>1</v>
      </c>
      <c r="W45" s="55">
        <f t="shared" si="25"/>
        <v>1</v>
      </c>
      <c r="X45" s="55">
        <f t="shared" si="25"/>
        <v>1</v>
      </c>
      <c r="Y45" s="55">
        <f t="shared" si="25"/>
        <v>1</v>
      </c>
      <c r="Z45" s="55">
        <f t="shared" si="25"/>
        <v>1</v>
      </c>
      <c r="AA45" s="55">
        <f t="shared" si="25"/>
        <v>1</v>
      </c>
      <c r="AB45" s="55">
        <f t="shared" si="25"/>
        <v>1</v>
      </c>
      <c r="AC45" s="55">
        <f t="shared" si="25"/>
        <v>0</v>
      </c>
      <c r="AD45" s="55">
        <f t="shared" si="25"/>
        <v>1</v>
      </c>
      <c r="AE45" s="55">
        <f t="shared" si="25"/>
        <v>1</v>
      </c>
      <c r="AF45" s="55">
        <f t="shared" si="25"/>
        <v>1</v>
      </c>
      <c r="AG45" s="55">
        <f t="shared" si="25"/>
        <v>1</v>
      </c>
      <c r="AH45" s="55">
        <f t="shared" si="25"/>
        <v>1</v>
      </c>
      <c r="AI45" s="55">
        <f t="shared" si="25"/>
        <v>0</v>
      </c>
      <c r="AJ45" s="55">
        <f t="shared" si="25"/>
        <v>0</v>
      </c>
      <c r="AK45" s="55">
        <f t="shared" si="25"/>
        <v>0</v>
      </c>
      <c r="AL45" s="55">
        <f t="shared" si="25"/>
        <v>0</v>
      </c>
      <c r="AM45" s="55">
        <f t="shared" si="25"/>
        <v>0</v>
      </c>
      <c r="AN45" s="55">
        <f t="shared" si="25"/>
        <v>0</v>
      </c>
      <c r="AO45" s="55">
        <f t="shared" si="25"/>
        <v>0</v>
      </c>
      <c r="AP45" s="55">
        <f t="shared" si="25"/>
        <v>0</v>
      </c>
      <c r="AQ45" s="55">
        <f t="shared" si="25"/>
        <v>0</v>
      </c>
      <c r="AR45" s="55">
        <f t="shared" si="25"/>
        <v>0</v>
      </c>
      <c r="AS45" s="55">
        <f t="shared" si="25"/>
        <v>0</v>
      </c>
      <c r="AT45" s="55">
        <f t="shared" si="25"/>
        <v>0</v>
      </c>
      <c r="AU45" s="55">
        <f t="shared" si="25"/>
        <v>0</v>
      </c>
      <c r="AV45" s="55">
        <f t="shared" si="25"/>
        <v>0</v>
      </c>
      <c r="AW45" s="55">
        <f t="shared" si="25"/>
        <v>0</v>
      </c>
    </row>
    <row r="48" spans="1:49" s="74" customFormat="1">
      <c r="A48" s="83" t="s">
        <v>17</v>
      </c>
      <c r="E48" s="92"/>
      <c r="G48" s="92"/>
    </row>
    <row r="50" spans="4:49">
      <c r="E50" s="87" t="s">
        <v>141</v>
      </c>
      <c r="F50" s="80">
        <f>CaseData!G$14</f>
        <v>500000</v>
      </c>
      <c r="G50" s="87" t="s">
        <v>129</v>
      </c>
    </row>
    <row r="51" spans="4:49">
      <c r="E51" s="87" t="s">
        <v>19</v>
      </c>
      <c r="F51" s="80">
        <f>CaseData!$G$15</f>
        <v>500000</v>
      </c>
      <c r="G51" s="87" t="s">
        <v>129</v>
      </c>
    </row>
    <row r="52" spans="4:49">
      <c r="F52" s="93"/>
    </row>
    <row r="54" spans="4:49">
      <c r="E54" s="88" t="s">
        <v>138</v>
      </c>
      <c r="F54" s="75"/>
      <c r="G54" s="88" t="s">
        <v>129</v>
      </c>
      <c r="H54" s="75"/>
      <c r="I54" s="75"/>
      <c r="J54" s="75">
        <f t="shared" ref="J54:AW54" si="26" xml:space="preserve"> I$59</f>
        <v>500000</v>
      </c>
      <c r="K54" s="75">
        <f t="shared" si="26"/>
        <v>725812.5555555555</v>
      </c>
      <c r="L54" s="75">
        <f t="shared" si="26"/>
        <v>949618.68597222213</v>
      </c>
      <c r="M54" s="75">
        <f t="shared" si="26"/>
        <v>1175498.8671557291</v>
      </c>
      <c r="N54" s="75">
        <f t="shared" si="26"/>
        <v>1416832.0990186743</v>
      </c>
      <c r="O54" s="75">
        <f t="shared" si="26"/>
        <v>1683685.5527233277</v>
      </c>
      <c r="P54" s="75">
        <f t="shared" si="26"/>
        <v>500000</v>
      </c>
      <c r="Q54" s="75">
        <f t="shared" si="26"/>
        <v>500000</v>
      </c>
      <c r="R54" s="75">
        <f t="shared" si="26"/>
        <v>500000</v>
      </c>
      <c r="S54" s="75">
        <f t="shared" si="26"/>
        <v>500000</v>
      </c>
      <c r="T54" s="75">
        <f t="shared" si="26"/>
        <v>500000</v>
      </c>
      <c r="U54" s="75">
        <f t="shared" si="26"/>
        <v>500000</v>
      </c>
      <c r="V54" s="75">
        <f t="shared" si="26"/>
        <v>361229.55555555562</v>
      </c>
      <c r="W54" s="75">
        <f t="shared" si="26"/>
        <v>232160.61083333343</v>
      </c>
      <c r="X54" s="75">
        <f t="shared" si="26"/>
        <v>123934.21312395844</v>
      </c>
      <c r="Y54" s="75">
        <f t="shared" si="26"/>
        <v>7658.0775342844427</v>
      </c>
      <c r="Z54" s="75">
        <f t="shared" si="26"/>
        <v>230242.35088059364</v>
      </c>
      <c r="AA54" s="75">
        <f t="shared" si="26"/>
        <v>438005.98191861808</v>
      </c>
      <c r="AB54" s="75">
        <f t="shared" si="26"/>
        <v>703659.50435081287</v>
      </c>
      <c r="AC54" s="75">
        <f t="shared" si="26"/>
        <v>964176.33860323951</v>
      </c>
      <c r="AD54" s="75">
        <f t="shared" si="26"/>
        <v>500000</v>
      </c>
      <c r="AE54" s="75">
        <f t="shared" si="26"/>
        <v>677424.77777777775</v>
      </c>
      <c r="AF54" s="75">
        <f t="shared" si="26"/>
        <v>874873.34291666665</v>
      </c>
      <c r="AG54" s="75">
        <f t="shared" si="26"/>
        <v>1190903.8957303821</v>
      </c>
      <c r="AH54" s="75">
        <f t="shared" si="26"/>
        <v>1408366.5631171488</v>
      </c>
      <c r="AI54" s="75">
        <f t="shared" si="26"/>
        <v>1699495.2710621716</v>
      </c>
      <c r="AJ54" s="75">
        <f t="shared" si="26"/>
        <v>500000</v>
      </c>
      <c r="AK54" s="75">
        <f t="shared" si="26"/>
        <v>500000</v>
      </c>
      <c r="AL54" s="75">
        <f t="shared" si="26"/>
        <v>500000</v>
      </c>
      <c r="AM54" s="75">
        <f t="shared" si="26"/>
        <v>500000</v>
      </c>
      <c r="AN54" s="75">
        <f t="shared" si="26"/>
        <v>500000</v>
      </c>
      <c r="AO54" s="75">
        <f t="shared" si="26"/>
        <v>500000</v>
      </c>
      <c r="AP54" s="75">
        <f t="shared" si="26"/>
        <v>500000</v>
      </c>
      <c r="AQ54" s="75">
        <f t="shared" si="26"/>
        <v>500000</v>
      </c>
      <c r="AR54" s="75">
        <f t="shared" si="26"/>
        <v>500000</v>
      </c>
      <c r="AS54" s="75">
        <f t="shared" si="26"/>
        <v>500000</v>
      </c>
      <c r="AT54" s="75">
        <f t="shared" si="26"/>
        <v>500000</v>
      </c>
      <c r="AU54" s="75">
        <f t="shared" si="26"/>
        <v>500000</v>
      </c>
      <c r="AV54" s="75">
        <f t="shared" si="26"/>
        <v>500000</v>
      </c>
      <c r="AW54" s="75">
        <f t="shared" si="26"/>
        <v>500000</v>
      </c>
    </row>
    <row r="55" spans="4:49">
      <c r="E55" s="102" t="str">
        <f>E$16</f>
        <v>Withdrawal from DSRA to cover for Senior Debt repayment shortfall</v>
      </c>
      <c r="F55" s="89"/>
      <c r="G55" s="89" t="str">
        <f t="shared" ref="G55:I55" si="27">G$16</f>
        <v>USD</v>
      </c>
      <c r="H55" s="89"/>
      <c r="I55" s="89">
        <f t="shared" si="27"/>
        <v>0</v>
      </c>
      <c r="J55" s="73">
        <f>J$16 * - 1</f>
        <v>0</v>
      </c>
      <c r="K55" s="73">
        <f t="shared" ref="K55:AW55" si="28">K$16 * - 1</f>
        <v>0</v>
      </c>
      <c r="L55" s="73">
        <f t="shared" si="28"/>
        <v>0</v>
      </c>
      <c r="M55" s="73">
        <f t="shared" si="28"/>
        <v>0</v>
      </c>
      <c r="N55" s="73">
        <f t="shared" si="28"/>
        <v>0</v>
      </c>
      <c r="O55" s="73">
        <f t="shared" si="28"/>
        <v>0</v>
      </c>
      <c r="P55" s="73">
        <f t="shared" si="28"/>
        <v>0</v>
      </c>
      <c r="Q55" s="73">
        <f t="shared" si="28"/>
        <v>0</v>
      </c>
      <c r="R55" s="73">
        <f t="shared" si="28"/>
        <v>0</v>
      </c>
      <c r="S55" s="73">
        <f t="shared" si="28"/>
        <v>0</v>
      </c>
      <c r="T55" s="73">
        <f t="shared" si="28"/>
        <v>0</v>
      </c>
      <c r="U55" s="73">
        <f t="shared" si="28"/>
        <v>-138770.44444444441</v>
      </c>
      <c r="V55" s="73">
        <f t="shared" si="28"/>
        <v>-129068.94472222219</v>
      </c>
      <c r="W55" s="73">
        <f t="shared" si="28"/>
        <v>-108226.39770937499</v>
      </c>
      <c r="X55" s="73">
        <f t="shared" si="28"/>
        <v>-116276.135589674</v>
      </c>
      <c r="Y55" s="73">
        <f t="shared" si="28"/>
        <v>0</v>
      </c>
      <c r="Z55" s="73">
        <f t="shared" si="28"/>
        <v>0</v>
      </c>
      <c r="AA55" s="73">
        <f t="shared" si="28"/>
        <v>0</v>
      </c>
      <c r="AB55" s="73">
        <f t="shared" si="28"/>
        <v>0</v>
      </c>
      <c r="AC55" s="73">
        <f t="shared" si="28"/>
        <v>0</v>
      </c>
      <c r="AD55" s="73">
        <f t="shared" si="28"/>
        <v>0</v>
      </c>
      <c r="AE55" s="73">
        <f t="shared" si="28"/>
        <v>0</v>
      </c>
      <c r="AF55" s="73">
        <f t="shared" si="28"/>
        <v>0</v>
      </c>
      <c r="AG55" s="73">
        <f t="shared" si="28"/>
        <v>0</v>
      </c>
      <c r="AH55" s="73">
        <f t="shared" si="28"/>
        <v>0</v>
      </c>
      <c r="AI55" s="73">
        <f t="shared" si="28"/>
        <v>0</v>
      </c>
      <c r="AJ55" s="73">
        <f t="shared" si="28"/>
        <v>0</v>
      </c>
      <c r="AK55" s="73">
        <f t="shared" si="28"/>
        <v>0</v>
      </c>
      <c r="AL55" s="73">
        <f t="shared" si="28"/>
        <v>0</v>
      </c>
      <c r="AM55" s="73">
        <f t="shared" si="28"/>
        <v>0</v>
      </c>
      <c r="AN55" s="73">
        <f t="shared" si="28"/>
        <v>0</v>
      </c>
      <c r="AO55" s="73">
        <f t="shared" si="28"/>
        <v>0</v>
      </c>
      <c r="AP55" s="73">
        <f t="shared" si="28"/>
        <v>0</v>
      </c>
      <c r="AQ55" s="73">
        <f t="shared" si="28"/>
        <v>0</v>
      </c>
      <c r="AR55" s="73">
        <f t="shared" si="28"/>
        <v>0</v>
      </c>
      <c r="AS55" s="73">
        <f t="shared" si="28"/>
        <v>0</v>
      </c>
      <c r="AT55" s="73">
        <f t="shared" si="28"/>
        <v>0</v>
      </c>
      <c r="AU55" s="73">
        <f t="shared" si="28"/>
        <v>0</v>
      </c>
      <c r="AV55" s="73">
        <f t="shared" si="28"/>
        <v>0</v>
      </c>
      <c r="AW55" s="73">
        <f t="shared" si="28"/>
        <v>0</v>
      </c>
    </row>
    <row r="56" spans="4:49">
      <c r="E56" s="102" t="s">
        <v>148</v>
      </c>
      <c r="F56" s="73"/>
      <c r="G56" s="89" t="s">
        <v>129</v>
      </c>
      <c r="H56" s="73"/>
      <c r="I56" s="73"/>
      <c r="J56" s="73">
        <f t="shared" ref="J56:AW56" si="29" xml:space="preserve"> -J17</f>
        <v>0</v>
      </c>
      <c r="K56" s="73">
        <f t="shared" si="29"/>
        <v>0</v>
      </c>
      <c r="L56" s="73">
        <f t="shared" si="29"/>
        <v>0</v>
      </c>
      <c r="M56" s="73">
        <f t="shared" si="29"/>
        <v>0</v>
      </c>
      <c r="N56" s="73">
        <f t="shared" si="29"/>
        <v>0</v>
      </c>
      <c r="O56" s="73">
        <f t="shared" si="29"/>
        <v>0</v>
      </c>
      <c r="P56" s="73">
        <f t="shared" si="29"/>
        <v>0</v>
      </c>
      <c r="Q56" s="73">
        <f t="shared" si="29"/>
        <v>0</v>
      </c>
      <c r="R56" s="73">
        <f t="shared" si="29"/>
        <v>0</v>
      </c>
      <c r="S56" s="73">
        <f t="shared" si="29"/>
        <v>0</v>
      </c>
      <c r="T56" s="73">
        <f t="shared" si="29"/>
        <v>0</v>
      </c>
      <c r="U56" s="73">
        <f t="shared" si="29"/>
        <v>0</v>
      </c>
      <c r="V56" s="73">
        <f t="shared" si="29"/>
        <v>0</v>
      </c>
      <c r="W56" s="73">
        <f t="shared" si="29"/>
        <v>0</v>
      </c>
      <c r="X56" s="73">
        <f t="shared" si="29"/>
        <v>0</v>
      </c>
      <c r="Y56" s="73">
        <f t="shared" si="29"/>
        <v>222584.2733463092</v>
      </c>
      <c r="Z56" s="73">
        <f t="shared" si="29"/>
        <v>207763.63103802444</v>
      </c>
      <c r="AA56" s="73">
        <f t="shared" si="29"/>
        <v>61994.018081381917</v>
      </c>
      <c r="AB56" s="73">
        <f t="shared" si="29"/>
        <v>0</v>
      </c>
      <c r="AC56" s="73">
        <f t="shared" si="29"/>
        <v>0</v>
      </c>
      <c r="AD56" s="73">
        <f t="shared" si="29"/>
        <v>0</v>
      </c>
      <c r="AE56" s="73">
        <f t="shared" si="29"/>
        <v>0</v>
      </c>
      <c r="AF56" s="73">
        <f t="shared" si="29"/>
        <v>0</v>
      </c>
      <c r="AG56" s="73">
        <f t="shared" si="29"/>
        <v>0</v>
      </c>
      <c r="AH56" s="73">
        <f t="shared" si="29"/>
        <v>0</v>
      </c>
      <c r="AI56" s="73">
        <f t="shared" si="29"/>
        <v>0</v>
      </c>
      <c r="AJ56" s="73">
        <f t="shared" si="29"/>
        <v>0</v>
      </c>
      <c r="AK56" s="73">
        <f t="shared" si="29"/>
        <v>0</v>
      </c>
      <c r="AL56" s="73">
        <f t="shared" si="29"/>
        <v>0</v>
      </c>
      <c r="AM56" s="73">
        <f t="shared" si="29"/>
        <v>0</v>
      </c>
      <c r="AN56" s="73">
        <f t="shared" si="29"/>
        <v>0</v>
      </c>
      <c r="AO56" s="73">
        <f t="shared" si="29"/>
        <v>0</v>
      </c>
      <c r="AP56" s="73">
        <f t="shared" si="29"/>
        <v>0</v>
      </c>
      <c r="AQ56" s="73">
        <f t="shared" si="29"/>
        <v>0</v>
      </c>
      <c r="AR56" s="73">
        <f t="shared" si="29"/>
        <v>0</v>
      </c>
      <c r="AS56" s="73">
        <f t="shared" si="29"/>
        <v>0</v>
      </c>
      <c r="AT56" s="73">
        <f t="shared" si="29"/>
        <v>0</v>
      </c>
      <c r="AU56" s="73">
        <f t="shared" si="29"/>
        <v>0</v>
      </c>
      <c r="AV56" s="73">
        <f t="shared" si="29"/>
        <v>0</v>
      </c>
      <c r="AW56" s="73">
        <f t="shared" si="29"/>
        <v>0</v>
      </c>
    </row>
    <row r="57" spans="4:49">
      <c r="E57" s="102" t="str">
        <f>E$18</f>
        <v>DSRA Additions in Lockup</v>
      </c>
      <c r="F57" s="89"/>
      <c r="G57" s="89" t="str">
        <f t="shared" ref="G57:I57" si="30">G$18</f>
        <v>USD</v>
      </c>
      <c r="H57" s="89"/>
      <c r="I57" s="73">
        <f t="shared" si="30"/>
        <v>0</v>
      </c>
      <c r="J57" s="73">
        <f>J$18 * - 1</f>
        <v>225812.55555555556</v>
      </c>
      <c r="K57" s="73">
        <f t="shared" ref="K57:AW57" si="31">K$18 * - 1</f>
        <v>223806.13041666668</v>
      </c>
      <c r="L57" s="73">
        <f t="shared" si="31"/>
        <v>225880.18118350697</v>
      </c>
      <c r="M57" s="73">
        <f t="shared" si="31"/>
        <v>241333.23186294513</v>
      </c>
      <c r="N57" s="73">
        <f t="shared" si="31"/>
        <v>266853.45370465331</v>
      </c>
      <c r="O57" s="73">
        <f t="shared" si="31"/>
        <v>0</v>
      </c>
      <c r="P57" s="73">
        <f t="shared" si="31"/>
        <v>0</v>
      </c>
      <c r="Q57" s="73">
        <f t="shared" si="31"/>
        <v>0</v>
      </c>
      <c r="R57" s="73">
        <f t="shared" si="31"/>
        <v>0</v>
      </c>
      <c r="S57" s="73">
        <f t="shared" si="31"/>
        <v>0</v>
      </c>
      <c r="T57" s="73">
        <f t="shared" si="31"/>
        <v>0</v>
      </c>
      <c r="U57" s="73">
        <f t="shared" si="31"/>
        <v>0</v>
      </c>
      <c r="V57" s="73">
        <f t="shared" si="31"/>
        <v>0</v>
      </c>
      <c r="W57" s="73">
        <f t="shared" si="31"/>
        <v>0</v>
      </c>
      <c r="X57" s="73">
        <f t="shared" si="31"/>
        <v>0</v>
      </c>
      <c r="Y57" s="73">
        <f t="shared" si="31"/>
        <v>0</v>
      </c>
      <c r="Z57" s="73">
        <f t="shared" si="31"/>
        <v>0</v>
      </c>
      <c r="AA57" s="73">
        <f t="shared" si="31"/>
        <v>203659.50435081287</v>
      </c>
      <c r="AB57" s="73">
        <f t="shared" si="31"/>
        <v>260516.83425242663</v>
      </c>
      <c r="AC57" s="73">
        <f t="shared" si="31"/>
        <v>0</v>
      </c>
      <c r="AD57" s="73">
        <f t="shared" si="31"/>
        <v>177424.77777777781</v>
      </c>
      <c r="AE57" s="73">
        <f t="shared" si="31"/>
        <v>197448.56513888889</v>
      </c>
      <c r="AF57" s="73">
        <f t="shared" si="31"/>
        <v>316030.55281371536</v>
      </c>
      <c r="AG57" s="73">
        <f t="shared" si="31"/>
        <v>217462.66738676664</v>
      </c>
      <c r="AH57" s="73">
        <f t="shared" si="31"/>
        <v>291128.70794502267</v>
      </c>
      <c r="AI57" s="73">
        <f t="shared" si="31"/>
        <v>0</v>
      </c>
      <c r="AJ57" s="73">
        <f t="shared" si="31"/>
        <v>0</v>
      </c>
      <c r="AK57" s="73">
        <f t="shared" si="31"/>
        <v>0</v>
      </c>
      <c r="AL57" s="73">
        <f t="shared" si="31"/>
        <v>0</v>
      </c>
      <c r="AM57" s="73">
        <f t="shared" si="31"/>
        <v>0</v>
      </c>
      <c r="AN57" s="73">
        <f t="shared" si="31"/>
        <v>0</v>
      </c>
      <c r="AO57" s="73">
        <f t="shared" si="31"/>
        <v>0</v>
      </c>
      <c r="AP57" s="73">
        <f t="shared" si="31"/>
        <v>0</v>
      </c>
      <c r="AQ57" s="73">
        <f t="shared" si="31"/>
        <v>0</v>
      </c>
      <c r="AR57" s="73">
        <f t="shared" si="31"/>
        <v>0</v>
      </c>
      <c r="AS57" s="73">
        <f t="shared" si="31"/>
        <v>0</v>
      </c>
      <c r="AT57" s="73">
        <f t="shared" si="31"/>
        <v>0</v>
      </c>
      <c r="AU57" s="73">
        <f t="shared" si="31"/>
        <v>0</v>
      </c>
      <c r="AV57" s="73">
        <f t="shared" si="31"/>
        <v>0</v>
      </c>
      <c r="AW57" s="73">
        <f t="shared" si="31"/>
        <v>0</v>
      </c>
    </row>
    <row r="58" spans="4:49">
      <c r="E58" s="102" t="s">
        <v>150</v>
      </c>
      <c r="F58" s="73"/>
      <c r="G58" s="89" t="s">
        <v>129</v>
      </c>
      <c r="H58" s="73"/>
      <c r="I58" s="73"/>
      <c r="J58" s="73">
        <f t="shared" ref="J58:AW58" si="32" xml:space="preserve"> IF( J$45 = 0, $F$51 - SUM( J54:J57 ), 0 )</f>
        <v>0</v>
      </c>
      <c r="K58" s="73">
        <f t="shared" si="32"/>
        <v>0</v>
      </c>
      <c r="L58" s="73">
        <f t="shared" si="32"/>
        <v>0</v>
      </c>
      <c r="M58" s="73">
        <f t="shared" si="32"/>
        <v>0</v>
      </c>
      <c r="N58" s="73">
        <f t="shared" si="32"/>
        <v>0</v>
      </c>
      <c r="O58" s="73">
        <f t="shared" si="32"/>
        <v>-1183685.5527233277</v>
      </c>
      <c r="P58" s="73">
        <f t="shared" si="32"/>
        <v>0</v>
      </c>
      <c r="Q58" s="73">
        <f t="shared" si="32"/>
        <v>0</v>
      </c>
      <c r="R58" s="73">
        <f t="shared" si="32"/>
        <v>0</v>
      </c>
      <c r="S58" s="73">
        <f t="shared" si="32"/>
        <v>0</v>
      </c>
      <c r="T58" s="73">
        <f t="shared" si="32"/>
        <v>0</v>
      </c>
      <c r="U58" s="73">
        <f t="shared" si="32"/>
        <v>0</v>
      </c>
      <c r="V58" s="73">
        <f t="shared" si="32"/>
        <v>0</v>
      </c>
      <c r="W58" s="73">
        <f t="shared" si="32"/>
        <v>0</v>
      </c>
      <c r="X58" s="73">
        <f t="shared" si="32"/>
        <v>0</v>
      </c>
      <c r="Y58" s="73">
        <f t="shared" si="32"/>
        <v>0</v>
      </c>
      <c r="Z58" s="73">
        <f t="shared" si="32"/>
        <v>0</v>
      </c>
      <c r="AA58" s="73">
        <f t="shared" si="32"/>
        <v>0</v>
      </c>
      <c r="AB58" s="73">
        <f t="shared" si="32"/>
        <v>0</v>
      </c>
      <c r="AC58" s="73">
        <f t="shared" si="32"/>
        <v>-464176.33860323951</v>
      </c>
      <c r="AD58" s="73">
        <f t="shared" si="32"/>
        <v>0</v>
      </c>
      <c r="AE58" s="73">
        <f t="shared" si="32"/>
        <v>0</v>
      </c>
      <c r="AF58" s="73">
        <f t="shared" si="32"/>
        <v>0</v>
      </c>
      <c r="AG58" s="73">
        <f t="shared" si="32"/>
        <v>0</v>
      </c>
      <c r="AH58" s="73">
        <f t="shared" si="32"/>
        <v>0</v>
      </c>
      <c r="AI58" s="73">
        <f t="shared" si="32"/>
        <v>-1199495.2710621716</v>
      </c>
      <c r="AJ58" s="73">
        <f t="shared" si="32"/>
        <v>0</v>
      </c>
      <c r="AK58" s="73">
        <f t="shared" si="32"/>
        <v>0</v>
      </c>
      <c r="AL58" s="73">
        <f t="shared" si="32"/>
        <v>0</v>
      </c>
      <c r="AM58" s="73">
        <f t="shared" si="32"/>
        <v>0</v>
      </c>
      <c r="AN58" s="73">
        <f t="shared" si="32"/>
        <v>0</v>
      </c>
      <c r="AO58" s="73">
        <f t="shared" si="32"/>
        <v>0</v>
      </c>
      <c r="AP58" s="73">
        <f t="shared" si="32"/>
        <v>0</v>
      </c>
      <c r="AQ58" s="73">
        <f t="shared" si="32"/>
        <v>0</v>
      </c>
      <c r="AR58" s="73">
        <f t="shared" si="32"/>
        <v>0</v>
      </c>
      <c r="AS58" s="73">
        <f t="shared" si="32"/>
        <v>0</v>
      </c>
      <c r="AT58" s="73">
        <f t="shared" si="32"/>
        <v>0</v>
      </c>
      <c r="AU58" s="73">
        <f t="shared" si="32"/>
        <v>0</v>
      </c>
      <c r="AV58" s="73">
        <f t="shared" si="32"/>
        <v>0</v>
      </c>
      <c r="AW58" s="73">
        <f t="shared" si="32"/>
        <v>0</v>
      </c>
    </row>
    <row r="59" spans="4:49">
      <c r="E59" s="90" t="s">
        <v>139</v>
      </c>
      <c r="F59" s="76"/>
      <c r="G59" s="90" t="s">
        <v>129</v>
      </c>
      <c r="H59" s="76"/>
      <c r="I59" s="77">
        <f xml:space="preserve"> $F$50</f>
        <v>500000</v>
      </c>
      <c r="J59" s="76">
        <f>SUM(J54:J58)</f>
        <v>725812.5555555555</v>
      </c>
      <c r="K59" s="76">
        <f t="shared" ref="K59:AW59" si="33">SUM(K54:K58)</f>
        <v>949618.68597222213</v>
      </c>
      <c r="L59" s="76">
        <f t="shared" si="33"/>
        <v>1175498.8671557291</v>
      </c>
      <c r="M59" s="76">
        <f t="shared" si="33"/>
        <v>1416832.0990186743</v>
      </c>
      <c r="N59" s="76">
        <f t="shared" si="33"/>
        <v>1683685.5527233277</v>
      </c>
      <c r="O59" s="76">
        <f t="shared" si="33"/>
        <v>500000</v>
      </c>
      <c r="P59" s="76">
        <f t="shared" si="33"/>
        <v>500000</v>
      </c>
      <c r="Q59" s="76">
        <f t="shared" si="33"/>
        <v>500000</v>
      </c>
      <c r="R59" s="76">
        <f t="shared" si="33"/>
        <v>500000</v>
      </c>
      <c r="S59" s="76">
        <f t="shared" si="33"/>
        <v>500000</v>
      </c>
      <c r="T59" s="76">
        <f t="shared" si="33"/>
        <v>500000</v>
      </c>
      <c r="U59" s="76">
        <f t="shared" si="33"/>
        <v>361229.55555555562</v>
      </c>
      <c r="V59" s="76">
        <f t="shared" si="33"/>
        <v>232160.61083333343</v>
      </c>
      <c r="W59" s="76">
        <f t="shared" si="33"/>
        <v>123934.21312395844</v>
      </c>
      <c r="X59" s="76">
        <f t="shared" si="33"/>
        <v>7658.0775342844427</v>
      </c>
      <c r="Y59" s="76">
        <f t="shared" si="33"/>
        <v>230242.35088059364</v>
      </c>
      <c r="Z59" s="76">
        <f t="shared" si="33"/>
        <v>438005.98191861808</v>
      </c>
      <c r="AA59" s="76">
        <f t="shared" si="33"/>
        <v>703659.50435081287</v>
      </c>
      <c r="AB59" s="76">
        <f t="shared" si="33"/>
        <v>964176.33860323951</v>
      </c>
      <c r="AC59" s="76">
        <f t="shared" si="33"/>
        <v>500000</v>
      </c>
      <c r="AD59" s="76">
        <f t="shared" si="33"/>
        <v>677424.77777777775</v>
      </c>
      <c r="AE59" s="76">
        <f t="shared" si="33"/>
        <v>874873.34291666665</v>
      </c>
      <c r="AF59" s="76">
        <f t="shared" si="33"/>
        <v>1190903.8957303821</v>
      </c>
      <c r="AG59" s="76">
        <f t="shared" si="33"/>
        <v>1408366.5631171488</v>
      </c>
      <c r="AH59" s="76">
        <f t="shared" si="33"/>
        <v>1699495.2710621716</v>
      </c>
      <c r="AI59" s="76">
        <f t="shared" si="33"/>
        <v>500000</v>
      </c>
      <c r="AJ59" s="76">
        <f t="shared" si="33"/>
        <v>500000</v>
      </c>
      <c r="AK59" s="76">
        <f t="shared" si="33"/>
        <v>500000</v>
      </c>
      <c r="AL59" s="76">
        <f t="shared" si="33"/>
        <v>500000</v>
      </c>
      <c r="AM59" s="76">
        <f t="shared" si="33"/>
        <v>500000</v>
      </c>
      <c r="AN59" s="76">
        <f t="shared" si="33"/>
        <v>500000</v>
      </c>
      <c r="AO59" s="76">
        <f t="shared" si="33"/>
        <v>500000</v>
      </c>
      <c r="AP59" s="76">
        <f t="shared" si="33"/>
        <v>500000</v>
      </c>
      <c r="AQ59" s="76">
        <f t="shared" si="33"/>
        <v>500000</v>
      </c>
      <c r="AR59" s="76">
        <f t="shared" si="33"/>
        <v>500000</v>
      </c>
      <c r="AS59" s="76">
        <f t="shared" si="33"/>
        <v>500000</v>
      </c>
      <c r="AT59" s="76">
        <f t="shared" si="33"/>
        <v>500000</v>
      </c>
      <c r="AU59" s="76">
        <f t="shared" si="33"/>
        <v>500000</v>
      </c>
      <c r="AV59" s="76">
        <f t="shared" si="33"/>
        <v>500000</v>
      </c>
      <c r="AW59" s="76">
        <f t="shared" si="33"/>
        <v>500000</v>
      </c>
    </row>
    <row r="62" spans="4:49">
      <c r="D62" s="79" t="s">
        <v>140</v>
      </c>
    </row>
    <row r="63" spans="4:49">
      <c r="E63" s="87" t="s">
        <v>48</v>
      </c>
      <c r="F63" s="81">
        <f>CaseData!$G$16</f>
        <v>1.4999999999999999E-2</v>
      </c>
      <c r="G63" s="87" t="s">
        <v>132</v>
      </c>
    </row>
    <row r="64" spans="4:49">
      <c r="E64" s="87" t="s">
        <v>133</v>
      </c>
      <c r="F64" s="81">
        <f>$F$63/4</f>
        <v>3.7499999999999999E-3</v>
      </c>
      <c r="G64" s="87" t="s">
        <v>132</v>
      </c>
    </row>
    <row r="65" spans="1:49">
      <c r="E65" s="91" t="s">
        <v>140</v>
      </c>
      <c r="F65" s="82"/>
      <c r="G65" s="91" t="s">
        <v>129</v>
      </c>
      <c r="H65" s="82">
        <f>SUM( J65:AW65)</f>
        <v>96988.418414362677</v>
      </c>
      <c r="I65" s="82"/>
      <c r="J65" s="82">
        <f t="shared" ref="J65:AW65" si="34" xml:space="preserve"> J$54 * $F$64</f>
        <v>1875</v>
      </c>
      <c r="K65" s="82">
        <f t="shared" si="34"/>
        <v>2721.7970833333329</v>
      </c>
      <c r="L65" s="82">
        <f t="shared" si="34"/>
        <v>3561.070072395833</v>
      </c>
      <c r="M65" s="82">
        <f t="shared" si="34"/>
        <v>4408.1207518339843</v>
      </c>
      <c r="N65" s="82">
        <f t="shared" si="34"/>
        <v>5313.1203713200284</v>
      </c>
      <c r="O65" s="82">
        <f t="shared" si="34"/>
        <v>6313.8208227124787</v>
      </c>
      <c r="P65" s="82">
        <f t="shared" si="34"/>
        <v>1875</v>
      </c>
      <c r="Q65" s="82">
        <f t="shared" si="34"/>
        <v>1875</v>
      </c>
      <c r="R65" s="82">
        <f t="shared" si="34"/>
        <v>1875</v>
      </c>
      <c r="S65" s="82">
        <f t="shared" si="34"/>
        <v>1875</v>
      </c>
      <c r="T65" s="82">
        <f t="shared" si="34"/>
        <v>1875</v>
      </c>
      <c r="U65" s="82">
        <f t="shared" si="34"/>
        <v>1875</v>
      </c>
      <c r="V65" s="82">
        <f t="shared" si="34"/>
        <v>1354.6108333333336</v>
      </c>
      <c r="W65" s="82">
        <f t="shared" si="34"/>
        <v>870.60229062500036</v>
      </c>
      <c r="X65" s="82">
        <f t="shared" si="34"/>
        <v>464.75329921484416</v>
      </c>
      <c r="Y65" s="82">
        <f t="shared" si="34"/>
        <v>28.717790753566661</v>
      </c>
      <c r="Z65" s="82">
        <f t="shared" si="34"/>
        <v>863.40881580222617</v>
      </c>
      <c r="AA65" s="82">
        <f t="shared" si="34"/>
        <v>1642.5224321948178</v>
      </c>
      <c r="AB65" s="82">
        <f t="shared" si="34"/>
        <v>2638.7231413155482</v>
      </c>
      <c r="AC65" s="82">
        <f t="shared" si="34"/>
        <v>3615.6612697621481</v>
      </c>
      <c r="AD65" s="82">
        <f t="shared" si="34"/>
        <v>1875</v>
      </c>
      <c r="AE65" s="82">
        <f t="shared" si="34"/>
        <v>2540.3429166666665</v>
      </c>
      <c r="AF65" s="82">
        <f t="shared" si="34"/>
        <v>3280.7750359375</v>
      </c>
      <c r="AG65" s="82">
        <f t="shared" si="34"/>
        <v>4465.8896089889322</v>
      </c>
      <c r="AH65" s="82">
        <f t="shared" si="34"/>
        <v>5281.374611689308</v>
      </c>
      <c r="AI65" s="82">
        <f t="shared" si="34"/>
        <v>6373.1072664831427</v>
      </c>
      <c r="AJ65" s="82">
        <f t="shared" si="34"/>
        <v>1875</v>
      </c>
      <c r="AK65" s="82">
        <f t="shared" si="34"/>
        <v>1875</v>
      </c>
      <c r="AL65" s="82">
        <f t="shared" si="34"/>
        <v>1875</v>
      </c>
      <c r="AM65" s="82">
        <f t="shared" si="34"/>
        <v>1875</v>
      </c>
      <c r="AN65" s="82">
        <f t="shared" si="34"/>
        <v>1875</v>
      </c>
      <c r="AO65" s="82">
        <f t="shared" si="34"/>
        <v>1875</v>
      </c>
      <c r="AP65" s="82">
        <f t="shared" si="34"/>
        <v>1875</v>
      </c>
      <c r="AQ65" s="82">
        <f t="shared" si="34"/>
        <v>1875</v>
      </c>
      <c r="AR65" s="82">
        <f t="shared" si="34"/>
        <v>1875</v>
      </c>
      <c r="AS65" s="82">
        <f t="shared" si="34"/>
        <v>1875</v>
      </c>
      <c r="AT65" s="82">
        <f t="shared" si="34"/>
        <v>1875</v>
      </c>
      <c r="AU65" s="82">
        <f t="shared" si="34"/>
        <v>1875</v>
      </c>
      <c r="AV65" s="82">
        <f t="shared" si="34"/>
        <v>1875</v>
      </c>
      <c r="AW65" s="82">
        <f t="shared" si="34"/>
        <v>1875</v>
      </c>
    </row>
    <row r="66" spans="1:49">
      <c r="E66" s="95"/>
      <c r="F66" s="96"/>
      <c r="G66" s="95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  <c r="AA66" s="96"/>
      <c r="AB66" s="96"/>
      <c r="AC66" s="96"/>
      <c r="AD66" s="96"/>
      <c r="AE66" s="96"/>
      <c r="AF66" s="96"/>
      <c r="AG66" s="96"/>
      <c r="AH66" s="96"/>
      <c r="AI66" s="96"/>
      <c r="AJ66" s="96"/>
      <c r="AK66" s="96"/>
      <c r="AL66" s="96"/>
      <c r="AM66" s="96"/>
      <c r="AN66" s="96"/>
      <c r="AO66" s="96"/>
      <c r="AP66" s="96"/>
      <c r="AQ66" s="96"/>
      <c r="AR66" s="96"/>
      <c r="AS66" s="96"/>
      <c r="AT66" s="96"/>
      <c r="AU66" s="96"/>
      <c r="AV66" s="96"/>
      <c r="AW66" s="96"/>
    </row>
    <row r="67" spans="1:49">
      <c r="E67" s="95"/>
      <c r="F67" s="96"/>
      <c r="G67" s="95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  <c r="AA67" s="96"/>
      <c r="AB67" s="96"/>
      <c r="AC67" s="96"/>
      <c r="AD67" s="96"/>
      <c r="AE67" s="96"/>
      <c r="AF67" s="96"/>
      <c r="AG67" s="96"/>
      <c r="AH67" s="96"/>
      <c r="AI67" s="96"/>
      <c r="AJ67" s="96"/>
      <c r="AK67" s="96"/>
      <c r="AL67" s="96"/>
      <c r="AM67" s="96"/>
      <c r="AN67" s="96"/>
      <c r="AO67" s="96"/>
      <c r="AP67" s="96"/>
      <c r="AQ67" s="96"/>
      <c r="AR67" s="96"/>
      <c r="AS67" s="96"/>
      <c r="AT67" s="96"/>
      <c r="AU67" s="96"/>
      <c r="AV67" s="96"/>
      <c r="AW67" s="96"/>
    </row>
    <row r="68" spans="1:49" s="59" customFormat="1">
      <c r="A68" s="60" t="s">
        <v>32</v>
      </c>
      <c r="E68" s="85"/>
      <c r="G68" s="85"/>
    </row>
    <row r="70" spans="1:49">
      <c r="E70" s="87" t="s">
        <v>130</v>
      </c>
      <c r="F70" s="80">
        <f>CaseData!$G$4</f>
        <v>10000000</v>
      </c>
      <c r="G70" s="87" t="s">
        <v>129</v>
      </c>
    </row>
    <row r="72" spans="1:49">
      <c r="E72" s="88" t="s">
        <v>131</v>
      </c>
      <c r="F72" s="75"/>
      <c r="G72" s="88" t="s">
        <v>129</v>
      </c>
      <c r="H72" s="75"/>
      <c r="I72" s="75"/>
      <c r="J72" s="75">
        <f xml:space="preserve"> I$74</f>
        <v>10000000</v>
      </c>
      <c r="K72" s="75">
        <f t="shared" ref="K72:AW72" si="35" xml:space="preserve"> J$74</f>
        <v>9746520.555555556</v>
      </c>
      <c r="L72" s="75">
        <f t="shared" si="35"/>
        <v>9493960.395833334</v>
      </c>
      <c r="M72" s="75">
        <f t="shared" si="35"/>
        <v>9241756.0118923616</v>
      </c>
      <c r="N72" s="75">
        <f t="shared" si="35"/>
        <v>8987604.0731521267</v>
      </c>
      <c r="O72" s="75">
        <f t="shared" si="35"/>
        <v>8729722.4573998619</v>
      </c>
      <c r="P72" s="75">
        <f t="shared" si="35"/>
        <v>8476612.8770062495</v>
      </c>
      <c r="Q72" s="75">
        <f t="shared" si="35"/>
        <v>8220662.2046354944</v>
      </c>
      <c r="R72" s="75">
        <f t="shared" si="35"/>
        <v>7964013.2599712163</v>
      </c>
      <c r="S72" s="75">
        <f t="shared" si="35"/>
        <v>7686467.3146097455</v>
      </c>
      <c r="T72" s="75">
        <f t="shared" si="35"/>
        <v>7424678.7115979232</v>
      </c>
      <c r="U72" s="75">
        <f t="shared" si="35"/>
        <v>7153811.6399373412</v>
      </c>
      <c r="V72" s="75">
        <f t="shared" si="35"/>
        <v>6884434.8409921136</v>
      </c>
      <c r="W72" s="75">
        <f t="shared" si="35"/>
        <v>6612619.7209489597</v>
      </c>
      <c r="X72" s="75">
        <f t="shared" si="35"/>
        <v>6321027.4674608214</v>
      </c>
      <c r="Y72" s="75">
        <f t="shared" si="35"/>
        <v>6024221.4219151931</v>
      </c>
      <c r="Z72" s="75">
        <f t="shared" si="35"/>
        <v>5717774.7452446884</v>
      </c>
      <c r="AA72" s="75">
        <f t="shared" si="35"/>
        <v>5421379.1517824689</v>
      </c>
      <c r="AB72" s="75">
        <f t="shared" si="35"/>
        <v>5111886.3911797497</v>
      </c>
      <c r="AC72" s="75">
        <f t="shared" si="35"/>
        <v>4792906.0821806081</v>
      </c>
      <c r="AD72" s="75">
        <f t="shared" si="35"/>
        <v>4463290.1859856434</v>
      </c>
      <c r="AE72" s="75">
        <f t="shared" si="35"/>
        <v>4118464.0910882419</v>
      </c>
      <c r="AF72" s="75">
        <f t="shared" si="35"/>
        <v>3783722.114449067</v>
      </c>
      <c r="AG72" s="75">
        <f t="shared" si="35"/>
        <v>3433786.4186574584</v>
      </c>
      <c r="AH72" s="75">
        <f t="shared" si="35"/>
        <v>3087686.5266684545</v>
      </c>
      <c r="AI72" s="75">
        <f t="shared" si="35"/>
        <v>2736650.9415851436</v>
      </c>
      <c r="AJ72" s="75">
        <f t="shared" si="35"/>
        <v>2377404.078354958</v>
      </c>
      <c r="AK72" s="75">
        <f t="shared" si="35"/>
        <v>1995779.4071121728</v>
      </c>
      <c r="AL72" s="75">
        <f t="shared" si="35"/>
        <v>1627216.6497010749</v>
      </c>
      <c r="AM72" s="75">
        <f t="shared" si="35"/>
        <v>1259435.1911556716</v>
      </c>
      <c r="AN72" s="75">
        <f t="shared" si="35"/>
        <v>877116.46437845088</v>
      </c>
      <c r="AO72" s="75">
        <f t="shared" si="35"/>
        <v>467229.86462762597</v>
      </c>
      <c r="AP72" s="75">
        <f t="shared" si="35"/>
        <v>55168.571268804662</v>
      </c>
      <c r="AQ72" s="75">
        <f t="shared" si="35"/>
        <v>0</v>
      </c>
      <c r="AR72" s="75">
        <f t="shared" si="35"/>
        <v>0</v>
      </c>
      <c r="AS72" s="75">
        <f t="shared" si="35"/>
        <v>0</v>
      </c>
      <c r="AT72" s="75">
        <f t="shared" si="35"/>
        <v>0</v>
      </c>
      <c r="AU72" s="75">
        <f t="shared" si="35"/>
        <v>0</v>
      </c>
      <c r="AV72" s="75">
        <f t="shared" si="35"/>
        <v>0</v>
      </c>
      <c r="AW72" s="75">
        <f t="shared" si="35"/>
        <v>0</v>
      </c>
    </row>
    <row r="73" spans="1:49">
      <c r="E73" s="102" t="s">
        <v>143</v>
      </c>
      <c r="F73" s="73"/>
      <c r="G73" s="89" t="s">
        <v>129</v>
      </c>
      <c r="H73" s="73"/>
      <c r="I73" s="73"/>
      <c r="J73" s="78" cm="1">
        <f t="array" ref="J73:AW73" xml:space="preserve"> INDEX( CaseData!$G$42:$G$81, MATCH(_xlfn.ANCHORARRAY( $J$3), CaseData!$D$42:$D$81, 0 ) )</f>
        <v>-253479.44444444444</v>
      </c>
      <c r="K73" s="78">
        <v>-252560.15972222225</v>
      </c>
      <c r="L73" s="78">
        <v>-252204.38394097221</v>
      </c>
      <c r="M73" s="78">
        <v>-254151.93874023436</v>
      </c>
      <c r="N73" s="78">
        <v>-257881.61575226509</v>
      </c>
      <c r="O73" s="78">
        <v>-253109.58039361285</v>
      </c>
      <c r="P73" s="78">
        <v>-255950.67237075517</v>
      </c>
      <c r="Q73" s="78">
        <v>-256648.9446642785</v>
      </c>
      <c r="R73" s="78">
        <v>-277545.94536147092</v>
      </c>
      <c r="S73" s="78">
        <v>-261788.60301182262</v>
      </c>
      <c r="T73" s="78">
        <v>-270867.07166058151</v>
      </c>
      <c r="U73" s="78">
        <v>-269376.79894522764</v>
      </c>
      <c r="V73" s="78">
        <v>-271815.12004315411</v>
      </c>
      <c r="W73" s="78">
        <v>-291592.25348813797</v>
      </c>
      <c r="X73" s="78">
        <v>-296806.04554562859</v>
      </c>
      <c r="Y73" s="78">
        <v>-306446.6766705045</v>
      </c>
      <c r="Z73" s="78">
        <v>-296395.59346221911</v>
      </c>
      <c r="AA73" s="78">
        <v>-309492.76060271915</v>
      </c>
      <c r="AB73" s="78">
        <v>-318980.30899914203</v>
      </c>
      <c r="AC73" s="78">
        <v>-329615.89619496459</v>
      </c>
      <c r="AD73" s="78">
        <v>-344826.09489740164</v>
      </c>
      <c r="AE73" s="78">
        <v>-334741.97663917474</v>
      </c>
      <c r="AF73" s="78">
        <v>-349935.69579160883</v>
      </c>
      <c r="AG73" s="78">
        <v>-346099.89198900398</v>
      </c>
      <c r="AH73" s="78">
        <v>-351035.58508331102</v>
      </c>
      <c r="AI73" s="78">
        <v>-359246.8632301857</v>
      </c>
      <c r="AJ73" s="78">
        <v>-381624.67124278523</v>
      </c>
      <c r="AK73" s="78">
        <v>-368562.75741109782</v>
      </c>
      <c r="AL73" s="78">
        <v>-367781.45854540326</v>
      </c>
      <c r="AM73" s="78">
        <v>-382318.72677722073</v>
      </c>
      <c r="AN73" s="78">
        <v>-409886.59975082491</v>
      </c>
      <c r="AO73" s="78">
        <v>-412061.29335882131</v>
      </c>
      <c r="AP73" s="78">
        <v>-55168.571268804662</v>
      </c>
      <c r="AQ73" s="78">
        <v>0</v>
      </c>
      <c r="AR73" s="78">
        <v>0</v>
      </c>
      <c r="AS73" s="78">
        <v>0</v>
      </c>
      <c r="AT73" s="78">
        <v>0</v>
      </c>
      <c r="AU73" s="78">
        <v>0</v>
      </c>
      <c r="AV73" s="78">
        <v>0</v>
      </c>
      <c r="AW73" s="78">
        <v>0</v>
      </c>
    </row>
    <row r="74" spans="1:49">
      <c r="E74" s="90" t="s">
        <v>32</v>
      </c>
      <c r="F74" s="76"/>
      <c r="G74" s="90" t="s">
        <v>129</v>
      </c>
      <c r="H74" s="76"/>
      <c r="I74" s="77">
        <f>$F$70</f>
        <v>10000000</v>
      </c>
      <c r="J74" s="76">
        <f>SUM(J72:J73)</f>
        <v>9746520.555555556</v>
      </c>
      <c r="K74" s="76">
        <f t="shared" ref="K74:AW74" si="36">SUM(K72:K73)</f>
        <v>9493960.395833334</v>
      </c>
      <c r="L74" s="76">
        <f t="shared" si="36"/>
        <v>9241756.0118923616</v>
      </c>
      <c r="M74" s="76">
        <f t="shared" si="36"/>
        <v>8987604.0731521267</v>
      </c>
      <c r="N74" s="76">
        <f t="shared" si="36"/>
        <v>8729722.4573998619</v>
      </c>
      <c r="O74" s="76">
        <f t="shared" si="36"/>
        <v>8476612.8770062495</v>
      </c>
      <c r="P74" s="76">
        <f t="shared" si="36"/>
        <v>8220662.2046354944</v>
      </c>
      <c r="Q74" s="76">
        <f t="shared" si="36"/>
        <v>7964013.2599712163</v>
      </c>
      <c r="R74" s="76">
        <f t="shared" si="36"/>
        <v>7686467.3146097455</v>
      </c>
      <c r="S74" s="76">
        <f t="shared" si="36"/>
        <v>7424678.7115979232</v>
      </c>
      <c r="T74" s="76">
        <f t="shared" si="36"/>
        <v>7153811.6399373412</v>
      </c>
      <c r="U74" s="76">
        <f t="shared" si="36"/>
        <v>6884434.8409921136</v>
      </c>
      <c r="V74" s="76">
        <f t="shared" si="36"/>
        <v>6612619.7209489597</v>
      </c>
      <c r="W74" s="76">
        <f t="shared" si="36"/>
        <v>6321027.4674608214</v>
      </c>
      <c r="X74" s="76">
        <f t="shared" si="36"/>
        <v>6024221.4219151931</v>
      </c>
      <c r="Y74" s="76">
        <f t="shared" si="36"/>
        <v>5717774.7452446884</v>
      </c>
      <c r="Z74" s="76">
        <f t="shared" si="36"/>
        <v>5421379.1517824689</v>
      </c>
      <c r="AA74" s="76">
        <f t="shared" si="36"/>
        <v>5111886.3911797497</v>
      </c>
      <c r="AB74" s="76">
        <f t="shared" si="36"/>
        <v>4792906.0821806081</v>
      </c>
      <c r="AC74" s="76">
        <f t="shared" si="36"/>
        <v>4463290.1859856434</v>
      </c>
      <c r="AD74" s="76">
        <f t="shared" si="36"/>
        <v>4118464.0910882419</v>
      </c>
      <c r="AE74" s="76">
        <f t="shared" si="36"/>
        <v>3783722.114449067</v>
      </c>
      <c r="AF74" s="76">
        <f t="shared" si="36"/>
        <v>3433786.4186574584</v>
      </c>
      <c r="AG74" s="76">
        <f t="shared" si="36"/>
        <v>3087686.5266684545</v>
      </c>
      <c r="AH74" s="76">
        <f t="shared" si="36"/>
        <v>2736650.9415851436</v>
      </c>
      <c r="AI74" s="76">
        <f t="shared" si="36"/>
        <v>2377404.078354958</v>
      </c>
      <c r="AJ74" s="76">
        <f t="shared" si="36"/>
        <v>1995779.4071121728</v>
      </c>
      <c r="AK74" s="76">
        <f t="shared" si="36"/>
        <v>1627216.6497010749</v>
      </c>
      <c r="AL74" s="76">
        <f t="shared" si="36"/>
        <v>1259435.1911556716</v>
      </c>
      <c r="AM74" s="76">
        <f t="shared" si="36"/>
        <v>877116.46437845088</v>
      </c>
      <c r="AN74" s="76">
        <f t="shared" si="36"/>
        <v>467229.86462762597</v>
      </c>
      <c r="AO74" s="76">
        <f t="shared" si="36"/>
        <v>55168.571268804662</v>
      </c>
      <c r="AP74" s="76">
        <f t="shared" si="36"/>
        <v>0</v>
      </c>
      <c r="AQ74" s="76">
        <f t="shared" si="36"/>
        <v>0</v>
      </c>
      <c r="AR74" s="76">
        <f t="shared" si="36"/>
        <v>0</v>
      </c>
      <c r="AS74" s="76">
        <f t="shared" si="36"/>
        <v>0</v>
      </c>
      <c r="AT74" s="76">
        <f t="shared" si="36"/>
        <v>0</v>
      </c>
      <c r="AU74" s="76">
        <f t="shared" si="36"/>
        <v>0</v>
      </c>
      <c r="AV74" s="76">
        <f t="shared" si="36"/>
        <v>0</v>
      </c>
      <c r="AW74" s="76">
        <f t="shared" si="36"/>
        <v>0</v>
      </c>
    </row>
    <row r="77" spans="1:49">
      <c r="D77" s="79" t="s">
        <v>134</v>
      </c>
    </row>
    <row r="78" spans="1:49">
      <c r="E78" s="87" t="s">
        <v>48</v>
      </c>
      <c r="F78" s="81">
        <f>CaseData!$G$5</f>
        <v>0.05</v>
      </c>
      <c r="G78" s="87" t="s">
        <v>132</v>
      </c>
    </row>
    <row r="79" spans="1:49">
      <c r="E79" s="87" t="s">
        <v>133</v>
      </c>
      <c r="F79" s="81">
        <f>$F$78/4</f>
        <v>1.2500000000000001E-2</v>
      </c>
      <c r="G79" s="87" t="s">
        <v>132</v>
      </c>
    </row>
    <row r="80" spans="1:49">
      <c r="E80" s="91" t="s">
        <v>134</v>
      </c>
      <c r="F80" s="82"/>
      <c r="G80" s="91" t="s">
        <v>129</v>
      </c>
      <c r="H80" s="82">
        <f xml:space="preserve"> SUM(J80:AW80)</f>
        <v>2253687.6228541075</v>
      </c>
      <c r="I80" s="82"/>
      <c r="J80" s="82">
        <f xml:space="preserve"> J$72 * $F$79</f>
        <v>125000</v>
      </c>
      <c r="K80" s="82">
        <f t="shared" ref="K80:AW80" si="37" xml:space="preserve"> K$72 * $F$79</f>
        <v>121831.50694444445</v>
      </c>
      <c r="L80" s="82">
        <f t="shared" si="37"/>
        <v>118674.50494791668</v>
      </c>
      <c r="M80" s="82">
        <f t="shared" si="37"/>
        <v>115521.95014865452</v>
      </c>
      <c r="N80" s="82">
        <f t="shared" si="37"/>
        <v>112345.0509144016</v>
      </c>
      <c r="O80" s="82">
        <f t="shared" si="37"/>
        <v>109121.53071749827</v>
      </c>
      <c r="P80" s="82">
        <f t="shared" si="37"/>
        <v>105957.66096257813</v>
      </c>
      <c r="Q80" s="82">
        <f t="shared" si="37"/>
        <v>102758.27755794369</v>
      </c>
      <c r="R80" s="82">
        <f t="shared" si="37"/>
        <v>99550.165749640204</v>
      </c>
      <c r="S80" s="82">
        <f t="shared" si="37"/>
        <v>96080.841432621819</v>
      </c>
      <c r="T80" s="82">
        <f t="shared" si="37"/>
        <v>92808.483894974052</v>
      </c>
      <c r="U80" s="82">
        <f t="shared" si="37"/>
        <v>89422.645499216771</v>
      </c>
      <c r="V80" s="82">
        <f t="shared" si="37"/>
        <v>86055.435512401426</v>
      </c>
      <c r="W80" s="82">
        <f t="shared" si="37"/>
        <v>82657.746511862002</v>
      </c>
      <c r="X80" s="82">
        <f t="shared" si="37"/>
        <v>79012.843343260276</v>
      </c>
      <c r="Y80" s="82">
        <f t="shared" si="37"/>
        <v>75302.767773939922</v>
      </c>
      <c r="Z80" s="82">
        <f t="shared" si="37"/>
        <v>71472.18431555861</v>
      </c>
      <c r="AA80" s="82">
        <f t="shared" si="37"/>
        <v>67767.239397280864</v>
      </c>
      <c r="AB80" s="82">
        <f t="shared" si="37"/>
        <v>63898.579889746878</v>
      </c>
      <c r="AC80" s="82">
        <f t="shared" si="37"/>
        <v>59911.326027257601</v>
      </c>
      <c r="AD80" s="82">
        <f t="shared" si="37"/>
        <v>55791.127324820547</v>
      </c>
      <c r="AE80" s="82">
        <f t="shared" si="37"/>
        <v>51480.801138603027</v>
      </c>
      <c r="AF80" s="82">
        <f t="shared" si="37"/>
        <v>47296.526430613339</v>
      </c>
      <c r="AG80" s="82">
        <f t="shared" si="37"/>
        <v>42922.330233218236</v>
      </c>
      <c r="AH80" s="82">
        <f t="shared" si="37"/>
        <v>38596.081583355684</v>
      </c>
      <c r="AI80" s="82">
        <f t="shared" si="37"/>
        <v>34208.136769814293</v>
      </c>
      <c r="AJ80" s="82">
        <f t="shared" si="37"/>
        <v>29717.550979436975</v>
      </c>
      <c r="AK80" s="82">
        <f t="shared" si="37"/>
        <v>24947.242588902162</v>
      </c>
      <c r="AL80" s="82">
        <f t="shared" si="37"/>
        <v>20340.208121263437</v>
      </c>
      <c r="AM80" s="82">
        <f t="shared" si="37"/>
        <v>15742.939889445895</v>
      </c>
      <c r="AN80" s="82">
        <f t="shared" si="37"/>
        <v>10963.955804730636</v>
      </c>
      <c r="AO80" s="82">
        <f t="shared" si="37"/>
        <v>5840.3733078453251</v>
      </c>
      <c r="AP80" s="82">
        <f t="shared" si="37"/>
        <v>689.60714086005828</v>
      </c>
      <c r="AQ80" s="82">
        <f t="shared" si="37"/>
        <v>0</v>
      </c>
      <c r="AR80" s="82">
        <f t="shared" si="37"/>
        <v>0</v>
      </c>
      <c r="AS80" s="82">
        <f t="shared" si="37"/>
        <v>0</v>
      </c>
      <c r="AT80" s="82">
        <f t="shared" si="37"/>
        <v>0</v>
      </c>
      <c r="AU80" s="82">
        <f t="shared" si="37"/>
        <v>0</v>
      </c>
      <c r="AV80" s="82">
        <f t="shared" si="37"/>
        <v>0</v>
      </c>
      <c r="AW80" s="82">
        <f t="shared" si="37"/>
        <v>0</v>
      </c>
    </row>
    <row r="81" spans="1:49">
      <c r="E81" s="95"/>
      <c r="F81" s="96"/>
      <c r="G81" s="95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  <c r="AA81" s="96"/>
      <c r="AB81" s="96"/>
      <c r="AC81" s="96"/>
      <c r="AD81" s="96"/>
      <c r="AE81" s="96"/>
      <c r="AF81" s="96"/>
      <c r="AG81" s="96"/>
      <c r="AH81" s="96"/>
      <c r="AI81" s="96"/>
      <c r="AJ81" s="96"/>
      <c r="AK81" s="96"/>
      <c r="AL81" s="96"/>
      <c r="AM81" s="96"/>
      <c r="AN81" s="96"/>
      <c r="AO81" s="96"/>
      <c r="AP81" s="96"/>
      <c r="AQ81" s="96"/>
      <c r="AR81" s="96"/>
      <c r="AS81" s="96"/>
      <c r="AT81" s="96"/>
      <c r="AU81" s="96"/>
      <c r="AV81" s="96"/>
      <c r="AW81" s="96"/>
    </row>
    <row r="82" spans="1:49">
      <c r="E82" s="95"/>
      <c r="F82" s="96"/>
      <c r="G82" s="95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  <c r="AA82" s="96"/>
      <c r="AB82" s="96"/>
      <c r="AC82" s="96"/>
      <c r="AD82" s="96"/>
      <c r="AE82" s="96"/>
      <c r="AF82" s="96"/>
      <c r="AG82" s="96"/>
      <c r="AH82" s="96"/>
      <c r="AI82" s="96"/>
      <c r="AJ82" s="96"/>
      <c r="AK82" s="96"/>
      <c r="AL82" s="96"/>
      <c r="AM82" s="96"/>
      <c r="AN82" s="96"/>
      <c r="AO82" s="96"/>
      <c r="AP82" s="96"/>
      <c r="AQ82" s="96"/>
      <c r="AR82" s="96"/>
      <c r="AS82" s="96"/>
      <c r="AT82" s="96"/>
      <c r="AU82" s="96"/>
      <c r="AV82" s="96"/>
      <c r="AW82" s="96"/>
    </row>
    <row r="83" spans="1:49" s="59" customFormat="1">
      <c r="A83" s="60" t="s">
        <v>33</v>
      </c>
      <c r="E83" s="85"/>
      <c r="G83" s="85"/>
    </row>
    <row r="85" spans="1:49">
      <c r="E85" s="87" t="s">
        <v>135</v>
      </c>
      <c r="F85" s="80">
        <f>CaseData!$G$19</f>
        <v>6000000</v>
      </c>
      <c r="G85" s="87" t="s">
        <v>129</v>
      </c>
    </row>
    <row r="87" spans="1:49">
      <c r="E87" s="88" t="s">
        <v>136</v>
      </c>
      <c r="F87" s="75"/>
      <c r="G87" s="88" t="s">
        <v>129</v>
      </c>
      <c r="H87" s="75"/>
      <c r="I87" s="75"/>
      <c r="J87" s="75">
        <f t="shared" ref="J87:AW87" si="38" xml:space="preserve"> I$91</f>
        <v>6000000</v>
      </c>
      <c r="K87" s="75">
        <f t="shared" si="38"/>
        <v>6105000</v>
      </c>
      <c r="L87" s="75">
        <f t="shared" si="38"/>
        <v>6211837.5</v>
      </c>
      <c r="M87" s="75">
        <f t="shared" si="38"/>
        <v>6320544.65625</v>
      </c>
      <c r="N87" s="75">
        <f t="shared" si="38"/>
        <v>6431154.1877343748</v>
      </c>
      <c r="O87" s="75">
        <f t="shared" si="38"/>
        <v>6543699.3860197263</v>
      </c>
      <c r="P87" s="75">
        <f t="shared" si="38"/>
        <v>5219918.8628401421</v>
      </c>
      <c r="Q87" s="75">
        <f t="shared" si="38"/>
        <v>5085702.7762731779</v>
      </c>
      <c r="R87" s="75">
        <f t="shared" si="38"/>
        <v>4894662.7970801806</v>
      </c>
      <c r="S87" s="75">
        <f t="shared" si="38"/>
        <v>4708550.507140195</v>
      </c>
      <c r="T87" s="75">
        <f t="shared" si="38"/>
        <v>4499999.9999999991</v>
      </c>
      <c r="U87" s="75">
        <f t="shared" si="38"/>
        <v>4355939.555555555</v>
      </c>
      <c r="V87" s="75">
        <f t="shared" si="38"/>
        <v>4432168.4977777768</v>
      </c>
      <c r="W87" s="75">
        <f t="shared" si="38"/>
        <v>4509731.446488888</v>
      </c>
      <c r="X87" s="75">
        <f t="shared" si="38"/>
        <v>4588651.7468024436</v>
      </c>
      <c r="Y87" s="75">
        <f t="shared" si="38"/>
        <v>4668953.1523714866</v>
      </c>
      <c r="Z87" s="75">
        <f t="shared" si="38"/>
        <v>4750659.8325379873</v>
      </c>
      <c r="AA87" s="75">
        <f t="shared" si="38"/>
        <v>4833796.3796074018</v>
      </c>
      <c r="AB87" s="75">
        <f t="shared" si="38"/>
        <v>4918387.816250531</v>
      </c>
      <c r="AC87" s="75">
        <f t="shared" si="38"/>
        <v>5004459.6030349154</v>
      </c>
      <c r="AD87" s="75">
        <f t="shared" si="38"/>
        <v>4380047.8684372474</v>
      </c>
      <c r="AE87" s="75">
        <f t="shared" si="38"/>
        <v>4456698.7061348995</v>
      </c>
      <c r="AF87" s="75">
        <f t="shared" si="38"/>
        <v>4534690.9334922601</v>
      </c>
      <c r="AG87" s="75">
        <f t="shared" si="38"/>
        <v>4614048.0248283744</v>
      </c>
      <c r="AH87" s="75">
        <f t="shared" si="38"/>
        <v>4694793.8652628707</v>
      </c>
      <c r="AI87" s="75">
        <f t="shared" si="38"/>
        <v>4776952.757904971</v>
      </c>
      <c r="AJ87" s="75">
        <f t="shared" si="38"/>
        <v>3378335.0528396536</v>
      </c>
      <c r="AK87" s="75">
        <f t="shared" si="38"/>
        <v>3137892.1384865697</v>
      </c>
      <c r="AL87" s="75">
        <f t="shared" si="38"/>
        <v>2891434.2509100847</v>
      </c>
      <c r="AM87" s="75">
        <f t="shared" si="38"/>
        <v>2610368.016967678</v>
      </c>
      <c r="AN87" s="75">
        <f t="shared" si="38"/>
        <v>2423539.1239312789</v>
      </c>
      <c r="AO87" s="75">
        <f t="shared" si="38"/>
        <v>2227145.614155632</v>
      </c>
      <c r="AP87" s="75">
        <f t="shared" si="38"/>
        <v>1981168.3290700221</v>
      </c>
      <c r="AQ87" s="75">
        <f t="shared" si="38"/>
        <v>1431548.9532384123</v>
      </c>
      <c r="AR87" s="75">
        <f t="shared" si="38"/>
        <v>899999.99999999919</v>
      </c>
      <c r="AS87" s="75">
        <f t="shared" si="38"/>
        <v>749999.99999999919</v>
      </c>
      <c r="AT87" s="75">
        <f t="shared" si="38"/>
        <v>599999.99999999919</v>
      </c>
      <c r="AU87" s="75">
        <f t="shared" si="38"/>
        <v>449999.99999999919</v>
      </c>
      <c r="AV87" s="75">
        <f t="shared" si="38"/>
        <v>299999.99999999919</v>
      </c>
      <c r="AW87" s="75">
        <f t="shared" si="38"/>
        <v>149999.99999999919</v>
      </c>
    </row>
    <row r="88" spans="1:49">
      <c r="E88" s="102" t="str">
        <f>E$102</f>
        <v>Unmet Junior Debt interest owed</v>
      </c>
      <c r="F88" s="89"/>
      <c r="G88" s="89" t="str">
        <f>G$102</f>
        <v>USD</v>
      </c>
      <c r="H88" s="89"/>
      <c r="I88" s="73">
        <f t="shared" ref="I88:AW88" si="39">I$102</f>
        <v>0</v>
      </c>
      <c r="J88" s="73">
        <f t="shared" si="39"/>
        <v>105000.00000000001</v>
      </c>
      <c r="K88" s="73">
        <f t="shared" si="39"/>
        <v>106837.50000000001</v>
      </c>
      <c r="L88" s="73">
        <f t="shared" si="39"/>
        <v>108707.15625000001</v>
      </c>
      <c r="M88" s="73">
        <f t="shared" si="39"/>
        <v>110609.53148437501</v>
      </c>
      <c r="N88" s="73">
        <f t="shared" si="39"/>
        <v>112545.19828535157</v>
      </c>
      <c r="O88" s="73">
        <f t="shared" si="39"/>
        <v>0</v>
      </c>
      <c r="P88" s="73">
        <f t="shared" si="39"/>
        <v>0</v>
      </c>
      <c r="Q88" s="73">
        <f t="shared" si="39"/>
        <v>0</v>
      </c>
      <c r="R88" s="73">
        <f t="shared" si="39"/>
        <v>0</v>
      </c>
      <c r="S88" s="73">
        <f t="shared" si="39"/>
        <v>0</v>
      </c>
      <c r="T88" s="73">
        <f t="shared" si="39"/>
        <v>0</v>
      </c>
      <c r="U88" s="73">
        <f t="shared" si="39"/>
        <v>76228.94222222222</v>
      </c>
      <c r="V88" s="73">
        <f t="shared" si="39"/>
        <v>77562.948711111108</v>
      </c>
      <c r="W88" s="73">
        <f t="shared" si="39"/>
        <v>78920.300313555548</v>
      </c>
      <c r="X88" s="73">
        <f t="shared" si="39"/>
        <v>80301.405569042778</v>
      </c>
      <c r="Y88" s="73">
        <f t="shared" si="39"/>
        <v>81706.680166501028</v>
      </c>
      <c r="Z88" s="73">
        <f t="shared" si="39"/>
        <v>83136.547069414781</v>
      </c>
      <c r="AA88" s="73">
        <f t="shared" si="39"/>
        <v>84591.436643129535</v>
      </c>
      <c r="AB88" s="73">
        <f t="shared" si="39"/>
        <v>86071.786784384298</v>
      </c>
      <c r="AC88" s="73">
        <f t="shared" si="39"/>
        <v>0</v>
      </c>
      <c r="AD88" s="73">
        <f t="shared" si="39"/>
        <v>76650.837697651834</v>
      </c>
      <c r="AE88" s="73">
        <f t="shared" si="39"/>
        <v>77992.227357360753</v>
      </c>
      <c r="AF88" s="73">
        <f t="shared" si="39"/>
        <v>79357.091336114565</v>
      </c>
      <c r="AG88" s="73">
        <f t="shared" si="39"/>
        <v>80745.840434496553</v>
      </c>
      <c r="AH88" s="73">
        <f t="shared" si="39"/>
        <v>82158.89264210024</v>
      </c>
      <c r="AI88" s="73">
        <f t="shared" si="39"/>
        <v>0</v>
      </c>
      <c r="AJ88" s="73">
        <f t="shared" si="39"/>
        <v>0</v>
      </c>
      <c r="AK88" s="73">
        <f t="shared" si="39"/>
        <v>0</v>
      </c>
      <c r="AL88" s="73">
        <f t="shared" si="39"/>
        <v>0</v>
      </c>
      <c r="AM88" s="73">
        <f t="shared" si="39"/>
        <v>0</v>
      </c>
      <c r="AN88" s="73">
        <f t="shared" si="39"/>
        <v>0</v>
      </c>
      <c r="AO88" s="73">
        <f t="shared" si="39"/>
        <v>0</v>
      </c>
      <c r="AP88" s="73">
        <f t="shared" si="39"/>
        <v>0</v>
      </c>
      <c r="AQ88" s="73">
        <f t="shared" si="39"/>
        <v>0</v>
      </c>
      <c r="AR88" s="73">
        <f t="shared" si="39"/>
        <v>0</v>
      </c>
      <c r="AS88" s="73">
        <f t="shared" si="39"/>
        <v>0</v>
      </c>
      <c r="AT88" s="73">
        <f t="shared" si="39"/>
        <v>0</v>
      </c>
      <c r="AU88" s="73">
        <f t="shared" si="39"/>
        <v>0</v>
      </c>
      <c r="AV88" s="73">
        <f t="shared" si="39"/>
        <v>0</v>
      </c>
      <c r="AW88" s="73">
        <f t="shared" si="39"/>
        <v>0</v>
      </c>
    </row>
    <row r="89" spans="1:49">
      <c r="E89" s="102" t="str">
        <f>E$106</f>
        <v>Junior Debt Scheduled Repayment Paid</v>
      </c>
      <c r="F89" s="73"/>
      <c r="G89" s="89" t="str">
        <f>G$106</f>
        <v>USD</v>
      </c>
      <c r="H89" s="73"/>
      <c r="I89" s="73">
        <f>I$106</f>
        <v>0</v>
      </c>
      <c r="J89" s="73">
        <f>J$106 * - 1</f>
        <v>0</v>
      </c>
      <c r="K89" s="73">
        <f t="shared" ref="K89:AW89" si="40">K$106 * - 1</f>
        <v>0</v>
      </c>
      <c r="L89" s="73">
        <f t="shared" si="40"/>
        <v>0</v>
      </c>
      <c r="M89" s="73">
        <f t="shared" si="40"/>
        <v>0</v>
      </c>
      <c r="N89" s="73">
        <f t="shared" si="40"/>
        <v>0</v>
      </c>
      <c r="O89" s="73">
        <f t="shared" si="40"/>
        <v>-150000</v>
      </c>
      <c r="P89" s="73">
        <f t="shared" si="40"/>
        <v>-134216.08656696419</v>
      </c>
      <c r="Q89" s="73">
        <f t="shared" si="40"/>
        <v>-150000</v>
      </c>
      <c r="R89" s="73">
        <f t="shared" si="40"/>
        <v>-150000</v>
      </c>
      <c r="S89" s="73">
        <f t="shared" si="40"/>
        <v>-150000</v>
      </c>
      <c r="T89" s="73">
        <f t="shared" si="40"/>
        <v>-144060.44444444444</v>
      </c>
      <c r="U89" s="73">
        <f t="shared" si="40"/>
        <v>0</v>
      </c>
      <c r="V89" s="73">
        <f t="shared" si="40"/>
        <v>0</v>
      </c>
      <c r="W89" s="73">
        <f t="shared" si="40"/>
        <v>0</v>
      </c>
      <c r="X89" s="73">
        <f t="shared" si="40"/>
        <v>0</v>
      </c>
      <c r="Y89" s="73">
        <f t="shared" si="40"/>
        <v>0</v>
      </c>
      <c r="Z89" s="73">
        <f t="shared" si="40"/>
        <v>0</v>
      </c>
      <c r="AA89" s="73">
        <f t="shared" si="40"/>
        <v>0</v>
      </c>
      <c r="AB89" s="73">
        <f t="shared" si="40"/>
        <v>0</v>
      </c>
      <c r="AC89" s="73">
        <f t="shared" si="40"/>
        <v>-150000</v>
      </c>
      <c r="AD89" s="73">
        <f t="shared" si="40"/>
        <v>0</v>
      </c>
      <c r="AE89" s="73">
        <f t="shared" si="40"/>
        <v>0</v>
      </c>
      <c r="AF89" s="73">
        <f t="shared" si="40"/>
        <v>0</v>
      </c>
      <c r="AG89" s="73">
        <f t="shared" si="40"/>
        <v>0</v>
      </c>
      <c r="AH89" s="73">
        <f t="shared" si="40"/>
        <v>0</v>
      </c>
      <c r="AI89" s="73">
        <f t="shared" si="40"/>
        <v>-150000</v>
      </c>
      <c r="AJ89" s="73">
        <f t="shared" si="40"/>
        <v>-150000</v>
      </c>
      <c r="AK89" s="73">
        <f t="shared" si="40"/>
        <v>-150000</v>
      </c>
      <c r="AL89" s="73">
        <f t="shared" si="40"/>
        <v>-150000</v>
      </c>
      <c r="AM89" s="73">
        <f t="shared" si="40"/>
        <v>-150000</v>
      </c>
      <c r="AN89" s="73">
        <f t="shared" si="40"/>
        <v>-150000</v>
      </c>
      <c r="AO89" s="73">
        <f t="shared" si="40"/>
        <v>-150000</v>
      </c>
      <c r="AP89" s="73">
        <f t="shared" si="40"/>
        <v>-150000</v>
      </c>
      <c r="AQ89" s="73">
        <f t="shared" si="40"/>
        <v>-150000</v>
      </c>
      <c r="AR89" s="73">
        <f t="shared" si="40"/>
        <v>-150000</v>
      </c>
      <c r="AS89" s="73">
        <f t="shared" si="40"/>
        <v>-150000</v>
      </c>
      <c r="AT89" s="73">
        <f t="shared" si="40"/>
        <v>-150000</v>
      </c>
      <c r="AU89" s="73">
        <f t="shared" si="40"/>
        <v>-150000</v>
      </c>
      <c r="AV89" s="73">
        <f t="shared" si="40"/>
        <v>-150000</v>
      </c>
      <c r="AW89" s="73">
        <f t="shared" si="40"/>
        <v>-150000</v>
      </c>
    </row>
    <row r="90" spans="1:49">
      <c r="E90" s="102" t="str">
        <f>E$116</f>
        <v>Repayment of arrears owed</v>
      </c>
      <c r="F90" s="73"/>
      <c r="G90" s="89" t="str">
        <f>G$116</f>
        <v>USD</v>
      </c>
      <c r="H90" s="73"/>
      <c r="I90" s="73">
        <f t="shared" ref="I90:AW90" si="41">I$116</f>
        <v>0</v>
      </c>
      <c r="J90" s="73">
        <f t="shared" si="41"/>
        <v>0</v>
      </c>
      <c r="K90" s="73">
        <f t="shared" si="41"/>
        <v>0</v>
      </c>
      <c r="L90" s="73">
        <f t="shared" si="41"/>
        <v>0</v>
      </c>
      <c r="M90" s="73">
        <f t="shared" si="41"/>
        <v>0</v>
      </c>
      <c r="N90" s="73">
        <f t="shared" si="41"/>
        <v>0</v>
      </c>
      <c r="O90" s="73">
        <f t="shared" si="41"/>
        <v>-1173780.5231795839</v>
      </c>
      <c r="P90" s="73">
        <f t="shared" si="41"/>
        <v>0</v>
      </c>
      <c r="Q90" s="73">
        <f t="shared" si="41"/>
        <v>-41039.979192997125</v>
      </c>
      <c r="R90" s="73">
        <f t="shared" si="41"/>
        <v>-36112.289939985727</v>
      </c>
      <c r="S90" s="73">
        <f t="shared" si="41"/>
        <v>-58550.507140195521</v>
      </c>
      <c r="T90" s="73">
        <f t="shared" si="41"/>
        <v>0</v>
      </c>
      <c r="U90" s="73">
        <f t="shared" si="41"/>
        <v>0</v>
      </c>
      <c r="V90" s="73">
        <f t="shared" si="41"/>
        <v>0</v>
      </c>
      <c r="W90" s="73">
        <f t="shared" si="41"/>
        <v>0</v>
      </c>
      <c r="X90" s="73">
        <f t="shared" si="41"/>
        <v>0</v>
      </c>
      <c r="Y90" s="73">
        <f t="shared" si="41"/>
        <v>0</v>
      </c>
      <c r="Z90" s="73">
        <f t="shared" si="41"/>
        <v>0</v>
      </c>
      <c r="AA90" s="73">
        <f t="shared" si="41"/>
        <v>0</v>
      </c>
      <c r="AB90" s="73">
        <f t="shared" si="41"/>
        <v>0</v>
      </c>
      <c r="AC90" s="73">
        <f t="shared" si="41"/>
        <v>-474411.73459766852</v>
      </c>
      <c r="AD90" s="73">
        <f t="shared" si="41"/>
        <v>0</v>
      </c>
      <c r="AE90" s="73">
        <f t="shared" si="41"/>
        <v>0</v>
      </c>
      <c r="AF90" s="73">
        <f t="shared" si="41"/>
        <v>0</v>
      </c>
      <c r="AG90" s="73">
        <f t="shared" si="41"/>
        <v>0</v>
      </c>
      <c r="AH90" s="73">
        <f t="shared" si="41"/>
        <v>0</v>
      </c>
      <c r="AI90" s="73">
        <f t="shared" si="41"/>
        <v>-1248617.7050653177</v>
      </c>
      <c r="AJ90" s="73">
        <f t="shared" si="41"/>
        <v>-90442.914353083877</v>
      </c>
      <c r="AK90" s="73">
        <f t="shared" si="41"/>
        <v>-96457.887576485082</v>
      </c>
      <c r="AL90" s="73">
        <f t="shared" si="41"/>
        <v>-131066.23394240683</v>
      </c>
      <c r="AM90" s="73">
        <f t="shared" si="41"/>
        <v>-36828.893036399008</v>
      </c>
      <c r="AN90" s="73">
        <f t="shared" si="41"/>
        <v>-46393.50977564705</v>
      </c>
      <c r="AO90" s="73">
        <f t="shared" si="41"/>
        <v>-95977.285085609823</v>
      </c>
      <c r="AP90" s="73">
        <f t="shared" si="41"/>
        <v>-399619.37583160994</v>
      </c>
      <c r="AQ90" s="73">
        <f t="shared" si="41"/>
        <v>-381548.95323841309</v>
      </c>
      <c r="AR90" s="73">
        <f t="shared" si="41"/>
        <v>0</v>
      </c>
      <c r="AS90" s="73">
        <f t="shared" si="41"/>
        <v>0</v>
      </c>
      <c r="AT90" s="73">
        <f t="shared" si="41"/>
        <v>0</v>
      </c>
      <c r="AU90" s="73">
        <f t="shared" si="41"/>
        <v>0</v>
      </c>
      <c r="AV90" s="73">
        <f t="shared" si="41"/>
        <v>0</v>
      </c>
      <c r="AW90" s="73">
        <f t="shared" si="41"/>
        <v>0</v>
      </c>
    </row>
    <row r="91" spans="1:49">
      <c r="E91" s="90" t="s">
        <v>33</v>
      </c>
      <c r="F91" s="76"/>
      <c r="G91" s="90" t="s">
        <v>129</v>
      </c>
      <c r="H91" s="76"/>
      <c r="I91" s="77">
        <f>$F$85</f>
        <v>6000000</v>
      </c>
      <c r="J91" s="76">
        <f>SUM(J87,J88,J89,J90)</f>
        <v>6105000</v>
      </c>
      <c r="K91" s="76">
        <f t="shared" ref="K91:AW91" si="42">SUM(K87,K88,K89,K90)</f>
        <v>6211837.5</v>
      </c>
      <c r="L91" s="76">
        <f t="shared" si="42"/>
        <v>6320544.65625</v>
      </c>
      <c r="M91" s="76">
        <f t="shared" si="42"/>
        <v>6431154.1877343748</v>
      </c>
      <c r="N91" s="76">
        <f t="shared" si="42"/>
        <v>6543699.3860197263</v>
      </c>
      <c r="O91" s="76">
        <f t="shared" si="42"/>
        <v>5219918.8628401421</v>
      </c>
      <c r="P91" s="76">
        <f t="shared" si="42"/>
        <v>5085702.7762731779</v>
      </c>
      <c r="Q91" s="76">
        <f t="shared" si="42"/>
        <v>4894662.7970801806</v>
      </c>
      <c r="R91" s="76">
        <f t="shared" si="42"/>
        <v>4708550.507140195</v>
      </c>
      <c r="S91" s="76">
        <f t="shared" si="42"/>
        <v>4499999.9999999991</v>
      </c>
      <c r="T91" s="76">
        <f t="shared" si="42"/>
        <v>4355939.555555555</v>
      </c>
      <c r="U91" s="76">
        <f t="shared" si="42"/>
        <v>4432168.4977777768</v>
      </c>
      <c r="V91" s="76">
        <f t="shared" si="42"/>
        <v>4509731.446488888</v>
      </c>
      <c r="W91" s="76">
        <f t="shared" si="42"/>
        <v>4588651.7468024436</v>
      </c>
      <c r="X91" s="76">
        <f t="shared" si="42"/>
        <v>4668953.1523714866</v>
      </c>
      <c r="Y91" s="76">
        <f t="shared" si="42"/>
        <v>4750659.8325379873</v>
      </c>
      <c r="Z91" s="76">
        <f t="shared" si="42"/>
        <v>4833796.3796074018</v>
      </c>
      <c r="AA91" s="76">
        <f t="shared" si="42"/>
        <v>4918387.816250531</v>
      </c>
      <c r="AB91" s="76">
        <f t="shared" si="42"/>
        <v>5004459.6030349154</v>
      </c>
      <c r="AC91" s="76">
        <f t="shared" si="42"/>
        <v>4380047.8684372474</v>
      </c>
      <c r="AD91" s="76">
        <f t="shared" si="42"/>
        <v>4456698.7061348995</v>
      </c>
      <c r="AE91" s="76">
        <f t="shared" si="42"/>
        <v>4534690.9334922601</v>
      </c>
      <c r="AF91" s="76">
        <f t="shared" si="42"/>
        <v>4614048.0248283744</v>
      </c>
      <c r="AG91" s="76">
        <f t="shared" si="42"/>
        <v>4694793.8652628707</v>
      </c>
      <c r="AH91" s="76">
        <f t="shared" si="42"/>
        <v>4776952.757904971</v>
      </c>
      <c r="AI91" s="76">
        <f t="shared" si="42"/>
        <v>3378335.0528396536</v>
      </c>
      <c r="AJ91" s="76">
        <f t="shared" si="42"/>
        <v>3137892.1384865697</v>
      </c>
      <c r="AK91" s="76">
        <f t="shared" si="42"/>
        <v>2891434.2509100847</v>
      </c>
      <c r="AL91" s="76">
        <f t="shared" si="42"/>
        <v>2610368.016967678</v>
      </c>
      <c r="AM91" s="76">
        <f t="shared" si="42"/>
        <v>2423539.1239312789</v>
      </c>
      <c r="AN91" s="76">
        <f t="shared" si="42"/>
        <v>2227145.614155632</v>
      </c>
      <c r="AO91" s="76">
        <f t="shared" si="42"/>
        <v>1981168.3290700221</v>
      </c>
      <c r="AP91" s="76">
        <f t="shared" si="42"/>
        <v>1431548.9532384123</v>
      </c>
      <c r="AQ91" s="76">
        <f t="shared" si="42"/>
        <v>899999.99999999919</v>
      </c>
      <c r="AR91" s="76">
        <f t="shared" si="42"/>
        <v>749999.99999999919</v>
      </c>
      <c r="AS91" s="76">
        <f t="shared" si="42"/>
        <v>599999.99999999919</v>
      </c>
      <c r="AT91" s="76">
        <f t="shared" si="42"/>
        <v>449999.99999999919</v>
      </c>
      <c r="AU91" s="76">
        <f t="shared" si="42"/>
        <v>299999.99999999919</v>
      </c>
      <c r="AV91" s="76">
        <f t="shared" si="42"/>
        <v>149999.99999999919</v>
      </c>
      <c r="AW91" s="76">
        <f t="shared" si="42"/>
        <v>-8.149072527885437E-10</v>
      </c>
    </row>
    <row r="94" spans="1:49">
      <c r="D94" s="79" t="s">
        <v>137</v>
      </c>
    </row>
    <row r="95" spans="1:49">
      <c r="E95" s="87" t="s">
        <v>48</v>
      </c>
      <c r="F95" s="81">
        <f>CaseData!$G$20</f>
        <v>7.0000000000000007E-2</v>
      </c>
      <c r="G95" s="87" t="s">
        <v>132</v>
      </c>
    </row>
    <row r="96" spans="1:49">
      <c r="E96" s="87" t="s">
        <v>133</v>
      </c>
      <c r="F96" s="81">
        <f>$F$95/4</f>
        <v>1.7500000000000002E-2</v>
      </c>
      <c r="G96" s="87" t="s">
        <v>132</v>
      </c>
    </row>
    <row r="97" spans="4:49">
      <c r="E97" s="91" t="s">
        <v>137</v>
      </c>
      <c r="F97" s="82"/>
      <c r="G97" s="91" t="s">
        <v>129</v>
      </c>
      <c r="H97" s="82">
        <f xml:space="preserve"> SUM(J97:AW97)</f>
        <v>2708518.440939934</v>
      </c>
      <c r="I97" s="82"/>
      <c r="J97" s="82">
        <f t="shared" ref="J97:AW97" si="43" xml:space="preserve"> J$87 * $F$96</f>
        <v>105000.00000000001</v>
      </c>
      <c r="K97" s="82">
        <f t="shared" si="43"/>
        <v>106837.50000000001</v>
      </c>
      <c r="L97" s="82">
        <f t="shared" si="43"/>
        <v>108707.15625000001</v>
      </c>
      <c r="M97" s="82">
        <f t="shared" si="43"/>
        <v>110609.53148437501</v>
      </c>
      <c r="N97" s="82">
        <f t="shared" si="43"/>
        <v>112545.19828535157</v>
      </c>
      <c r="O97" s="82">
        <f t="shared" si="43"/>
        <v>114514.73925534522</v>
      </c>
      <c r="P97" s="82">
        <f t="shared" si="43"/>
        <v>91348.580099702493</v>
      </c>
      <c r="Q97" s="82">
        <f t="shared" si="43"/>
        <v>88999.798584780627</v>
      </c>
      <c r="R97" s="82">
        <f t="shared" si="43"/>
        <v>85656.598948903164</v>
      </c>
      <c r="S97" s="82">
        <f t="shared" si="43"/>
        <v>82399.633874953419</v>
      </c>
      <c r="T97" s="82">
        <f t="shared" si="43"/>
        <v>78749.999999999985</v>
      </c>
      <c r="U97" s="82">
        <f t="shared" si="43"/>
        <v>76228.94222222222</v>
      </c>
      <c r="V97" s="82">
        <f t="shared" si="43"/>
        <v>77562.948711111108</v>
      </c>
      <c r="W97" s="82">
        <f t="shared" si="43"/>
        <v>78920.300313555548</v>
      </c>
      <c r="X97" s="82">
        <f t="shared" si="43"/>
        <v>80301.405569042778</v>
      </c>
      <c r="Y97" s="82">
        <f t="shared" si="43"/>
        <v>81706.680166501028</v>
      </c>
      <c r="Z97" s="82">
        <f t="shared" si="43"/>
        <v>83136.547069414781</v>
      </c>
      <c r="AA97" s="82">
        <f t="shared" si="43"/>
        <v>84591.436643129535</v>
      </c>
      <c r="AB97" s="82">
        <f t="shared" si="43"/>
        <v>86071.786784384298</v>
      </c>
      <c r="AC97" s="82">
        <f t="shared" si="43"/>
        <v>87578.043053111032</v>
      </c>
      <c r="AD97" s="82">
        <f t="shared" si="43"/>
        <v>76650.837697651834</v>
      </c>
      <c r="AE97" s="82">
        <f t="shared" si="43"/>
        <v>77992.227357360753</v>
      </c>
      <c r="AF97" s="82">
        <f t="shared" si="43"/>
        <v>79357.091336114565</v>
      </c>
      <c r="AG97" s="82">
        <f t="shared" si="43"/>
        <v>80745.840434496553</v>
      </c>
      <c r="AH97" s="82">
        <f t="shared" si="43"/>
        <v>82158.89264210024</v>
      </c>
      <c r="AI97" s="82">
        <f t="shared" si="43"/>
        <v>83596.673263336997</v>
      </c>
      <c r="AJ97" s="82">
        <f t="shared" si="43"/>
        <v>59120.86342469394</v>
      </c>
      <c r="AK97" s="82">
        <f t="shared" si="43"/>
        <v>54913.112423514976</v>
      </c>
      <c r="AL97" s="82">
        <f t="shared" si="43"/>
        <v>50600.099390926487</v>
      </c>
      <c r="AM97" s="82">
        <f t="shared" si="43"/>
        <v>45681.440296934372</v>
      </c>
      <c r="AN97" s="82">
        <f t="shared" si="43"/>
        <v>42411.934668797388</v>
      </c>
      <c r="AO97" s="82">
        <f t="shared" si="43"/>
        <v>38975.048247723564</v>
      </c>
      <c r="AP97" s="82">
        <f t="shared" si="43"/>
        <v>34670.445758725393</v>
      </c>
      <c r="AQ97" s="82">
        <f t="shared" si="43"/>
        <v>25052.106681672216</v>
      </c>
      <c r="AR97" s="82">
        <f t="shared" si="43"/>
        <v>15749.999999999987</v>
      </c>
      <c r="AS97" s="82">
        <f t="shared" si="43"/>
        <v>13124.999999999987</v>
      </c>
      <c r="AT97" s="82">
        <f t="shared" si="43"/>
        <v>10499.999999999987</v>
      </c>
      <c r="AU97" s="82">
        <f t="shared" si="43"/>
        <v>7874.9999999999864</v>
      </c>
      <c r="AV97" s="82">
        <f t="shared" si="43"/>
        <v>5249.9999999999864</v>
      </c>
      <c r="AW97" s="82">
        <f t="shared" si="43"/>
        <v>2624.9999999999859</v>
      </c>
    </row>
    <row r="99" spans="4:49">
      <c r="E99" s="87" t="str">
        <f>E$20</f>
        <v>Funds available for Junior Debt service</v>
      </c>
      <c r="F99" s="87"/>
      <c r="G99" s="87" t="str">
        <f t="shared" ref="G99:AW99" si="44">G$20</f>
        <v>USD</v>
      </c>
      <c r="H99" s="87"/>
      <c r="I99" s="55">
        <f t="shared" si="44"/>
        <v>0</v>
      </c>
      <c r="J99" s="55">
        <f t="shared" si="44"/>
        <v>0</v>
      </c>
      <c r="K99" s="55">
        <f t="shared" si="44"/>
        <v>0</v>
      </c>
      <c r="L99" s="55">
        <f t="shared" si="44"/>
        <v>0</v>
      </c>
      <c r="M99" s="55">
        <f t="shared" si="44"/>
        <v>0</v>
      </c>
      <c r="N99" s="55">
        <f t="shared" si="44"/>
        <v>0</v>
      </c>
      <c r="O99" s="55">
        <f t="shared" si="44"/>
        <v>1438295.2624349291</v>
      </c>
      <c r="P99" s="55">
        <f t="shared" si="44"/>
        <v>225564.66666666669</v>
      </c>
      <c r="Q99" s="55">
        <f t="shared" si="44"/>
        <v>280039.77777777775</v>
      </c>
      <c r="R99" s="55">
        <f t="shared" si="44"/>
        <v>271768.88888888888</v>
      </c>
      <c r="S99" s="55">
        <f t="shared" si="44"/>
        <v>319588.55555555556</v>
      </c>
      <c r="T99" s="55">
        <f t="shared" si="44"/>
        <v>222810.44444444444</v>
      </c>
      <c r="U99" s="55">
        <f t="shared" si="44"/>
        <v>0</v>
      </c>
      <c r="V99" s="55">
        <f t="shared" si="44"/>
        <v>0</v>
      </c>
      <c r="W99" s="55">
        <f t="shared" si="44"/>
        <v>0</v>
      </c>
      <c r="X99" s="55">
        <f t="shared" si="44"/>
        <v>0</v>
      </c>
      <c r="Y99" s="55">
        <f t="shared" si="44"/>
        <v>0</v>
      </c>
      <c r="Z99" s="55">
        <f t="shared" si="44"/>
        <v>0</v>
      </c>
      <c r="AA99" s="55">
        <f t="shared" si="44"/>
        <v>0</v>
      </c>
      <c r="AB99" s="55">
        <f t="shared" si="44"/>
        <v>0</v>
      </c>
      <c r="AC99" s="55">
        <f t="shared" si="44"/>
        <v>711989.77765077958</v>
      </c>
      <c r="AD99" s="55">
        <f t="shared" si="44"/>
        <v>0</v>
      </c>
      <c r="AE99" s="55">
        <f t="shared" si="44"/>
        <v>0</v>
      </c>
      <c r="AF99" s="55">
        <f t="shared" si="44"/>
        <v>0</v>
      </c>
      <c r="AG99" s="55">
        <f t="shared" si="44"/>
        <v>0</v>
      </c>
      <c r="AH99" s="55">
        <f t="shared" si="44"/>
        <v>0</v>
      </c>
      <c r="AI99" s="55">
        <f t="shared" si="44"/>
        <v>1482214.3783286547</v>
      </c>
      <c r="AJ99" s="55">
        <f t="shared" si="44"/>
        <v>299563.77777777781</v>
      </c>
      <c r="AK99" s="55">
        <f t="shared" si="44"/>
        <v>301371.00000000006</v>
      </c>
      <c r="AL99" s="55">
        <f t="shared" si="44"/>
        <v>331666.33333333331</v>
      </c>
      <c r="AM99" s="55">
        <f t="shared" si="44"/>
        <v>232510.33333333337</v>
      </c>
      <c r="AN99" s="55">
        <f t="shared" si="44"/>
        <v>238805.44444444444</v>
      </c>
      <c r="AO99" s="55">
        <f t="shared" si="44"/>
        <v>284952.33333333337</v>
      </c>
      <c r="AP99" s="55">
        <f t="shared" si="44"/>
        <v>584289.82159033534</v>
      </c>
      <c r="AQ99" s="55">
        <f t="shared" si="44"/>
        <v>654724</v>
      </c>
      <c r="AR99" s="55">
        <f t="shared" si="44"/>
        <v>726856</v>
      </c>
      <c r="AS99" s="55">
        <f t="shared" si="44"/>
        <v>639576</v>
      </c>
      <c r="AT99" s="55">
        <f t="shared" si="44"/>
        <v>747778</v>
      </c>
      <c r="AU99" s="55">
        <f t="shared" si="44"/>
        <v>752083</v>
      </c>
      <c r="AV99" s="55">
        <f t="shared" si="44"/>
        <v>742840</v>
      </c>
      <c r="AW99" s="55">
        <f t="shared" si="44"/>
        <v>751884</v>
      </c>
    </row>
    <row r="100" spans="4:49">
      <c r="F100" s="87"/>
      <c r="H100" s="87"/>
    </row>
    <row r="101" spans="4:49">
      <c r="E101" s="87" t="s">
        <v>152</v>
      </c>
      <c r="G101" s="87" t="s">
        <v>129</v>
      </c>
      <c r="H101" s="55">
        <f xml:space="preserve"> SUM(J101:AW101)</f>
        <v>1119394.1179731213</v>
      </c>
      <c r="J101" s="55">
        <f t="shared" ref="J101:AW101" si="45" xml:space="preserve"> MIN( J$97, J$99 )</f>
        <v>0</v>
      </c>
      <c r="K101" s="55">
        <f t="shared" si="45"/>
        <v>0</v>
      </c>
      <c r="L101" s="55">
        <f t="shared" si="45"/>
        <v>0</v>
      </c>
      <c r="M101" s="55">
        <f t="shared" si="45"/>
        <v>0</v>
      </c>
      <c r="N101" s="55">
        <f t="shared" si="45"/>
        <v>0</v>
      </c>
      <c r="O101" s="55">
        <f t="shared" si="45"/>
        <v>114514.73925534522</v>
      </c>
      <c r="P101" s="55">
        <f t="shared" si="45"/>
        <v>91348.580099702493</v>
      </c>
      <c r="Q101" s="55">
        <f t="shared" si="45"/>
        <v>88999.798584780627</v>
      </c>
      <c r="R101" s="55">
        <f t="shared" si="45"/>
        <v>85656.598948903164</v>
      </c>
      <c r="S101" s="55">
        <f t="shared" si="45"/>
        <v>82399.633874953419</v>
      </c>
      <c r="T101" s="55">
        <f t="shared" si="45"/>
        <v>78749.999999999985</v>
      </c>
      <c r="U101" s="55">
        <f t="shared" si="45"/>
        <v>0</v>
      </c>
      <c r="V101" s="55">
        <f t="shared" si="45"/>
        <v>0</v>
      </c>
      <c r="W101" s="55">
        <f t="shared" si="45"/>
        <v>0</v>
      </c>
      <c r="X101" s="55">
        <f t="shared" si="45"/>
        <v>0</v>
      </c>
      <c r="Y101" s="55">
        <f t="shared" si="45"/>
        <v>0</v>
      </c>
      <c r="Z101" s="55">
        <f t="shared" si="45"/>
        <v>0</v>
      </c>
      <c r="AA101" s="55">
        <f t="shared" si="45"/>
        <v>0</v>
      </c>
      <c r="AB101" s="55">
        <f t="shared" si="45"/>
        <v>0</v>
      </c>
      <c r="AC101" s="55">
        <f t="shared" si="45"/>
        <v>87578.043053111032</v>
      </c>
      <c r="AD101" s="55">
        <f t="shared" si="45"/>
        <v>0</v>
      </c>
      <c r="AE101" s="55">
        <f t="shared" si="45"/>
        <v>0</v>
      </c>
      <c r="AF101" s="55">
        <f t="shared" si="45"/>
        <v>0</v>
      </c>
      <c r="AG101" s="55">
        <f t="shared" si="45"/>
        <v>0</v>
      </c>
      <c r="AH101" s="55">
        <f t="shared" si="45"/>
        <v>0</v>
      </c>
      <c r="AI101" s="55">
        <f t="shared" si="45"/>
        <v>83596.673263336997</v>
      </c>
      <c r="AJ101" s="55">
        <f t="shared" si="45"/>
        <v>59120.86342469394</v>
      </c>
      <c r="AK101" s="55">
        <f t="shared" si="45"/>
        <v>54913.112423514976</v>
      </c>
      <c r="AL101" s="55">
        <f t="shared" si="45"/>
        <v>50600.099390926487</v>
      </c>
      <c r="AM101" s="55">
        <f t="shared" si="45"/>
        <v>45681.440296934372</v>
      </c>
      <c r="AN101" s="55">
        <f t="shared" si="45"/>
        <v>42411.934668797388</v>
      </c>
      <c r="AO101" s="55">
        <f t="shared" si="45"/>
        <v>38975.048247723564</v>
      </c>
      <c r="AP101" s="55">
        <f t="shared" si="45"/>
        <v>34670.445758725393</v>
      </c>
      <c r="AQ101" s="55">
        <f t="shared" si="45"/>
        <v>25052.106681672216</v>
      </c>
      <c r="AR101" s="55">
        <f t="shared" si="45"/>
        <v>15749.999999999987</v>
      </c>
      <c r="AS101" s="55">
        <f t="shared" si="45"/>
        <v>13124.999999999987</v>
      </c>
      <c r="AT101" s="55">
        <f t="shared" si="45"/>
        <v>10499.999999999987</v>
      </c>
      <c r="AU101" s="55">
        <f t="shared" si="45"/>
        <v>7874.9999999999864</v>
      </c>
      <c r="AV101" s="55">
        <f t="shared" si="45"/>
        <v>5249.9999999999864</v>
      </c>
      <c r="AW101" s="55">
        <f t="shared" si="45"/>
        <v>2624.9999999999859</v>
      </c>
    </row>
    <row r="102" spans="4:49">
      <c r="E102" s="91" t="s">
        <v>155</v>
      </c>
      <c r="F102" s="82"/>
      <c r="G102" s="91" t="s">
        <v>129</v>
      </c>
      <c r="H102" s="82"/>
      <c r="I102" s="82"/>
      <c r="J102" s="82">
        <f t="shared" ref="J102:AW102" si="46" xml:space="preserve"> J$97 - J$101</f>
        <v>105000.00000000001</v>
      </c>
      <c r="K102" s="82">
        <f t="shared" si="46"/>
        <v>106837.50000000001</v>
      </c>
      <c r="L102" s="82">
        <f t="shared" si="46"/>
        <v>108707.15625000001</v>
      </c>
      <c r="M102" s="82">
        <f t="shared" si="46"/>
        <v>110609.53148437501</v>
      </c>
      <c r="N102" s="82">
        <f t="shared" si="46"/>
        <v>112545.19828535157</v>
      </c>
      <c r="O102" s="82">
        <f t="shared" si="46"/>
        <v>0</v>
      </c>
      <c r="P102" s="82">
        <f t="shared" si="46"/>
        <v>0</v>
      </c>
      <c r="Q102" s="82">
        <f t="shared" si="46"/>
        <v>0</v>
      </c>
      <c r="R102" s="82">
        <f t="shared" si="46"/>
        <v>0</v>
      </c>
      <c r="S102" s="82">
        <f t="shared" si="46"/>
        <v>0</v>
      </c>
      <c r="T102" s="82">
        <f t="shared" si="46"/>
        <v>0</v>
      </c>
      <c r="U102" s="82">
        <f t="shared" si="46"/>
        <v>76228.94222222222</v>
      </c>
      <c r="V102" s="82">
        <f t="shared" si="46"/>
        <v>77562.948711111108</v>
      </c>
      <c r="W102" s="82">
        <f t="shared" si="46"/>
        <v>78920.300313555548</v>
      </c>
      <c r="X102" s="82">
        <f t="shared" si="46"/>
        <v>80301.405569042778</v>
      </c>
      <c r="Y102" s="82">
        <f t="shared" si="46"/>
        <v>81706.680166501028</v>
      </c>
      <c r="Z102" s="82">
        <f t="shared" si="46"/>
        <v>83136.547069414781</v>
      </c>
      <c r="AA102" s="82">
        <f t="shared" si="46"/>
        <v>84591.436643129535</v>
      </c>
      <c r="AB102" s="82">
        <f t="shared" si="46"/>
        <v>86071.786784384298</v>
      </c>
      <c r="AC102" s="82">
        <f t="shared" si="46"/>
        <v>0</v>
      </c>
      <c r="AD102" s="82">
        <f t="shared" si="46"/>
        <v>76650.837697651834</v>
      </c>
      <c r="AE102" s="82">
        <f t="shared" si="46"/>
        <v>77992.227357360753</v>
      </c>
      <c r="AF102" s="82">
        <f t="shared" si="46"/>
        <v>79357.091336114565</v>
      </c>
      <c r="AG102" s="82">
        <f t="shared" si="46"/>
        <v>80745.840434496553</v>
      </c>
      <c r="AH102" s="82">
        <f t="shared" si="46"/>
        <v>82158.89264210024</v>
      </c>
      <c r="AI102" s="82">
        <f t="shared" si="46"/>
        <v>0</v>
      </c>
      <c r="AJ102" s="82">
        <f t="shared" si="46"/>
        <v>0</v>
      </c>
      <c r="AK102" s="82">
        <f t="shared" si="46"/>
        <v>0</v>
      </c>
      <c r="AL102" s="82">
        <f t="shared" si="46"/>
        <v>0</v>
      </c>
      <c r="AM102" s="82">
        <f t="shared" si="46"/>
        <v>0</v>
      </c>
      <c r="AN102" s="82">
        <f t="shared" si="46"/>
        <v>0</v>
      </c>
      <c r="AO102" s="82">
        <f t="shared" si="46"/>
        <v>0</v>
      </c>
      <c r="AP102" s="82">
        <f t="shared" si="46"/>
        <v>0</v>
      </c>
      <c r="AQ102" s="82">
        <f t="shared" si="46"/>
        <v>0</v>
      </c>
      <c r="AR102" s="82">
        <f t="shared" si="46"/>
        <v>0</v>
      </c>
      <c r="AS102" s="82">
        <f t="shared" si="46"/>
        <v>0</v>
      </c>
      <c r="AT102" s="82">
        <f t="shared" si="46"/>
        <v>0</v>
      </c>
      <c r="AU102" s="82">
        <f t="shared" si="46"/>
        <v>0</v>
      </c>
      <c r="AV102" s="82">
        <f t="shared" si="46"/>
        <v>0</v>
      </c>
      <c r="AW102" s="82">
        <f t="shared" si="46"/>
        <v>0</v>
      </c>
    </row>
    <row r="104" spans="4:49">
      <c r="E104" s="87" t="s">
        <v>151</v>
      </c>
      <c r="G104" s="87" t="s">
        <v>129</v>
      </c>
      <c r="J104" s="78" cm="1">
        <f t="array" ref="J104:AW104" xml:space="preserve"> INDEX( CaseData!$J$42:$J$81, MATCH(_xlfn.ANCHORARRAY( $J$3), CaseData!$D$42:$D$81, 0 ) ) * - 1</f>
        <v>150000</v>
      </c>
      <c r="K104" s="72">
        <v>150000</v>
      </c>
      <c r="L104" s="72">
        <v>150000</v>
      </c>
      <c r="M104" s="72">
        <v>150000</v>
      </c>
      <c r="N104" s="72">
        <v>150000</v>
      </c>
      <c r="O104" s="72">
        <v>150000</v>
      </c>
      <c r="P104" s="72">
        <v>150000</v>
      </c>
      <c r="Q104" s="72">
        <v>150000</v>
      </c>
      <c r="R104" s="72">
        <v>150000</v>
      </c>
      <c r="S104" s="72">
        <v>150000</v>
      </c>
      <c r="T104" s="72">
        <v>150000</v>
      </c>
      <c r="U104" s="72">
        <v>150000</v>
      </c>
      <c r="V104" s="72">
        <v>150000</v>
      </c>
      <c r="W104" s="72">
        <v>150000</v>
      </c>
      <c r="X104" s="72">
        <v>150000</v>
      </c>
      <c r="Y104" s="72">
        <v>150000</v>
      </c>
      <c r="Z104" s="72">
        <v>150000</v>
      </c>
      <c r="AA104" s="72">
        <v>150000</v>
      </c>
      <c r="AB104" s="72">
        <v>150000</v>
      </c>
      <c r="AC104" s="72">
        <v>150000</v>
      </c>
      <c r="AD104" s="72">
        <v>150000</v>
      </c>
      <c r="AE104" s="72">
        <v>150000</v>
      </c>
      <c r="AF104" s="72">
        <v>150000</v>
      </c>
      <c r="AG104" s="72">
        <v>150000</v>
      </c>
      <c r="AH104" s="72">
        <v>150000</v>
      </c>
      <c r="AI104" s="72">
        <v>150000</v>
      </c>
      <c r="AJ104" s="72">
        <v>150000</v>
      </c>
      <c r="AK104" s="72">
        <v>150000</v>
      </c>
      <c r="AL104" s="72">
        <v>150000</v>
      </c>
      <c r="AM104" s="72">
        <v>150000</v>
      </c>
      <c r="AN104" s="72">
        <v>150000</v>
      </c>
      <c r="AO104" s="72">
        <v>150000</v>
      </c>
      <c r="AP104" s="72">
        <v>150000</v>
      </c>
      <c r="AQ104" s="72">
        <v>150000</v>
      </c>
      <c r="AR104" s="72">
        <v>150000</v>
      </c>
      <c r="AS104" s="72">
        <v>150000</v>
      </c>
      <c r="AT104" s="72">
        <v>150000</v>
      </c>
      <c r="AU104" s="72">
        <v>150000</v>
      </c>
      <c r="AV104" s="72">
        <v>150000</v>
      </c>
      <c r="AW104" s="72">
        <v>150000</v>
      </c>
    </row>
    <row r="105" spans="4:49">
      <c r="E105" s="87" t="str">
        <f>E$23</f>
        <v>Funds Available for Junior Debt Scheduled Repayments</v>
      </c>
      <c r="F105" s="87"/>
      <c r="G105" s="87" t="str">
        <f t="shared" ref="G105:AW105" si="47">G$23</f>
        <v>USD</v>
      </c>
      <c r="H105" s="87"/>
      <c r="I105" s="55">
        <f t="shared" si="47"/>
        <v>0</v>
      </c>
      <c r="J105" s="55">
        <f t="shared" si="47"/>
        <v>0</v>
      </c>
      <c r="K105" s="55">
        <f t="shared" si="47"/>
        <v>0</v>
      </c>
      <c r="L105" s="55">
        <f t="shared" si="47"/>
        <v>0</v>
      </c>
      <c r="M105" s="55">
        <f t="shared" si="47"/>
        <v>0</v>
      </c>
      <c r="N105" s="55">
        <f t="shared" si="47"/>
        <v>0</v>
      </c>
      <c r="O105" s="55">
        <f t="shared" si="47"/>
        <v>1323780.5231795839</v>
      </c>
      <c r="P105" s="55">
        <f t="shared" si="47"/>
        <v>134216.08656696419</v>
      </c>
      <c r="Q105" s="55">
        <f t="shared" si="47"/>
        <v>191039.97919299713</v>
      </c>
      <c r="R105" s="55">
        <f t="shared" si="47"/>
        <v>186112.28993998573</v>
      </c>
      <c r="S105" s="55">
        <f t="shared" si="47"/>
        <v>237188.92168060213</v>
      </c>
      <c r="T105" s="55">
        <f t="shared" si="47"/>
        <v>144060.44444444444</v>
      </c>
      <c r="U105" s="55">
        <f t="shared" si="47"/>
        <v>0</v>
      </c>
      <c r="V105" s="55">
        <f t="shared" si="47"/>
        <v>0</v>
      </c>
      <c r="W105" s="55">
        <f t="shared" si="47"/>
        <v>0</v>
      </c>
      <c r="X105" s="55">
        <f t="shared" si="47"/>
        <v>0</v>
      </c>
      <c r="Y105" s="55">
        <f t="shared" si="47"/>
        <v>0</v>
      </c>
      <c r="Z105" s="55">
        <f t="shared" si="47"/>
        <v>0</v>
      </c>
      <c r="AA105" s="55">
        <f t="shared" si="47"/>
        <v>0</v>
      </c>
      <c r="AB105" s="55">
        <f t="shared" si="47"/>
        <v>0</v>
      </c>
      <c r="AC105" s="55">
        <f t="shared" si="47"/>
        <v>624411.73459766852</v>
      </c>
      <c r="AD105" s="55">
        <f t="shared" si="47"/>
        <v>0</v>
      </c>
      <c r="AE105" s="55">
        <f t="shared" si="47"/>
        <v>0</v>
      </c>
      <c r="AF105" s="55">
        <f t="shared" si="47"/>
        <v>0</v>
      </c>
      <c r="AG105" s="55">
        <f t="shared" si="47"/>
        <v>0</v>
      </c>
      <c r="AH105" s="55">
        <f t="shared" si="47"/>
        <v>0</v>
      </c>
      <c r="AI105" s="55">
        <f t="shared" si="47"/>
        <v>1398617.7050653177</v>
      </c>
      <c r="AJ105" s="55">
        <f t="shared" si="47"/>
        <v>240442.91435308388</v>
      </c>
      <c r="AK105" s="55">
        <f t="shared" si="47"/>
        <v>246457.88757648508</v>
      </c>
      <c r="AL105" s="55">
        <f t="shared" si="47"/>
        <v>281066.23394240683</v>
      </c>
      <c r="AM105" s="55">
        <f t="shared" si="47"/>
        <v>186828.89303639901</v>
      </c>
      <c r="AN105" s="55">
        <f t="shared" si="47"/>
        <v>196393.50977564705</v>
      </c>
      <c r="AO105" s="55">
        <f t="shared" si="47"/>
        <v>245977.28508560982</v>
      </c>
      <c r="AP105" s="55">
        <f t="shared" si="47"/>
        <v>549619.37583160994</v>
      </c>
      <c r="AQ105" s="55">
        <f t="shared" si="47"/>
        <v>629671.89331832784</v>
      </c>
      <c r="AR105" s="55">
        <f t="shared" si="47"/>
        <v>711106</v>
      </c>
      <c r="AS105" s="55">
        <f t="shared" si="47"/>
        <v>626451</v>
      </c>
      <c r="AT105" s="55">
        <f t="shared" si="47"/>
        <v>737278</v>
      </c>
      <c r="AU105" s="55">
        <f t="shared" si="47"/>
        <v>744208</v>
      </c>
      <c r="AV105" s="55">
        <f t="shared" si="47"/>
        <v>737590</v>
      </c>
      <c r="AW105" s="55">
        <f t="shared" si="47"/>
        <v>749259</v>
      </c>
    </row>
    <row r="106" spans="4:49">
      <c r="E106" s="87" t="s">
        <v>153</v>
      </c>
      <c r="G106" s="87" t="s">
        <v>129</v>
      </c>
      <c r="J106" s="55">
        <f t="shared" ref="J106:AW106" si="48" xml:space="preserve"> MIN( J$104, J$105 )</f>
        <v>0</v>
      </c>
      <c r="K106" s="55">
        <f t="shared" si="48"/>
        <v>0</v>
      </c>
      <c r="L106" s="55">
        <f t="shared" si="48"/>
        <v>0</v>
      </c>
      <c r="M106" s="55">
        <f t="shared" si="48"/>
        <v>0</v>
      </c>
      <c r="N106" s="55">
        <f t="shared" si="48"/>
        <v>0</v>
      </c>
      <c r="O106" s="55">
        <f t="shared" si="48"/>
        <v>150000</v>
      </c>
      <c r="P106" s="55">
        <f t="shared" si="48"/>
        <v>134216.08656696419</v>
      </c>
      <c r="Q106" s="55">
        <f t="shared" si="48"/>
        <v>150000</v>
      </c>
      <c r="R106" s="55">
        <f t="shared" si="48"/>
        <v>150000</v>
      </c>
      <c r="S106" s="55">
        <f t="shared" si="48"/>
        <v>150000</v>
      </c>
      <c r="T106" s="55">
        <f t="shared" si="48"/>
        <v>144060.44444444444</v>
      </c>
      <c r="U106" s="55">
        <f t="shared" si="48"/>
        <v>0</v>
      </c>
      <c r="V106" s="55">
        <f t="shared" si="48"/>
        <v>0</v>
      </c>
      <c r="W106" s="55">
        <f t="shared" si="48"/>
        <v>0</v>
      </c>
      <c r="X106" s="55">
        <f t="shared" si="48"/>
        <v>0</v>
      </c>
      <c r="Y106" s="55">
        <f t="shared" si="48"/>
        <v>0</v>
      </c>
      <c r="Z106" s="55">
        <f t="shared" si="48"/>
        <v>0</v>
      </c>
      <c r="AA106" s="55">
        <f t="shared" si="48"/>
        <v>0</v>
      </c>
      <c r="AB106" s="55">
        <f t="shared" si="48"/>
        <v>0</v>
      </c>
      <c r="AC106" s="55">
        <f t="shared" si="48"/>
        <v>150000</v>
      </c>
      <c r="AD106" s="55">
        <f t="shared" si="48"/>
        <v>0</v>
      </c>
      <c r="AE106" s="55">
        <f t="shared" si="48"/>
        <v>0</v>
      </c>
      <c r="AF106" s="55">
        <f t="shared" si="48"/>
        <v>0</v>
      </c>
      <c r="AG106" s="55">
        <f t="shared" si="48"/>
        <v>0</v>
      </c>
      <c r="AH106" s="55">
        <f t="shared" si="48"/>
        <v>0</v>
      </c>
      <c r="AI106" s="55">
        <f t="shared" si="48"/>
        <v>150000</v>
      </c>
      <c r="AJ106" s="55">
        <f t="shared" si="48"/>
        <v>150000</v>
      </c>
      <c r="AK106" s="55">
        <f t="shared" si="48"/>
        <v>150000</v>
      </c>
      <c r="AL106" s="55">
        <f t="shared" si="48"/>
        <v>150000</v>
      </c>
      <c r="AM106" s="55">
        <f t="shared" si="48"/>
        <v>150000</v>
      </c>
      <c r="AN106" s="55">
        <f t="shared" si="48"/>
        <v>150000</v>
      </c>
      <c r="AO106" s="55">
        <f t="shared" si="48"/>
        <v>150000</v>
      </c>
      <c r="AP106" s="55">
        <f t="shared" si="48"/>
        <v>150000</v>
      </c>
      <c r="AQ106" s="55">
        <f t="shared" si="48"/>
        <v>150000</v>
      </c>
      <c r="AR106" s="55">
        <f t="shared" si="48"/>
        <v>150000</v>
      </c>
      <c r="AS106" s="55">
        <f t="shared" si="48"/>
        <v>150000</v>
      </c>
      <c r="AT106" s="55">
        <f t="shared" si="48"/>
        <v>150000</v>
      </c>
      <c r="AU106" s="55">
        <f t="shared" si="48"/>
        <v>150000</v>
      </c>
      <c r="AV106" s="55">
        <f t="shared" si="48"/>
        <v>150000</v>
      </c>
      <c r="AW106" s="55">
        <f t="shared" si="48"/>
        <v>150000</v>
      </c>
    </row>
    <row r="107" spans="4:49">
      <c r="E107" s="91" t="s">
        <v>164</v>
      </c>
      <c r="F107" s="82"/>
      <c r="G107" s="91" t="s">
        <v>129</v>
      </c>
      <c r="H107" s="82"/>
      <c r="I107" s="82"/>
      <c r="J107" s="82">
        <f t="shared" ref="J107:AW107" si="49" xml:space="preserve"> J$104 - J$106</f>
        <v>150000</v>
      </c>
      <c r="K107" s="82">
        <f t="shared" si="49"/>
        <v>150000</v>
      </c>
      <c r="L107" s="82">
        <f t="shared" si="49"/>
        <v>150000</v>
      </c>
      <c r="M107" s="82">
        <f t="shared" si="49"/>
        <v>150000</v>
      </c>
      <c r="N107" s="82">
        <f t="shared" si="49"/>
        <v>150000</v>
      </c>
      <c r="O107" s="82">
        <f t="shared" si="49"/>
        <v>0</v>
      </c>
      <c r="P107" s="82">
        <f t="shared" si="49"/>
        <v>15783.913433035807</v>
      </c>
      <c r="Q107" s="82">
        <f t="shared" si="49"/>
        <v>0</v>
      </c>
      <c r="R107" s="82">
        <f t="shared" si="49"/>
        <v>0</v>
      </c>
      <c r="S107" s="82">
        <f t="shared" si="49"/>
        <v>0</v>
      </c>
      <c r="T107" s="82">
        <f t="shared" si="49"/>
        <v>5939.555555555562</v>
      </c>
      <c r="U107" s="82">
        <f t="shared" si="49"/>
        <v>150000</v>
      </c>
      <c r="V107" s="82">
        <f t="shared" si="49"/>
        <v>150000</v>
      </c>
      <c r="W107" s="82">
        <f t="shared" si="49"/>
        <v>150000</v>
      </c>
      <c r="X107" s="82">
        <f t="shared" si="49"/>
        <v>150000</v>
      </c>
      <c r="Y107" s="82">
        <f t="shared" si="49"/>
        <v>150000</v>
      </c>
      <c r="Z107" s="82">
        <f t="shared" si="49"/>
        <v>150000</v>
      </c>
      <c r="AA107" s="82">
        <f t="shared" si="49"/>
        <v>150000</v>
      </c>
      <c r="AB107" s="82">
        <f t="shared" si="49"/>
        <v>150000</v>
      </c>
      <c r="AC107" s="82">
        <f t="shared" si="49"/>
        <v>0</v>
      </c>
      <c r="AD107" s="82">
        <f t="shared" si="49"/>
        <v>150000</v>
      </c>
      <c r="AE107" s="82">
        <f t="shared" si="49"/>
        <v>150000</v>
      </c>
      <c r="AF107" s="82">
        <f t="shared" si="49"/>
        <v>150000</v>
      </c>
      <c r="AG107" s="82">
        <f t="shared" si="49"/>
        <v>150000</v>
      </c>
      <c r="AH107" s="82">
        <f t="shared" si="49"/>
        <v>150000</v>
      </c>
      <c r="AI107" s="82">
        <f t="shared" si="49"/>
        <v>0</v>
      </c>
      <c r="AJ107" s="82">
        <f t="shared" si="49"/>
        <v>0</v>
      </c>
      <c r="AK107" s="82">
        <f t="shared" si="49"/>
        <v>0</v>
      </c>
      <c r="AL107" s="82">
        <f t="shared" si="49"/>
        <v>0</v>
      </c>
      <c r="AM107" s="82">
        <f t="shared" si="49"/>
        <v>0</v>
      </c>
      <c r="AN107" s="82">
        <f t="shared" si="49"/>
        <v>0</v>
      </c>
      <c r="AO107" s="82">
        <f t="shared" si="49"/>
        <v>0</v>
      </c>
      <c r="AP107" s="82">
        <f t="shared" si="49"/>
        <v>0</v>
      </c>
      <c r="AQ107" s="82">
        <f t="shared" si="49"/>
        <v>0</v>
      </c>
      <c r="AR107" s="82">
        <f t="shared" si="49"/>
        <v>0</v>
      </c>
      <c r="AS107" s="82">
        <f t="shared" si="49"/>
        <v>0</v>
      </c>
      <c r="AT107" s="82">
        <f t="shared" si="49"/>
        <v>0</v>
      </c>
      <c r="AU107" s="82">
        <f t="shared" si="49"/>
        <v>0</v>
      </c>
      <c r="AV107" s="82">
        <f t="shared" si="49"/>
        <v>0</v>
      </c>
      <c r="AW107" s="82">
        <f t="shared" si="49"/>
        <v>0</v>
      </c>
    </row>
    <row r="109" spans="4:49">
      <c r="D109" s="94" t="s">
        <v>101</v>
      </c>
    </row>
    <row r="111" spans="4:49">
      <c r="E111" s="87" t="str">
        <f>E$26</f>
        <v>Funds Available for Junior Debt Arrears Amount Owed</v>
      </c>
      <c r="F111" s="87"/>
      <c r="G111" s="87" t="str">
        <f t="shared" ref="G111:AW111" si="50">G$26</f>
        <v>USD</v>
      </c>
      <c r="H111" s="87"/>
      <c r="I111" s="55">
        <f t="shared" si="50"/>
        <v>0</v>
      </c>
      <c r="J111" s="55">
        <f t="shared" si="50"/>
        <v>0</v>
      </c>
      <c r="K111" s="55">
        <f t="shared" si="50"/>
        <v>0</v>
      </c>
      <c r="L111" s="55">
        <f t="shared" si="50"/>
        <v>0</v>
      </c>
      <c r="M111" s="55">
        <f t="shared" si="50"/>
        <v>0</v>
      </c>
      <c r="N111" s="55">
        <f t="shared" si="50"/>
        <v>0</v>
      </c>
      <c r="O111" s="55">
        <f t="shared" si="50"/>
        <v>1173780.5231795839</v>
      </c>
      <c r="P111" s="55">
        <f t="shared" si="50"/>
        <v>0</v>
      </c>
      <c r="Q111" s="55">
        <f t="shared" si="50"/>
        <v>41039.979192997125</v>
      </c>
      <c r="R111" s="55">
        <f t="shared" si="50"/>
        <v>36112.289939985727</v>
      </c>
      <c r="S111" s="55">
        <f t="shared" si="50"/>
        <v>87188.921680602129</v>
      </c>
      <c r="T111" s="55">
        <f t="shared" si="50"/>
        <v>0</v>
      </c>
      <c r="U111" s="55">
        <f t="shared" si="50"/>
        <v>0</v>
      </c>
      <c r="V111" s="55">
        <f t="shared" si="50"/>
        <v>0</v>
      </c>
      <c r="W111" s="55">
        <f t="shared" si="50"/>
        <v>0</v>
      </c>
      <c r="X111" s="55">
        <f t="shared" si="50"/>
        <v>0</v>
      </c>
      <c r="Y111" s="55">
        <f t="shared" si="50"/>
        <v>0</v>
      </c>
      <c r="Z111" s="55">
        <f t="shared" si="50"/>
        <v>0</v>
      </c>
      <c r="AA111" s="55">
        <f t="shared" si="50"/>
        <v>0</v>
      </c>
      <c r="AB111" s="55">
        <f t="shared" si="50"/>
        <v>0</v>
      </c>
      <c r="AC111" s="55">
        <f t="shared" si="50"/>
        <v>474411.73459766852</v>
      </c>
      <c r="AD111" s="55">
        <f t="shared" si="50"/>
        <v>0</v>
      </c>
      <c r="AE111" s="55">
        <f t="shared" si="50"/>
        <v>0</v>
      </c>
      <c r="AF111" s="55">
        <f t="shared" si="50"/>
        <v>0</v>
      </c>
      <c r="AG111" s="55">
        <f t="shared" si="50"/>
        <v>0</v>
      </c>
      <c r="AH111" s="55">
        <f t="shared" si="50"/>
        <v>0</v>
      </c>
      <c r="AI111" s="55">
        <f t="shared" si="50"/>
        <v>1248617.7050653177</v>
      </c>
      <c r="AJ111" s="55">
        <f t="shared" si="50"/>
        <v>90442.914353083877</v>
      </c>
      <c r="AK111" s="55">
        <f t="shared" si="50"/>
        <v>96457.887576485082</v>
      </c>
      <c r="AL111" s="55">
        <f t="shared" si="50"/>
        <v>131066.23394240683</v>
      </c>
      <c r="AM111" s="55">
        <f t="shared" si="50"/>
        <v>36828.893036399008</v>
      </c>
      <c r="AN111" s="55">
        <f t="shared" si="50"/>
        <v>46393.50977564705</v>
      </c>
      <c r="AO111" s="55">
        <f t="shared" si="50"/>
        <v>95977.285085609823</v>
      </c>
      <c r="AP111" s="55">
        <f t="shared" si="50"/>
        <v>399619.37583160994</v>
      </c>
      <c r="AQ111" s="55">
        <f t="shared" si="50"/>
        <v>479671.89331832784</v>
      </c>
      <c r="AR111" s="55">
        <f t="shared" si="50"/>
        <v>561106</v>
      </c>
      <c r="AS111" s="55">
        <f t="shared" si="50"/>
        <v>476451</v>
      </c>
      <c r="AT111" s="55">
        <f t="shared" si="50"/>
        <v>587278</v>
      </c>
      <c r="AU111" s="55">
        <f t="shared" si="50"/>
        <v>594208</v>
      </c>
      <c r="AV111" s="55">
        <f t="shared" si="50"/>
        <v>587590</v>
      </c>
      <c r="AW111" s="55">
        <f t="shared" si="50"/>
        <v>599259</v>
      </c>
    </row>
    <row r="113" spans="1:49">
      <c r="E113" s="88" t="s">
        <v>154</v>
      </c>
      <c r="F113" s="88"/>
      <c r="G113" s="88"/>
      <c r="H113" s="88"/>
      <c r="I113" s="75"/>
      <c r="J113" s="75">
        <f>I117</f>
        <v>0</v>
      </c>
      <c r="K113" s="75">
        <f t="shared" ref="K113:AW113" si="51">J117</f>
        <v>255000</v>
      </c>
      <c r="L113" s="75">
        <f t="shared" si="51"/>
        <v>511837.5</v>
      </c>
      <c r="M113" s="75">
        <f t="shared" si="51"/>
        <v>770544.65625</v>
      </c>
      <c r="N113" s="75">
        <f t="shared" si="51"/>
        <v>1031154.187734375</v>
      </c>
      <c r="O113" s="75">
        <f t="shared" si="51"/>
        <v>1293699.3860197265</v>
      </c>
      <c r="P113" s="75">
        <f t="shared" si="51"/>
        <v>119918.86284014257</v>
      </c>
      <c r="Q113" s="75">
        <f t="shared" si="51"/>
        <v>135702.77627317837</v>
      </c>
      <c r="R113" s="75">
        <f t="shared" si="51"/>
        <v>94662.797080181248</v>
      </c>
      <c r="S113" s="75">
        <f t="shared" si="51"/>
        <v>58550.507140195521</v>
      </c>
      <c r="T113" s="75">
        <f t="shared" si="51"/>
        <v>0</v>
      </c>
      <c r="U113" s="75">
        <f t="shared" si="51"/>
        <v>5939.555555555562</v>
      </c>
      <c r="V113" s="75">
        <f t="shared" si="51"/>
        <v>232168.49777777778</v>
      </c>
      <c r="W113" s="75">
        <f t="shared" si="51"/>
        <v>459731.44648888888</v>
      </c>
      <c r="X113" s="75">
        <f t="shared" si="51"/>
        <v>688651.74680244445</v>
      </c>
      <c r="Y113" s="75">
        <f t="shared" si="51"/>
        <v>918953.15237148723</v>
      </c>
      <c r="Z113" s="75">
        <f t="shared" si="51"/>
        <v>1150659.8325379882</v>
      </c>
      <c r="AA113" s="75">
        <f t="shared" si="51"/>
        <v>1383796.379607403</v>
      </c>
      <c r="AB113" s="75">
        <f t="shared" si="51"/>
        <v>1618387.8162505324</v>
      </c>
      <c r="AC113" s="75">
        <f t="shared" si="51"/>
        <v>1854459.6030349168</v>
      </c>
      <c r="AD113" s="75">
        <f t="shared" si="51"/>
        <v>1380047.8684372483</v>
      </c>
      <c r="AE113" s="75">
        <f t="shared" si="51"/>
        <v>1606698.7061349002</v>
      </c>
      <c r="AF113" s="75">
        <f t="shared" si="51"/>
        <v>1834690.933492261</v>
      </c>
      <c r="AG113" s="75">
        <f t="shared" si="51"/>
        <v>2064048.0248283755</v>
      </c>
      <c r="AH113" s="75">
        <f t="shared" si="51"/>
        <v>2294793.8652628721</v>
      </c>
      <c r="AI113" s="75">
        <f t="shared" si="51"/>
        <v>2526952.7579049724</v>
      </c>
      <c r="AJ113" s="75">
        <f t="shared" si="51"/>
        <v>1278335.0528396547</v>
      </c>
      <c r="AK113" s="75">
        <f t="shared" si="51"/>
        <v>1187892.1384865709</v>
      </c>
      <c r="AL113" s="75">
        <f t="shared" si="51"/>
        <v>1091434.2509100859</v>
      </c>
      <c r="AM113" s="75">
        <f t="shared" si="51"/>
        <v>960368.01696767902</v>
      </c>
      <c r="AN113" s="75">
        <f t="shared" si="51"/>
        <v>923539.12393127999</v>
      </c>
      <c r="AO113" s="75">
        <f t="shared" si="51"/>
        <v>877145.61415563291</v>
      </c>
      <c r="AP113" s="75">
        <f t="shared" si="51"/>
        <v>781168.32907002303</v>
      </c>
      <c r="AQ113" s="75">
        <f t="shared" si="51"/>
        <v>381548.95323841309</v>
      </c>
      <c r="AR113" s="75">
        <f t="shared" si="51"/>
        <v>0</v>
      </c>
      <c r="AS113" s="75">
        <f t="shared" si="51"/>
        <v>0</v>
      </c>
      <c r="AT113" s="75">
        <f t="shared" si="51"/>
        <v>0</v>
      </c>
      <c r="AU113" s="75">
        <f t="shared" si="51"/>
        <v>0</v>
      </c>
      <c r="AV113" s="75">
        <f t="shared" si="51"/>
        <v>0</v>
      </c>
      <c r="AW113" s="75">
        <f t="shared" si="51"/>
        <v>0</v>
      </c>
    </row>
    <row r="114" spans="1:49">
      <c r="E114" s="102" t="str">
        <f>E$102</f>
        <v>Unmet Junior Debt interest owed</v>
      </c>
      <c r="F114" s="89"/>
      <c r="G114" s="89" t="str">
        <f t="shared" ref="G114:AW114" si="52">G$102</f>
        <v>USD</v>
      </c>
      <c r="H114" s="89"/>
      <c r="I114" s="73">
        <f t="shared" si="52"/>
        <v>0</v>
      </c>
      <c r="J114" s="73">
        <f t="shared" si="52"/>
        <v>105000.00000000001</v>
      </c>
      <c r="K114" s="73">
        <f t="shared" si="52"/>
        <v>106837.50000000001</v>
      </c>
      <c r="L114" s="73">
        <f t="shared" si="52"/>
        <v>108707.15625000001</v>
      </c>
      <c r="M114" s="73">
        <f t="shared" si="52"/>
        <v>110609.53148437501</v>
      </c>
      <c r="N114" s="73">
        <f t="shared" si="52"/>
        <v>112545.19828535157</v>
      </c>
      <c r="O114" s="73">
        <f t="shared" si="52"/>
        <v>0</v>
      </c>
      <c r="P114" s="73">
        <f t="shared" si="52"/>
        <v>0</v>
      </c>
      <c r="Q114" s="73">
        <f t="shared" si="52"/>
        <v>0</v>
      </c>
      <c r="R114" s="73">
        <f t="shared" si="52"/>
        <v>0</v>
      </c>
      <c r="S114" s="73">
        <f t="shared" si="52"/>
        <v>0</v>
      </c>
      <c r="T114" s="73">
        <f t="shared" si="52"/>
        <v>0</v>
      </c>
      <c r="U114" s="73">
        <f t="shared" si="52"/>
        <v>76228.94222222222</v>
      </c>
      <c r="V114" s="73">
        <f t="shared" si="52"/>
        <v>77562.948711111108</v>
      </c>
      <c r="W114" s="73">
        <f t="shared" si="52"/>
        <v>78920.300313555548</v>
      </c>
      <c r="X114" s="73">
        <f t="shared" si="52"/>
        <v>80301.405569042778</v>
      </c>
      <c r="Y114" s="73">
        <f t="shared" si="52"/>
        <v>81706.680166501028</v>
      </c>
      <c r="Z114" s="73">
        <f t="shared" si="52"/>
        <v>83136.547069414781</v>
      </c>
      <c r="AA114" s="73">
        <f t="shared" si="52"/>
        <v>84591.436643129535</v>
      </c>
      <c r="AB114" s="73">
        <f t="shared" si="52"/>
        <v>86071.786784384298</v>
      </c>
      <c r="AC114" s="73">
        <f t="shared" si="52"/>
        <v>0</v>
      </c>
      <c r="AD114" s="73">
        <f t="shared" si="52"/>
        <v>76650.837697651834</v>
      </c>
      <c r="AE114" s="73">
        <f t="shared" si="52"/>
        <v>77992.227357360753</v>
      </c>
      <c r="AF114" s="73">
        <f t="shared" si="52"/>
        <v>79357.091336114565</v>
      </c>
      <c r="AG114" s="73">
        <f t="shared" si="52"/>
        <v>80745.840434496553</v>
      </c>
      <c r="AH114" s="73">
        <f t="shared" si="52"/>
        <v>82158.89264210024</v>
      </c>
      <c r="AI114" s="73">
        <f t="shared" si="52"/>
        <v>0</v>
      </c>
      <c r="AJ114" s="73">
        <f t="shared" si="52"/>
        <v>0</v>
      </c>
      <c r="AK114" s="73">
        <f t="shared" si="52"/>
        <v>0</v>
      </c>
      <c r="AL114" s="73">
        <f t="shared" si="52"/>
        <v>0</v>
      </c>
      <c r="AM114" s="73">
        <f t="shared" si="52"/>
        <v>0</v>
      </c>
      <c r="AN114" s="73">
        <f t="shared" si="52"/>
        <v>0</v>
      </c>
      <c r="AO114" s="73">
        <f t="shared" si="52"/>
        <v>0</v>
      </c>
      <c r="AP114" s="73">
        <f t="shared" si="52"/>
        <v>0</v>
      </c>
      <c r="AQ114" s="73">
        <f t="shared" si="52"/>
        <v>0</v>
      </c>
      <c r="AR114" s="73">
        <f t="shared" si="52"/>
        <v>0</v>
      </c>
      <c r="AS114" s="73">
        <f t="shared" si="52"/>
        <v>0</v>
      </c>
      <c r="AT114" s="73">
        <f t="shared" si="52"/>
        <v>0</v>
      </c>
      <c r="AU114" s="73">
        <f t="shared" si="52"/>
        <v>0</v>
      </c>
      <c r="AV114" s="73">
        <f t="shared" si="52"/>
        <v>0</v>
      </c>
      <c r="AW114" s="73">
        <f t="shared" si="52"/>
        <v>0</v>
      </c>
    </row>
    <row r="115" spans="1:49">
      <c r="E115" s="102" t="str">
        <f>E$107</f>
        <v>Unmet Scheduled Junior Debt repayment</v>
      </c>
      <c r="F115" s="89"/>
      <c r="G115" s="89" t="str">
        <f t="shared" ref="G115:AW115" si="53">G$107</f>
        <v>USD</v>
      </c>
      <c r="H115" s="89"/>
      <c r="I115" s="73">
        <f t="shared" si="53"/>
        <v>0</v>
      </c>
      <c r="J115" s="73">
        <f t="shared" si="53"/>
        <v>150000</v>
      </c>
      <c r="K115" s="73">
        <f t="shared" si="53"/>
        <v>150000</v>
      </c>
      <c r="L115" s="73">
        <f t="shared" si="53"/>
        <v>150000</v>
      </c>
      <c r="M115" s="73">
        <f t="shared" si="53"/>
        <v>150000</v>
      </c>
      <c r="N115" s="73">
        <f t="shared" si="53"/>
        <v>150000</v>
      </c>
      <c r="O115" s="73">
        <f t="shared" si="53"/>
        <v>0</v>
      </c>
      <c r="P115" s="73">
        <f t="shared" si="53"/>
        <v>15783.913433035807</v>
      </c>
      <c r="Q115" s="73">
        <f t="shared" si="53"/>
        <v>0</v>
      </c>
      <c r="R115" s="73">
        <f t="shared" si="53"/>
        <v>0</v>
      </c>
      <c r="S115" s="73">
        <f t="shared" si="53"/>
        <v>0</v>
      </c>
      <c r="T115" s="73">
        <f t="shared" si="53"/>
        <v>5939.555555555562</v>
      </c>
      <c r="U115" s="73">
        <f t="shared" si="53"/>
        <v>150000</v>
      </c>
      <c r="V115" s="73">
        <f t="shared" si="53"/>
        <v>150000</v>
      </c>
      <c r="W115" s="73">
        <f t="shared" si="53"/>
        <v>150000</v>
      </c>
      <c r="X115" s="73">
        <f t="shared" si="53"/>
        <v>150000</v>
      </c>
      <c r="Y115" s="73">
        <f t="shared" si="53"/>
        <v>150000</v>
      </c>
      <c r="Z115" s="73">
        <f t="shared" si="53"/>
        <v>150000</v>
      </c>
      <c r="AA115" s="73">
        <f t="shared" si="53"/>
        <v>150000</v>
      </c>
      <c r="AB115" s="73">
        <f t="shared" si="53"/>
        <v>150000</v>
      </c>
      <c r="AC115" s="73">
        <f t="shared" si="53"/>
        <v>0</v>
      </c>
      <c r="AD115" s="73">
        <f t="shared" si="53"/>
        <v>150000</v>
      </c>
      <c r="AE115" s="73">
        <f t="shared" si="53"/>
        <v>150000</v>
      </c>
      <c r="AF115" s="73">
        <f t="shared" si="53"/>
        <v>150000</v>
      </c>
      <c r="AG115" s="73">
        <f t="shared" si="53"/>
        <v>150000</v>
      </c>
      <c r="AH115" s="73">
        <f t="shared" si="53"/>
        <v>150000</v>
      </c>
      <c r="AI115" s="73">
        <f t="shared" si="53"/>
        <v>0</v>
      </c>
      <c r="AJ115" s="73">
        <f t="shared" si="53"/>
        <v>0</v>
      </c>
      <c r="AK115" s="73">
        <f t="shared" si="53"/>
        <v>0</v>
      </c>
      <c r="AL115" s="73">
        <f t="shared" si="53"/>
        <v>0</v>
      </c>
      <c r="AM115" s="73">
        <f t="shared" si="53"/>
        <v>0</v>
      </c>
      <c r="AN115" s="73">
        <f t="shared" si="53"/>
        <v>0</v>
      </c>
      <c r="AO115" s="73">
        <f t="shared" si="53"/>
        <v>0</v>
      </c>
      <c r="AP115" s="73">
        <f t="shared" si="53"/>
        <v>0</v>
      </c>
      <c r="AQ115" s="73">
        <f t="shared" si="53"/>
        <v>0</v>
      </c>
      <c r="AR115" s="73">
        <f t="shared" si="53"/>
        <v>0</v>
      </c>
      <c r="AS115" s="73">
        <f t="shared" si="53"/>
        <v>0</v>
      </c>
      <c r="AT115" s="73">
        <f t="shared" si="53"/>
        <v>0</v>
      </c>
      <c r="AU115" s="73">
        <f t="shared" si="53"/>
        <v>0</v>
      </c>
      <c r="AV115" s="73">
        <f t="shared" si="53"/>
        <v>0</v>
      </c>
      <c r="AW115" s="73">
        <f t="shared" si="53"/>
        <v>0</v>
      </c>
    </row>
    <row r="116" spans="1:49">
      <c r="E116" s="102" t="s">
        <v>156</v>
      </c>
      <c r="F116" s="89"/>
      <c r="G116" s="89" t="s">
        <v>129</v>
      </c>
      <c r="H116" s="89"/>
      <c r="I116" s="73"/>
      <c r="J116" s="73">
        <f t="shared" ref="J116:AW116" si="54" xml:space="preserve"> - MIN( J$111, SUM( J113:J115 ) )</f>
        <v>0</v>
      </c>
      <c r="K116" s="73">
        <f t="shared" si="54"/>
        <v>0</v>
      </c>
      <c r="L116" s="73">
        <f t="shared" si="54"/>
        <v>0</v>
      </c>
      <c r="M116" s="73">
        <f t="shared" si="54"/>
        <v>0</v>
      </c>
      <c r="N116" s="73">
        <f t="shared" si="54"/>
        <v>0</v>
      </c>
      <c r="O116" s="73">
        <f t="shared" si="54"/>
        <v>-1173780.5231795839</v>
      </c>
      <c r="P116" s="73">
        <f t="shared" si="54"/>
        <v>0</v>
      </c>
      <c r="Q116" s="73">
        <f t="shared" si="54"/>
        <v>-41039.979192997125</v>
      </c>
      <c r="R116" s="73">
        <f t="shared" si="54"/>
        <v>-36112.289939985727</v>
      </c>
      <c r="S116" s="73">
        <f t="shared" si="54"/>
        <v>-58550.507140195521</v>
      </c>
      <c r="T116" s="73">
        <f t="shared" si="54"/>
        <v>0</v>
      </c>
      <c r="U116" s="73">
        <f t="shared" si="54"/>
        <v>0</v>
      </c>
      <c r="V116" s="73">
        <f t="shared" si="54"/>
        <v>0</v>
      </c>
      <c r="W116" s="73">
        <f t="shared" si="54"/>
        <v>0</v>
      </c>
      <c r="X116" s="73">
        <f t="shared" si="54"/>
        <v>0</v>
      </c>
      <c r="Y116" s="73">
        <f t="shared" si="54"/>
        <v>0</v>
      </c>
      <c r="Z116" s="73">
        <f t="shared" si="54"/>
        <v>0</v>
      </c>
      <c r="AA116" s="73">
        <f t="shared" si="54"/>
        <v>0</v>
      </c>
      <c r="AB116" s="73">
        <f t="shared" si="54"/>
        <v>0</v>
      </c>
      <c r="AC116" s="73">
        <f t="shared" si="54"/>
        <v>-474411.73459766852</v>
      </c>
      <c r="AD116" s="73">
        <f t="shared" si="54"/>
        <v>0</v>
      </c>
      <c r="AE116" s="73">
        <f t="shared" si="54"/>
        <v>0</v>
      </c>
      <c r="AF116" s="73">
        <f t="shared" si="54"/>
        <v>0</v>
      </c>
      <c r="AG116" s="73">
        <f t="shared" si="54"/>
        <v>0</v>
      </c>
      <c r="AH116" s="73">
        <f t="shared" si="54"/>
        <v>0</v>
      </c>
      <c r="AI116" s="73">
        <f t="shared" si="54"/>
        <v>-1248617.7050653177</v>
      </c>
      <c r="AJ116" s="73">
        <f t="shared" si="54"/>
        <v>-90442.914353083877</v>
      </c>
      <c r="AK116" s="73">
        <f t="shared" si="54"/>
        <v>-96457.887576485082</v>
      </c>
      <c r="AL116" s="73">
        <f t="shared" si="54"/>
        <v>-131066.23394240683</v>
      </c>
      <c r="AM116" s="73">
        <f t="shared" si="54"/>
        <v>-36828.893036399008</v>
      </c>
      <c r="AN116" s="73">
        <f t="shared" si="54"/>
        <v>-46393.50977564705</v>
      </c>
      <c r="AO116" s="73">
        <f t="shared" si="54"/>
        <v>-95977.285085609823</v>
      </c>
      <c r="AP116" s="73">
        <f t="shared" si="54"/>
        <v>-399619.37583160994</v>
      </c>
      <c r="AQ116" s="73">
        <f t="shared" si="54"/>
        <v>-381548.95323841309</v>
      </c>
      <c r="AR116" s="73">
        <f t="shared" si="54"/>
        <v>0</v>
      </c>
      <c r="AS116" s="73">
        <f t="shared" si="54"/>
        <v>0</v>
      </c>
      <c r="AT116" s="73">
        <f t="shared" si="54"/>
        <v>0</v>
      </c>
      <c r="AU116" s="73">
        <f t="shared" si="54"/>
        <v>0</v>
      </c>
      <c r="AV116" s="73">
        <f t="shared" si="54"/>
        <v>0</v>
      </c>
      <c r="AW116" s="73">
        <f t="shared" si="54"/>
        <v>0</v>
      </c>
    </row>
    <row r="117" spans="1:49">
      <c r="E117" s="90" t="s">
        <v>157</v>
      </c>
      <c r="F117" s="90"/>
      <c r="G117" s="90" t="s">
        <v>129</v>
      </c>
      <c r="H117" s="90"/>
      <c r="I117" s="77"/>
      <c r="J117" s="76">
        <f t="shared" ref="J117:AW117" si="55">SUM(J113:J116)</f>
        <v>255000</v>
      </c>
      <c r="K117" s="76">
        <f t="shared" si="55"/>
        <v>511837.5</v>
      </c>
      <c r="L117" s="76">
        <f t="shared" si="55"/>
        <v>770544.65625</v>
      </c>
      <c r="M117" s="76">
        <f t="shared" si="55"/>
        <v>1031154.187734375</v>
      </c>
      <c r="N117" s="76">
        <f t="shared" si="55"/>
        <v>1293699.3860197265</v>
      </c>
      <c r="O117" s="76">
        <f t="shared" si="55"/>
        <v>119918.86284014257</v>
      </c>
      <c r="P117" s="76">
        <f t="shared" si="55"/>
        <v>135702.77627317837</v>
      </c>
      <c r="Q117" s="76">
        <f t="shared" si="55"/>
        <v>94662.797080181248</v>
      </c>
      <c r="R117" s="76">
        <f t="shared" si="55"/>
        <v>58550.507140195521</v>
      </c>
      <c r="S117" s="76">
        <f t="shared" si="55"/>
        <v>0</v>
      </c>
      <c r="T117" s="76">
        <f t="shared" si="55"/>
        <v>5939.555555555562</v>
      </c>
      <c r="U117" s="76">
        <f t="shared" si="55"/>
        <v>232168.49777777778</v>
      </c>
      <c r="V117" s="76">
        <f t="shared" si="55"/>
        <v>459731.44648888888</v>
      </c>
      <c r="W117" s="76">
        <f t="shared" si="55"/>
        <v>688651.74680244445</v>
      </c>
      <c r="X117" s="76">
        <f t="shared" si="55"/>
        <v>918953.15237148723</v>
      </c>
      <c r="Y117" s="76">
        <f t="shared" si="55"/>
        <v>1150659.8325379882</v>
      </c>
      <c r="Z117" s="76">
        <f t="shared" si="55"/>
        <v>1383796.379607403</v>
      </c>
      <c r="AA117" s="76">
        <f t="shared" si="55"/>
        <v>1618387.8162505324</v>
      </c>
      <c r="AB117" s="76">
        <f t="shared" si="55"/>
        <v>1854459.6030349168</v>
      </c>
      <c r="AC117" s="76">
        <f t="shared" si="55"/>
        <v>1380047.8684372483</v>
      </c>
      <c r="AD117" s="76">
        <f t="shared" si="55"/>
        <v>1606698.7061349002</v>
      </c>
      <c r="AE117" s="76">
        <f t="shared" si="55"/>
        <v>1834690.933492261</v>
      </c>
      <c r="AF117" s="76">
        <f t="shared" si="55"/>
        <v>2064048.0248283755</v>
      </c>
      <c r="AG117" s="76">
        <f t="shared" si="55"/>
        <v>2294793.8652628721</v>
      </c>
      <c r="AH117" s="76">
        <f t="shared" si="55"/>
        <v>2526952.7579049724</v>
      </c>
      <c r="AI117" s="76">
        <f t="shared" si="55"/>
        <v>1278335.0528396547</v>
      </c>
      <c r="AJ117" s="76">
        <f t="shared" si="55"/>
        <v>1187892.1384865709</v>
      </c>
      <c r="AK117" s="76">
        <f t="shared" si="55"/>
        <v>1091434.2509100859</v>
      </c>
      <c r="AL117" s="76">
        <f t="shared" si="55"/>
        <v>960368.01696767902</v>
      </c>
      <c r="AM117" s="76">
        <f t="shared" si="55"/>
        <v>923539.12393127999</v>
      </c>
      <c r="AN117" s="76">
        <f t="shared" si="55"/>
        <v>877145.61415563291</v>
      </c>
      <c r="AO117" s="76">
        <f t="shared" si="55"/>
        <v>781168.32907002303</v>
      </c>
      <c r="AP117" s="76">
        <f t="shared" si="55"/>
        <v>381548.95323841309</v>
      </c>
      <c r="AQ117" s="76">
        <f t="shared" si="55"/>
        <v>0</v>
      </c>
      <c r="AR117" s="76">
        <f t="shared" si="55"/>
        <v>0</v>
      </c>
      <c r="AS117" s="76">
        <f t="shared" si="55"/>
        <v>0</v>
      </c>
      <c r="AT117" s="76">
        <f t="shared" si="55"/>
        <v>0</v>
      </c>
      <c r="AU117" s="76">
        <f t="shared" si="55"/>
        <v>0</v>
      </c>
      <c r="AV117" s="76">
        <f t="shared" si="55"/>
        <v>0</v>
      </c>
      <c r="AW117" s="76">
        <f t="shared" si="55"/>
        <v>0</v>
      </c>
    </row>
    <row r="120" spans="1:49" s="59" customFormat="1">
      <c r="A120" s="60" t="s">
        <v>86</v>
      </c>
      <c r="E120" s="85"/>
      <c r="G120" s="85"/>
    </row>
    <row r="122" spans="1:49">
      <c r="C122" s="55" t="s">
        <v>166</v>
      </c>
      <c r="E122" s="87" t="s">
        <v>167</v>
      </c>
      <c r="J122" s="55" t="s">
        <v>168</v>
      </c>
    </row>
    <row r="123" spans="1:49">
      <c r="C123" s="55" t="s">
        <v>169</v>
      </c>
      <c r="E123" s="87" t="s">
        <v>170</v>
      </c>
      <c r="J123" s="55" t="s">
        <v>168</v>
      </c>
    </row>
    <row r="124" spans="1:49">
      <c r="C124" s="55" t="s">
        <v>171</v>
      </c>
      <c r="E124" s="87" t="s">
        <v>172</v>
      </c>
      <c r="J124" s="55">
        <v>4713426.9606805602</v>
      </c>
    </row>
    <row r="125" spans="1:49">
      <c r="C125" s="55" t="s">
        <v>173</v>
      </c>
      <c r="E125" s="87" t="s">
        <v>174</v>
      </c>
      <c r="J125" s="55">
        <v>500000</v>
      </c>
    </row>
    <row r="126" spans="1:49">
      <c r="C126" s="55" t="s">
        <v>175</v>
      </c>
      <c r="E126" s="87" t="s">
        <v>176</v>
      </c>
      <c r="J126" s="55">
        <v>2708518.4409399298</v>
      </c>
    </row>
    <row r="127" spans="1:49">
      <c r="C127" s="55" t="s">
        <v>177</v>
      </c>
      <c r="E127" s="87" t="s">
        <v>178</v>
      </c>
      <c r="J127" s="55">
        <v>0</v>
      </c>
    </row>
    <row r="133" spans="1:49" s="59" customFormat="1">
      <c r="A133" s="60" t="s">
        <v>114</v>
      </c>
      <c r="E133" s="85"/>
      <c r="G133" s="85"/>
    </row>
    <row r="134" spans="1:49" s="63" customFormat="1">
      <c r="A134" s="62"/>
      <c r="E134" s="86"/>
      <c r="G134" s="86"/>
    </row>
    <row r="135" spans="1:49">
      <c r="E135" s="87" t="s">
        <v>119</v>
      </c>
      <c r="F135" s="66">
        <f>start_date</f>
        <v>43465</v>
      </c>
      <c r="G135" s="87" t="s">
        <v>120</v>
      </c>
    </row>
    <row r="136" spans="1:49">
      <c r="E136" s="87" t="s">
        <v>121</v>
      </c>
      <c r="F136" s="67">
        <f>periods</f>
        <v>40</v>
      </c>
      <c r="G136" s="87" t="s">
        <v>122</v>
      </c>
    </row>
    <row r="137" spans="1:49">
      <c r="E137" s="87" t="s">
        <v>115</v>
      </c>
      <c r="G137" s="87" t="s">
        <v>120</v>
      </c>
      <c r="J137" s="64" cm="1">
        <f t="array" ref="J137:AW137" xml:space="preserve"> EDATE( start_date + 1, _xlfn.SEQUENCE( 1, periods, 0, 3 ) )</f>
        <v>43466</v>
      </c>
      <c r="K137" s="65">
        <v>43556</v>
      </c>
      <c r="L137" s="65">
        <v>43647</v>
      </c>
      <c r="M137" s="65">
        <v>43739</v>
      </c>
      <c r="N137" s="65">
        <v>43831</v>
      </c>
      <c r="O137" s="65">
        <v>43922</v>
      </c>
      <c r="P137" s="65">
        <v>44013</v>
      </c>
      <c r="Q137" s="65">
        <v>44105</v>
      </c>
      <c r="R137" s="65">
        <v>44197</v>
      </c>
      <c r="S137" s="65">
        <v>44287</v>
      </c>
      <c r="T137" s="65">
        <v>44378</v>
      </c>
      <c r="U137" s="65">
        <v>44470</v>
      </c>
      <c r="V137" s="65">
        <v>44562</v>
      </c>
      <c r="W137" s="65">
        <v>44652</v>
      </c>
      <c r="X137" s="65">
        <v>44743</v>
      </c>
      <c r="Y137" s="65">
        <v>44835</v>
      </c>
      <c r="Z137" s="65">
        <v>44927</v>
      </c>
      <c r="AA137" s="65">
        <v>45017</v>
      </c>
      <c r="AB137" s="65">
        <v>45108</v>
      </c>
      <c r="AC137" s="65">
        <v>45200</v>
      </c>
      <c r="AD137" s="65">
        <v>45292</v>
      </c>
      <c r="AE137" s="65">
        <v>45383</v>
      </c>
      <c r="AF137" s="65">
        <v>45474</v>
      </c>
      <c r="AG137" s="65">
        <v>45566</v>
      </c>
      <c r="AH137" s="65">
        <v>45658</v>
      </c>
      <c r="AI137" s="65">
        <v>45748</v>
      </c>
      <c r="AJ137" s="65">
        <v>45839</v>
      </c>
      <c r="AK137" s="65">
        <v>45931</v>
      </c>
      <c r="AL137" s="65">
        <v>46023</v>
      </c>
      <c r="AM137" s="65">
        <v>46113</v>
      </c>
      <c r="AN137" s="65">
        <v>46204</v>
      </c>
      <c r="AO137" s="65">
        <v>46296</v>
      </c>
      <c r="AP137" s="65">
        <v>46388</v>
      </c>
      <c r="AQ137" s="65">
        <v>46478</v>
      </c>
      <c r="AR137" s="65">
        <v>46569</v>
      </c>
      <c r="AS137" s="65">
        <v>46661</v>
      </c>
      <c r="AT137" s="65">
        <v>46753</v>
      </c>
      <c r="AU137" s="65">
        <v>46844</v>
      </c>
      <c r="AV137" s="65">
        <v>46935</v>
      </c>
      <c r="AW137" s="65">
        <v>47027</v>
      </c>
    </row>
    <row r="138" spans="1:49">
      <c r="E138" s="87" t="s">
        <v>116</v>
      </c>
      <c r="G138" s="87" t="s">
        <v>120</v>
      </c>
      <c r="J138" s="64" cm="1">
        <f t="array" ref="J138:AW138" xml:space="preserve"> EOMONTH( start_date, _xlfn.SEQUENCE( 1, periods, 3, 3 ) )</f>
        <v>43555</v>
      </c>
      <c r="K138" s="65">
        <v>43646</v>
      </c>
      <c r="L138" s="65">
        <v>43738</v>
      </c>
      <c r="M138" s="65">
        <v>43830</v>
      </c>
      <c r="N138" s="65">
        <v>43921</v>
      </c>
      <c r="O138" s="65">
        <v>44012</v>
      </c>
      <c r="P138" s="65">
        <v>44104</v>
      </c>
      <c r="Q138" s="65">
        <v>44196</v>
      </c>
      <c r="R138" s="65">
        <v>44286</v>
      </c>
      <c r="S138" s="65">
        <v>44377</v>
      </c>
      <c r="T138" s="65">
        <v>44469</v>
      </c>
      <c r="U138" s="65">
        <v>44561</v>
      </c>
      <c r="V138" s="65">
        <v>44651</v>
      </c>
      <c r="W138" s="65">
        <v>44742</v>
      </c>
      <c r="X138" s="65">
        <v>44834</v>
      </c>
      <c r="Y138" s="65">
        <v>44926</v>
      </c>
      <c r="Z138" s="65">
        <v>45016</v>
      </c>
      <c r="AA138" s="65">
        <v>45107</v>
      </c>
      <c r="AB138" s="65">
        <v>45199</v>
      </c>
      <c r="AC138" s="65">
        <v>45291</v>
      </c>
      <c r="AD138" s="65">
        <v>45382</v>
      </c>
      <c r="AE138" s="65">
        <v>45473</v>
      </c>
      <c r="AF138" s="65">
        <v>45565</v>
      </c>
      <c r="AG138" s="65">
        <v>45657</v>
      </c>
      <c r="AH138" s="65">
        <v>45747</v>
      </c>
      <c r="AI138" s="65">
        <v>45838</v>
      </c>
      <c r="AJ138" s="65">
        <v>45930</v>
      </c>
      <c r="AK138" s="65">
        <v>46022</v>
      </c>
      <c r="AL138" s="65">
        <v>46112</v>
      </c>
      <c r="AM138" s="65">
        <v>46203</v>
      </c>
      <c r="AN138" s="65">
        <v>46295</v>
      </c>
      <c r="AO138" s="65">
        <v>46387</v>
      </c>
      <c r="AP138" s="65">
        <v>46477</v>
      </c>
      <c r="AQ138" s="65">
        <v>46568</v>
      </c>
      <c r="AR138" s="65">
        <v>46660</v>
      </c>
      <c r="AS138" s="65">
        <v>46752</v>
      </c>
      <c r="AT138" s="65">
        <v>46843</v>
      </c>
      <c r="AU138" s="65">
        <v>46934</v>
      </c>
      <c r="AV138" s="65">
        <v>47026</v>
      </c>
      <c r="AW138" s="65">
        <v>47118</v>
      </c>
    </row>
    <row r="139" spans="1:49">
      <c r="E139" s="87" t="s">
        <v>123</v>
      </c>
      <c r="G139" s="87" t="s">
        <v>124</v>
      </c>
      <c r="J139" s="68" cm="1">
        <f t="array" ref="J139:AW139" xml:space="preserve"> MONTH(_xlfn.ANCHORARRAY( J138) ) / 4</f>
        <v>0.75</v>
      </c>
      <c r="K139" s="68">
        <v>1.5</v>
      </c>
      <c r="L139" s="68">
        <v>2.25</v>
      </c>
      <c r="M139" s="68">
        <v>3</v>
      </c>
      <c r="N139" s="68">
        <v>0.75</v>
      </c>
      <c r="O139" s="68">
        <v>1.5</v>
      </c>
      <c r="P139" s="68">
        <v>2.25</v>
      </c>
      <c r="Q139" s="68">
        <v>3</v>
      </c>
      <c r="R139" s="68">
        <v>0.75</v>
      </c>
      <c r="S139" s="68">
        <v>1.5</v>
      </c>
      <c r="T139" s="68">
        <v>2.25</v>
      </c>
      <c r="U139" s="68">
        <v>3</v>
      </c>
      <c r="V139" s="68">
        <v>0.75</v>
      </c>
      <c r="W139" s="68">
        <v>1.5</v>
      </c>
      <c r="X139" s="68">
        <v>2.25</v>
      </c>
      <c r="Y139" s="68">
        <v>3</v>
      </c>
      <c r="Z139" s="68">
        <v>0.75</v>
      </c>
      <c r="AA139" s="68">
        <v>1.5</v>
      </c>
      <c r="AB139" s="68">
        <v>2.25</v>
      </c>
      <c r="AC139" s="68">
        <v>3</v>
      </c>
      <c r="AD139" s="68">
        <v>0.75</v>
      </c>
      <c r="AE139" s="68">
        <v>1.5</v>
      </c>
      <c r="AF139" s="68">
        <v>2.25</v>
      </c>
      <c r="AG139" s="68">
        <v>3</v>
      </c>
      <c r="AH139" s="68">
        <v>0.75</v>
      </c>
      <c r="AI139" s="68">
        <v>1.5</v>
      </c>
      <c r="AJ139" s="68">
        <v>2.25</v>
      </c>
      <c r="AK139" s="68">
        <v>3</v>
      </c>
      <c r="AL139" s="68">
        <v>0.75</v>
      </c>
      <c r="AM139" s="68">
        <v>1.5</v>
      </c>
      <c r="AN139" s="68">
        <v>2.25</v>
      </c>
      <c r="AO139" s="68">
        <v>3</v>
      </c>
      <c r="AP139" s="68">
        <v>0.75</v>
      </c>
      <c r="AQ139" s="68">
        <v>1.5</v>
      </c>
      <c r="AR139" s="68">
        <v>2.25</v>
      </c>
      <c r="AS139" s="68">
        <v>3</v>
      </c>
      <c r="AT139" s="68">
        <v>0.75</v>
      </c>
      <c r="AU139" s="68">
        <v>1.5</v>
      </c>
      <c r="AV139" s="68">
        <v>2.25</v>
      </c>
      <c r="AW139" s="68">
        <v>3</v>
      </c>
    </row>
    <row r="140" spans="1:49">
      <c r="E140" s="87" t="s">
        <v>125</v>
      </c>
      <c r="G140" s="87" t="s">
        <v>126</v>
      </c>
      <c r="J140" s="69" cm="1">
        <f t="array" ref="J140:AW140" xml:space="preserve"> YEAR(_xlfn.ANCHORARRAY( J138) )</f>
        <v>2019</v>
      </c>
      <c r="K140" s="69">
        <v>2019</v>
      </c>
      <c r="L140" s="69">
        <v>2019</v>
      </c>
      <c r="M140" s="69">
        <v>2019</v>
      </c>
      <c r="N140" s="69">
        <v>2020</v>
      </c>
      <c r="O140" s="69">
        <v>2020</v>
      </c>
      <c r="P140" s="69">
        <v>2020</v>
      </c>
      <c r="Q140" s="69">
        <v>2020</v>
      </c>
      <c r="R140" s="69">
        <v>2021</v>
      </c>
      <c r="S140" s="69">
        <v>2021</v>
      </c>
      <c r="T140" s="69">
        <v>2021</v>
      </c>
      <c r="U140" s="69">
        <v>2021</v>
      </c>
      <c r="V140" s="69">
        <v>2022</v>
      </c>
      <c r="W140" s="69">
        <v>2022</v>
      </c>
      <c r="X140" s="69">
        <v>2022</v>
      </c>
      <c r="Y140" s="69">
        <v>2022</v>
      </c>
      <c r="Z140" s="69">
        <v>2023</v>
      </c>
      <c r="AA140" s="69">
        <v>2023</v>
      </c>
      <c r="AB140" s="69">
        <v>2023</v>
      </c>
      <c r="AC140" s="69">
        <v>2023</v>
      </c>
      <c r="AD140" s="69">
        <v>2024</v>
      </c>
      <c r="AE140" s="69">
        <v>2024</v>
      </c>
      <c r="AF140" s="69">
        <v>2024</v>
      </c>
      <c r="AG140" s="69">
        <v>2024</v>
      </c>
      <c r="AH140" s="69">
        <v>2025</v>
      </c>
      <c r="AI140" s="69">
        <v>2025</v>
      </c>
      <c r="AJ140" s="69">
        <v>2025</v>
      </c>
      <c r="AK140" s="69">
        <v>2025</v>
      </c>
      <c r="AL140" s="69">
        <v>2026</v>
      </c>
      <c r="AM140" s="69">
        <v>2026</v>
      </c>
      <c r="AN140" s="69">
        <v>2026</v>
      </c>
      <c r="AO140" s="69">
        <v>2026</v>
      </c>
      <c r="AP140" s="69">
        <v>2027</v>
      </c>
      <c r="AQ140" s="69">
        <v>2027</v>
      </c>
      <c r="AR140" s="69">
        <v>2027</v>
      </c>
      <c r="AS140" s="69">
        <v>2027</v>
      </c>
      <c r="AT140" s="69">
        <v>2028</v>
      </c>
      <c r="AU140" s="69">
        <v>2028</v>
      </c>
      <c r="AV140" s="69">
        <v>2028</v>
      </c>
      <c r="AW140" s="69">
        <v>2028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50" fitToWidth="0" orientation="landscape" r:id="rId1"/>
  <headerFooter>
    <oddFooter>&amp;L&amp;"Arial,Regular"Financial Modeling Institute
CFM October 2026&amp;C&amp;"Arial,Regular"Page &amp;P of &amp;N&amp;R&amp;"Arial,Regular"&amp;D</oddFooter>
  </headerFooter>
  <rowBreaks count="1" manualBreakCount="1">
    <brk id="67" max="16383" man="1"/>
  </rowBreaks>
  <colBreaks count="1" manualBreakCount="1">
    <brk id="7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6</xdr:col>
                    <xdr:colOff>556260</xdr:colOff>
                    <xdr:row>2</xdr:row>
                    <xdr:rowOff>0</xdr:rowOff>
                  </from>
                  <to>
                    <xdr:col>7</xdr:col>
                    <xdr:colOff>762000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M147"/>
  <sheetViews>
    <sheetView showGridLines="0" zoomScaleNormal="100" workbookViewId="0">
      <pane xSplit="1" ySplit="1" topLeftCell="B46" activePane="bottomRight" state="frozen"/>
      <selection activeCell="B2" sqref="B2"/>
      <selection pane="topRight" activeCell="B2" sqref="B2"/>
      <selection pane="bottomLeft" activeCell="B2" sqref="B2"/>
      <selection pane="bottomRight" activeCell="G7" sqref="G7"/>
    </sheetView>
  </sheetViews>
  <sheetFormatPr defaultColWidth="12.5546875" defaultRowHeight="13.2"/>
  <cols>
    <col min="1" max="2" width="2.5546875" style="1" customWidth="1"/>
    <col min="3" max="3" width="48.5546875" style="1" customWidth="1"/>
    <col min="4" max="7" width="12.5546875" style="1"/>
    <col min="8" max="8" width="12.5546875" style="1" customWidth="1"/>
    <col min="9" max="16384" width="12.5546875" style="1"/>
  </cols>
  <sheetData>
    <row r="1" spans="1:11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3" spans="1:11">
      <c r="B3" s="5" t="s">
        <v>9</v>
      </c>
    </row>
    <row r="4" spans="1:11" ht="14.4">
      <c r="C4" s="6" t="s">
        <v>10</v>
      </c>
      <c r="E4" s="9" t="s">
        <v>1</v>
      </c>
      <c r="G4" s="47">
        <v>10000000</v>
      </c>
    </row>
    <row r="5" spans="1:11" ht="14.4">
      <c r="C5" s="6" t="s">
        <v>48</v>
      </c>
      <c r="E5" s="9" t="s">
        <v>3</v>
      </c>
      <c r="G5" s="48">
        <v>0.05</v>
      </c>
      <c r="K5" s="1" t="s">
        <v>106</v>
      </c>
    </row>
    <row r="6" spans="1:11">
      <c r="K6" s="1" t="s">
        <v>105</v>
      </c>
    </row>
    <row r="7" spans="1:11" ht="14.4">
      <c r="C7" s="6" t="s">
        <v>11</v>
      </c>
      <c r="E7" s="9" t="s">
        <v>12</v>
      </c>
      <c r="G7" s="50">
        <v>1.62</v>
      </c>
    </row>
    <row r="8" spans="1:11" ht="14.4">
      <c r="C8" s="6" t="s">
        <v>13</v>
      </c>
      <c r="E8" s="9" t="s">
        <v>2</v>
      </c>
      <c r="G8" s="10">
        <v>4</v>
      </c>
      <c r="H8" s="3" t="s">
        <v>14</v>
      </c>
      <c r="K8" s="1" t="s">
        <v>75</v>
      </c>
    </row>
    <row r="9" spans="1:11" ht="14.4">
      <c r="C9" s="6"/>
    </row>
    <row r="10" spans="1:11">
      <c r="C10" s="3" t="s">
        <v>15</v>
      </c>
      <c r="J10" s="1" t="s">
        <v>108</v>
      </c>
      <c r="K10" s="1" t="s">
        <v>107</v>
      </c>
    </row>
    <row r="11" spans="1:11" ht="14.4">
      <c r="C11" s="6" t="s">
        <v>16</v>
      </c>
      <c r="E11" s="9" t="s">
        <v>5</v>
      </c>
      <c r="G11" s="10">
        <v>2</v>
      </c>
      <c r="H11" s="3" t="s">
        <v>14</v>
      </c>
    </row>
    <row r="13" spans="1:11">
      <c r="B13" s="5" t="s">
        <v>17</v>
      </c>
    </row>
    <row r="14" spans="1:11" ht="14.4">
      <c r="C14" s="6" t="s">
        <v>18</v>
      </c>
      <c r="G14" s="47">
        <v>500000</v>
      </c>
    </row>
    <row r="15" spans="1:11" ht="14.4">
      <c r="C15" s="6" t="s">
        <v>19</v>
      </c>
      <c r="G15" s="47">
        <v>500000</v>
      </c>
    </row>
    <row r="16" spans="1:11" ht="14.4">
      <c r="C16" s="6" t="s">
        <v>49</v>
      </c>
      <c r="E16" s="9" t="s">
        <v>3</v>
      </c>
      <c r="G16" s="48">
        <v>1.4999999999999999E-2</v>
      </c>
    </row>
    <row r="17" spans="2:10">
      <c r="J17" s="1">
        <f>PMT((G5/4),33,G4,0,0)</f>
        <v>-371678.64961511182</v>
      </c>
    </row>
    <row r="18" spans="2:10">
      <c r="B18" s="5" t="s">
        <v>20</v>
      </c>
    </row>
    <row r="19" spans="2:10" ht="14.4">
      <c r="C19" s="6" t="s">
        <v>10</v>
      </c>
      <c r="E19" s="9" t="s">
        <v>1</v>
      </c>
      <c r="G19" s="47">
        <v>6000000</v>
      </c>
    </row>
    <row r="20" spans="2:10" ht="14.4">
      <c r="C20" s="6" t="s">
        <v>48</v>
      </c>
      <c r="E20" s="9" t="s">
        <v>3</v>
      </c>
      <c r="G20" s="48">
        <v>7.0000000000000007E-2</v>
      </c>
      <c r="H20" s="1">
        <f>G19/G21</f>
        <v>150000</v>
      </c>
    </row>
    <row r="21" spans="2:10" ht="14.4">
      <c r="C21" s="6" t="s">
        <v>21</v>
      </c>
      <c r="E21" s="9" t="s">
        <v>2</v>
      </c>
      <c r="G21" s="47">
        <v>40</v>
      </c>
    </row>
    <row r="22" spans="2:10" ht="14.4">
      <c r="C22" s="6" t="s">
        <v>22</v>
      </c>
      <c r="E22" s="9" t="s">
        <v>4</v>
      </c>
      <c r="G22" s="11">
        <f>EOMONTH(G30,3*G21)</f>
        <v>47118</v>
      </c>
    </row>
    <row r="23" spans="2:10" ht="14.4">
      <c r="C23" s="6"/>
    </row>
    <row r="24" spans="2:10">
      <c r="B24" s="5" t="s">
        <v>23</v>
      </c>
    </row>
    <row r="25" spans="2:10" ht="14.4">
      <c r="C25" s="6" t="s">
        <v>24</v>
      </c>
      <c r="E25" s="9" t="s">
        <v>1</v>
      </c>
      <c r="G25" s="47">
        <v>4000000</v>
      </c>
    </row>
    <row r="26" spans="2:10" ht="14.4">
      <c r="C26" s="6" t="s">
        <v>25</v>
      </c>
      <c r="E26" s="9" t="s">
        <v>3</v>
      </c>
      <c r="G26" s="48">
        <v>9.5000000000000001E-2</v>
      </c>
    </row>
    <row r="29" spans="2:10">
      <c r="B29" s="5" t="s">
        <v>26</v>
      </c>
    </row>
    <row r="30" spans="2:10" ht="14.4">
      <c r="C30" s="6" t="s">
        <v>27</v>
      </c>
      <c r="E30" s="9" t="s">
        <v>4</v>
      </c>
      <c r="G30" s="49">
        <v>43465</v>
      </c>
    </row>
    <row r="31" spans="2:10" ht="14.4">
      <c r="C31" s="6" t="s">
        <v>28</v>
      </c>
      <c r="E31" s="9" t="s">
        <v>4</v>
      </c>
      <c r="G31" s="11">
        <f>EOMONTH(G30,3)</f>
        <v>43555</v>
      </c>
    </row>
    <row r="32" spans="2:10" ht="14.4">
      <c r="C32" s="6" t="s">
        <v>29</v>
      </c>
      <c r="E32" s="9" t="s">
        <v>5</v>
      </c>
      <c r="G32" s="10">
        <v>40</v>
      </c>
    </row>
    <row r="33" spans="2:11" ht="14.4">
      <c r="C33" s="6" t="s">
        <v>30</v>
      </c>
      <c r="E33" s="9" t="s">
        <v>4</v>
      </c>
      <c r="G33" s="11">
        <f>EOMONTH(G30,G32*3)</f>
        <v>47118</v>
      </c>
    </row>
    <row r="35" spans="2:11" ht="14.4">
      <c r="C35" s="6" t="s">
        <v>50</v>
      </c>
      <c r="E35" s="9" t="s">
        <v>3</v>
      </c>
      <c r="G35" s="48">
        <v>1.4999999999999999E-2</v>
      </c>
    </row>
    <row r="38" spans="2:11" ht="15.6">
      <c r="B38" s="5" t="s">
        <v>31</v>
      </c>
      <c r="G38" s="5" t="s">
        <v>32</v>
      </c>
      <c r="H38" s="7"/>
      <c r="J38" s="5" t="s">
        <v>33</v>
      </c>
      <c r="K38" s="7"/>
    </row>
    <row r="39" spans="2:11">
      <c r="G39" s="1" t="s">
        <v>34</v>
      </c>
      <c r="H39" s="1" t="s">
        <v>34</v>
      </c>
      <c r="J39" s="1" t="s">
        <v>35</v>
      </c>
      <c r="K39" s="1" t="s">
        <v>35</v>
      </c>
    </row>
    <row r="40" spans="2:11">
      <c r="G40" s="1" t="s">
        <v>36</v>
      </c>
      <c r="H40" s="1" t="s">
        <v>37</v>
      </c>
      <c r="J40" s="1" t="s">
        <v>36</v>
      </c>
      <c r="K40" s="1" t="s">
        <v>37</v>
      </c>
    </row>
    <row r="41" spans="2:11" ht="14.4">
      <c r="D41" s="12" t="s">
        <v>38</v>
      </c>
      <c r="G41" s="9" t="s">
        <v>1</v>
      </c>
      <c r="H41" s="9" t="s">
        <v>1</v>
      </c>
      <c r="J41" s="9" t="s">
        <v>1</v>
      </c>
      <c r="K41" s="9" t="s">
        <v>1</v>
      </c>
    </row>
    <row r="42" spans="2:11">
      <c r="D42" s="51">
        <f>$G$31</f>
        <v>43555</v>
      </c>
      <c r="G42" s="10">
        <v>-253479.44444444444</v>
      </c>
      <c r="H42" s="52">
        <f>G4+G42</f>
        <v>9746520.555555556</v>
      </c>
      <c r="J42" s="10">
        <v>-150000</v>
      </c>
      <c r="K42" s="52">
        <f>G19+J42</f>
        <v>5850000</v>
      </c>
    </row>
    <row r="43" spans="2:11">
      <c r="D43" s="11">
        <f t="shared" ref="D43:D81" si="0">EOMONTH(D42,3)</f>
        <v>43646</v>
      </c>
      <c r="G43" s="10">
        <v>-252560.15972222225</v>
      </c>
      <c r="H43" s="1">
        <f t="shared" ref="H43:H81" si="1">H42+G43</f>
        <v>9493960.395833334</v>
      </c>
      <c r="J43" s="10">
        <v>-150000</v>
      </c>
      <c r="K43" s="1">
        <f t="shared" ref="K43:K81" si="2">K42+J43</f>
        <v>5700000</v>
      </c>
    </row>
    <row r="44" spans="2:11">
      <c r="D44" s="11">
        <f t="shared" si="0"/>
        <v>43738</v>
      </c>
      <c r="G44" s="10">
        <v>-252204.38394097221</v>
      </c>
      <c r="H44" s="1">
        <f t="shared" si="1"/>
        <v>9241756.0118923616</v>
      </c>
      <c r="J44" s="10">
        <v>-150000</v>
      </c>
      <c r="K44" s="1">
        <f t="shared" si="2"/>
        <v>5550000</v>
      </c>
    </row>
    <row r="45" spans="2:11">
      <c r="D45" s="11">
        <f t="shared" si="0"/>
        <v>43830</v>
      </c>
      <c r="G45" s="10">
        <v>-254151.93874023436</v>
      </c>
      <c r="H45" s="1">
        <f t="shared" si="1"/>
        <v>8987604.0731521267</v>
      </c>
      <c r="J45" s="10">
        <v>-150000</v>
      </c>
      <c r="K45" s="1">
        <f t="shared" si="2"/>
        <v>5400000</v>
      </c>
    </row>
    <row r="46" spans="2:11">
      <c r="D46" s="11">
        <f t="shared" si="0"/>
        <v>43921</v>
      </c>
      <c r="G46" s="10">
        <v>-257881.61575226509</v>
      </c>
      <c r="H46" s="1">
        <f t="shared" si="1"/>
        <v>8729722.4573998619</v>
      </c>
      <c r="J46" s="10">
        <v>-150000</v>
      </c>
      <c r="K46" s="1">
        <f t="shared" si="2"/>
        <v>5250000</v>
      </c>
    </row>
    <row r="47" spans="2:11">
      <c r="D47" s="11">
        <f t="shared" si="0"/>
        <v>44012</v>
      </c>
      <c r="G47" s="10">
        <v>-253109.58039361285</v>
      </c>
      <c r="H47" s="1">
        <f t="shared" si="1"/>
        <v>8476612.8770062495</v>
      </c>
      <c r="J47" s="10">
        <v>-150000</v>
      </c>
      <c r="K47" s="1">
        <f t="shared" si="2"/>
        <v>5100000</v>
      </c>
    </row>
    <row r="48" spans="2:11">
      <c r="D48" s="11">
        <f t="shared" si="0"/>
        <v>44104</v>
      </c>
      <c r="G48" s="10">
        <v>-255950.67237075517</v>
      </c>
      <c r="H48" s="1">
        <f t="shared" si="1"/>
        <v>8220662.2046354944</v>
      </c>
      <c r="J48" s="10">
        <v>-150000</v>
      </c>
      <c r="K48" s="1">
        <f t="shared" si="2"/>
        <v>4950000</v>
      </c>
    </row>
    <row r="49" spans="4:11">
      <c r="D49" s="11">
        <f t="shared" si="0"/>
        <v>44196</v>
      </c>
      <c r="G49" s="10">
        <v>-256648.9446642785</v>
      </c>
      <c r="H49" s="1">
        <f t="shared" si="1"/>
        <v>7964013.2599712163</v>
      </c>
      <c r="J49" s="10">
        <v>-150000</v>
      </c>
      <c r="K49" s="1">
        <f t="shared" si="2"/>
        <v>4800000</v>
      </c>
    </row>
    <row r="50" spans="4:11">
      <c r="D50" s="11">
        <f t="shared" si="0"/>
        <v>44286</v>
      </c>
      <c r="G50" s="10">
        <v>-277545.94536147092</v>
      </c>
      <c r="H50" s="1">
        <f t="shared" si="1"/>
        <v>7686467.3146097455</v>
      </c>
      <c r="J50" s="10">
        <v>-150000</v>
      </c>
      <c r="K50" s="1">
        <f t="shared" si="2"/>
        <v>4650000</v>
      </c>
    </row>
    <row r="51" spans="4:11">
      <c r="D51" s="11">
        <f t="shared" si="0"/>
        <v>44377</v>
      </c>
      <c r="G51" s="10">
        <v>-261788.60301182262</v>
      </c>
      <c r="H51" s="1">
        <f t="shared" si="1"/>
        <v>7424678.7115979232</v>
      </c>
      <c r="J51" s="10">
        <v>-150000</v>
      </c>
      <c r="K51" s="1">
        <f t="shared" si="2"/>
        <v>4500000</v>
      </c>
    </row>
    <row r="52" spans="4:11">
      <c r="D52" s="11">
        <f t="shared" si="0"/>
        <v>44469</v>
      </c>
      <c r="G52" s="10">
        <v>-270867.07166058151</v>
      </c>
      <c r="H52" s="1">
        <f t="shared" si="1"/>
        <v>7153811.6399373412</v>
      </c>
      <c r="J52" s="10">
        <v>-150000</v>
      </c>
      <c r="K52" s="1">
        <f t="shared" si="2"/>
        <v>4350000</v>
      </c>
    </row>
    <row r="53" spans="4:11">
      <c r="D53" s="11">
        <f t="shared" si="0"/>
        <v>44561</v>
      </c>
      <c r="G53" s="10">
        <v>-269376.79894522764</v>
      </c>
      <c r="H53" s="1">
        <f t="shared" si="1"/>
        <v>6884434.8409921136</v>
      </c>
      <c r="J53" s="10">
        <v>-150000</v>
      </c>
      <c r="K53" s="1">
        <f t="shared" si="2"/>
        <v>4200000</v>
      </c>
    </row>
    <row r="54" spans="4:11">
      <c r="D54" s="11">
        <f t="shared" si="0"/>
        <v>44651</v>
      </c>
      <c r="G54" s="10">
        <v>-271815.12004315411</v>
      </c>
      <c r="H54" s="1">
        <f t="shared" si="1"/>
        <v>6612619.7209489597</v>
      </c>
      <c r="J54" s="10">
        <v>-150000</v>
      </c>
      <c r="K54" s="1">
        <f t="shared" si="2"/>
        <v>4050000</v>
      </c>
    </row>
    <row r="55" spans="4:11">
      <c r="D55" s="11">
        <f t="shared" si="0"/>
        <v>44742</v>
      </c>
      <c r="G55" s="10">
        <v>-291592.25348813797</v>
      </c>
      <c r="H55" s="1">
        <f t="shared" si="1"/>
        <v>6321027.4674608214</v>
      </c>
      <c r="J55" s="10">
        <v>-150000</v>
      </c>
      <c r="K55" s="1">
        <f t="shared" si="2"/>
        <v>3900000</v>
      </c>
    </row>
    <row r="56" spans="4:11">
      <c r="D56" s="11">
        <f t="shared" si="0"/>
        <v>44834</v>
      </c>
      <c r="G56" s="10">
        <v>-296806.04554562859</v>
      </c>
      <c r="H56" s="1">
        <f t="shared" si="1"/>
        <v>6024221.4219151931</v>
      </c>
      <c r="J56" s="10">
        <v>-150000</v>
      </c>
      <c r="K56" s="1">
        <f t="shared" si="2"/>
        <v>3750000</v>
      </c>
    </row>
    <row r="57" spans="4:11">
      <c r="D57" s="11">
        <f t="shared" si="0"/>
        <v>44926</v>
      </c>
      <c r="G57" s="10">
        <v>-306446.6766705045</v>
      </c>
      <c r="H57" s="1">
        <f t="shared" si="1"/>
        <v>5717774.7452446884</v>
      </c>
      <c r="J57" s="10">
        <v>-150000</v>
      </c>
      <c r="K57" s="1">
        <f t="shared" si="2"/>
        <v>3600000</v>
      </c>
    </row>
    <row r="58" spans="4:11">
      <c r="D58" s="11">
        <f t="shared" si="0"/>
        <v>45016</v>
      </c>
      <c r="G58" s="10">
        <v>-296395.59346221911</v>
      </c>
      <c r="H58" s="1">
        <f t="shared" si="1"/>
        <v>5421379.1517824689</v>
      </c>
      <c r="J58" s="10">
        <v>-150000</v>
      </c>
      <c r="K58" s="1">
        <f t="shared" si="2"/>
        <v>3450000</v>
      </c>
    </row>
    <row r="59" spans="4:11">
      <c r="D59" s="11">
        <f t="shared" si="0"/>
        <v>45107</v>
      </c>
      <c r="G59" s="10">
        <v>-309492.76060271915</v>
      </c>
      <c r="H59" s="1">
        <f t="shared" si="1"/>
        <v>5111886.3911797497</v>
      </c>
      <c r="J59" s="10">
        <v>-150000</v>
      </c>
      <c r="K59" s="1">
        <f t="shared" si="2"/>
        <v>3300000</v>
      </c>
    </row>
    <row r="60" spans="4:11">
      <c r="D60" s="11">
        <f t="shared" si="0"/>
        <v>45199</v>
      </c>
      <c r="G60" s="10">
        <v>-318980.30899914203</v>
      </c>
      <c r="H60" s="1">
        <f t="shared" si="1"/>
        <v>4792906.0821806081</v>
      </c>
      <c r="J60" s="10">
        <v>-150000</v>
      </c>
      <c r="K60" s="1">
        <f t="shared" si="2"/>
        <v>3150000</v>
      </c>
    </row>
    <row r="61" spans="4:11">
      <c r="D61" s="11">
        <f t="shared" si="0"/>
        <v>45291</v>
      </c>
      <c r="G61" s="10">
        <v>-329615.89619496459</v>
      </c>
      <c r="H61" s="1">
        <f t="shared" si="1"/>
        <v>4463290.1859856434</v>
      </c>
      <c r="J61" s="10">
        <v>-150000</v>
      </c>
      <c r="K61" s="1">
        <f t="shared" si="2"/>
        <v>3000000</v>
      </c>
    </row>
    <row r="62" spans="4:11">
      <c r="D62" s="11">
        <f t="shared" si="0"/>
        <v>45382</v>
      </c>
      <c r="G62" s="10">
        <v>-344826.09489740164</v>
      </c>
      <c r="H62" s="1">
        <f t="shared" si="1"/>
        <v>4118464.0910882419</v>
      </c>
      <c r="J62" s="10">
        <v>-150000</v>
      </c>
      <c r="K62" s="1">
        <f t="shared" si="2"/>
        <v>2850000</v>
      </c>
    </row>
    <row r="63" spans="4:11">
      <c r="D63" s="11">
        <f t="shared" si="0"/>
        <v>45473</v>
      </c>
      <c r="G63" s="10">
        <v>-334741.97663917474</v>
      </c>
      <c r="H63" s="1">
        <f t="shared" si="1"/>
        <v>3783722.114449067</v>
      </c>
      <c r="J63" s="10">
        <v>-150000</v>
      </c>
      <c r="K63" s="1">
        <f t="shared" si="2"/>
        <v>2700000</v>
      </c>
    </row>
    <row r="64" spans="4:11">
      <c r="D64" s="11">
        <f t="shared" si="0"/>
        <v>45565</v>
      </c>
      <c r="G64" s="10">
        <v>-349935.69579160883</v>
      </c>
      <c r="H64" s="1">
        <f t="shared" si="1"/>
        <v>3433786.4186574584</v>
      </c>
      <c r="J64" s="10">
        <v>-150000</v>
      </c>
      <c r="K64" s="1">
        <f t="shared" si="2"/>
        <v>2550000</v>
      </c>
    </row>
    <row r="65" spans="4:11">
      <c r="D65" s="11">
        <f t="shared" si="0"/>
        <v>45657</v>
      </c>
      <c r="G65" s="10">
        <v>-346099.89198900398</v>
      </c>
      <c r="H65" s="1">
        <f t="shared" si="1"/>
        <v>3087686.5266684545</v>
      </c>
      <c r="J65" s="10">
        <v>-150000</v>
      </c>
      <c r="K65" s="1">
        <f t="shared" si="2"/>
        <v>2400000</v>
      </c>
    </row>
    <row r="66" spans="4:11">
      <c r="D66" s="11">
        <f t="shared" si="0"/>
        <v>45747</v>
      </c>
      <c r="G66" s="10">
        <v>-351035.58508331102</v>
      </c>
      <c r="H66" s="1">
        <f t="shared" si="1"/>
        <v>2736650.9415851436</v>
      </c>
      <c r="J66" s="10">
        <v>-150000</v>
      </c>
      <c r="K66" s="1">
        <f t="shared" si="2"/>
        <v>2250000</v>
      </c>
    </row>
    <row r="67" spans="4:11">
      <c r="D67" s="11">
        <f t="shared" si="0"/>
        <v>45838</v>
      </c>
      <c r="G67" s="10">
        <v>-359246.8632301857</v>
      </c>
      <c r="H67" s="1">
        <f t="shared" si="1"/>
        <v>2377404.078354958</v>
      </c>
      <c r="J67" s="10">
        <v>-150000</v>
      </c>
      <c r="K67" s="1">
        <f t="shared" si="2"/>
        <v>2100000</v>
      </c>
    </row>
    <row r="68" spans="4:11">
      <c r="D68" s="11">
        <f t="shared" si="0"/>
        <v>45930</v>
      </c>
      <c r="G68" s="10">
        <v>-381624.67124278523</v>
      </c>
      <c r="H68" s="1">
        <f t="shared" si="1"/>
        <v>1995779.4071121728</v>
      </c>
      <c r="J68" s="10">
        <v>-150000</v>
      </c>
      <c r="K68" s="1">
        <f t="shared" si="2"/>
        <v>1950000</v>
      </c>
    </row>
    <row r="69" spans="4:11">
      <c r="D69" s="11">
        <f t="shared" si="0"/>
        <v>46022</v>
      </c>
      <c r="G69" s="10">
        <v>-368562.75741109782</v>
      </c>
      <c r="H69" s="1">
        <f t="shared" si="1"/>
        <v>1627216.6497010749</v>
      </c>
      <c r="J69" s="10">
        <v>-150000</v>
      </c>
      <c r="K69" s="1">
        <f t="shared" si="2"/>
        <v>1800000</v>
      </c>
    </row>
    <row r="70" spans="4:11">
      <c r="D70" s="11">
        <f t="shared" si="0"/>
        <v>46112</v>
      </c>
      <c r="G70" s="10">
        <v>-367781.45854540326</v>
      </c>
      <c r="H70" s="1">
        <f t="shared" si="1"/>
        <v>1259435.1911556716</v>
      </c>
      <c r="J70" s="10">
        <v>-150000</v>
      </c>
      <c r="K70" s="1">
        <f t="shared" si="2"/>
        <v>1650000</v>
      </c>
    </row>
    <row r="71" spans="4:11">
      <c r="D71" s="11">
        <f t="shared" si="0"/>
        <v>46203</v>
      </c>
      <c r="G71" s="10">
        <v>-382318.72677722073</v>
      </c>
      <c r="H71" s="1">
        <f t="shared" si="1"/>
        <v>877116.46437845088</v>
      </c>
      <c r="J71" s="10">
        <v>-150000</v>
      </c>
      <c r="K71" s="1">
        <f t="shared" si="2"/>
        <v>1500000</v>
      </c>
    </row>
    <row r="72" spans="4:11">
      <c r="D72" s="11">
        <f t="shared" si="0"/>
        <v>46295</v>
      </c>
      <c r="G72" s="10">
        <v>-409886.59975082491</v>
      </c>
      <c r="H72" s="1">
        <f t="shared" si="1"/>
        <v>467229.86462762597</v>
      </c>
      <c r="J72" s="10">
        <v>-150000</v>
      </c>
      <c r="K72" s="1">
        <f t="shared" si="2"/>
        <v>1350000</v>
      </c>
    </row>
    <row r="73" spans="4:11">
      <c r="D73" s="11">
        <f t="shared" si="0"/>
        <v>46387</v>
      </c>
      <c r="G73" s="10">
        <v>-412061.29335882131</v>
      </c>
      <c r="H73" s="1">
        <f t="shared" si="1"/>
        <v>55168.571268804662</v>
      </c>
      <c r="J73" s="10">
        <v>-150000</v>
      </c>
      <c r="K73" s="1">
        <f t="shared" si="2"/>
        <v>1200000</v>
      </c>
    </row>
    <row r="74" spans="4:11">
      <c r="D74" s="11">
        <f t="shared" si="0"/>
        <v>46477</v>
      </c>
      <c r="G74" s="10">
        <v>-55168.571268804662</v>
      </c>
      <c r="H74" s="1">
        <f t="shared" si="1"/>
        <v>0</v>
      </c>
      <c r="J74" s="10">
        <v>-150000</v>
      </c>
      <c r="K74" s="1">
        <f t="shared" si="2"/>
        <v>1050000</v>
      </c>
    </row>
    <row r="75" spans="4:11">
      <c r="D75" s="11">
        <f t="shared" si="0"/>
        <v>46568</v>
      </c>
      <c r="G75" s="10"/>
      <c r="H75" s="1">
        <f t="shared" si="1"/>
        <v>0</v>
      </c>
      <c r="J75" s="10">
        <v>-150000</v>
      </c>
      <c r="K75" s="1">
        <f t="shared" si="2"/>
        <v>900000</v>
      </c>
    </row>
    <row r="76" spans="4:11">
      <c r="D76" s="11">
        <f t="shared" si="0"/>
        <v>46660</v>
      </c>
      <c r="G76" s="10"/>
      <c r="H76" s="1">
        <f t="shared" si="1"/>
        <v>0</v>
      </c>
      <c r="J76" s="10">
        <v>-150000</v>
      </c>
      <c r="K76" s="1">
        <f t="shared" si="2"/>
        <v>750000</v>
      </c>
    </row>
    <row r="77" spans="4:11">
      <c r="D77" s="11">
        <f t="shared" si="0"/>
        <v>46752</v>
      </c>
      <c r="G77" s="10"/>
      <c r="H77" s="1">
        <f t="shared" si="1"/>
        <v>0</v>
      </c>
      <c r="J77" s="10">
        <v>-150000</v>
      </c>
      <c r="K77" s="1">
        <f t="shared" si="2"/>
        <v>600000</v>
      </c>
    </row>
    <row r="78" spans="4:11">
      <c r="D78" s="11">
        <f t="shared" si="0"/>
        <v>46843</v>
      </c>
      <c r="G78" s="10"/>
      <c r="H78" s="1">
        <f t="shared" si="1"/>
        <v>0</v>
      </c>
      <c r="J78" s="10">
        <v>-150000</v>
      </c>
      <c r="K78" s="1">
        <f t="shared" si="2"/>
        <v>450000</v>
      </c>
    </row>
    <row r="79" spans="4:11">
      <c r="D79" s="11">
        <f t="shared" si="0"/>
        <v>46934</v>
      </c>
      <c r="G79" s="10"/>
      <c r="H79" s="1">
        <f t="shared" si="1"/>
        <v>0</v>
      </c>
      <c r="J79" s="10">
        <v>-150000</v>
      </c>
      <c r="K79" s="1">
        <f t="shared" si="2"/>
        <v>300000</v>
      </c>
    </row>
    <row r="80" spans="4:11">
      <c r="D80" s="11">
        <f t="shared" si="0"/>
        <v>47026</v>
      </c>
      <c r="G80" s="10"/>
      <c r="H80" s="1">
        <f t="shared" si="1"/>
        <v>0</v>
      </c>
      <c r="J80" s="10">
        <v>-150000</v>
      </c>
      <c r="K80" s="1">
        <f t="shared" si="2"/>
        <v>150000</v>
      </c>
    </row>
    <row r="81" spans="2:13">
      <c r="D81" s="11">
        <f t="shared" si="0"/>
        <v>47118</v>
      </c>
      <c r="G81" s="10"/>
      <c r="H81" s="1">
        <f t="shared" si="1"/>
        <v>0</v>
      </c>
      <c r="J81" s="10">
        <v>-150000</v>
      </c>
      <c r="K81" s="1">
        <f t="shared" si="2"/>
        <v>0</v>
      </c>
    </row>
    <row r="84" spans="2:13">
      <c r="B84" s="5" t="s">
        <v>39</v>
      </c>
    </row>
    <row r="85" spans="2:13">
      <c r="C85" s="2"/>
    </row>
    <row r="86" spans="2:13" ht="14.4">
      <c r="C86" s="6"/>
      <c r="D86" s="8" t="s">
        <v>40</v>
      </c>
      <c r="E86" s="8"/>
      <c r="F86" s="8">
        <v>1</v>
      </c>
      <c r="G86" s="8">
        <v>2</v>
      </c>
      <c r="H86" s="8">
        <v>3</v>
      </c>
      <c r="I86" s="8">
        <v>4</v>
      </c>
      <c r="J86" s="8">
        <v>5</v>
      </c>
      <c r="K86" s="8">
        <v>6</v>
      </c>
    </row>
    <row r="87" spans="2:13" ht="14.4">
      <c r="C87" s="6"/>
      <c r="D87" s="8" t="s">
        <v>41</v>
      </c>
      <c r="E87" s="8"/>
      <c r="F87" s="13" t="s">
        <v>42</v>
      </c>
      <c r="G87" s="13" t="s">
        <v>43</v>
      </c>
      <c r="H87" s="13" t="s">
        <v>44</v>
      </c>
      <c r="I87" s="13" t="s">
        <v>45</v>
      </c>
      <c r="J87" s="13" t="s">
        <v>46</v>
      </c>
      <c r="K87" s="13" t="s">
        <v>47</v>
      </c>
      <c r="M87" s="1" t="str" cm="1">
        <f t="array" ref="M87:M92" xml:space="preserve"> TRANSPOSE( $F$87:$K$87 )</f>
        <v>Base Case</v>
      </c>
    </row>
    <row r="88" spans="2:13" ht="14.4">
      <c r="D88" s="12" t="s">
        <v>38</v>
      </c>
      <c r="F88" s="9" t="s">
        <v>1</v>
      </c>
      <c r="G88" s="9" t="s">
        <v>1</v>
      </c>
      <c r="H88" s="9" t="s">
        <v>1</v>
      </c>
      <c r="I88" s="9" t="s">
        <v>1</v>
      </c>
      <c r="J88" s="9" t="s">
        <v>1</v>
      </c>
      <c r="K88" s="9" t="s">
        <v>1</v>
      </c>
      <c r="M88" s="1" t="str">
        <v>Case 2</v>
      </c>
    </row>
    <row r="89" spans="2:13">
      <c r="D89" s="51">
        <f>$G$31</f>
        <v>43555</v>
      </c>
      <c r="F89" s="47">
        <v>679388</v>
      </c>
      <c r="G89" s="47">
        <v>736761</v>
      </c>
      <c r="H89" s="47">
        <v>571081</v>
      </c>
      <c r="I89" s="47">
        <v>655292</v>
      </c>
      <c r="J89" s="47">
        <v>679388</v>
      </c>
      <c r="K89" s="47">
        <v>602417</v>
      </c>
      <c r="M89" s="1" t="str">
        <v>Case 3</v>
      </c>
    </row>
    <row r="90" spans="2:13">
      <c r="D90" s="11">
        <f t="shared" ref="D90:D128" si="3">EOMONTH(D89,3)</f>
        <v>43646</v>
      </c>
      <c r="F90" s="47">
        <v>672030</v>
      </c>
      <c r="G90" s="47">
        <v>640675</v>
      </c>
      <c r="H90" s="47">
        <v>638069</v>
      </c>
      <c r="I90" s="47">
        <v>621828</v>
      </c>
      <c r="J90" s="47">
        <v>672030</v>
      </c>
      <c r="K90" s="47">
        <v>595476</v>
      </c>
      <c r="M90" s="1" t="str">
        <v>Case 4</v>
      </c>
    </row>
    <row r="91" spans="2:13">
      <c r="D91" s="11">
        <f t="shared" si="3"/>
        <v>43738</v>
      </c>
      <c r="F91" s="47">
        <v>665707</v>
      </c>
      <c r="G91" s="47">
        <v>699072</v>
      </c>
      <c r="H91" s="47">
        <v>613173</v>
      </c>
      <c r="I91" s="47">
        <v>648860</v>
      </c>
      <c r="J91" s="47">
        <v>665707</v>
      </c>
      <c r="K91" s="47">
        <v>593198</v>
      </c>
      <c r="M91" s="1" t="str">
        <v>Case 5</v>
      </c>
    </row>
    <row r="92" spans="2:13">
      <c r="D92" s="11">
        <f t="shared" si="3"/>
        <v>43830</v>
      </c>
      <c r="F92" s="47">
        <v>663538</v>
      </c>
      <c r="G92" s="47">
        <v>716185</v>
      </c>
      <c r="H92" s="47">
        <v>660141</v>
      </c>
      <c r="I92" s="47">
        <v>631452</v>
      </c>
      <c r="J92" s="47">
        <v>663538</v>
      </c>
      <c r="K92" s="47">
        <v>606599</v>
      </c>
      <c r="M92" s="1" t="str">
        <v>Case 6</v>
      </c>
    </row>
    <row r="93" spans="2:13">
      <c r="D93" s="11">
        <f t="shared" si="3"/>
        <v>43921</v>
      </c>
      <c r="F93" s="47">
        <v>664533</v>
      </c>
      <c r="G93" s="47">
        <v>745018</v>
      </c>
      <c r="H93" s="47">
        <v>660429</v>
      </c>
      <c r="I93" s="47">
        <v>627040</v>
      </c>
      <c r="J93" s="47">
        <v>664533</v>
      </c>
      <c r="K93" s="47">
        <v>631767</v>
      </c>
    </row>
    <row r="94" spans="2:13">
      <c r="D94" s="11">
        <f t="shared" si="3"/>
        <v>44012</v>
      </c>
      <c r="F94" s="47">
        <v>650141</v>
      </c>
      <c r="G94" s="47">
        <v>647540</v>
      </c>
      <c r="H94" s="47">
        <v>627234</v>
      </c>
      <c r="I94" s="47">
        <v>642721</v>
      </c>
      <c r="J94" s="47">
        <v>650141</v>
      </c>
      <c r="K94" s="47">
        <v>610527</v>
      </c>
    </row>
    <row r="95" spans="2:13">
      <c r="D95" s="11">
        <f t="shared" si="3"/>
        <v>44104</v>
      </c>
      <c r="F95" s="47">
        <v>649560</v>
      </c>
      <c r="G95" s="47">
        <v>610710</v>
      </c>
      <c r="H95" s="47">
        <v>540570</v>
      </c>
      <c r="I95" s="47">
        <v>614186</v>
      </c>
      <c r="J95" s="47">
        <v>649560</v>
      </c>
      <c r="K95" s="47">
        <v>585598</v>
      </c>
    </row>
    <row r="96" spans="2:13">
      <c r="D96" s="11">
        <f t="shared" si="3"/>
        <v>44196</v>
      </c>
      <c r="F96" s="47">
        <v>645058</v>
      </c>
      <c r="G96" s="47">
        <v>524218</v>
      </c>
      <c r="H96" s="47">
        <v>559566</v>
      </c>
      <c r="I96" s="47">
        <v>637301</v>
      </c>
      <c r="J96" s="47">
        <v>322529</v>
      </c>
      <c r="K96" s="47">
        <v>637572</v>
      </c>
    </row>
    <row r="97" spans="4:11">
      <c r="D97" s="11">
        <f t="shared" si="3"/>
        <v>44286</v>
      </c>
      <c r="F97" s="47">
        <v>676898</v>
      </c>
      <c r="G97" s="47">
        <v>588415</v>
      </c>
      <c r="H97" s="47">
        <v>641777</v>
      </c>
      <c r="I97" s="47">
        <v>614478</v>
      </c>
      <c r="J97" s="47">
        <v>338449</v>
      </c>
      <c r="K97" s="47">
        <v>646990</v>
      </c>
    </row>
    <row r="98" spans="4:11">
      <c r="D98" s="11">
        <f t="shared" si="3"/>
        <v>44377</v>
      </c>
      <c r="F98" s="47">
        <v>642290</v>
      </c>
      <c r="G98" s="47">
        <v>734340</v>
      </c>
      <c r="H98" s="47">
        <v>535813</v>
      </c>
      <c r="I98" s="47">
        <v>642224</v>
      </c>
      <c r="J98" s="47">
        <v>321145</v>
      </c>
      <c r="K98" s="47">
        <v>675583</v>
      </c>
    </row>
    <row r="99" spans="4:11">
      <c r="D99" s="11">
        <f t="shared" si="3"/>
        <v>44469</v>
      </c>
      <c r="F99" s="47">
        <v>652741</v>
      </c>
      <c r="G99" s="47">
        <v>701469</v>
      </c>
      <c r="H99" s="47">
        <v>602155</v>
      </c>
      <c r="I99" s="47">
        <v>609670</v>
      </c>
      <c r="J99" s="47">
        <v>326370.5</v>
      </c>
      <c r="K99" s="47">
        <v>584611</v>
      </c>
    </row>
    <row r="100" spans="4:11">
      <c r="D100" s="11">
        <f t="shared" si="3"/>
        <v>44561</v>
      </c>
      <c r="F100" s="47">
        <v>643964</v>
      </c>
      <c r="G100" s="47">
        <v>730507</v>
      </c>
      <c r="H100" s="47">
        <v>658754</v>
      </c>
      <c r="I100" s="47">
        <v>579572</v>
      </c>
      <c r="J100" s="47">
        <v>321982</v>
      </c>
      <c r="K100" s="47">
        <v>218154</v>
      </c>
    </row>
    <row r="101" spans="4:11">
      <c r="D101" s="11">
        <f t="shared" si="3"/>
        <v>44651</v>
      </c>
      <c r="F101" s="47">
        <v>642292</v>
      </c>
      <c r="G101" s="47">
        <v>647014</v>
      </c>
      <c r="H101" s="47">
        <v>587599</v>
      </c>
      <c r="I101" s="47">
        <v>630557</v>
      </c>
      <c r="J101" s="47">
        <v>642292</v>
      </c>
      <c r="K101" s="47">
        <v>227447</v>
      </c>
    </row>
    <row r="102" spans="4:11">
      <c r="D102" s="11">
        <f t="shared" si="3"/>
        <v>44742</v>
      </c>
      <c r="F102" s="47">
        <v>671775</v>
      </c>
      <c r="G102" s="47">
        <v>669273</v>
      </c>
      <c r="H102" s="47">
        <v>642603</v>
      </c>
      <c r="I102" s="47">
        <v>656933</v>
      </c>
      <c r="J102" s="47">
        <v>671775</v>
      </c>
      <c r="K102" s="47">
        <v>265153</v>
      </c>
    </row>
    <row r="103" spans="4:11">
      <c r="D103" s="11">
        <f t="shared" si="3"/>
        <v>44834</v>
      </c>
      <c r="F103" s="47">
        <v>674599</v>
      </c>
      <c r="G103" s="47">
        <v>658660</v>
      </c>
      <c r="H103" s="47">
        <v>593452</v>
      </c>
      <c r="I103" s="47">
        <v>673605</v>
      </c>
      <c r="J103" s="47">
        <v>674599</v>
      </c>
      <c r="K103" s="47">
        <v>259078</v>
      </c>
    </row>
    <row r="104" spans="4:11">
      <c r="D104" s="11">
        <f t="shared" si="3"/>
        <v>44926</v>
      </c>
      <c r="F104" s="47">
        <v>685274</v>
      </c>
      <c r="G104" s="47">
        <v>818256</v>
      </c>
      <c r="H104" s="47">
        <v>584660</v>
      </c>
      <c r="I104" s="47">
        <v>395608</v>
      </c>
      <c r="J104" s="47">
        <v>685274</v>
      </c>
      <c r="K104" s="47">
        <v>604305</v>
      </c>
    </row>
    <row r="105" spans="4:11">
      <c r="D105" s="11">
        <f t="shared" si="3"/>
        <v>45016</v>
      </c>
      <c r="F105" s="47">
        <v>660287</v>
      </c>
      <c r="G105" s="47">
        <v>730792</v>
      </c>
      <c r="H105" s="47">
        <v>536959</v>
      </c>
      <c r="I105" s="47">
        <v>372328</v>
      </c>
      <c r="J105" s="47">
        <v>660287</v>
      </c>
      <c r="K105" s="47">
        <v>574768</v>
      </c>
    </row>
    <row r="106" spans="4:11">
      <c r="D106" s="11">
        <f t="shared" si="3"/>
        <v>45107</v>
      </c>
      <c r="F106" s="47">
        <v>677193</v>
      </c>
      <c r="G106" s="47">
        <v>663189</v>
      </c>
      <c r="H106" s="47">
        <v>618690</v>
      </c>
      <c r="I106" s="47">
        <v>405887</v>
      </c>
      <c r="J106" s="47">
        <v>677193</v>
      </c>
      <c r="K106" s="47">
        <v>641271</v>
      </c>
    </row>
    <row r="107" spans="4:11">
      <c r="D107" s="11">
        <f t="shared" si="3"/>
        <v>45199</v>
      </c>
      <c r="F107" s="47">
        <v>687307</v>
      </c>
      <c r="G107" s="47">
        <v>600304</v>
      </c>
      <c r="H107" s="47">
        <v>636276</v>
      </c>
      <c r="I107" s="47">
        <v>405109</v>
      </c>
      <c r="J107" s="47">
        <v>687307</v>
      </c>
      <c r="K107" s="47">
        <v>640757</v>
      </c>
    </row>
    <row r="108" spans="4:11">
      <c r="D108" s="11">
        <f t="shared" si="3"/>
        <v>45291</v>
      </c>
      <c r="F108" s="47">
        <v>699274</v>
      </c>
      <c r="G108" s="47">
        <v>627364</v>
      </c>
      <c r="H108" s="47">
        <v>648322</v>
      </c>
      <c r="I108" s="47">
        <v>637859</v>
      </c>
      <c r="J108" s="47">
        <v>699274</v>
      </c>
      <c r="K108" s="47">
        <v>633725</v>
      </c>
    </row>
    <row r="109" spans="4:11">
      <c r="D109" s="11">
        <f t="shared" si="3"/>
        <v>45382</v>
      </c>
      <c r="F109" s="47">
        <v>719236</v>
      </c>
      <c r="G109" s="47">
        <v>729041</v>
      </c>
      <c r="H109" s="47">
        <v>650611</v>
      </c>
      <c r="I109" s="47">
        <v>680169</v>
      </c>
      <c r="J109" s="47">
        <v>719236</v>
      </c>
      <c r="K109" s="47">
        <v>576167</v>
      </c>
    </row>
    <row r="110" spans="4:11">
      <c r="D110" s="11">
        <f t="shared" si="3"/>
        <v>45473</v>
      </c>
      <c r="F110" s="47">
        <v>693326</v>
      </c>
      <c r="G110" s="47">
        <v>640052</v>
      </c>
      <c r="H110" s="47">
        <v>676113</v>
      </c>
      <c r="I110" s="47">
        <v>668995</v>
      </c>
      <c r="J110" s="47">
        <v>693326</v>
      </c>
      <c r="K110" s="47">
        <v>581131</v>
      </c>
    </row>
    <row r="111" spans="4:11">
      <c r="D111" s="11">
        <f t="shared" si="3"/>
        <v>45565</v>
      </c>
      <c r="F111" s="47">
        <v>713143</v>
      </c>
      <c r="G111" s="47">
        <v>838110</v>
      </c>
      <c r="H111" s="47">
        <v>742522</v>
      </c>
      <c r="I111" s="47">
        <v>666921</v>
      </c>
      <c r="J111" s="47">
        <v>713143</v>
      </c>
      <c r="K111" s="47">
        <v>709982</v>
      </c>
    </row>
    <row r="112" spans="4:11">
      <c r="D112" s="11">
        <f t="shared" si="3"/>
        <v>45657</v>
      </c>
      <c r="F112" s="47">
        <v>698365</v>
      </c>
      <c r="G112" s="47">
        <v>730218</v>
      </c>
      <c r="H112" s="47">
        <v>657789</v>
      </c>
      <c r="I112" s="47">
        <v>687303</v>
      </c>
      <c r="J112" s="47">
        <v>698365</v>
      </c>
      <c r="K112" s="47">
        <v>602019</v>
      </c>
    </row>
    <row r="113" spans="4:11">
      <c r="D113" s="11">
        <f t="shared" si="3"/>
        <v>45747</v>
      </c>
      <c r="F113" s="47">
        <v>699462</v>
      </c>
      <c r="G113" s="47">
        <v>590374</v>
      </c>
      <c r="H113" s="47">
        <v>605316</v>
      </c>
      <c r="I113" s="47">
        <v>640106</v>
      </c>
      <c r="J113" s="47">
        <v>699462</v>
      </c>
      <c r="K113" s="47">
        <v>675479</v>
      </c>
    </row>
    <row r="114" spans="4:11">
      <c r="D114" s="11">
        <f t="shared" si="3"/>
        <v>45838</v>
      </c>
      <c r="F114" s="47">
        <v>706344</v>
      </c>
      <c r="G114" s="47">
        <v>751414</v>
      </c>
      <c r="H114" s="47">
        <v>635409</v>
      </c>
      <c r="I114" s="47">
        <v>636214</v>
      </c>
      <c r="J114" s="47">
        <v>706344</v>
      </c>
      <c r="K114" s="47">
        <v>669801</v>
      </c>
    </row>
    <row r="115" spans="4:11">
      <c r="D115" s="11">
        <f t="shared" si="3"/>
        <v>45930</v>
      </c>
      <c r="F115" s="47">
        <v>738541</v>
      </c>
      <c r="G115" s="47">
        <v>661443</v>
      </c>
      <c r="H115" s="47">
        <v>594334</v>
      </c>
      <c r="I115" s="47">
        <v>703537</v>
      </c>
      <c r="J115" s="47">
        <v>738541</v>
      </c>
      <c r="K115" s="47">
        <v>709031</v>
      </c>
    </row>
    <row r="116" spans="4:11">
      <c r="D116" s="11">
        <f t="shared" si="3"/>
        <v>46022</v>
      </c>
      <c r="F116" s="47">
        <v>706443</v>
      </c>
      <c r="G116" s="47">
        <v>786469</v>
      </c>
      <c r="H116" s="47">
        <v>638303</v>
      </c>
      <c r="I116" s="47">
        <v>684143</v>
      </c>
      <c r="J116" s="47">
        <v>706443</v>
      </c>
      <c r="K116" s="47">
        <v>693006</v>
      </c>
    </row>
    <row r="117" spans="4:11">
      <c r="D117" s="11">
        <f t="shared" si="3"/>
        <v>46112</v>
      </c>
      <c r="F117" s="47">
        <v>696744</v>
      </c>
      <c r="G117" s="47">
        <v>650717</v>
      </c>
      <c r="H117" s="47">
        <v>664796</v>
      </c>
      <c r="I117" s="47">
        <v>668669</v>
      </c>
      <c r="J117" s="47">
        <v>696744</v>
      </c>
      <c r="K117" s="47">
        <v>717913</v>
      </c>
    </row>
    <row r="118" spans="4:11">
      <c r="D118" s="11">
        <f t="shared" si="3"/>
        <v>46203</v>
      </c>
      <c r="F118" s="47">
        <v>714636</v>
      </c>
      <c r="G118" s="47">
        <v>639007</v>
      </c>
      <c r="H118" s="47">
        <v>747078</v>
      </c>
      <c r="I118" s="47">
        <v>705546</v>
      </c>
      <c r="J118" s="47">
        <v>714636</v>
      </c>
      <c r="K118" s="47">
        <v>628697</v>
      </c>
    </row>
    <row r="119" spans="4:11">
      <c r="D119" s="11">
        <f t="shared" si="3"/>
        <v>46295</v>
      </c>
      <c r="F119" s="47">
        <v>755656</v>
      </c>
      <c r="G119" s="47">
        <v>784076</v>
      </c>
      <c r="H119" s="47">
        <v>784464</v>
      </c>
      <c r="I119" s="47">
        <v>718611</v>
      </c>
      <c r="J119" s="47">
        <v>755656</v>
      </c>
      <c r="K119" s="47">
        <v>657781</v>
      </c>
    </row>
    <row r="120" spans="4:11">
      <c r="D120" s="11">
        <f t="shared" si="3"/>
        <v>46387</v>
      </c>
      <c r="F120" s="47">
        <v>750348</v>
      </c>
      <c r="G120" s="47">
        <v>759055</v>
      </c>
      <c r="H120" s="47">
        <v>744347</v>
      </c>
      <c r="I120" s="47">
        <v>713253</v>
      </c>
      <c r="J120" s="47">
        <v>750348</v>
      </c>
      <c r="K120" s="47">
        <v>700979</v>
      </c>
    </row>
    <row r="121" spans="4:11">
      <c r="D121" s="11">
        <f t="shared" si="3"/>
        <v>46477</v>
      </c>
      <c r="F121" s="47">
        <v>740563</v>
      </c>
      <c r="G121" s="47">
        <v>814298</v>
      </c>
      <c r="H121" s="47">
        <v>626636</v>
      </c>
      <c r="I121" s="47">
        <v>695644</v>
      </c>
      <c r="J121" s="47">
        <v>740563</v>
      </c>
      <c r="K121" s="47">
        <v>638273</v>
      </c>
    </row>
    <row r="122" spans="4:11">
      <c r="D122" s="11">
        <f t="shared" si="3"/>
        <v>46568</v>
      </c>
      <c r="F122" s="47">
        <v>731253</v>
      </c>
      <c r="G122" s="47">
        <v>653133</v>
      </c>
      <c r="H122" s="47">
        <v>765039</v>
      </c>
      <c r="I122" s="47">
        <v>683741</v>
      </c>
      <c r="J122" s="47">
        <v>731253</v>
      </c>
      <c r="K122" s="47">
        <v>652849</v>
      </c>
    </row>
    <row r="123" spans="4:11">
      <c r="D123" s="11">
        <f t="shared" si="3"/>
        <v>46660</v>
      </c>
      <c r="F123" s="47">
        <v>755344</v>
      </c>
      <c r="G123" s="47">
        <v>765954</v>
      </c>
      <c r="H123" s="47">
        <v>617522</v>
      </c>
      <c r="I123" s="47">
        <v>685488</v>
      </c>
      <c r="J123" s="47">
        <v>755344</v>
      </c>
      <c r="K123" s="47">
        <v>724981</v>
      </c>
    </row>
    <row r="124" spans="4:11">
      <c r="D124" s="11">
        <f t="shared" si="3"/>
        <v>46752</v>
      </c>
      <c r="F124" s="47">
        <v>768793</v>
      </c>
      <c r="G124" s="47">
        <v>822574</v>
      </c>
      <c r="H124" s="47">
        <v>631769</v>
      </c>
      <c r="I124" s="47">
        <v>766783</v>
      </c>
      <c r="J124" s="47">
        <v>768793</v>
      </c>
      <c r="K124" s="47">
        <v>637701</v>
      </c>
    </row>
    <row r="125" spans="4:11">
      <c r="D125" s="11">
        <f t="shared" si="3"/>
        <v>46843</v>
      </c>
      <c r="F125" s="47">
        <v>764348</v>
      </c>
      <c r="G125" s="47">
        <v>791451</v>
      </c>
      <c r="H125" s="47">
        <v>749709</v>
      </c>
      <c r="I125" s="47">
        <v>709538</v>
      </c>
      <c r="J125" s="47">
        <v>764348</v>
      </c>
      <c r="K125" s="47">
        <v>745903</v>
      </c>
    </row>
    <row r="126" spans="4:11">
      <c r="D126" s="11">
        <f t="shared" si="3"/>
        <v>46934</v>
      </c>
      <c r="F126" s="47">
        <v>758728</v>
      </c>
      <c r="G126" s="47">
        <v>776386</v>
      </c>
      <c r="H126" s="47">
        <v>615000</v>
      </c>
      <c r="I126" s="47">
        <v>737748</v>
      </c>
      <c r="J126" s="47">
        <v>758728</v>
      </c>
      <c r="K126" s="47">
        <v>750208</v>
      </c>
    </row>
    <row r="127" spans="4:11">
      <c r="D127" s="11">
        <f t="shared" si="3"/>
        <v>47026</v>
      </c>
      <c r="F127" s="47">
        <v>771909</v>
      </c>
      <c r="G127" s="47">
        <v>913508</v>
      </c>
      <c r="H127" s="47">
        <v>730467</v>
      </c>
      <c r="I127" s="47">
        <v>766729</v>
      </c>
      <c r="J127" s="47">
        <v>771909</v>
      </c>
      <c r="K127" s="47">
        <v>740965</v>
      </c>
    </row>
    <row r="128" spans="4:11">
      <c r="D128" s="11">
        <f t="shared" si="3"/>
        <v>47118</v>
      </c>
      <c r="F128" s="47">
        <v>772307</v>
      </c>
      <c r="G128" s="47">
        <v>726385</v>
      </c>
      <c r="H128" s="47">
        <v>641674</v>
      </c>
      <c r="I128" s="47">
        <v>699850</v>
      </c>
      <c r="J128" s="47">
        <v>772307</v>
      </c>
      <c r="K128" s="47">
        <v>750009</v>
      </c>
    </row>
    <row r="129" spans="3:4">
      <c r="D129" s="11"/>
    </row>
    <row r="130" spans="3:4">
      <c r="D130" s="11"/>
    </row>
    <row r="131" spans="3:4" s="70" customFormat="1">
      <c r="D131" s="71"/>
    </row>
    <row r="132" spans="3:4">
      <c r="D132" s="11"/>
    </row>
    <row r="133" spans="3:4">
      <c r="C133" s="1" t="s">
        <v>110</v>
      </c>
      <c r="D133" s="57" t="s">
        <v>111</v>
      </c>
    </row>
    <row r="134" spans="3:4">
      <c r="C134" s="1" t="s">
        <v>112</v>
      </c>
      <c r="D134" s="58" t="s">
        <v>113</v>
      </c>
    </row>
    <row r="135" spans="3:4">
      <c r="D135" s="11"/>
    </row>
    <row r="137" spans="3:4" ht="13.8">
      <c r="C137" s="55" t="s">
        <v>127</v>
      </c>
      <c r="D137" s="59" t="str" cm="1">
        <f t="array" ref="D137:D142" xml:space="preserve"> TRANSPOSE( CaseData!$F$87:$K$87 )</f>
        <v>Base Case</v>
      </c>
    </row>
    <row r="138" spans="3:4" ht="13.8">
      <c r="C138" s="55"/>
      <c r="D138" s="59" t="str">
        <v>Case 2</v>
      </c>
    </row>
    <row r="139" spans="3:4" ht="13.8">
      <c r="C139" s="55"/>
      <c r="D139" s="59" t="str">
        <v>Case 3</v>
      </c>
    </row>
    <row r="140" spans="3:4" ht="13.8">
      <c r="C140" s="55"/>
      <c r="D140" s="59" t="str">
        <v>Case 4</v>
      </c>
    </row>
    <row r="141" spans="3:4" ht="13.8">
      <c r="C141" s="55"/>
      <c r="D141" s="59" t="str">
        <v>Case 5</v>
      </c>
    </row>
    <row r="142" spans="3:4" ht="13.8">
      <c r="C142" s="55"/>
      <c r="D142" s="59" t="str">
        <v>Case 6</v>
      </c>
    </row>
    <row r="147" spans="1:11">
      <c r="A147" s="4" t="s">
        <v>6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D71B2-A91A-42D7-A4FC-1383143D3A1A}">
  <sheetPr>
    <pageSetUpPr fitToPage="1"/>
  </sheetPr>
  <dimension ref="B2:AW147"/>
  <sheetViews>
    <sheetView showGridLines="0" zoomScaleNormal="100" workbookViewId="0">
      <pane xSplit="8" ySplit="5" topLeftCell="I8" activePane="bottomRight" state="frozen"/>
      <selection pane="topRight" activeCell="I1" sqref="I1"/>
      <selection pane="bottomLeft" activeCell="A6" sqref="A6"/>
      <selection pane="bottomRight" activeCell="J47" sqref="J47"/>
    </sheetView>
  </sheetViews>
  <sheetFormatPr defaultColWidth="8.5546875" defaultRowHeight="13.2"/>
  <cols>
    <col min="1" max="1" width="2.5546875" style="14" customWidth="1"/>
    <col min="2" max="5" width="1.5546875" style="14" customWidth="1"/>
    <col min="6" max="7" width="8.5546875" style="14"/>
    <col min="8" max="49" width="12.5546875" style="14" customWidth="1"/>
    <col min="50" max="16384" width="8.5546875" style="14"/>
  </cols>
  <sheetData>
    <row r="2" spans="2:49">
      <c r="B2" s="14" t="s">
        <v>7</v>
      </c>
      <c r="I2" s="15"/>
      <c r="J2" s="39">
        <f>I3+1</f>
        <v>43466</v>
      </c>
      <c r="K2" s="39">
        <f t="shared" ref="K2:AW2" si="0">J3+1</f>
        <v>43556</v>
      </c>
      <c r="L2" s="39">
        <f t="shared" si="0"/>
        <v>43647</v>
      </c>
      <c r="M2" s="39">
        <f t="shared" si="0"/>
        <v>43739</v>
      </c>
      <c r="N2" s="39">
        <f t="shared" si="0"/>
        <v>43831</v>
      </c>
      <c r="O2" s="39">
        <f t="shared" si="0"/>
        <v>43922</v>
      </c>
      <c r="P2" s="39">
        <f t="shared" si="0"/>
        <v>44013</v>
      </c>
      <c r="Q2" s="39">
        <f t="shared" si="0"/>
        <v>44105</v>
      </c>
      <c r="R2" s="39">
        <f t="shared" si="0"/>
        <v>44197</v>
      </c>
      <c r="S2" s="39">
        <f t="shared" si="0"/>
        <v>44287</v>
      </c>
      <c r="T2" s="39">
        <f t="shared" si="0"/>
        <v>44378</v>
      </c>
      <c r="U2" s="39">
        <f t="shared" si="0"/>
        <v>44470</v>
      </c>
      <c r="V2" s="39">
        <f t="shared" si="0"/>
        <v>44562</v>
      </c>
      <c r="W2" s="39">
        <f t="shared" si="0"/>
        <v>44652</v>
      </c>
      <c r="X2" s="39">
        <f t="shared" si="0"/>
        <v>44743</v>
      </c>
      <c r="Y2" s="39">
        <f t="shared" si="0"/>
        <v>44835</v>
      </c>
      <c r="Z2" s="39">
        <f t="shared" si="0"/>
        <v>44927</v>
      </c>
      <c r="AA2" s="39">
        <f t="shared" si="0"/>
        <v>45017</v>
      </c>
      <c r="AB2" s="39">
        <f t="shared" si="0"/>
        <v>45108</v>
      </c>
      <c r="AC2" s="39">
        <f t="shared" si="0"/>
        <v>45200</v>
      </c>
      <c r="AD2" s="39">
        <f t="shared" si="0"/>
        <v>45292</v>
      </c>
      <c r="AE2" s="39">
        <f t="shared" si="0"/>
        <v>45383</v>
      </c>
      <c r="AF2" s="39">
        <f t="shared" si="0"/>
        <v>45474</v>
      </c>
      <c r="AG2" s="39">
        <f t="shared" si="0"/>
        <v>45566</v>
      </c>
      <c r="AH2" s="39">
        <f t="shared" si="0"/>
        <v>45658</v>
      </c>
      <c r="AI2" s="39">
        <f t="shared" si="0"/>
        <v>45748</v>
      </c>
      <c r="AJ2" s="39">
        <f t="shared" si="0"/>
        <v>45839</v>
      </c>
      <c r="AK2" s="39">
        <f t="shared" si="0"/>
        <v>45931</v>
      </c>
      <c r="AL2" s="39">
        <f t="shared" si="0"/>
        <v>46023</v>
      </c>
      <c r="AM2" s="39">
        <f t="shared" si="0"/>
        <v>46113</v>
      </c>
      <c r="AN2" s="39">
        <f t="shared" si="0"/>
        <v>46204</v>
      </c>
      <c r="AO2" s="39">
        <f t="shared" si="0"/>
        <v>46296</v>
      </c>
      <c r="AP2" s="39">
        <f t="shared" si="0"/>
        <v>46388</v>
      </c>
      <c r="AQ2" s="39">
        <f t="shared" si="0"/>
        <v>46478</v>
      </c>
      <c r="AR2" s="39">
        <f t="shared" si="0"/>
        <v>46569</v>
      </c>
      <c r="AS2" s="39">
        <f t="shared" si="0"/>
        <v>46661</v>
      </c>
      <c r="AT2" s="39">
        <f t="shared" si="0"/>
        <v>46753</v>
      </c>
      <c r="AU2" s="39">
        <f t="shared" si="0"/>
        <v>46844</v>
      </c>
      <c r="AV2" s="39">
        <f t="shared" si="0"/>
        <v>46935</v>
      </c>
      <c r="AW2" s="39">
        <f t="shared" si="0"/>
        <v>47027</v>
      </c>
    </row>
    <row r="3" spans="2:49">
      <c r="B3" s="14" t="s">
        <v>8</v>
      </c>
      <c r="I3" s="45">
        <f>CaseData!G30</f>
        <v>43465</v>
      </c>
      <c r="J3" s="40">
        <f>EOMONTH(I3,3)</f>
        <v>43555</v>
      </c>
      <c r="K3" s="40">
        <f t="shared" ref="K3:AW3" si="1">EOMONTH(J3,3)</f>
        <v>43646</v>
      </c>
      <c r="L3" s="40">
        <f t="shared" si="1"/>
        <v>43738</v>
      </c>
      <c r="M3" s="40">
        <f t="shared" si="1"/>
        <v>43830</v>
      </c>
      <c r="N3" s="40">
        <f t="shared" si="1"/>
        <v>43921</v>
      </c>
      <c r="O3" s="40">
        <f t="shared" si="1"/>
        <v>44012</v>
      </c>
      <c r="P3" s="40">
        <f t="shared" si="1"/>
        <v>44104</v>
      </c>
      <c r="Q3" s="40">
        <f t="shared" si="1"/>
        <v>44196</v>
      </c>
      <c r="R3" s="40">
        <f t="shared" si="1"/>
        <v>44286</v>
      </c>
      <c r="S3" s="40">
        <f t="shared" si="1"/>
        <v>44377</v>
      </c>
      <c r="T3" s="40">
        <f t="shared" si="1"/>
        <v>44469</v>
      </c>
      <c r="U3" s="40">
        <f t="shared" si="1"/>
        <v>44561</v>
      </c>
      <c r="V3" s="40">
        <f t="shared" si="1"/>
        <v>44651</v>
      </c>
      <c r="W3" s="40">
        <f t="shared" si="1"/>
        <v>44742</v>
      </c>
      <c r="X3" s="40">
        <f t="shared" si="1"/>
        <v>44834</v>
      </c>
      <c r="Y3" s="40">
        <f t="shared" si="1"/>
        <v>44926</v>
      </c>
      <c r="Z3" s="40">
        <f t="shared" si="1"/>
        <v>45016</v>
      </c>
      <c r="AA3" s="40">
        <f t="shared" si="1"/>
        <v>45107</v>
      </c>
      <c r="AB3" s="40">
        <f t="shared" si="1"/>
        <v>45199</v>
      </c>
      <c r="AC3" s="40">
        <f t="shared" si="1"/>
        <v>45291</v>
      </c>
      <c r="AD3" s="40">
        <f t="shared" si="1"/>
        <v>45382</v>
      </c>
      <c r="AE3" s="40">
        <f t="shared" si="1"/>
        <v>45473</v>
      </c>
      <c r="AF3" s="40">
        <f t="shared" si="1"/>
        <v>45565</v>
      </c>
      <c r="AG3" s="40">
        <f t="shared" si="1"/>
        <v>45657</v>
      </c>
      <c r="AH3" s="40">
        <f t="shared" si="1"/>
        <v>45747</v>
      </c>
      <c r="AI3" s="40">
        <f t="shared" si="1"/>
        <v>45838</v>
      </c>
      <c r="AJ3" s="40">
        <f t="shared" si="1"/>
        <v>45930</v>
      </c>
      <c r="AK3" s="40">
        <f t="shared" si="1"/>
        <v>46022</v>
      </c>
      <c r="AL3" s="40">
        <f t="shared" si="1"/>
        <v>46112</v>
      </c>
      <c r="AM3" s="40">
        <f t="shared" si="1"/>
        <v>46203</v>
      </c>
      <c r="AN3" s="40">
        <f t="shared" si="1"/>
        <v>46295</v>
      </c>
      <c r="AO3" s="40">
        <f t="shared" si="1"/>
        <v>46387</v>
      </c>
      <c r="AP3" s="40">
        <f t="shared" si="1"/>
        <v>46477</v>
      </c>
      <c r="AQ3" s="40">
        <f t="shared" si="1"/>
        <v>46568</v>
      </c>
      <c r="AR3" s="40">
        <f t="shared" si="1"/>
        <v>46660</v>
      </c>
      <c r="AS3" s="40">
        <f t="shared" si="1"/>
        <v>46752</v>
      </c>
      <c r="AT3" s="40">
        <f t="shared" si="1"/>
        <v>46843</v>
      </c>
      <c r="AU3" s="40">
        <f t="shared" si="1"/>
        <v>46934</v>
      </c>
      <c r="AV3" s="40">
        <f t="shared" si="1"/>
        <v>47026</v>
      </c>
      <c r="AW3" s="40">
        <f t="shared" si="1"/>
        <v>47118</v>
      </c>
    </row>
    <row r="4" spans="2:49">
      <c r="B4" s="14" t="s">
        <v>51</v>
      </c>
      <c r="I4" s="15">
        <v>0</v>
      </c>
      <c r="J4" s="15">
        <f>I4+1</f>
        <v>1</v>
      </c>
      <c r="K4" s="15">
        <f t="shared" ref="K4:AW4" si="2">J4+1</f>
        <v>2</v>
      </c>
      <c r="L4" s="15">
        <f t="shared" si="2"/>
        <v>3</v>
      </c>
      <c r="M4" s="15">
        <f t="shared" si="2"/>
        <v>4</v>
      </c>
      <c r="N4" s="15">
        <f t="shared" si="2"/>
        <v>5</v>
      </c>
      <c r="O4" s="15">
        <f t="shared" si="2"/>
        <v>6</v>
      </c>
      <c r="P4" s="15">
        <f t="shared" si="2"/>
        <v>7</v>
      </c>
      <c r="Q4" s="15">
        <f t="shared" si="2"/>
        <v>8</v>
      </c>
      <c r="R4" s="15">
        <f t="shared" si="2"/>
        <v>9</v>
      </c>
      <c r="S4" s="15">
        <f t="shared" si="2"/>
        <v>10</v>
      </c>
      <c r="T4" s="15">
        <f t="shared" si="2"/>
        <v>11</v>
      </c>
      <c r="U4" s="15">
        <f t="shared" si="2"/>
        <v>12</v>
      </c>
      <c r="V4" s="15">
        <f t="shared" si="2"/>
        <v>13</v>
      </c>
      <c r="W4" s="15">
        <f t="shared" si="2"/>
        <v>14</v>
      </c>
      <c r="X4" s="15">
        <f t="shared" si="2"/>
        <v>15</v>
      </c>
      <c r="Y4" s="15">
        <f t="shared" si="2"/>
        <v>16</v>
      </c>
      <c r="Z4" s="15">
        <f t="shared" si="2"/>
        <v>17</v>
      </c>
      <c r="AA4" s="15">
        <f t="shared" si="2"/>
        <v>18</v>
      </c>
      <c r="AB4" s="15">
        <f t="shared" si="2"/>
        <v>19</v>
      </c>
      <c r="AC4" s="15">
        <f t="shared" si="2"/>
        <v>20</v>
      </c>
      <c r="AD4" s="15">
        <f t="shared" si="2"/>
        <v>21</v>
      </c>
      <c r="AE4" s="15">
        <f t="shared" si="2"/>
        <v>22</v>
      </c>
      <c r="AF4" s="15">
        <f t="shared" si="2"/>
        <v>23</v>
      </c>
      <c r="AG4" s="15">
        <f t="shared" si="2"/>
        <v>24</v>
      </c>
      <c r="AH4" s="15">
        <f t="shared" si="2"/>
        <v>25</v>
      </c>
      <c r="AI4" s="15">
        <f t="shared" si="2"/>
        <v>26</v>
      </c>
      <c r="AJ4" s="15">
        <f t="shared" si="2"/>
        <v>27</v>
      </c>
      <c r="AK4" s="15">
        <f t="shared" si="2"/>
        <v>28</v>
      </c>
      <c r="AL4" s="15">
        <f t="shared" si="2"/>
        <v>29</v>
      </c>
      <c r="AM4" s="15">
        <f t="shared" si="2"/>
        <v>30</v>
      </c>
      <c r="AN4" s="15">
        <f t="shared" si="2"/>
        <v>31</v>
      </c>
      <c r="AO4" s="15">
        <f t="shared" si="2"/>
        <v>32</v>
      </c>
      <c r="AP4" s="15">
        <f t="shared" si="2"/>
        <v>33</v>
      </c>
      <c r="AQ4" s="15">
        <f t="shared" si="2"/>
        <v>34</v>
      </c>
      <c r="AR4" s="15">
        <f t="shared" si="2"/>
        <v>35</v>
      </c>
      <c r="AS4" s="15">
        <f t="shared" si="2"/>
        <v>36</v>
      </c>
      <c r="AT4" s="15">
        <f t="shared" si="2"/>
        <v>37</v>
      </c>
      <c r="AU4" s="15">
        <f t="shared" si="2"/>
        <v>38</v>
      </c>
      <c r="AV4" s="15">
        <f t="shared" si="2"/>
        <v>39</v>
      </c>
      <c r="AW4" s="15">
        <f t="shared" si="2"/>
        <v>40</v>
      </c>
    </row>
    <row r="7" spans="2:49">
      <c r="B7" s="17" t="s">
        <v>52</v>
      </c>
    </row>
    <row r="9" spans="2:49">
      <c r="C9" s="14" t="s">
        <v>53</v>
      </c>
      <c r="H9" s="13" t="s">
        <v>47</v>
      </c>
      <c r="J9" s="28">
        <f>INDEX(CaseData!$F$89:$K$128,MATCH(J$3,CaseData!$D$89:$D$128,0),MATCH($H9,CaseData!$F$87:$K$87,0))</f>
        <v>602417</v>
      </c>
      <c r="K9" s="28">
        <f>INDEX(CaseData!$F$89:$K$128,MATCH(K$3,CaseData!$D$89:$D$128,0),MATCH($H9,CaseData!$F$87:$K$87,0))</f>
        <v>595476</v>
      </c>
      <c r="L9" s="28">
        <f>INDEX(CaseData!$F$89:$K$128,MATCH(L$3,CaseData!$D$89:$D$128,0),MATCH($H9,CaseData!$F$87:$K$87,0))</f>
        <v>593198</v>
      </c>
      <c r="M9" s="28">
        <f>INDEX(CaseData!$F$89:$K$128,MATCH(M$3,CaseData!$D$89:$D$128,0),MATCH($H9,CaseData!$F$87:$K$87,0))</f>
        <v>606599</v>
      </c>
      <c r="N9" s="28">
        <f>INDEX(CaseData!$F$89:$K$128,MATCH(N$3,CaseData!$D$89:$D$128,0),MATCH($H9,CaseData!$F$87:$K$87,0))</f>
        <v>631767</v>
      </c>
      <c r="O9" s="28">
        <f>INDEX(CaseData!$F$89:$K$128,MATCH(O$3,CaseData!$D$89:$D$128,0),MATCH($H9,CaseData!$F$87:$K$87,0))</f>
        <v>610527</v>
      </c>
      <c r="P9" s="28">
        <f>INDEX(CaseData!$F$89:$K$128,MATCH(P$3,CaseData!$D$89:$D$128,0),MATCH($H9,CaseData!$F$87:$K$87,0))</f>
        <v>585598</v>
      </c>
      <c r="Q9" s="28">
        <f>INDEX(CaseData!$F$89:$K$128,MATCH(Q$3,CaseData!$D$89:$D$128,0),MATCH($H9,CaseData!$F$87:$K$87,0))</f>
        <v>637572</v>
      </c>
      <c r="R9" s="28">
        <f>INDEX(CaseData!$F$89:$K$128,MATCH(R$3,CaseData!$D$89:$D$128,0),MATCH($H9,CaseData!$F$87:$K$87,0))</f>
        <v>646990</v>
      </c>
      <c r="S9" s="28">
        <f>INDEX(CaseData!$F$89:$K$128,MATCH(S$3,CaseData!$D$89:$D$128,0),MATCH($H9,CaseData!$F$87:$K$87,0))</f>
        <v>675583</v>
      </c>
      <c r="T9" s="28">
        <f>INDEX(CaseData!$F$89:$K$128,MATCH(T$3,CaseData!$D$89:$D$128,0),MATCH($H9,CaseData!$F$87:$K$87,0))</f>
        <v>584611</v>
      </c>
      <c r="U9" s="28">
        <f>INDEX(CaseData!$F$89:$K$128,MATCH(U$3,CaseData!$D$89:$D$128,0),MATCH($H9,CaseData!$F$87:$K$87,0))</f>
        <v>218154</v>
      </c>
      <c r="V9" s="28">
        <f>INDEX(CaseData!$F$89:$K$128,MATCH(V$3,CaseData!$D$89:$D$128,0),MATCH($H9,CaseData!$F$87:$K$87,0))</f>
        <v>227447</v>
      </c>
      <c r="W9" s="28">
        <f>INDEX(CaseData!$F$89:$K$128,MATCH(W$3,CaseData!$D$89:$D$128,0),MATCH($H9,CaseData!$F$87:$K$87,0))</f>
        <v>265153</v>
      </c>
      <c r="X9" s="28">
        <f>INDEX(CaseData!$F$89:$K$128,MATCH(X$3,CaseData!$D$89:$D$128,0),MATCH($H9,CaseData!$F$87:$K$87,0))</f>
        <v>259078</v>
      </c>
      <c r="Y9" s="28">
        <f>INDEX(CaseData!$F$89:$K$128,MATCH(Y$3,CaseData!$D$89:$D$128,0),MATCH($H9,CaseData!$F$87:$K$87,0))</f>
        <v>604305</v>
      </c>
      <c r="Z9" s="28">
        <f>INDEX(CaseData!$F$89:$K$128,MATCH(Z$3,CaseData!$D$89:$D$128,0),MATCH($H9,CaseData!$F$87:$K$87,0))</f>
        <v>574768</v>
      </c>
      <c r="AA9" s="28">
        <f>INDEX(CaseData!$F$89:$K$128,MATCH(AA$3,CaseData!$D$89:$D$128,0),MATCH($H9,CaseData!$F$87:$K$87,0))</f>
        <v>641271</v>
      </c>
      <c r="AB9" s="28">
        <f>INDEX(CaseData!$F$89:$K$128,MATCH(AB$3,CaseData!$D$89:$D$128,0),MATCH($H9,CaseData!$F$87:$K$87,0))</f>
        <v>640757</v>
      </c>
      <c r="AC9" s="28">
        <f>INDEX(CaseData!$F$89:$K$128,MATCH(AC$3,CaseData!$D$89:$D$128,0),MATCH($H9,CaseData!$F$87:$K$87,0))</f>
        <v>633725</v>
      </c>
      <c r="AD9" s="28">
        <f>INDEX(CaseData!$F$89:$K$128,MATCH(AD$3,CaseData!$D$89:$D$128,0),MATCH($H9,CaseData!$F$87:$K$87,0))</f>
        <v>576167</v>
      </c>
      <c r="AE9" s="28">
        <f>INDEX(CaseData!$F$89:$K$128,MATCH(AE$3,CaseData!$D$89:$D$128,0),MATCH($H9,CaseData!$F$87:$K$87,0))</f>
        <v>581131</v>
      </c>
      <c r="AF9" s="28">
        <f>INDEX(CaseData!$F$89:$K$128,MATCH(AF$3,CaseData!$D$89:$D$128,0),MATCH($H9,CaseData!$F$87:$K$87,0))</f>
        <v>709982</v>
      </c>
      <c r="AG9" s="28">
        <f>INDEX(CaseData!$F$89:$K$128,MATCH(AG$3,CaseData!$D$89:$D$128,0),MATCH($H9,CaseData!$F$87:$K$87,0))</f>
        <v>602019</v>
      </c>
      <c r="AH9" s="28">
        <f>INDEX(CaseData!$F$89:$K$128,MATCH(AH$3,CaseData!$D$89:$D$128,0),MATCH($H9,CaseData!$F$87:$K$87,0))</f>
        <v>675479</v>
      </c>
      <c r="AI9" s="28">
        <f>INDEX(CaseData!$F$89:$K$128,MATCH(AI$3,CaseData!$D$89:$D$128,0),MATCH($H9,CaseData!$F$87:$K$87,0))</f>
        <v>669801</v>
      </c>
      <c r="AJ9" s="28">
        <f>INDEX(CaseData!$F$89:$K$128,MATCH(AJ$3,CaseData!$D$89:$D$128,0),MATCH($H9,CaseData!$F$87:$K$87,0))</f>
        <v>709031</v>
      </c>
      <c r="AK9" s="28">
        <f>INDEX(CaseData!$F$89:$K$128,MATCH(AK$3,CaseData!$D$89:$D$128,0),MATCH($H9,CaseData!$F$87:$K$87,0))</f>
        <v>693006</v>
      </c>
      <c r="AL9" s="28">
        <f>INDEX(CaseData!$F$89:$K$128,MATCH(AL$3,CaseData!$D$89:$D$128,0),MATCH($H9,CaseData!$F$87:$K$87,0))</f>
        <v>717913</v>
      </c>
      <c r="AM9" s="28">
        <f>INDEX(CaseData!$F$89:$K$128,MATCH(AM$3,CaseData!$D$89:$D$128,0),MATCH($H9,CaseData!$F$87:$K$87,0))</f>
        <v>628697</v>
      </c>
      <c r="AN9" s="28">
        <f>INDEX(CaseData!$F$89:$K$128,MATCH(AN$3,CaseData!$D$89:$D$128,0),MATCH($H9,CaseData!$F$87:$K$87,0))</f>
        <v>657781</v>
      </c>
      <c r="AO9" s="28">
        <f>INDEX(CaseData!$F$89:$K$128,MATCH(AO$3,CaseData!$D$89:$D$128,0),MATCH($H9,CaseData!$F$87:$K$87,0))</f>
        <v>700979</v>
      </c>
      <c r="AP9" s="28">
        <f>INDEX(CaseData!$F$89:$K$128,MATCH(AP$3,CaseData!$D$89:$D$128,0),MATCH($H9,CaseData!$F$87:$K$87,0))</f>
        <v>638273</v>
      </c>
      <c r="AQ9" s="28">
        <f>INDEX(CaseData!$F$89:$K$128,MATCH(AQ$3,CaseData!$D$89:$D$128,0),MATCH($H9,CaseData!$F$87:$K$87,0))</f>
        <v>652849</v>
      </c>
      <c r="AR9" s="28">
        <f>INDEX(CaseData!$F$89:$K$128,MATCH(AR$3,CaseData!$D$89:$D$128,0),MATCH($H9,CaseData!$F$87:$K$87,0))</f>
        <v>724981</v>
      </c>
      <c r="AS9" s="28">
        <f>INDEX(CaseData!$F$89:$K$128,MATCH(AS$3,CaseData!$D$89:$D$128,0),MATCH($H9,CaseData!$F$87:$K$87,0))</f>
        <v>637701</v>
      </c>
      <c r="AT9" s="28">
        <f>INDEX(CaseData!$F$89:$K$128,MATCH(AT$3,CaseData!$D$89:$D$128,0),MATCH($H9,CaseData!$F$87:$K$87,0))</f>
        <v>745903</v>
      </c>
      <c r="AU9" s="28">
        <f>INDEX(CaseData!$F$89:$K$128,MATCH(AU$3,CaseData!$D$89:$D$128,0),MATCH($H9,CaseData!$F$87:$K$87,0))</f>
        <v>750208</v>
      </c>
      <c r="AV9" s="28">
        <f>INDEX(CaseData!$F$89:$K$128,MATCH(AV$3,CaseData!$D$89:$D$128,0),MATCH($H9,CaseData!$F$87:$K$87,0))</f>
        <v>740965</v>
      </c>
      <c r="AW9" s="28">
        <f>INDEX(CaseData!$F$89:$K$128,MATCH(AW$3,CaseData!$D$89:$D$128,0),MATCH($H9,CaseData!$F$87:$K$87,0))</f>
        <v>750009</v>
      </c>
    </row>
    <row r="10" spans="2:49">
      <c r="C10" s="14" t="s">
        <v>54</v>
      </c>
      <c r="J10" s="22">
        <f t="shared" ref="J10:AW10" si="3">J66</f>
        <v>1875</v>
      </c>
      <c r="K10" s="22">
        <f t="shared" si="3"/>
        <v>2721.7970833333329</v>
      </c>
      <c r="L10" s="22">
        <f t="shared" si="3"/>
        <v>3561.070072395833</v>
      </c>
      <c r="M10" s="22">
        <f t="shared" si="3"/>
        <v>4408.1207518339843</v>
      </c>
      <c r="N10" s="22">
        <f t="shared" si="3"/>
        <v>5313.1203713200284</v>
      </c>
      <c r="O10" s="22">
        <f t="shared" si="3"/>
        <v>6313.8208227124787</v>
      </c>
      <c r="P10" s="22">
        <f t="shared" si="3"/>
        <v>1875</v>
      </c>
      <c r="Q10" s="22">
        <f t="shared" si="3"/>
        <v>1875</v>
      </c>
      <c r="R10" s="22">
        <f t="shared" si="3"/>
        <v>1875</v>
      </c>
      <c r="S10" s="22">
        <f t="shared" si="3"/>
        <v>1875</v>
      </c>
      <c r="T10" s="22">
        <f t="shared" si="3"/>
        <v>1875</v>
      </c>
      <c r="U10" s="22">
        <f t="shared" si="3"/>
        <v>1875</v>
      </c>
      <c r="V10" s="22">
        <f t="shared" si="3"/>
        <v>1354.6108333333336</v>
      </c>
      <c r="W10" s="22">
        <f t="shared" si="3"/>
        <v>870.60229062500048</v>
      </c>
      <c r="X10" s="22">
        <f t="shared" si="3"/>
        <v>464.75329921484416</v>
      </c>
      <c r="Y10" s="22">
        <f t="shared" si="3"/>
        <v>28.71779075356655</v>
      </c>
      <c r="Z10" s="22">
        <f t="shared" si="3"/>
        <v>863.40881580222583</v>
      </c>
      <c r="AA10" s="22">
        <f t="shared" si="3"/>
        <v>1642.5224321948174</v>
      </c>
      <c r="AB10" s="22">
        <f t="shared" si="3"/>
        <v>2638.7231413155478</v>
      </c>
      <c r="AC10" s="22">
        <f t="shared" si="3"/>
        <v>3615.6612697621476</v>
      </c>
      <c r="AD10" s="22">
        <f t="shared" si="3"/>
        <v>1875</v>
      </c>
      <c r="AE10" s="22">
        <f t="shared" si="3"/>
        <v>2540.3429166666665</v>
      </c>
      <c r="AF10" s="22">
        <f t="shared" si="3"/>
        <v>3280.7750359375</v>
      </c>
      <c r="AG10" s="22">
        <f t="shared" si="3"/>
        <v>4465.8896089889322</v>
      </c>
      <c r="AH10" s="22">
        <f t="shared" si="3"/>
        <v>5281.374611689308</v>
      </c>
      <c r="AI10" s="22">
        <f t="shared" si="3"/>
        <v>6373.1072664831427</v>
      </c>
      <c r="AJ10" s="22">
        <f t="shared" si="3"/>
        <v>1875</v>
      </c>
      <c r="AK10" s="22">
        <f t="shared" si="3"/>
        <v>1875</v>
      </c>
      <c r="AL10" s="22">
        <f t="shared" si="3"/>
        <v>1875</v>
      </c>
      <c r="AM10" s="22">
        <f t="shared" si="3"/>
        <v>1875</v>
      </c>
      <c r="AN10" s="22">
        <f t="shared" si="3"/>
        <v>1875</v>
      </c>
      <c r="AO10" s="22">
        <f t="shared" si="3"/>
        <v>1875</v>
      </c>
      <c r="AP10" s="22">
        <f t="shared" si="3"/>
        <v>1875</v>
      </c>
      <c r="AQ10" s="22">
        <f t="shared" si="3"/>
        <v>0</v>
      </c>
      <c r="AR10" s="22">
        <f t="shared" si="3"/>
        <v>0</v>
      </c>
      <c r="AS10" s="22">
        <f t="shared" si="3"/>
        <v>0</v>
      </c>
      <c r="AT10" s="22">
        <f t="shared" si="3"/>
        <v>0</v>
      </c>
      <c r="AU10" s="22">
        <f t="shared" si="3"/>
        <v>0</v>
      </c>
      <c r="AV10" s="22">
        <f t="shared" si="3"/>
        <v>0</v>
      </c>
      <c r="AW10" s="22">
        <f t="shared" si="3"/>
        <v>0</v>
      </c>
    </row>
    <row r="11" spans="2:49">
      <c r="C11" s="17" t="s">
        <v>55</v>
      </c>
      <c r="D11" s="17"/>
      <c r="E11" s="17"/>
      <c r="F11" s="17"/>
      <c r="G11" s="17"/>
      <c r="H11" s="17"/>
      <c r="I11" s="17"/>
      <c r="J11" s="23">
        <f>SUM(J9:J10)</f>
        <v>604292</v>
      </c>
      <c r="K11" s="23">
        <f t="shared" ref="K11:AW11" si="4">SUM(K9:K10)</f>
        <v>598197.79708333337</v>
      </c>
      <c r="L11" s="23">
        <f t="shared" si="4"/>
        <v>596759.07007239584</v>
      </c>
      <c r="M11" s="23">
        <f t="shared" si="4"/>
        <v>611007.12075183401</v>
      </c>
      <c r="N11" s="23">
        <f t="shared" si="4"/>
        <v>637080.12037132005</v>
      </c>
      <c r="O11" s="23">
        <f t="shared" si="4"/>
        <v>616840.8208227125</v>
      </c>
      <c r="P11" s="23">
        <f t="shared" si="4"/>
        <v>587473</v>
      </c>
      <c r="Q11" s="23">
        <f t="shared" si="4"/>
        <v>639447</v>
      </c>
      <c r="R11" s="23">
        <f t="shared" si="4"/>
        <v>648865</v>
      </c>
      <c r="S11" s="23">
        <f t="shared" si="4"/>
        <v>677458</v>
      </c>
      <c r="T11" s="23">
        <f t="shared" si="4"/>
        <v>586486</v>
      </c>
      <c r="U11" s="23">
        <f t="shared" si="4"/>
        <v>220029</v>
      </c>
      <c r="V11" s="23">
        <f t="shared" si="4"/>
        <v>228801.61083333334</v>
      </c>
      <c r="W11" s="23">
        <f t="shared" si="4"/>
        <v>266023.60229062499</v>
      </c>
      <c r="X11" s="23">
        <f t="shared" si="4"/>
        <v>259542.75329921485</v>
      </c>
      <c r="Y11" s="23">
        <f t="shared" si="4"/>
        <v>604333.71779075358</v>
      </c>
      <c r="Z11" s="23">
        <f t="shared" si="4"/>
        <v>575631.40881580219</v>
      </c>
      <c r="AA11" s="23">
        <f t="shared" si="4"/>
        <v>642913.52243219479</v>
      </c>
      <c r="AB11" s="23">
        <f t="shared" si="4"/>
        <v>643395.72314131551</v>
      </c>
      <c r="AC11" s="23">
        <f t="shared" si="4"/>
        <v>637340.6612697622</v>
      </c>
      <c r="AD11" s="23">
        <f t="shared" si="4"/>
        <v>578042</v>
      </c>
      <c r="AE11" s="23">
        <f t="shared" si="4"/>
        <v>583671.34291666665</v>
      </c>
      <c r="AF11" s="23">
        <f t="shared" si="4"/>
        <v>713262.77503593755</v>
      </c>
      <c r="AG11" s="23">
        <f t="shared" si="4"/>
        <v>606484.88960898889</v>
      </c>
      <c r="AH11" s="23">
        <f t="shared" si="4"/>
        <v>680760.37461168936</v>
      </c>
      <c r="AI11" s="23">
        <f t="shared" si="4"/>
        <v>676174.10726648313</v>
      </c>
      <c r="AJ11" s="23">
        <f t="shared" si="4"/>
        <v>710906</v>
      </c>
      <c r="AK11" s="23">
        <f t="shared" si="4"/>
        <v>694881</v>
      </c>
      <c r="AL11" s="23">
        <f t="shared" si="4"/>
        <v>719788</v>
      </c>
      <c r="AM11" s="23">
        <f t="shared" si="4"/>
        <v>630572</v>
      </c>
      <c r="AN11" s="23">
        <f t="shared" si="4"/>
        <v>659656</v>
      </c>
      <c r="AO11" s="23">
        <f t="shared" si="4"/>
        <v>702854</v>
      </c>
      <c r="AP11" s="23">
        <f t="shared" si="4"/>
        <v>640148</v>
      </c>
      <c r="AQ11" s="23">
        <f t="shared" si="4"/>
        <v>652849</v>
      </c>
      <c r="AR11" s="23">
        <f t="shared" si="4"/>
        <v>724981</v>
      </c>
      <c r="AS11" s="23">
        <f t="shared" si="4"/>
        <v>637701</v>
      </c>
      <c r="AT11" s="23">
        <f t="shared" si="4"/>
        <v>745903</v>
      </c>
      <c r="AU11" s="23">
        <f t="shared" si="4"/>
        <v>750208</v>
      </c>
      <c r="AV11" s="23">
        <f t="shared" si="4"/>
        <v>740965</v>
      </c>
      <c r="AW11" s="23">
        <f t="shared" si="4"/>
        <v>750009</v>
      </c>
    </row>
    <row r="13" spans="2:49">
      <c r="C13" s="14" t="s">
        <v>56</v>
      </c>
      <c r="J13" s="28">
        <f>INDEX(CaseData!$G$42:$G$81,MATCH(J$3,CaseData!$D$42:$D$81,0))</f>
        <v>-253479.44444444444</v>
      </c>
      <c r="K13" s="28">
        <f>INDEX(CaseData!$G$42:$G$81,MATCH(K$3,CaseData!$D$42:$D$81,0))</f>
        <v>-252560.15972222225</v>
      </c>
      <c r="L13" s="28">
        <f>INDEX(CaseData!$G$42:$G$81,MATCH(L$3,CaseData!$D$42:$D$81,0))</f>
        <v>-252204.38394097221</v>
      </c>
      <c r="M13" s="28">
        <f>INDEX(CaseData!$G$42:$G$81,MATCH(M$3,CaseData!$D$42:$D$81,0))</f>
        <v>-254151.93874023436</v>
      </c>
      <c r="N13" s="28">
        <f>INDEX(CaseData!$G$42:$G$81,MATCH(N$3,CaseData!$D$42:$D$81,0))</f>
        <v>-257881.61575226509</v>
      </c>
      <c r="O13" s="28">
        <f>INDEX(CaseData!$G$42:$G$81,MATCH(O$3,CaseData!$D$42:$D$81,0))</f>
        <v>-253109.58039361285</v>
      </c>
      <c r="P13" s="28">
        <f>INDEX(CaseData!$G$42:$G$81,MATCH(P$3,CaseData!$D$42:$D$81,0))</f>
        <v>-255950.67237075517</v>
      </c>
      <c r="Q13" s="28">
        <f>INDEX(CaseData!$G$42:$G$81,MATCH(Q$3,CaseData!$D$42:$D$81,0))</f>
        <v>-256648.9446642785</v>
      </c>
      <c r="R13" s="28">
        <f>INDEX(CaseData!$G$42:$G$81,MATCH(R$3,CaseData!$D$42:$D$81,0))</f>
        <v>-277545.94536147092</v>
      </c>
      <c r="S13" s="28">
        <f>INDEX(CaseData!$G$42:$G$81,MATCH(S$3,CaseData!$D$42:$D$81,0))</f>
        <v>-261788.60301182262</v>
      </c>
      <c r="T13" s="28">
        <f>INDEX(CaseData!$G$42:$G$81,MATCH(T$3,CaseData!$D$42:$D$81,0))</f>
        <v>-270867.07166058151</v>
      </c>
      <c r="U13" s="28">
        <f>INDEX(CaseData!$G$42:$G$81,MATCH(U$3,CaseData!$D$42:$D$81,0))</f>
        <v>-269376.79894522764</v>
      </c>
      <c r="V13" s="28">
        <f>INDEX(CaseData!$G$42:$G$81,MATCH(V$3,CaseData!$D$42:$D$81,0))</f>
        <v>-271815.12004315411</v>
      </c>
      <c r="W13" s="28">
        <f>INDEX(CaseData!$G$42:$G$81,MATCH(W$3,CaseData!$D$42:$D$81,0))</f>
        <v>-291592.25348813797</v>
      </c>
      <c r="X13" s="28">
        <f>INDEX(CaseData!$G$42:$G$81,MATCH(X$3,CaseData!$D$42:$D$81,0))</f>
        <v>-296806.04554562859</v>
      </c>
      <c r="Y13" s="28">
        <f>INDEX(CaseData!$G$42:$G$81,MATCH(Y$3,CaseData!$D$42:$D$81,0))</f>
        <v>-306446.6766705045</v>
      </c>
      <c r="Z13" s="28">
        <f>INDEX(CaseData!$G$42:$G$81,MATCH(Z$3,CaseData!$D$42:$D$81,0))</f>
        <v>-296395.59346221911</v>
      </c>
      <c r="AA13" s="28">
        <f>INDEX(CaseData!$G$42:$G$81,MATCH(AA$3,CaseData!$D$42:$D$81,0))</f>
        <v>-309492.76060271915</v>
      </c>
      <c r="AB13" s="28">
        <f>INDEX(CaseData!$G$42:$G$81,MATCH(AB$3,CaseData!$D$42:$D$81,0))</f>
        <v>-318980.30899914203</v>
      </c>
      <c r="AC13" s="28">
        <f>INDEX(CaseData!$G$42:$G$81,MATCH(AC$3,CaseData!$D$42:$D$81,0))</f>
        <v>-329615.89619496459</v>
      </c>
      <c r="AD13" s="28">
        <f>INDEX(CaseData!$G$42:$G$81,MATCH(AD$3,CaseData!$D$42:$D$81,0))</f>
        <v>-344826.09489740164</v>
      </c>
      <c r="AE13" s="28">
        <f>INDEX(CaseData!$G$42:$G$81,MATCH(AE$3,CaseData!$D$42:$D$81,0))</f>
        <v>-334741.97663917474</v>
      </c>
      <c r="AF13" s="28">
        <f>INDEX(CaseData!$G$42:$G$81,MATCH(AF$3,CaseData!$D$42:$D$81,0))</f>
        <v>-349935.69579160883</v>
      </c>
      <c r="AG13" s="28">
        <f>INDEX(CaseData!$G$42:$G$81,MATCH(AG$3,CaseData!$D$42:$D$81,0))</f>
        <v>-346099.89198900398</v>
      </c>
      <c r="AH13" s="28">
        <f>INDEX(CaseData!$G$42:$G$81,MATCH(AH$3,CaseData!$D$42:$D$81,0))</f>
        <v>-351035.58508331102</v>
      </c>
      <c r="AI13" s="28">
        <f>INDEX(CaseData!$G$42:$G$81,MATCH(AI$3,CaseData!$D$42:$D$81,0))</f>
        <v>-359246.8632301857</v>
      </c>
      <c r="AJ13" s="28">
        <f>INDEX(CaseData!$G$42:$G$81,MATCH(AJ$3,CaseData!$D$42:$D$81,0))</f>
        <v>-381624.67124278523</v>
      </c>
      <c r="AK13" s="28">
        <f>INDEX(CaseData!$G$42:$G$81,MATCH(AK$3,CaseData!$D$42:$D$81,0))</f>
        <v>-368562.75741109782</v>
      </c>
      <c r="AL13" s="28">
        <f>INDEX(CaseData!$G$42:$G$81,MATCH(AL$3,CaseData!$D$42:$D$81,0))</f>
        <v>-367781.45854540326</v>
      </c>
      <c r="AM13" s="28">
        <f>INDEX(CaseData!$G$42:$G$81,MATCH(AM$3,CaseData!$D$42:$D$81,0))</f>
        <v>-382318.72677722073</v>
      </c>
      <c r="AN13" s="28">
        <f>INDEX(CaseData!$G$42:$G$81,MATCH(AN$3,CaseData!$D$42:$D$81,0))</f>
        <v>-409886.59975082491</v>
      </c>
      <c r="AO13" s="28">
        <f>INDEX(CaseData!$G$42:$G$81,MATCH(AO$3,CaseData!$D$42:$D$81,0))</f>
        <v>-412061.29335882131</v>
      </c>
      <c r="AP13" s="28">
        <f>INDEX(CaseData!$G$42:$G$81,MATCH(AP$3,CaseData!$D$42:$D$81,0))</f>
        <v>-55168.571268804662</v>
      </c>
      <c r="AQ13" s="28">
        <f>INDEX(CaseData!$G$42:$G$81,MATCH(AQ$3,CaseData!$D$42:$D$81,0))</f>
        <v>0</v>
      </c>
      <c r="AR13" s="28">
        <f>INDEX(CaseData!$G$42:$G$81,MATCH(AR$3,CaseData!$D$42:$D$81,0))</f>
        <v>0</v>
      </c>
      <c r="AS13" s="28">
        <f>INDEX(CaseData!$G$42:$G$81,MATCH(AS$3,CaseData!$D$42:$D$81,0))</f>
        <v>0</v>
      </c>
      <c r="AT13" s="28">
        <f>INDEX(CaseData!$G$42:$G$81,MATCH(AT$3,CaseData!$D$42:$D$81,0))</f>
        <v>0</v>
      </c>
      <c r="AU13" s="28">
        <f>INDEX(CaseData!$G$42:$G$81,MATCH(AU$3,CaseData!$D$42:$D$81,0))</f>
        <v>0</v>
      </c>
      <c r="AV13" s="28">
        <f>INDEX(CaseData!$G$42:$G$81,MATCH(AV$3,CaseData!$D$42:$D$81,0))</f>
        <v>0</v>
      </c>
      <c r="AW13" s="28">
        <f>INDEX(CaseData!$G$42:$G$81,MATCH(AW$3,CaseData!$D$42:$D$81,0))</f>
        <v>0</v>
      </c>
    </row>
    <row r="14" spans="2:49">
      <c r="C14" s="14" t="s">
        <v>57</v>
      </c>
      <c r="J14" s="22">
        <f>-J41</f>
        <v>-125000</v>
      </c>
      <c r="K14" s="22">
        <f t="shared" ref="K14:AW14" si="5">-K41</f>
        <v>-121831.50694444445</v>
      </c>
      <c r="L14" s="22">
        <f t="shared" si="5"/>
        <v>-118674.50494791668</v>
      </c>
      <c r="M14" s="22">
        <f t="shared" si="5"/>
        <v>-115521.95014865452</v>
      </c>
      <c r="N14" s="22">
        <f t="shared" si="5"/>
        <v>-112345.0509144016</v>
      </c>
      <c r="O14" s="22">
        <f t="shared" si="5"/>
        <v>-109121.53071749827</v>
      </c>
      <c r="P14" s="22">
        <f t="shared" si="5"/>
        <v>-105957.66096257813</v>
      </c>
      <c r="Q14" s="22">
        <f t="shared" si="5"/>
        <v>-102758.27755794369</v>
      </c>
      <c r="R14" s="22">
        <f t="shared" si="5"/>
        <v>-99550.165749640204</v>
      </c>
      <c r="S14" s="22">
        <f t="shared" si="5"/>
        <v>-96080.841432621819</v>
      </c>
      <c r="T14" s="22">
        <f t="shared" si="5"/>
        <v>-92808.483894974052</v>
      </c>
      <c r="U14" s="22">
        <f t="shared" si="5"/>
        <v>-89422.645499216771</v>
      </c>
      <c r="V14" s="22">
        <f t="shared" si="5"/>
        <v>-86055.435512401426</v>
      </c>
      <c r="W14" s="22">
        <f t="shared" si="5"/>
        <v>-82657.746511862002</v>
      </c>
      <c r="X14" s="22">
        <f t="shared" si="5"/>
        <v>-79012.843343260276</v>
      </c>
      <c r="Y14" s="22">
        <f t="shared" si="5"/>
        <v>-75302.767773939922</v>
      </c>
      <c r="Z14" s="22">
        <f t="shared" si="5"/>
        <v>-71472.18431555861</v>
      </c>
      <c r="AA14" s="22">
        <f t="shared" si="5"/>
        <v>-67767.239397280864</v>
      </c>
      <c r="AB14" s="22">
        <f t="shared" si="5"/>
        <v>-63898.579889746878</v>
      </c>
      <c r="AC14" s="22">
        <f t="shared" si="5"/>
        <v>-59911.326027257601</v>
      </c>
      <c r="AD14" s="22">
        <f t="shared" si="5"/>
        <v>-55791.127324820547</v>
      </c>
      <c r="AE14" s="22">
        <f t="shared" si="5"/>
        <v>-51480.801138603027</v>
      </c>
      <c r="AF14" s="22">
        <f t="shared" si="5"/>
        <v>-47296.526430613339</v>
      </c>
      <c r="AG14" s="22">
        <f t="shared" si="5"/>
        <v>-42922.330233218236</v>
      </c>
      <c r="AH14" s="22">
        <f t="shared" si="5"/>
        <v>-38596.081583355684</v>
      </c>
      <c r="AI14" s="22">
        <f t="shared" si="5"/>
        <v>-34208.136769814293</v>
      </c>
      <c r="AJ14" s="22">
        <f t="shared" si="5"/>
        <v>-29717.550979436975</v>
      </c>
      <c r="AK14" s="22">
        <f t="shared" si="5"/>
        <v>-24947.242588902162</v>
      </c>
      <c r="AL14" s="22">
        <f t="shared" si="5"/>
        <v>-20340.208121263437</v>
      </c>
      <c r="AM14" s="22">
        <f t="shared" si="5"/>
        <v>-15742.939889445895</v>
      </c>
      <c r="AN14" s="22">
        <f t="shared" si="5"/>
        <v>-10963.955804730636</v>
      </c>
      <c r="AO14" s="22">
        <f t="shared" si="5"/>
        <v>-5840.3733078453251</v>
      </c>
      <c r="AP14" s="22">
        <f t="shared" si="5"/>
        <v>-689.60714086005828</v>
      </c>
      <c r="AQ14" s="22">
        <f t="shared" si="5"/>
        <v>0</v>
      </c>
      <c r="AR14" s="22">
        <f t="shared" si="5"/>
        <v>0</v>
      </c>
      <c r="AS14" s="22">
        <f t="shared" si="5"/>
        <v>0</v>
      </c>
      <c r="AT14" s="22">
        <f t="shared" si="5"/>
        <v>0</v>
      </c>
      <c r="AU14" s="22">
        <f t="shared" si="5"/>
        <v>0</v>
      </c>
      <c r="AV14" s="22">
        <f t="shared" si="5"/>
        <v>0</v>
      </c>
      <c r="AW14" s="22">
        <f t="shared" si="5"/>
        <v>0</v>
      </c>
    </row>
    <row r="15" spans="2:49">
      <c r="C15" s="14" t="s">
        <v>58</v>
      </c>
      <c r="J15" s="24">
        <f>SUM(J13:J14)</f>
        <v>-378479.44444444444</v>
      </c>
      <c r="K15" s="24">
        <f t="shared" ref="K15:AW15" si="6">SUM(K13:K14)</f>
        <v>-374391.66666666669</v>
      </c>
      <c r="L15" s="24">
        <f t="shared" si="6"/>
        <v>-370878.88888888888</v>
      </c>
      <c r="M15" s="24">
        <f t="shared" si="6"/>
        <v>-369673.88888888888</v>
      </c>
      <c r="N15" s="24">
        <f t="shared" si="6"/>
        <v>-370226.66666666669</v>
      </c>
      <c r="O15" s="24">
        <f t="shared" si="6"/>
        <v>-362231.11111111112</v>
      </c>
      <c r="P15" s="24">
        <f t="shared" si="6"/>
        <v>-361908.33333333331</v>
      </c>
      <c r="Q15" s="24">
        <f t="shared" si="6"/>
        <v>-359407.22222222219</v>
      </c>
      <c r="R15" s="24">
        <f t="shared" si="6"/>
        <v>-377096.11111111112</v>
      </c>
      <c r="S15" s="24">
        <f t="shared" si="6"/>
        <v>-357869.44444444444</v>
      </c>
      <c r="T15" s="24">
        <f t="shared" si="6"/>
        <v>-363675.55555555556</v>
      </c>
      <c r="U15" s="24">
        <f t="shared" si="6"/>
        <v>-358799.44444444438</v>
      </c>
      <c r="V15" s="24">
        <f t="shared" si="6"/>
        <v>-357870.5555555555</v>
      </c>
      <c r="W15" s="24">
        <f t="shared" si="6"/>
        <v>-374250</v>
      </c>
      <c r="X15" s="24">
        <f t="shared" si="6"/>
        <v>-375818.88888888888</v>
      </c>
      <c r="Y15" s="24">
        <f t="shared" si="6"/>
        <v>-381749.44444444444</v>
      </c>
      <c r="Z15" s="24">
        <f t="shared" si="6"/>
        <v>-367867.77777777775</v>
      </c>
      <c r="AA15" s="24">
        <f t="shared" si="6"/>
        <v>-377260</v>
      </c>
      <c r="AB15" s="24">
        <f t="shared" si="6"/>
        <v>-382878.88888888888</v>
      </c>
      <c r="AC15" s="24">
        <f t="shared" si="6"/>
        <v>-389527.22222222219</v>
      </c>
      <c r="AD15" s="24">
        <f t="shared" si="6"/>
        <v>-400617.22222222219</v>
      </c>
      <c r="AE15" s="24">
        <f t="shared" si="6"/>
        <v>-386222.77777777775</v>
      </c>
      <c r="AF15" s="24">
        <f t="shared" si="6"/>
        <v>-397232.22222222219</v>
      </c>
      <c r="AG15" s="24">
        <f t="shared" si="6"/>
        <v>-389022.22222222225</v>
      </c>
      <c r="AH15" s="24">
        <f t="shared" si="6"/>
        <v>-389631.66666666669</v>
      </c>
      <c r="AI15" s="24">
        <f t="shared" si="6"/>
        <v>-393455</v>
      </c>
      <c r="AJ15" s="24">
        <f t="shared" si="6"/>
        <v>-411342.22222222219</v>
      </c>
      <c r="AK15" s="24">
        <f t="shared" si="6"/>
        <v>-393510</v>
      </c>
      <c r="AL15" s="24">
        <f t="shared" si="6"/>
        <v>-388121.66666666669</v>
      </c>
      <c r="AM15" s="24">
        <f t="shared" si="6"/>
        <v>-398061.66666666663</v>
      </c>
      <c r="AN15" s="24">
        <f t="shared" si="6"/>
        <v>-420850.55555555556</v>
      </c>
      <c r="AO15" s="24">
        <f t="shared" si="6"/>
        <v>-417901.66666666663</v>
      </c>
      <c r="AP15" s="24">
        <f t="shared" si="6"/>
        <v>-55858.178409664717</v>
      </c>
      <c r="AQ15" s="24">
        <f t="shared" si="6"/>
        <v>0</v>
      </c>
      <c r="AR15" s="24">
        <f t="shared" si="6"/>
        <v>0</v>
      </c>
      <c r="AS15" s="24">
        <f t="shared" si="6"/>
        <v>0</v>
      </c>
      <c r="AT15" s="24">
        <f t="shared" si="6"/>
        <v>0</v>
      </c>
      <c r="AU15" s="24">
        <f t="shared" si="6"/>
        <v>0</v>
      </c>
      <c r="AV15" s="24">
        <f t="shared" si="6"/>
        <v>0</v>
      </c>
      <c r="AW15" s="24">
        <f t="shared" si="6"/>
        <v>0</v>
      </c>
    </row>
    <row r="17" spans="3:49">
      <c r="C17" s="17" t="s">
        <v>59</v>
      </c>
      <c r="D17" s="17"/>
      <c r="E17" s="17"/>
      <c r="F17" s="17"/>
      <c r="G17" s="17"/>
      <c r="H17" s="17"/>
      <c r="I17" s="17"/>
      <c r="J17" s="27">
        <f>SUM(J11,J15)</f>
        <v>225812.55555555556</v>
      </c>
      <c r="K17" s="27">
        <f t="shared" ref="K17:AW17" si="7">SUM(K11,K15)</f>
        <v>223806.13041666668</v>
      </c>
      <c r="L17" s="27">
        <f t="shared" si="7"/>
        <v>225880.18118350697</v>
      </c>
      <c r="M17" s="27">
        <f t="shared" si="7"/>
        <v>241333.23186294513</v>
      </c>
      <c r="N17" s="27">
        <f t="shared" si="7"/>
        <v>266853.45370465337</v>
      </c>
      <c r="O17" s="27">
        <f t="shared" si="7"/>
        <v>254609.70971160138</v>
      </c>
      <c r="P17" s="27">
        <f t="shared" si="7"/>
        <v>225564.66666666669</v>
      </c>
      <c r="Q17" s="27">
        <f t="shared" si="7"/>
        <v>280039.77777777781</v>
      </c>
      <c r="R17" s="27">
        <f t="shared" si="7"/>
        <v>271768.88888888888</v>
      </c>
      <c r="S17" s="27">
        <f t="shared" si="7"/>
        <v>319588.55555555556</v>
      </c>
      <c r="T17" s="27">
        <f t="shared" si="7"/>
        <v>222810.44444444444</v>
      </c>
      <c r="U17" s="27">
        <f t="shared" si="7"/>
        <v>-138770.44444444438</v>
      </c>
      <c r="V17" s="27">
        <f t="shared" si="7"/>
        <v>-129068.94472222216</v>
      </c>
      <c r="W17" s="27">
        <f t="shared" si="7"/>
        <v>-108226.39770937501</v>
      </c>
      <c r="X17" s="27">
        <f t="shared" si="7"/>
        <v>-116276.13558967403</v>
      </c>
      <c r="Y17" s="27">
        <f t="shared" si="7"/>
        <v>222584.27334630914</v>
      </c>
      <c r="Z17" s="27">
        <f t="shared" si="7"/>
        <v>207763.63103802444</v>
      </c>
      <c r="AA17" s="27">
        <f t="shared" si="7"/>
        <v>265653.52243219479</v>
      </c>
      <c r="AB17" s="27">
        <f t="shared" si="7"/>
        <v>260516.83425242663</v>
      </c>
      <c r="AC17" s="27">
        <f t="shared" si="7"/>
        <v>247813.43904754001</v>
      </c>
      <c r="AD17" s="27">
        <f t="shared" si="7"/>
        <v>177424.77777777781</v>
      </c>
      <c r="AE17" s="27">
        <f t="shared" si="7"/>
        <v>197448.56513888889</v>
      </c>
      <c r="AF17" s="27">
        <f t="shared" si="7"/>
        <v>316030.55281371536</v>
      </c>
      <c r="AG17" s="27">
        <f t="shared" si="7"/>
        <v>217462.66738676664</v>
      </c>
      <c r="AH17" s="27">
        <f t="shared" si="7"/>
        <v>291128.70794502267</v>
      </c>
      <c r="AI17" s="27">
        <f t="shared" si="7"/>
        <v>282719.10726648313</v>
      </c>
      <c r="AJ17" s="27">
        <f t="shared" si="7"/>
        <v>299563.77777777781</v>
      </c>
      <c r="AK17" s="27">
        <f t="shared" si="7"/>
        <v>301371</v>
      </c>
      <c r="AL17" s="27">
        <f t="shared" si="7"/>
        <v>331666.33333333331</v>
      </c>
      <c r="AM17" s="27">
        <f t="shared" si="7"/>
        <v>232510.33333333337</v>
      </c>
      <c r="AN17" s="27">
        <f t="shared" si="7"/>
        <v>238805.44444444444</v>
      </c>
      <c r="AO17" s="27">
        <f t="shared" si="7"/>
        <v>284952.33333333337</v>
      </c>
      <c r="AP17" s="27">
        <f t="shared" si="7"/>
        <v>584289.82159033534</v>
      </c>
      <c r="AQ17" s="27">
        <f t="shared" si="7"/>
        <v>652849</v>
      </c>
      <c r="AR17" s="27">
        <f t="shared" si="7"/>
        <v>724981</v>
      </c>
      <c r="AS17" s="27">
        <f t="shared" si="7"/>
        <v>637701</v>
      </c>
      <c r="AT17" s="27">
        <f t="shared" si="7"/>
        <v>745903</v>
      </c>
      <c r="AU17" s="27">
        <f t="shared" si="7"/>
        <v>750208</v>
      </c>
      <c r="AV17" s="27">
        <f t="shared" si="7"/>
        <v>740965</v>
      </c>
      <c r="AW17" s="27">
        <f t="shared" si="7"/>
        <v>750009</v>
      </c>
    </row>
    <row r="18" spans="3:49">
      <c r="C18" s="17"/>
      <c r="D18" s="17"/>
      <c r="E18" s="17"/>
      <c r="F18" s="17"/>
      <c r="G18" s="17"/>
      <c r="H18" s="17"/>
      <c r="I18" s="1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</row>
    <row r="19" spans="3:49">
      <c r="C19" s="14" t="s">
        <v>60</v>
      </c>
      <c r="J19" s="22">
        <f>-MIN(J17,0)</f>
        <v>0</v>
      </c>
      <c r="K19" s="22">
        <f t="shared" ref="K19:AW19" si="8">-MIN(K17,0)</f>
        <v>0</v>
      </c>
      <c r="L19" s="22">
        <f t="shared" si="8"/>
        <v>0</v>
      </c>
      <c r="M19" s="22">
        <f t="shared" si="8"/>
        <v>0</v>
      </c>
      <c r="N19" s="22">
        <f t="shared" si="8"/>
        <v>0</v>
      </c>
      <c r="O19" s="22">
        <f t="shared" si="8"/>
        <v>0</v>
      </c>
      <c r="P19" s="22">
        <f t="shared" si="8"/>
        <v>0</v>
      </c>
      <c r="Q19" s="22">
        <f t="shared" si="8"/>
        <v>0</v>
      </c>
      <c r="R19" s="22">
        <f t="shared" si="8"/>
        <v>0</v>
      </c>
      <c r="S19" s="22">
        <f t="shared" si="8"/>
        <v>0</v>
      </c>
      <c r="T19" s="22">
        <f t="shared" si="8"/>
        <v>0</v>
      </c>
      <c r="U19" s="22">
        <f t="shared" si="8"/>
        <v>138770.44444444438</v>
      </c>
      <c r="V19" s="22">
        <f t="shared" si="8"/>
        <v>129068.94472222216</v>
      </c>
      <c r="W19" s="22">
        <f t="shared" si="8"/>
        <v>108226.39770937501</v>
      </c>
      <c r="X19" s="22">
        <f t="shared" si="8"/>
        <v>116276.13558967403</v>
      </c>
      <c r="Y19" s="22">
        <f t="shared" si="8"/>
        <v>0</v>
      </c>
      <c r="Z19" s="22">
        <f t="shared" si="8"/>
        <v>0</v>
      </c>
      <c r="AA19" s="22">
        <f t="shared" si="8"/>
        <v>0</v>
      </c>
      <c r="AB19" s="22">
        <f t="shared" si="8"/>
        <v>0</v>
      </c>
      <c r="AC19" s="22">
        <f t="shared" si="8"/>
        <v>0</v>
      </c>
      <c r="AD19" s="22">
        <f t="shared" si="8"/>
        <v>0</v>
      </c>
      <c r="AE19" s="22">
        <f t="shared" si="8"/>
        <v>0</v>
      </c>
      <c r="AF19" s="22">
        <f t="shared" si="8"/>
        <v>0</v>
      </c>
      <c r="AG19" s="22">
        <f t="shared" si="8"/>
        <v>0</v>
      </c>
      <c r="AH19" s="22">
        <f t="shared" si="8"/>
        <v>0</v>
      </c>
      <c r="AI19" s="22">
        <f t="shared" si="8"/>
        <v>0</v>
      </c>
      <c r="AJ19" s="22">
        <f t="shared" si="8"/>
        <v>0</v>
      </c>
      <c r="AK19" s="22">
        <f t="shared" si="8"/>
        <v>0</v>
      </c>
      <c r="AL19" s="22">
        <f t="shared" si="8"/>
        <v>0</v>
      </c>
      <c r="AM19" s="22">
        <f t="shared" si="8"/>
        <v>0</v>
      </c>
      <c r="AN19" s="22">
        <f t="shared" si="8"/>
        <v>0</v>
      </c>
      <c r="AO19" s="22">
        <f t="shared" si="8"/>
        <v>0</v>
      </c>
      <c r="AP19" s="22">
        <f t="shared" si="8"/>
        <v>0</v>
      </c>
      <c r="AQ19" s="22">
        <f t="shared" si="8"/>
        <v>0</v>
      </c>
      <c r="AR19" s="22">
        <f t="shared" si="8"/>
        <v>0</v>
      </c>
      <c r="AS19" s="22">
        <f t="shared" si="8"/>
        <v>0</v>
      </c>
      <c r="AT19" s="22">
        <f t="shared" si="8"/>
        <v>0</v>
      </c>
      <c r="AU19" s="22">
        <f t="shared" si="8"/>
        <v>0</v>
      </c>
      <c r="AV19" s="22">
        <f t="shared" si="8"/>
        <v>0</v>
      </c>
      <c r="AW19" s="22">
        <f t="shared" si="8"/>
        <v>0</v>
      </c>
    </row>
    <row r="20" spans="3:49">
      <c r="C20" s="14" t="s">
        <v>61</v>
      </c>
      <c r="J20" s="22">
        <f t="shared" ref="J20:AW20" si="9">-MAX(MIN(J17,J68-SUM(J58:J59)),0)</f>
        <v>0</v>
      </c>
      <c r="K20" s="22">
        <f t="shared" si="9"/>
        <v>0</v>
      </c>
      <c r="L20" s="22">
        <f t="shared" si="9"/>
        <v>0</v>
      </c>
      <c r="M20" s="22">
        <f t="shared" si="9"/>
        <v>0</v>
      </c>
      <c r="N20" s="22">
        <f t="shared" si="9"/>
        <v>0</v>
      </c>
      <c r="O20" s="22">
        <f t="shared" si="9"/>
        <v>0</v>
      </c>
      <c r="P20" s="22">
        <f t="shared" si="9"/>
        <v>0</v>
      </c>
      <c r="Q20" s="22">
        <f t="shared" si="9"/>
        <v>0</v>
      </c>
      <c r="R20" s="22">
        <f t="shared" si="9"/>
        <v>0</v>
      </c>
      <c r="S20" s="22">
        <f t="shared" si="9"/>
        <v>0</v>
      </c>
      <c r="T20" s="22">
        <f t="shared" si="9"/>
        <v>0</v>
      </c>
      <c r="U20" s="22">
        <f t="shared" si="9"/>
        <v>0</v>
      </c>
      <c r="V20" s="22">
        <f t="shared" si="9"/>
        <v>0</v>
      </c>
      <c r="W20" s="22">
        <f t="shared" si="9"/>
        <v>0</v>
      </c>
      <c r="X20" s="22">
        <f t="shared" si="9"/>
        <v>0</v>
      </c>
      <c r="Y20" s="22">
        <f>-MAX(MIN(Y17,Y68-SUM(Y58:Y59)),0)</f>
        <v>-222584.27334630914</v>
      </c>
      <c r="Z20" s="22">
        <f t="shared" si="9"/>
        <v>-207763.63103802444</v>
      </c>
      <c r="AA20" s="22">
        <f t="shared" si="9"/>
        <v>-61994.018081382033</v>
      </c>
      <c r="AB20" s="22">
        <f t="shared" si="9"/>
        <v>0</v>
      </c>
      <c r="AC20" s="22">
        <f t="shared" si="9"/>
        <v>0</v>
      </c>
      <c r="AD20" s="22">
        <f t="shared" si="9"/>
        <v>0</v>
      </c>
      <c r="AE20" s="22">
        <f t="shared" si="9"/>
        <v>0</v>
      </c>
      <c r="AF20" s="22">
        <f t="shared" si="9"/>
        <v>0</v>
      </c>
      <c r="AG20" s="22">
        <f t="shared" si="9"/>
        <v>0</v>
      </c>
      <c r="AH20" s="22">
        <f t="shared" si="9"/>
        <v>0</v>
      </c>
      <c r="AI20" s="22">
        <f t="shared" si="9"/>
        <v>0</v>
      </c>
      <c r="AJ20" s="22">
        <f t="shared" si="9"/>
        <v>0</v>
      </c>
      <c r="AK20" s="22">
        <f t="shared" si="9"/>
        <v>0</v>
      </c>
      <c r="AL20" s="22">
        <f t="shared" si="9"/>
        <v>0</v>
      </c>
      <c r="AM20" s="22">
        <f t="shared" si="9"/>
        <v>0</v>
      </c>
      <c r="AN20" s="22">
        <f t="shared" si="9"/>
        <v>0</v>
      </c>
      <c r="AO20" s="22">
        <f t="shared" si="9"/>
        <v>0</v>
      </c>
      <c r="AP20" s="22">
        <f t="shared" si="9"/>
        <v>0</v>
      </c>
      <c r="AQ20" s="22">
        <f t="shared" si="9"/>
        <v>0</v>
      </c>
      <c r="AR20" s="22">
        <f t="shared" si="9"/>
        <v>0</v>
      </c>
      <c r="AS20" s="22">
        <f t="shared" si="9"/>
        <v>0</v>
      </c>
      <c r="AT20" s="22">
        <f t="shared" si="9"/>
        <v>0</v>
      </c>
      <c r="AU20" s="22">
        <f t="shared" si="9"/>
        <v>0</v>
      </c>
      <c r="AV20" s="22">
        <f t="shared" si="9"/>
        <v>0</v>
      </c>
      <c r="AW20" s="22">
        <f t="shared" si="9"/>
        <v>0</v>
      </c>
    </row>
    <row r="21" spans="3:49">
      <c r="C21" s="14" t="s">
        <v>82</v>
      </c>
      <c r="J21" s="22">
        <f t="shared" ref="J21:AW21" si="10">IF(J54=1,-SUM(J17:J20),0)</f>
        <v>-225812.55555555556</v>
      </c>
      <c r="K21" s="22">
        <f t="shared" si="10"/>
        <v>-223806.13041666668</v>
      </c>
      <c r="L21" s="22">
        <f t="shared" si="10"/>
        <v>-225880.18118350697</v>
      </c>
      <c r="M21" s="22">
        <f t="shared" si="10"/>
        <v>-241333.23186294513</v>
      </c>
      <c r="N21" s="22">
        <f t="shared" si="10"/>
        <v>-266853.45370465337</v>
      </c>
      <c r="O21" s="22">
        <f t="shared" si="10"/>
        <v>0</v>
      </c>
      <c r="P21" s="22">
        <f t="shared" si="10"/>
        <v>0</v>
      </c>
      <c r="Q21" s="22">
        <f t="shared" si="10"/>
        <v>0</v>
      </c>
      <c r="R21" s="22">
        <f t="shared" si="10"/>
        <v>0</v>
      </c>
      <c r="S21" s="22">
        <f t="shared" si="10"/>
        <v>0</v>
      </c>
      <c r="T21" s="22">
        <f t="shared" si="10"/>
        <v>0</v>
      </c>
      <c r="U21" s="22">
        <f t="shared" si="10"/>
        <v>0</v>
      </c>
      <c r="V21" s="22">
        <f t="shared" si="10"/>
        <v>0</v>
      </c>
      <c r="W21" s="22">
        <f t="shared" si="10"/>
        <v>0</v>
      </c>
      <c r="X21" s="22">
        <f t="shared" si="10"/>
        <v>0</v>
      </c>
      <c r="Y21" s="22">
        <f t="shared" si="10"/>
        <v>0</v>
      </c>
      <c r="Z21" s="22">
        <f t="shared" si="10"/>
        <v>0</v>
      </c>
      <c r="AA21" s="22">
        <f t="shared" si="10"/>
        <v>-203659.50435081276</v>
      </c>
      <c r="AB21" s="22">
        <f t="shared" si="10"/>
        <v>-260516.83425242663</v>
      </c>
      <c r="AC21" s="22">
        <f t="shared" si="10"/>
        <v>0</v>
      </c>
      <c r="AD21" s="22">
        <f t="shared" si="10"/>
        <v>-177424.77777777781</v>
      </c>
      <c r="AE21" s="22">
        <f t="shared" si="10"/>
        <v>-197448.56513888889</v>
      </c>
      <c r="AF21" s="22">
        <f t="shared" si="10"/>
        <v>-316030.55281371536</v>
      </c>
      <c r="AG21" s="22">
        <f t="shared" si="10"/>
        <v>-217462.66738676664</v>
      </c>
      <c r="AH21" s="22">
        <f t="shared" si="10"/>
        <v>-291128.70794502267</v>
      </c>
      <c r="AI21" s="22">
        <f t="shared" si="10"/>
        <v>0</v>
      </c>
      <c r="AJ21" s="22">
        <f t="shared" si="10"/>
        <v>0</v>
      </c>
      <c r="AK21" s="22">
        <f t="shared" si="10"/>
        <v>0</v>
      </c>
      <c r="AL21" s="22">
        <f t="shared" si="10"/>
        <v>0</v>
      </c>
      <c r="AM21" s="22">
        <f t="shared" si="10"/>
        <v>0</v>
      </c>
      <c r="AN21" s="22">
        <f t="shared" si="10"/>
        <v>0</v>
      </c>
      <c r="AO21" s="22">
        <f t="shared" si="10"/>
        <v>0</v>
      </c>
      <c r="AP21" s="22">
        <f t="shared" si="10"/>
        <v>0</v>
      </c>
      <c r="AQ21" s="22">
        <f t="shared" si="10"/>
        <v>0</v>
      </c>
      <c r="AR21" s="22">
        <f t="shared" si="10"/>
        <v>0</v>
      </c>
      <c r="AS21" s="22">
        <f t="shared" si="10"/>
        <v>0</v>
      </c>
      <c r="AT21" s="22">
        <f t="shared" si="10"/>
        <v>0</v>
      </c>
      <c r="AU21" s="22">
        <f t="shared" si="10"/>
        <v>0</v>
      </c>
      <c r="AV21" s="22">
        <f t="shared" si="10"/>
        <v>0</v>
      </c>
      <c r="AW21" s="22">
        <f t="shared" si="10"/>
        <v>0</v>
      </c>
    </row>
    <row r="22" spans="3:49">
      <c r="C22" s="14" t="s">
        <v>63</v>
      </c>
      <c r="J22" s="22">
        <f t="shared" ref="J22:AW22" si="11">-J62</f>
        <v>0</v>
      </c>
      <c r="K22" s="22">
        <f t="shared" si="11"/>
        <v>0</v>
      </c>
      <c r="L22" s="22">
        <f t="shared" si="11"/>
        <v>0</v>
      </c>
      <c r="M22" s="22">
        <f t="shared" si="11"/>
        <v>0</v>
      </c>
      <c r="N22" s="22">
        <f t="shared" si="11"/>
        <v>0</v>
      </c>
      <c r="O22" s="22">
        <f t="shared" si="11"/>
        <v>1183685.5527233277</v>
      </c>
      <c r="P22" s="22">
        <f t="shared" si="11"/>
        <v>0</v>
      </c>
      <c r="Q22" s="22">
        <f t="shared" si="11"/>
        <v>0</v>
      </c>
      <c r="R22" s="22">
        <f t="shared" si="11"/>
        <v>0</v>
      </c>
      <c r="S22" s="22">
        <f t="shared" si="11"/>
        <v>0</v>
      </c>
      <c r="T22" s="22">
        <f t="shared" si="11"/>
        <v>0</v>
      </c>
      <c r="U22" s="22">
        <f t="shared" si="11"/>
        <v>0</v>
      </c>
      <c r="V22" s="22">
        <f t="shared" si="11"/>
        <v>0</v>
      </c>
      <c r="W22" s="22">
        <f t="shared" si="11"/>
        <v>0</v>
      </c>
      <c r="X22" s="22">
        <f t="shared" si="11"/>
        <v>0</v>
      </c>
      <c r="Y22" s="22">
        <f t="shared" si="11"/>
        <v>0</v>
      </c>
      <c r="Z22" s="22">
        <f t="shared" si="11"/>
        <v>0</v>
      </c>
      <c r="AA22" s="22">
        <f t="shared" si="11"/>
        <v>0</v>
      </c>
      <c r="AB22" s="22">
        <f t="shared" si="11"/>
        <v>0</v>
      </c>
      <c r="AC22" s="22">
        <f t="shared" si="11"/>
        <v>464176.33860323939</v>
      </c>
      <c r="AD22" s="22">
        <f t="shared" si="11"/>
        <v>0</v>
      </c>
      <c r="AE22" s="22">
        <f t="shared" si="11"/>
        <v>0</v>
      </c>
      <c r="AF22" s="22">
        <f t="shared" si="11"/>
        <v>0</v>
      </c>
      <c r="AG22" s="22">
        <f t="shared" si="11"/>
        <v>0</v>
      </c>
      <c r="AH22" s="22">
        <f t="shared" si="11"/>
        <v>0</v>
      </c>
      <c r="AI22" s="22">
        <f t="shared" si="11"/>
        <v>1199495.2710621716</v>
      </c>
      <c r="AJ22" s="22">
        <f t="shared" si="11"/>
        <v>0</v>
      </c>
      <c r="AK22" s="22">
        <f t="shared" si="11"/>
        <v>0</v>
      </c>
      <c r="AL22" s="22">
        <f t="shared" si="11"/>
        <v>0</v>
      </c>
      <c r="AM22" s="22">
        <f t="shared" si="11"/>
        <v>0</v>
      </c>
      <c r="AN22" s="22">
        <f t="shared" si="11"/>
        <v>0</v>
      </c>
      <c r="AO22" s="22">
        <f t="shared" si="11"/>
        <v>0</v>
      </c>
      <c r="AP22" s="22">
        <f t="shared" si="11"/>
        <v>500000</v>
      </c>
      <c r="AQ22" s="22">
        <f t="shared" si="11"/>
        <v>0</v>
      </c>
      <c r="AR22" s="22">
        <f t="shared" si="11"/>
        <v>0</v>
      </c>
      <c r="AS22" s="22">
        <f t="shared" si="11"/>
        <v>0</v>
      </c>
      <c r="AT22" s="22">
        <f t="shared" si="11"/>
        <v>0</v>
      </c>
      <c r="AU22" s="22">
        <f t="shared" si="11"/>
        <v>0</v>
      </c>
      <c r="AV22" s="22">
        <f t="shared" si="11"/>
        <v>0</v>
      </c>
      <c r="AW22" s="22">
        <f t="shared" si="11"/>
        <v>0</v>
      </c>
    </row>
    <row r="23" spans="3:49">
      <c r="C23" s="17" t="s">
        <v>64</v>
      </c>
      <c r="D23" s="17"/>
      <c r="E23" s="17"/>
      <c r="F23" s="17"/>
      <c r="G23" s="17"/>
      <c r="H23" s="17"/>
      <c r="I23" s="17"/>
      <c r="J23" s="23">
        <f t="shared" ref="J23:AW23" si="12">SUM(J17:J22)</f>
        <v>0</v>
      </c>
      <c r="K23" s="23">
        <f t="shared" si="12"/>
        <v>0</v>
      </c>
      <c r="L23" s="23">
        <f t="shared" si="12"/>
        <v>0</v>
      </c>
      <c r="M23" s="23">
        <f t="shared" si="12"/>
        <v>0</v>
      </c>
      <c r="N23" s="23">
        <f t="shared" si="12"/>
        <v>0</v>
      </c>
      <c r="O23" s="23">
        <f t="shared" si="12"/>
        <v>1438295.2624349291</v>
      </c>
      <c r="P23" s="23">
        <f t="shared" si="12"/>
        <v>225564.66666666669</v>
      </c>
      <c r="Q23" s="23">
        <f t="shared" si="12"/>
        <v>280039.77777777781</v>
      </c>
      <c r="R23" s="23">
        <f t="shared" si="12"/>
        <v>271768.88888888888</v>
      </c>
      <c r="S23" s="23">
        <f t="shared" si="12"/>
        <v>319588.55555555556</v>
      </c>
      <c r="T23" s="23">
        <f t="shared" si="12"/>
        <v>222810.44444444444</v>
      </c>
      <c r="U23" s="23">
        <f t="shared" si="12"/>
        <v>0</v>
      </c>
      <c r="V23" s="23">
        <f t="shared" si="12"/>
        <v>0</v>
      </c>
      <c r="W23" s="23">
        <f t="shared" si="12"/>
        <v>0</v>
      </c>
      <c r="X23" s="23">
        <f t="shared" si="12"/>
        <v>0</v>
      </c>
      <c r="Y23" s="23">
        <f t="shared" si="12"/>
        <v>0</v>
      </c>
      <c r="Z23" s="23">
        <f t="shared" si="12"/>
        <v>0</v>
      </c>
      <c r="AA23" s="23">
        <f t="shared" si="12"/>
        <v>0</v>
      </c>
      <c r="AB23" s="23">
        <f t="shared" si="12"/>
        <v>0</v>
      </c>
      <c r="AC23" s="23">
        <f t="shared" si="12"/>
        <v>711989.77765077935</v>
      </c>
      <c r="AD23" s="23">
        <f t="shared" si="12"/>
        <v>0</v>
      </c>
      <c r="AE23" s="23">
        <f t="shared" si="12"/>
        <v>0</v>
      </c>
      <c r="AF23" s="23">
        <f t="shared" si="12"/>
        <v>0</v>
      </c>
      <c r="AG23" s="23">
        <f t="shared" si="12"/>
        <v>0</v>
      </c>
      <c r="AH23" s="23">
        <f t="shared" si="12"/>
        <v>0</v>
      </c>
      <c r="AI23" s="23">
        <f t="shared" si="12"/>
        <v>1482214.3783286547</v>
      </c>
      <c r="AJ23" s="23">
        <f t="shared" si="12"/>
        <v>299563.77777777781</v>
      </c>
      <c r="AK23" s="23">
        <f t="shared" si="12"/>
        <v>301371</v>
      </c>
      <c r="AL23" s="23">
        <f t="shared" si="12"/>
        <v>331666.33333333331</v>
      </c>
      <c r="AM23" s="23">
        <f t="shared" si="12"/>
        <v>232510.33333333337</v>
      </c>
      <c r="AN23" s="23">
        <f t="shared" si="12"/>
        <v>238805.44444444444</v>
      </c>
      <c r="AO23" s="23">
        <f t="shared" si="12"/>
        <v>284952.33333333337</v>
      </c>
      <c r="AP23" s="23">
        <f t="shared" si="12"/>
        <v>1084289.8215903353</v>
      </c>
      <c r="AQ23" s="23">
        <f t="shared" si="12"/>
        <v>652849</v>
      </c>
      <c r="AR23" s="23">
        <f t="shared" si="12"/>
        <v>724981</v>
      </c>
      <c r="AS23" s="23">
        <f t="shared" si="12"/>
        <v>637701</v>
      </c>
      <c r="AT23" s="23">
        <f t="shared" si="12"/>
        <v>745903</v>
      </c>
      <c r="AU23" s="23">
        <f t="shared" si="12"/>
        <v>750208</v>
      </c>
      <c r="AV23" s="23">
        <f t="shared" si="12"/>
        <v>740965</v>
      </c>
      <c r="AW23" s="23">
        <f t="shared" si="12"/>
        <v>750009</v>
      </c>
    </row>
    <row r="25" spans="3:49">
      <c r="C25" s="14" t="s">
        <v>103</v>
      </c>
      <c r="J25" s="22">
        <f>-J82</f>
        <v>0</v>
      </c>
      <c r="K25" s="22">
        <f t="shared" ref="K25:AW25" si="13">-K82</f>
        <v>0</v>
      </c>
      <c r="L25" s="22">
        <f t="shared" si="13"/>
        <v>0</v>
      </c>
      <c r="M25" s="22">
        <f t="shared" si="13"/>
        <v>0</v>
      </c>
      <c r="N25" s="22">
        <f t="shared" si="13"/>
        <v>0</v>
      </c>
      <c r="O25" s="22">
        <f t="shared" si="13"/>
        <v>-114514.73925534522</v>
      </c>
      <c r="P25" s="22">
        <f t="shared" si="13"/>
        <v>-91348.580099702493</v>
      </c>
      <c r="Q25" s="22">
        <f t="shared" si="13"/>
        <v>-88999.798584780627</v>
      </c>
      <c r="R25" s="22">
        <f t="shared" si="13"/>
        <v>-85656.598948903164</v>
      </c>
      <c r="S25" s="22">
        <f t="shared" si="13"/>
        <v>-82399.633874953419</v>
      </c>
      <c r="T25" s="22">
        <f t="shared" si="13"/>
        <v>-78750.000000000015</v>
      </c>
      <c r="U25" s="22">
        <f t="shared" si="13"/>
        <v>0</v>
      </c>
      <c r="V25" s="22">
        <f t="shared" si="13"/>
        <v>0</v>
      </c>
      <c r="W25" s="22">
        <f t="shared" si="13"/>
        <v>0</v>
      </c>
      <c r="X25" s="22">
        <f t="shared" si="13"/>
        <v>0</v>
      </c>
      <c r="Y25" s="22">
        <f t="shared" si="13"/>
        <v>0</v>
      </c>
      <c r="Z25" s="22">
        <f t="shared" si="13"/>
        <v>0</v>
      </c>
      <c r="AA25" s="22">
        <f t="shared" si="13"/>
        <v>0</v>
      </c>
      <c r="AB25" s="22">
        <f t="shared" si="13"/>
        <v>0</v>
      </c>
      <c r="AC25" s="22">
        <f t="shared" si="13"/>
        <v>-87578.043053111061</v>
      </c>
      <c r="AD25" s="22">
        <f t="shared" si="13"/>
        <v>0</v>
      </c>
      <c r="AE25" s="22">
        <f t="shared" si="13"/>
        <v>0</v>
      </c>
      <c r="AF25" s="22">
        <f t="shared" si="13"/>
        <v>0</v>
      </c>
      <c r="AG25" s="22">
        <f t="shared" si="13"/>
        <v>0</v>
      </c>
      <c r="AH25" s="22">
        <f t="shared" si="13"/>
        <v>0</v>
      </c>
      <c r="AI25" s="22">
        <f t="shared" si="13"/>
        <v>-83596.673263337027</v>
      </c>
      <c r="AJ25" s="22">
        <f t="shared" si="13"/>
        <v>-59120.863424693976</v>
      </c>
      <c r="AK25" s="22">
        <f t="shared" si="13"/>
        <v>-54913.112423515006</v>
      </c>
      <c r="AL25" s="22">
        <f t="shared" si="13"/>
        <v>-50600.099390926516</v>
      </c>
      <c r="AM25" s="22">
        <f t="shared" si="13"/>
        <v>-45681.440296934401</v>
      </c>
      <c r="AN25" s="22">
        <f t="shared" si="13"/>
        <v>-42411.934668797418</v>
      </c>
      <c r="AO25" s="22">
        <f t="shared" si="13"/>
        <v>-38975.048247723593</v>
      </c>
      <c r="AP25" s="22">
        <f t="shared" si="13"/>
        <v>-34670.445758725429</v>
      </c>
      <c r="AQ25" s="22">
        <f t="shared" si="13"/>
        <v>-18375</v>
      </c>
      <c r="AR25" s="22">
        <f t="shared" si="13"/>
        <v>-15750.000000000002</v>
      </c>
      <c r="AS25" s="22">
        <f t="shared" si="13"/>
        <v>-13125.000000000002</v>
      </c>
      <c r="AT25" s="22">
        <f t="shared" si="13"/>
        <v>-10500.000000000002</v>
      </c>
      <c r="AU25" s="22">
        <f t="shared" si="13"/>
        <v>-7875.0000000000009</v>
      </c>
      <c r="AV25" s="22">
        <f t="shared" si="13"/>
        <v>-5250.0000000000009</v>
      </c>
      <c r="AW25" s="22">
        <f t="shared" si="13"/>
        <v>-2625.0000000000005</v>
      </c>
    </row>
    <row r="26" spans="3:49">
      <c r="C26" s="17" t="s">
        <v>100</v>
      </c>
      <c r="D26" s="17"/>
      <c r="E26" s="17"/>
      <c r="F26" s="17"/>
      <c r="G26" s="17"/>
      <c r="H26" s="17"/>
      <c r="I26" s="17"/>
      <c r="J26" s="23">
        <f>J23+J25</f>
        <v>0</v>
      </c>
      <c r="K26" s="23">
        <f t="shared" ref="K26:AW26" si="14">K23+K25</f>
        <v>0</v>
      </c>
      <c r="L26" s="23">
        <f t="shared" si="14"/>
        <v>0</v>
      </c>
      <c r="M26" s="23">
        <f t="shared" si="14"/>
        <v>0</v>
      </c>
      <c r="N26" s="23">
        <f t="shared" si="14"/>
        <v>0</v>
      </c>
      <c r="O26" s="23">
        <f t="shared" si="14"/>
        <v>1323780.5231795839</v>
      </c>
      <c r="P26" s="23">
        <f>P23+P25</f>
        <v>134216.08656696419</v>
      </c>
      <c r="Q26" s="23">
        <f t="shared" si="14"/>
        <v>191039.97919299718</v>
      </c>
      <c r="R26" s="23">
        <f t="shared" si="14"/>
        <v>186112.28993998573</v>
      </c>
      <c r="S26" s="23">
        <f t="shared" si="14"/>
        <v>237188.92168060213</v>
      </c>
      <c r="T26" s="23">
        <f t="shared" si="14"/>
        <v>144060.44444444444</v>
      </c>
      <c r="U26" s="23">
        <f t="shared" si="14"/>
        <v>0</v>
      </c>
      <c r="V26" s="23">
        <f t="shared" si="14"/>
        <v>0</v>
      </c>
      <c r="W26" s="23">
        <f t="shared" si="14"/>
        <v>0</v>
      </c>
      <c r="X26" s="23">
        <f t="shared" si="14"/>
        <v>0</v>
      </c>
      <c r="Y26" s="23">
        <f t="shared" si="14"/>
        <v>0</v>
      </c>
      <c r="Z26" s="23">
        <f t="shared" si="14"/>
        <v>0</v>
      </c>
      <c r="AA26" s="23">
        <f t="shared" si="14"/>
        <v>0</v>
      </c>
      <c r="AB26" s="23">
        <f t="shared" si="14"/>
        <v>0</v>
      </c>
      <c r="AC26" s="23">
        <f t="shared" si="14"/>
        <v>624411.73459766828</v>
      </c>
      <c r="AD26" s="23">
        <f t="shared" si="14"/>
        <v>0</v>
      </c>
      <c r="AE26" s="23">
        <f t="shared" si="14"/>
        <v>0</v>
      </c>
      <c r="AF26" s="23">
        <f t="shared" si="14"/>
        <v>0</v>
      </c>
      <c r="AG26" s="23">
        <f t="shared" si="14"/>
        <v>0</v>
      </c>
      <c r="AH26" s="23">
        <f t="shared" si="14"/>
        <v>0</v>
      </c>
      <c r="AI26" s="23">
        <f t="shared" si="14"/>
        <v>1398617.7050653177</v>
      </c>
      <c r="AJ26" s="23">
        <f t="shared" si="14"/>
        <v>240442.91435308382</v>
      </c>
      <c r="AK26" s="23">
        <f t="shared" si="14"/>
        <v>246457.88757648499</v>
      </c>
      <c r="AL26" s="23">
        <f t="shared" si="14"/>
        <v>281066.23394240678</v>
      </c>
      <c r="AM26" s="23">
        <f t="shared" si="14"/>
        <v>186828.89303639898</v>
      </c>
      <c r="AN26" s="23">
        <f t="shared" si="14"/>
        <v>196393.50977564702</v>
      </c>
      <c r="AO26" s="23">
        <f t="shared" si="14"/>
        <v>245977.28508560976</v>
      </c>
      <c r="AP26" s="23">
        <f t="shared" si="14"/>
        <v>1049619.3758316098</v>
      </c>
      <c r="AQ26" s="23">
        <f t="shared" si="14"/>
        <v>634474</v>
      </c>
      <c r="AR26" s="23">
        <f t="shared" si="14"/>
        <v>709231</v>
      </c>
      <c r="AS26" s="23">
        <f t="shared" si="14"/>
        <v>624576</v>
      </c>
      <c r="AT26" s="23">
        <f t="shared" si="14"/>
        <v>735403</v>
      </c>
      <c r="AU26" s="23">
        <f t="shared" si="14"/>
        <v>742333</v>
      </c>
      <c r="AV26" s="23">
        <f t="shared" si="14"/>
        <v>735715</v>
      </c>
      <c r="AW26" s="23">
        <f t="shared" si="14"/>
        <v>747384</v>
      </c>
    </row>
    <row r="28" spans="3:49">
      <c r="C28" s="14" t="s">
        <v>66</v>
      </c>
      <c r="J28" s="22">
        <f>-J88</f>
        <v>0</v>
      </c>
      <c r="K28" s="22">
        <f t="shared" ref="K28:AW28" si="15">-K88</f>
        <v>0</v>
      </c>
      <c r="L28" s="22">
        <f t="shared" si="15"/>
        <v>0</v>
      </c>
      <c r="M28" s="22">
        <f t="shared" si="15"/>
        <v>0</v>
      </c>
      <c r="N28" s="22">
        <f t="shared" si="15"/>
        <v>0</v>
      </c>
      <c r="O28" s="22">
        <f>-O88</f>
        <v>-150000</v>
      </c>
      <c r="P28" s="22">
        <f t="shared" si="15"/>
        <v>-134216.08656696419</v>
      </c>
      <c r="Q28" s="22">
        <f t="shared" si="15"/>
        <v>-150000</v>
      </c>
      <c r="R28" s="22">
        <f t="shared" si="15"/>
        <v>-150000</v>
      </c>
      <c r="S28" s="22">
        <f t="shared" si="15"/>
        <v>-150000</v>
      </c>
      <c r="T28" s="22">
        <f t="shared" si="15"/>
        <v>-144060.44444444444</v>
      </c>
      <c r="U28" s="22">
        <f t="shared" si="15"/>
        <v>0</v>
      </c>
      <c r="V28" s="22">
        <f t="shared" si="15"/>
        <v>0</v>
      </c>
      <c r="W28" s="22">
        <f t="shared" si="15"/>
        <v>0</v>
      </c>
      <c r="X28" s="22">
        <f t="shared" si="15"/>
        <v>0</v>
      </c>
      <c r="Y28" s="22">
        <f t="shared" si="15"/>
        <v>0</v>
      </c>
      <c r="Z28" s="22">
        <f t="shared" si="15"/>
        <v>0</v>
      </c>
      <c r="AA28" s="22">
        <f t="shared" si="15"/>
        <v>0</v>
      </c>
      <c r="AB28" s="22">
        <f t="shared" si="15"/>
        <v>0</v>
      </c>
      <c r="AC28" s="22">
        <f t="shared" si="15"/>
        <v>-150000</v>
      </c>
      <c r="AD28" s="22">
        <f t="shared" si="15"/>
        <v>0</v>
      </c>
      <c r="AE28" s="22">
        <f t="shared" si="15"/>
        <v>0</v>
      </c>
      <c r="AF28" s="22">
        <f t="shared" si="15"/>
        <v>0</v>
      </c>
      <c r="AG28" s="22">
        <f t="shared" si="15"/>
        <v>0</v>
      </c>
      <c r="AH28" s="22">
        <f t="shared" si="15"/>
        <v>0</v>
      </c>
      <c r="AI28" s="22">
        <f t="shared" si="15"/>
        <v>-150000</v>
      </c>
      <c r="AJ28" s="22">
        <f t="shared" si="15"/>
        <v>-150000</v>
      </c>
      <c r="AK28" s="22">
        <f t="shared" si="15"/>
        <v>-150000</v>
      </c>
      <c r="AL28" s="22">
        <f t="shared" si="15"/>
        <v>-150000</v>
      </c>
      <c r="AM28" s="22">
        <f t="shared" si="15"/>
        <v>-150000</v>
      </c>
      <c r="AN28" s="22">
        <f t="shared" si="15"/>
        <v>-150000</v>
      </c>
      <c r="AO28" s="22">
        <f t="shared" si="15"/>
        <v>-150000</v>
      </c>
      <c r="AP28" s="22">
        <f t="shared" si="15"/>
        <v>-150000</v>
      </c>
      <c r="AQ28" s="22">
        <f t="shared" si="15"/>
        <v>-150000</v>
      </c>
      <c r="AR28" s="22">
        <f t="shared" si="15"/>
        <v>-150000</v>
      </c>
      <c r="AS28" s="22">
        <f t="shared" si="15"/>
        <v>-150000</v>
      </c>
      <c r="AT28" s="22">
        <f t="shared" si="15"/>
        <v>-150000</v>
      </c>
      <c r="AU28" s="22">
        <f t="shared" si="15"/>
        <v>-150000</v>
      </c>
      <c r="AV28" s="22">
        <f t="shared" si="15"/>
        <v>-150000</v>
      </c>
      <c r="AW28" s="22">
        <f t="shared" si="15"/>
        <v>-150000</v>
      </c>
    </row>
    <row r="29" spans="3:49">
      <c r="C29" s="17" t="s">
        <v>99</v>
      </c>
      <c r="D29" s="17"/>
      <c r="E29" s="17"/>
      <c r="F29" s="17"/>
      <c r="G29" s="17"/>
      <c r="H29" s="17"/>
      <c r="I29" s="17"/>
      <c r="J29" s="23">
        <f>J26+J28</f>
        <v>0</v>
      </c>
      <c r="K29" s="23">
        <f t="shared" ref="K29:AW29" si="16">K26+K28</f>
        <v>0</v>
      </c>
      <c r="L29" s="23">
        <f t="shared" si="16"/>
        <v>0</v>
      </c>
      <c r="M29" s="23">
        <f t="shared" si="16"/>
        <v>0</v>
      </c>
      <c r="N29" s="23">
        <f t="shared" si="16"/>
        <v>0</v>
      </c>
      <c r="O29" s="23">
        <f t="shared" si="16"/>
        <v>1173780.5231795839</v>
      </c>
      <c r="P29" s="23">
        <f t="shared" si="16"/>
        <v>0</v>
      </c>
      <c r="Q29" s="23">
        <f t="shared" si="16"/>
        <v>41039.979192997183</v>
      </c>
      <c r="R29" s="23">
        <f t="shared" si="16"/>
        <v>36112.289939985727</v>
      </c>
      <c r="S29" s="23">
        <f t="shared" si="16"/>
        <v>87188.921680602129</v>
      </c>
      <c r="T29" s="23">
        <f t="shared" si="16"/>
        <v>0</v>
      </c>
      <c r="U29" s="23">
        <f t="shared" si="16"/>
        <v>0</v>
      </c>
      <c r="V29" s="23">
        <f t="shared" si="16"/>
        <v>0</v>
      </c>
      <c r="W29" s="23">
        <f t="shared" si="16"/>
        <v>0</v>
      </c>
      <c r="X29" s="23">
        <f t="shared" si="16"/>
        <v>0</v>
      </c>
      <c r="Y29" s="23">
        <f t="shared" si="16"/>
        <v>0</v>
      </c>
      <c r="Z29" s="23">
        <f t="shared" si="16"/>
        <v>0</v>
      </c>
      <c r="AA29" s="23">
        <f t="shared" si="16"/>
        <v>0</v>
      </c>
      <c r="AB29" s="23">
        <f t="shared" si="16"/>
        <v>0</v>
      </c>
      <c r="AC29" s="23">
        <f t="shared" si="16"/>
        <v>474411.73459766828</v>
      </c>
      <c r="AD29" s="23">
        <f t="shared" si="16"/>
        <v>0</v>
      </c>
      <c r="AE29" s="23">
        <f t="shared" si="16"/>
        <v>0</v>
      </c>
      <c r="AF29" s="23">
        <f t="shared" si="16"/>
        <v>0</v>
      </c>
      <c r="AG29" s="23">
        <f t="shared" si="16"/>
        <v>0</v>
      </c>
      <c r="AH29" s="23">
        <f t="shared" si="16"/>
        <v>0</v>
      </c>
      <c r="AI29" s="23">
        <f t="shared" si="16"/>
        <v>1248617.7050653177</v>
      </c>
      <c r="AJ29" s="23">
        <f t="shared" si="16"/>
        <v>90442.914353083819</v>
      </c>
      <c r="AK29" s="23">
        <f t="shared" si="16"/>
        <v>96457.887576484994</v>
      </c>
      <c r="AL29" s="23">
        <f t="shared" si="16"/>
        <v>131066.23394240678</v>
      </c>
      <c r="AM29" s="23">
        <f t="shared" si="16"/>
        <v>36828.893036398978</v>
      </c>
      <c r="AN29" s="23">
        <f t="shared" si="16"/>
        <v>46393.50977564702</v>
      </c>
      <c r="AO29" s="23">
        <f t="shared" si="16"/>
        <v>95977.285085609765</v>
      </c>
      <c r="AP29" s="23">
        <f t="shared" si="16"/>
        <v>899619.37583160982</v>
      </c>
      <c r="AQ29" s="23">
        <f t="shared" si="16"/>
        <v>484474</v>
      </c>
      <c r="AR29" s="23">
        <f t="shared" si="16"/>
        <v>559231</v>
      </c>
      <c r="AS29" s="23">
        <f t="shared" si="16"/>
        <v>474576</v>
      </c>
      <c r="AT29" s="23">
        <f t="shared" si="16"/>
        <v>585403</v>
      </c>
      <c r="AU29" s="23">
        <f t="shared" si="16"/>
        <v>592333</v>
      </c>
      <c r="AV29" s="23">
        <f t="shared" si="16"/>
        <v>585715</v>
      </c>
      <c r="AW29" s="23">
        <f t="shared" si="16"/>
        <v>597384</v>
      </c>
    </row>
    <row r="30" spans="3:49"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</row>
    <row r="31" spans="3:49">
      <c r="C31" s="14" t="s">
        <v>104</v>
      </c>
      <c r="J31" s="22">
        <f t="shared" ref="J31:AW31" si="17">J97</f>
        <v>0</v>
      </c>
      <c r="K31" s="22">
        <f t="shared" si="17"/>
        <v>0</v>
      </c>
      <c r="L31" s="22">
        <f t="shared" si="17"/>
        <v>0</v>
      </c>
      <c r="M31" s="22">
        <f t="shared" si="17"/>
        <v>0</v>
      </c>
      <c r="N31" s="22">
        <f t="shared" si="17"/>
        <v>0</v>
      </c>
      <c r="O31" s="22">
        <f t="shared" si="17"/>
        <v>-1173780.5231795839</v>
      </c>
      <c r="P31" s="22">
        <f t="shared" si="17"/>
        <v>0</v>
      </c>
      <c r="Q31" s="22">
        <f t="shared" si="17"/>
        <v>-41039.979192997183</v>
      </c>
      <c r="R31" s="22">
        <f t="shared" si="17"/>
        <v>-36112.289939985727</v>
      </c>
      <c r="S31" s="22">
        <f t="shared" si="17"/>
        <v>-58550.507140195463</v>
      </c>
      <c r="T31" s="22">
        <f t="shared" si="17"/>
        <v>0</v>
      </c>
      <c r="U31" s="22">
        <f t="shared" si="17"/>
        <v>0</v>
      </c>
      <c r="V31" s="22">
        <f t="shared" si="17"/>
        <v>0</v>
      </c>
      <c r="W31" s="22">
        <f t="shared" si="17"/>
        <v>0</v>
      </c>
      <c r="X31" s="22">
        <f t="shared" si="17"/>
        <v>0</v>
      </c>
      <c r="Y31" s="22">
        <f t="shared" si="17"/>
        <v>0</v>
      </c>
      <c r="Z31" s="22">
        <f t="shared" si="17"/>
        <v>0</v>
      </c>
      <c r="AA31" s="22">
        <f t="shared" si="17"/>
        <v>0</v>
      </c>
      <c r="AB31" s="22">
        <f t="shared" si="17"/>
        <v>0</v>
      </c>
      <c r="AC31" s="22">
        <f t="shared" si="17"/>
        <v>-474411.73459766828</v>
      </c>
      <c r="AD31" s="22">
        <f t="shared" si="17"/>
        <v>0</v>
      </c>
      <c r="AE31" s="22">
        <f t="shared" si="17"/>
        <v>0</v>
      </c>
      <c r="AF31" s="22">
        <f t="shared" si="17"/>
        <v>0</v>
      </c>
      <c r="AG31" s="22">
        <f t="shared" si="17"/>
        <v>0</v>
      </c>
      <c r="AH31" s="22">
        <f t="shared" si="17"/>
        <v>0</v>
      </c>
      <c r="AI31" s="22">
        <f t="shared" si="17"/>
        <v>-1248617.7050653177</v>
      </c>
      <c r="AJ31" s="22">
        <f t="shared" si="17"/>
        <v>-90442.914353083819</v>
      </c>
      <c r="AK31" s="22">
        <f t="shared" si="17"/>
        <v>-96457.887576484994</v>
      </c>
      <c r="AL31" s="22">
        <f t="shared" si="17"/>
        <v>-131066.23394240678</v>
      </c>
      <c r="AM31" s="22">
        <f t="shared" si="17"/>
        <v>-36828.893036398978</v>
      </c>
      <c r="AN31" s="22">
        <f t="shared" si="17"/>
        <v>-46393.50977564702</v>
      </c>
      <c r="AO31" s="22">
        <f t="shared" si="17"/>
        <v>-95977.285085609765</v>
      </c>
      <c r="AP31" s="22">
        <f t="shared" si="17"/>
        <v>-781168.32907002431</v>
      </c>
      <c r="AQ31" s="22">
        <f t="shared" si="17"/>
        <v>0</v>
      </c>
      <c r="AR31" s="22">
        <f t="shared" si="17"/>
        <v>0</v>
      </c>
      <c r="AS31" s="22">
        <f t="shared" si="17"/>
        <v>0</v>
      </c>
      <c r="AT31" s="22">
        <f t="shared" si="17"/>
        <v>0</v>
      </c>
      <c r="AU31" s="22">
        <f t="shared" si="17"/>
        <v>0</v>
      </c>
      <c r="AV31" s="22">
        <f t="shared" si="17"/>
        <v>0</v>
      </c>
      <c r="AW31" s="22">
        <f t="shared" si="17"/>
        <v>0</v>
      </c>
    </row>
    <row r="32" spans="3:49">
      <c r="C32" s="25" t="s">
        <v>102</v>
      </c>
      <c r="D32" s="29"/>
      <c r="E32" s="29"/>
      <c r="F32" s="29"/>
      <c r="G32" s="29"/>
      <c r="H32" s="29"/>
      <c r="I32" s="29"/>
      <c r="J32" s="26">
        <f>SUM(J29,J31)</f>
        <v>0</v>
      </c>
      <c r="K32" s="26">
        <f t="shared" ref="K32:AW32" si="18">SUM(K29,K31)</f>
        <v>0</v>
      </c>
      <c r="L32" s="26">
        <f t="shared" si="18"/>
        <v>0</v>
      </c>
      <c r="M32" s="26">
        <f t="shared" si="18"/>
        <v>0</v>
      </c>
      <c r="N32" s="26">
        <f t="shared" si="18"/>
        <v>0</v>
      </c>
      <c r="O32" s="26">
        <f t="shared" si="18"/>
        <v>0</v>
      </c>
      <c r="P32" s="26">
        <f t="shared" si="18"/>
        <v>0</v>
      </c>
      <c r="Q32" s="26">
        <f t="shared" si="18"/>
        <v>0</v>
      </c>
      <c r="R32" s="26">
        <f t="shared" si="18"/>
        <v>0</v>
      </c>
      <c r="S32" s="26">
        <f t="shared" si="18"/>
        <v>28638.414540406666</v>
      </c>
      <c r="T32" s="26">
        <f t="shared" si="18"/>
        <v>0</v>
      </c>
      <c r="U32" s="26">
        <f t="shared" si="18"/>
        <v>0</v>
      </c>
      <c r="V32" s="26">
        <f t="shared" si="18"/>
        <v>0</v>
      </c>
      <c r="W32" s="26">
        <f t="shared" si="18"/>
        <v>0</v>
      </c>
      <c r="X32" s="26">
        <f t="shared" si="18"/>
        <v>0</v>
      </c>
      <c r="Y32" s="26">
        <f t="shared" si="18"/>
        <v>0</v>
      </c>
      <c r="Z32" s="26">
        <f t="shared" si="18"/>
        <v>0</v>
      </c>
      <c r="AA32" s="26">
        <f t="shared" si="18"/>
        <v>0</v>
      </c>
      <c r="AB32" s="26">
        <f t="shared" si="18"/>
        <v>0</v>
      </c>
      <c r="AC32" s="26">
        <f t="shared" si="18"/>
        <v>0</v>
      </c>
      <c r="AD32" s="26">
        <f t="shared" si="18"/>
        <v>0</v>
      </c>
      <c r="AE32" s="26">
        <f t="shared" si="18"/>
        <v>0</v>
      </c>
      <c r="AF32" s="26">
        <f t="shared" si="18"/>
        <v>0</v>
      </c>
      <c r="AG32" s="26">
        <f t="shared" si="18"/>
        <v>0</v>
      </c>
      <c r="AH32" s="26">
        <f t="shared" si="18"/>
        <v>0</v>
      </c>
      <c r="AI32" s="26">
        <f t="shared" si="18"/>
        <v>0</v>
      </c>
      <c r="AJ32" s="26">
        <f t="shared" si="18"/>
        <v>0</v>
      </c>
      <c r="AK32" s="26">
        <f t="shared" si="18"/>
        <v>0</v>
      </c>
      <c r="AL32" s="26">
        <f t="shared" si="18"/>
        <v>0</v>
      </c>
      <c r="AM32" s="26">
        <f t="shared" si="18"/>
        <v>0</v>
      </c>
      <c r="AN32" s="26">
        <f t="shared" si="18"/>
        <v>0</v>
      </c>
      <c r="AO32" s="26">
        <f t="shared" si="18"/>
        <v>0</v>
      </c>
      <c r="AP32" s="26">
        <f t="shared" si="18"/>
        <v>118451.04676158552</v>
      </c>
      <c r="AQ32" s="26">
        <f t="shared" si="18"/>
        <v>484474</v>
      </c>
      <c r="AR32" s="26">
        <f t="shared" si="18"/>
        <v>559231</v>
      </c>
      <c r="AS32" s="26">
        <f t="shared" si="18"/>
        <v>474576</v>
      </c>
      <c r="AT32" s="26">
        <f t="shared" si="18"/>
        <v>585403</v>
      </c>
      <c r="AU32" s="26">
        <f t="shared" si="18"/>
        <v>592333</v>
      </c>
      <c r="AV32" s="26">
        <f t="shared" si="18"/>
        <v>585715</v>
      </c>
      <c r="AW32" s="26">
        <f t="shared" si="18"/>
        <v>597384</v>
      </c>
    </row>
    <row r="33" spans="2:49"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</row>
    <row r="34" spans="2:49"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</row>
    <row r="35" spans="2:49">
      <c r="B35" s="17" t="s">
        <v>67</v>
      </c>
    </row>
    <row r="36" spans="2:49">
      <c r="C36" s="14" t="s">
        <v>68</v>
      </c>
      <c r="J36" s="22">
        <f>I38</f>
        <v>10000000</v>
      </c>
      <c r="K36" s="22">
        <f t="shared" ref="K36:AW36" si="19">J38</f>
        <v>9746520.555555556</v>
      </c>
      <c r="L36" s="22">
        <f t="shared" si="19"/>
        <v>9493960.395833334</v>
      </c>
      <c r="M36" s="22">
        <f t="shared" si="19"/>
        <v>9241756.0118923616</v>
      </c>
      <c r="N36" s="22">
        <f t="shared" si="19"/>
        <v>8987604.0731521267</v>
      </c>
      <c r="O36" s="22">
        <f t="shared" si="19"/>
        <v>8729722.4573998619</v>
      </c>
      <c r="P36" s="22">
        <f t="shared" si="19"/>
        <v>8476612.8770062495</v>
      </c>
      <c r="Q36" s="22">
        <f t="shared" si="19"/>
        <v>8220662.2046354944</v>
      </c>
      <c r="R36" s="22">
        <f t="shared" si="19"/>
        <v>7964013.2599712163</v>
      </c>
      <c r="S36" s="22">
        <f t="shared" si="19"/>
        <v>7686467.3146097455</v>
      </c>
      <c r="T36" s="22">
        <f t="shared" si="19"/>
        <v>7424678.7115979232</v>
      </c>
      <c r="U36" s="22">
        <f t="shared" si="19"/>
        <v>7153811.6399373412</v>
      </c>
      <c r="V36" s="22">
        <f t="shared" si="19"/>
        <v>6884434.8409921136</v>
      </c>
      <c r="W36" s="22">
        <f t="shared" si="19"/>
        <v>6612619.7209489597</v>
      </c>
      <c r="X36" s="22">
        <f t="shared" si="19"/>
        <v>6321027.4674608214</v>
      </c>
      <c r="Y36" s="22">
        <f t="shared" si="19"/>
        <v>6024221.4219151931</v>
      </c>
      <c r="Z36" s="22">
        <f t="shared" si="19"/>
        <v>5717774.7452446884</v>
      </c>
      <c r="AA36" s="22">
        <f t="shared" si="19"/>
        <v>5421379.1517824689</v>
      </c>
      <c r="AB36" s="22">
        <f t="shared" si="19"/>
        <v>5111886.3911797497</v>
      </c>
      <c r="AC36" s="22">
        <f t="shared" si="19"/>
        <v>4792906.0821806081</v>
      </c>
      <c r="AD36" s="22">
        <f t="shared" si="19"/>
        <v>4463290.1859856434</v>
      </c>
      <c r="AE36" s="22">
        <f t="shared" si="19"/>
        <v>4118464.0910882419</v>
      </c>
      <c r="AF36" s="22">
        <f t="shared" si="19"/>
        <v>3783722.114449067</v>
      </c>
      <c r="AG36" s="22">
        <f t="shared" si="19"/>
        <v>3433786.4186574584</v>
      </c>
      <c r="AH36" s="22">
        <f t="shared" si="19"/>
        <v>3087686.5266684545</v>
      </c>
      <c r="AI36" s="22">
        <f t="shared" si="19"/>
        <v>2736650.9415851436</v>
      </c>
      <c r="AJ36" s="22">
        <f t="shared" si="19"/>
        <v>2377404.078354958</v>
      </c>
      <c r="AK36" s="22">
        <f t="shared" si="19"/>
        <v>1995779.4071121728</v>
      </c>
      <c r="AL36" s="22">
        <f t="shared" si="19"/>
        <v>1627216.6497010749</v>
      </c>
      <c r="AM36" s="22">
        <f t="shared" si="19"/>
        <v>1259435.1911556716</v>
      </c>
      <c r="AN36" s="22">
        <f t="shared" si="19"/>
        <v>877116.46437845088</v>
      </c>
      <c r="AO36" s="22">
        <f t="shared" si="19"/>
        <v>467229.86462762597</v>
      </c>
      <c r="AP36" s="22">
        <f t="shared" si="19"/>
        <v>55168.571268804662</v>
      </c>
      <c r="AQ36" s="22">
        <f t="shared" si="19"/>
        <v>0</v>
      </c>
      <c r="AR36" s="22">
        <f t="shared" si="19"/>
        <v>0</v>
      </c>
      <c r="AS36" s="22">
        <f t="shared" si="19"/>
        <v>0</v>
      </c>
      <c r="AT36" s="22">
        <f t="shared" si="19"/>
        <v>0</v>
      </c>
      <c r="AU36" s="22">
        <f t="shared" si="19"/>
        <v>0</v>
      </c>
      <c r="AV36" s="22">
        <f t="shared" si="19"/>
        <v>0</v>
      </c>
      <c r="AW36" s="22">
        <f t="shared" si="19"/>
        <v>0</v>
      </c>
    </row>
    <row r="37" spans="2:49">
      <c r="C37" s="14" t="s">
        <v>69</v>
      </c>
      <c r="J37" s="22">
        <f>J13</f>
        <v>-253479.44444444444</v>
      </c>
      <c r="K37" s="22">
        <f t="shared" ref="K37:AW37" si="20">K13</f>
        <v>-252560.15972222225</v>
      </c>
      <c r="L37" s="22">
        <f t="shared" si="20"/>
        <v>-252204.38394097221</v>
      </c>
      <c r="M37" s="22">
        <f t="shared" si="20"/>
        <v>-254151.93874023436</v>
      </c>
      <c r="N37" s="22">
        <f t="shared" si="20"/>
        <v>-257881.61575226509</v>
      </c>
      <c r="O37" s="22">
        <f t="shared" si="20"/>
        <v>-253109.58039361285</v>
      </c>
      <c r="P37" s="22">
        <f t="shared" si="20"/>
        <v>-255950.67237075517</v>
      </c>
      <c r="Q37" s="22">
        <f t="shared" si="20"/>
        <v>-256648.9446642785</v>
      </c>
      <c r="R37" s="22">
        <f t="shared" si="20"/>
        <v>-277545.94536147092</v>
      </c>
      <c r="S37" s="22">
        <f t="shared" si="20"/>
        <v>-261788.60301182262</v>
      </c>
      <c r="T37" s="22">
        <f t="shared" si="20"/>
        <v>-270867.07166058151</v>
      </c>
      <c r="U37" s="22">
        <f t="shared" si="20"/>
        <v>-269376.79894522764</v>
      </c>
      <c r="V37" s="22">
        <f t="shared" si="20"/>
        <v>-271815.12004315411</v>
      </c>
      <c r="W37" s="22">
        <f t="shared" si="20"/>
        <v>-291592.25348813797</v>
      </c>
      <c r="X37" s="22">
        <f t="shared" si="20"/>
        <v>-296806.04554562859</v>
      </c>
      <c r="Y37" s="22">
        <f t="shared" si="20"/>
        <v>-306446.6766705045</v>
      </c>
      <c r="Z37" s="22">
        <f t="shared" si="20"/>
        <v>-296395.59346221911</v>
      </c>
      <c r="AA37" s="22">
        <f t="shared" si="20"/>
        <v>-309492.76060271915</v>
      </c>
      <c r="AB37" s="22">
        <f t="shared" si="20"/>
        <v>-318980.30899914203</v>
      </c>
      <c r="AC37" s="22">
        <f t="shared" si="20"/>
        <v>-329615.89619496459</v>
      </c>
      <c r="AD37" s="22">
        <f t="shared" si="20"/>
        <v>-344826.09489740164</v>
      </c>
      <c r="AE37" s="22">
        <f t="shared" si="20"/>
        <v>-334741.97663917474</v>
      </c>
      <c r="AF37" s="22">
        <f t="shared" si="20"/>
        <v>-349935.69579160883</v>
      </c>
      <c r="AG37" s="22">
        <f t="shared" si="20"/>
        <v>-346099.89198900398</v>
      </c>
      <c r="AH37" s="22">
        <f t="shared" si="20"/>
        <v>-351035.58508331102</v>
      </c>
      <c r="AI37" s="22">
        <f t="shared" si="20"/>
        <v>-359246.8632301857</v>
      </c>
      <c r="AJ37" s="22">
        <f t="shared" si="20"/>
        <v>-381624.67124278523</v>
      </c>
      <c r="AK37" s="22">
        <f t="shared" si="20"/>
        <v>-368562.75741109782</v>
      </c>
      <c r="AL37" s="22">
        <f t="shared" si="20"/>
        <v>-367781.45854540326</v>
      </c>
      <c r="AM37" s="22">
        <f t="shared" si="20"/>
        <v>-382318.72677722073</v>
      </c>
      <c r="AN37" s="22">
        <f t="shared" si="20"/>
        <v>-409886.59975082491</v>
      </c>
      <c r="AO37" s="22">
        <f t="shared" si="20"/>
        <v>-412061.29335882131</v>
      </c>
      <c r="AP37" s="22">
        <f t="shared" si="20"/>
        <v>-55168.571268804662</v>
      </c>
      <c r="AQ37" s="22">
        <f t="shared" si="20"/>
        <v>0</v>
      </c>
      <c r="AR37" s="22">
        <f t="shared" si="20"/>
        <v>0</v>
      </c>
      <c r="AS37" s="22">
        <f t="shared" si="20"/>
        <v>0</v>
      </c>
      <c r="AT37" s="22">
        <f t="shared" si="20"/>
        <v>0</v>
      </c>
      <c r="AU37" s="22">
        <f t="shared" si="20"/>
        <v>0</v>
      </c>
      <c r="AV37" s="22">
        <f t="shared" si="20"/>
        <v>0</v>
      </c>
      <c r="AW37" s="22">
        <f t="shared" si="20"/>
        <v>0</v>
      </c>
    </row>
    <row r="38" spans="2:49">
      <c r="C38" s="14" t="s">
        <v>37</v>
      </c>
      <c r="I38" s="28">
        <f>CaseData!G4</f>
        <v>10000000</v>
      </c>
      <c r="J38" s="24">
        <f t="shared" ref="J38:AW38" si="21">SUM(J36:J37)</f>
        <v>9746520.555555556</v>
      </c>
      <c r="K38" s="24">
        <f t="shared" si="21"/>
        <v>9493960.395833334</v>
      </c>
      <c r="L38" s="24">
        <f t="shared" si="21"/>
        <v>9241756.0118923616</v>
      </c>
      <c r="M38" s="24">
        <f t="shared" si="21"/>
        <v>8987604.0731521267</v>
      </c>
      <c r="N38" s="24">
        <f t="shared" si="21"/>
        <v>8729722.4573998619</v>
      </c>
      <c r="O38" s="24">
        <f t="shared" si="21"/>
        <v>8476612.8770062495</v>
      </c>
      <c r="P38" s="24">
        <f t="shared" si="21"/>
        <v>8220662.2046354944</v>
      </c>
      <c r="Q38" s="24">
        <f t="shared" si="21"/>
        <v>7964013.2599712163</v>
      </c>
      <c r="R38" s="24">
        <f t="shared" si="21"/>
        <v>7686467.3146097455</v>
      </c>
      <c r="S38" s="24">
        <f t="shared" si="21"/>
        <v>7424678.7115979232</v>
      </c>
      <c r="T38" s="24">
        <f t="shared" si="21"/>
        <v>7153811.6399373412</v>
      </c>
      <c r="U38" s="24">
        <f t="shared" si="21"/>
        <v>6884434.8409921136</v>
      </c>
      <c r="V38" s="24">
        <f t="shared" si="21"/>
        <v>6612619.7209489597</v>
      </c>
      <c r="W38" s="24">
        <f t="shared" si="21"/>
        <v>6321027.4674608214</v>
      </c>
      <c r="X38" s="24">
        <f t="shared" si="21"/>
        <v>6024221.4219151931</v>
      </c>
      <c r="Y38" s="24">
        <f t="shared" si="21"/>
        <v>5717774.7452446884</v>
      </c>
      <c r="Z38" s="24">
        <f t="shared" si="21"/>
        <v>5421379.1517824689</v>
      </c>
      <c r="AA38" s="24">
        <f t="shared" si="21"/>
        <v>5111886.3911797497</v>
      </c>
      <c r="AB38" s="24">
        <f t="shared" si="21"/>
        <v>4792906.0821806081</v>
      </c>
      <c r="AC38" s="24">
        <f t="shared" si="21"/>
        <v>4463290.1859856434</v>
      </c>
      <c r="AD38" s="24">
        <f t="shared" si="21"/>
        <v>4118464.0910882419</v>
      </c>
      <c r="AE38" s="24">
        <f t="shared" si="21"/>
        <v>3783722.114449067</v>
      </c>
      <c r="AF38" s="24">
        <f t="shared" si="21"/>
        <v>3433786.4186574584</v>
      </c>
      <c r="AG38" s="24">
        <f t="shared" si="21"/>
        <v>3087686.5266684545</v>
      </c>
      <c r="AH38" s="24">
        <f t="shared" si="21"/>
        <v>2736650.9415851436</v>
      </c>
      <c r="AI38" s="24">
        <f t="shared" si="21"/>
        <v>2377404.078354958</v>
      </c>
      <c r="AJ38" s="24">
        <f t="shared" si="21"/>
        <v>1995779.4071121728</v>
      </c>
      <c r="AK38" s="24">
        <f t="shared" si="21"/>
        <v>1627216.6497010749</v>
      </c>
      <c r="AL38" s="24">
        <f t="shared" si="21"/>
        <v>1259435.1911556716</v>
      </c>
      <c r="AM38" s="24">
        <f t="shared" si="21"/>
        <v>877116.46437845088</v>
      </c>
      <c r="AN38" s="24">
        <f t="shared" si="21"/>
        <v>467229.86462762597</v>
      </c>
      <c r="AO38" s="24">
        <f t="shared" si="21"/>
        <v>55168.571268804662</v>
      </c>
      <c r="AP38" s="24">
        <f t="shared" si="21"/>
        <v>0</v>
      </c>
      <c r="AQ38" s="24">
        <f t="shared" si="21"/>
        <v>0</v>
      </c>
      <c r="AR38" s="24">
        <f t="shared" si="21"/>
        <v>0</v>
      </c>
      <c r="AS38" s="24">
        <f t="shared" si="21"/>
        <v>0</v>
      </c>
      <c r="AT38" s="24">
        <f t="shared" si="21"/>
        <v>0</v>
      </c>
      <c r="AU38" s="24">
        <f t="shared" si="21"/>
        <v>0</v>
      </c>
      <c r="AV38" s="24">
        <f t="shared" si="21"/>
        <v>0</v>
      </c>
      <c r="AW38" s="24">
        <f t="shared" si="21"/>
        <v>0</v>
      </c>
    </row>
    <row r="40" spans="2:49">
      <c r="C40" s="14" t="s">
        <v>70</v>
      </c>
      <c r="H40" s="41">
        <f>CaseData!G5</f>
        <v>0.05</v>
      </c>
      <c r="J40" s="18">
        <f>$H40</f>
        <v>0.05</v>
      </c>
      <c r="K40" s="18">
        <f t="shared" ref="K40:AW40" si="22">$H40</f>
        <v>0.05</v>
      </c>
      <c r="L40" s="18">
        <f t="shared" si="22"/>
        <v>0.05</v>
      </c>
      <c r="M40" s="18">
        <f t="shared" si="22"/>
        <v>0.05</v>
      </c>
      <c r="N40" s="18">
        <f t="shared" si="22"/>
        <v>0.05</v>
      </c>
      <c r="O40" s="18">
        <f t="shared" si="22"/>
        <v>0.05</v>
      </c>
      <c r="P40" s="18">
        <f t="shared" si="22"/>
        <v>0.05</v>
      </c>
      <c r="Q40" s="18">
        <f t="shared" si="22"/>
        <v>0.05</v>
      </c>
      <c r="R40" s="18">
        <f t="shared" si="22"/>
        <v>0.05</v>
      </c>
      <c r="S40" s="18">
        <f t="shared" si="22"/>
        <v>0.05</v>
      </c>
      <c r="T40" s="18">
        <f t="shared" si="22"/>
        <v>0.05</v>
      </c>
      <c r="U40" s="18">
        <f t="shared" si="22"/>
        <v>0.05</v>
      </c>
      <c r="V40" s="18">
        <f t="shared" si="22"/>
        <v>0.05</v>
      </c>
      <c r="W40" s="18">
        <f t="shared" si="22"/>
        <v>0.05</v>
      </c>
      <c r="X40" s="18">
        <f t="shared" si="22"/>
        <v>0.05</v>
      </c>
      <c r="Y40" s="18">
        <f t="shared" si="22"/>
        <v>0.05</v>
      </c>
      <c r="Z40" s="18">
        <f t="shared" si="22"/>
        <v>0.05</v>
      </c>
      <c r="AA40" s="18">
        <f t="shared" si="22"/>
        <v>0.05</v>
      </c>
      <c r="AB40" s="18">
        <f t="shared" si="22"/>
        <v>0.05</v>
      </c>
      <c r="AC40" s="18">
        <f t="shared" si="22"/>
        <v>0.05</v>
      </c>
      <c r="AD40" s="18">
        <f t="shared" si="22"/>
        <v>0.05</v>
      </c>
      <c r="AE40" s="18">
        <f t="shared" si="22"/>
        <v>0.05</v>
      </c>
      <c r="AF40" s="18">
        <f t="shared" si="22"/>
        <v>0.05</v>
      </c>
      <c r="AG40" s="18">
        <f t="shared" si="22"/>
        <v>0.05</v>
      </c>
      <c r="AH40" s="18">
        <f t="shared" si="22"/>
        <v>0.05</v>
      </c>
      <c r="AI40" s="18">
        <f t="shared" si="22"/>
        <v>0.05</v>
      </c>
      <c r="AJ40" s="18">
        <f t="shared" si="22"/>
        <v>0.05</v>
      </c>
      <c r="AK40" s="18">
        <f t="shared" si="22"/>
        <v>0.05</v>
      </c>
      <c r="AL40" s="18">
        <f t="shared" si="22"/>
        <v>0.05</v>
      </c>
      <c r="AM40" s="18">
        <f t="shared" si="22"/>
        <v>0.05</v>
      </c>
      <c r="AN40" s="18">
        <f t="shared" si="22"/>
        <v>0.05</v>
      </c>
      <c r="AO40" s="18">
        <f t="shared" si="22"/>
        <v>0.05</v>
      </c>
      <c r="AP40" s="18">
        <f t="shared" si="22"/>
        <v>0.05</v>
      </c>
      <c r="AQ40" s="18">
        <f t="shared" si="22"/>
        <v>0.05</v>
      </c>
      <c r="AR40" s="18">
        <f t="shared" si="22"/>
        <v>0.05</v>
      </c>
      <c r="AS40" s="18">
        <f t="shared" si="22"/>
        <v>0.05</v>
      </c>
      <c r="AT40" s="18">
        <f t="shared" si="22"/>
        <v>0.05</v>
      </c>
      <c r="AU40" s="18">
        <f t="shared" si="22"/>
        <v>0.05</v>
      </c>
      <c r="AV40" s="18">
        <f t="shared" si="22"/>
        <v>0.05</v>
      </c>
      <c r="AW40" s="18">
        <f t="shared" si="22"/>
        <v>0.05</v>
      </c>
    </row>
    <row r="41" spans="2:49">
      <c r="C41" s="14" t="s">
        <v>71</v>
      </c>
      <c r="J41" s="22">
        <f t="shared" ref="J41:AW41" si="23">J36*J40/4</f>
        <v>125000</v>
      </c>
      <c r="K41" s="22">
        <f t="shared" si="23"/>
        <v>121831.50694444445</v>
      </c>
      <c r="L41" s="22">
        <f t="shared" si="23"/>
        <v>118674.50494791668</v>
      </c>
      <c r="M41" s="22">
        <f t="shared" si="23"/>
        <v>115521.95014865452</v>
      </c>
      <c r="N41" s="22">
        <f t="shared" si="23"/>
        <v>112345.0509144016</v>
      </c>
      <c r="O41" s="22">
        <f t="shared" si="23"/>
        <v>109121.53071749827</v>
      </c>
      <c r="P41" s="22">
        <f t="shared" si="23"/>
        <v>105957.66096257813</v>
      </c>
      <c r="Q41" s="22">
        <f t="shared" si="23"/>
        <v>102758.27755794369</v>
      </c>
      <c r="R41" s="22">
        <f t="shared" si="23"/>
        <v>99550.165749640204</v>
      </c>
      <c r="S41" s="22">
        <f t="shared" si="23"/>
        <v>96080.841432621819</v>
      </c>
      <c r="T41" s="22">
        <f t="shared" si="23"/>
        <v>92808.483894974052</v>
      </c>
      <c r="U41" s="22">
        <f t="shared" si="23"/>
        <v>89422.645499216771</v>
      </c>
      <c r="V41" s="22">
        <f t="shared" si="23"/>
        <v>86055.435512401426</v>
      </c>
      <c r="W41" s="22">
        <f t="shared" si="23"/>
        <v>82657.746511862002</v>
      </c>
      <c r="X41" s="22">
        <f t="shared" si="23"/>
        <v>79012.843343260276</v>
      </c>
      <c r="Y41" s="22">
        <f t="shared" si="23"/>
        <v>75302.767773939922</v>
      </c>
      <c r="Z41" s="22">
        <f t="shared" si="23"/>
        <v>71472.18431555861</v>
      </c>
      <c r="AA41" s="22">
        <f t="shared" si="23"/>
        <v>67767.239397280864</v>
      </c>
      <c r="AB41" s="22">
        <f t="shared" si="23"/>
        <v>63898.579889746878</v>
      </c>
      <c r="AC41" s="22">
        <f t="shared" si="23"/>
        <v>59911.326027257601</v>
      </c>
      <c r="AD41" s="22">
        <f t="shared" si="23"/>
        <v>55791.127324820547</v>
      </c>
      <c r="AE41" s="22">
        <f t="shared" si="23"/>
        <v>51480.801138603027</v>
      </c>
      <c r="AF41" s="22">
        <f t="shared" si="23"/>
        <v>47296.526430613339</v>
      </c>
      <c r="AG41" s="22">
        <f t="shared" si="23"/>
        <v>42922.330233218236</v>
      </c>
      <c r="AH41" s="22">
        <f t="shared" si="23"/>
        <v>38596.081583355684</v>
      </c>
      <c r="AI41" s="22">
        <f t="shared" si="23"/>
        <v>34208.136769814293</v>
      </c>
      <c r="AJ41" s="22">
        <f t="shared" si="23"/>
        <v>29717.550979436975</v>
      </c>
      <c r="AK41" s="22">
        <f t="shared" si="23"/>
        <v>24947.242588902162</v>
      </c>
      <c r="AL41" s="22">
        <f t="shared" si="23"/>
        <v>20340.208121263437</v>
      </c>
      <c r="AM41" s="22">
        <f t="shared" si="23"/>
        <v>15742.939889445895</v>
      </c>
      <c r="AN41" s="22">
        <f t="shared" si="23"/>
        <v>10963.955804730636</v>
      </c>
      <c r="AO41" s="22">
        <f t="shared" si="23"/>
        <v>5840.3733078453251</v>
      </c>
      <c r="AP41" s="22">
        <f t="shared" si="23"/>
        <v>689.60714086005828</v>
      </c>
      <c r="AQ41" s="22">
        <f t="shared" si="23"/>
        <v>0</v>
      </c>
      <c r="AR41" s="22">
        <f t="shared" si="23"/>
        <v>0</v>
      </c>
      <c r="AS41" s="22">
        <f t="shared" si="23"/>
        <v>0</v>
      </c>
      <c r="AT41" s="22">
        <f t="shared" si="23"/>
        <v>0</v>
      </c>
      <c r="AU41" s="22">
        <f t="shared" si="23"/>
        <v>0</v>
      </c>
      <c r="AV41" s="22">
        <f t="shared" si="23"/>
        <v>0</v>
      </c>
      <c r="AW41" s="22">
        <f t="shared" si="23"/>
        <v>0</v>
      </c>
    </row>
    <row r="42" spans="2:49"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</row>
    <row r="43" spans="2:49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/>
      <c r="AQ43" s="20"/>
      <c r="AR43" s="20"/>
      <c r="AS43" s="20"/>
      <c r="AT43" s="20"/>
      <c r="AU43" s="20"/>
      <c r="AV43" s="20"/>
      <c r="AW43" s="20"/>
    </row>
    <row r="44" spans="2:49">
      <c r="B44" s="17" t="s">
        <v>72</v>
      </c>
      <c r="J44" s="22">
        <f>J37-J41</f>
        <v>-378479.44444444444</v>
      </c>
      <c r="K44" s="22">
        <f t="shared" ref="K44:Q44" si="24">K37-K41</f>
        <v>-374391.66666666669</v>
      </c>
      <c r="L44" s="22">
        <f t="shared" si="24"/>
        <v>-370878.88888888888</v>
      </c>
      <c r="M44" s="22">
        <f t="shared" si="24"/>
        <v>-369673.88888888888</v>
      </c>
      <c r="N44" s="22">
        <f t="shared" si="24"/>
        <v>-370226.66666666669</v>
      </c>
      <c r="O44" s="22">
        <f t="shared" si="24"/>
        <v>-362231.11111111112</v>
      </c>
      <c r="P44" s="22">
        <f t="shared" si="24"/>
        <v>-361908.33333333331</v>
      </c>
      <c r="Q44" s="22">
        <f t="shared" si="24"/>
        <v>-359407.22222222219</v>
      </c>
      <c r="R44" s="22">
        <f>R37-R41</f>
        <v>-377096.11111111112</v>
      </c>
    </row>
    <row r="45" spans="2:49">
      <c r="C45" s="14" t="s">
        <v>53</v>
      </c>
      <c r="J45" s="22">
        <f>SUM(J9:J9)</f>
        <v>602417</v>
      </c>
      <c r="K45" s="22">
        <f>SUM(J9:K9)</f>
        <v>1197893</v>
      </c>
      <c r="L45" s="22">
        <f>SUM(J9:L9)</f>
        <v>1791091</v>
      </c>
      <c r="M45" s="22">
        <f t="shared" ref="M45:AW46" si="25">SUM(J9:M9)</f>
        <v>2397690</v>
      </c>
      <c r="N45" s="22">
        <f t="shared" si="25"/>
        <v>2427040</v>
      </c>
      <c r="O45" s="22">
        <f t="shared" si="25"/>
        <v>2442091</v>
      </c>
      <c r="P45" s="22">
        <f t="shared" si="25"/>
        <v>2434491</v>
      </c>
      <c r="Q45" s="22">
        <f t="shared" si="25"/>
        <v>2465464</v>
      </c>
      <c r="R45" s="22">
        <f t="shared" si="25"/>
        <v>2480687</v>
      </c>
      <c r="S45" s="22">
        <f t="shared" si="25"/>
        <v>2545743</v>
      </c>
      <c r="T45" s="22">
        <f t="shared" si="25"/>
        <v>2544756</v>
      </c>
      <c r="U45" s="22">
        <f t="shared" si="25"/>
        <v>2125338</v>
      </c>
      <c r="V45" s="22">
        <f t="shared" si="25"/>
        <v>1705795</v>
      </c>
      <c r="W45" s="22">
        <f t="shared" si="25"/>
        <v>1295365</v>
      </c>
      <c r="X45" s="22">
        <f t="shared" si="25"/>
        <v>969832</v>
      </c>
      <c r="Y45" s="22">
        <f t="shared" si="25"/>
        <v>1355983</v>
      </c>
      <c r="Z45" s="22">
        <f t="shared" si="25"/>
        <v>1703304</v>
      </c>
      <c r="AA45" s="22">
        <f t="shared" si="25"/>
        <v>2079422</v>
      </c>
      <c r="AB45" s="22">
        <f t="shared" si="25"/>
        <v>2461101</v>
      </c>
      <c r="AC45" s="22">
        <f t="shared" si="25"/>
        <v>2490521</v>
      </c>
      <c r="AD45" s="22">
        <f t="shared" si="25"/>
        <v>2491920</v>
      </c>
      <c r="AE45" s="22">
        <f t="shared" si="25"/>
        <v>2431780</v>
      </c>
      <c r="AF45" s="22">
        <f t="shared" si="25"/>
        <v>2501005</v>
      </c>
      <c r="AG45" s="22">
        <f t="shared" si="25"/>
        <v>2469299</v>
      </c>
      <c r="AH45" s="22">
        <f t="shared" si="25"/>
        <v>2568611</v>
      </c>
      <c r="AI45" s="22">
        <f t="shared" si="25"/>
        <v>2657281</v>
      </c>
      <c r="AJ45" s="22">
        <f t="shared" si="25"/>
        <v>2656330</v>
      </c>
      <c r="AK45" s="22">
        <f t="shared" si="25"/>
        <v>2747317</v>
      </c>
      <c r="AL45" s="22">
        <f t="shared" si="25"/>
        <v>2789751</v>
      </c>
      <c r="AM45" s="22">
        <f t="shared" si="25"/>
        <v>2748647</v>
      </c>
      <c r="AN45" s="22">
        <f t="shared" si="25"/>
        <v>2697397</v>
      </c>
      <c r="AO45" s="22">
        <f t="shared" si="25"/>
        <v>2705370</v>
      </c>
      <c r="AP45" s="22">
        <f t="shared" si="25"/>
        <v>2625730</v>
      </c>
      <c r="AQ45" s="22">
        <f t="shared" si="25"/>
        <v>2649882</v>
      </c>
      <c r="AR45" s="22">
        <f t="shared" si="25"/>
        <v>2717082</v>
      </c>
      <c r="AS45" s="22">
        <f t="shared" si="25"/>
        <v>2653804</v>
      </c>
      <c r="AT45" s="22">
        <f t="shared" si="25"/>
        <v>2761434</v>
      </c>
      <c r="AU45" s="22">
        <f t="shared" si="25"/>
        <v>2858793</v>
      </c>
      <c r="AV45" s="22">
        <f t="shared" si="25"/>
        <v>2874777</v>
      </c>
      <c r="AW45" s="22">
        <f t="shared" si="25"/>
        <v>2987085</v>
      </c>
    </row>
    <row r="46" spans="2:49">
      <c r="C46" s="14" t="s">
        <v>54</v>
      </c>
      <c r="J46" s="22">
        <f>SUM(J10:J10)</f>
        <v>1875</v>
      </c>
      <c r="K46" s="22">
        <f>SUM(J10:K10)</f>
        <v>4596.7970833333329</v>
      </c>
      <c r="L46" s="22">
        <f>SUM(J10:L10)</f>
        <v>8157.8671557291655</v>
      </c>
      <c r="M46" s="22">
        <f t="shared" si="25"/>
        <v>12565.987907563151</v>
      </c>
      <c r="N46" s="22">
        <f t="shared" si="25"/>
        <v>16004.108278883179</v>
      </c>
      <c r="O46" s="22">
        <f t="shared" si="25"/>
        <v>19596.132018262324</v>
      </c>
      <c r="P46" s="22">
        <f t="shared" si="25"/>
        <v>17910.061945866491</v>
      </c>
      <c r="Q46" s="22">
        <f t="shared" si="25"/>
        <v>15376.941194032508</v>
      </c>
      <c r="R46" s="22">
        <f t="shared" si="25"/>
        <v>11938.820822712478</v>
      </c>
      <c r="S46" s="22">
        <f t="shared" si="25"/>
        <v>7500</v>
      </c>
      <c r="T46" s="22">
        <f t="shared" si="25"/>
        <v>7500</v>
      </c>
      <c r="U46" s="22">
        <f t="shared" si="25"/>
        <v>7500</v>
      </c>
      <c r="V46" s="22">
        <f t="shared" si="25"/>
        <v>6979.6108333333341</v>
      </c>
      <c r="W46" s="22">
        <f t="shared" si="25"/>
        <v>5975.2131239583341</v>
      </c>
      <c r="X46" s="22">
        <f t="shared" si="25"/>
        <v>4564.9664231731786</v>
      </c>
      <c r="Y46" s="22">
        <f t="shared" si="25"/>
        <v>2718.6842139267446</v>
      </c>
      <c r="Z46" s="22">
        <f t="shared" si="25"/>
        <v>2227.4821963956369</v>
      </c>
      <c r="AA46" s="22">
        <f t="shared" si="25"/>
        <v>2999.4023379654536</v>
      </c>
      <c r="AB46" s="22">
        <f t="shared" si="25"/>
        <v>5173.3721800661569</v>
      </c>
      <c r="AC46" s="22">
        <f t="shared" si="25"/>
        <v>8760.3156590747385</v>
      </c>
      <c r="AD46" s="22">
        <f t="shared" si="25"/>
        <v>9771.9068432725126</v>
      </c>
      <c r="AE46" s="22">
        <f t="shared" si="25"/>
        <v>10669.727327744362</v>
      </c>
      <c r="AF46" s="22">
        <f t="shared" si="25"/>
        <v>11311.779222366315</v>
      </c>
      <c r="AG46" s="22">
        <f t="shared" si="25"/>
        <v>12162.007561593098</v>
      </c>
      <c r="AH46" s="22">
        <f t="shared" si="25"/>
        <v>15568.382173282407</v>
      </c>
      <c r="AI46" s="22">
        <f t="shared" si="25"/>
        <v>19401.146523098883</v>
      </c>
      <c r="AJ46" s="22">
        <f t="shared" si="25"/>
        <v>17995.371487161385</v>
      </c>
      <c r="AK46" s="22">
        <f t="shared" si="25"/>
        <v>15404.48187817245</v>
      </c>
      <c r="AL46" s="22">
        <f t="shared" si="25"/>
        <v>11998.107266483143</v>
      </c>
      <c r="AM46" s="22">
        <f t="shared" si="25"/>
        <v>7500</v>
      </c>
      <c r="AN46" s="22">
        <f t="shared" si="25"/>
        <v>7500</v>
      </c>
      <c r="AO46" s="22">
        <f t="shared" si="25"/>
        <v>7500</v>
      </c>
      <c r="AP46" s="22">
        <f t="shared" si="25"/>
        <v>7500</v>
      </c>
      <c r="AQ46" s="22">
        <f t="shared" si="25"/>
        <v>5625</v>
      </c>
      <c r="AR46" s="22">
        <f t="shared" si="25"/>
        <v>3750</v>
      </c>
      <c r="AS46" s="22">
        <f t="shared" si="25"/>
        <v>1875</v>
      </c>
      <c r="AT46" s="22">
        <f t="shared" si="25"/>
        <v>0</v>
      </c>
      <c r="AU46" s="22">
        <f t="shared" si="25"/>
        <v>0</v>
      </c>
      <c r="AV46" s="22">
        <f t="shared" si="25"/>
        <v>0</v>
      </c>
      <c r="AW46" s="22">
        <f t="shared" si="25"/>
        <v>0</v>
      </c>
    </row>
    <row r="47" spans="2:49">
      <c r="C47" s="14" t="s">
        <v>73</v>
      </c>
      <c r="J47" s="22">
        <f>SUM(J41:J41)</f>
        <v>125000</v>
      </c>
      <c r="K47" s="22">
        <f>SUM(J41:K41)</f>
        <v>246831.50694444444</v>
      </c>
      <c r="L47" s="22">
        <f>SUM(J41:L41)</f>
        <v>365506.0118923611</v>
      </c>
      <c r="M47" s="22">
        <f t="shared" ref="M47:AW47" si="26">SUM(J41:M41)</f>
        <v>481027.96204101562</v>
      </c>
      <c r="N47" s="22">
        <f t="shared" si="26"/>
        <v>468373.01295541722</v>
      </c>
      <c r="O47" s="22">
        <f t="shared" si="26"/>
        <v>455663.03672847105</v>
      </c>
      <c r="P47" s="22">
        <f t="shared" si="26"/>
        <v>442946.19274313253</v>
      </c>
      <c r="Q47" s="22">
        <f t="shared" si="26"/>
        <v>430182.52015242167</v>
      </c>
      <c r="R47" s="22">
        <f t="shared" si="26"/>
        <v>417387.63498766033</v>
      </c>
      <c r="S47" s="22">
        <f t="shared" si="26"/>
        <v>404346.94570278382</v>
      </c>
      <c r="T47" s="22">
        <f t="shared" si="26"/>
        <v>391197.76863517979</v>
      </c>
      <c r="U47" s="22">
        <f t="shared" si="26"/>
        <v>377862.13657645287</v>
      </c>
      <c r="V47" s="22">
        <f t="shared" si="26"/>
        <v>364367.40633921407</v>
      </c>
      <c r="W47" s="22">
        <f t="shared" si="26"/>
        <v>350944.31141845428</v>
      </c>
      <c r="X47" s="22">
        <f t="shared" si="26"/>
        <v>337148.67086674046</v>
      </c>
      <c r="Y47" s="22">
        <f t="shared" si="26"/>
        <v>323028.79314146366</v>
      </c>
      <c r="Z47" s="22">
        <f t="shared" si="26"/>
        <v>308445.54194462078</v>
      </c>
      <c r="AA47" s="22">
        <f t="shared" si="26"/>
        <v>293555.03483003966</v>
      </c>
      <c r="AB47" s="22">
        <f t="shared" si="26"/>
        <v>278440.77137652622</v>
      </c>
      <c r="AC47" s="22">
        <f t="shared" si="26"/>
        <v>263049.32962984394</v>
      </c>
      <c r="AD47" s="22">
        <f t="shared" si="26"/>
        <v>247368.27263910591</v>
      </c>
      <c r="AE47" s="22">
        <f t="shared" si="26"/>
        <v>231081.83438042807</v>
      </c>
      <c r="AF47" s="22">
        <f t="shared" si="26"/>
        <v>214479.7809212945</v>
      </c>
      <c r="AG47" s="22">
        <f t="shared" si="26"/>
        <v>197490.78512725513</v>
      </c>
      <c r="AH47" s="22">
        <f t="shared" si="26"/>
        <v>180295.73938579031</v>
      </c>
      <c r="AI47" s="22">
        <f t="shared" si="26"/>
        <v>163023.07501700154</v>
      </c>
      <c r="AJ47" s="22">
        <f t="shared" si="26"/>
        <v>145444.09956582519</v>
      </c>
      <c r="AK47" s="22">
        <f t="shared" si="26"/>
        <v>127469.01192150911</v>
      </c>
      <c r="AL47" s="22">
        <f t="shared" si="26"/>
        <v>109213.13845941688</v>
      </c>
      <c r="AM47" s="22">
        <f t="shared" si="26"/>
        <v>90747.941579048478</v>
      </c>
      <c r="AN47" s="22">
        <f t="shared" si="26"/>
        <v>71994.346404342126</v>
      </c>
      <c r="AO47" s="22">
        <f t="shared" si="26"/>
        <v>52887.477123285287</v>
      </c>
      <c r="AP47" s="22">
        <f t="shared" si="26"/>
        <v>33236.876142881913</v>
      </c>
      <c r="AQ47" s="22">
        <f t="shared" si="26"/>
        <v>17493.936253436019</v>
      </c>
      <c r="AR47" s="22">
        <f t="shared" si="26"/>
        <v>6529.9804487053834</v>
      </c>
      <c r="AS47" s="22">
        <f t="shared" si="26"/>
        <v>689.60714086005828</v>
      </c>
      <c r="AT47" s="22">
        <f t="shared" si="26"/>
        <v>0</v>
      </c>
      <c r="AU47" s="22">
        <f t="shared" si="26"/>
        <v>0</v>
      </c>
      <c r="AV47" s="22">
        <f t="shared" si="26"/>
        <v>0</v>
      </c>
      <c r="AW47" s="22">
        <f t="shared" si="26"/>
        <v>0</v>
      </c>
    </row>
    <row r="48" spans="2:49">
      <c r="C48" s="14" t="s">
        <v>74</v>
      </c>
      <c r="J48" s="22">
        <f>-SUM(J37:J37)</f>
        <v>253479.44444444444</v>
      </c>
      <c r="K48" s="22">
        <f>-SUM(J37:K37)</f>
        <v>506039.60416666669</v>
      </c>
      <c r="L48" s="22">
        <f>-SUM(J37:L37)</f>
        <v>758243.9881076389</v>
      </c>
      <c r="M48" s="22">
        <f t="shared" ref="M48:AW48" si="27">-SUM(J37:M37)</f>
        <v>1012395.9268478733</v>
      </c>
      <c r="N48" s="22">
        <f t="shared" si="27"/>
        <v>1016798.0981556938</v>
      </c>
      <c r="O48" s="22">
        <f t="shared" si="27"/>
        <v>1017347.5188270845</v>
      </c>
      <c r="P48" s="22">
        <f t="shared" si="27"/>
        <v>1021093.8072568674</v>
      </c>
      <c r="Q48" s="22">
        <f t="shared" si="27"/>
        <v>1023590.8131809116</v>
      </c>
      <c r="R48" s="22">
        <f t="shared" si="27"/>
        <v>1043255.1427901174</v>
      </c>
      <c r="S48" s="22">
        <f t="shared" si="27"/>
        <v>1051934.1654083272</v>
      </c>
      <c r="T48" s="22">
        <f t="shared" si="27"/>
        <v>1066850.5646981536</v>
      </c>
      <c r="U48" s="22">
        <f t="shared" si="27"/>
        <v>1079578.4189791027</v>
      </c>
      <c r="V48" s="22">
        <f t="shared" si="27"/>
        <v>1073847.5936607858</v>
      </c>
      <c r="W48" s="22">
        <f t="shared" si="27"/>
        <v>1103651.2441371013</v>
      </c>
      <c r="X48" s="22">
        <f t="shared" si="27"/>
        <v>1129590.2180221484</v>
      </c>
      <c r="Y48" s="22">
        <f t="shared" si="27"/>
        <v>1166660.0957474252</v>
      </c>
      <c r="Z48" s="22">
        <f t="shared" si="27"/>
        <v>1191240.5691664903</v>
      </c>
      <c r="AA48" s="22">
        <f t="shared" si="27"/>
        <v>1209141.0762810712</v>
      </c>
      <c r="AB48" s="22">
        <f t="shared" si="27"/>
        <v>1231315.3397345848</v>
      </c>
      <c r="AC48" s="22">
        <f t="shared" si="27"/>
        <v>1254484.5592590449</v>
      </c>
      <c r="AD48" s="22">
        <f t="shared" si="27"/>
        <v>1302915.0606942275</v>
      </c>
      <c r="AE48" s="22">
        <f t="shared" si="27"/>
        <v>1328164.2767306829</v>
      </c>
      <c r="AF48" s="22">
        <f t="shared" si="27"/>
        <v>1359119.6635231497</v>
      </c>
      <c r="AG48" s="22">
        <f t="shared" si="27"/>
        <v>1375603.6593171894</v>
      </c>
      <c r="AH48" s="22">
        <f t="shared" si="27"/>
        <v>1381813.1495030986</v>
      </c>
      <c r="AI48" s="22">
        <f t="shared" si="27"/>
        <v>1406318.0360941095</v>
      </c>
      <c r="AJ48" s="22">
        <f t="shared" si="27"/>
        <v>1438007.011545286</v>
      </c>
      <c r="AK48" s="22">
        <f t="shared" si="27"/>
        <v>1460469.8769673798</v>
      </c>
      <c r="AL48" s="22">
        <f t="shared" si="27"/>
        <v>1477215.7504294722</v>
      </c>
      <c r="AM48" s="22">
        <f t="shared" si="27"/>
        <v>1500287.613976507</v>
      </c>
      <c r="AN48" s="22">
        <f t="shared" si="27"/>
        <v>1528549.5424845468</v>
      </c>
      <c r="AO48" s="22">
        <f t="shared" si="27"/>
        <v>1572048.0784322703</v>
      </c>
      <c r="AP48" s="22">
        <f t="shared" si="27"/>
        <v>1259435.1911556714</v>
      </c>
      <c r="AQ48" s="22">
        <f t="shared" si="27"/>
        <v>877116.46437845076</v>
      </c>
      <c r="AR48" s="22">
        <f t="shared" si="27"/>
        <v>467229.86462762597</v>
      </c>
      <c r="AS48" s="22">
        <f t="shared" si="27"/>
        <v>55168.571268804662</v>
      </c>
      <c r="AT48" s="22">
        <f t="shared" si="27"/>
        <v>0</v>
      </c>
      <c r="AU48" s="22">
        <f t="shared" si="27"/>
        <v>0</v>
      </c>
      <c r="AV48" s="22">
        <f t="shared" si="27"/>
        <v>0</v>
      </c>
      <c r="AW48" s="22">
        <f t="shared" si="27"/>
        <v>0</v>
      </c>
    </row>
    <row r="50" spans="2:49">
      <c r="C50" s="14" t="s">
        <v>75</v>
      </c>
      <c r="J50" s="31">
        <f>IFERROR(SUM(J45:J46)/SUM(J47:J48),"n.a.")</f>
        <v>1.596630963372442</v>
      </c>
      <c r="K50" s="31">
        <f t="shared" ref="K50:AW50" si="28">IFERROR(SUM(K45:K46)/SUM(K47:K48),"n.a.")</f>
        <v>1.5972053905862595</v>
      </c>
      <c r="L50" s="31">
        <f t="shared" si="28"/>
        <v>1.601111338959492</v>
      </c>
      <c r="M50" s="31">
        <f t="shared" si="28"/>
        <v>1.6139128387056938</v>
      </c>
      <c r="N50" s="31">
        <f t="shared" si="28"/>
        <v>1.6449580051763546</v>
      </c>
      <c r="O50" s="31">
        <f t="shared" si="28"/>
        <v>1.6711944953373543</v>
      </c>
      <c r="P50" s="31">
        <f t="shared" si="28"/>
        <v>1.6750915698654862</v>
      </c>
      <c r="Q50" s="31">
        <f t="shared" si="28"/>
        <v>1.7064840056639039</v>
      </c>
      <c r="R50" s="31">
        <f t="shared" si="28"/>
        <v>1.7065266461762774</v>
      </c>
      <c r="S50" s="31">
        <f t="shared" si="28"/>
        <v>1.7532624577214566</v>
      </c>
      <c r="T50" s="31">
        <f t="shared" si="28"/>
        <v>1.7504604899929013</v>
      </c>
      <c r="U50" s="31">
        <f t="shared" si="28"/>
        <v>1.4634133734442381</v>
      </c>
      <c r="V50" s="31">
        <f t="shared" si="28"/>
        <v>1.1909030366345319</v>
      </c>
      <c r="W50" s="31">
        <f t="shared" si="28"/>
        <v>0.89464058112492706</v>
      </c>
      <c r="X50" s="31">
        <f t="shared" si="28"/>
        <v>0.66432885485249282</v>
      </c>
      <c r="Y50" s="31">
        <f t="shared" si="28"/>
        <v>0.91207076480736771</v>
      </c>
      <c r="Z50" s="31">
        <f t="shared" si="28"/>
        <v>1.1372589701005997</v>
      </c>
      <c r="AA50" s="31">
        <f t="shared" si="28"/>
        <v>1.3857901054912554</v>
      </c>
      <c r="AB50" s="31">
        <f t="shared" si="28"/>
        <v>1.6335581316938679</v>
      </c>
      <c r="AC50" s="31">
        <f t="shared" si="28"/>
        <v>1.6469360809391898</v>
      </c>
      <c r="AD50" s="31">
        <f t="shared" si="28"/>
        <v>1.613699801225543</v>
      </c>
      <c r="AE50" s="31">
        <f t="shared" si="28"/>
        <v>1.5664298983482903</v>
      </c>
      <c r="AF50" s="31">
        <f t="shared" si="28"/>
        <v>1.5965414757180054</v>
      </c>
      <c r="AG50" s="31">
        <f t="shared" si="28"/>
        <v>1.5774393052655833</v>
      </c>
      <c r="AH50" s="31">
        <f t="shared" si="28"/>
        <v>1.6542888914814262</v>
      </c>
      <c r="AI50" s="31">
        <f t="shared" si="28"/>
        <v>1.7056088874317312</v>
      </c>
      <c r="AJ50" s="31">
        <f t="shared" si="28"/>
        <v>1.6889219709540519</v>
      </c>
      <c r="AK50" s="31">
        <f t="shared" si="28"/>
        <v>1.7398159974602683</v>
      </c>
      <c r="AL50" s="31">
        <f t="shared" si="28"/>
        <v>1.766072924471759</v>
      </c>
      <c r="AM50" s="31">
        <f t="shared" si="28"/>
        <v>1.7322975532357683</v>
      </c>
      <c r="AN50" s="31">
        <f t="shared" si="28"/>
        <v>1.6899861470701452</v>
      </c>
      <c r="AO50" s="31">
        <f t="shared" si="28"/>
        <v>1.6695246717476659</v>
      </c>
      <c r="AP50" s="31">
        <f t="shared" si="28"/>
        <v>2.03704409386904</v>
      </c>
      <c r="AQ50" s="31">
        <f t="shared" si="28"/>
        <v>2.9683390648312895</v>
      </c>
      <c r="AR50" s="31">
        <f t="shared" si="28"/>
        <v>5.7430616551337828</v>
      </c>
      <c r="AS50" s="31">
        <f t="shared" si="28"/>
        <v>47.543243901066923</v>
      </c>
      <c r="AT50" s="31" t="str">
        <f t="shared" si="28"/>
        <v>n.a.</v>
      </c>
      <c r="AU50" s="31" t="str">
        <f t="shared" si="28"/>
        <v>n.a.</v>
      </c>
      <c r="AV50" s="31" t="str">
        <f t="shared" si="28"/>
        <v>n.a.</v>
      </c>
      <c r="AW50" s="31" t="str">
        <f t="shared" si="28"/>
        <v>n.a.</v>
      </c>
    </row>
    <row r="52" spans="2:49">
      <c r="C52" s="14" t="s">
        <v>76</v>
      </c>
      <c r="H52" s="42">
        <f>CaseData!G7</f>
        <v>1.62</v>
      </c>
      <c r="J52" s="21">
        <f>$H52</f>
        <v>1.62</v>
      </c>
      <c r="K52" s="21">
        <f t="shared" ref="K52:AW52" si="29">$H52</f>
        <v>1.62</v>
      </c>
      <c r="L52" s="21">
        <f t="shared" si="29"/>
        <v>1.62</v>
      </c>
      <c r="M52" s="21">
        <f t="shared" si="29"/>
        <v>1.62</v>
      </c>
      <c r="N52" s="21">
        <f t="shared" si="29"/>
        <v>1.62</v>
      </c>
      <c r="O52" s="21">
        <f t="shared" si="29"/>
        <v>1.62</v>
      </c>
      <c r="P52" s="21">
        <f t="shared" si="29"/>
        <v>1.62</v>
      </c>
      <c r="Q52" s="21">
        <f t="shared" si="29"/>
        <v>1.62</v>
      </c>
      <c r="R52" s="21">
        <f t="shared" si="29"/>
        <v>1.62</v>
      </c>
      <c r="S52" s="21">
        <f t="shared" si="29"/>
        <v>1.62</v>
      </c>
      <c r="T52" s="21">
        <f t="shared" si="29"/>
        <v>1.62</v>
      </c>
      <c r="U52" s="21">
        <f t="shared" si="29"/>
        <v>1.62</v>
      </c>
      <c r="V52" s="21">
        <f t="shared" si="29"/>
        <v>1.62</v>
      </c>
      <c r="W52" s="21">
        <f t="shared" si="29"/>
        <v>1.62</v>
      </c>
      <c r="X52" s="21">
        <f t="shared" si="29"/>
        <v>1.62</v>
      </c>
      <c r="Y52" s="21">
        <f t="shared" si="29"/>
        <v>1.62</v>
      </c>
      <c r="Z52" s="21">
        <f t="shared" si="29"/>
        <v>1.62</v>
      </c>
      <c r="AA52" s="21">
        <f t="shared" si="29"/>
        <v>1.62</v>
      </c>
      <c r="AB52" s="21">
        <f t="shared" si="29"/>
        <v>1.62</v>
      </c>
      <c r="AC52" s="21">
        <f t="shared" si="29"/>
        <v>1.62</v>
      </c>
      <c r="AD52" s="21">
        <f t="shared" si="29"/>
        <v>1.62</v>
      </c>
      <c r="AE52" s="21">
        <f t="shared" si="29"/>
        <v>1.62</v>
      </c>
      <c r="AF52" s="21">
        <f t="shared" si="29"/>
        <v>1.62</v>
      </c>
      <c r="AG52" s="21">
        <f t="shared" si="29"/>
        <v>1.62</v>
      </c>
      <c r="AH52" s="21">
        <f t="shared" si="29"/>
        <v>1.62</v>
      </c>
      <c r="AI52" s="21">
        <f t="shared" si="29"/>
        <v>1.62</v>
      </c>
      <c r="AJ52" s="21">
        <f t="shared" si="29"/>
        <v>1.62</v>
      </c>
      <c r="AK52" s="21">
        <f t="shared" si="29"/>
        <v>1.62</v>
      </c>
      <c r="AL52" s="21">
        <f t="shared" si="29"/>
        <v>1.62</v>
      </c>
      <c r="AM52" s="21">
        <f t="shared" si="29"/>
        <v>1.62</v>
      </c>
      <c r="AN52" s="21">
        <f t="shared" si="29"/>
        <v>1.62</v>
      </c>
      <c r="AO52" s="21">
        <f t="shared" si="29"/>
        <v>1.62</v>
      </c>
      <c r="AP52" s="21">
        <f t="shared" si="29"/>
        <v>1.62</v>
      </c>
      <c r="AQ52" s="21">
        <f t="shared" si="29"/>
        <v>1.62</v>
      </c>
      <c r="AR52" s="21">
        <f t="shared" si="29"/>
        <v>1.62</v>
      </c>
      <c r="AS52" s="21">
        <f t="shared" si="29"/>
        <v>1.62</v>
      </c>
      <c r="AT52" s="21">
        <f t="shared" si="29"/>
        <v>1.62</v>
      </c>
      <c r="AU52" s="21">
        <f t="shared" si="29"/>
        <v>1.62</v>
      </c>
      <c r="AV52" s="21">
        <f t="shared" si="29"/>
        <v>1.62</v>
      </c>
      <c r="AW52" s="21">
        <f t="shared" si="29"/>
        <v>1.62</v>
      </c>
    </row>
    <row r="53" spans="2:49">
      <c r="C53" s="14" t="s">
        <v>77</v>
      </c>
      <c r="J53" s="21">
        <f>IF(J50&lt;J52,1,0)</f>
        <v>1</v>
      </c>
      <c r="K53" s="21">
        <f t="shared" ref="K53:AW53" si="30">IF(K50&lt;K52,1,0)</f>
        <v>1</v>
      </c>
      <c r="L53" s="21">
        <f t="shared" si="30"/>
        <v>1</v>
      </c>
      <c r="M53" s="21">
        <f t="shared" si="30"/>
        <v>1</v>
      </c>
      <c r="N53" s="21">
        <f t="shared" si="30"/>
        <v>0</v>
      </c>
      <c r="O53" s="21">
        <f t="shared" si="30"/>
        <v>0</v>
      </c>
      <c r="P53" s="21">
        <f t="shared" si="30"/>
        <v>0</v>
      </c>
      <c r="Q53" s="21">
        <f t="shared" si="30"/>
        <v>0</v>
      </c>
      <c r="R53" s="21">
        <f t="shared" si="30"/>
        <v>0</v>
      </c>
      <c r="S53" s="21">
        <f t="shared" si="30"/>
        <v>0</v>
      </c>
      <c r="T53" s="21">
        <f t="shared" si="30"/>
        <v>0</v>
      </c>
      <c r="U53" s="21">
        <f t="shared" si="30"/>
        <v>1</v>
      </c>
      <c r="V53" s="21">
        <f t="shared" si="30"/>
        <v>1</v>
      </c>
      <c r="W53" s="21">
        <f t="shared" si="30"/>
        <v>1</v>
      </c>
      <c r="X53" s="21">
        <f t="shared" si="30"/>
        <v>1</v>
      </c>
      <c r="Y53" s="21">
        <f t="shared" si="30"/>
        <v>1</v>
      </c>
      <c r="Z53" s="21">
        <f t="shared" si="30"/>
        <v>1</v>
      </c>
      <c r="AA53" s="21">
        <f t="shared" si="30"/>
        <v>1</v>
      </c>
      <c r="AB53" s="21">
        <f t="shared" si="30"/>
        <v>0</v>
      </c>
      <c r="AC53" s="21">
        <f t="shared" si="30"/>
        <v>0</v>
      </c>
      <c r="AD53" s="21">
        <f t="shared" si="30"/>
        <v>1</v>
      </c>
      <c r="AE53" s="21">
        <f t="shared" si="30"/>
        <v>1</v>
      </c>
      <c r="AF53" s="21">
        <f t="shared" si="30"/>
        <v>1</v>
      </c>
      <c r="AG53" s="21">
        <f t="shared" si="30"/>
        <v>1</v>
      </c>
      <c r="AH53" s="21">
        <f t="shared" si="30"/>
        <v>0</v>
      </c>
      <c r="AI53" s="21">
        <f t="shared" si="30"/>
        <v>0</v>
      </c>
      <c r="AJ53" s="21">
        <f t="shared" si="30"/>
        <v>0</v>
      </c>
      <c r="AK53" s="21">
        <f t="shared" si="30"/>
        <v>0</v>
      </c>
      <c r="AL53" s="21">
        <f t="shared" si="30"/>
        <v>0</v>
      </c>
      <c r="AM53" s="21">
        <f t="shared" si="30"/>
        <v>0</v>
      </c>
      <c r="AN53" s="21">
        <f t="shared" si="30"/>
        <v>0</v>
      </c>
      <c r="AO53" s="21">
        <f t="shared" si="30"/>
        <v>0</v>
      </c>
      <c r="AP53" s="21">
        <f t="shared" si="30"/>
        <v>0</v>
      </c>
      <c r="AQ53" s="21">
        <f t="shared" si="30"/>
        <v>0</v>
      </c>
      <c r="AR53" s="21">
        <f t="shared" si="30"/>
        <v>0</v>
      </c>
      <c r="AS53" s="21">
        <f t="shared" si="30"/>
        <v>0</v>
      </c>
      <c r="AT53" s="21">
        <f t="shared" si="30"/>
        <v>0</v>
      </c>
      <c r="AU53" s="21">
        <f t="shared" si="30"/>
        <v>0</v>
      </c>
      <c r="AV53" s="21">
        <f t="shared" si="30"/>
        <v>0</v>
      </c>
      <c r="AW53" s="21">
        <f t="shared" si="30"/>
        <v>0</v>
      </c>
    </row>
    <row r="54" spans="2:49">
      <c r="C54" s="14" t="s">
        <v>78</v>
      </c>
      <c r="H54" s="14">
        <f>MAX(J54:AW54)</f>
        <v>1</v>
      </c>
      <c r="J54" s="21">
        <f>MAX(I53:J53)</f>
        <v>1</v>
      </c>
      <c r="K54" s="21">
        <f t="shared" ref="K54:AW54" si="31">MAX(J53:K53)</f>
        <v>1</v>
      </c>
      <c r="L54" s="21">
        <f t="shared" si="31"/>
        <v>1</v>
      </c>
      <c r="M54" s="21">
        <f t="shared" si="31"/>
        <v>1</v>
      </c>
      <c r="N54" s="21">
        <f>MAX(M53:N53)</f>
        <v>1</v>
      </c>
      <c r="O54" s="21">
        <f>MAX(N53:O53)</f>
        <v>0</v>
      </c>
      <c r="P54" s="21">
        <f t="shared" si="31"/>
        <v>0</v>
      </c>
      <c r="Q54" s="21">
        <f t="shared" si="31"/>
        <v>0</v>
      </c>
      <c r="R54" s="21">
        <f t="shared" si="31"/>
        <v>0</v>
      </c>
      <c r="S54" s="21">
        <f t="shared" si="31"/>
        <v>0</v>
      </c>
      <c r="T54" s="21">
        <f t="shared" si="31"/>
        <v>0</v>
      </c>
      <c r="U54" s="21">
        <f t="shared" si="31"/>
        <v>1</v>
      </c>
      <c r="V54" s="21">
        <f t="shared" si="31"/>
        <v>1</v>
      </c>
      <c r="W54" s="21">
        <f t="shared" si="31"/>
        <v>1</v>
      </c>
      <c r="X54" s="21">
        <f t="shared" si="31"/>
        <v>1</v>
      </c>
      <c r="Y54" s="21">
        <f t="shared" si="31"/>
        <v>1</v>
      </c>
      <c r="Z54" s="21">
        <f t="shared" si="31"/>
        <v>1</v>
      </c>
      <c r="AA54" s="21">
        <f t="shared" si="31"/>
        <v>1</v>
      </c>
      <c r="AB54" s="21">
        <f t="shared" si="31"/>
        <v>1</v>
      </c>
      <c r="AC54" s="21">
        <f t="shared" si="31"/>
        <v>0</v>
      </c>
      <c r="AD54" s="21">
        <f t="shared" si="31"/>
        <v>1</v>
      </c>
      <c r="AE54" s="21">
        <f t="shared" si="31"/>
        <v>1</v>
      </c>
      <c r="AF54" s="21">
        <f t="shared" si="31"/>
        <v>1</v>
      </c>
      <c r="AG54" s="21">
        <f t="shared" si="31"/>
        <v>1</v>
      </c>
      <c r="AH54" s="21">
        <f t="shared" si="31"/>
        <v>1</v>
      </c>
      <c r="AI54" s="21">
        <f t="shared" si="31"/>
        <v>0</v>
      </c>
      <c r="AJ54" s="21">
        <f t="shared" si="31"/>
        <v>0</v>
      </c>
      <c r="AK54" s="21">
        <f t="shared" si="31"/>
        <v>0</v>
      </c>
      <c r="AL54" s="21">
        <f t="shared" si="31"/>
        <v>0</v>
      </c>
      <c r="AM54" s="21">
        <f t="shared" si="31"/>
        <v>0</v>
      </c>
      <c r="AN54" s="21">
        <f t="shared" si="31"/>
        <v>0</v>
      </c>
      <c r="AO54" s="21">
        <f t="shared" si="31"/>
        <v>0</v>
      </c>
      <c r="AP54" s="21">
        <f t="shared" si="31"/>
        <v>0</v>
      </c>
      <c r="AQ54" s="21">
        <f t="shared" si="31"/>
        <v>0</v>
      </c>
      <c r="AR54" s="21">
        <f t="shared" si="31"/>
        <v>0</v>
      </c>
      <c r="AS54" s="21">
        <f t="shared" si="31"/>
        <v>0</v>
      </c>
      <c r="AT54" s="21">
        <f t="shared" si="31"/>
        <v>0</v>
      </c>
      <c r="AU54" s="21">
        <f t="shared" si="31"/>
        <v>0</v>
      </c>
      <c r="AV54" s="21">
        <f t="shared" si="31"/>
        <v>0</v>
      </c>
      <c r="AW54" s="21">
        <f t="shared" si="31"/>
        <v>0</v>
      </c>
    </row>
    <row r="55" spans="2:49"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</row>
    <row r="56" spans="2:49"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</row>
    <row r="57" spans="2:49">
      <c r="B57" s="17" t="s">
        <v>79</v>
      </c>
    </row>
    <row r="58" spans="2:49">
      <c r="C58" s="14" t="s">
        <v>68</v>
      </c>
      <c r="J58" s="22">
        <f>I63</f>
        <v>500000</v>
      </c>
      <c r="K58" s="22">
        <f t="shared" ref="K58:AW58" si="32">J63</f>
        <v>725812.5555555555</v>
      </c>
      <c r="L58" s="22">
        <f t="shared" si="32"/>
        <v>949618.68597222213</v>
      </c>
      <c r="M58" s="22">
        <f t="shared" si="32"/>
        <v>1175498.8671557291</v>
      </c>
      <c r="N58" s="22">
        <f t="shared" si="32"/>
        <v>1416832.0990186743</v>
      </c>
      <c r="O58" s="22">
        <f t="shared" si="32"/>
        <v>1683685.5527233277</v>
      </c>
      <c r="P58" s="22">
        <f t="shared" si="32"/>
        <v>500000</v>
      </c>
      <c r="Q58" s="22">
        <f t="shared" si="32"/>
        <v>500000</v>
      </c>
      <c r="R58" s="22">
        <f t="shared" si="32"/>
        <v>500000</v>
      </c>
      <c r="S58" s="22">
        <f t="shared" si="32"/>
        <v>500000</v>
      </c>
      <c r="T58" s="22">
        <f t="shared" si="32"/>
        <v>500000</v>
      </c>
      <c r="U58" s="22">
        <f t="shared" si="32"/>
        <v>500000</v>
      </c>
      <c r="V58" s="22">
        <f t="shared" si="32"/>
        <v>361229.55555555562</v>
      </c>
      <c r="W58" s="22">
        <f t="shared" si="32"/>
        <v>232160.61083333346</v>
      </c>
      <c r="X58" s="22">
        <f t="shared" si="32"/>
        <v>123934.21312395844</v>
      </c>
      <c r="Y58" s="22">
        <f t="shared" si="32"/>
        <v>7658.0775342844136</v>
      </c>
      <c r="Z58" s="22">
        <f t="shared" si="32"/>
        <v>230242.35088059356</v>
      </c>
      <c r="AA58" s="22">
        <f t="shared" si="32"/>
        <v>438005.98191861797</v>
      </c>
      <c r="AB58" s="22">
        <f t="shared" si="32"/>
        <v>703659.50435081276</v>
      </c>
      <c r="AC58" s="22">
        <f t="shared" si="32"/>
        <v>964176.33860323939</v>
      </c>
      <c r="AD58" s="22">
        <f t="shared" si="32"/>
        <v>500000</v>
      </c>
      <c r="AE58" s="22">
        <f t="shared" si="32"/>
        <v>677424.77777777775</v>
      </c>
      <c r="AF58" s="22">
        <f t="shared" si="32"/>
        <v>874873.34291666665</v>
      </c>
      <c r="AG58" s="22">
        <f t="shared" si="32"/>
        <v>1190903.8957303821</v>
      </c>
      <c r="AH58" s="22">
        <f t="shared" si="32"/>
        <v>1408366.5631171488</v>
      </c>
      <c r="AI58" s="22">
        <f t="shared" si="32"/>
        <v>1699495.2710621716</v>
      </c>
      <c r="AJ58" s="22">
        <f t="shared" si="32"/>
        <v>500000</v>
      </c>
      <c r="AK58" s="22">
        <f t="shared" si="32"/>
        <v>500000</v>
      </c>
      <c r="AL58" s="22">
        <f t="shared" si="32"/>
        <v>500000</v>
      </c>
      <c r="AM58" s="22">
        <f t="shared" si="32"/>
        <v>500000</v>
      </c>
      <c r="AN58" s="22">
        <f t="shared" si="32"/>
        <v>500000</v>
      </c>
      <c r="AO58" s="22">
        <f t="shared" si="32"/>
        <v>500000</v>
      </c>
      <c r="AP58" s="22">
        <f t="shared" si="32"/>
        <v>500000</v>
      </c>
      <c r="AQ58" s="22">
        <f t="shared" si="32"/>
        <v>0</v>
      </c>
      <c r="AR58" s="22">
        <f t="shared" si="32"/>
        <v>0</v>
      </c>
      <c r="AS58" s="22">
        <f t="shared" si="32"/>
        <v>0</v>
      </c>
      <c r="AT58" s="22">
        <f t="shared" si="32"/>
        <v>0</v>
      </c>
      <c r="AU58" s="22">
        <f t="shared" si="32"/>
        <v>0</v>
      </c>
      <c r="AV58" s="22">
        <f t="shared" si="32"/>
        <v>0</v>
      </c>
      <c r="AW58" s="22">
        <f t="shared" si="32"/>
        <v>0</v>
      </c>
    </row>
    <row r="59" spans="2:49">
      <c r="C59" s="14" t="s">
        <v>80</v>
      </c>
      <c r="J59" s="22">
        <f t="shared" ref="J59:AW61" si="33">-J19</f>
        <v>0</v>
      </c>
      <c r="K59" s="22">
        <f t="shared" si="33"/>
        <v>0</v>
      </c>
      <c r="L59" s="22">
        <f t="shared" si="33"/>
        <v>0</v>
      </c>
      <c r="M59" s="22">
        <f t="shared" si="33"/>
        <v>0</v>
      </c>
      <c r="N59" s="22">
        <f t="shared" si="33"/>
        <v>0</v>
      </c>
      <c r="O59" s="22">
        <f t="shared" si="33"/>
        <v>0</v>
      </c>
      <c r="P59" s="22">
        <f t="shared" si="33"/>
        <v>0</v>
      </c>
      <c r="Q59" s="22">
        <f t="shared" si="33"/>
        <v>0</v>
      </c>
      <c r="R59" s="22">
        <f t="shared" si="33"/>
        <v>0</v>
      </c>
      <c r="S59" s="22">
        <f t="shared" si="33"/>
        <v>0</v>
      </c>
      <c r="T59" s="22">
        <f t="shared" si="33"/>
        <v>0</v>
      </c>
      <c r="U59" s="22">
        <f t="shared" si="33"/>
        <v>-138770.44444444438</v>
      </c>
      <c r="V59" s="22">
        <f t="shared" si="33"/>
        <v>-129068.94472222216</v>
      </c>
      <c r="W59" s="22">
        <f t="shared" si="33"/>
        <v>-108226.39770937501</v>
      </c>
      <c r="X59" s="22">
        <f t="shared" si="33"/>
        <v>-116276.13558967403</v>
      </c>
      <c r="Y59" s="22">
        <f t="shared" si="33"/>
        <v>0</v>
      </c>
      <c r="Z59" s="22">
        <f t="shared" si="33"/>
        <v>0</v>
      </c>
      <c r="AA59" s="22">
        <f t="shared" si="33"/>
        <v>0</v>
      </c>
      <c r="AB59" s="22">
        <f t="shared" si="33"/>
        <v>0</v>
      </c>
      <c r="AC59" s="22">
        <f t="shared" si="33"/>
        <v>0</v>
      </c>
      <c r="AD59" s="22">
        <f t="shared" si="33"/>
        <v>0</v>
      </c>
      <c r="AE59" s="22">
        <f t="shared" si="33"/>
        <v>0</v>
      </c>
      <c r="AF59" s="22">
        <f t="shared" si="33"/>
        <v>0</v>
      </c>
      <c r="AG59" s="22">
        <f t="shared" si="33"/>
        <v>0</v>
      </c>
      <c r="AH59" s="22">
        <f t="shared" si="33"/>
        <v>0</v>
      </c>
      <c r="AI59" s="22">
        <f t="shared" si="33"/>
        <v>0</v>
      </c>
      <c r="AJ59" s="22">
        <f t="shared" si="33"/>
        <v>0</v>
      </c>
      <c r="AK59" s="22">
        <f t="shared" si="33"/>
        <v>0</v>
      </c>
      <c r="AL59" s="22">
        <f t="shared" si="33"/>
        <v>0</v>
      </c>
      <c r="AM59" s="22">
        <f t="shared" si="33"/>
        <v>0</v>
      </c>
      <c r="AN59" s="22">
        <f t="shared" si="33"/>
        <v>0</v>
      </c>
      <c r="AO59" s="22">
        <f t="shared" si="33"/>
        <v>0</v>
      </c>
      <c r="AP59" s="22">
        <f t="shared" si="33"/>
        <v>0</v>
      </c>
      <c r="AQ59" s="22">
        <f t="shared" si="33"/>
        <v>0</v>
      </c>
      <c r="AR59" s="22">
        <f t="shared" si="33"/>
        <v>0</v>
      </c>
      <c r="AS59" s="22">
        <f t="shared" si="33"/>
        <v>0</v>
      </c>
      <c r="AT59" s="22">
        <f t="shared" si="33"/>
        <v>0</v>
      </c>
      <c r="AU59" s="22">
        <f t="shared" si="33"/>
        <v>0</v>
      </c>
      <c r="AV59" s="22">
        <f t="shared" si="33"/>
        <v>0</v>
      </c>
      <c r="AW59" s="22">
        <f t="shared" si="33"/>
        <v>0</v>
      </c>
    </row>
    <row r="60" spans="2:49">
      <c r="C60" s="14" t="s">
        <v>81</v>
      </c>
      <c r="J60" s="22">
        <f t="shared" si="33"/>
        <v>0</v>
      </c>
      <c r="K60" s="22">
        <f t="shared" si="33"/>
        <v>0</v>
      </c>
      <c r="L60" s="22">
        <f t="shared" si="33"/>
        <v>0</v>
      </c>
      <c r="M60" s="22">
        <f t="shared" si="33"/>
        <v>0</v>
      </c>
      <c r="N60" s="22">
        <f t="shared" si="33"/>
        <v>0</v>
      </c>
      <c r="O60" s="22">
        <f t="shared" si="33"/>
        <v>0</v>
      </c>
      <c r="P60" s="22">
        <f t="shared" si="33"/>
        <v>0</v>
      </c>
      <c r="Q60" s="22">
        <f t="shared" si="33"/>
        <v>0</v>
      </c>
      <c r="R60" s="22">
        <f t="shared" si="33"/>
        <v>0</v>
      </c>
      <c r="S60" s="22">
        <f t="shared" si="33"/>
        <v>0</v>
      </c>
      <c r="T60" s="22">
        <f t="shared" si="33"/>
        <v>0</v>
      </c>
      <c r="U60" s="22">
        <f t="shared" si="33"/>
        <v>0</v>
      </c>
      <c r="V60" s="22">
        <f t="shared" si="33"/>
        <v>0</v>
      </c>
      <c r="W60" s="22">
        <f t="shared" si="33"/>
        <v>0</v>
      </c>
      <c r="X60" s="22">
        <f t="shared" si="33"/>
        <v>0</v>
      </c>
      <c r="Y60" s="22">
        <f t="shared" si="33"/>
        <v>222584.27334630914</v>
      </c>
      <c r="Z60" s="22">
        <f t="shared" si="33"/>
        <v>207763.63103802444</v>
      </c>
      <c r="AA60" s="22">
        <f t="shared" si="33"/>
        <v>61994.018081382033</v>
      </c>
      <c r="AB60" s="22">
        <f t="shared" si="33"/>
        <v>0</v>
      </c>
      <c r="AC60" s="22">
        <f t="shared" si="33"/>
        <v>0</v>
      </c>
      <c r="AD60" s="22">
        <f t="shared" si="33"/>
        <v>0</v>
      </c>
      <c r="AE60" s="22">
        <f t="shared" si="33"/>
        <v>0</v>
      </c>
      <c r="AF60" s="22">
        <f t="shared" si="33"/>
        <v>0</v>
      </c>
      <c r="AG60" s="22">
        <f t="shared" si="33"/>
        <v>0</v>
      </c>
      <c r="AH60" s="22">
        <f t="shared" si="33"/>
        <v>0</v>
      </c>
      <c r="AI60" s="22">
        <f t="shared" si="33"/>
        <v>0</v>
      </c>
      <c r="AJ60" s="22">
        <f t="shared" si="33"/>
        <v>0</v>
      </c>
      <c r="AK60" s="22">
        <f t="shared" si="33"/>
        <v>0</v>
      </c>
      <c r="AL60" s="22">
        <f t="shared" si="33"/>
        <v>0</v>
      </c>
      <c r="AM60" s="22">
        <f t="shared" si="33"/>
        <v>0</v>
      </c>
      <c r="AN60" s="22">
        <f t="shared" si="33"/>
        <v>0</v>
      </c>
      <c r="AO60" s="22">
        <f t="shared" si="33"/>
        <v>0</v>
      </c>
      <c r="AP60" s="22">
        <f t="shared" si="33"/>
        <v>0</v>
      </c>
      <c r="AQ60" s="22">
        <f t="shared" si="33"/>
        <v>0</v>
      </c>
      <c r="AR60" s="22">
        <f t="shared" si="33"/>
        <v>0</v>
      </c>
      <c r="AS60" s="22">
        <f t="shared" si="33"/>
        <v>0</v>
      </c>
      <c r="AT60" s="22">
        <f t="shared" si="33"/>
        <v>0</v>
      </c>
      <c r="AU60" s="22">
        <f t="shared" si="33"/>
        <v>0</v>
      </c>
      <c r="AV60" s="22">
        <f t="shared" si="33"/>
        <v>0</v>
      </c>
      <c r="AW60" s="22">
        <f t="shared" si="33"/>
        <v>0</v>
      </c>
    </row>
    <row r="61" spans="2:49">
      <c r="C61" s="14" t="s">
        <v>82</v>
      </c>
      <c r="J61" s="22">
        <f t="shared" si="33"/>
        <v>225812.55555555556</v>
      </c>
      <c r="K61" s="22">
        <f t="shared" si="33"/>
        <v>223806.13041666668</v>
      </c>
      <c r="L61" s="22">
        <f t="shared" si="33"/>
        <v>225880.18118350697</v>
      </c>
      <c r="M61" s="22">
        <f t="shared" si="33"/>
        <v>241333.23186294513</v>
      </c>
      <c r="N61" s="22">
        <f t="shared" si="33"/>
        <v>266853.45370465337</v>
      </c>
      <c r="O61" s="22">
        <f t="shared" si="33"/>
        <v>0</v>
      </c>
      <c r="P61" s="22">
        <f t="shared" si="33"/>
        <v>0</v>
      </c>
      <c r="Q61" s="22">
        <f t="shared" si="33"/>
        <v>0</v>
      </c>
      <c r="R61" s="22">
        <f t="shared" si="33"/>
        <v>0</v>
      </c>
      <c r="S61" s="22">
        <f t="shared" si="33"/>
        <v>0</v>
      </c>
      <c r="T61" s="22">
        <f t="shared" si="33"/>
        <v>0</v>
      </c>
      <c r="U61" s="22">
        <f t="shared" si="33"/>
        <v>0</v>
      </c>
      <c r="V61" s="22">
        <f t="shared" si="33"/>
        <v>0</v>
      </c>
      <c r="W61" s="22">
        <f t="shared" si="33"/>
        <v>0</v>
      </c>
      <c r="X61" s="22">
        <f t="shared" si="33"/>
        <v>0</v>
      </c>
      <c r="Y61" s="22">
        <f t="shared" si="33"/>
        <v>0</v>
      </c>
      <c r="Z61" s="22">
        <f t="shared" si="33"/>
        <v>0</v>
      </c>
      <c r="AA61" s="22">
        <f t="shared" si="33"/>
        <v>203659.50435081276</v>
      </c>
      <c r="AB61" s="22">
        <f t="shared" si="33"/>
        <v>260516.83425242663</v>
      </c>
      <c r="AC61" s="22">
        <f t="shared" si="33"/>
        <v>0</v>
      </c>
      <c r="AD61" s="22">
        <f t="shared" si="33"/>
        <v>177424.77777777781</v>
      </c>
      <c r="AE61" s="22">
        <f t="shared" si="33"/>
        <v>197448.56513888889</v>
      </c>
      <c r="AF61" s="22">
        <f t="shared" si="33"/>
        <v>316030.55281371536</v>
      </c>
      <c r="AG61" s="22">
        <f t="shared" si="33"/>
        <v>217462.66738676664</v>
      </c>
      <c r="AH61" s="22">
        <f t="shared" si="33"/>
        <v>291128.70794502267</v>
      </c>
      <c r="AI61" s="22">
        <f t="shared" si="33"/>
        <v>0</v>
      </c>
      <c r="AJ61" s="22">
        <f t="shared" si="33"/>
        <v>0</v>
      </c>
      <c r="AK61" s="22">
        <f t="shared" si="33"/>
        <v>0</v>
      </c>
      <c r="AL61" s="22">
        <f t="shared" si="33"/>
        <v>0</v>
      </c>
      <c r="AM61" s="22">
        <f t="shared" si="33"/>
        <v>0</v>
      </c>
      <c r="AN61" s="22">
        <f t="shared" si="33"/>
        <v>0</v>
      </c>
      <c r="AO61" s="22">
        <f t="shared" si="33"/>
        <v>0</v>
      </c>
      <c r="AP61" s="22">
        <f t="shared" si="33"/>
        <v>0</v>
      </c>
      <c r="AQ61" s="22">
        <f t="shared" si="33"/>
        <v>0</v>
      </c>
      <c r="AR61" s="22">
        <f t="shared" si="33"/>
        <v>0</v>
      </c>
      <c r="AS61" s="22">
        <f t="shared" si="33"/>
        <v>0</v>
      </c>
      <c r="AT61" s="22">
        <f t="shared" si="33"/>
        <v>0</v>
      </c>
      <c r="AU61" s="22">
        <f t="shared" si="33"/>
        <v>0</v>
      </c>
      <c r="AV61" s="22">
        <f t="shared" si="33"/>
        <v>0</v>
      </c>
      <c r="AW61" s="22">
        <f t="shared" si="33"/>
        <v>0</v>
      </c>
    </row>
    <row r="62" spans="2:49">
      <c r="C62" s="14" t="s">
        <v>63</v>
      </c>
      <c r="J62" s="22">
        <f t="shared" ref="J62:AW62" si="34">IF(J54=0,J68-SUM(J58:J61),0)</f>
        <v>0</v>
      </c>
      <c r="K62" s="22">
        <f t="shared" si="34"/>
        <v>0</v>
      </c>
      <c r="L62" s="22">
        <f t="shared" si="34"/>
        <v>0</v>
      </c>
      <c r="M62" s="22">
        <f t="shared" si="34"/>
        <v>0</v>
      </c>
      <c r="N62" s="22">
        <f t="shared" si="34"/>
        <v>0</v>
      </c>
      <c r="O62" s="22">
        <f>IF(O54=0,O68-SUM(O58:O61),0)</f>
        <v>-1183685.5527233277</v>
      </c>
      <c r="P62" s="22">
        <f t="shared" si="34"/>
        <v>0</v>
      </c>
      <c r="Q62" s="22">
        <f t="shared" si="34"/>
        <v>0</v>
      </c>
      <c r="R62" s="22">
        <f t="shared" si="34"/>
        <v>0</v>
      </c>
      <c r="S62" s="22">
        <f t="shared" si="34"/>
        <v>0</v>
      </c>
      <c r="T62" s="22">
        <f t="shared" si="34"/>
        <v>0</v>
      </c>
      <c r="U62" s="22">
        <f t="shared" si="34"/>
        <v>0</v>
      </c>
      <c r="V62" s="22">
        <f t="shared" si="34"/>
        <v>0</v>
      </c>
      <c r="W62" s="22">
        <f t="shared" si="34"/>
        <v>0</v>
      </c>
      <c r="X62" s="22">
        <f t="shared" si="34"/>
        <v>0</v>
      </c>
      <c r="Y62" s="22">
        <f t="shared" si="34"/>
        <v>0</v>
      </c>
      <c r="Z62" s="22">
        <f t="shared" si="34"/>
        <v>0</v>
      </c>
      <c r="AA62" s="22">
        <f t="shared" si="34"/>
        <v>0</v>
      </c>
      <c r="AB62" s="22">
        <f t="shared" si="34"/>
        <v>0</v>
      </c>
      <c r="AC62" s="22">
        <f t="shared" si="34"/>
        <v>-464176.33860323939</v>
      </c>
      <c r="AD62" s="22">
        <f t="shared" si="34"/>
        <v>0</v>
      </c>
      <c r="AE62" s="22">
        <f t="shared" si="34"/>
        <v>0</v>
      </c>
      <c r="AF62" s="22">
        <f t="shared" si="34"/>
        <v>0</v>
      </c>
      <c r="AG62" s="22">
        <f t="shared" si="34"/>
        <v>0</v>
      </c>
      <c r="AH62" s="22">
        <f t="shared" si="34"/>
        <v>0</v>
      </c>
      <c r="AI62" s="22">
        <f t="shared" si="34"/>
        <v>-1199495.2710621716</v>
      </c>
      <c r="AJ62" s="22">
        <f t="shared" si="34"/>
        <v>0</v>
      </c>
      <c r="AK62" s="22">
        <f t="shared" si="34"/>
        <v>0</v>
      </c>
      <c r="AL62" s="22">
        <f t="shared" si="34"/>
        <v>0</v>
      </c>
      <c r="AM62" s="22">
        <f t="shared" si="34"/>
        <v>0</v>
      </c>
      <c r="AN62" s="22">
        <f t="shared" si="34"/>
        <v>0</v>
      </c>
      <c r="AO62" s="22">
        <f t="shared" si="34"/>
        <v>0</v>
      </c>
      <c r="AP62" s="22">
        <f t="shared" si="34"/>
        <v>-500000</v>
      </c>
      <c r="AQ62" s="22">
        <f t="shared" si="34"/>
        <v>0</v>
      </c>
      <c r="AR62" s="22">
        <f t="shared" si="34"/>
        <v>0</v>
      </c>
      <c r="AS62" s="22">
        <f t="shared" si="34"/>
        <v>0</v>
      </c>
      <c r="AT62" s="22">
        <f t="shared" si="34"/>
        <v>0</v>
      </c>
      <c r="AU62" s="22">
        <f t="shared" si="34"/>
        <v>0</v>
      </c>
      <c r="AV62" s="22">
        <f t="shared" si="34"/>
        <v>0</v>
      </c>
      <c r="AW62" s="22">
        <f t="shared" si="34"/>
        <v>0</v>
      </c>
    </row>
    <row r="63" spans="2:49">
      <c r="C63" s="14" t="s">
        <v>37</v>
      </c>
      <c r="I63" s="43">
        <f>CaseData!G14</f>
        <v>500000</v>
      </c>
      <c r="J63" s="24">
        <f t="shared" ref="J63:AW63" si="35">SUM(J58:J62)</f>
        <v>725812.5555555555</v>
      </c>
      <c r="K63" s="24">
        <f t="shared" si="35"/>
        <v>949618.68597222213</v>
      </c>
      <c r="L63" s="24">
        <f t="shared" si="35"/>
        <v>1175498.8671557291</v>
      </c>
      <c r="M63" s="24">
        <f t="shared" si="35"/>
        <v>1416832.0990186743</v>
      </c>
      <c r="N63" s="24">
        <f t="shared" si="35"/>
        <v>1683685.5527233277</v>
      </c>
      <c r="O63" s="24">
        <f t="shared" si="35"/>
        <v>500000</v>
      </c>
      <c r="P63" s="24">
        <f t="shared" si="35"/>
        <v>500000</v>
      </c>
      <c r="Q63" s="24">
        <f t="shared" si="35"/>
        <v>500000</v>
      </c>
      <c r="R63" s="24">
        <f t="shared" si="35"/>
        <v>500000</v>
      </c>
      <c r="S63" s="24">
        <f t="shared" si="35"/>
        <v>500000</v>
      </c>
      <c r="T63" s="24">
        <f t="shared" si="35"/>
        <v>500000</v>
      </c>
      <c r="U63" s="24">
        <f t="shared" si="35"/>
        <v>361229.55555555562</v>
      </c>
      <c r="V63" s="24">
        <f t="shared" si="35"/>
        <v>232160.61083333346</v>
      </c>
      <c r="W63" s="24">
        <f t="shared" si="35"/>
        <v>123934.21312395844</v>
      </c>
      <c r="X63" s="24">
        <f t="shared" si="35"/>
        <v>7658.0775342844136</v>
      </c>
      <c r="Y63" s="24">
        <f t="shared" si="35"/>
        <v>230242.35088059356</v>
      </c>
      <c r="Z63" s="24">
        <f t="shared" si="35"/>
        <v>438005.98191861797</v>
      </c>
      <c r="AA63" s="24">
        <f t="shared" si="35"/>
        <v>703659.50435081276</v>
      </c>
      <c r="AB63" s="24">
        <f t="shared" si="35"/>
        <v>964176.33860323939</v>
      </c>
      <c r="AC63" s="24">
        <f t="shared" si="35"/>
        <v>500000</v>
      </c>
      <c r="AD63" s="24">
        <f t="shared" si="35"/>
        <v>677424.77777777775</v>
      </c>
      <c r="AE63" s="24">
        <f t="shared" si="35"/>
        <v>874873.34291666665</v>
      </c>
      <c r="AF63" s="24">
        <f t="shared" si="35"/>
        <v>1190903.8957303821</v>
      </c>
      <c r="AG63" s="24">
        <f t="shared" si="35"/>
        <v>1408366.5631171488</v>
      </c>
      <c r="AH63" s="24">
        <f t="shared" si="35"/>
        <v>1699495.2710621716</v>
      </c>
      <c r="AI63" s="24">
        <f t="shared" si="35"/>
        <v>500000</v>
      </c>
      <c r="AJ63" s="24">
        <f t="shared" si="35"/>
        <v>500000</v>
      </c>
      <c r="AK63" s="24">
        <f t="shared" si="35"/>
        <v>500000</v>
      </c>
      <c r="AL63" s="24">
        <f t="shared" si="35"/>
        <v>500000</v>
      </c>
      <c r="AM63" s="24">
        <f t="shared" si="35"/>
        <v>500000</v>
      </c>
      <c r="AN63" s="24">
        <f t="shared" si="35"/>
        <v>500000</v>
      </c>
      <c r="AO63" s="24">
        <f t="shared" si="35"/>
        <v>500000</v>
      </c>
      <c r="AP63" s="24">
        <f t="shared" si="35"/>
        <v>0</v>
      </c>
      <c r="AQ63" s="24">
        <f t="shared" si="35"/>
        <v>0</v>
      </c>
      <c r="AR63" s="24">
        <f t="shared" si="35"/>
        <v>0</v>
      </c>
      <c r="AS63" s="24">
        <f t="shared" si="35"/>
        <v>0</v>
      </c>
      <c r="AT63" s="24">
        <f t="shared" si="35"/>
        <v>0</v>
      </c>
      <c r="AU63" s="24">
        <f t="shared" si="35"/>
        <v>0</v>
      </c>
      <c r="AV63" s="24">
        <f t="shared" si="35"/>
        <v>0</v>
      </c>
      <c r="AW63" s="24">
        <f t="shared" si="35"/>
        <v>0</v>
      </c>
    </row>
    <row r="65" spans="2:49">
      <c r="C65" s="14" t="s">
        <v>70</v>
      </c>
      <c r="H65" s="41">
        <f>CaseData!G16</f>
        <v>1.4999999999999999E-2</v>
      </c>
      <c r="J65" s="18">
        <f>$H65</f>
        <v>1.4999999999999999E-2</v>
      </c>
      <c r="K65" s="18">
        <f t="shared" ref="K65:AW65" si="36">$H65</f>
        <v>1.4999999999999999E-2</v>
      </c>
      <c r="L65" s="18">
        <f t="shared" si="36"/>
        <v>1.4999999999999999E-2</v>
      </c>
      <c r="M65" s="18">
        <f t="shared" si="36"/>
        <v>1.4999999999999999E-2</v>
      </c>
      <c r="N65" s="18">
        <f t="shared" si="36"/>
        <v>1.4999999999999999E-2</v>
      </c>
      <c r="O65" s="18">
        <f t="shared" si="36"/>
        <v>1.4999999999999999E-2</v>
      </c>
      <c r="P65" s="18">
        <f t="shared" si="36"/>
        <v>1.4999999999999999E-2</v>
      </c>
      <c r="Q65" s="18">
        <f t="shared" si="36"/>
        <v>1.4999999999999999E-2</v>
      </c>
      <c r="R65" s="18">
        <f t="shared" si="36"/>
        <v>1.4999999999999999E-2</v>
      </c>
      <c r="S65" s="18">
        <f t="shared" si="36"/>
        <v>1.4999999999999999E-2</v>
      </c>
      <c r="T65" s="18">
        <f t="shared" si="36"/>
        <v>1.4999999999999999E-2</v>
      </c>
      <c r="U65" s="18">
        <f t="shared" si="36"/>
        <v>1.4999999999999999E-2</v>
      </c>
      <c r="V65" s="18">
        <f t="shared" si="36"/>
        <v>1.4999999999999999E-2</v>
      </c>
      <c r="W65" s="18">
        <f t="shared" si="36"/>
        <v>1.4999999999999999E-2</v>
      </c>
      <c r="X65" s="18">
        <f t="shared" si="36"/>
        <v>1.4999999999999999E-2</v>
      </c>
      <c r="Y65" s="18">
        <f t="shared" si="36"/>
        <v>1.4999999999999999E-2</v>
      </c>
      <c r="Z65" s="18">
        <f t="shared" si="36"/>
        <v>1.4999999999999999E-2</v>
      </c>
      <c r="AA65" s="18">
        <f t="shared" si="36"/>
        <v>1.4999999999999999E-2</v>
      </c>
      <c r="AB65" s="18">
        <f t="shared" si="36"/>
        <v>1.4999999999999999E-2</v>
      </c>
      <c r="AC65" s="18">
        <f t="shared" si="36"/>
        <v>1.4999999999999999E-2</v>
      </c>
      <c r="AD65" s="18">
        <f t="shared" si="36"/>
        <v>1.4999999999999999E-2</v>
      </c>
      <c r="AE65" s="18">
        <f t="shared" si="36"/>
        <v>1.4999999999999999E-2</v>
      </c>
      <c r="AF65" s="18">
        <f t="shared" si="36"/>
        <v>1.4999999999999999E-2</v>
      </c>
      <c r="AG65" s="18">
        <f t="shared" si="36"/>
        <v>1.4999999999999999E-2</v>
      </c>
      <c r="AH65" s="18">
        <f t="shared" si="36"/>
        <v>1.4999999999999999E-2</v>
      </c>
      <c r="AI65" s="18">
        <f t="shared" si="36"/>
        <v>1.4999999999999999E-2</v>
      </c>
      <c r="AJ65" s="18">
        <f t="shared" si="36"/>
        <v>1.4999999999999999E-2</v>
      </c>
      <c r="AK65" s="18">
        <f t="shared" si="36"/>
        <v>1.4999999999999999E-2</v>
      </c>
      <c r="AL65" s="18">
        <f t="shared" si="36"/>
        <v>1.4999999999999999E-2</v>
      </c>
      <c r="AM65" s="18">
        <f t="shared" si="36"/>
        <v>1.4999999999999999E-2</v>
      </c>
      <c r="AN65" s="18">
        <f t="shared" si="36"/>
        <v>1.4999999999999999E-2</v>
      </c>
      <c r="AO65" s="18">
        <f t="shared" si="36"/>
        <v>1.4999999999999999E-2</v>
      </c>
      <c r="AP65" s="18">
        <f t="shared" si="36"/>
        <v>1.4999999999999999E-2</v>
      </c>
      <c r="AQ65" s="18">
        <f t="shared" si="36"/>
        <v>1.4999999999999999E-2</v>
      </c>
      <c r="AR65" s="18">
        <f t="shared" si="36"/>
        <v>1.4999999999999999E-2</v>
      </c>
      <c r="AS65" s="18">
        <f t="shared" si="36"/>
        <v>1.4999999999999999E-2</v>
      </c>
      <c r="AT65" s="18">
        <f t="shared" si="36"/>
        <v>1.4999999999999999E-2</v>
      </c>
      <c r="AU65" s="18">
        <f t="shared" si="36"/>
        <v>1.4999999999999999E-2</v>
      </c>
      <c r="AV65" s="18">
        <f t="shared" si="36"/>
        <v>1.4999999999999999E-2</v>
      </c>
      <c r="AW65" s="18">
        <f t="shared" si="36"/>
        <v>1.4999999999999999E-2</v>
      </c>
    </row>
    <row r="66" spans="2:49">
      <c r="C66" s="14" t="s">
        <v>54</v>
      </c>
      <c r="J66" s="22">
        <f t="shared" ref="J66:AW66" si="37">J58*J65/4</f>
        <v>1875</v>
      </c>
      <c r="K66" s="22">
        <f t="shared" si="37"/>
        <v>2721.7970833333329</v>
      </c>
      <c r="L66" s="22">
        <f t="shared" si="37"/>
        <v>3561.070072395833</v>
      </c>
      <c r="M66" s="22">
        <f t="shared" si="37"/>
        <v>4408.1207518339843</v>
      </c>
      <c r="N66" s="22">
        <f t="shared" si="37"/>
        <v>5313.1203713200284</v>
      </c>
      <c r="O66" s="22">
        <f t="shared" si="37"/>
        <v>6313.8208227124787</v>
      </c>
      <c r="P66" s="22">
        <f t="shared" si="37"/>
        <v>1875</v>
      </c>
      <c r="Q66" s="22">
        <f t="shared" si="37"/>
        <v>1875</v>
      </c>
      <c r="R66" s="22">
        <f t="shared" si="37"/>
        <v>1875</v>
      </c>
      <c r="S66" s="22">
        <f t="shared" si="37"/>
        <v>1875</v>
      </c>
      <c r="T66" s="22">
        <f t="shared" si="37"/>
        <v>1875</v>
      </c>
      <c r="U66" s="22">
        <f t="shared" si="37"/>
        <v>1875</v>
      </c>
      <c r="V66" s="22">
        <f t="shared" si="37"/>
        <v>1354.6108333333336</v>
      </c>
      <c r="W66" s="22">
        <f t="shared" si="37"/>
        <v>870.60229062500048</v>
      </c>
      <c r="X66" s="22">
        <f t="shared" si="37"/>
        <v>464.75329921484416</v>
      </c>
      <c r="Y66" s="22">
        <f t="shared" si="37"/>
        <v>28.71779075356655</v>
      </c>
      <c r="Z66" s="22">
        <f t="shared" si="37"/>
        <v>863.40881580222583</v>
      </c>
      <c r="AA66" s="22">
        <f t="shared" si="37"/>
        <v>1642.5224321948174</v>
      </c>
      <c r="AB66" s="22">
        <f t="shared" si="37"/>
        <v>2638.7231413155478</v>
      </c>
      <c r="AC66" s="22">
        <f t="shared" si="37"/>
        <v>3615.6612697621476</v>
      </c>
      <c r="AD66" s="22">
        <f t="shared" si="37"/>
        <v>1875</v>
      </c>
      <c r="AE66" s="22">
        <f t="shared" si="37"/>
        <v>2540.3429166666665</v>
      </c>
      <c r="AF66" s="22">
        <f t="shared" si="37"/>
        <v>3280.7750359375</v>
      </c>
      <c r="AG66" s="22">
        <f t="shared" si="37"/>
        <v>4465.8896089889322</v>
      </c>
      <c r="AH66" s="22">
        <f t="shared" si="37"/>
        <v>5281.374611689308</v>
      </c>
      <c r="AI66" s="22">
        <f t="shared" si="37"/>
        <v>6373.1072664831427</v>
      </c>
      <c r="AJ66" s="22">
        <f t="shared" si="37"/>
        <v>1875</v>
      </c>
      <c r="AK66" s="22">
        <f t="shared" si="37"/>
        <v>1875</v>
      </c>
      <c r="AL66" s="22">
        <f t="shared" si="37"/>
        <v>1875</v>
      </c>
      <c r="AM66" s="22">
        <f t="shared" si="37"/>
        <v>1875</v>
      </c>
      <c r="AN66" s="22">
        <f t="shared" si="37"/>
        <v>1875</v>
      </c>
      <c r="AO66" s="22">
        <f t="shared" si="37"/>
        <v>1875</v>
      </c>
      <c r="AP66" s="22">
        <f t="shared" si="37"/>
        <v>1875</v>
      </c>
      <c r="AQ66" s="22">
        <f t="shared" si="37"/>
        <v>0</v>
      </c>
      <c r="AR66" s="22">
        <f t="shared" si="37"/>
        <v>0</v>
      </c>
      <c r="AS66" s="22">
        <f t="shared" si="37"/>
        <v>0</v>
      </c>
      <c r="AT66" s="22">
        <f t="shared" si="37"/>
        <v>0</v>
      </c>
      <c r="AU66" s="22">
        <f t="shared" si="37"/>
        <v>0</v>
      </c>
      <c r="AV66" s="22">
        <f t="shared" si="37"/>
        <v>0</v>
      </c>
      <c r="AW66" s="22">
        <f t="shared" si="37"/>
        <v>0</v>
      </c>
    </row>
    <row r="68" spans="2:49">
      <c r="C68" s="14" t="s">
        <v>83</v>
      </c>
      <c r="H68" s="44">
        <f>CaseData!G15</f>
        <v>500000</v>
      </c>
      <c r="J68" s="22">
        <f t="shared" ref="J68:AW68" si="38">IF(J38&gt;0,$H68,0)</f>
        <v>500000</v>
      </c>
      <c r="K68" s="22">
        <f t="shared" si="38"/>
        <v>500000</v>
      </c>
      <c r="L68" s="22">
        <f t="shared" si="38"/>
        <v>500000</v>
      </c>
      <c r="M68" s="22">
        <f t="shared" si="38"/>
        <v>500000</v>
      </c>
      <c r="N68" s="22">
        <f t="shared" si="38"/>
        <v>500000</v>
      </c>
      <c r="O68" s="22">
        <f t="shared" si="38"/>
        <v>500000</v>
      </c>
      <c r="P68" s="22">
        <f t="shared" si="38"/>
        <v>500000</v>
      </c>
      <c r="Q68" s="22">
        <f t="shared" si="38"/>
        <v>500000</v>
      </c>
      <c r="R68" s="22">
        <f t="shared" si="38"/>
        <v>500000</v>
      </c>
      <c r="S68" s="22">
        <f t="shared" si="38"/>
        <v>500000</v>
      </c>
      <c r="T68" s="22">
        <f t="shared" si="38"/>
        <v>500000</v>
      </c>
      <c r="U68" s="22">
        <f t="shared" si="38"/>
        <v>500000</v>
      </c>
      <c r="V68" s="22">
        <f t="shared" si="38"/>
        <v>500000</v>
      </c>
      <c r="W68" s="22">
        <f t="shared" si="38"/>
        <v>500000</v>
      </c>
      <c r="X68" s="22">
        <f t="shared" si="38"/>
        <v>500000</v>
      </c>
      <c r="Y68" s="22">
        <f t="shared" si="38"/>
        <v>500000</v>
      </c>
      <c r="Z68" s="22">
        <f t="shared" si="38"/>
        <v>500000</v>
      </c>
      <c r="AA68" s="22">
        <f t="shared" si="38"/>
        <v>500000</v>
      </c>
      <c r="AB68" s="22">
        <f t="shared" si="38"/>
        <v>500000</v>
      </c>
      <c r="AC68" s="22">
        <f t="shared" si="38"/>
        <v>500000</v>
      </c>
      <c r="AD68" s="22">
        <f t="shared" si="38"/>
        <v>500000</v>
      </c>
      <c r="AE68" s="22">
        <f t="shared" si="38"/>
        <v>500000</v>
      </c>
      <c r="AF68" s="22">
        <f t="shared" si="38"/>
        <v>500000</v>
      </c>
      <c r="AG68" s="22">
        <f t="shared" si="38"/>
        <v>500000</v>
      </c>
      <c r="AH68" s="22">
        <f t="shared" si="38"/>
        <v>500000</v>
      </c>
      <c r="AI68" s="22">
        <f t="shared" si="38"/>
        <v>500000</v>
      </c>
      <c r="AJ68" s="22">
        <f t="shared" si="38"/>
        <v>500000</v>
      </c>
      <c r="AK68" s="22">
        <f t="shared" si="38"/>
        <v>500000</v>
      </c>
      <c r="AL68" s="22">
        <f t="shared" si="38"/>
        <v>500000</v>
      </c>
      <c r="AM68" s="22">
        <f t="shared" si="38"/>
        <v>500000</v>
      </c>
      <c r="AN68" s="22">
        <f t="shared" si="38"/>
        <v>500000</v>
      </c>
      <c r="AO68" s="22">
        <f t="shared" si="38"/>
        <v>500000</v>
      </c>
      <c r="AP68" s="22">
        <f t="shared" si="38"/>
        <v>0</v>
      </c>
      <c r="AQ68" s="22">
        <f t="shared" si="38"/>
        <v>0</v>
      </c>
      <c r="AR68" s="22">
        <f t="shared" si="38"/>
        <v>0</v>
      </c>
      <c r="AS68" s="22">
        <f t="shared" si="38"/>
        <v>0</v>
      </c>
      <c r="AT68" s="22">
        <f t="shared" si="38"/>
        <v>0</v>
      </c>
      <c r="AU68" s="22">
        <f t="shared" si="38"/>
        <v>0</v>
      </c>
      <c r="AV68" s="22">
        <f t="shared" si="38"/>
        <v>0</v>
      </c>
      <c r="AW68" s="22">
        <f t="shared" si="38"/>
        <v>0</v>
      </c>
    </row>
    <row r="69" spans="2:49"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</row>
    <row r="70" spans="2:49"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</row>
    <row r="71" spans="2:49">
      <c r="B71" s="17" t="s">
        <v>20</v>
      </c>
    </row>
    <row r="72" spans="2:49">
      <c r="C72" s="14" t="s">
        <v>68</v>
      </c>
      <c r="J72" s="22">
        <f t="shared" ref="J72:AW72" si="39">I76</f>
        <v>6000000</v>
      </c>
      <c r="K72" s="22">
        <f t="shared" si="39"/>
        <v>6105000</v>
      </c>
      <c r="L72" s="22">
        <f t="shared" si="39"/>
        <v>6211837.5</v>
      </c>
      <c r="M72" s="22">
        <f t="shared" si="39"/>
        <v>6320544.65625</v>
      </c>
      <c r="N72" s="22">
        <f t="shared" si="39"/>
        <v>6431154.1877343748</v>
      </c>
      <c r="O72" s="22">
        <f t="shared" si="39"/>
        <v>6543699.3860197263</v>
      </c>
      <c r="P72" s="22">
        <f t="shared" si="39"/>
        <v>5219918.8628401421</v>
      </c>
      <c r="Q72" s="22">
        <f t="shared" si="39"/>
        <v>5085702.7762731779</v>
      </c>
      <c r="R72" s="22">
        <f t="shared" si="39"/>
        <v>4894662.7970801806</v>
      </c>
      <c r="S72" s="22">
        <f t="shared" si="39"/>
        <v>4708550.507140195</v>
      </c>
      <c r="T72" s="22">
        <f t="shared" si="39"/>
        <v>4500000</v>
      </c>
      <c r="U72" s="22">
        <f t="shared" si="39"/>
        <v>4355939.555555556</v>
      </c>
      <c r="V72" s="22">
        <f t="shared" si="39"/>
        <v>4432168.4977777787</v>
      </c>
      <c r="W72" s="22">
        <f t="shared" si="39"/>
        <v>4509731.4464888899</v>
      </c>
      <c r="X72" s="22">
        <f t="shared" si="39"/>
        <v>4588651.7468024455</v>
      </c>
      <c r="Y72" s="22">
        <f t="shared" si="39"/>
        <v>4668953.1523714885</v>
      </c>
      <c r="Z72" s="22">
        <f t="shared" si="39"/>
        <v>4750659.8325379891</v>
      </c>
      <c r="AA72" s="22">
        <f t="shared" si="39"/>
        <v>4833796.3796074037</v>
      </c>
      <c r="AB72" s="22">
        <f t="shared" si="39"/>
        <v>4918387.8162505329</v>
      </c>
      <c r="AC72" s="22">
        <f t="shared" si="39"/>
        <v>5004459.6030349173</v>
      </c>
      <c r="AD72" s="22">
        <f t="shared" si="39"/>
        <v>4380047.8684372492</v>
      </c>
      <c r="AE72" s="22">
        <f t="shared" si="39"/>
        <v>4456698.7061349014</v>
      </c>
      <c r="AF72" s="22">
        <f t="shared" si="39"/>
        <v>4534690.9334922619</v>
      </c>
      <c r="AG72" s="22">
        <f t="shared" si="39"/>
        <v>4614048.0248283762</v>
      </c>
      <c r="AH72" s="22">
        <f t="shared" si="39"/>
        <v>4694793.8652628725</v>
      </c>
      <c r="AI72" s="22">
        <f t="shared" si="39"/>
        <v>4776952.7579049729</v>
      </c>
      <c r="AJ72" s="22">
        <f t="shared" si="39"/>
        <v>3378335.0528396554</v>
      </c>
      <c r="AK72" s="22">
        <f t="shared" si="39"/>
        <v>3137892.1384865716</v>
      </c>
      <c r="AL72" s="22">
        <f t="shared" si="39"/>
        <v>2891434.2509100866</v>
      </c>
      <c r="AM72" s="22">
        <f t="shared" si="39"/>
        <v>2610368.0169676798</v>
      </c>
      <c r="AN72" s="22">
        <f t="shared" si="39"/>
        <v>2423539.1239312808</v>
      </c>
      <c r="AO72" s="22">
        <f t="shared" si="39"/>
        <v>2227145.6141556338</v>
      </c>
      <c r="AP72" s="22">
        <f t="shared" si="39"/>
        <v>1981168.3290700242</v>
      </c>
      <c r="AQ72" s="22">
        <f t="shared" si="39"/>
        <v>1050000</v>
      </c>
      <c r="AR72" s="22">
        <f t="shared" si="39"/>
        <v>900000</v>
      </c>
      <c r="AS72" s="22">
        <f t="shared" si="39"/>
        <v>750000</v>
      </c>
      <c r="AT72" s="22">
        <f t="shared" si="39"/>
        <v>600000</v>
      </c>
      <c r="AU72" s="22">
        <f t="shared" si="39"/>
        <v>450000</v>
      </c>
      <c r="AV72" s="22">
        <f t="shared" si="39"/>
        <v>300000</v>
      </c>
      <c r="AW72" s="22">
        <f t="shared" si="39"/>
        <v>150000</v>
      </c>
    </row>
    <row r="73" spans="2:49">
      <c r="C73" s="14" t="s">
        <v>97</v>
      </c>
      <c r="J73" s="22">
        <f t="shared" ref="J73:AW73" si="40">J83</f>
        <v>105000.00000000001</v>
      </c>
      <c r="K73" s="22">
        <f t="shared" si="40"/>
        <v>106837.50000000001</v>
      </c>
      <c r="L73" s="22">
        <f t="shared" si="40"/>
        <v>108707.15625000001</v>
      </c>
      <c r="M73" s="22">
        <f t="shared" si="40"/>
        <v>110609.53148437501</v>
      </c>
      <c r="N73" s="22">
        <f t="shared" si="40"/>
        <v>112545.19828535157</v>
      </c>
      <c r="O73" s="22">
        <f t="shared" si="40"/>
        <v>0</v>
      </c>
      <c r="P73" s="22">
        <f t="shared" si="40"/>
        <v>0</v>
      </c>
      <c r="Q73" s="22">
        <f t="shared" si="40"/>
        <v>0</v>
      </c>
      <c r="R73" s="22">
        <f t="shared" si="40"/>
        <v>0</v>
      </c>
      <c r="S73" s="22">
        <f t="shared" si="40"/>
        <v>0</v>
      </c>
      <c r="T73" s="22">
        <f t="shared" si="40"/>
        <v>0</v>
      </c>
      <c r="U73" s="22">
        <f t="shared" si="40"/>
        <v>76228.942222222235</v>
      </c>
      <c r="V73" s="22">
        <f t="shared" si="40"/>
        <v>77562.948711111138</v>
      </c>
      <c r="W73" s="22">
        <f t="shared" si="40"/>
        <v>78920.300313555577</v>
      </c>
      <c r="X73" s="22">
        <f t="shared" si="40"/>
        <v>80301.405569042807</v>
      </c>
      <c r="Y73" s="22">
        <f t="shared" si="40"/>
        <v>81706.680166501057</v>
      </c>
      <c r="Z73" s="22">
        <f t="shared" si="40"/>
        <v>83136.547069414824</v>
      </c>
      <c r="AA73" s="22">
        <f t="shared" si="40"/>
        <v>84591.436643129578</v>
      </c>
      <c r="AB73" s="22">
        <f t="shared" si="40"/>
        <v>86071.786784384327</v>
      </c>
      <c r="AC73" s="22">
        <f t="shared" si="40"/>
        <v>0</v>
      </c>
      <c r="AD73" s="22">
        <f t="shared" si="40"/>
        <v>76650.837697651863</v>
      </c>
      <c r="AE73" s="22">
        <f t="shared" si="40"/>
        <v>77992.227357360782</v>
      </c>
      <c r="AF73" s="22">
        <f t="shared" si="40"/>
        <v>79357.091336114594</v>
      </c>
      <c r="AG73" s="22">
        <f t="shared" si="40"/>
        <v>80745.840434496597</v>
      </c>
      <c r="AH73" s="22">
        <f t="shared" si="40"/>
        <v>82158.892642100283</v>
      </c>
      <c r="AI73" s="22">
        <f t="shared" si="40"/>
        <v>0</v>
      </c>
      <c r="AJ73" s="22">
        <f t="shared" si="40"/>
        <v>0</v>
      </c>
      <c r="AK73" s="22">
        <f t="shared" si="40"/>
        <v>0</v>
      </c>
      <c r="AL73" s="22">
        <f t="shared" si="40"/>
        <v>0</v>
      </c>
      <c r="AM73" s="22">
        <f t="shared" si="40"/>
        <v>0</v>
      </c>
      <c r="AN73" s="22">
        <f t="shared" si="40"/>
        <v>0</v>
      </c>
      <c r="AO73" s="22">
        <f t="shared" si="40"/>
        <v>0</v>
      </c>
      <c r="AP73" s="22">
        <f t="shared" si="40"/>
        <v>0</v>
      </c>
      <c r="AQ73" s="22">
        <f t="shared" si="40"/>
        <v>0</v>
      </c>
      <c r="AR73" s="22">
        <f t="shared" si="40"/>
        <v>0</v>
      </c>
      <c r="AS73" s="22">
        <f t="shared" si="40"/>
        <v>0</v>
      </c>
      <c r="AT73" s="22">
        <f t="shared" si="40"/>
        <v>0</v>
      </c>
      <c r="AU73" s="22">
        <f t="shared" si="40"/>
        <v>0</v>
      </c>
      <c r="AV73" s="22">
        <f t="shared" si="40"/>
        <v>0</v>
      </c>
      <c r="AW73" s="22">
        <f t="shared" si="40"/>
        <v>0</v>
      </c>
    </row>
    <row r="74" spans="2:49">
      <c r="C74" s="14" t="s">
        <v>84</v>
      </c>
      <c r="J74" s="22">
        <f>J28</f>
        <v>0</v>
      </c>
      <c r="K74" s="22">
        <f t="shared" ref="K74:AW74" si="41">K28</f>
        <v>0</v>
      </c>
      <c r="L74" s="22">
        <f t="shared" si="41"/>
        <v>0</v>
      </c>
      <c r="M74" s="22">
        <f t="shared" si="41"/>
        <v>0</v>
      </c>
      <c r="N74" s="22">
        <f t="shared" si="41"/>
        <v>0</v>
      </c>
      <c r="O74" s="22">
        <f>O28</f>
        <v>-150000</v>
      </c>
      <c r="P74" s="22">
        <f t="shared" si="41"/>
        <v>-134216.08656696419</v>
      </c>
      <c r="Q74" s="22">
        <f t="shared" si="41"/>
        <v>-150000</v>
      </c>
      <c r="R74" s="22">
        <f t="shared" si="41"/>
        <v>-150000</v>
      </c>
      <c r="S74" s="22">
        <f t="shared" si="41"/>
        <v>-150000</v>
      </c>
      <c r="T74" s="22">
        <f t="shared" si="41"/>
        <v>-144060.44444444444</v>
      </c>
      <c r="U74" s="22">
        <f t="shared" si="41"/>
        <v>0</v>
      </c>
      <c r="V74" s="22">
        <f t="shared" si="41"/>
        <v>0</v>
      </c>
      <c r="W74" s="22">
        <f t="shared" si="41"/>
        <v>0</v>
      </c>
      <c r="X74" s="22">
        <f t="shared" si="41"/>
        <v>0</v>
      </c>
      <c r="Y74" s="22">
        <f t="shared" si="41"/>
        <v>0</v>
      </c>
      <c r="Z74" s="22">
        <f t="shared" si="41"/>
        <v>0</v>
      </c>
      <c r="AA74" s="22">
        <f t="shared" si="41"/>
        <v>0</v>
      </c>
      <c r="AB74" s="22">
        <f t="shared" si="41"/>
        <v>0</v>
      </c>
      <c r="AC74" s="22">
        <f t="shared" si="41"/>
        <v>-150000</v>
      </c>
      <c r="AD74" s="22">
        <f t="shared" si="41"/>
        <v>0</v>
      </c>
      <c r="AE74" s="22">
        <f t="shared" si="41"/>
        <v>0</v>
      </c>
      <c r="AF74" s="22">
        <f t="shared" si="41"/>
        <v>0</v>
      </c>
      <c r="AG74" s="22">
        <f t="shared" si="41"/>
        <v>0</v>
      </c>
      <c r="AH74" s="22">
        <f t="shared" si="41"/>
        <v>0</v>
      </c>
      <c r="AI74" s="22">
        <f t="shared" si="41"/>
        <v>-150000</v>
      </c>
      <c r="AJ74" s="22">
        <f t="shared" si="41"/>
        <v>-150000</v>
      </c>
      <c r="AK74" s="22">
        <f t="shared" si="41"/>
        <v>-150000</v>
      </c>
      <c r="AL74" s="22">
        <f t="shared" si="41"/>
        <v>-150000</v>
      </c>
      <c r="AM74" s="22">
        <f t="shared" si="41"/>
        <v>-150000</v>
      </c>
      <c r="AN74" s="22">
        <f t="shared" si="41"/>
        <v>-150000</v>
      </c>
      <c r="AO74" s="22">
        <f t="shared" si="41"/>
        <v>-150000</v>
      </c>
      <c r="AP74" s="22">
        <f t="shared" si="41"/>
        <v>-150000</v>
      </c>
      <c r="AQ74" s="22">
        <f t="shared" si="41"/>
        <v>-150000</v>
      </c>
      <c r="AR74" s="22">
        <f t="shared" si="41"/>
        <v>-150000</v>
      </c>
      <c r="AS74" s="22">
        <f t="shared" si="41"/>
        <v>-150000</v>
      </c>
      <c r="AT74" s="22">
        <f t="shared" si="41"/>
        <v>-150000</v>
      </c>
      <c r="AU74" s="22">
        <f t="shared" si="41"/>
        <v>-150000</v>
      </c>
      <c r="AV74" s="22">
        <f t="shared" si="41"/>
        <v>-150000</v>
      </c>
      <c r="AW74" s="22">
        <f t="shared" si="41"/>
        <v>-150000</v>
      </c>
    </row>
    <row r="75" spans="2:49">
      <c r="C75" s="14" t="s">
        <v>104</v>
      </c>
      <c r="J75" s="22">
        <f>J97</f>
        <v>0</v>
      </c>
      <c r="K75" s="22">
        <f t="shared" ref="K75:AW75" si="42">K97</f>
        <v>0</v>
      </c>
      <c r="L75" s="22">
        <f t="shared" si="42"/>
        <v>0</v>
      </c>
      <c r="M75" s="22">
        <f t="shared" si="42"/>
        <v>0</v>
      </c>
      <c r="N75" s="22">
        <f t="shared" si="42"/>
        <v>0</v>
      </c>
      <c r="O75" s="22">
        <f t="shared" si="42"/>
        <v>-1173780.5231795839</v>
      </c>
      <c r="P75" s="22">
        <f t="shared" si="42"/>
        <v>0</v>
      </c>
      <c r="Q75" s="22">
        <f t="shared" si="42"/>
        <v>-41039.979192997183</v>
      </c>
      <c r="R75" s="22">
        <f t="shared" si="42"/>
        <v>-36112.289939985727</v>
      </c>
      <c r="S75" s="22">
        <f t="shared" si="42"/>
        <v>-58550.507140195463</v>
      </c>
      <c r="T75" s="22">
        <f t="shared" si="42"/>
        <v>0</v>
      </c>
      <c r="U75" s="22">
        <f t="shared" si="42"/>
        <v>0</v>
      </c>
      <c r="V75" s="22">
        <f t="shared" si="42"/>
        <v>0</v>
      </c>
      <c r="W75" s="22">
        <f t="shared" si="42"/>
        <v>0</v>
      </c>
      <c r="X75" s="22">
        <f t="shared" si="42"/>
        <v>0</v>
      </c>
      <c r="Y75" s="22">
        <f t="shared" si="42"/>
        <v>0</v>
      </c>
      <c r="Z75" s="22">
        <f t="shared" si="42"/>
        <v>0</v>
      </c>
      <c r="AA75" s="22">
        <f t="shared" si="42"/>
        <v>0</v>
      </c>
      <c r="AB75" s="22">
        <f t="shared" si="42"/>
        <v>0</v>
      </c>
      <c r="AC75" s="22">
        <f t="shared" si="42"/>
        <v>-474411.73459766828</v>
      </c>
      <c r="AD75" s="22">
        <f t="shared" si="42"/>
        <v>0</v>
      </c>
      <c r="AE75" s="22">
        <f t="shared" si="42"/>
        <v>0</v>
      </c>
      <c r="AF75" s="22">
        <f t="shared" si="42"/>
        <v>0</v>
      </c>
      <c r="AG75" s="22">
        <f t="shared" si="42"/>
        <v>0</v>
      </c>
      <c r="AH75" s="22">
        <f t="shared" si="42"/>
        <v>0</v>
      </c>
      <c r="AI75" s="22">
        <f t="shared" si="42"/>
        <v>-1248617.7050653177</v>
      </c>
      <c r="AJ75" s="22">
        <f t="shared" si="42"/>
        <v>-90442.914353083819</v>
      </c>
      <c r="AK75" s="22">
        <f t="shared" si="42"/>
        <v>-96457.887576484994</v>
      </c>
      <c r="AL75" s="22">
        <f t="shared" si="42"/>
        <v>-131066.23394240678</v>
      </c>
      <c r="AM75" s="22">
        <f t="shared" si="42"/>
        <v>-36828.893036398978</v>
      </c>
      <c r="AN75" s="22">
        <f t="shared" si="42"/>
        <v>-46393.50977564702</v>
      </c>
      <c r="AO75" s="22">
        <f t="shared" si="42"/>
        <v>-95977.285085609765</v>
      </c>
      <c r="AP75" s="22">
        <f t="shared" si="42"/>
        <v>-781168.32907002431</v>
      </c>
      <c r="AQ75" s="22">
        <f t="shared" si="42"/>
        <v>0</v>
      </c>
      <c r="AR75" s="22">
        <f t="shared" si="42"/>
        <v>0</v>
      </c>
      <c r="AS75" s="22">
        <f t="shared" si="42"/>
        <v>0</v>
      </c>
      <c r="AT75" s="22">
        <f t="shared" si="42"/>
        <v>0</v>
      </c>
      <c r="AU75" s="22">
        <f t="shared" si="42"/>
        <v>0</v>
      </c>
      <c r="AV75" s="22">
        <f t="shared" si="42"/>
        <v>0</v>
      </c>
      <c r="AW75" s="22">
        <f t="shared" si="42"/>
        <v>0</v>
      </c>
    </row>
    <row r="76" spans="2:49">
      <c r="C76" s="14" t="s">
        <v>37</v>
      </c>
      <c r="I76" s="43">
        <f>CaseData!G19</f>
        <v>6000000</v>
      </c>
      <c r="J76" s="24">
        <f t="shared" ref="J76:AW76" si="43">SUM(J72:J75)</f>
        <v>6105000</v>
      </c>
      <c r="K76" s="24">
        <f t="shared" si="43"/>
        <v>6211837.5</v>
      </c>
      <c r="L76" s="24">
        <f t="shared" si="43"/>
        <v>6320544.65625</v>
      </c>
      <c r="M76" s="24">
        <f t="shared" si="43"/>
        <v>6431154.1877343748</v>
      </c>
      <c r="N76" s="24">
        <f t="shared" si="43"/>
        <v>6543699.3860197263</v>
      </c>
      <c r="O76" s="24">
        <f t="shared" si="43"/>
        <v>5219918.8628401421</v>
      </c>
      <c r="P76" s="24">
        <f t="shared" si="43"/>
        <v>5085702.7762731779</v>
      </c>
      <c r="Q76" s="24">
        <f t="shared" si="43"/>
        <v>4894662.7970801806</v>
      </c>
      <c r="R76" s="24">
        <f t="shared" si="43"/>
        <v>4708550.507140195</v>
      </c>
      <c r="S76" s="24">
        <f t="shared" si="43"/>
        <v>4500000</v>
      </c>
      <c r="T76" s="24">
        <f t="shared" si="43"/>
        <v>4355939.555555556</v>
      </c>
      <c r="U76" s="24">
        <f t="shared" si="43"/>
        <v>4432168.4977777787</v>
      </c>
      <c r="V76" s="24">
        <f t="shared" si="43"/>
        <v>4509731.4464888899</v>
      </c>
      <c r="W76" s="24">
        <f t="shared" si="43"/>
        <v>4588651.7468024455</v>
      </c>
      <c r="X76" s="24">
        <f t="shared" si="43"/>
        <v>4668953.1523714885</v>
      </c>
      <c r="Y76" s="24">
        <f t="shared" si="43"/>
        <v>4750659.8325379891</v>
      </c>
      <c r="Z76" s="24">
        <f t="shared" si="43"/>
        <v>4833796.3796074037</v>
      </c>
      <c r="AA76" s="24">
        <f t="shared" si="43"/>
        <v>4918387.8162505329</v>
      </c>
      <c r="AB76" s="24">
        <f t="shared" si="43"/>
        <v>5004459.6030349173</v>
      </c>
      <c r="AC76" s="24">
        <f t="shared" si="43"/>
        <v>4380047.8684372492</v>
      </c>
      <c r="AD76" s="24">
        <f t="shared" si="43"/>
        <v>4456698.7061349014</v>
      </c>
      <c r="AE76" s="24">
        <f t="shared" si="43"/>
        <v>4534690.9334922619</v>
      </c>
      <c r="AF76" s="24">
        <f t="shared" si="43"/>
        <v>4614048.0248283762</v>
      </c>
      <c r="AG76" s="24">
        <f t="shared" si="43"/>
        <v>4694793.8652628725</v>
      </c>
      <c r="AH76" s="24">
        <f t="shared" si="43"/>
        <v>4776952.7579049729</v>
      </c>
      <c r="AI76" s="24">
        <f t="shared" si="43"/>
        <v>3378335.0528396554</v>
      </c>
      <c r="AJ76" s="24">
        <f t="shared" si="43"/>
        <v>3137892.1384865716</v>
      </c>
      <c r="AK76" s="24">
        <f t="shared" si="43"/>
        <v>2891434.2509100866</v>
      </c>
      <c r="AL76" s="24">
        <f t="shared" si="43"/>
        <v>2610368.0169676798</v>
      </c>
      <c r="AM76" s="24">
        <f t="shared" si="43"/>
        <v>2423539.1239312808</v>
      </c>
      <c r="AN76" s="24">
        <f t="shared" si="43"/>
        <v>2227145.6141556338</v>
      </c>
      <c r="AO76" s="24">
        <f t="shared" si="43"/>
        <v>1981168.3290700242</v>
      </c>
      <c r="AP76" s="24">
        <f t="shared" si="43"/>
        <v>1050000</v>
      </c>
      <c r="AQ76" s="24">
        <f t="shared" si="43"/>
        <v>900000</v>
      </c>
      <c r="AR76" s="24">
        <f t="shared" si="43"/>
        <v>750000</v>
      </c>
      <c r="AS76" s="24">
        <f t="shared" si="43"/>
        <v>600000</v>
      </c>
      <c r="AT76" s="24">
        <f t="shared" si="43"/>
        <v>450000</v>
      </c>
      <c r="AU76" s="24">
        <f t="shared" si="43"/>
        <v>300000</v>
      </c>
      <c r="AV76" s="24">
        <f t="shared" si="43"/>
        <v>150000</v>
      </c>
      <c r="AW76" s="24">
        <f t="shared" si="43"/>
        <v>0</v>
      </c>
    </row>
    <row r="78" spans="2:49">
      <c r="C78" s="14" t="s">
        <v>70</v>
      </c>
      <c r="H78" s="41">
        <f>CaseData!G20</f>
        <v>7.0000000000000007E-2</v>
      </c>
      <c r="J78" s="18">
        <f>$H78</f>
        <v>7.0000000000000007E-2</v>
      </c>
      <c r="K78" s="18">
        <f t="shared" ref="K78:AW78" si="44">$H78</f>
        <v>7.0000000000000007E-2</v>
      </c>
      <c r="L78" s="18">
        <f t="shared" si="44"/>
        <v>7.0000000000000007E-2</v>
      </c>
      <c r="M78" s="18">
        <f t="shared" si="44"/>
        <v>7.0000000000000007E-2</v>
      </c>
      <c r="N78" s="18">
        <f t="shared" si="44"/>
        <v>7.0000000000000007E-2</v>
      </c>
      <c r="O78" s="18">
        <f t="shared" si="44"/>
        <v>7.0000000000000007E-2</v>
      </c>
      <c r="P78" s="18">
        <f t="shared" si="44"/>
        <v>7.0000000000000007E-2</v>
      </c>
      <c r="Q78" s="18">
        <f t="shared" si="44"/>
        <v>7.0000000000000007E-2</v>
      </c>
      <c r="R78" s="18">
        <f t="shared" si="44"/>
        <v>7.0000000000000007E-2</v>
      </c>
      <c r="S78" s="18">
        <f t="shared" si="44"/>
        <v>7.0000000000000007E-2</v>
      </c>
      <c r="T78" s="18">
        <f t="shared" si="44"/>
        <v>7.0000000000000007E-2</v>
      </c>
      <c r="U78" s="18">
        <f t="shared" si="44"/>
        <v>7.0000000000000007E-2</v>
      </c>
      <c r="V78" s="18">
        <f t="shared" si="44"/>
        <v>7.0000000000000007E-2</v>
      </c>
      <c r="W78" s="18">
        <f t="shared" si="44"/>
        <v>7.0000000000000007E-2</v>
      </c>
      <c r="X78" s="18">
        <f t="shared" si="44"/>
        <v>7.0000000000000007E-2</v>
      </c>
      <c r="Y78" s="18">
        <f t="shared" si="44"/>
        <v>7.0000000000000007E-2</v>
      </c>
      <c r="Z78" s="18">
        <f t="shared" si="44"/>
        <v>7.0000000000000007E-2</v>
      </c>
      <c r="AA78" s="18">
        <f t="shared" si="44"/>
        <v>7.0000000000000007E-2</v>
      </c>
      <c r="AB78" s="18">
        <f t="shared" si="44"/>
        <v>7.0000000000000007E-2</v>
      </c>
      <c r="AC78" s="18">
        <f t="shared" si="44"/>
        <v>7.0000000000000007E-2</v>
      </c>
      <c r="AD78" s="18">
        <f t="shared" si="44"/>
        <v>7.0000000000000007E-2</v>
      </c>
      <c r="AE78" s="18">
        <f t="shared" si="44"/>
        <v>7.0000000000000007E-2</v>
      </c>
      <c r="AF78" s="18">
        <f t="shared" si="44"/>
        <v>7.0000000000000007E-2</v>
      </c>
      <c r="AG78" s="18">
        <f t="shared" si="44"/>
        <v>7.0000000000000007E-2</v>
      </c>
      <c r="AH78" s="18">
        <f t="shared" si="44"/>
        <v>7.0000000000000007E-2</v>
      </c>
      <c r="AI78" s="18">
        <f t="shared" si="44"/>
        <v>7.0000000000000007E-2</v>
      </c>
      <c r="AJ78" s="18">
        <f t="shared" si="44"/>
        <v>7.0000000000000007E-2</v>
      </c>
      <c r="AK78" s="18">
        <f t="shared" si="44"/>
        <v>7.0000000000000007E-2</v>
      </c>
      <c r="AL78" s="18">
        <f t="shared" si="44"/>
        <v>7.0000000000000007E-2</v>
      </c>
      <c r="AM78" s="18">
        <f t="shared" si="44"/>
        <v>7.0000000000000007E-2</v>
      </c>
      <c r="AN78" s="18">
        <f t="shared" si="44"/>
        <v>7.0000000000000007E-2</v>
      </c>
      <c r="AO78" s="18">
        <f t="shared" si="44"/>
        <v>7.0000000000000007E-2</v>
      </c>
      <c r="AP78" s="18">
        <f t="shared" si="44"/>
        <v>7.0000000000000007E-2</v>
      </c>
      <c r="AQ78" s="18">
        <f t="shared" si="44"/>
        <v>7.0000000000000007E-2</v>
      </c>
      <c r="AR78" s="18">
        <f t="shared" si="44"/>
        <v>7.0000000000000007E-2</v>
      </c>
      <c r="AS78" s="18">
        <f t="shared" si="44"/>
        <v>7.0000000000000007E-2</v>
      </c>
      <c r="AT78" s="18">
        <f t="shared" si="44"/>
        <v>7.0000000000000007E-2</v>
      </c>
      <c r="AU78" s="18">
        <f t="shared" si="44"/>
        <v>7.0000000000000007E-2</v>
      </c>
      <c r="AV78" s="18">
        <f t="shared" si="44"/>
        <v>7.0000000000000007E-2</v>
      </c>
      <c r="AW78" s="18">
        <f t="shared" si="44"/>
        <v>7.0000000000000007E-2</v>
      </c>
    </row>
    <row r="79" spans="2:49">
      <c r="C79" s="14" t="s">
        <v>71</v>
      </c>
      <c r="J79" s="22">
        <f t="shared" ref="J79:AW79" si="45">J72*J78/4</f>
        <v>105000.00000000001</v>
      </c>
      <c r="K79" s="22">
        <f>K72*K78/4</f>
        <v>106837.50000000001</v>
      </c>
      <c r="L79" s="22">
        <f t="shared" si="45"/>
        <v>108707.15625000001</v>
      </c>
      <c r="M79" s="22">
        <f t="shared" si="45"/>
        <v>110609.53148437501</v>
      </c>
      <c r="N79" s="22">
        <f t="shared" si="45"/>
        <v>112545.19828535157</v>
      </c>
      <c r="O79" s="22">
        <f>O72*O78/4</f>
        <v>114514.73925534522</v>
      </c>
      <c r="P79" s="22">
        <f t="shared" si="45"/>
        <v>91348.580099702493</v>
      </c>
      <c r="Q79" s="22">
        <f t="shared" si="45"/>
        <v>88999.798584780627</v>
      </c>
      <c r="R79" s="22">
        <f t="shared" si="45"/>
        <v>85656.598948903164</v>
      </c>
      <c r="S79" s="22">
        <f t="shared" si="45"/>
        <v>82399.633874953419</v>
      </c>
      <c r="T79" s="22">
        <f t="shared" si="45"/>
        <v>78750.000000000015</v>
      </c>
      <c r="U79" s="22">
        <f t="shared" si="45"/>
        <v>76228.942222222235</v>
      </c>
      <c r="V79" s="22">
        <f t="shared" si="45"/>
        <v>77562.948711111138</v>
      </c>
      <c r="W79" s="22">
        <f t="shared" si="45"/>
        <v>78920.300313555577</v>
      </c>
      <c r="X79" s="22">
        <f t="shared" si="45"/>
        <v>80301.405569042807</v>
      </c>
      <c r="Y79" s="22">
        <f t="shared" si="45"/>
        <v>81706.680166501057</v>
      </c>
      <c r="Z79" s="22">
        <f t="shared" si="45"/>
        <v>83136.547069414824</v>
      </c>
      <c r="AA79" s="22">
        <f t="shared" si="45"/>
        <v>84591.436643129578</v>
      </c>
      <c r="AB79" s="22">
        <f t="shared" si="45"/>
        <v>86071.786784384327</v>
      </c>
      <c r="AC79" s="22">
        <f t="shared" si="45"/>
        <v>87578.043053111061</v>
      </c>
      <c r="AD79" s="22">
        <f t="shared" si="45"/>
        <v>76650.837697651863</v>
      </c>
      <c r="AE79" s="22">
        <f t="shared" si="45"/>
        <v>77992.227357360782</v>
      </c>
      <c r="AF79" s="22">
        <f t="shared" si="45"/>
        <v>79357.091336114594</v>
      </c>
      <c r="AG79" s="22">
        <f t="shared" si="45"/>
        <v>80745.840434496597</v>
      </c>
      <c r="AH79" s="22">
        <f t="shared" si="45"/>
        <v>82158.892642100283</v>
      </c>
      <c r="AI79" s="22">
        <f t="shared" si="45"/>
        <v>83596.673263337027</v>
      </c>
      <c r="AJ79" s="22">
        <f t="shared" si="45"/>
        <v>59120.863424693976</v>
      </c>
      <c r="AK79" s="22">
        <f t="shared" si="45"/>
        <v>54913.112423515006</v>
      </c>
      <c r="AL79" s="22">
        <f t="shared" si="45"/>
        <v>50600.099390926516</v>
      </c>
      <c r="AM79" s="22">
        <f t="shared" si="45"/>
        <v>45681.440296934401</v>
      </c>
      <c r="AN79" s="22">
        <f t="shared" si="45"/>
        <v>42411.934668797418</v>
      </c>
      <c r="AO79" s="22">
        <f t="shared" si="45"/>
        <v>38975.048247723593</v>
      </c>
      <c r="AP79" s="22">
        <f t="shared" si="45"/>
        <v>34670.445758725429</v>
      </c>
      <c r="AQ79" s="22">
        <f t="shared" si="45"/>
        <v>18375</v>
      </c>
      <c r="AR79" s="22">
        <f t="shared" si="45"/>
        <v>15750.000000000002</v>
      </c>
      <c r="AS79" s="22">
        <f t="shared" si="45"/>
        <v>13125.000000000002</v>
      </c>
      <c r="AT79" s="22">
        <f t="shared" si="45"/>
        <v>10500.000000000002</v>
      </c>
      <c r="AU79" s="22">
        <f t="shared" si="45"/>
        <v>7875.0000000000009</v>
      </c>
      <c r="AV79" s="22">
        <f t="shared" si="45"/>
        <v>5250.0000000000009</v>
      </c>
      <c r="AW79" s="22">
        <f t="shared" si="45"/>
        <v>2625.0000000000005</v>
      </c>
    </row>
    <row r="81" spans="3:49">
      <c r="C81" s="14" t="s">
        <v>64</v>
      </c>
      <c r="J81" s="22">
        <f t="shared" ref="J81:AW81" si="46">J23</f>
        <v>0</v>
      </c>
      <c r="K81" s="22">
        <f t="shared" si="46"/>
        <v>0</v>
      </c>
      <c r="L81" s="22">
        <f t="shared" si="46"/>
        <v>0</v>
      </c>
      <c r="M81" s="22">
        <f t="shared" si="46"/>
        <v>0</v>
      </c>
      <c r="N81" s="22">
        <f t="shared" si="46"/>
        <v>0</v>
      </c>
      <c r="O81" s="22">
        <f t="shared" si="46"/>
        <v>1438295.2624349291</v>
      </c>
      <c r="P81" s="22">
        <f t="shared" si="46"/>
        <v>225564.66666666669</v>
      </c>
      <c r="Q81" s="22">
        <f t="shared" si="46"/>
        <v>280039.77777777781</v>
      </c>
      <c r="R81" s="22">
        <f t="shared" si="46"/>
        <v>271768.88888888888</v>
      </c>
      <c r="S81" s="22">
        <f t="shared" si="46"/>
        <v>319588.55555555556</v>
      </c>
      <c r="T81" s="22">
        <f t="shared" si="46"/>
        <v>222810.44444444444</v>
      </c>
      <c r="U81" s="22">
        <f t="shared" si="46"/>
        <v>0</v>
      </c>
      <c r="V81" s="22">
        <f t="shared" si="46"/>
        <v>0</v>
      </c>
      <c r="W81" s="22">
        <f t="shared" si="46"/>
        <v>0</v>
      </c>
      <c r="X81" s="22">
        <f t="shared" si="46"/>
        <v>0</v>
      </c>
      <c r="Y81" s="22">
        <f t="shared" si="46"/>
        <v>0</v>
      </c>
      <c r="Z81" s="22">
        <f t="shared" si="46"/>
        <v>0</v>
      </c>
      <c r="AA81" s="22">
        <f t="shared" si="46"/>
        <v>0</v>
      </c>
      <c r="AB81" s="22">
        <f t="shared" si="46"/>
        <v>0</v>
      </c>
      <c r="AC81" s="22">
        <f t="shared" si="46"/>
        <v>711989.77765077935</v>
      </c>
      <c r="AD81" s="22">
        <f t="shared" si="46"/>
        <v>0</v>
      </c>
      <c r="AE81" s="22">
        <f t="shared" si="46"/>
        <v>0</v>
      </c>
      <c r="AF81" s="22">
        <f t="shared" si="46"/>
        <v>0</v>
      </c>
      <c r="AG81" s="22">
        <f t="shared" si="46"/>
        <v>0</v>
      </c>
      <c r="AH81" s="22">
        <f t="shared" si="46"/>
        <v>0</v>
      </c>
      <c r="AI81" s="22">
        <f t="shared" si="46"/>
        <v>1482214.3783286547</v>
      </c>
      <c r="AJ81" s="22">
        <f t="shared" si="46"/>
        <v>299563.77777777781</v>
      </c>
      <c r="AK81" s="22">
        <f t="shared" si="46"/>
        <v>301371</v>
      </c>
      <c r="AL81" s="22">
        <f t="shared" si="46"/>
        <v>331666.33333333331</v>
      </c>
      <c r="AM81" s="22">
        <f t="shared" si="46"/>
        <v>232510.33333333337</v>
      </c>
      <c r="AN81" s="22">
        <f t="shared" si="46"/>
        <v>238805.44444444444</v>
      </c>
      <c r="AO81" s="22">
        <f t="shared" si="46"/>
        <v>284952.33333333337</v>
      </c>
      <c r="AP81" s="22">
        <f t="shared" si="46"/>
        <v>1084289.8215903353</v>
      </c>
      <c r="AQ81" s="22">
        <f t="shared" si="46"/>
        <v>652849</v>
      </c>
      <c r="AR81" s="22">
        <f t="shared" si="46"/>
        <v>724981</v>
      </c>
      <c r="AS81" s="22">
        <f t="shared" si="46"/>
        <v>637701</v>
      </c>
      <c r="AT81" s="22">
        <f t="shared" si="46"/>
        <v>745903</v>
      </c>
      <c r="AU81" s="22">
        <f t="shared" si="46"/>
        <v>750208</v>
      </c>
      <c r="AV81" s="22">
        <f t="shared" si="46"/>
        <v>740965</v>
      </c>
      <c r="AW81" s="22">
        <f t="shared" si="46"/>
        <v>750009</v>
      </c>
    </row>
    <row r="82" spans="3:49">
      <c r="C82" s="14" t="s">
        <v>65</v>
      </c>
      <c r="J82" s="22">
        <f>MIN(J79,J81)</f>
        <v>0</v>
      </c>
      <c r="K82" s="22">
        <f t="shared" ref="K82:AW82" si="47">MIN(K79,K81)</f>
        <v>0</v>
      </c>
      <c r="L82" s="22">
        <f t="shared" si="47"/>
        <v>0</v>
      </c>
      <c r="M82" s="22">
        <f t="shared" si="47"/>
        <v>0</v>
      </c>
      <c r="N82" s="22">
        <f t="shared" si="47"/>
        <v>0</v>
      </c>
      <c r="O82" s="22">
        <f>MIN(O79,O81)</f>
        <v>114514.73925534522</v>
      </c>
      <c r="P82" s="22">
        <f t="shared" si="47"/>
        <v>91348.580099702493</v>
      </c>
      <c r="Q82" s="22">
        <f t="shared" si="47"/>
        <v>88999.798584780627</v>
      </c>
      <c r="R82" s="22">
        <f t="shared" si="47"/>
        <v>85656.598948903164</v>
      </c>
      <c r="S82" s="22">
        <f t="shared" si="47"/>
        <v>82399.633874953419</v>
      </c>
      <c r="T82" s="22">
        <f t="shared" si="47"/>
        <v>78750.000000000015</v>
      </c>
      <c r="U82" s="22">
        <f t="shared" si="47"/>
        <v>0</v>
      </c>
      <c r="V82" s="22">
        <f t="shared" si="47"/>
        <v>0</v>
      </c>
      <c r="W82" s="22">
        <f t="shared" si="47"/>
        <v>0</v>
      </c>
      <c r="X82" s="22">
        <f t="shared" si="47"/>
        <v>0</v>
      </c>
      <c r="Y82" s="22">
        <f t="shared" si="47"/>
        <v>0</v>
      </c>
      <c r="Z82" s="22">
        <f t="shared" si="47"/>
        <v>0</v>
      </c>
      <c r="AA82" s="22">
        <f t="shared" si="47"/>
        <v>0</v>
      </c>
      <c r="AB82" s="22">
        <f t="shared" si="47"/>
        <v>0</v>
      </c>
      <c r="AC82" s="22">
        <f t="shared" si="47"/>
        <v>87578.043053111061</v>
      </c>
      <c r="AD82" s="22">
        <f t="shared" si="47"/>
        <v>0</v>
      </c>
      <c r="AE82" s="22">
        <f t="shared" si="47"/>
        <v>0</v>
      </c>
      <c r="AF82" s="22">
        <f t="shared" si="47"/>
        <v>0</v>
      </c>
      <c r="AG82" s="22">
        <f t="shared" si="47"/>
        <v>0</v>
      </c>
      <c r="AH82" s="22">
        <f t="shared" si="47"/>
        <v>0</v>
      </c>
      <c r="AI82" s="22">
        <f t="shared" si="47"/>
        <v>83596.673263337027</v>
      </c>
      <c r="AJ82" s="22">
        <f t="shared" si="47"/>
        <v>59120.863424693976</v>
      </c>
      <c r="AK82" s="22">
        <f t="shared" si="47"/>
        <v>54913.112423515006</v>
      </c>
      <c r="AL82" s="22">
        <f t="shared" si="47"/>
        <v>50600.099390926516</v>
      </c>
      <c r="AM82" s="22">
        <f t="shared" si="47"/>
        <v>45681.440296934401</v>
      </c>
      <c r="AN82" s="22">
        <f t="shared" si="47"/>
        <v>42411.934668797418</v>
      </c>
      <c r="AO82" s="22">
        <f t="shared" si="47"/>
        <v>38975.048247723593</v>
      </c>
      <c r="AP82" s="22">
        <f t="shared" si="47"/>
        <v>34670.445758725429</v>
      </c>
      <c r="AQ82" s="22">
        <f t="shared" si="47"/>
        <v>18375</v>
      </c>
      <c r="AR82" s="22">
        <f t="shared" si="47"/>
        <v>15750.000000000002</v>
      </c>
      <c r="AS82" s="22">
        <f t="shared" si="47"/>
        <v>13125.000000000002</v>
      </c>
      <c r="AT82" s="22">
        <f t="shared" si="47"/>
        <v>10500.000000000002</v>
      </c>
      <c r="AU82" s="22">
        <f t="shared" si="47"/>
        <v>7875.0000000000009</v>
      </c>
      <c r="AV82" s="22">
        <f t="shared" si="47"/>
        <v>5250.0000000000009</v>
      </c>
      <c r="AW82" s="22">
        <f t="shared" si="47"/>
        <v>2625.0000000000005</v>
      </c>
    </row>
    <row r="83" spans="3:49">
      <c r="C83" s="14" t="s">
        <v>97</v>
      </c>
      <c r="J83" s="22">
        <f>J79-J82</f>
        <v>105000.00000000001</v>
      </c>
      <c r="K83" s="22">
        <f t="shared" ref="K83:AW83" si="48">K79-K82</f>
        <v>106837.50000000001</v>
      </c>
      <c r="L83" s="22">
        <f t="shared" si="48"/>
        <v>108707.15625000001</v>
      </c>
      <c r="M83" s="22">
        <f t="shared" si="48"/>
        <v>110609.53148437501</v>
      </c>
      <c r="N83" s="22">
        <f t="shared" si="48"/>
        <v>112545.19828535157</v>
      </c>
      <c r="O83" s="22">
        <f t="shared" si="48"/>
        <v>0</v>
      </c>
      <c r="P83" s="22">
        <f t="shared" si="48"/>
        <v>0</v>
      </c>
      <c r="Q83" s="22">
        <f t="shared" si="48"/>
        <v>0</v>
      </c>
      <c r="R83" s="22">
        <f t="shared" si="48"/>
        <v>0</v>
      </c>
      <c r="S83" s="22">
        <f t="shared" si="48"/>
        <v>0</v>
      </c>
      <c r="T83" s="22">
        <f t="shared" si="48"/>
        <v>0</v>
      </c>
      <c r="U83" s="22">
        <f t="shared" si="48"/>
        <v>76228.942222222235</v>
      </c>
      <c r="V83" s="22">
        <f t="shared" si="48"/>
        <v>77562.948711111138</v>
      </c>
      <c r="W83" s="22">
        <f t="shared" si="48"/>
        <v>78920.300313555577</v>
      </c>
      <c r="X83" s="22">
        <f t="shared" si="48"/>
        <v>80301.405569042807</v>
      </c>
      <c r="Y83" s="22">
        <f t="shared" si="48"/>
        <v>81706.680166501057</v>
      </c>
      <c r="Z83" s="22">
        <f t="shared" si="48"/>
        <v>83136.547069414824</v>
      </c>
      <c r="AA83" s="22">
        <f t="shared" si="48"/>
        <v>84591.436643129578</v>
      </c>
      <c r="AB83" s="22">
        <f t="shared" si="48"/>
        <v>86071.786784384327</v>
      </c>
      <c r="AC83" s="22">
        <f t="shared" si="48"/>
        <v>0</v>
      </c>
      <c r="AD83" s="22">
        <f t="shared" si="48"/>
        <v>76650.837697651863</v>
      </c>
      <c r="AE83" s="22">
        <f t="shared" si="48"/>
        <v>77992.227357360782</v>
      </c>
      <c r="AF83" s="22">
        <f t="shared" si="48"/>
        <v>79357.091336114594</v>
      </c>
      <c r="AG83" s="22">
        <f t="shared" si="48"/>
        <v>80745.840434496597</v>
      </c>
      <c r="AH83" s="22">
        <f t="shared" si="48"/>
        <v>82158.892642100283</v>
      </c>
      <c r="AI83" s="22">
        <f t="shared" si="48"/>
        <v>0</v>
      </c>
      <c r="AJ83" s="22">
        <f t="shared" si="48"/>
        <v>0</v>
      </c>
      <c r="AK83" s="22">
        <f t="shared" si="48"/>
        <v>0</v>
      </c>
      <c r="AL83" s="22">
        <f t="shared" si="48"/>
        <v>0</v>
      </c>
      <c r="AM83" s="22">
        <f t="shared" si="48"/>
        <v>0</v>
      </c>
      <c r="AN83" s="22">
        <f t="shared" si="48"/>
        <v>0</v>
      </c>
      <c r="AO83" s="22">
        <f t="shared" si="48"/>
        <v>0</v>
      </c>
      <c r="AP83" s="22">
        <f t="shared" si="48"/>
        <v>0</v>
      </c>
      <c r="AQ83" s="22">
        <f t="shared" si="48"/>
        <v>0</v>
      </c>
      <c r="AR83" s="22">
        <f t="shared" si="48"/>
        <v>0</v>
      </c>
      <c r="AS83" s="22">
        <f t="shared" si="48"/>
        <v>0</v>
      </c>
      <c r="AT83" s="22">
        <f t="shared" si="48"/>
        <v>0</v>
      </c>
      <c r="AU83" s="22">
        <f t="shared" si="48"/>
        <v>0</v>
      </c>
      <c r="AV83" s="22">
        <f t="shared" si="48"/>
        <v>0</v>
      </c>
      <c r="AW83" s="22">
        <f t="shared" si="48"/>
        <v>0</v>
      </c>
    </row>
    <row r="85" spans="3:49">
      <c r="C85" s="14" t="s">
        <v>84</v>
      </c>
      <c r="J85" s="44">
        <f>-INDEX(CaseData!$J$42:$J$81,MATCH(J$3,CaseData!$D$42:$D$81,0))</f>
        <v>150000</v>
      </c>
      <c r="K85" s="44">
        <f>-INDEX(CaseData!$J$42:$J$81,MATCH(K$3,CaseData!$D$42:$D$81,0))</f>
        <v>150000</v>
      </c>
      <c r="L85" s="44">
        <f>-INDEX(CaseData!$J$42:$J$81,MATCH(L$3,CaseData!$D$42:$D$81,0))</f>
        <v>150000</v>
      </c>
      <c r="M85" s="44">
        <f>-INDEX(CaseData!$J$42:$J$81,MATCH(M$3,CaseData!$D$42:$D$81,0))</f>
        <v>150000</v>
      </c>
      <c r="N85" s="44">
        <f>-INDEX(CaseData!$J$42:$J$81,MATCH(N$3,CaseData!$D$42:$D$81,0))</f>
        <v>150000</v>
      </c>
      <c r="O85" s="44">
        <f>-INDEX(CaseData!$J$42:$J$81,MATCH(O$3,CaseData!$D$42:$D$81,0))</f>
        <v>150000</v>
      </c>
      <c r="P85" s="44">
        <f>-INDEX(CaseData!$J$42:$J$81,MATCH(P$3,CaseData!$D$42:$D$81,0))</f>
        <v>150000</v>
      </c>
      <c r="Q85" s="44">
        <f>-INDEX(CaseData!$J$42:$J$81,MATCH(Q$3,CaseData!$D$42:$D$81,0))</f>
        <v>150000</v>
      </c>
      <c r="R85" s="44">
        <f>-INDEX(CaseData!$J$42:$J$81,MATCH(R$3,CaseData!$D$42:$D$81,0))</f>
        <v>150000</v>
      </c>
      <c r="S85" s="44">
        <f>-INDEX(CaseData!$J$42:$J$81,MATCH(S$3,CaseData!$D$42:$D$81,0))</f>
        <v>150000</v>
      </c>
      <c r="T85" s="44">
        <f>-INDEX(CaseData!$J$42:$J$81,MATCH(T$3,CaseData!$D$42:$D$81,0))</f>
        <v>150000</v>
      </c>
      <c r="U85" s="44">
        <f>-INDEX(CaseData!$J$42:$J$81,MATCH(U$3,CaseData!$D$42:$D$81,0))</f>
        <v>150000</v>
      </c>
      <c r="V85" s="44">
        <f>-INDEX(CaseData!$J$42:$J$81,MATCH(V$3,CaseData!$D$42:$D$81,0))</f>
        <v>150000</v>
      </c>
      <c r="W85" s="44">
        <f>-INDEX(CaseData!$J$42:$J$81,MATCH(W$3,CaseData!$D$42:$D$81,0))</f>
        <v>150000</v>
      </c>
      <c r="X85" s="44">
        <f>-INDEX(CaseData!$J$42:$J$81,MATCH(X$3,CaseData!$D$42:$D$81,0))</f>
        <v>150000</v>
      </c>
      <c r="Y85" s="44">
        <f>-INDEX(CaseData!$J$42:$J$81,MATCH(Y$3,CaseData!$D$42:$D$81,0))</f>
        <v>150000</v>
      </c>
      <c r="Z85" s="44">
        <f>-INDEX(CaseData!$J$42:$J$81,MATCH(Z$3,CaseData!$D$42:$D$81,0))</f>
        <v>150000</v>
      </c>
      <c r="AA85" s="44">
        <f>-INDEX(CaseData!$J$42:$J$81,MATCH(AA$3,CaseData!$D$42:$D$81,0))</f>
        <v>150000</v>
      </c>
      <c r="AB85" s="44">
        <f>-INDEX(CaseData!$J$42:$J$81,MATCH(AB$3,CaseData!$D$42:$D$81,0))</f>
        <v>150000</v>
      </c>
      <c r="AC85" s="44">
        <f>-INDEX(CaseData!$J$42:$J$81,MATCH(AC$3,CaseData!$D$42:$D$81,0))</f>
        <v>150000</v>
      </c>
      <c r="AD85" s="44">
        <f>-INDEX(CaseData!$J$42:$J$81,MATCH(AD$3,CaseData!$D$42:$D$81,0))</f>
        <v>150000</v>
      </c>
      <c r="AE85" s="44">
        <f>-INDEX(CaseData!$J$42:$J$81,MATCH(AE$3,CaseData!$D$42:$D$81,0))</f>
        <v>150000</v>
      </c>
      <c r="AF85" s="44">
        <f>-INDEX(CaseData!$J$42:$J$81,MATCH(AF$3,CaseData!$D$42:$D$81,0))</f>
        <v>150000</v>
      </c>
      <c r="AG85" s="44">
        <f>-INDEX(CaseData!$J$42:$J$81,MATCH(AG$3,CaseData!$D$42:$D$81,0))</f>
        <v>150000</v>
      </c>
      <c r="AH85" s="44">
        <f>-INDEX(CaseData!$J$42:$J$81,MATCH(AH$3,CaseData!$D$42:$D$81,0))</f>
        <v>150000</v>
      </c>
      <c r="AI85" s="44">
        <f>-INDEX(CaseData!$J$42:$J$81,MATCH(AI$3,CaseData!$D$42:$D$81,0))</f>
        <v>150000</v>
      </c>
      <c r="AJ85" s="44">
        <f>-INDEX(CaseData!$J$42:$J$81,MATCH(AJ$3,CaseData!$D$42:$D$81,0))</f>
        <v>150000</v>
      </c>
      <c r="AK85" s="44">
        <f>-INDEX(CaseData!$J$42:$J$81,MATCH(AK$3,CaseData!$D$42:$D$81,0))</f>
        <v>150000</v>
      </c>
      <c r="AL85" s="44">
        <f>-INDEX(CaseData!$J$42:$J$81,MATCH(AL$3,CaseData!$D$42:$D$81,0))</f>
        <v>150000</v>
      </c>
      <c r="AM85" s="44">
        <f>-INDEX(CaseData!$J$42:$J$81,MATCH(AM$3,CaseData!$D$42:$D$81,0))</f>
        <v>150000</v>
      </c>
      <c r="AN85" s="44">
        <f>-INDEX(CaseData!$J$42:$J$81,MATCH(AN$3,CaseData!$D$42:$D$81,0))</f>
        <v>150000</v>
      </c>
      <c r="AO85" s="44">
        <f>-INDEX(CaseData!$J$42:$J$81,MATCH(AO$3,CaseData!$D$42:$D$81,0))</f>
        <v>150000</v>
      </c>
      <c r="AP85" s="44">
        <f>-INDEX(CaseData!$J$42:$J$81,MATCH(AP$3,CaseData!$D$42:$D$81,0))</f>
        <v>150000</v>
      </c>
      <c r="AQ85" s="44">
        <f>-INDEX(CaseData!$J$42:$J$81,MATCH(AQ$3,CaseData!$D$42:$D$81,0))</f>
        <v>150000</v>
      </c>
      <c r="AR85" s="44">
        <f>-INDEX(CaseData!$J$42:$J$81,MATCH(AR$3,CaseData!$D$42:$D$81,0))</f>
        <v>150000</v>
      </c>
      <c r="AS85" s="44">
        <f>-INDEX(CaseData!$J$42:$J$81,MATCH(AS$3,CaseData!$D$42:$D$81,0))</f>
        <v>150000</v>
      </c>
      <c r="AT85" s="44">
        <f>-INDEX(CaseData!$J$42:$J$81,MATCH(AT$3,CaseData!$D$42:$D$81,0))</f>
        <v>150000</v>
      </c>
      <c r="AU85" s="44">
        <f>-INDEX(CaseData!$J$42:$J$81,MATCH(AU$3,CaseData!$D$42:$D$81,0))</f>
        <v>150000</v>
      </c>
      <c r="AV85" s="44">
        <f>-INDEX(CaseData!$J$42:$J$81,MATCH(AV$3,CaseData!$D$42:$D$81,0))</f>
        <v>150000</v>
      </c>
      <c r="AW85" s="44">
        <f>-INDEX(CaseData!$J$42:$J$81,MATCH(AW$3,CaseData!$D$42:$D$81,0))</f>
        <v>150000</v>
      </c>
    </row>
    <row r="87" spans="3:49">
      <c r="C87" s="14" t="s">
        <v>100</v>
      </c>
      <c r="J87" s="22">
        <f t="shared" ref="J87:AW87" si="49">J26</f>
        <v>0</v>
      </c>
      <c r="K87" s="22">
        <f t="shared" si="49"/>
        <v>0</v>
      </c>
      <c r="L87" s="22">
        <f t="shared" si="49"/>
        <v>0</v>
      </c>
      <c r="M87" s="22">
        <f t="shared" si="49"/>
        <v>0</v>
      </c>
      <c r="N87" s="22">
        <f t="shared" si="49"/>
        <v>0</v>
      </c>
      <c r="O87" s="22">
        <f t="shared" si="49"/>
        <v>1323780.5231795839</v>
      </c>
      <c r="P87" s="22">
        <f>P26</f>
        <v>134216.08656696419</v>
      </c>
      <c r="Q87" s="22">
        <f t="shared" si="49"/>
        <v>191039.97919299718</v>
      </c>
      <c r="R87" s="22">
        <f t="shared" si="49"/>
        <v>186112.28993998573</v>
      </c>
      <c r="S87" s="22">
        <f t="shared" si="49"/>
        <v>237188.92168060213</v>
      </c>
      <c r="T87" s="22">
        <f t="shared" si="49"/>
        <v>144060.44444444444</v>
      </c>
      <c r="U87" s="22">
        <f t="shared" si="49"/>
        <v>0</v>
      </c>
      <c r="V87" s="22">
        <f t="shared" si="49"/>
        <v>0</v>
      </c>
      <c r="W87" s="22">
        <f t="shared" si="49"/>
        <v>0</v>
      </c>
      <c r="X87" s="22">
        <f t="shared" si="49"/>
        <v>0</v>
      </c>
      <c r="Y87" s="22">
        <f t="shared" si="49"/>
        <v>0</v>
      </c>
      <c r="Z87" s="22">
        <f t="shared" si="49"/>
        <v>0</v>
      </c>
      <c r="AA87" s="22">
        <f t="shared" si="49"/>
        <v>0</v>
      </c>
      <c r="AB87" s="22">
        <f t="shared" si="49"/>
        <v>0</v>
      </c>
      <c r="AC87" s="22">
        <f t="shared" si="49"/>
        <v>624411.73459766828</v>
      </c>
      <c r="AD87" s="22">
        <f t="shared" si="49"/>
        <v>0</v>
      </c>
      <c r="AE87" s="22">
        <f t="shared" si="49"/>
        <v>0</v>
      </c>
      <c r="AF87" s="22">
        <f t="shared" si="49"/>
        <v>0</v>
      </c>
      <c r="AG87" s="22">
        <f t="shared" si="49"/>
        <v>0</v>
      </c>
      <c r="AH87" s="22">
        <f t="shared" si="49"/>
        <v>0</v>
      </c>
      <c r="AI87" s="22">
        <f t="shared" si="49"/>
        <v>1398617.7050653177</v>
      </c>
      <c r="AJ87" s="22">
        <f t="shared" si="49"/>
        <v>240442.91435308382</v>
      </c>
      <c r="AK87" s="22">
        <f t="shared" si="49"/>
        <v>246457.88757648499</v>
      </c>
      <c r="AL87" s="22">
        <f t="shared" si="49"/>
        <v>281066.23394240678</v>
      </c>
      <c r="AM87" s="22">
        <f t="shared" si="49"/>
        <v>186828.89303639898</v>
      </c>
      <c r="AN87" s="22">
        <f t="shared" si="49"/>
        <v>196393.50977564702</v>
      </c>
      <c r="AO87" s="22">
        <f t="shared" si="49"/>
        <v>245977.28508560976</v>
      </c>
      <c r="AP87" s="22">
        <f t="shared" si="49"/>
        <v>1049619.3758316098</v>
      </c>
      <c r="AQ87" s="22">
        <f t="shared" si="49"/>
        <v>634474</v>
      </c>
      <c r="AR87" s="22">
        <f t="shared" si="49"/>
        <v>709231</v>
      </c>
      <c r="AS87" s="22">
        <f t="shared" si="49"/>
        <v>624576</v>
      </c>
      <c r="AT87" s="22">
        <f t="shared" si="49"/>
        <v>735403</v>
      </c>
      <c r="AU87" s="22">
        <f t="shared" si="49"/>
        <v>742333</v>
      </c>
      <c r="AV87" s="22">
        <f t="shared" si="49"/>
        <v>735715</v>
      </c>
      <c r="AW87" s="22">
        <f t="shared" si="49"/>
        <v>747384</v>
      </c>
    </row>
    <row r="88" spans="3:49">
      <c r="C88" s="14" t="s">
        <v>98</v>
      </c>
      <c r="J88" s="46">
        <f>MIN(J85,J87)</f>
        <v>0</v>
      </c>
      <c r="K88" s="46">
        <f t="shared" ref="K88:AW88" si="50">MIN(K85,K87)</f>
        <v>0</v>
      </c>
      <c r="L88" s="46">
        <f t="shared" si="50"/>
        <v>0</v>
      </c>
      <c r="M88" s="46">
        <f t="shared" si="50"/>
        <v>0</v>
      </c>
      <c r="N88" s="46">
        <f t="shared" si="50"/>
        <v>0</v>
      </c>
      <c r="O88" s="46">
        <f>MIN(O85,O87)</f>
        <v>150000</v>
      </c>
      <c r="P88" s="46">
        <f>MIN(P85,P87)</f>
        <v>134216.08656696419</v>
      </c>
      <c r="Q88" s="46">
        <f t="shared" si="50"/>
        <v>150000</v>
      </c>
      <c r="R88" s="46">
        <f t="shared" si="50"/>
        <v>150000</v>
      </c>
      <c r="S88" s="46">
        <f t="shared" si="50"/>
        <v>150000</v>
      </c>
      <c r="T88" s="46">
        <f t="shared" si="50"/>
        <v>144060.44444444444</v>
      </c>
      <c r="U88" s="46">
        <f t="shared" si="50"/>
        <v>0</v>
      </c>
      <c r="V88" s="46">
        <f t="shared" si="50"/>
        <v>0</v>
      </c>
      <c r="W88" s="46">
        <f t="shared" si="50"/>
        <v>0</v>
      </c>
      <c r="X88" s="46">
        <f t="shared" si="50"/>
        <v>0</v>
      </c>
      <c r="Y88" s="46">
        <f t="shared" si="50"/>
        <v>0</v>
      </c>
      <c r="Z88" s="46">
        <f t="shared" si="50"/>
        <v>0</v>
      </c>
      <c r="AA88" s="46">
        <f t="shared" si="50"/>
        <v>0</v>
      </c>
      <c r="AB88" s="46">
        <f t="shared" si="50"/>
        <v>0</v>
      </c>
      <c r="AC88" s="46">
        <f t="shared" si="50"/>
        <v>150000</v>
      </c>
      <c r="AD88" s="46">
        <f t="shared" si="50"/>
        <v>0</v>
      </c>
      <c r="AE88" s="46">
        <f t="shared" si="50"/>
        <v>0</v>
      </c>
      <c r="AF88" s="46">
        <f t="shared" si="50"/>
        <v>0</v>
      </c>
      <c r="AG88" s="46">
        <f t="shared" si="50"/>
        <v>0</v>
      </c>
      <c r="AH88" s="46">
        <f t="shared" si="50"/>
        <v>0</v>
      </c>
      <c r="AI88" s="46">
        <f t="shared" si="50"/>
        <v>150000</v>
      </c>
      <c r="AJ88" s="46">
        <f t="shared" si="50"/>
        <v>150000</v>
      </c>
      <c r="AK88" s="46">
        <f t="shared" si="50"/>
        <v>150000</v>
      </c>
      <c r="AL88" s="46">
        <f t="shared" si="50"/>
        <v>150000</v>
      </c>
      <c r="AM88" s="46">
        <f t="shared" si="50"/>
        <v>150000</v>
      </c>
      <c r="AN88" s="46">
        <f t="shared" si="50"/>
        <v>150000</v>
      </c>
      <c r="AO88" s="46">
        <f t="shared" si="50"/>
        <v>150000</v>
      </c>
      <c r="AP88" s="46">
        <f t="shared" si="50"/>
        <v>150000</v>
      </c>
      <c r="AQ88" s="46">
        <f t="shared" si="50"/>
        <v>150000</v>
      </c>
      <c r="AR88" s="46">
        <f t="shared" si="50"/>
        <v>150000</v>
      </c>
      <c r="AS88" s="46">
        <f t="shared" si="50"/>
        <v>150000</v>
      </c>
      <c r="AT88" s="46">
        <f t="shared" si="50"/>
        <v>150000</v>
      </c>
      <c r="AU88" s="46">
        <f t="shared" si="50"/>
        <v>150000</v>
      </c>
      <c r="AV88" s="46">
        <f t="shared" si="50"/>
        <v>150000</v>
      </c>
      <c r="AW88" s="46">
        <f t="shared" si="50"/>
        <v>150000</v>
      </c>
    </row>
    <row r="89" spans="3:49">
      <c r="C89" s="14" t="s">
        <v>96</v>
      </c>
      <c r="J89" s="22">
        <f t="shared" ref="J89:AW89" si="51">J85-J88</f>
        <v>150000</v>
      </c>
      <c r="K89" s="22">
        <f t="shared" si="51"/>
        <v>150000</v>
      </c>
      <c r="L89" s="22">
        <f t="shared" si="51"/>
        <v>150000</v>
      </c>
      <c r="M89" s="22">
        <f t="shared" si="51"/>
        <v>150000</v>
      </c>
      <c r="N89" s="22">
        <f t="shared" si="51"/>
        <v>150000</v>
      </c>
      <c r="O89" s="22">
        <f t="shared" si="51"/>
        <v>0</v>
      </c>
      <c r="P89" s="22">
        <f t="shared" si="51"/>
        <v>15783.913433035807</v>
      </c>
      <c r="Q89" s="22">
        <f t="shared" si="51"/>
        <v>0</v>
      </c>
      <c r="R89" s="22">
        <f t="shared" si="51"/>
        <v>0</v>
      </c>
      <c r="S89" s="22">
        <f t="shared" si="51"/>
        <v>0</v>
      </c>
      <c r="T89" s="22">
        <f t="shared" si="51"/>
        <v>5939.555555555562</v>
      </c>
      <c r="U89" s="22">
        <f t="shared" si="51"/>
        <v>150000</v>
      </c>
      <c r="V89" s="22">
        <f t="shared" si="51"/>
        <v>150000</v>
      </c>
      <c r="W89" s="22">
        <f t="shared" si="51"/>
        <v>150000</v>
      </c>
      <c r="X89" s="22">
        <f t="shared" si="51"/>
        <v>150000</v>
      </c>
      <c r="Y89" s="22">
        <f t="shared" si="51"/>
        <v>150000</v>
      </c>
      <c r="Z89" s="22">
        <f t="shared" si="51"/>
        <v>150000</v>
      </c>
      <c r="AA89" s="22">
        <f t="shared" si="51"/>
        <v>150000</v>
      </c>
      <c r="AB89" s="22">
        <f t="shared" si="51"/>
        <v>150000</v>
      </c>
      <c r="AC89" s="22">
        <f t="shared" si="51"/>
        <v>0</v>
      </c>
      <c r="AD89" s="22">
        <f t="shared" si="51"/>
        <v>150000</v>
      </c>
      <c r="AE89" s="22">
        <f t="shared" si="51"/>
        <v>150000</v>
      </c>
      <c r="AF89" s="22">
        <f t="shared" si="51"/>
        <v>150000</v>
      </c>
      <c r="AG89" s="22">
        <f t="shared" si="51"/>
        <v>150000</v>
      </c>
      <c r="AH89" s="22">
        <f t="shared" si="51"/>
        <v>150000</v>
      </c>
      <c r="AI89" s="22">
        <f t="shared" si="51"/>
        <v>0</v>
      </c>
      <c r="AJ89" s="22">
        <f t="shared" si="51"/>
        <v>0</v>
      </c>
      <c r="AK89" s="22">
        <f t="shared" si="51"/>
        <v>0</v>
      </c>
      <c r="AL89" s="22">
        <f t="shared" si="51"/>
        <v>0</v>
      </c>
      <c r="AM89" s="22">
        <f t="shared" si="51"/>
        <v>0</v>
      </c>
      <c r="AN89" s="22">
        <f t="shared" si="51"/>
        <v>0</v>
      </c>
      <c r="AO89" s="22">
        <f t="shared" si="51"/>
        <v>0</v>
      </c>
      <c r="AP89" s="22">
        <f t="shared" si="51"/>
        <v>0</v>
      </c>
      <c r="AQ89" s="22">
        <f t="shared" si="51"/>
        <v>0</v>
      </c>
      <c r="AR89" s="22">
        <f t="shared" si="51"/>
        <v>0</v>
      </c>
      <c r="AS89" s="22">
        <f t="shared" si="51"/>
        <v>0</v>
      </c>
      <c r="AT89" s="22">
        <f t="shared" si="51"/>
        <v>0</v>
      </c>
      <c r="AU89" s="22">
        <f t="shared" si="51"/>
        <v>0</v>
      </c>
      <c r="AV89" s="22">
        <f t="shared" si="51"/>
        <v>0</v>
      </c>
      <c r="AW89" s="22">
        <f t="shared" si="51"/>
        <v>0</v>
      </c>
    </row>
    <row r="91" spans="3:49">
      <c r="C91" s="17" t="s">
        <v>101</v>
      </c>
    </row>
    <row r="92" spans="3:49">
      <c r="D92" s="14" t="s">
        <v>99</v>
      </c>
      <c r="J92" s="22">
        <f>J29</f>
        <v>0</v>
      </c>
      <c r="K92" s="22">
        <f t="shared" ref="K92:AW92" si="52">K29</f>
        <v>0</v>
      </c>
      <c r="L92" s="22">
        <f t="shared" si="52"/>
        <v>0</v>
      </c>
      <c r="M92" s="22">
        <f t="shared" si="52"/>
        <v>0</v>
      </c>
      <c r="N92" s="22">
        <f t="shared" si="52"/>
        <v>0</v>
      </c>
      <c r="O92" s="22">
        <f t="shared" si="52"/>
        <v>1173780.5231795839</v>
      </c>
      <c r="P92" s="22">
        <f t="shared" si="52"/>
        <v>0</v>
      </c>
      <c r="Q92" s="22">
        <f t="shared" si="52"/>
        <v>41039.979192997183</v>
      </c>
      <c r="R92" s="22">
        <f t="shared" si="52"/>
        <v>36112.289939985727</v>
      </c>
      <c r="S92" s="22">
        <f t="shared" si="52"/>
        <v>87188.921680602129</v>
      </c>
      <c r="T92" s="22">
        <f t="shared" si="52"/>
        <v>0</v>
      </c>
      <c r="U92" s="22">
        <f t="shared" si="52"/>
        <v>0</v>
      </c>
      <c r="V92" s="22">
        <f t="shared" si="52"/>
        <v>0</v>
      </c>
      <c r="W92" s="22">
        <f t="shared" si="52"/>
        <v>0</v>
      </c>
      <c r="X92" s="22">
        <f t="shared" si="52"/>
        <v>0</v>
      </c>
      <c r="Y92" s="22">
        <f t="shared" si="52"/>
        <v>0</v>
      </c>
      <c r="Z92" s="22">
        <f t="shared" si="52"/>
        <v>0</v>
      </c>
      <c r="AA92" s="22">
        <f t="shared" si="52"/>
        <v>0</v>
      </c>
      <c r="AB92" s="22">
        <f t="shared" si="52"/>
        <v>0</v>
      </c>
      <c r="AC92" s="22">
        <f t="shared" si="52"/>
        <v>474411.73459766828</v>
      </c>
      <c r="AD92" s="22">
        <f t="shared" si="52"/>
        <v>0</v>
      </c>
      <c r="AE92" s="22">
        <f t="shared" si="52"/>
        <v>0</v>
      </c>
      <c r="AF92" s="22">
        <f t="shared" si="52"/>
        <v>0</v>
      </c>
      <c r="AG92" s="22">
        <f t="shared" si="52"/>
        <v>0</v>
      </c>
      <c r="AH92" s="22">
        <f t="shared" si="52"/>
        <v>0</v>
      </c>
      <c r="AI92" s="22">
        <f t="shared" si="52"/>
        <v>1248617.7050653177</v>
      </c>
      <c r="AJ92" s="22">
        <f t="shared" si="52"/>
        <v>90442.914353083819</v>
      </c>
      <c r="AK92" s="22">
        <f t="shared" si="52"/>
        <v>96457.887576484994</v>
      </c>
      <c r="AL92" s="22">
        <f t="shared" si="52"/>
        <v>131066.23394240678</v>
      </c>
      <c r="AM92" s="22">
        <f t="shared" si="52"/>
        <v>36828.893036398978</v>
      </c>
      <c r="AN92" s="22">
        <f t="shared" si="52"/>
        <v>46393.50977564702</v>
      </c>
      <c r="AO92" s="22">
        <f t="shared" si="52"/>
        <v>95977.285085609765</v>
      </c>
      <c r="AP92" s="22">
        <f t="shared" si="52"/>
        <v>899619.37583160982</v>
      </c>
      <c r="AQ92" s="22">
        <f t="shared" si="52"/>
        <v>484474</v>
      </c>
      <c r="AR92" s="22">
        <f t="shared" si="52"/>
        <v>559231</v>
      </c>
      <c r="AS92" s="22">
        <f t="shared" si="52"/>
        <v>474576</v>
      </c>
      <c r="AT92" s="22">
        <f t="shared" si="52"/>
        <v>585403</v>
      </c>
      <c r="AU92" s="22">
        <f t="shared" si="52"/>
        <v>592333</v>
      </c>
      <c r="AV92" s="22">
        <f t="shared" si="52"/>
        <v>585715</v>
      </c>
      <c r="AW92" s="22">
        <f t="shared" si="52"/>
        <v>597384</v>
      </c>
    </row>
    <row r="94" spans="3:49">
      <c r="D94" s="14" t="s">
        <v>68</v>
      </c>
      <c r="J94" s="22">
        <f>I98</f>
        <v>0</v>
      </c>
      <c r="K94" s="22">
        <f t="shared" ref="K94:AW94" si="53">J98</f>
        <v>255000</v>
      </c>
      <c r="L94" s="22">
        <f t="shared" si="53"/>
        <v>511837.5</v>
      </c>
      <c r="M94" s="22">
        <f t="shared" si="53"/>
        <v>770544.65625</v>
      </c>
      <c r="N94" s="22">
        <f t="shared" si="53"/>
        <v>1031154.187734375</v>
      </c>
      <c r="O94" s="22">
        <f t="shared" si="53"/>
        <v>1293699.3860197265</v>
      </c>
      <c r="P94" s="22">
        <f t="shared" si="53"/>
        <v>119918.86284014257</v>
      </c>
      <c r="Q94" s="22">
        <f t="shared" si="53"/>
        <v>135702.77627317837</v>
      </c>
      <c r="R94" s="22">
        <f t="shared" si="53"/>
        <v>94662.79708018119</v>
      </c>
      <c r="S94" s="22">
        <f t="shared" si="53"/>
        <v>58550.507140195463</v>
      </c>
      <c r="T94" s="22">
        <f t="shared" si="53"/>
        <v>0</v>
      </c>
      <c r="U94" s="22">
        <f t="shared" si="53"/>
        <v>5939.555555555562</v>
      </c>
      <c r="V94" s="22">
        <f t="shared" si="53"/>
        <v>232168.49777777778</v>
      </c>
      <c r="W94" s="22">
        <f t="shared" si="53"/>
        <v>459731.44648888893</v>
      </c>
      <c r="X94" s="22">
        <f t="shared" si="53"/>
        <v>688651.74680244457</v>
      </c>
      <c r="Y94" s="22">
        <f t="shared" si="53"/>
        <v>918953.15237148735</v>
      </c>
      <c r="Z94" s="22">
        <f t="shared" si="53"/>
        <v>1150659.8325379884</v>
      </c>
      <c r="AA94" s="22">
        <f t="shared" si="53"/>
        <v>1383796.3796074032</v>
      </c>
      <c r="AB94" s="22">
        <f t="shared" si="53"/>
        <v>1618387.8162505329</v>
      </c>
      <c r="AC94" s="22">
        <f t="shared" si="53"/>
        <v>1854459.6030349173</v>
      </c>
      <c r="AD94" s="22">
        <f t="shared" si="53"/>
        <v>1380047.868437249</v>
      </c>
      <c r="AE94" s="22">
        <f t="shared" si="53"/>
        <v>1606698.7061349009</v>
      </c>
      <c r="AF94" s="22">
        <f t="shared" si="53"/>
        <v>1834690.9334922617</v>
      </c>
      <c r="AG94" s="22">
        <f t="shared" si="53"/>
        <v>2064048.0248283762</v>
      </c>
      <c r="AH94" s="22">
        <f t="shared" si="53"/>
        <v>2294793.865262873</v>
      </c>
      <c r="AI94" s="22">
        <f t="shared" si="53"/>
        <v>2526952.7579049733</v>
      </c>
      <c r="AJ94" s="22">
        <f t="shared" si="53"/>
        <v>1278335.0528396557</v>
      </c>
      <c r="AK94" s="22">
        <f t="shared" si="53"/>
        <v>1187892.1384865718</v>
      </c>
      <c r="AL94" s="22">
        <f t="shared" si="53"/>
        <v>1091434.2509100868</v>
      </c>
      <c r="AM94" s="22">
        <f t="shared" si="53"/>
        <v>960368.01696768007</v>
      </c>
      <c r="AN94" s="22">
        <f t="shared" si="53"/>
        <v>923539.12393128104</v>
      </c>
      <c r="AO94" s="22">
        <f t="shared" si="53"/>
        <v>877145.61415563407</v>
      </c>
      <c r="AP94" s="22">
        <f t="shared" si="53"/>
        <v>781168.32907002431</v>
      </c>
      <c r="AQ94" s="22">
        <f t="shared" si="53"/>
        <v>0</v>
      </c>
      <c r="AR94" s="22">
        <f t="shared" si="53"/>
        <v>0</v>
      </c>
      <c r="AS94" s="22">
        <f t="shared" si="53"/>
        <v>0</v>
      </c>
      <c r="AT94" s="22">
        <f t="shared" si="53"/>
        <v>0</v>
      </c>
      <c r="AU94" s="22">
        <f t="shared" si="53"/>
        <v>0</v>
      </c>
      <c r="AV94" s="22">
        <f t="shared" si="53"/>
        <v>0</v>
      </c>
      <c r="AW94" s="22">
        <f t="shared" si="53"/>
        <v>0</v>
      </c>
    </row>
    <row r="95" spans="3:49">
      <c r="D95" s="14" t="s">
        <v>97</v>
      </c>
      <c r="J95" s="22">
        <f t="shared" ref="J95:AW95" si="54">J83</f>
        <v>105000.00000000001</v>
      </c>
      <c r="K95" s="22">
        <f t="shared" si="54"/>
        <v>106837.50000000001</v>
      </c>
      <c r="L95" s="22">
        <f t="shared" si="54"/>
        <v>108707.15625000001</v>
      </c>
      <c r="M95" s="22">
        <f t="shared" si="54"/>
        <v>110609.53148437501</v>
      </c>
      <c r="N95" s="22">
        <f t="shared" si="54"/>
        <v>112545.19828535157</v>
      </c>
      <c r="O95" s="22">
        <f t="shared" si="54"/>
        <v>0</v>
      </c>
      <c r="P95" s="22">
        <f t="shared" si="54"/>
        <v>0</v>
      </c>
      <c r="Q95" s="22">
        <f t="shared" si="54"/>
        <v>0</v>
      </c>
      <c r="R95" s="22">
        <f t="shared" si="54"/>
        <v>0</v>
      </c>
      <c r="S95" s="22">
        <f t="shared" si="54"/>
        <v>0</v>
      </c>
      <c r="T95" s="22">
        <f t="shared" si="54"/>
        <v>0</v>
      </c>
      <c r="U95" s="22">
        <f t="shared" si="54"/>
        <v>76228.942222222235</v>
      </c>
      <c r="V95" s="22">
        <f t="shared" si="54"/>
        <v>77562.948711111138</v>
      </c>
      <c r="W95" s="22">
        <f t="shared" si="54"/>
        <v>78920.300313555577</v>
      </c>
      <c r="X95" s="22">
        <f t="shared" si="54"/>
        <v>80301.405569042807</v>
      </c>
      <c r="Y95" s="22">
        <f t="shared" si="54"/>
        <v>81706.680166501057</v>
      </c>
      <c r="Z95" s="22">
        <f t="shared" si="54"/>
        <v>83136.547069414824</v>
      </c>
      <c r="AA95" s="22">
        <f t="shared" si="54"/>
        <v>84591.436643129578</v>
      </c>
      <c r="AB95" s="22">
        <f t="shared" si="54"/>
        <v>86071.786784384327</v>
      </c>
      <c r="AC95" s="22">
        <f t="shared" si="54"/>
        <v>0</v>
      </c>
      <c r="AD95" s="22">
        <f t="shared" si="54"/>
        <v>76650.837697651863</v>
      </c>
      <c r="AE95" s="22">
        <f t="shared" si="54"/>
        <v>77992.227357360782</v>
      </c>
      <c r="AF95" s="22">
        <f t="shared" si="54"/>
        <v>79357.091336114594</v>
      </c>
      <c r="AG95" s="22">
        <f t="shared" si="54"/>
        <v>80745.840434496597</v>
      </c>
      <c r="AH95" s="22">
        <f t="shared" si="54"/>
        <v>82158.892642100283</v>
      </c>
      <c r="AI95" s="22">
        <f t="shared" si="54"/>
        <v>0</v>
      </c>
      <c r="AJ95" s="22">
        <f t="shared" si="54"/>
        <v>0</v>
      </c>
      <c r="AK95" s="22">
        <f t="shared" si="54"/>
        <v>0</v>
      </c>
      <c r="AL95" s="22">
        <f t="shared" si="54"/>
        <v>0</v>
      </c>
      <c r="AM95" s="22">
        <f t="shared" si="54"/>
        <v>0</v>
      </c>
      <c r="AN95" s="22">
        <f t="shared" si="54"/>
        <v>0</v>
      </c>
      <c r="AO95" s="22">
        <f t="shared" si="54"/>
        <v>0</v>
      </c>
      <c r="AP95" s="22">
        <f t="shared" si="54"/>
        <v>0</v>
      </c>
      <c r="AQ95" s="22">
        <f t="shared" si="54"/>
        <v>0</v>
      </c>
      <c r="AR95" s="22">
        <f t="shared" si="54"/>
        <v>0</v>
      </c>
      <c r="AS95" s="22">
        <f t="shared" si="54"/>
        <v>0</v>
      </c>
      <c r="AT95" s="22">
        <f t="shared" si="54"/>
        <v>0</v>
      </c>
      <c r="AU95" s="22">
        <f t="shared" si="54"/>
        <v>0</v>
      </c>
      <c r="AV95" s="22">
        <f t="shared" si="54"/>
        <v>0</v>
      </c>
      <c r="AW95" s="22">
        <f t="shared" si="54"/>
        <v>0</v>
      </c>
    </row>
    <row r="96" spans="3:49">
      <c r="D96" s="14" t="s">
        <v>96</v>
      </c>
      <c r="J96" s="22">
        <f t="shared" ref="J96:AW96" si="55">J89</f>
        <v>150000</v>
      </c>
      <c r="K96" s="22">
        <f t="shared" si="55"/>
        <v>150000</v>
      </c>
      <c r="L96" s="22">
        <f t="shared" si="55"/>
        <v>150000</v>
      </c>
      <c r="M96" s="22">
        <f t="shared" si="55"/>
        <v>150000</v>
      </c>
      <c r="N96" s="22">
        <f t="shared" si="55"/>
        <v>150000</v>
      </c>
      <c r="O96" s="22">
        <f t="shared" si="55"/>
        <v>0</v>
      </c>
      <c r="P96" s="22">
        <f t="shared" si="55"/>
        <v>15783.913433035807</v>
      </c>
      <c r="Q96" s="22">
        <f t="shared" si="55"/>
        <v>0</v>
      </c>
      <c r="R96" s="22">
        <f t="shared" si="55"/>
        <v>0</v>
      </c>
      <c r="S96" s="22">
        <f t="shared" si="55"/>
        <v>0</v>
      </c>
      <c r="T96" s="22">
        <f t="shared" si="55"/>
        <v>5939.555555555562</v>
      </c>
      <c r="U96" s="22">
        <f t="shared" si="55"/>
        <v>150000</v>
      </c>
      <c r="V96" s="22">
        <f t="shared" si="55"/>
        <v>150000</v>
      </c>
      <c r="W96" s="22">
        <f t="shared" si="55"/>
        <v>150000</v>
      </c>
      <c r="X96" s="22">
        <f t="shared" si="55"/>
        <v>150000</v>
      </c>
      <c r="Y96" s="22">
        <f t="shared" si="55"/>
        <v>150000</v>
      </c>
      <c r="Z96" s="22">
        <f t="shared" si="55"/>
        <v>150000</v>
      </c>
      <c r="AA96" s="22">
        <f t="shared" si="55"/>
        <v>150000</v>
      </c>
      <c r="AB96" s="22">
        <f t="shared" si="55"/>
        <v>150000</v>
      </c>
      <c r="AC96" s="22">
        <f t="shared" si="55"/>
        <v>0</v>
      </c>
      <c r="AD96" s="22">
        <f t="shared" si="55"/>
        <v>150000</v>
      </c>
      <c r="AE96" s="22">
        <f t="shared" si="55"/>
        <v>150000</v>
      </c>
      <c r="AF96" s="22">
        <f t="shared" si="55"/>
        <v>150000</v>
      </c>
      <c r="AG96" s="22">
        <f t="shared" si="55"/>
        <v>150000</v>
      </c>
      <c r="AH96" s="22">
        <f t="shared" si="55"/>
        <v>150000</v>
      </c>
      <c r="AI96" s="22">
        <f t="shared" si="55"/>
        <v>0</v>
      </c>
      <c r="AJ96" s="22">
        <f t="shared" si="55"/>
        <v>0</v>
      </c>
      <c r="AK96" s="22">
        <f t="shared" si="55"/>
        <v>0</v>
      </c>
      <c r="AL96" s="22">
        <f t="shared" si="55"/>
        <v>0</v>
      </c>
      <c r="AM96" s="22">
        <f t="shared" si="55"/>
        <v>0</v>
      </c>
      <c r="AN96" s="22">
        <f t="shared" si="55"/>
        <v>0</v>
      </c>
      <c r="AO96" s="22">
        <f t="shared" si="55"/>
        <v>0</v>
      </c>
      <c r="AP96" s="22">
        <f t="shared" si="55"/>
        <v>0</v>
      </c>
      <c r="AQ96" s="22">
        <f t="shared" si="55"/>
        <v>0</v>
      </c>
      <c r="AR96" s="22">
        <f t="shared" si="55"/>
        <v>0</v>
      </c>
      <c r="AS96" s="22">
        <f t="shared" si="55"/>
        <v>0</v>
      </c>
      <c r="AT96" s="22">
        <f t="shared" si="55"/>
        <v>0</v>
      </c>
      <c r="AU96" s="22">
        <f t="shared" si="55"/>
        <v>0</v>
      </c>
      <c r="AV96" s="22">
        <f t="shared" si="55"/>
        <v>0</v>
      </c>
      <c r="AW96" s="22">
        <f t="shared" si="55"/>
        <v>0</v>
      </c>
    </row>
    <row r="97" spans="3:49">
      <c r="D97" s="14" t="s">
        <v>69</v>
      </c>
      <c r="J97" s="22">
        <f t="shared" ref="J97:AW97" si="56">-MIN(J92,SUM(J94:J96))</f>
        <v>0</v>
      </c>
      <c r="K97" s="22">
        <f t="shared" si="56"/>
        <v>0</v>
      </c>
      <c r="L97" s="22">
        <f t="shared" si="56"/>
        <v>0</v>
      </c>
      <c r="M97" s="22">
        <f t="shared" si="56"/>
        <v>0</v>
      </c>
      <c r="N97" s="22">
        <f t="shared" si="56"/>
        <v>0</v>
      </c>
      <c r="O97" s="22">
        <f t="shared" si="56"/>
        <v>-1173780.5231795839</v>
      </c>
      <c r="P97" s="22">
        <f t="shared" si="56"/>
        <v>0</v>
      </c>
      <c r="Q97" s="22">
        <f t="shared" si="56"/>
        <v>-41039.979192997183</v>
      </c>
      <c r="R97" s="22">
        <f t="shared" si="56"/>
        <v>-36112.289939985727</v>
      </c>
      <c r="S97" s="22">
        <f t="shared" si="56"/>
        <v>-58550.507140195463</v>
      </c>
      <c r="T97" s="22">
        <f t="shared" si="56"/>
        <v>0</v>
      </c>
      <c r="U97" s="22">
        <f t="shared" si="56"/>
        <v>0</v>
      </c>
      <c r="V97" s="22">
        <f t="shared" si="56"/>
        <v>0</v>
      </c>
      <c r="W97" s="22">
        <f t="shared" si="56"/>
        <v>0</v>
      </c>
      <c r="X97" s="22">
        <f t="shared" si="56"/>
        <v>0</v>
      </c>
      <c r="Y97" s="22">
        <f t="shared" si="56"/>
        <v>0</v>
      </c>
      <c r="Z97" s="22">
        <f t="shared" si="56"/>
        <v>0</v>
      </c>
      <c r="AA97" s="22">
        <f t="shared" si="56"/>
        <v>0</v>
      </c>
      <c r="AB97" s="22">
        <f t="shared" si="56"/>
        <v>0</v>
      </c>
      <c r="AC97" s="22">
        <f t="shared" si="56"/>
        <v>-474411.73459766828</v>
      </c>
      <c r="AD97" s="22">
        <f t="shared" si="56"/>
        <v>0</v>
      </c>
      <c r="AE97" s="22">
        <f t="shared" si="56"/>
        <v>0</v>
      </c>
      <c r="AF97" s="22">
        <f t="shared" si="56"/>
        <v>0</v>
      </c>
      <c r="AG97" s="22">
        <f t="shared" si="56"/>
        <v>0</v>
      </c>
      <c r="AH97" s="22">
        <f t="shared" si="56"/>
        <v>0</v>
      </c>
      <c r="AI97" s="22">
        <f t="shared" si="56"/>
        <v>-1248617.7050653177</v>
      </c>
      <c r="AJ97" s="22">
        <f t="shared" si="56"/>
        <v>-90442.914353083819</v>
      </c>
      <c r="AK97" s="22">
        <f t="shared" si="56"/>
        <v>-96457.887576484994</v>
      </c>
      <c r="AL97" s="22">
        <f t="shared" si="56"/>
        <v>-131066.23394240678</v>
      </c>
      <c r="AM97" s="22">
        <f t="shared" si="56"/>
        <v>-36828.893036398978</v>
      </c>
      <c r="AN97" s="22">
        <f t="shared" si="56"/>
        <v>-46393.50977564702</v>
      </c>
      <c r="AO97" s="22">
        <f t="shared" si="56"/>
        <v>-95977.285085609765</v>
      </c>
      <c r="AP97" s="22">
        <f t="shared" si="56"/>
        <v>-781168.32907002431</v>
      </c>
      <c r="AQ97" s="22">
        <f t="shared" si="56"/>
        <v>0</v>
      </c>
      <c r="AR97" s="22">
        <f t="shared" si="56"/>
        <v>0</v>
      </c>
      <c r="AS97" s="22">
        <f t="shared" si="56"/>
        <v>0</v>
      </c>
      <c r="AT97" s="22">
        <f t="shared" si="56"/>
        <v>0</v>
      </c>
      <c r="AU97" s="22">
        <f t="shared" si="56"/>
        <v>0</v>
      </c>
      <c r="AV97" s="22">
        <f t="shared" si="56"/>
        <v>0</v>
      </c>
      <c r="AW97" s="22">
        <f t="shared" si="56"/>
        <v>0</v>
      </c>
    </row>
    <row r="98" spans="3:49">
      <c r="D98" s="14" t="s">
        <v>85</v>
      </c>
      <c r="I98" s="30">
        <v>0</v>
      </c>
      <c r="J98" s="24">
        <f>SUM(J94:J97)</f>
        <v>255000</v>
      </c>
      <c r="K98" s="24">
        <f t="shared" ref="K98:AW98" si="57">SUM(K94:K97)</f>
        <v>511837.5</v>
      </c>
      <c r="L98" s="24">
        <f t="shared" si="57"/>
        <v>770544.65625</v>
      </c>
      <c r="M98" s="24">
        <f t="shared" si="57"/>
        <v>1031154.187734375</v>
      </c>
      <c r="N98" s="24">
        <f t="shared" si="57"/>
        <v>1293699.3860197265</v>
      </c>
      <c r="O98" s="24">
        <f t="shared" si="57"/>
        <v>119918.86284014257</v>
      </c>
      <c r="P98" s="24">
        <f t="shared" si="57"/>
        <v>135702.77627317837</v>
      </c>
      <c r="Q98" s="24">
        <f t="shared" si="57"/>
        <v>94662.79708018119</v>
      </c>
      <c r="R98" s="24">
        <f t="shared" si="57"/>
        <v>58550.507140195463</v>
      </c>
      <c r="S98" s="24">
        <f t="shared" si="57"/>
        <v>0</v>
      </c>
      <c r="T98" s="24">
        <f t="shared" si="57"/>
        <v>5939.555555555562</v>
      </c>
      <c r="U98" s="24">
        <f t="shared" si="57"/>
        <v>232168.49777777778</v>
      </c>
      <c r="V98" s="24">
        <f t="shared" si="57"/>
        <v>459731.44648888893</v>
      </c>
      <c r="W98" s="24">
        <f t="shared" si="57"/>
        <v>688651.74680244457</v>
      </c>
      <c r="X98" s="24">
        <f t="shared" si="57"/>
        <v>918953.15237148735</v>
      </c>
      <c r="Y98" s="24">
        <f t="shared" si="57"/>
        <v>1150659.8325379884</v>
      </c>
      <c r="Z98" s="24">
        <f t="shared" si="57"/>
        <v>1383796.3796074032</v>
      </c>
      <c r="AA98" s="24">
        <f t="shared" si="57"/>
        <v>1618387.8162505329</v>
      </c>
      <c r="AB98" s="24">
        <f t="shared" si="57"/>
        <v>1854459.6030349173</v>
      </c>
      <c r="AC98" s="24">
        <f t="shared" si="57"/>
        <v>1380047.868437249</v>
      </c>
      <c r="AD98" s="24">
        <f t="shared" si="57"/>
        <v>1606698.7061349009</v>
      </c>
      <c r="AE98" s="24">
        <f t="shared" si="57"/>
        <v>1834690.9334922617</v>
      </c>
      <c r="AF98" s="24">
        <f t="shared" si="57"/>
        <v>2064048.0248283762</v>
      </c>
      <c r="AG98" s="24">
        <f t="shared" si="57"/>
        <v>2294793.865262873</v>
      </c>
      <c r="AH98" s="24">
        <f t="shared" si="57"/>
        <v>2526952.7579049733</v>
      </c>
      <c r="AI98" s="24">
        <f t="shared" si="57"/>
        <v>1278335.0528396557</v>
      </c>
      <c r="AJ98" s="24">
        <f t="shared" si="57"/>
        <v>1187892.1384865718</v>
      </c>
      <c r="AK98" s="24">
        <f t="shared" si="57"/>
        <v>1091434.2509100868</v>
      </c>
      <c r="AL98" s="24">
        <f t="shared" si="57"/>
        <v>960368.01696768007</v>
      </c>
      <c r="AM98" s="24">
        <f t="shared" si="57"/>
        <v>923539.12393128104</v>
      </c>
      <c r="AN98" s="24">
        <f t="shared" si="57"/>
        <v>877145.61415563407</v>
      </c>
      <c r="AO98" s="24">
        <f t="shared" si="57"/>
        <v>781168.32907002431</v>
      </c>
      <c r="AP98" s="24">
        <f t="shared" si="57"/>
        <v>0</v>
      </c>
      <c r="AQ98" s="24">
        <f t="shared" si="57"/>
        <v>0</v>
      </c>
      <c r="AR98" s="24">
        <f t="shared" si="57"/>
        <v>0</v>
      </c>
      <c r="AS98" s="24">
        <f t="shared" si="57"/>
        <v>0</v>
      </c>
      <c r="AT98" s="24">
        <f t="shared" si="57"/>
        <v>0</v>
      </c>
      <c r="AU98" s="24">
        <f t="shared" si="57"/>
        <v>0</v>
      </c>
      <c r="AV98" s="24">
        <f t="shared" si="57"/>
        <v>0</v>
      </c>
      <c r="AW98" s="24">
        <f t="shared" si="57"/>
        <v>0</v>
      </c>
    </row>
    <row r="101" spans="3:49">
      <c r="C101" s="14" t="s">
        <v>86</v>
      </c>
    </row>
    <row r="103" spans="3:49">
      <c r="C103" s="14" t="s">
        <v>87</v>
      </c>
      <c r="F103" s="14" t="s">
        <v>88</v>
      </c>
      <c r="H103" s="16">
        <v>44286</v>
      </c>
    </row>
    <row r="104" spans="3:49">
      <c r="H104" s="22">
        <f>INDEX($I$76:$AW$76,MATCH(H103,$I$3:$AW$3,0))</f>
        <v>4708550.507140195</v>
      </c>
    </row>
    <row r="105" spans="3:49">
      <c r="G105" s="14" t="s">
        <v>42</v>
      </c>
      <c r="H105" s="32">
        <f t="dataTable" ref="H105:H110" dt2D="0" dtr="0" r1="H9" ca="1"/>
        <v>4650000</v>
      </c>
    </row>
    <row r="106" spans="3:49">
      <c r="G106" s="14" t="s">
        <v>43</v>
      </c>
      <c r="H106" s="33">
        <v>4741969.2697222224</v>
      </c>
    </row>
    <row r="107" spans="3:49">
      <c r="G107" s="14" t="s">
        <v>44</v>
      </c>
      <c r="H107" s="34">
        <v>4713426.9606805556</v>
      </c>
    </row>
    <row r="108" spans="3:49">
      <c r="G108" s="14" t="s">
        <v>45</v>
      </c>
      <c r="H108" s="33">
        <v>4650000</v>
      </c>
    </row>
    <row r="109" spans="3:49">
      <c r="G109" s="14" t="s">
        <v>46</v>
      </c>
      <c r="H109" s="33">
        <v>5124765.9375</v>
      </c>
    </row>
    <row r="110" spans="3:49">
      <c r="G110" s="14" t="s">
        <v>47</v>
      </c>
      <c r="H110" s="35">
        <v>4708550.507140195</v>
      </c>
    </row>
    <row r="113" spans="3:8">
      <c r="C113" s="14" t="s">
        <v>89</v>
      </c>
      <c r="F113" s="14" t="s">
        <v>90</v>
      </c>
    </row>
    <row r="114" spans="3:8">
      <c r="H114" s="16">
        <f>IFERROR(INDEX($J$3:$AW$3,MATCH(1,$J$53:$AW$53,0)),"n.a.")</f>
        <v>43555</v>
      </c>
    </row>
    <row r="115" spans="3:8">
      <c r="G115" s="14" t="s">
        <v>42</v>
      </c>
      <c r="H115" s="36" t="str">
        <f t="dataTable" ref="H115:H120" dt2D="0" dtr="0" r1="H9" ca="1"/>
        <v>n.a.</v>
      </c>
    </row>
    <row r="116" spans="3:8">
      <c r="G116" s="14" t="s">
        <v>43</v>
      </c>
      <c r="H116" s="53" t="str">
        <v>n.a.</v>
      </c>
    </row>
    <row r="117" spans="3:8">
      <c r="G117" s="14" t="s">
        <v>44</v>
      </c>
      <c r="H117" s="53">
        <v>43555</v>
      </c>
    </row>
    <row r="118" spans="3:8">
      <c r="G118" s="14" t="s">
        <v>45</v>
      </c>
      <c r="H118" s="53">
        <v>44926</v>
      </c>
    </row>
    <row r="119" spans="3:8">
      <c r="G119" s="14" t="s">
        <v>46</v>
      </c>
      <c r="H119" s="37">
        <v>44196</v>
      </c>
    </row>
    <row r="120" spans="3:8">
      <c r="G120" s="14" t="s">
        <v>47</v>
      </c>
      <c r="H120" s="54">
        <v>43555</v>
      </c>
    </row>
    <row r="122" spans="3:8">
      <c r="C122" s="14" t="s">
        <v>91</v>
      </c>
      <c r="F122" s="14" t="s">
        <v>92</v>
      </c>
    </row>
    <row r="123" spans="3:8">
      <c r="H123" s="22">
        <f>MIN(J63:AK63)</f>
        <v>7658.0775342844136</v>
      </c>
    </row>
    <row r="124" spans="3:8">
      <c r="G124" s="14" t="s">
        <v>42</v>
      </c>
      <c r="H124" s="32">
        <f t="dataTable" ref="H124:H129" dt2D="0" dtr="0" r1="H9" ca="1"/>
        <v>500000</v>
      </c>
    </row>
    <row r="125" spans="3:8">
      <c r="G125" s="14" t="s">
        <v>43</v>
      </c>
      <c r="H125" s="34">
        <v>500000</v>
      </c>
    </row>
    <row r="126" spans="3:8">
      <c r="G126" s="14" t="s">
        <v>44</v>
      </c>
      <c r="H126" s="33">
        <v>500000</v>
      </c>
    </row>
    <row r="127" spans="3:8">
      <c r="G127" s="14" t="s">
        <v>45</v>
      </c>
      <c r="H127" s="33">
        <v>500000</v>
      </c>
    </row>
    <row r="128" spans="3:8">
      <c r="G128" s="14" t="s">
        <v>46</v>
      </c>
      <c r="H128" s="33">
        <v>321664.74997702881</v>
      </c>
    </row>
    <row r="129" spans="3:8">
      <c r="G129" s="14" t="s">
        <v>47</v>
      </c>
      <c r="H129" s="35">
        <v>7658.0775342844136</v>
      </c>
    </row>
    <row r="131" spans="3:8">
      <c r="C131" s="14" t="s">
        <v>93</v>
      </c>
      <c r="F131" s="14" t="s">
        <v>94</v>
      </c>
    </row>
    <row r="132" spans="3:8">
      <c r="H132" s="22">
        <f>SUM(J79:AW79)</f>
        <v>2701841.3342582621</v>
      </c>
    </row>
    <row r="133" spans="3:8">
      <c r="G133" s="14" t="s">
        <v>42</v>
      </c>
      <c r="H133" s="32">
        <f t="dataTable" ref="H133:H138" dt2D="0" dtr="0" r1="H9" ca="1"/>
        <v>2152500</v>
      </c>
    </row>
    <row r="134" spans="3:8">
      <c r="G134" s="14" t="s">
        <v>43</v>
      </c>
      <c r="H134" s="33">
        <v>2155333.3986090277</v>
      </c>
    </row>
    <row r="135" spans="3:8">
      <c r="G135" s="14" t="s">
        <v>44</v>
      </c>
      <c r="H135" s="33">
        <v>2302600.7314054435</v>
      </c>
    </row>
    <row r="136" spans="3:8">
      <c r="G136" s="14" t="s">
        <v>45</v>
      </c>
      <c r="H136" s="33">
        <v>2325058.2731216922</v>
      </c>
    </row>
    <row r="137" spans="3:8">
      <c r="G137" s="14" t="s">
        <v>46</v>
      </c>
      <c r="H137" s="33">
        <v>2468451.6212714813</v>
      </c>
    </row>
    <row r="138" spans="3:8">
      <c r="G138" s="14" t="s">
        <v>47</v>
      </c>
      <c r="H138" s="38">
        <v>2701841.3342582621</v>
      </c>
    </row>
    <row r="140" spans="3:8">
      <c r="C140" s="14" t="s">
        <v>95</v>
      </c>
      <c r="F140" s="14" t="s">
        <v>88</v>
      </c>
      <c r="H140" s="16">
        <v>47118</v>
      </c>
    </row>
    <row r="141" spans="3:8">
      <c r="H141" s="22">
        <f>INDEX($I$76:$AW$76,MATCH(H140,$I$3:$AW$3,0))</f>
        <v>0</v>
      </c>
    </row>
    <row r="142" spans="3:8">
      <c r="G142" s="14" t="s">
        <v>42</v>
      </c>
      <c r="H142" s="32">
        <f t="dataTable" ref="H142:H147" dt2D="0" dtr="0" r1="H9"/>
        <v>0</v>
      </c>
    </row>
    <row r="143" spans="3:8">
      <c r="G143" s="14" t="s">
        <v>43</v>
      </c>
      <c r="H143" s="33">
        <v>0</v>
      </c>
    </row>
    <row r="144" spans="3:8">
      <c r="G144" s="14" t="s">
        <v>44</v>
      </c>
      <c r="H144" s="33">
        <v>9.3132257461547852E-10</v>
      </c>
    </row>
    <row r="145" spans="7:8">
      <c r="G145" s="14" t="s">
        <v>45</v>
      </c>
      <c r="H145" s="34">
        <v>-9.3132257461547852E-10</v>
      </c>
    </row>
    <row r="146" spans="7:8">
      <c r="G146" s="14" t="s">
        <v>46</v>
      </c>
      <c r="H146" s="33">
        <v>2.3283064365386963E-10</v>
      </c>
    </row>
    <row r="147" spans="7:8">
      <c r="G147" s="14" t="s">
        <v>47</v>
      </c>
      <c r="H147" s="35">
        <v>0</v>
      </c>
    </row>
  </sheetData>
  <pageMargins left="0.7" right="0.7" top="0.75" bottom="0.75" header="0.3" footer="0.3"/>
  <pageSetup scale="16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27014F-330C-4F40-841E-12D05F252DC2}">
          <x14:formula1>
            <xm:f>CaseData!$F$87:$K$87</xm:f>
          </x14:formula1>
          <xm:sqref>H9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Debt</vt:lpstr>
      <vt:lpstr>CaseData</vt:lpstr>
      <vt:lpstr>CaseSolution</vt:lpstr>
      <vt:lpstr>company</vt:lpstr>
      <vt:lpstr>ebidta_selector</vt:lpstr>
      <vt:lpstr>periods</vt:lpstr>
      <vt:lpstr>Debt!Print_Titles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2026-08-30T10:41:41Z</dcterms:modified>
</cp:coreProperties>
</file>