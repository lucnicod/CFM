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 defaultThemeVersion="124226"/>
  <xr:revisionPtr revIDLastSave="131" documentId="8_{ACCA1571-3924-4EE2-9E32-67CB0F2AF5F8}" xr6:coauthVersionLast="47" xr6:coauthVersionMax="47" xr10:uidLastSave="{A94CE68B-F105-4C52-9A2B-5DF1D1D26F46}"/>
  <bookViews>
    <workbookView xWindow="28692" yWindow="-108" windowWidth="29016" windowHeight="16416" xr2:uid="{00000000-000D-0000-FFFF-FFFF00000000}"/>
  </bookViews>
  <sheets>
    <sheet name="CaseData" sheetId="47" r:id="rId1"/>
    <sheet name="CaseSolution" sheetId="48" r:id="rId2"/>
  </sheets>
  <definedNames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ListAssetClasses1">#REF!</definedName>
    <definedName name="ListDepMethods1">#REF!</definedName>
  </definedNames>
  <calcPr calcId="191029" calcMode="autoNoTable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30" i="47" l="1"/>
  <c r="K531" i="47"/>
  <c r="L526" i="47"/>
  <c r="L529" i="47"/>
  <c r="L530" i="47"/>
  <c r="L531" i="47"/>
  <c r="M526" i="47"/>
  <c r="M529" i="47"/>
  <c r="M530" i="47"/>
  <c r="M531" i="47"/>
  <c r="N526" i="47"/>
  <c r="N529" i="47"/>
  <c r="N530" i="47"/>
  <c r="N531" i="47"/>
  <c r="O526" i="47"/>
  <c r="O529" i="47"/>
  <c r="O530" i="47"/>
  <c r="J759" i="47"/>
  <c r="J747" i="47"/>
  <c r="K555" i="47"/>
  <c r="O560" i="47"/>
  <c r="N560" i="47"/>
  <c r="M560" i="47"/>
  <c r="K558" i="47"/>
  <c r="L560" i="47"/>
  <c r="O558" i="47"/>
  <c r="N558" i="47"/>
  <c r="M558" i="47"/>
  <c r="L558" i="47"/>
  <c r="J558" i="47"/>
  <c r="O555" i="47"/>
  <c r="N555" i="47"/>
  <c r="M555" i="47"/>
  <c r="L555" i="47"/>
  <c r="I425" i="47"/>
  <c r="J574" i="47"/>
  <c r="K638" i="47"/>
  <c r="K642" i="47"/>
  <c r="K635" i="47"/>
  <c r="K636" i="47"/>
  <c r="L633" i="47"/>
  <c r="E477" i="47"/>
  <c r="K477" i="47"/>
  <c r="K483" i="47"/>
  <c r="K347" i="47"/>
  <c r="K348" i="47"/>
  <c r="K593" i="47"/>
  <c r="I147" i="47"/>
  <c r="P41" i="47"/>
  <c r="D9" i="47"/>
  <c r="N11" i="47"/>
  <c r="L477" i="47"/>
  <c r="M477" i="47"/>
  <c r="N477" i="47"/>
  <c r="O477" i="47"/>
  <c r="E478" i="47"/>
  <c r="L478" i="47"/>
  <c r="M478" i="47"/>
  <c r="N478" i="47"/>
  <c r="O478" i="47"/>
  <c r="E479" i="47"/>
  <c r="M479" i="47"/>
  <c r="N479" i="47"/>
  <c r="O479" i="47"/>
  <c r="E480" i="47"/>
  <c r="N480" i="47"/>
  <c r="O480" i="47"/>
  <c r="E481" i="47"/>
  <c r="O481" i="47"/>
  <c r="O483" i="47"/>
  <c r="N483" i="47"/>
  <c r="M483" i="47"/>
  <c r="L483" i="47"/>
  <c r="O333" i="47"/>
  <c r="N333" i="47"/>
  <c r="M333" i="47"/>
  <c r="L333" i="47"/>
  <c r="K333" i="47"/>
  <c r="J338" i="47"/>
  <c r="I338" i="47"/>
  <c r="H338" i="47"/>
  <c r="O338" i="47"/>
  <c r="N338" i="47"/>
  <c r="M338" i="47"/>
  <c r="L338" i="47"/>
  <c r="K338" i="47"/>
  <c r="O299" i="47"/>
  <c r="N299" i="47"/>
  <c r="M299" i="47"/>
  <c r="L299" i="47"/>
  <c r="O298" i="47"/>
  <c r="N298" i="47"/>
  <c r="M298" i="47"/>
  <c r="L298" i="47"/>
  <c r="O297" i="47"/>
  <c r="N297" i="47"/>
  <c r="M297" i="47"/>
  <c r="L297" i="47"/>
  <c r="O296" i="47"/>
  <c r="N296" i="47"/>
  <c r="M296" i="47"/>
  <c r="L296" i="47"/>
  <c r="O295" i="47"/>
  <c r="N295" i="47"/>
  <c r="M295" i="47"/>
  <c r="L295" i="47"/>
  <c r="O287" i="47"/>
  <c r="N287" i="47"/>
  <c r="M287" i="47"/>
  <c r="L287" i="47"/>
  <c r="K287" i="47"/>
  <c r="L260" i="47"/>
  <c r="M260" i="47"/>
  <c r="N260" i="47"/>
  <c r="O260" i="47"/>
  <c r="K260" i="47"/>
  <c r="O202" i="47"/>
  <c r="N202" i="47"/>
  <c r="M202" i="47"/>
  <c r="L202" i="47"/>
  <c r="K202" i="47"/>
  <c r="J345" i="47"/>
  <c r="G9" i="47"/>
  <c r="G11" i="47"/>
  <c r="P40" i="47"/>
  <c r="P42" i="47"/>
  <c r="F43" i="47"/>
  <c r="F22" i="47"/>
  <c r="F23" i="47"/>
  <c r="P21" i="47"/>
  <c r="F24" i="47"/>
  <c r="P22" i="47"/>
  <c r="F25" i="47"/>
  <c r="P23" i="47"/>
  <c r="P24" i="47"/>
  <c r="P29" i="47"/>
  <c r="F45" i="47"/>
  <c r="F46" i="47"/>
  <c r="F34" i="47"/>
  <c r="G20" i="47"/>
  <c r="F21" i="47"/>
  <c r="G21" i="47"/>
  <c r="G22" i="47"/>
  <c r="G23" i="47"/>
  <c r="G25" i="47"/>
  <c r="G24" i="47"/>
  <c r="G26" i="47"/>
  <c r="K791" i="48"/>
  <c r="L791" i="48"/>
  <c r="M791" i="48"/>
  <c r="N791" i="48"/>
  <c r="O791" i="48"/>
  <c r="J764" i="48"/>
  <c r="K764" i="48"/>
  <c r="L764" i="48"/>
  <c r="M764" i="48"/>
  <c r="N764" i="48"/>
  <c r="O764" i="48"/>
  <c r="K718" i="48"/>
  <c r="L718" i="48"/>
  <c r="M718" i="48"/>
  <c r="N718" i="48"/>
  <c r="O718" i="48"/>
  <c r="O715" i="48"/>
  <c r="O404" i="48"/>
  <c r="N715" i="48"/>
  <c r="M715" i="48"/>
  <c r="M404" i="48"/>
  <c r="L715" i="48"/>
  <c r="K715" i="48"/>
  <c r="K709" i="48"/>
  <c r="L709" i="48"/>
  <c r="M709" i="48"/>
  <c r="O706" i="48"/>
  <c r="N706" i="48"/>
  <c r="M706" i="48"/>
  <c r="M402" i="48"/>
  <c r="L706" i="48"/>
  <c r="K706" i="48"/>
  <c r="K402" i="48"/>
  <c r="K684" i="48"/>
  <c r="L684" i="48"/>
  <c r="M684" i="48"/>
  <c r="N684" i="48"/>
  <c r="B650" i="48"/>
  <c r="K640" i="48"/>
  <c r="L640" i="48"/>
  <c r="M640" i="48"/>
  <c r="K634" i="48"/>
  <c r="L634" i="48"/>
  <c r="L401" i="48"/>
  <c r="L628" i="48"/>
  <c r="M628" i="48"/>
  <c r="N628" i="48"/>
  <c r="K628" i="48"/>
  <c r="L625" i="48"/>
  <c r="M625" i="48"/>
  <c r="N625" i="48"/>
  <c r="O625" i="48"/>
  <c r="O400" i="48"/>
  <c r="K625" i="48"/>
  <c r="O620" i="48"/>
  <c r="O657" i="48"/>
  <c r="B613" i="48"/>
  <c r="O599" i="48"/>
  <c r="N599" i="48"/>
  <c r="M599" i="48"/>
  <c r="L599" i="48"/>
  <c r="K599" i="48"/>
  <c r="N587" i="48"/>
  <c r="M587" i="48"/>
  <c r="L587" i="48"/>
  <c r="K587" i="48"/>
  <c r="D582" i="48"/>
  <c r="O581" i="48"/>
  <c r="N581" i="48"/>
  <c r="M581" i="48"/>
  <c r="L581" i="48"/>
  <c r="K581" i="48"/>
  <c r="O573" i="48"/>
  <c r="N573" i="48"/>
  <c r="N620" i="48"/>
  <c r="N657" i="48"/>
  <c r="M573" i="48"/>
  <c r="M620" i="48"/>
  <c r="M657" i="48"/>
  <c r="L573" i="48"/>
  <c r="K573" i="48"/>
  <c r="B566" i="48"/>
  <c r="B697" i="48"/>
  <c r="O552" i="48"/>
  <c r="N552" i="48"/>
  <c r="M552" i="48"/>
  <c r="L552" i="48"/>
  <c r="K552" i="48"/>
  <c r="O551" i="48"/>
  <c r="N551" i="48"/>
  <c r="M551" i="48"/>
  <c r="L551" i="48"/>
  <c r="K551" i="48"/>
  <c r="O550" i="48"/>
  <c r="N550" i="48"/>
  <c r="M550" i="48"/>
  <c r="L550" i="48"/>
  <c r="K550" i="48"/>
  <c r="B536" i="48"/>
  <c r="K526" i="48"/>
  <c r="F524" i="48"/>
  <c r="D519" i="48"/>
  <c r="K507" i="48"/>
  <c r="K503" i="48"/>
  <c r="E494" i="48"/>
  <c r="B489" i="48"/>
  <c r="J483" i="48"/>
  <c r="I483" i="48"/>
  <c r="H483" i="48"/>
  <c r="H347" i="48"/>
  <c r="F472" i="48"/>
  <c r="F471" i="48"/>
  <c r="B464" i="48"/>
  <c r="H455" i="48"/>
  <c r="I452" i="48"/>
  <c r="J452" i="48"/>
  <c r="J707" i="48"/>
  <c r="K705" i="48"/>
  <c r="K707" i="48"/>
  <c r="H448" i="48"/>
  <c r="J443" i="48"/>
  <c r="H441" i="48"/>
  <c r="K440" i="48"/>
  <c r="L440" i="48"/>
  <c r="M440" i="48"/>
  <c r="N440" i="48"/>
  <c r="O440" i="48"/>
  <c r="J440" i="48"/>
  <c r="J439" i="48"/>
  <c r="J557" i="48"/>
  <c r="H434" i="48"/>
  <c r="J433" i="48"/>
  <c r="K433" i="48"/>
  <c r="L433" i="48"/>
  <c r="M433" i="48"/>
  <c r="N433" i="48"/>
  <c r="O433" i="48"/>
  <c r="I431" i="48"/>
  <c r="J431" i="48"/>
  <c r="H429" i="48"/>
  <c r="K428" i="48"/>
  <c r="L428" i="48"/>
  <c r="M428" i="48"/>
  <c r="N428" i="48"/>
  <c r="O428" i="48"/>
  <c r="J428" i="48"/>
  <c r="J427" i="48"/>
  <c r="J556" i="48"/>
  <c r="J426" i="48"/>
  <c r="J555" i="48"/>
  <c r="B417" i="48"/>
  <c r="N404" i="48"/>
  <c r="L404" i="48"/>
  <c r="K404" i="48"/>
  <c r="O402" i="48"/>
  <c r="N402" i="48"/>
  <c r="L402" i="48"/>
  <c r="K401" i="48"/>
  <c r="N400" i="48"/>
  <c r="K400" i="48"/>
  <c r="K392" i="48"/>
  <c r="L392" i="48"/>
  <c r="M392" i="48"/>
  <c r="N392" i="48"/>
  <c r="O392" i="48"/>
  <c r="B375" i="48"/>
  <c r="J347" i="48"/>
  <c r="I347" i="48"/>
  <c r="K341" i="48"/>
  <c r="I337" i="48"/>
  <c r="J332" i="48"/>
  <c r="I332" i="48"/>
  <c r="H332" i="48"/>
  <c r="B325" i="48"/>
  <c r="F320" i="48"/>
  <c r="J318" i="48"/>
  <c r="I318" i="48"/>
  <c r="H318" i="48"/>
  <c r="F318" i="48"/>
  <c r="K317" i="48"/>
  <c r="F317" i="48"/>
  <c r="D317" i="48"/>
  <c r="K316" i="48"/>
  <c r="F316" i="48"/>
  <c r="D316" i="48"/>
  <c r="K315" i="48"/>
  <c r="F315" i="48"/>
  <c r="D315" i="48"/>
  <c r="K314" i="48"/>
  <c r="F314" i="48"/>
  <c r="D314" i="48"/>
  <c r="K313" i="48"/>
  <c r="K318" i="48"/>
  <c r="F313" i="48"/>
  <c r="D313" i="48"/>
  <c r="F310" i="48"/>
  <c r="J309" i="48"/>
  <c r="F309" i="48"/>
  <c r="D309" i="48"/>
  <c r="F308" i="48"/>
  <c r="D308" i="48"/>
  <c r="I307" i="48"/>
  <c r="D307" i="48"/>
  <c r="F302" i="48"/>
  <c r="F300" i="48"/>
  <c r="F299" i="48"/>
  <c r="J298" i="48"/>
  <c r="F298" i="48"/>
  <c r="F297" i="48"/>
  <c r="H296" i="48"/>
  <c r="F296" i="48"/>
  <c r="F295" i="48"/>
  <c r="J292" i="48"/>
  <c r="I292" i="48"/>
  <c r="F292" i="48"/>
  <c r="K291" i="48"/>
  <c r="F291" i="48"/>
  <c r="K290" i="48"/>
  <c r="F290" i="48"/>
  <c r="J289" i="48"/>
  <c r="J307" i="48"/>
  <c r="I289" i="48"/>
  <c r="H289" i="48"/>
  <c r="H307" i="48"/>
  <c r="J282" i="48"/>
  <c r="J299" i="48"/>
  <c r="I282" i="48"/>
  <c r="I309" i="48"/>
  <c r="H282" i="48"/>
  <c r="H295" i="48"/>
  <c r="K281" i="48"/>
  <c r="B273" i="48"/>
  <c r="J267" i="48"/>
  <c r="J337" i="48"/>
  <c r="I267" i="48"/>
  <c r="H267" i="48"/>
  <c r="H337" i="48"/>
  <c r="J266" i="48"/>
  <c r="I266" i="48"/>
  <c r="I336" i="48"/>
  <c r="H266" i="48"/>
  <c r="I262" i="48"/>
  <c r="M259" i="48"/>
  <c r="J259" i="48"/>
  <c r="I259" i="48"/>
  <c r="J256" i="48"/>
  <c r="J262" i="48"/>
  <c r="I256" i="48"/>
  <c r="H256" i="48"/>
  <c r="H262" i="48"/>
  <c r="K255" i="48"/>
  <c r="K256" i="48"/>
  <c r="K254" i="48"/>
  <c r="L254" i="48"/>
  <c r="M254" i="48"/>
  <c r="J250" i="48"/>
  <c r="I250" i="48"/>
  <c r="H250" i="48"/>
  <c r="K248" i="48"/>
  <c r="J248" i="48"/>
  <c r="I248" i="48"/>
  <c r="H248" i="48"/>
  <c r="J246" i="48"/>
  <c r="I246" i="48"/>
  <c r="B237" i="48"/>
  <c r="B734" i="48"/>
  <c r="B783" i="48"/>
  <c r="C227" i="48"/>
  <c r="C226" i="48"/>
  <c r="O223" i="48"/>
  <c r="O287" i="48"/>
  <c r="O289" i="48"/>
  <c r="N223" i="48"/>
  <c r="N287" i="48"/>
  <c r="N289" i="48"/>
  <c r="M223" i="48"/>
  <c r="M287" i="48"/>
  <c r="L223" i="48"/>
  <c r="L287" i="48"/>
  <c r="K223" i="48"/>
  <c r="K287" i="48"/>
  <c r="K289" i="48"/>
  <c r="C221" i="48"/>
  <c r="C220" i="48"/>
  <c r="O217" i="48"/>
  <c r="O281" i="48"/>
  <c r="N217" i="48"/>
  <c r="N281" i="48"/>
  <c r="M217" i="48"/>
  <c r="M281" i="48"/>
  <c r="L217" i="48"/>
  <c r="L281" i="48"/>
  <c r="K217" i="48"/>
  <c r="C215" i="48"/>
  <c r="C214" i="48"/>
  <c r="O211" i="48"/>
  <c r="O333" i="48"/>
  <c r="N211" i="48"/>
  <c r="N333" i="48"/>
  <c r="M211" i="48"/>
  <c r="L211" i="48"/>
  <c r="L333" i="48"/>
  <c r="L341" i="48"/>
  <c r="K211" i="48"/>
  <c r="K333" i="48"/>
  <c r="C206" i="48"/>
  <c r="C205" i="48"/>
  <c r="C204" i="48"/>
  <c r="C230" i="48"/>
  <c r="O202" i="48"/>
  <c r="O259" i="48"/>
  <c r="N202" i="48"/>
  <c r="N259" i="48"/>
  <c r="M202" i="48"/>
  <c r="L202" i="48"/>
  <c r="L259" i="48"/>
  <c r="K202" i="48"/>
  <c r="K259" i="48"/>
  <c r="O200" i="48"/>
  <c r="N200" i="48"/>
  <c r="M200" i="48"/>
  <c r="L200" i="48"/>
  <c r="K200" i="48"/>
  <c r="C200" i="48"/>
  <c r="O199" i="48"/>
  <c r="N199" i="48"/>
  <c r="M199" i="48"/>
  <c r="L199" i="48"/>
  <c r="K199" i="48"/>
  <c r="C199" i="48"/>
  <c r="C198" i="48"/>
  <c r="O196" i="48"/>
  <c r="O245" i="48"/>
  <c r="N196" i="48"/>
  <c r="N245" i="48"/>
  <c r="N246" i="48"/>
  <c r="M196" i="48"/>
  <c r="M245" i="48"/>
  <c r="L196" i="48"/>
  <c r="L245" i="48"/>
  <c r="K196" i="48"/>
  <c r="K245" i="48"/>
  <c r="K246" i="48"/>
  <c r="K190" i="48"/>
  <c r="K242" i="48"/>
  <c r="B185" i="48"/>
  <c r="I172" i="48"/>
  <c r="I167" i="48"/>
  <c r="I162" i="48"/>
  <c r="O587" i="48"/>
  <c r="I157" i="48"/>
  <c r="I147" i="48"/>
  <c r="J677" i="48"/>
  <c r="I143" i="48"/>
  <c r="J759" i="48"/>
  <c r="K759" i="48"/>
  <c r="L759" i="48"/>
  <c r="M759" i="48"/>
  <c r="N759" i="48"/>
  <c r="O759" i="48"/>
  <c r="B136" i="48"/>
  <c r="K110" i="48"/>
  <c r="O344" i="48"/>
  <c r="J110" i="48"/>
  <c r="N344" i="48"/>
  <c r="I110" i="48"/>
  <c r="M344" i="48"/>
  <c r="H110" i="48"/>
  <c r="L344" i="48"/>
  <c r="G110" i="48"/>
  <c r="K344" i="48"/>
  <c r="F110" i="48"/>
  <c r="J344" i="48"/>
  <c r="H99" i="48"/>
  <c r="L391" i="48"/>
  <c r="G99" i="48"/>
  <c r="K391" i="48"/>
  <c r="H94" i="48"/>
  <c r="I94" i="48"/>
  <c r="J94" i="48"/>
  <c r="K94" i="48"/>
  <c r="G94" i="48"/>
  <c r="G105" i="48"/>
  <c r="G116" i="48"/>
  <c r="B85" i="48"/>
  <c r="J76" i="48"/>
  <c r="J75" i="48"/>
  <c r="E70" i="48"/>
  <c r="D58" i="48"/>
  <c r="B52" i="48"/>
  <c r="P44" i="48"/>
  <c r="F44" i="48"/>
  <c r="F42" i="48"/>
  <c r="P41" i="48"/>
  <c r="E31" i="48"/>
  <c r="E26" i="48"/>
  <c r="L23" i="48"/>
  <c r="L22" i="48"/>
  <c r="P20" i="48"/>
  <c r="L20" i="48"/>
  <c r="F20" i="48"/>
  <c r="P19" i="48"/>
  <c r="K791" i="47"/>
  <c r="L791" i="47"/>
  <c r="M791" i="47"/>
  <c r="N791" i="47"/>
  <c r="O791" i="47"/>
  <c r="O764" i="47"/>
  <c r="J764" i="47"/>
  <c r="K764" i="47"/>
  <c r="L764" i="47"/>
  <c r="M764" i="47"/>
  <c r="N764" i="47"/>
  <c r="K759" i="47"/>
  <c r="L759" i="47"/>
  <c r="M759" i="47"/>
  <c r="N759" i="47"/>
  <c r="O759" i="47"/>
  <c r="K718" i="47"/>
  <c r="L718" i="47"/>
  <c r="M718" i="47"/>
  <c r="N718" i="47"/>
  <c r="O718" i="47"/>
  <c r="O715" i="47"/>
  <c r="N715" i="47"/>
  <c r="M715" i="47"/>
  <c r="L715" i="47"/>
  <c r="K715" i="47"/>
  <c r="K709" i="47"/>
  <c r="L709" i="47"/>
  <c r="O706" i="47"/>
  <c r="N706" i="47"/>
  <c r="M706" i="47"/>
  <c r="L706" i="47"/>
  <c r="K706" i="47"/>
  <c r="K684" i="47"/>
  <c r="B650" i="47"/>
  <c r="L640" i="47"/>
  <c r="K640" i="47"/>
  <c r="K634" i="47"/>
  <c r="L634" i="47"/>
  <c r="M628" i="47"/>
  <c r="K628" i="47"/>
  <c r="L628" i="47"/>
  <c r="K625" i="47"/>
  <c r="B613" i="47"/>
  <c r="O599" i="47"/>
  <c r="N599" i="47"/>
  <c r="M599" i="47"/>
  <c r="L599" i="47"/>
  <c r="K599" i="47"/>
  <c r="N587" i="47"/>
  <c r="M587" i="47"/>
  <c r="L587" i="47"/>
  <c r="K587" i="47"/>
  <c r="O582" i="47"/>
  <c r="L582" i="47"/>
  <c r="D582" i="47"/>
  <c r="O581" i="47"/>
  <c r="N581" i="47"/>
  <c r="M581" i="47"/>
  <c r="L581" i="47"/>
  <c r="K581" i="47"/>
  <c r="O573" i="47"/>
  <c r="O620" i="47"/>
  <c r="O657" i="47"/>
  <c r="N573" i="47"/>
  <c r="N620" i="47"/>
  <c r="N657" i="47"/>
  <c r="M573" i="47"/>
  <c r="M620" i="47"/>
  <c r="M657" i="47"/>
  <c r="L573" i="47"/>
  <c r="L620" i="47"/>
  <c r="L657" i="47"/>
  <c r="K573" i="47"/>
  <c r="K620" i="47"/>
  <c r="K657" i="47"/>
  <c r="B566" i="47"/>
  <c r="B697" i="47"/>
  <c r="J557" i="47"/>
  <c r="O552" i="47"/>
  <c r="N552" i="47"/>
  <c r="M552" i="47"/>
  <c r="L552" i="47"/>
  <c r="K552" i="47"/>
  <c r="O551" i="47"/>
  <c r="N551" i="47"/>
  <c r="M551" i="47"/>
  <c r="L551" i="47"/>
  <c r="K551" i="47"/>
  <c r="O550" i="47"/>
  <c r="N550" i="47"/>
  <c r="M550" i="47"/>
  <c r="L550" i="47"/>
  <c r="K550" i="47"/>
  <c r="B536" i="47"/>
  <c r="K526" i="47"/>
  <c r="F524" i="47"/>
  <c r="K507" i="47"/>
  <c r="K503" i="47"/>
  <c r="E494" i="47"/>
  <c r="B489" i="47"/>
  <c r="J483" i="47"/>
  <c r="I483" i="47"/>
  <c r="H483" i="47"/>
  <c r="K474" i="47"/>
  <c r="L474" i="47"/>
  <c r="M474" i="47"/>
  <c r="N474" i="47"/>
  <c r="O474" i="47"/>
  <c r="F472" i="47"/>
  <c r="F471" i="47"/>
  <c r="B464" i="47"/>
  <c r="H455" i="47"/>
  <c r="J452" i="47"/>
  <c r="I452" i="47"/>
  <c r="H448" i="47"/>
  <c r="H450" i="47"/>
  <c r="J443" i="47"/>
  <c r="H441" i="47"/>
  <c r="M440" i="47"/>
  <c r="N440" i="47"/>
  <c r="O440" i="47"/>
  <c r="K440" i="47"/>
  <c r="L440" i="47"/>
  <c r="J440" i="47"/>
  <c r="J439" i="47"/>
  <c r="H434" i="47"/>
  <c r="N433" i="47"/>
  <c r="O433" i="47"/>
  <c r="K433" i="47"/>
  <c r="L433" i="47"/>
  <c r="M433" i="47"/>
  <c r="J433" i="47"/>
  <c r="J431" i="47"/>
  <c r="I431" i="47"/>
  <c r="H429" i="47"/>
  <c r="J428" i="47"/>
  <c r="K428" i="47"/>
  <c r="L428" i="47"/>
  <c r="M428" i="47"/>
  <c r="N428" i="47"/>
  <c r="O428" i="47"/>
  <c r="J427" i="47"/>
  <c r="J556" i="47"/>
  <c r="J426" i="47"/>
  <c r="J555" i="47"/>
  <c r="B417" i="47"/>
  <c r="O404" i="47"/>
  <c r="N404" i="47"/>
  <c r="M404" i="47"/>
  <c r="L404" i="47"/>
  <c r="K404" i="47"/>
  <c r="O402" i="47"/>
  <c r="N402" i="47"/>
  <c r="M402" i="47"/>
  <c r="L402" i="47"/>
  <c r="K402" i="47"/>
  <c r="L401" i="47"/>
  <c r="K401" i="47"/>
  <c r="K400" i="47"/>
  <c r="K392" i="47"/>
  <c r="L392" i="47"/>
  <c r="M392" i="47"/>
  <c r="N392" i="47"/>
  <c r="O392" i="47"/>
  <c r="B375" i="47"/>
  <c r="J347" i="47"/>
  <c r="I347" i="47"/>
  <c r="H347" i="47"/>
  <c r="L344" i="47"/>
  <c r="K341" i="47"/>
  <c r="L341" i="47"/>
  <c r="M341" i="47"/>
  <c r="N341" i="47"/>
  <c r="O341" i="47"/>
  <c r="H337" i="47"/>
  <c r="H336" i="47"/>
  <c r="K259" i="47"/>
  <c r="K332" i="47"/>
  <c r="J332" i="47"/>
  <c r="I332" i="47"/>
  <c r="H332" i="47"/>
  <c r="B325" i="47"/>
  <c r="F320" i="47"/>
  <c r="J318" i="47"/>
  <c r="I318" i="47"/>
  <c r="H318" i="47"/>
  <c r="F318" i="47"/>
  <c r="K317" i="47"/>
  <c r="F317" i="47"/>
  <c r="D317" i="47"/>
  <c r="K316" i="47"/>
  <c r="L211" i="47"/>
  <c r="L280" i="47"/>
  <c r="L316" i="47"/>
  <c r="F316" i="47"/>
  <c r="D316" i="47"/>
  <c r="K315" i="47"/>
  <c r="L315" i="47"/>
  <c r="F315" i="47"/>
  <c r="D315" i="47"/>
  <c r="L314" i="47"/>
  <c r="K314" i="47"/>
  <c r="F314" i="47"/>
  <c r="D314" i="47"/>
  <c r="K313" i="47"/>
  <c r="F313" i="47"/>
  <c r="D313" i="47"/>
  <c r="F310" i="47"/>
  <c r="H309" i="47"/>
  <c r="F309" i="47"/>
  <c r="D309" i="47"/>
  <c r="F308" i="47"/>
  <c r="D308" i="47"/>
  <c r="D307" i="47"/>
  <c r="F302" i="47"/>
  <c r="F300" i="47"/>
  <c r="F299" i="47"/>
  <c r="H298" i="47"/>
  <c r="F298" i="47"/>
  <c r="H297" i="47"/>
  <c r="F297" i="47"/>
  <c r="F296" i="47"/>
  <c r="J295" i="47"/>
  <c r="F295" i="47"/>
  <c r="F292" i="47"/>
  <c r="K291" i="47"/>
  <c r="F291" i="47"/>
  <c r="K290" i="47"/>
  <c r="F290" i="47"/>
  <c r="J289" i="47"/>
  <c r="J307" i="47"/>
  <c r="I289" i="47"/>
  <c r="H289" i="47"/>
  <c r="L223" i="47"/>
  <c r="L217" i="47"/>
  <c r="L281" i="47"/>
  <c r="L289" i="47"/>
  <c r="J282" i="47"/>
  <c r="I282" i="47"/>
  <c r="H282" i="47"/>
  <c r="H308" i="47"/>
  <c r="M217" i="47"/>
  <c r="M281" i="47"/>
  <c r="O211" i="47"/>
  <c r="O280" i="47"/>
  <c r="K211" i="47"/>
  <c r="K280" i="47"/>
  <c r="B273" i="47"/>
  <c r="J267" i="47"/>
  <c r="J337" i="47"/>
  <c r="I267" i="47"/>
  <c r="I337" i="47"/>
  <c r="H267" i="47"/>
  <c r="J266" i="47"/>
  <c r="J336" i="47"/>
  <c r="I266" i="47"/>
  <c r="I336" i="47"/>
  <c r="H266" i="47"/>
  <c r="H268" i="47"/>
  <c r="J262" i="47"/>
  <c r="O259" i="47"/>
  <c r="J259" i="47"/>
  <c r="I259" i="47"/>
  <c r="J256" i="47"/>
  <c r="I256" i="47"/>
  <c r="I262" i="47"/>
  <c r="H256" i="47"/>
  <c r="H262" i="47"/>
  <c r="K255" i="47"/>
  <c r="L255" i="47"/>
  <c r="M255" i="47"/>
  <c r="N255" i="47"/>
  <c r="O255" i="47"/>
  <c r="K254" i="47"/>
  <c r="J250" i="47"/>
  <c r="I250" i="47"/>
  <c r="H250" i="47"/>
  <c r="L248" i="47"/>
  <c r="M248" i="47"/>
  <c r="K248" i="47"/>
  <c r="J248" i="47"/>
  <c r="I248" i="47"/>
  <c r="H248" i="47"/>
  <c r="J246" i="47"/>
  <c r="I246" i="47"/>
  <c r="N196" i="47"/>
  <c r="N245" i="47"/>
  <c r="K196" i="47"/>
  <c r="K245" i="47"/>
  <c r="K246" i="47"/>
  <c r="K242" i="47"/>
  <c r="B237" i="47"/>
  <c r="B734" i="47"/>
  <c r="B783" i="47"/>
  <c r="C227" i="47"/>
  <c r="C226" i="47"/>
  <c r="O223" i="47"/>
  <c r="O217" i="47"/>
  <c r="O281" i="47"/>
  <c r="O289" i="47"/>
  <c r="N223" i="47"/>
  <c r="M223" i="47"/>
  <c r="K223" i="47"/>
  <c r="K217" i="47"/>
  <c r="K281" i="47"/>
  <c r="K289" i="47"/>
  <c r="K292" i="47"/>
  <c r="C221" i="47"/>
  <c r="C220" i="47"/>
  <c r="N217" i="47"/>
  <c r="N281" i="47"/>
  <c r="C215" i="47"/>
  <c r="C214" i="47"/>
  <c r="N211" i="47"/>
  <c r="N280" i="47"/>
  <c r="M211" i="47"/>
  <c r="M280" i="47"/>
  <c r="L291" i="47"/>
  <c r="C206" i="47"/>
  <c r="C205" i="47"/>
  <c r="C204" i="47"/>
  <c r="C230" i="47"/>
  <c r="N259" i="47"/>
  <c r="M259" i="47"/>
  <c r="L259" i="47"/>
  <c r="O200" i="47"/>
  <c r="N200" i="47"/>
  <c r="M200" i="47"/>
  <c r="L200" i="47"/>
  <c r="K200" i="47"/>
  <c r="C200" i="47"/>
  <c r="O199" i="47"/>
  <c r="N199" i="47"/>
  <c r="M199" i="47"/>
  <c r="L199" i="47"/>
  <c r="K199" i="47"/>
  <c r="C199" i="47"/>
  <c r="C198" i="47"/>
  <c r="O196" i="47"/>
  <c r="M196" i="47"/>
  <c r="M245" i="47"/>
  <c r="L196" i="47"/>
  <c r="L245" i="47"/>
  <c r="L190" i="47"/>
  <c r="M190" i="47"/>
  <c r="K190" i="47"/>
  <c r="B185" i="47"/>
  <c r="I172" i="47"/>
  <c r="I167" i="47"/>
  <c r="I162" i="47"/>
  <c r="O587" i="47"/>
  <c r="I157" i="47"/>
  <c r="I143" i="47"/>
  <c r="B136" i="47"/>
  <c r="K110" i="47"/>
  <c r="O344" i="47"/>
  <c r="J110" i="47"/>
  <c r="N344" i="47"/>
  <c r="I110" i="47"/>
  <c r="M344" i="47"/>
  <c r="H110" i="47"/>
  <c r="G110" i="47"/>
  <c r="K344" i="47"/>
  <c r="F110" i="47"/>
  <c r="J344" i="47"/>
  <c r="G105" i="47"/>
  <c r="H105" i="47"/>
  <c r="I105" i="47"/>
  <c r="J105" i="47"/>
  <c r="K105" i="47"/>
  <c r="F105" i="47"/>
  <c r="H99" i="47"/>
  <c r="L391" i="47"/>
  <c r="G99" i="47"/>
  <c r="K391" i="47"/>
  <c r="I94" i="47"/>
  <c r="J94" i="47"/>
  <c r="K94" i="47"/>
  <c r="H94" i="47"/>
  <c r="G94" i="47"/>
  <c r="B85" i="47"/>
  <c r="J76" i="47"/>
  <c r="J75" i="47"/>
  <c r="E70" i="47"/>
  <c r="D58" i="47"/>
  <c r="B52" i="47"/>
  <c r="P44" i="47"/>
  <c r="F44" i="47"/>
  <c r="F42" i="47"/>
  <c r="E31" i="47"/>
  <c r="E26" i="47"/>
  <c r="L23" i="47"/>
  <c r="L22" i="47"/>
  <c r="P20" i="47"/>
  <c r="L20" i="47"/>
  <c r="F20" i="47"/>
  <c r="P19" i="47"/>
  <c r="L10" i="47"/>
  <c r="L255" i="48"/>
  <c r="M634" i="48"/>
  <c r="L190" i="48"/>
  <c r="I268" i="48"/>
  <c r="I338" i="48"/>
  <c r="I299" i="48"/>
  <c r="H308" i="48"/>
  <c r="J268" i="48"/>
  <c r="J338" i="48"/>
  <c r="I295" i="48"/>
  <c r="L289" i="48"/>
  <c r="L400" i="48"/>
  <c r="K260" i="48"/>
  <c r="K282" i="48"/>
  <c r="M400" i="48"/>
  <c r="M291" i="47"/>
  <c r="L755" i="47"/>
  <c r="L527" i="47"/>
  <c r="L528" i="47"/>
  <c r="L393" i="47"/>
  <c r="M242" i="47"/>
  <c r="N190" i="47"/>
  <c r="L249" i="47"/>
  <c r="L250" i="47"/>
  <c r="M249" i="47"/>
  <c r="N248" i="47"/>
  <c r="K755" i="47"/>
  <c r="K393" i="47"/>
  <c r="K527" i="47"/>
  <c r="K528" i="47"/>
  <c r="K529" i="47"/>
  <c r="K499" i="47"/>
  <c r="K805" i="47"/>
  <c r="C806" i="47"/>
  <c r="K788" i="47"/>
  <c r="K702" i="47"/>
  <c r="K655" i="47"/>
  <c r="K618" i="47"/>
  <c r="K494" i="47"/>
  <c r="K469" i="47"/>
  <c r="K571" i="47"/>
  <c r="K524" i="47"/>
  <c r="K541" i="47"/>
  <c r="K739" i="47"/>
  <c r="K422" i="47"/>
  <c r="J242" i="47"/>
  <c r="J546" i="47"/>
  <c r="I96" i="47"/>
  <c r="G116" i="47"/>
  <c r="M250" i="47"/>
  <c r="L242" i="47"/>
  <c r="J268" i="47"/>
  <c r="K249" i="47"/>
  <c r="K250" i="47"/>
  <c r="M246" i="47"/>
  <c r="I268" i="47"/>
  <c r="J308" i="47"/>
  <c r="J310" i="47"/>
  <c r="J320" i="47"/>
  <c r="J340" i="47"/>
  <c r="J296" i="47"/>
  <c r="J309" i="47"/>
  <c r="J298" i="47"/>
  <c r="J297" i="47"/>
  <c r="M314" i="47"/>
  <c r="N289" i="47"/>
  <c r="J299" i="47"/>
  <c r="K318" i="47"/>
  <c r="K282" i="47"/>
  <c r="K295" i="47"/>
  <c r="L313" i="47"/>
  <c r="M315" i="47"/>
  <c r="D90" i="47"/>
  <c r="K299" i="47"/>
  <c r="K266" i="47"/>
  <c r="K262" i="47"/>
  <c r="H307" i="47"/>
  <c r="H310" i="47"/>
  <c r="H320" i="47"/>
  <c r="H340" i="47"/>
  <c r="H342" i="47"/>
  <c r="H345" i="47"/>
  <c r="H292" i="47"/>
  <c r="J300" i="47"/>
  <c r="L317" i="47"/>
  <c r="O246" i="47"/>
  <c r="N246" i="47"/>
  <c r="M289" i="47"/>
  <c r="K278" i="47"/>
  <c r="I307" i="47"/>
  <c r="K330" i="47"/>
  <c r="L246" i="47"/>
  <c r="I297" i="47"/>
  <c r="I295" i="47"/>
  <c r="I299" i="47"/>
  <c r="I309" i="47"/>
  <c r="I298" i="47"/>
  <c r="I296" i="47"/>
  <c r="I308" i="47"/>
  <c r="M316" i="47"/>
  <c r="K380" i="47"/>
  <c r="K256" i="47"/>
  <c r="L254" i="47"/>
  <c r="L290" i="47"/>
  <c r="H299" i="47"/>
  <c r="C213" i="47"/>
  <c r="O236" i="47"/>
  <c r="C219" i="47"/>
  <c r="C225" i="47"/>
  <c r="H457" i="47"/>
  <c r="H459" i="47"/>
  <c r="I292" i="47"/>
  <c r="H295" i="47"/>
  <c r="D516" i="47"/>
  <c r="D519" i="47"/>
  <c r="J292" i="47"/>
  <c r="H296" i="47"/>
  <c r="J676" i="47"/>
  <c r="J707" i="47"/>
  <c r="K705" i="47"/>
  <c r="K707" i="47"/>
  <c r="M640" i="47"/>
  <c r="K582" i="47"/>
  <c r="L246" i="48"/>
  <c r="L625" i="47"/>
  <c r="E161" i="48"/>
  <c r="F161" i="48"/>
  <c r="G161" i="48"/>
  <c r="H161" i="48"/>
  <c r="I161" i="48"/>
  <c r="G126" i="48"/>
  <c r="H116" i="48"/>
  <c r="K292" i="48"/>
  <c r="M582" i="47"/>
  <c r="N582" i="47"/>
  <c r="L684" i="47"/>
  <c r="M709" i="47"/>
  <c r="M634" i="47"/>
  <c r="H336" i="48"/>
  <c r="H268" i="48"/>
  <c r="H338" i="48"/>
  <c r="N628" i="47"/>
  <c r="L527" i="48"/>
  <c r="L528" i="48"/>
  <c r="L393" i="48"/>
  <c r="L755" i="48"/>
  <c r="K249" i="48"/>
  <c r="K267" i="48"/>
  <c r="K337" i="48"/>
  <c r="L248" i="48"/>
  <c r="I310" i="48"/>
  <c r="I320" i="48"/>
  <c r="I340" i="48"/>
  <c r="I342" i="48"/>
  <c r="I345" i="48"/>
  <c r="M246" i="48"/>
  <c r="K266" i="48"/>
  <c r="K262" i="48"/>
  <c r="M289" i="48"/>
  <c r="H105" i="48"/>
  <c r="I105" i="48"/>
  <c r="J105" i="48"/>
  <c r="K105" i="48"/>
  <c r="F105" i="48"/>
  <c r="J546" i="48"/>
  <c r="O246" i="48"/>
  <c r="M333" i="48"/>
  <c r="M341" i="48"/>
  <c r="N341" i="48"/>
  <c r="O341" i="48"/>
  <c r="M280" i="48"/>
  <c r="I96" i="48"/>
  <c r="K702" i="48"/>
  <c r="K655" i="48"/>
  <c r="K618" i="48"/>
  <c r="K788" i="48"/>
  <c r="K571" i="48"/>
  <c r="K541" i="48"/>
  <c r="K805" i="48"/>
  <c r="C806" i="48"/>
  <c r="K494" i="48"/>
  <c r="K469" i="48"/>
  <c r="K422" i="48"/>
  <c r="K739" i="48"/>
  <c r="K524" i="48"/>
  <c r="K380" i="48"/>
  <c r="K330" i="48"/>
  <c r="K278" i="48"/>
  <c r="J242" i="48"/>
  <c r="L10" i="48"/>
  <c r="N254" i="48"/>
  <c r="L242" i="48"/>
  <c r="M190" i="48"/>
  <c r="J295" i="48"/>
  <c r="J300" i="48"/>
  <c r="J302" i="48"/>
  <c r="I296" i="48"/>
  <c r="H297" i="48"/>
  <c r="I308" i="48"/>
  <c r="J336" i="48"/>
  <c r="K280" i="48"/>
  <c r="J296" i="48"/>
  <c r="I297" i="48"/>
  <c r="H298" i="48"/>
  <c r="J308" i="48"/>
  <c r="J310" i="48"/>
  <c r="J320" i="48"/>
  <c r="J340" i="48"/>
  <c r="H309" i="48"/>
  <c r="H450" i="48"/>
  <c r="H457" i="48"/>
  <c r="H459" i="48"/>
  <c r="K620" i="48"/>
  <c r="K657" i="48"/>
  <c r="K582" i="48"/>
  <c r="C213" i="48"/>
  <c r="O236" i="48"/>
  <c r="C219" i="48"/>
  <c r="C225" i="48"/>
  <c r="L280" i="48"/>
  <c r="L290" i="48"/>
  <c r="J297" i="48"/>
  <c r="I298" i="48"/>
  <c r="H299" i="48"/>
  <c r="K677" i="48"/>
  <c r="K681" i="48"/>
  <c r="N280" i="48"/>
  <c r="I425" i="48"/>
  <c r="K474" i="48"/>
  <c r="M401" i="48"/>
  <c r="N634" i="48"/>
  <c r="D90" i="48"/>
  <c r="O280" i="48"/>
  <c r="H292" i="48"/>
  <c r="K755" i="48"/>
  <c r="K527" i="48"/>
  <c r="K528" i="48"/>
  <c r="K529" i="48"/>
  <c r="K530" i="48"/>
  <c r="K499" i="48"/>
  <c r="K393" i="48"/>
  <c r="J558" i="48"/>
  <c r="J676" i="48"/>
  <c r="L620" i="48"/>
  <c r="L657" i="48"/>
  <c r="L582" i="48"/>
  <c r="N709" i="48"/>
  <c r="D516" i="48"/>
  <c r="K795" i="48"/>
  <c r="L705" i="48"/>
  <c r="L707" i="48"/>
  <c r="O628" i="48"/>
  <c r="N640" i="48"/>
  <c r="O684" i="48"/>
  <c r="K710" i="48"/>
  <c r="K452" i="48"/>
  <c r="O582" i="48"/>
  <c r="M582" i="48"/>
  <c r="N582" i="48"/>
  <c r="K308" i="48"/>
  <c r="K296" i="48"/>
  <c r="K309" i="48"/>
  <c r="L316" i="48"/>
  <c r="L317" i="48"/>
  <c r="K250" i="48"/>
  <c r="L291" i="48"/>
  <c r="H310" i="48"/>
  <c r="H320" i="48"/>
  <c r="H340" i="48"/>
  <c r="H342" i="48"/>
  <c r="H345" i="48"/>
  <c r="H300" i="48"/>
  <c r="H302" i="48"/>
  <c r="K332" i="48"/>
  <c r="I300" i="48"/>
  <c r="I302" i="48"/>
  <c r="M255" i="48"/>
  <c r="L256" i="48"/>
  <c r="L260" i="48"/>
  <c r="L332" i="48"/>
  <c r="H367" i="47"/>
  <c r="H348" i="47"/>
  <c r="H368" i="47"/>
  <c r="J547" i="47"/>
  <c r="J342" i="47"/>
  <c r="J547" i="48"/>
  <c r="J342" i="48"/>
  <c r="J345" i="48"/>
  <c r="I367" i="48"/>
  <c r="I348" i="48"/>
  <c r="I368" i="48"/>
  <c r="K268" i="48"/>
  <c r="K338" i="48"/>
  <c r="K336" i="48"/>
  <c r="M684" i="47"/>
  <c r="M290" i="48"/>
  <c r="K531" i="48"/>
  <c r="L526" i="48"/>
  <c r="O254" i="48"/>
  <c r="L529" i="48"/>
  <c r="L530" i="48"/>
  <c r="L499" i="48"/>
  <c r="K795" i="47"/>
  <c r="L705" i="47"/>
  <c r="L707" i="47"/>
  <c r="K452" i="47"/>
  <c r="K710" i="47"/>
  <c r="L282" i="47"/>
  <c r="L308" i="47"/>
  <c r="M290" i="47"/>
  <c r="K336" i="47"/>
  <c r="I99" i="47"/>
  <c r="M391" i="47"/>
  <c r="J96" i="47"/>
  <c r="N249" i="47"/>
  <c r="N250" i="47"/>
  <c r="O248" i="47"/>
  <c r="O249" i="47"/>
  <c r="O250" i="47"/>
  <c r="L499" i="47"/>
  <c r="K726" i="48"/>
  <c r="K403" i="48"/>
  <c r="K362" i="48"/>
  <c r="L474" i="48"/>
  <c r="L313" i="48"/>
  <c r="L315" i="48"/>
  <c r="D477" i="48"/>
  <c r="L282" i="48"/>
  <c r="L307" i="48"/>
  <c r="L256" i="47"/>
  <c r="L262" i="47"/>
  <c r="M254" i="47"/>
  <c r="K267" i="47"/>
  <c r="K337" i="47"/>
  <c r="M313" i="47"/>
  <c r="L318" i="47"/>
  <c r="I429" i="47"/>
  <c r="J425" i="47"/>
  <c r="O628" i="47"/>
  <c r="I310" i="47"/>
  <c r="I320" i="47"/>
  <c r="I340" i="47"/>
  <c r="I342" i="47"/>
  <c r="I345" i="47"/>
  <c r="L332" i="47"/>
  <c r="L267" i="47"/>
  <c r="L337" i="47"/>
  <c r="L266" i="47"/>
  <c r="N314" i="47"/>
  <c r="L795" i="48"/>
  <c r="M705" i="48"/>
  <c r="M707" i="48"/>
  <c r="L452" i="48"/>
  <c r="L710" i="48"/>
  <c r="O709" i="48"/>
  <c r="M242" i="48"/>
  <c r="N190" i="48"/>
  <c r="K299" i="48"/>
  <c r="K298" i="48"/>
  <c r="K297" i="48"/>
  <c r="K295" i="48"/>
  <c r="M625" i="47"/>
  <c r="L400" i="47"/>
  <c r="N640" i="47"/>
  <c r="J302" i="47"/>
  <c r="K297" i="47"/>
  <c r="K296" i="47"/>
  <c r="K298" i="47"/>
  <c r="K300" i="47"/>
  <c r="K302" i="47"/>
  <c r="K307" i="47"/>
  <c r="K309" i="47"/>
  <c r="L292" i="47"/>
  <c r="M316" i="48"/>
  <c r="J702" i="48"/>
  <c r="J655" i="48"/>
  <c r="J618" i="48"/>
  <c r="J571" i="48"/>
  <c r="J469" i="48"/>
  <c r="J541" i="48"/>
  <c r="J380" i="48"/>
  <c r="J330" i="48"/>
  <c r="J278" i="48"/>
  <c r="I242" i="48"/>
  <c r="D9" i="48"/>
  <c r="M317" i="47"/>
  <c r="O640" i="48"/>
  <c r="O733" i="48"/>
  <c r="O535" i="48"/>
  <c r="O696" i="48"/>
  <c r="O649" i="48"/>
  <c r="O612" i="48"/>
  <c r="O782" i="48"/>
  <c r="O463" i="48"/>
  <c r="O565" i="48"/>
  <c r="O488" i="48"/>
  <c r="O416" i="48"/>
  <c r="O374" i="48"/>
  <c r="O324" i="48"/>
  <c r="O272" i="48"/>
  <c r="L788" i="48"/>
  <c r="L571" i="48"/>
  <c r="L541" i="48"/>
  <c r="L543" i="48"/>
  <c r="L805" i="48"/>
  <c r="C807" i="48"/>
  <c r="L702" i="48"/>
  <c r="L494" i="48"/>
  <c r="L469" i="48"/>
  <c r="L422" i="48"/>
  <c r="L655" i="48"/>
  <c r="L739" i="48"/>
  <c r="L618" i="48"/>
  <c r="L524" i="48"/>
  <c r="L380" i="48"/>
  <c r="L330" i="48"/>
  <c r="L278" i="48"/>
  <c r="L11" i="48"/>
  <c r="K543" i="48"/>
  <c r="L299" i="48"/>
  <c r="M317" i="48"/>
  <c r="L249" i="48"/>
  <c r="L250" i="48"/>
  <c r="M248" i="48"/>
  <c r="L314" i="48"/>
  <c r="O696" i="47"/>
  <c r="O782" i="47"/>
  <c r="O733" i="47"/>
  <c r="O535" i="47"/>
  <c r="O488" i="47"/>
  <c r="O416" i="47"/>
  <c r="O463" i="47"/>
  <c r="O649" i="47"/>
  <c r="O612" i="47"/>
  <c r="O565" i="47"/>
  <c r="O324" i="47"/>
  <c r="O272" i="47"/>
  <c r="O374" i="47"/>
  <c r="I300" i="47"/>
  <c r="I302" i="47"/>
  <c r="N634" i="47"/>
  <c r="M401" i="47"/>
  <c r="L788" i="47"/>
  <c r="L805" i="47"/>
  <c r="C807" i="47"/>
  <c r="L739" i="47"/>
  <c r="L702" i="47"/>
  <c r="L655" i="47"/>
  <c r="L618" i="47"/>
  <c r="L422" i="47"/>
  <c r="L571" i="47"/>
  <c r="L524" i="47"/>
  <c r="L541" i="47"/>
  <c r="L543" i="47"/>
  <c r="L380" i="47"/>
  <c r="L494" i="47"/>
  <c r="L469" i="47"/>
  <c r="L330" i="47"/>
  <c r="L11" i="47"/>
  <c r="L278" i="47"/>
  <c r="D477" i="47"/>
  <c r="N242" i="47"/>
  <c r="O190" i="47"/>
  <c r="H126" i="48"/>
  <c r="I116" i="48"/>
  <c r="I429" i="48"/>
  <c r="J425" i="48"/>
  <c r="O634" i="48"/>
  <c r="N401" i="48"/>
  <c r="L309" i="48"/>
  <c r="M291" i="48"/>
  <c r="M292" i="48"/>
  <c r="N709" i="47"/>
  <c r="H300" i="47"/>
  <c r="H302" i="47"/>
  <c r="N316" i="47"/>
  <c r="J96" i="48"/>
  <c r="I99" i="48"/>
  <c r="M391" i="48"/>
  <c r="K307" i="48"/>
  <c r="K310" i="48"/>
  <c r="K320" i="48"/>
  <c r="K340" i="48"/>
  <c r="L292" i="48"/>
  <c r="K308" i="47"/>
  <c r="M788" i="47"/>
  <c r="M805" i="47"/>
  <c r="C808" i="47"/>
  <c r="M739" i="47"/>
  <c r="M541" i="47"/>
  <c r="M702" i="47"/>
  <c r="M655" i="47"/>
  <c r="M618" i="47"/>
  <c r="M494" i="47"/>
  <c r="M469" i="47"/>
  <c r="M571" i="47"/>
  <c r="M330" i="47"/>
  <c r="M278" i="47"/>
  <c r="M422" i="47"/>
  <c r="M380" i="47"/>
  <c r="M524" i="47"/>
  <c r="N315" i="47"/>
  <c r="E161" i="47"/>
  <c r="F161" i="47"/>
  <c r="G161" i="47"/>
  <c r="H161" i="47"/>
  <c r="I161" i="47"/>
  <c r="G126" i="47"/>
  <c r="H116" i="47"/>
  <c r="J702" i="47"/>
  <c r="J655" i="47"/>
  <c r="J618" i="47"/>
  <c r="J571" i="47"/>
  <c r="J541" i="47"/>
  <c r="K543" i="47"/>
  <c r="J380" i="47"/>
  <c r="J469" i="47"/>
  <c r="J330" i="47"/>
  <c r="J278" i="47"/>
  <c r="I242" i="47"/>
  <c r="N291" i="47"/>
  <c r="K300" i="48"/>
  <c r="K302" i="48"/>
  <c r="L262" i="48"/>
  <c r="N255" i="48"/>
  <c r="M256" i="48"/>
  <c r="L266" i="48"/>
  <c r="L298" i="48"/>
  <c r="M260" i="48"/>
  <c r="M332" i="48"/>
  <c r="M527" i="48"/>
  <c r="M528" i="48"/>
  <c r="M755" i="48"/>
  <c r="M393" i="48"/>
  <c r="N317" i="48"/>
  <c r="K268" i="47"/>
  <c r="K96" i="48"/>
  <c r="K99" i="48"/>
  <c r="O391" i="48"/>
  <c r="J99" i="48"/>
  <c r="N391" i="48"/>
  <c r="O291" i="47"/>
  <c r="L336" i="47"/>
  <c r="L268" i="47"/>
  <c r="N317" i="47"/>
  <c r="N242" i="48"/>
  <c r="O190" i="48"/>
  <c r="M313" i="48"/>
  <c r="L318" i="48"/>
  <c r="L295" i="48"/>
  <c r="K726" i="47"/>
  <c r="K403" i="47"/>
  <c r="K362" i="47"/>
  <c r="N290" i="48"/>
  <c r="J753" i="48"/>
  <c r="J367" i="48"/>
  <c r="J348" i="48"/>
  <c r="J368" i="48"/>
  <c r="G9" i="48"/>
  <c r="H126" i="47"/>
  <c r="I116" i="47"/>
  <c r="O401" i="48"/>
  <c r="D478" i="47"/>
  <c r="N316" i="48"/>
  <c r="M256" i="47"/>
  <c r="N254" i="47"/>
  <c r="M543" i="47"/>
  <c r="N705" i="48"/>
  <c r="N707" i="48"/>
  <c r="M795" i="48"/>
  <c r="M452" i="48"/>
  <c r="M710" i="48"/>
  <c r="N290" i="47"/>
  <c r="M292" i="47"/>
  <c r="J742" i="48"/>
  <c r="J579" i="48"/>
  <c r="J429" i="48"/>
  <c r="K410" i="48"/>
  <c r="O640" i="47"/>
  <c r="J742" i="47"/>
  <c r="K410" i="47"/>
  <c r="J429" i="47"/>
  <c r="J579" i="47"/>
  <c r="M315" i="48"/>
  <c r="L297" i="48"/>
  <c r="L531" i="48"/>
  <c r="M526" i="48"/>
  <c r="I469" i="47"/>
  <c r="I541" i="47"/>
  <c r="I380" i="47"/>
  <c r="I330" i="47"/>
  <c r="I278" i="47"/>
  <c r="H242" i="47"/>
  <c r="O316" i="47"/>
  <c r="N291" i="48"/>
  <c r="I126" i="48"/>
  <c r="J116" i="48"/>
  <c r="O634" i="47"/>
  <c r="N401" i="47"/>
  <c r="M314" i="48"/>
  <c r="L296" i="48"/>
  <c r="M788" i="48"/>
  <c r="M571" i="48"/>
  <c r="M541" i="48"/>
  <c r="M543" i="48"/>
  <c r="M805" i="48"/>
  <c r="C808" i="48"/>
  <c r="M739" i="48"/>
  <c r="M702" i="48"/>
  <c r="M494" i="48"/>
  <c r="M469" i="48"/>
  <c r="M655" i="48"/>
  <c r="M618" i="48"/>
  <c r="M524" i="48"/>
  <c r="M380" i="48"/>
  <c r="M330" i="48"/>
  <c r="M278" i="48"/>
  <c r="M422" i="48"/>
  <c r="L336" i="48"/>
  <c r="M474" i="48"/>
  <c r="L308" i="48"/>
  <c r="L310" i="48"/>
  <c r="L726" i="48"/>
  <c r="L362" i="48"/>
  <c r="L403" i="48"/>
  <c r="M332" i="47"/>
  <c r="M267" i="47"/>
  <c r="M337" i="47"/>
  <c r="M262" i="47"/>
  <c r="M282" i="47"/>
  <c r="M266" i="47"/>
  <c r="K546" i="48"/>
  <c r="K555" i="48"/>
  <c r="O709" i="47"/>
  <c r="J543" i="47"/>
  <c r="J550" i="47"/>
  <c r="O315" i="47"/>
  <c r="H367" i="48"/>
  <c r="H348" i="48"/>
  <c r="H368" i="48"/>
  <c r="K310" i="47"/>
  <c r="K320" i="47"/>
  <c r="K340" i="47"/>
  <c r="L309" i="47"/>
  <c r="L307" i="47"/>
  <c r="L300" i="47"/>
  <c r="L302" i="47"/>
  <c r="L267" i="48"/>
  <c r="L337" i="48"/>
  <c r="K96" i="47"/>
  <c r="K99" i="47"/>
  <c r="O391" i="47"/>
  <c r="J99" i="47"/>
  <c r="N391" i="47"/>
  <c r="L795" i="47"/>
  <c r="M705" i="47"/>
  <c r="M707" i="47"/>
  <c r="L452" i="47"/>
  <c r="L710" i="47"/>
  <c r="J753" i="47"/>
  <c r="J348" i="47"/>
  <c r="J368" i="47"/>
  <c r="J367" i="47"/>
  <c r="K547" i="48"/>
  <c r="K342" i="48"/>
  <c r="K345" i="48"/>
  <c r="O242" i="47"/>
  <c r="E64" i="47"/>
  <c r="M249" i="48"/>
  <c r="M250" i="48"/>
  <c r="N248" i="48"/>
  <c r="I469" i="48"/>
  <c r="I541" i="48"/>
  <c r="J543" i="48"/>
  <c r="I380" i="48"/>
  <c r="I330" i="48"/>
  <c r="I278" i="48"/>
  <c r="H242" i="48"/>
  <c r="N625" i="47"/>
  <c r="M400" i="47"/>
  <c r="O314" i="47"/>
  <c r="I367" i="47"/>
  <c r="I348" i="47"/>
  <c r="I368" i="47"/>
  <c r="N313" i="47"/>
  <c r="M318" i="47"/>
  <c r="M755" i="47"/>
  <c r="M393" i="47"/>
  <c r="M527" i="47"/>
  <c r="M528" i="47"/>
  <c r="M499" i="47"/>
  <c r="N684" i="47"/>
  <c r="N805" i="47"/>
  <c r="C809" i="47"/>
  <c r="N739" i="47"/>
  <c r="N702" i="47"/>
  <c r="N655" i="47"/>
  <c r="N618" i="47"/>
  <c r="N788" i="47"/>
  <c r="N571" i="47"/>
  <c r="N524" i="47"/>
  <c r="N494" i="47"/>
  <c r="N469" i="47"/>
  <c r="N422" i="47"/>
  <c r="N330" i="47"/>
  <c r="N278" i="47"/>
  <c r="N541" i="47"/>
  <c r="N543" i="47"/>
  <c r="N380" i="47"/>
  <c r="D478" i="48"/>
  <c r="E477" i="48"/>
  <c r="K477" i="48"/>
  <c r="M262" i="48"/>
  <c r="O255" i="48"/>
  <c r="O256" i="48"/>
  <c r="N256" i="48"/>
  <c r="M282" i="48"/>
  <c r="M307" i="48"/>
  <c r="M266" i="48"/>
  <c r="N260" i="48"/>
  <c r="N266" i="48"/>
  <c r="M529" i="48"/>
  <c r="M530" i="48"/>
  <c r="M499" i="48"/>
  <c r="K498" i="47"/>
  <c r="K383" i="47"/>
  <c r="K431" i="47"/>
  <c r="J550" i="48"/>
  <c r="J551" i="48"/>
  <c r="J552" i="48"/>
  <c r="K483" i="48"/>
  <c r="K347" i="48"/>
  <c r="K348" i="48"/>
  <c r="L477" i="48"/>
  <c r="M307" i="47"/>
  <c r="M309" i="47"/>
  <c r="L726" i="47"/>
  <c r="L403" i="47"/>
  <c r="L362" i="47"/>
  <c r="K753" i="48"/>
  <c r="K790" i="48"/>
  <c r="K792" i="48"/>
  <c r="K367" i="48"/>
  <c r="N10" i="48"/>
  <c r="N474" i="48"/>
  <c r="N256" i="47"/>
  <c r="N262" i="47"/>
  <c r="O254" i="47"/>
  <c r="O256" i="47"/>
  <c r="M308" i="48"/>
  <c r="M299" i="48"/>
  <c r="J551" i="47"/>
  <c r="K426" i="48"/>
  <c r="O401" i="47"/>
  <c r="M531" i="48"/>
  <c r="N526" i="48"/>
  <c r="M308" i="47"/>
  <c r="I126" i="47"/>
  <c r="J116" i="47"/>
  <c r="O242" i="48"/>
  <c r="E64" i="48"/>
  <c r="O317" i="48"/>
  <c r="J552" i="47"/>
  <c r="M336" i="48"/>
  <c r="M795" i="47"/>
  <c r="N705" i="47"/>
  <c r="N707" i="47"/>
  <c r="M452" i="47"/>
  <c r="M710" i="47"/>
  <c r="L310" i="47"/>
  <c r="L320" i="47"/>
  <c r="L340" i="47"/>
  <c r="N332" i="47"/>
  <c r="N267" i="47"/>
  <c r="N337" i="47"/>
  <c r="N282" i="47"/>
  <c r="N266" i="47"/>
  <c r="K116" i="48"/>
  <c r="K126" i="48"/>
  <c r="J126" i="48"/>
  <c r="O290" i="47"/>
  <c r="N292" i="47"/>
  <c r="O316" i="48"/>
  <c r="N571" i="48"/>
  <c r="N541" i="48"/>
  <c r="N543" i="48"/>
  <c r="N805" i="48"/>
  <c r="C809" i="48"/>
  <c r="N739" i="48"/>
  <c r="N702" i="48"/>
  <c r="N494" i="48"/>
  <c r="N469" i="48"/>
  <c r="N422" i="48"/>
  <c r="N655" i="48"/>
  <c r="N788" i="48"/>
  <c r="N618" i="48"/>
  <c r="N524" i="48"/>
  <c r="N380" i="48"/>
  <c r="N330" i="48"/>
  <c r="N278" i="48"/>
  <c r="O684" i="47"/>
  <c r="D479" i="48"/>
  <c r="E478" i="48"/>
  <c r="O313" i="47"/>
  <c r="N318" i="47"/>
  <c r="O739" i="47"/>
  <c r="O788" i="47"/>
  <c r="O805" i="47"/>
  <c r="C810" i="47"/>
  <c r="O571" i="47"/>
  <c r="O541" i="47"/>
  <c r="O543" i="47"/>
  <c r="O702" i="47"/>
  <c r="O655" i="47"/>
  <c r="O618" i="47"/>
  <c r="O494" i="47"/>
  <c r="O469" i="47"/>
  <c r="O422" i="47"/>
  <c r="O524" i="47"/>
  <c r="O330" i="47"/>
  <c r="O380" i="47"/>
  <c r="O278" i="47"/>
  <c r="L546" i="47"/>
  <c r="M267" i="48"/>
  <c r="M337" i="48"/>
  <c r="K556" i="48"/>
  <c r="K427" i="48"/>
  <c r="K557" i="48"/>
  <c r="K439" i="48"/>
  <c r="M336" i="47"/>
  <c r="M268" i="47"/>
  <c r="L268" i="48"/>
  <c r="L338" i="48"/>
  <c r="H469" i="47"/>
  <c r="H330" i="47"/>
  <c r="H380" i="47"/>
  <c r="H278" i="47"/>
  <c r="N315" i="48"/>
  <c r="M297" i="48"/>
  <c r="M726" i="48"/>
  <c r="M362" i="48"/>
  <c r="M403" i="48"/>
  <c r="M298" i="48"/>
  <c r="F21" i="48"/>
  <c r="G11" i="48"/>
  <c r="F23" i="48"/>
  <c r="F22" i="48"/>
  <c r="F24" i="48"/>
  <c r="F25" i="48"/>
  <c r="I44" i="48"/>
  <c r="O317" i="47"/>
  <c r="O291" i="48"/>
  <c r="K583" i="47"/>
  <c r="K577" i="47"/>
  <c r="D479" i="47"/>
  <c r="O755" i="47"/>
  <c r="O527" i="47"/>
  <c r="O528" i="47"/>
  <c r="O393" i="47"/>
  <c r="M309" i="48"/>
  <c r="L300" i="48"/>
  <c r="L302" i="48"/>
  <c r="N527" i="48"/>
  <c r="N528" i="48"/>
  <c r="N393" i="48"/>
  <c r="N755" i="48"/>
  <c r="N755" i="47"/>
  <c r="N527" i="47"/>
  <c r="N528" i="47"/>
  <c r="N499" i="47"/>
  <c r="N393" i="47"/>
  <c r="I44" i="47"/>
  <c r="M300" i="47"/>
  <c r="M302" i="47"/>
  <c r="O625" i="47"/>
  <c r="O400" i="47"/>
  <c r="N400" i="47"/>
  <c r="K547" i="47"/>
  <c r="K342" i="47"/>
  <c r="K345" i="47"/>
  <c r="N314" i="48"/>
  <c r="M296" i="48"/>
  <c r="K583" i="48"/>
  <c r="K577" i="48"/>
  <c r="N795" i="48"/>
  <c r="N452" i="48"/>
  <c r="O705" i="48"/>
  <c r="O707" i="48"/>
  <c r="N710" i="48"/>
  <c r="K546" i="47"/>
  <c r="L320" i="48"/>
  <c r="L340" i="48"/>
  <c r="O755" i="48"/>
  <c r="O527" i="48"/>
  <c r="O528" i="48"/>
  <c r="O393" i="48"/>
  <c r="O248" i="48"/>
  <c r="O249" i="48"/>
  <c r="O250" i="48"/>
  <c r="N249" i="48"/>
  <c r="N250" i="48"/>
  <c r="H380" i="48"/>
  <c r="H469" i="48"/>
  <c r="H330" i="48"/>
  <c r="H278" i="48"/>
  <c r="O290" i="48"/>
  <c r="N292" i="48"/>
  <c r="M318" i="48"/>
  <c r="M295" i="48"/>
  <c r="N313" i="48"/>
  <c r="O260" i="48"/>
  <c r="M310" i="48"/>
  <c r="N332" i="48"/>
  <c r="N282" i="48"/>
  <c r="N307" i="48"/>
  <c r="N262" i="48"/>
  <c r="L478" i="48"/>
  <c r="M478" i="48"/>
  <c r="N529" i="48"/>
  <c r="N530" i="48"/>
  <c r="N499" i="48"/>
  <c r="K753" i="47"/>
  <c r="K790" i="47"/>
  <c r="K792" i="47"/>
  <c r="K367" i="47"/>
  <c r="N10" i="47"/>
  <c r="I446" i="47"/>
  <c r="J446" i="47"/>
  <c r="O10" i="47"/>
  <c r="I438" i="48"/>
  <c r="F26" i="48"/>
  <c r="L546" i="48"/>
  <c r="L555" i="48"/>
  <c r="N307" i="47"/>
  <c r="N309" i="47"/>
  <c r="O705" i="47"/>
  <c r="O707" i="47"/>
  <c r="N795" i="47"/>
  <c r="N452" i="47"/>
  <c r="N710" i="47"/>
  <c r="K498" i="48"/>
  <c r="K383" i="48"/>
  <c r="K431" i="48"/>
  <c r="L547" i="48"/>
  <c r="L342" i="48"/>
  <c r="L345" i="48"/>
  <c r="O10" i="48"/>
  <c r="P24" i="48"/>
  <c r="P40" i="48"/>
  <c r="P42" i="48"/>
  <c r="O292" i="48"/>
  <c r="N336" i="48"/>
  <c r="J591" i="47"/>
  <c r="I444" i="47"/>
  <c r="J677" i="47"/>
  <c r="O541" i="48"/>
  <c r="O543" i="48"/>
  <c r="O805" i="48"/>
  <c r="C810" i="48"/>
  <c r="O739" i="48"/>
  <c r="O702" i="48"/>
  <c r="O655" i="48"/>
  <c r="O618" i="48"/>
  <c r="O571" i="48"/>
  <c r="O788" i="48"/>
  <c r="O524" i="48"/>
  <c r="O469" i="48"/>
  <c r="O422" i="48"/>
  <c r="O494" i="48"/>
  <c r="O330" i="48"/>
  <c r="O278" i="48"/>
  <c r="O380" i="48"/>
  <c r="K368" i="48"/>
  <c r="N267" i="48"/>
  <c r="N337" i="48"/>
  <c r="N726" i="48"/>
  <c r="N403" i="48"/>
  <c r="N362" i="48"/>
  <c r="D480" i="47"/>
  <c r="M546" i="47"/>
  <c r="O318" i="47"/>
  <c r="O292" i="47"/>
  <c r="J126" i="47"/>
  <c r="K116" i="47"/>
  <c r="K126" i="47"/>
  <c r="K676" i="48"/>
  <c r="L677" i="48"/>
  <c r="L681" i="48"/>
  <c r="O267" i="48"/>
  <c r="O337" i="48"/>
  <c r="O266" i="48"/>
  <c r="O262" i="48"/>
  <c r="O282" i="48"/>
  <c r="O307" i="48"/>
  <c r="O332" i="48"/>
  <c r="O452" i="48"/>
  <c r="O795" i="48"/>
  <c r="O710" i="48"/>
  <c r="O314" i="48"/>
  <c r="O296" i="48"/>
  <c r="I447" i="48"/>
  <c r="J447" i="48"/>
  <c r="P23" i="48"/>
  <c r="N308" i="47"/>
  <c r="O267" i="47"/>
  <c r="O337" i="47"/>
  <c r="O266" i="47"/>
  <c r="O262" i="47"/>
  <c r="O282" i="47"/>
  <c r="O332" i="47"/>
  <c r="M268" i="48"/>
  <c r="M338" i="48"/>
  <c r="K558" i="48"/>
  <c r="M310" i="47"/>
  <c r="M320" i="47"/>
  <c r="M340" i="47"/>
  <c r="O315" i="48"/>
  <c r="N336" i="47"/>
  <c r="N268" i="47"/>
  <c r="I447" i="47"/>
  <c r="J447" i="47"/>
  <c r="I446" i="48"/>
  <c r="J446" i="48"/>
  <c r="P22" i="48"/>
  <c r="E479" i="48"/>
  <c r="M479" i="48"/>
  <c r="D480" i="48"/>
  <c r="L347" i="47"/>
  <c r="M320" i="48"/>
  <c r="M340" i="48"/>
  <c r="N318" i="48"/>
  <c r="O313" i="48"/>
  <c r="J603" i="47"/>
  <c r="I445" i="47"/>
  <c r="J445" i="47"/>
  <c r="O499" i="47"/>
  <c r="J591" i="48"/>
  <c r="I444" i="48"/>
  <c r="P21" i="48"/>
  <c r="L547" i="47"/>
  <c r="L342" i="47"/>
  <c r="L345" i="47"/>
  <c r="N531" i="48"/>
  <c r="O526" i="48"/>
  <c r="O474" i="48"/>
  <c r="M300" i="48"/>
  <c r="M302" i="48"/>
  <c r="K556" i="47"/>
  <c r="K427" i="47"/>
  <c r="K557" i="47"/>
  <c r="K439" i="47"/>
  <c r="I438" i="47"/>
  <c r="F26" i="47"/>
  <c r="N309" i="48"/>
  <c r="J603" i="48"/>
  <c r="I445" i="48"/>
  <c r="J445" i="48"/>
  <c r="M477" i="48"/>
  <c r="M726" i="47"/>
  <c r="M362" i="47"/>
  <c r="M403" i="47"/>
  <c r="O299" i="48"/>
  <c r="N298" i="48"/>
  <c r="N296" i="48"/>
  <c r="N299" i="48"/>
  <c r="O297" i="48"/>
  <c r="L483" i="48"/>
  <c r="L347" i="48"/>
  <c r="N297" i="48"/>
  <c r="N295" i="48"/>
  <c r="N300" i="48"/>
  <c r="N302" i="48"/>
  <c r="N308" i="48"/>
  <c r="N478" i="48"/>
  <c r="N310" i="48"/>
  <c r="M483" i="48"/>
  <c r="M347" i="48"/>
  <c r="M498" i="48"/>
  <c r="P29" i="48"/>
  <c r="N477" i="48"/>
  <c r="O477" i="48"/>
  <c r="L753" i="48"/>
  <c r="L790" i="48"/>
  <c r="L792" i="48"/>
  <c r="N11" i="48"/>
  <c r="O11" i="48"/>
  <c r="L367" i="48"/>
  <c r="N347" i="47"/>
  <c r="J745" i="47"/>
  <c r="J626" i="47"/>
  <c r="I441" i="47"/>
  <c r="J438" i="47"/>
  <c r="O531" i="47"/>
  <c r="L590" i="48"/>
  <c r="K590" i="48"/>
  <c r="M590" i="48"/>
  <c r="K589" i="48"/>
  <c r="O590" i="48"/>
  <c r="N590" i="48"/>
  <c r="N320" i="48"/>
  <c r="N340" i="48"/>
  <c r="L498" i="47"/>
  <c r="L383" i="47"/>
  <c r="L431" i="47"/>
  <c r="O308" i="48"/>
  <c r="P46" i="47"/>
  <c r="I432" i="47"/>
  <c r="M383" i="48"/>
  <c r="M347" i="47"/>
  <c r="O268" i="47"/>
  <c r="O336" i="47"/>
  <c r="O726" i="48"/>
  <c r="O403" i="48"/>
  <c r="O362" i="48"/>
  <c r="O309" i="48"/>
  <c r="K677" i="47"/>
  <c r="K681" i="47"/>
  <c r="P46" i="48"/>
  <c r="I432" i="48"/>
  <c r="F43" i="48"/>
  <c r="M547" i="48"/>
  <c r="M342" i="48"/>
  <c r="M345" i="48"/>
  <c r="D481" i="48"/>
  <c r="E481" i="48"/>
  <c r="O481" i="48"/>
  <c r="E480" i="48"/>
  <c r="N480" i="48"/>
  <c r="O480" i="48"/>
  <c r="J746" i="47"/>
  <c r="J772" i="47"/>
  <c r="J636" i="47"/>
  <c r="K633" i="47"/>
  <c r="M547" i="47"/>
  <c r="M342" i="47"/>
  <c r="M345" i="47"/>
  <c r="N726" i="47"/>
  <c r="N403" i="47"/>
  <c r="N362" i="47"/>
  <c r="N310" i="47"/>
  <c r="N320" i="47"/>
  <c r="N340" i="47"/>
  <c r="L426" i="48"/>
  <c r="K368" i="47"/>
  <c r="O268" i="48"/>
  <c r="O338" i="48"/>
  <c r="O336" i="48"/>
  <c r="K676" i="47"/>
  <c r="L677" i="47"/>
  <c r="L681" i="47"/>
  <c r="K426" i="47"/>
  <c r="L753" i="47"/>
  <c r="L790" i="47"/>
  <c r="L792" i="47"/>
  <c r="L367" i="47"/>
  <c r="L348" i="47"/>
  <c r="J444" i="47"/>
  <c r="I448" i="47"/>
  <c r="I450" i="47"/>
  <c r="O298" i="48"/>
  <c r="O602" i="48"/>
  <c r="N602" i="48"/>
  <c r="N662" i="48"/>
  <c r="K601" i="48"/>
  <c r="M602" i="48"/>
  <c r="L602" i="48"/>
  <c r="L662" i="48"/>
  <c r="K602" i="48"/>
  <c r="K662" i="48"/>
  <c r="L556" i="47"/>
  <c r="L427" i="47"/>
  <c r="L557" i="47"/>
  <c r="L439" i="47"/>
  <c r="O602" i="47"/>
  <c r="N602" i="47"/>
  <c r="K602" i="47"/>
  <c r="M602" i="47"/>
  <c r="M590" i="47"/>
  <c r="M662" i="47"/>
  <c r="L602" i="47"/>
  <c r="K601" i="47"/>
  <c r="K560" i="48"/>
  <c r="K386" i="48"/>
  <c r="O478" i="48"/>
  <c r="O479" i="48"/>
  <c r="L590" i="47"/>
  <c r="L399" i="47"/>
  <c r="K590" i="47"/>
  <c r="K399" i="47"/>
  <c r="O590" i="47"/>
  <c r="O399" i="47"/>
  <c r="N590" i="47"/>
  <c r="N399" i="47"/>
  <c r="K589" i="47"/>
  <c r="K591" i="47"/>
  <c r="N479" i="48"/>
  <c r="I454" i="48"/>
  <c r="J454" i="48"/>
  <c r="J728" i="48"/>
  <c r="K724" i="48"/>
  <c r="F45" i="48"/>
  <c r="O529" i="48"/>
  <c r="O530" i="48"/>
  <c r="O499" i="48"/>
  <c r="M546" i="48"/>
  <c r="M555" i="48"/>
  <c r="D481" i="47"/>
  <c r="O795" i="47"/>
  <c r="O452" i="47"/>
  <c r="O710" i="47"/>
  <c r="J438" i="48"/>
  <c r="I441" i="48"/>
  <c r="J444" i="48"/>
  <c r="I448" i="48"/>
  <c r="I450" i="48"/>
  <c r="O307" i="47"/>
  <c r="O309" i="47"/>
  <c r="O318" i="48"/>
  <c r="O295" i="48"/>
  <c r="J626" i="48"/>
  <c r="J745" i="48"/>
  <c r="N546" i="47"/>
  <c r="J746" i="48"/>
  <c r="J772" i="48"/>
  <c r="J636" i="48"/>
  <c r="K633" i="48"/>
  <c r="O308" i="47"/>
  <c r="N300" i="47"/>
  <c r="N302" i="47"/>
  <c r="N268" i="48"/>
  <c r="N338" i="48"/>
  <c r="L556" i="48"/>
  <c r="L427" i="48"/>
  <c r="L557" i="48"/>
  <c r="L439" i="48"/>
  <c r="K591" i="48"/>
  <c r="K603" i="48"/>
  <c r="M662" i="48"/>
  <c r="L498" i="48"/>
  <c r="L383" i="48"/>
  <c r="L431" i="48"/>
  <c r="M431" i="48"/>
  <c r="O662" i="48"/>
  <c r="L558" i="48"/>
  <c r="O531" i="48"/>
  <c r="O300" i="48"/>
  <c r="O302" i="48"/>
  <c r="O310" i="48"/>
  <c r="L348" i="48"/>
  <c r="O483" i="48"/>
  <c r="O347" i="48"/>
  <c r="L399" i="48"/>
  <c r="O320" i="48"/>
  <c r="O340" i="48"/>
  <c r="J744" i="48"/>
  <c r="J448" i="48"/>
  <c r="K662" i="47"/>
  <c r="J744" i="47"/>
  <c r="J448" i="47"/>
  <c r="L676" i="48"/>
  <c r="M677" i="48"/>
  <c r="M681" i="48"/>
  <c r="M556" i="47"/>
  <c r="M427" i="47"/>
  <c r="M557" i="47"/>
  <c r="M439" i="47"/>
  <c r="J432" i="48"/>
  <c r="I434" i="48"/>
  <c r="N547" i="48"/>
  <c r="N342" i="48"/>
  <c r="M426" i="48"/>
  <c r="N498" i="47"/>
  <c r="N383" i="47"/>
  <c r="I45" i="48"/>
  <c r="N662" i="47"/>
  <c r="L601" i="48"/>
  <c r="L603" i="48"/>
  <c r="K445" i="48"/>
  <c r="K560" i="47"/>
  <c r="K386" i="47"/>
  <c r="N547" i="47"/>
  <c r="N342" i="47"/>
  <c r="N345" i="47"/>
  <c r="N399" i="48"/>
  <c r="J668" i="47"/>
  <c r="J743" i="47"/>
  <c r="J441" i="47"/>
  <c r="I43" i="48"/>
  <c r="F46" i="48"/>
  <c r="O662" i="47"/>
  <c r="L368" i="47"/>
  <c r="I43" i="47"/>
  <c r="O399" i="48"/>
  <c r="O726" i="47"/>
  <c r="O362" i="47"/>
  <c r="O403" i="47"/>
  <c r="M790" i="47"/>
  <c r="M792" i="47"/>
  <c r="M753" i="47"/>
  <c r="M348" i="47"/>
  <c r="O11" i="47"/>
  <c r="M367" i="47"/>
  <c r="L676" i="47"/>
  <c r="M677" i="47"/>
  <c r="M681" i="47"/>
  <c r="L386" i="47"/>
  <c r="L426" i="47"/>
  <c r="O546" i="48"/>
  <c r="O555" i="48"/>
  <c r="J432" i="47"/>
  <c r="I434" i="47"/>
  <c r="L589" i="48"/>
  <c r="L591" i="48"/>
  <c r="K444" i="48"/>
  <c r="K744" i="48"/>
  <c r="K624" i="47"/>
  <c r="K626" i="47"/>
  <c r="K629" i="47"/>
  <c r="L368" i="48"/>
  <c r="O347" i="47"/>
  <c r="M399" i="47"/>
  <c r="L560" i="48"/>
  <c r="L386" i="48"/>
  <c r="O546" i="47"/>
  <c r="M399" i="48"/>
  <c r="N483" i="48"/>
  <c r="N347" i="48"/>
  <c r="K603" i="47"/>
  <c r="O300" i="47"/>
  <c r="O302" i="47"/>
  <c r="K444" i="47"/>
  <c r="L589" i="47"/>
  <c r="L591" i="47"/>
  <c r="N546" i="48"/>
  <c r="N555" i="48"/>
  <c r="N345" i="48"/>
  <c r="K624" i="48"/>
  <c r="K626" i="48"/>
  <c r="K629" i="48"/>
  <c r="O310" i="47"/>
  <c r="O320" i="47"/>
  <c r="O340" i="47"/>
  <c r="J668" i="48"/>
  <c r="J743" i="48"/>
  <c r="J747" i="48"/>
  <c r="J441" i="48"/>
  <c r="M753" i="48"/>
  <c r="M790" i="48"/>
  <c r="M792" i="48"/>
  <c r="M348" i="48"/>
  <c r="M367" i="48"/>
  <c r="L662" i="47"/>
  <c r="I454" i="47"/>
  <c r="J454" i="47"/>
  <c r="J728" i="47"/>
  <c r="K724" i="47"/>
  <c r="M556" i="48"/>
  <c r="M427" i="48"/>
  <c r="M557" i="48"/>
  <c r="M439" i="48"/>
  <c r="M498" i="47"/>
  <c r="M383" i="47"/>
  <c r="M431" i="47"/>
  <c r="N431" i="47"/>
  <c r="K399" i="48"/>
  <c r="I46" i="48"/>
  <c r="O498" i="47"/>
  <c r="O383" i="47"/>
  <c r="L444" i="47"/>
  <c r="M589" i="47"/>
  <c r="M591" i="47"/>
  <c r="L624" i="47"/>
  <c r="L626" i="47"/>
  <c r="K446" i="47"/>
  <c r="K745" i="47"/>
  <c r="L629" i="47"/>
  <c r="J450" i="48"/>
  <c r="J774" i="48"/>
  <c r="J748" i="48"/>
  <c r="L601" i="47"/>
  <c r="L603" i="47"/>
  <c r="K445" i="47"/>
  <c r="K744" i="47"/>
  <c r="J774" i="47"/>
  <c r="J748" i="47"/>
  <c r="J761" i="48"/>
  <c r="N383" i="48"/>
  <c r="N431" i="48"/>
  <c r="N498" i="48"/>
  <c r="M589" i="48"/>
  <c r="M591" i="48"/>
  <c r="L444" i="48"/>
  <c r="K666" i="47"/>
  <c r="J682" i="47"/>
  <c r="M601" i="48"/>
  <c r="M603" i="48"/>
  <c r="L445" i="48"/>
  <c r="M558" i="48"/>
  <c r="M676" i="47"/>
  <c r="N677" i="47"/>
  <c r="N681" i="47"/>
  <c r="M386" i="47"/>
  <c r="M426" i="47"/>
  <c r="O547" i="48"/>
  <c r="O342" i="48"/>
  <c r="O345" i="48"/>
  <c r="O431" i="47"/>
  <c r="O547" i="47"/>
  <c r="O342" i="47"/>
  <c r="O345" i="47"/>
  <c r="M676" i="48"/>
  <c r="N677" i="48"/>
  <c r="N681" i="48"/>
  <c r="N426" i="48"/>
  <c r="K666" i="48"/>
  <c r="J682" i="48"/>
  <c r="I45" i="47"/>
  <c r="I46" i="47"/>
  <c r="G45" i="47"/>
  <c r="J450" i="47"/>
  <c r="O426" i="48"/>
  <c r="K432" i="48"/>
  <c r="L432" i="48"/>
  <c r="M432" i="48"/>
  <c r="N432" i="48"/>
  <c r="O432" i="48"/>
  <c r="J434" i="48"/>
  <c r="K446" i="48"/>
  <c r="K745" i="48"/>
  <c r="L624" i="48"/>
  <c r="L626" i="48"/>
  <c r="L629" i="48"/>
  <c r="K432" i="47"/>
  <c r="L432" i="47"/>
  <c r="M432" i="47"/>
  <c r="N432" i="47"/>
  <c r="O432" i="47"/>
  <c r="J434" i="47"/>
  <c r="G44" i="48"/>
  <c r="F34" i="48"/>
  <c r="N790" i="47"/>
  <c r="N792" i="47"/>
  <c r="N753" i="47"/>
  <c r="N348" i="47"/>
  <c r="N367" i="47"/>
  <c r="G45" i="48"/>
  <c r="N556" i="48"/>
  <c r="N427" i="48"/>
  <c r="N557" i="48"/>
  <c r="N439" i="48"/>
  <c r="J761" i="47"/>
  <c r="J574" i="48"/>
  <c r="G44" i="47"/>
  <c r="M368" i="48"/>
  <c r="N790" i="48"/>
  <c r="N792" i="48"/>
  <c r="N753" i="48"/>
  <c r="N367" i="48"/>
  <c r="N348" i="48"/>
  <c r="M368" i="47"/>
  <c r="G43" i="47"/>
  <c r="G46" i="47"/>
  <c r="G43" i="48"/>
  <c r="G46" i="48"/>
  <c r="N557" i="47"/>
  <c r="N439" i="47"/>
  <c r="N556" i="47"/>
  <c r="N427" i="47"/>
  <c r="O383" i="48"/>
  <c r="O498" i="48"/>
  <c r="K638" i="48"/>
  <c r="J621" i="48"/>
  <c r="J658" i="48"/>
  <c r="K593" i="48"/>
  <c r="O790" i="47"/>
  <c r="O792" i="47"/>
  <c r="O753" i="47"/>
  <c r="O367" i="47"/>
  <c r="O348" i="47"/>
  <c r="M560" i="48"/>
  <c r="M386" i="48"/>
  <c r="M601" i="47"/>
  <c r="M603" i="47"/>
  <c r="L445" i="47"/>
  <c r="G30" i="47"/>
  <c r="G29" i="47"/>
  <c r="F31" i="47"/>
  <c r="N676" i="47"/>
  <c r="O677" i="47"/>
  <c r="O681" i="47"/>
  <c r="N426" i="47"/>
  <c r="O556" i="47"/>
  <c r="O427" i="47"/>
  <c r="O557" i="47"/>
  <c r="O439" i="47"/>
  <c r="O431" i="48"/>
  <c r="L446" i="47"/>
  <c r="L745" i="47"/>
  <c r="M624" i="47"/>
  <c r="M626" i="47"/>
  <c r="M629" i="47"/>
  <c r="O790" i="48"/>
  <c r="O792" i="48"/>
  <c r="O753" i="48"/>
  <c r="O367" i="48"/>
  <c r="O348" i="48"/>
  <c r="K679" i="47"/>
  <c r="K685" i="47"/>
  <c r="L744" i="47"/>
  <c r="K679" i="48"/>
  <c r="K685" i="48"/>
  <c r="M444" i="47"/>
  <c r="N589" i="47"/>
  <c r="N591" i="47"/>
  <c r="O556" i="48"/>
  <c r="O557" i="48"/>
  <c r="O439" i="48"/>
  <c r="N601" i="48"/>
  <c r="N603" i="48"/>
  <c r="M445" i="48"/>
  <c r="N368" i="48"/>
  <c r="N558" i="48"/>
  <c r="L744" i="48"/>
  <c r="G30" i="48"/>
  <c r="G29" i="48"/>
  <c r="G20" i="48"/>
  <c r="F31" i="48"/>
  <c r="G22" i="48"/>
  <c r="G24" i="48"/>
  <c r="G21" i="48"/>
  <c r="G25" i="48"/>
  <c r="G23" i="48"/>
  <c r="N368" i="47"/>
  <c r="N676" i="48"/>
  <c r="O677" i="48"/>
  <c r="O681" i="48"/>
  <c r="L446" i="48"/>
  <c r="L745" i="48"/>
  <c r="M624" i="48"/>
  <c r="M626" i="48"/>
  <c r="M629" i="48"/>
  <c r="N589" i="48"/>
  <c r="N591" i="48"/>
  <c r="M444" i="48"/>
  <c r="M744" i="48"/>
  <c r="G26" i="48"/>
  <c r="O601" i="48"/>
  <c r="O603" i="48"/>
  <c r="O445" i="48"/>
  <c r="N445" i="48"/>
  <c r="O368" i="48"/>
  <c r="O386" i="47"/>
  <c r="O676" i="47"/>
  <c r="O426" i="47"/>
  <c r="O589" i="48"/>
  <c r="O591" i="48"/>
  <c r="N444" i="48"/>
  <c r="K639" i="48"/>
  <c r="K643" i="48"/>
  <c r="K642" i="48"/>
  <c r="N624" i="48"/>
  <c r="N626" i="48"/>
  <c r="M446" i="48"/>
  <c r="M745" i="48"/>
  <c r="N629" i="48"/>
  <c r="O560" i="48"/>
  <c r="O386" i="48"/>
  <c r="O427" i="48"/>
  <c r="O676" i="48"/>
  <c r="O558" i="48"/>
  <c r="J621" i="47"/>
  <c r="J658" i="47"/>
  <c r="N601" i="47"/>
  <c r="N603" i="47"/>
  <c r="M445" i="47"/>
  <c r="M744" i="47"/>
  <c r="N386" i="47"/>
  <c r="N624" i="47"/>
  <c r="N626" i="47"/>
  <c r="M446" i="47"/>
  <c r="M745" i="47"/>
  <c r="N629" i="47"/>
  <c r="N560" i="48"/>
  <c r="N386" i="48"/>
  <c r="J806" i="48"/>
  <c r="I453" i="48"/>
  <c r="G31" i="48"/>
  <c r="G32" i="48"/>
  <c r="G34" i="48"/>
  <c r="F32" i="48"/>
  <c r="I31" i="48"/>
  <c r="K798" i="48"/>
  <c r="I30" i="48"/>
  <c r="O589" i="47"/>
  <c r="O591" i="47"/>
  <c r="N444" i="47"/>
  <c r="J806" i="47"/>
  <c r="I453" i="47"/>
  <c r="I31" i="47"/>
  <c r="K798" i="47"/>
  <c r="G31" i="47"/>
  <c r="G32" i="47"/>
  <c r="I30" i="47"/>
  <c r="I32" i="47"/>
  <c r="F32" i="47"/>
  <c r="O368" i="47"/>
  <c r="K594" i="48"/>
  <c r="K595" i="48"/>
  <c r="K605" i="48"/>
  <c r="K606" i="48"/>
  <c r="K607" i="48"/>
  <c r="K670" i="48"/>
  <c r="K671" i="48"/>
  <c r="K672" i="48"/>
  <c r="K689" i="48"/>
  <c r="N744" i="48"/>
  <c r="K350" i="48"/>
  <c r="O444" i="47"/>
  <c r="O601" i="47"/>
  <c r="O603" i="47"/>
  <c r="O445" i="47"/>
  <c r="O744" i="47"/>
  <c r="L798" i="47"/>
  <c r="I32" i="48"/>
  <c r="N445" i="47"/>
  <c r="J453" i="47"/>
  <c r="I455" i="47"/>
  <c r="I457" i="47"/>
  <c r="I459" i="47"/>
  <c r="K605" i="47"/>
  <c r="K606" i="47"/>
  <c r="K607" i="47"/>
  <c r="K594" i="47"/>
  <c r="K595" i="47"/>
  <c r="K670" i="47"/>
  <c r="K671" i="47"/>
  <c r="K639" i="47"/>
  <c r="K643" i="47"/>
  <c r="O444" i="48"/>
  <c r="O744" i="48"/>
  <c r="L798" i="48"/>
  <c r="J453" i="48"/>
  <c r="I455" i="48"/>
  <c r="I457" i="48"/>
  <c r="I459" i="48"/>
  <c r="K644" i="48"/>
  <c r="K635" i="48"/>
  <c r="K636" i="48"/>
  <c r="K690" i="48"/>
  <c r="K351" i="48"/>
  <c r="K384" i="48"/>
  <c r="N446" i="47"/>
  <c r="N745" i="47"/>
  <c r="O624" i="47"/>
  <c r="O626" i="47"/>
  <c r="O446" i="47"/>
  <c r="O745" i="47"/>
  <c r="O629" i="47"/>
  <c r="J807" i="47"/>
  <c r="O624" i="48"/>
  <c r="O626" i="48"/>
  <c r="O446" i="48"/>
  <c r="O745" i="48"/>
  <c r="N446" i="48"/>
  <c r="N745" i="48"/>
  <c r="O629" i="48"/>
  <c r="N744" i="47"/>
  <c r="J807" i="48"/>
  <c r="G34" i="47"/>
  <c r="J808" i="48"/>
  <c r="M798" i="48"/>
  <c r="M798" i="47"/>
  <c r="J716" i="47"/>
  <c r="K714" i="47"/>
  <c r="K716" i="47"/>
  <c r="J455" i="47"/>
  <c r="K352" i="48"/>
  <c r="J716" i="48"/>
  <c r="K714" i="48"/>
  <c r="K716" i="48"/>
  <c r="J455" i="48"/>
  <c r="L633" i="48"/>
  <c r="K447" i="48"/>
  <c r="K746" i="48"/>
  <c r="K772" i="48"/>
  <c r="K691" i="48"/>
  <c r="K690" i="47"/>
  <c r="K351" i="47"/>
  <c r="K384" i="47"/>
  <c r="K644" i="47"/>
  <c r="J808" i="47"/>
  <c r="L714" i="48"/>
  <c r="L716" i="48"/>
  <c r="K453" i="48"/>
  <c r="N798" i="47"/>
  <c r="N798" i="48"/>
  <c r="J749" i="47"/>
  <c r="J750" i="47"/>
  <c r="J457" i="47"/>
  <c r="J459" i="47"/>
  <c r="K754" i="48"/>
  <c r="K354" i="48"/>
  <c r="J809" i="47"/>
  <c r="L714" i="47"/>
  <c r="L716" i="47"/>
  <c r="K453" i="47"/>
  <c r="J809" i="48"/>
  <c r="K447" i="47"/>
  <c r="K746" i="47"/>
  <c r="K772" i="47"/>
  <c r="J749" i="48"/>
  <c r="J750" i="48"/>
  <c r="J457" i="48"/>
  <c r="J459" i="48"/>
  <c r="J810" i="47"/>
  <c r="O798" i="47"/>
  <c r="O798" i="48"/>
  <c r="K496" i="48"/>
  <c r="M714" i="47"/>
  <c r="M716" i="47"/>
  <c r="L453" i="47"/>
  <c r="J810" i="48"/>
  <c r="K766" i="48"/>
  <c r="K767" i="48"/>
  <c r="K778" i="48"/>
  <c r="M714" i="48"/>
  <c r="M716" i="48"/>
  <c r="L453" i="48"/>
  <c r="N714" i="48"/>
  <c r="N716" i="48"/>
  <c r="M453" i="48"/>
  <c r="N714" i="47"/>
  <c r="N716" i="47"/>
  <c r="M453" i="47"/>
  <c r="K500" i="48"/>
  <c r="K516" i="48"/>
  <c r="K504" i="48"/>
  <c r="O714" i="47"/>
  <c r="O716" i="47"/>
  <c r="O453" i="47"/>
  <c r="N453" i="47"/>
  <c r="O714" i="48"/>
  <c r="O716" i="48"/>
  <c r="O453" i="48"/>
  <c r="N453" i="48"/>
  <c r="K511" i="48"/>
  <c r="L503" i="48"/>
  <c r="K505" i="48"/>
  <c r="K508" i="48"/>
  <c r="K509" i="48"/>
  <c r="L507" i="48"/>
  <c r="K512" i="48"/>
  <c r="K514" i="48"/>
  <c r="K519" i="48"/>
  <c r="K356" i="48"/>
  <c r="K520" i="48"/>
  <c r="K521" i="48"/>
  <c r="K357" i="48"/>
  <c r="K385" i="48"/>
  <c r="K443" i="48"/>
  <c r="K448" i="48"/>
  <c r="K358" i="48"/>
  <c r="K360" i="48"/>
  <c r="K382" i="48"/>
  <c r="K387" i="48"/>
  <c r="K395" i="48"/>
  <c r="K661" i="48"/>
  <c r="K725" i="48"/>
  <c r="K363" i="48"/>
  <c r="K719" i="48"/>
  <c r="K720" i="48"/>
  <c r="K727" i="48"/>
  <c r="K405" i="48"/>
  <c r="K663" i="48"/>
  <c r="K664" i="48"/>
  <c r="K667" i="48"/>
  <c r="K728" i="48"/>
  <c r="K680" i="48"/>
  <c r="K682" i="48"/>
  <c r="K398" i="48"/>
  <c r="K406" i="48"/>
  <c r="K409" i="48"/>
  <c r="K668" i="48"/>
  <c r="L724" i="48"/>
  <c r="K454" i="48"/>
  <c r="K455" i="48"/>
  <c r="K749" i="48"/>
  <c r="L666" i="48"/>
  <c r="K438" i="48"/>
  <c r="K574" i="48"/>
  <c r="K578" i="48"/>
  <c r="K579" i="48"/>
  <c r="K411" i="48"/>
  <c r="L679" i="48"/>
  <c r="L685" i="48"/>
  <c r="K743" i="48"/>
  <c r="K441" i="48"/>
  <c r="K450" i="48"/>
  <c r="K457" i="48"/>
  <c r="K425" i="48"/>
  <c r="L410" i="48"/>
  <c r="L638" i="48"/>
  <c r="K621" i="48"/>
  <c r="K658" i="48"/>
  <c r="L593" i="48"/>
  <c r="L577" i="48"/>
  <c r="L583" i="48"/>
  <c r="K742" i="48"/>
  <c r="K429" i="48"/>
  <c r="K434" i="48"/>
  <c r="K459" i="48"/>
  <c r="L639" i="48"/>
  <c r="L643" i="48"/>
  <c r="L642" i="48"/>
  <c r="L594" i="48"/>
  <c r="L595" i="48"/>
  <c r="L605" i="48"/>
  <c r="L606" i="48"/>
  <c r="L607" i="48"/>
  <c r="L670" i="48"/>
  <c r="L671" i="48"/>
  <c r="L672" i="48"/>
  <c r="K747" i="48"/>
  <c r="K762" i="48"/>
  <c r="K761" i="48"/>
  <c r="K774" i="48"/>
  <c r="K748" i="48"/>
  <c r="L635" i="48"/>
  <c r="L636" i="48"/>
  <c r="L690" i="48"/>
  <c r="L351" i="48"/>
  <c r="L384" i="48"/>
  <c r="L644" i="48"/>
  <c r="L689" i="48"/>
  <c r="L691" i="48"/>
  <c r="L350" i="48"/>
  <c r="L352" i="48"/>
  <c r="M633" i="48"/>
  <c r="L447" i="48"/>
  <c r="L746" i="48"/>
  <c r="L772" i="48"/>
  <c r="K794" i="48"/>
  <c r="K796" i="48"/>
  <c r="K799" i="48"/>
  <c r="K806" i="48"/>
  <c r="K750" i="48"/>
  <c r="K369" i="48"/>
  <c r="K776" i="48"/>
  <c r="G806" i="48"/>
  <c r="F806" i="48"/>
  <c r="L754" i="48"/>
  <c r="L354" i="48"/>
  <c r="L496" i="48"/>
  <c r="L778" i="48"/>
  <c r="L766" i="48"/>
  <c r="L767" i="48"/>
  <c r="L500" i="48"/>
  <c r="L516" i="48"/>
  <c r="L504" i="48"/>
  <c r="L505" i="48"/>
  <c r="L508" i="48"/>
  <c r="L509" i="48"/>
  <c r="M507" i="48"/>
  <c r="L511" i="48"/>
  <c r="L512" i="48"/>
  <c r="M503" i="48"/>
  <c r="L514" i="48"/>
  <c r="L519" i="48"/>
  <c r="L356" i="48"/>
  <c r="L520" i="48"/>
  <c r="L521" i="48"/>
  <c r="L357" i="48"/>
  <c r="L385" i="48"/>
  <c r="L443" i="48"/>
  <c r="L358" i="48"/>
  <c r="L360" i="48"/>
  <c r="L725" i="48"/>
  <c r="L382" i="48"/>
  <c r="L387" i="48"/>
  <c r="L395" i="48"/>
  <c r="L661" i="48"/>
  <c r="L363" i="48"/>
  <c r="L719" i="48"/>
  <c r="L720" i="48"/>
  <c r="L448" i="48"/>
  <c r="L727" i="48"/>
  <c r="L405" i="48"/>
  <c r="L663" i="48"/>
  <c r="L664" i="48"/>
  <c r="L667" i="48"/>
  <c r="L728" i="48"/>
  <c r="M724" i="48"/>
  <c r="L454" i="48"/>
  <c r="L455" i="48"/>
  <c r="L680" i="48"/>
  <c r="L682" i="48"/>
  <c r="L398" i="48"/>
  <c r="L406" i="48"/>
  <c r="L409" i="48"/>
  <c r="L668" i="48"/>
  <c r="M666" i="48"/>
  <c r="L438" i="48"/>
  <c r="L574" i="48"/>
  <c r="L578" i="48"/>
  <c r="L579" i="48"/>
  <c r="L411" i="48"/>
  <c r="M679" i="48"/>
  <c r="M685" i="48"/>
  <c r="L749" i="48"/>
  <c r="L425" i="48"/>
  <c r="M410" i="48"/>
  <c r="M577" i="48"/>
  <c r="M583" i="48"/>
  <c r="L621" i="48"/>
  <c r="L658" i="48"/>
  <c r="M593" i="48"/>
  <c r="M638" i="48"/>
  <c r="L743" i="48"/>
  <c r="L441" i="48"/>
  <c r="L450" i="48"/>
  <c r="L457" i="48"/>
  <c r="L747" i="48"/>
  <c r="L762" i="48"/>
  <c r="L761" i="48"/>
  <c r="L742" i="48"/>
  <c r="L429" i="48"/>
  <c r="L434" i="48"/>
  <c r="L459" i="48"/>
  <c r="M639" i="48"/>
  <c r="M643" i="48"/>
  <c r="M642" i="48"/>
  <c r="M605" i="48"/>
  <c r="M606" i="48"/>
  <c r="M607" i="48"/>
  <c r="M670" i="48"/>
  <c r="M671" i="48"/>
  <c r="M672" i="48"/>
  <c r="M594" i="48"/>
  <c r="M595" i="48"/>
  <c r="M689" i="48"/>
  <c r="L774" i="48"/>
  <c r="L748" i="48"/>
  <c r="M635" i="48"/>
  <c r="M636" i="48"/>
  <c r="M690" i="48"/>
  <c r="M351" i="48"/>
  <c r="M384" i="48"/>
  <c r="M644" i="48"/>
  <c r="N633" i="48"/>
  <c r="M447" i="48"/>
  <c r="M746" i="48"/>
  <c r="M772" i="48"/>
  <c r="L794" i="48"/>
  <c r="L796" i="48"/>
  <c r="L799" i="48"/>
  <c r="L807" i="48"/>
  <c r="L750" i="48"/>
  <c r="L369" i="48"/>
  <c r="M691" i="48"/>
  <c r="M350" i="48"/>
  <c r="M352" i="48"/>
  <c r="M754" i="48"/>
  <c r="M354" i="48"/>
  <c r="L776" i="48"/>
  <c r="G807" i="48"/>
  <c r="F807" i="48"/>
  <c r="M496" i="48"/>
  <c r="M767" i="48"/>
  <c r="M778" i="48"/>
  <c r="M766" i="48"/>
  <c r="M516" i="48"/>
  <c r="M500" i="48"/>
  <c r="M504" i="48"/>
  <c r="M505" i="48"/>
  <c r="M508" i="48"/>
  <c r="M509" i="48"/>
  <c r="N507" i="48"/>
  <c r="M511" i="48"/>
  <c r="N503" i="48"/>
  <c r="M512" i="48"/>
  <c r="M514" i="48"/>
  <c r="M519" i="48"/>
  <c r="M356" i="48"/>
  <c r="M520" i="48"/>
  <c r="M357" i="48"/>
  <c r="M385" i="48"/>
  <c r="M443" i="48"/>
  <c r="M358" i="48"/>
  <c r="M360" i="48"/>
  <c r="M521" i="48"/>
  <c r="M448" i="48"/>
  <c r="M725" i="48"/>
  <c r="M382" i="48"/>
  <c r="M387" i="48"/>
  <c r="M395" i="48"/>
  <c r="M661" i="48"/>
  <c r="M363" i="48"/>
  <c r="M719" i="48"/>
  <c r="M720" i="48"/>
  <c r="M727" i="48"/>
  <c r="M728" i="48"/>
  <c r="M405" i="48"/>
  <c r="M663" i="48"/>
  <c r="M664" i="48"/>
  <c r="M667" i="48"/>
  <c r="M680" i="48"/>
  <c r="M682" i="48"/>
  <c r="M398" i="48"/>
  <c r="M406" i="48"/>
  <c r="M409" i="48"/>
  <c r="M668" i="48"/>
  <c r="N724" i="48"/>
  <c r="M454" i="48"/>
  <c r="M455" i="48"/>
  <c r="N666" i="48"/>
  <c r="M438" i="48"/>
  <c r="M574" i="48"/>
  <c r="M749" i="48"/>
  <c r="M578" i="48"/>
  <c r="M579" i="48"/>
  <c r="M411" i="48"/>
  <c r="N679" i="48"/>
  <c r="N685" i="48"/>
  <c r="M425" i="48"/>
  <c r="N410" i="48"/>
  <c r="M621" i="48"/>
  <c r="M658" i="48"/>
  <c r="N593" i="48"/>
  <c r="N638" i="48"/>
  <c r="M743" i="48"/>
  <c r="M441" i="48"/>
  <c r="M450" i="48"/>
  <c r="M457" i="48"/>
  <c r="N577" i="48"/>
  <c r="N583" i="48"/>
  <c r="M747" i="48"/>
  <c r="M762" i="48"/>
  <c r="M761" i="48"/>
  <c r="N639" i="48"/>
  <c r="N643" i="48"/>
  <c r="N642" i="48"/>
  <c r="N670" i="48"/>
  <c r="N671" i="48"/>
  <c r="N672" i="48"/>
  <c r="N689" i="48"/>
  <c r="N594" i="48"/>
  <c r="N595" i="48"/>
  <c r="N605" i="48"/>
  <c r="N606" i="48"/>
  <c r="N607" i="48"/>
  <c r="M429" i="48"/>
  <c r="M434" i="48"/>
  <c r="M459" i="48"/>
  <c r="M742" i="48"/>
  <c r="N635" i="48"/>
  <c r="N636" i="48"/>
  <c r="N690" i="48"/>
  <c r="N351" i="48"/>
  <c r="N384" i="48"/>
  <c r="N644" i="48"/>
  <c r="N350" i="48"/>
  <c r="N352" i="48"/>
  <c r="M774" i="48"/>
  <c r="M748" i="48"/>
  <c r="N754" i="48"/>
  <c r="N354" i="48"/>
  <c r="M794" i="48"/>
  <c r="M796" i="48"/>
  <c r="M799" i="48"/>
  <c r="M808" i="48"/>
  <c r="M750" i="48"/>
  <c r="M369" i="48"/>
  <c r="N691" i="48"/>
  <c r="O633" i="48"/>
  <c r="N447" i="48"/>
  <c r="N746" i="48"/>
  <c r="N772" i="48"/>
  <c r="F808" i="48"/>
  <c r="G808" i="48"/>
  <c r="N496" i="48"/>
  <c r="M776" i="48"/>
  <c r="N766" i="48"/>
  <c r="N778" i="48"/>
  <c r="N767" i="48"/>
  <c r="N500" i="48"/>
  <c r="N516" i="48"/>
  <c r="N504" i="48"/>
  <c r="N505" i="48"/>
  <c r="N508" i="48"/>
  <c r="N509" i="48"/>
  <c r="O507" i="48"/>
  <c r="N511" i="48"/>
  <c r="O503" i="48"/>
  <c r="N512" i="48"/>
  <c r="N514" i="48"/>
  <c r="N519" i="48"/>
  <c r="N356" i="48"/>
  <c r="N520" i="48"/>
  <c r="N357" i="48"/>
  <c r="N385" i="48"/>
  <c r="N443" i="48"/>
  <c r="N521" i="48"/>
  <c r="N448" i="48"/>
  <c r="N358" i="48"/>
  <c r="N360" i="48"/>
  <c r="N725" i="48"/>
  <c r="N382" i="48"/>
  <c r="N387" i="48"/>
  <c r="N395" i="48"/>
  <c r="N661" i="48"/>
  <c r="N363" i="48"/>
  <c r="N719" i="48"/>
  <c r="N720" i="48"/>
  <c r="N727" i="48"/>
  <c r="N405" i="48"/>
  <c r="N663" i="48"/>
  <c r="N664" i="48"/>
  <c r="N667" i="48"/>
  <c r="N728" i="48"/>
  <c r="N454" i="48"/>
  <c r="N455" i="48"/>
  <c r="O724" i="48"/>
  <c r="N680" i="48"/>
  <c r="N682" i="48"/>
  <c r="N398" i="48"/>
  <c r="N406" i="48"/>
  <c r="N409" i="48"/>
  <c r="N668" i="48"/>
  <c r="O666" i="48"/>
  <c r="N438" i="48"/>
  <c r="N574" i="48"/>
  <c r="O679" i="48"/>
  <c r="O685" i="48"/>
  <c r="N578" i="48"/>
  <c r="N579" i="48"/>
  <c r="N411" i="48"/>
  <c r="N749" i="48"/>
  <c r="O410" i="48"/>
  <c r="N425" i="48"/>
  <c r="O583" i="48"/>
  <c r="O577" i="48"/>
  <c r="N621" i="48"/>
  <c r="N658" i="48"/>
  <c r="O593" i="48"/>
  <c r="O638" i="48"/>
  <c r="N743" i="48"/>
  <c r="N441" i="48"/>
  <c r="N450" i="48"/>
  <c r="N457" i="48"/>
  <c r="O670" i="48"/>
  <c r="O671" i="48"/>
  <c r="O672" i="48"/>
  <c r="O594" i="48"/>
  <c r="O595" i="48"/>
  <c r="O605" i="48"/>
  <c r="O606" i="48"/>
  <c r="O607" i="48"/>
  <c r="N747" i="48"/>
  <c r="N762" i="48"/>
  <c r="N761" i="48"/>
  <c r="N742" i="48"/>
  <c r="N429" i="48"/>
  <c r="N434" i="48"/>
  <c r="N459" i="48"/>
  <c r="O639" i="48"/>
  <c r="O643" i="48"/>
  <c r="O642" i="48"/>
  <c r="N774" i="48"/>
  <c r="N748" i="48"/>
  <c r="O635" i="48"/>
  <c r="O636" i="48"/>
  <c r="O690" i="48"/>
  <c r="O351" i="48"/>
  <c r="O384" i="48"/>
  <c r="O644" i="48"/>
  <c r="O689" i="48"/>
  <c r="N794" i="48"/>
  <c r="N796" i="48"/>
  <c r="N799" i="48"/>
  <c r="N809" i="48"/>
  <c r="N750" i="48"/>
  <c r="N369" i="48"/>
  <c r="O691" i="48"/>
  <c r="O350" i="48"/>
  <c r="O352" i="48"/>
  <c r="O447" i="48"/>
  <c r="O746" i="48"/>
  <c r="O772" i="48"/>
  <c r="N776" i="48"/>
  <c r="O754" i="48"/>
  <c r="O354" i="48"/>
  <c r="F809" i="48"/>
  <c r="G809" i="48"/>
  <c r="O778" i="48"/>
  <c r="O766" i="48"/>
  <c r="O767" i="48"/>
  <c r="O496" i="48"/>
  <c r="O516" i="48"/>
  <c r="O500" i="48"/>
  <c r="O504" i="48"/>
  <c r="O511" i="48"/>
  <c r="O505" i="48"/>
  <c r="O508" i="48"/>
  <c r="O509" i="48"/>
  <c r="O512" i="48"/>
  <c r="O514" i="48"/>
  <c r="O519" i="48"/>
  <c r="O356" i="48"/>
  <c r="O520" i="48"/>
  <c r="O357" i="48"/>
  <c r="O385" i="48"/>
  <c r="O443" i="48"/>
  <c r="O448" i="48"/>
  <c r="O358" i="48"/>
  <c r="O360" i="48"/>
  <c r="O521" i="48"/>
  <c r="O725" i="48"/>
  <c r="O382" i="48"/>
  <c r="O387" i="48"/>
  <c r="O395" i="48"/>
  <c r="O661" i="48"/>
  <c r="O363" i="48"/>
  <c r="O719" i="48"/>
  <c r="O720" i="48"/>
  <c r="O727" i="48"/>
  <c r="O405" i="48"/>
  <c r="O663" i="48"/>
  <c r="O664" i="48"/>
  <c r="O667" i="48"/>
  <c r="O728" i="48"/>
  <c r="O454" i="48"/>
  <c r="O455" i="48"/>
  <c r="O680" i="48"/>
  <c r="O682" i="48"/>
  <c r="O398" i="48"/>
  <c r="O406" i="48"/>
  <c r="O409" i="48"/>
  <c r="O668" i="48"/>
  <c r="O749" i="48"/>
  <c r="O438" i="48"/>
  <c r="O574" i="48"/>
  <c r="O621" i="48"/>
  <c r="O658" i="48"/>
  <c r="O578" i="48"/>
  <c r="O579" i="48"/>
  <c r="O411" i="48"/>
  <c r="O425" i="48"/>
  <c r="O743" i="48"/>
  <c r="O441" i="48"/>
  <c r="O450" i="48"/>
  <c r="O457" i="48"/>
  <c r="O742" i="48"/>
  <c r="O429" i="48"/>
  <c r="O434" i="48"/>
  <c r="O459" i="48"/>
  <c r="O747" i="48"/>
  <c r="O762" i="48"/>
  <c r="O761" i="48"/>
  <c r="O748" i="48"/>
  <c r="O774" i="48"/>
  <c r="O794" i="48"/>
  <c r="O796" i="48"/>
  <c r="O799" i="48"/>
  <c r="O810" i="48"/>
  <c r="O750" i="48"/>
  <c r="O369" i="48"/>
  <c r="O776" i="48"/>
  <c r="G810" i="48"/>
  <c r="F810" i="48"/>
  <c r="K350" i="47"/>
  <c r="L350" i="47"/>
  <c r="M350" i="47"/>
  <c r="N350" i="47"/>
  <c r="O350" i="47"/>
  <c r="L351" i="47"/>
  <c r="M351" i="47"/>
  <c r="N351" i="47"/>
  <c r="O351" i="47"/>
  <c r="K352" i="47"/>
  <c r="L352" i="47"/>
  <c r="M352" i="47"/>
  <c r="N352" i="47"/>
  <c r="O352" i="47"/>
  <c r="K354" i="47"/>
  <c r="L354" i="47"/>
  <c r="M354" i="47"/>
  <c r="N354" i="47"/>
  <c r="O354" i="47"/>
  <c r="K356" i="47"/>
  <c r="L356" i="47"/>
  <c r="M356" i="47"/>
  <c r="N356" i="47"/>
  <c r="O356" i="47"/>
  <c r="K357" i="47"/>
  <c r="L357" i="47"/>
  <c r="M357" i="47"/>
  <c r="N357" i="47"/>
  <c r="O357" i="47"/>
  <c r="K358" i="47"/>
  <c r="L358" i="47"/>
  <c r="M358" i="47"/>
  <c r="N358" i="47"/>
  <c r="O358" i="47"/>
  <c r="K360" i="47"/>
  <c r="L360" i="47"/>
  <c r="M360" i="47"/>
  <c r="N360" i="47"/>
  <c r="O360" i="47"/>
  <c r="K363" i="47"/>
  <c r="L363" i="47"/>
  <c r="M363" i="47"/>
  <c r="N363" i="47"/>
  <c r="O363" i="47"/>
  <c r="K369" i="47"/>
  <c r="L369" i="47"/>
  <c r="M369" i="47"/>
  <c r="N369" i="47"/>
  <c r="O369" i="47"/>
  <c r="K382" i="47"/>
  <c r="L382" i="47"/>
  <c r="M382" i="47"/>
  <c r="N382" i="47"/>
  <c r="O382" i="47"/>
  <c r="L384" i="47"/>
  <c r="M384" i="47"/>
  <c r="N384" i="47"/>
  <c r="O384" i="47"/>
  <c r="K385" i="47"/>
  <c r="L385" i="47"/>
  <c r="M385" i="47"/>
  <c r="N385" i="47"/>
  <c r="O385" i="47"/>
  <c r="K387" i="47"/>
  <c r="L387" i="47"/>
  <c r="M387" i="47"/>
  <c r="N387" i="47"/>
  <c r="O387" i="47"/>
  <c r="K395" i="47"/>
  <c r="L395" i="47"/>
  <c r="M395" i="47"/>
  <c r="N395" i="47"/>
  <c r="O395" i="47"/>
  <c r="K398" i="47"/>
  <c r="L398" i="47"/>
  <c r="M398" i="47"/>
  <c r="N398" i="47"/>
  <c r="O398" i="47"/>
  <c r="K405" i="47"/>
  <c r="L405" i="47"/>
  <c r="M405" i="47"/>
  <c r="N405" i="47"/>
  <c r="O405" i="47"/>
  <c r="K406" i="47"/>
  <c r="L406" i="47"/>
  <c r="M406" i="47"/>
  <c r="N406" i="47"/>
  <c r="O406" i="47"/>
  <c r="K409" i="47"/>
  <c r="L409" i="47"/>
  <c r="M409" i="47"/>
  <c r="N409" i="47"/>
  <c r="O409" i="47"/>
  <c r="L410" i="47"/>
  <c r="M410" i="47"/>
  <c r="N410" i="47"/>
  <c r="O410" i="47"/>
  <c r="K411" i="47"/>
  <c r="L411" i="47"/>
  <c r="M411" i="47"/>
  <c r="N411" i="47"/>
  <c r="O411" i="47"/>
  <c r="K425" i="47"/>
  <c r="L425" i="47"/>
  <c r="M425" i="47"/>
  <c r="N425" i="47"/>
  <c r="O425" i="47"/>
  <c r="K429" i="47"/>
  <c r="L429" i="47"/>
  <c r="M429" i="47"/>
  <c r="N429" i="47"/>
  <c r="O429" i="47"/>
  <c r="K434" i="47"/>
  <c r="L434" i="47"/>
  <c r="M434" i="47"/>
  <c r="N434" i="47"/>
  <c r="O434" i="47"/>
  <c r="K438" i="47"/>
  <c r="L438" i="47"/>
  <c r="M438" i="47"/>
  <c r="N438" i="47"/>
  <c r="O438" i="47"/>
  <c r="K441" i="47"/>
  <c r="L441" i="47"/>
  <c r="M441" i="47"/>
  <c r="N441" i="47"/>
  <c r="O441" i="47"/>
  <c r="K443" i="47"/>
  <c r="L443" i="47"/>
  <c r="M443" i="47"/>
  <c r="N443" i="47"/>
  <c r="O443" i="47"/>
  <c r="L447" i="47"/>
  <c r="M447" i="47"/>
  <c r="N447" i="47"/>
  <c r="O447" i="47"/>
  <c r="K448" i="47"/>
  <c r="L448" i="47"/>
  <c r="M448" i="47"/>
  <c r="N448" i="47"/>
  <c r="O448" i="47"/>
  <c r="K450" i="47"/>
  <c r="L450" i="47"/>
  <c r="M450" i="47"/>
  <c r="N450" i="47"/>
  <c r="O450" i="47"/>
  <c r="K454" i="47"/>
  <c r="L454" i="47"/>
  <c r="M454" i="47"/>
  <c r="N454" i="47"/>
  <c r="O454" i="47"/>
  <c r="K455" i="47"/>
  <c r="L455" i="47"/>
  <c r="M455" i="47"/>
  <c r="N455" i="47"/>
  <c r="O455" i="47"/>
  <c r="K457" i="47"/>
  <c r="L457" i="47"/>
  <c r="M457" i="47"/>
  <c r="N457" i="47"/>
  <c r="O457" i="47"/>
  <c r="K459" i="47"/>
  <c r="L459" i="47"/>
  <c r="M459" i="47"/>
  <c r="N459" i="47"/>
  <c r="O459" i="47"/>
  <c r="K496" i="47"/>
  <c r="L496" i="47"/>
  <c r="M496" i="47"/>
  <c r="N496" i="47"/>
  <c r="O496" i="47"/>
  <c r="K500" i="47"/>
  <c r="L500" i="47"/>
  <c r="M500" i="47"/>
  <c r="N500" i="47"/>
  <c r="O500" i="47"/>
  <c r="L503" i="47"/>
  <c r="M503" i="47"/>
  <c r="N503" i="47"/>
  <c r="O503" i="47"/>
  <c r="K504" i="47"/>
  <c r="L504" i="47"/>
  <c r="M504" i="47"/>
  <c r="N504" i="47"/>
  <c r="O504" i="47"/>
  <c r="K505" i="47"/>
  <c r="L505" i="47"/>
  <c r="M505" i="47"/>
  <c r="N505" i="47"/>
  <c r="O505" i="47"/>
  <c r="L507" i="47"/>
  <c r="M507" i="47"/>
  <c r="N507" i="47"/>
  <c r="O507" i="47"/>
  <c r="K508" i="47"/>
  <c r="L508" i="47"/>
  <c r="M508" i="47"/>
  <c r="N508" i="47"/>
  <c r="O508" i="47"/>
  <c r="K509" i="47"/>
  <c r="L509" i="47"/>
  <c r="M509" i="47"/>
  <c r="N509" i="47"/>
  <c r="O509" i="47"/>
  <c r="K511" i="47"/>
  <c r="L511" i="47"/>
  <c r="M511" i="47"/>
  <c r="N511" i="47"/>
  <c r="O511" i="47"/>
  <c r="K512" i="47"/>
  <c r="L512" i="47"/>
  <c r="M512" i="47"/>
  <c r="N512" i="47"/>
  <c r="O512" i="47"/>
  <c r="K514" i="47"/>
  <c r="L514" i="47"/>
  <c r="M514" i="47"/>
  <c r="N514" i="47"/>
  <c r="O514" i="47"/>
  <c r="K516" i="47"/>
  <c r="L516" i="47"/>
  <c r="M516" i="47"/>
  <c r="N516" i="47"/>
  <c r="O516" i="47"/>
  <c r="K519" i="47"/>
  <c r="L519" i="47"/>
  <c r="M519" i="47"/>
  <c r="N519" i="47"/>
  <c r="O519" i="47"/>
  <c r="K520" i="47"/>
  <c r="L520" i="47"/>
  <c r="M520" i="47"/>
  <c r="N520" i="47"/>
  <c r="O520" i="47"/>
  <c r="K521" i="47"/>
  <c r="L521" i="47"/>
  <c r="M521" i="47"/>
  <c r="N521" i="47"/>
  <c r="O521" i="47"/>
  <c r="K574" i="47"/>
  <c r="L574" i="47"/>
  <c r="M574" i="47"/>
  <c r="N574" i="47"/>
  <c r="O574" i="47"/>
  <c r="L577" i="47"/>
  <c r="M577" i="47"/>
  <c r="N577" i="47"/>
  <c r="O577" i="47"/>
  <c r="K578" i="47"/>
  <c r="L578" i="47"/>
  <c r="M578" i="47"/>
  <c r="N578" i="47"/>
  <c r="O578" i="47"/>
  <c r="K579" i="47"/>
  <c r="L579" i="47"/>
  <c r="M579" i="47"/>
  <c r="N579" i="47"/>
  <c r="O579" i="47"/>
  <c r="L583" i="47"/>
  <c r="M583" i="47"/>
  <c r="N583" i="47"/>
  <c r="O583" i="47"/>
  <c r="L593" i="47"/>
  <c r="M593" i="47"/>
  <c r="N593" i="47"/>
  <c r="O593" i="47"/>
  <c r="L594" i="47"/>
  <c r="M594" i="47"/>
  <c r="N594" i="47"/>
  <c r="O594" i="47"/>
  <c r="L595" i="47"/>
  <c r="M595" i="47"/>
  <c r="N595" i="47"/>
  <c r="O595" i="47"/>
  <c r="L605" i="47"/>
  <c r="M605" i="47"/>
  <c r="N605" i="47"/>
  <c r="O605" i="47"/>
  <c r="L606" i="47"/>
  <c r="M606" i="47"/>
  <c r="N606" i="47"/>
  <c r="O606" i="47"/>
  <c r="L607" i="47"/>
  <c r="M607" i="47"/>
  <c r="N607" i="47"/>
  <c r="O607" i="47"/>
  <c r="K621" i="47"/>
  <c r="L621" i="47"/>
  <c r="M621" i="47"/>
  <c r="N621" i="47"/>
  <c r="O621" i="47"/>
  <c r="M633" i="47"/>
  <c r="N633" i="47"/>
  <c r="O633" i="47"/>
  <c r="L635" i="47"/>
  <c r="M635" i="47"/>
  <c r="N635" i="47"/>
  <c r="O635" i="47"/>
  <c r="L636" i="47"/>
  <c r="M636" i="47"/>
  <c r="N636" i="47"/>
  <c r="O636" i="47"/>
  <c r="L638" i="47"/>
  <c r="M638" i="47"/>
  <c r="N638" i="47"/>
  <c r="O638" i="47"/>
  <c r="L639" i="47"/>
  <c r="M639" i="47"/>
  <c r="N639" i="47"/>
  <c r="O639" i="47"/>
  <c r="L642" i="47"/>
  <c r="M642" i="47"/>
  <c r="N642" i="47"/>
  <c r="O642" i="47"/>
  <c r="L643" i="47"/>
  <c r="M643" i="47"/>
  <c r="N643" i="47"/>
  <c r="O643" i="47"/>
  <c r="L644" i="47"/>
  <c r="M644" i="47"/>
  <c r="N644" i="47"/>
  <c r="O644" i="47"/>
  <c r="K658" i="47"/>
  <c r="L658" i="47"/>
  <c r="M658" i="47"/>
  <c r="N658" i="47"/>
  <c r="O658" i="47"/>
  <c r="K661" i="47"/>
  <c r="L661" i="47"/>
  <c r="M661" i="47"/>
  <c r="N661" i="47"/>
  <c r="O661" i="47"/>
  <c r="K663" i="47"/>
  <c r="L663" i="47"/>
  <c r="M663" i="47"/>
  <c r="N663" i="47"/>
  <c r="O663" i="47"/>
  <c r="K664" i="47"/>
  <c r="L664" i="47"/>
  <c r="M664" i="47"/>
  <c r="N664" i="47"/>
  <c r="O664" i="47"/>
  <c r="L666" i="47"/>
  <c r="M666" i="47"/>
  <c r="N666" i="47"/>
  <c r="O666" i="47"/>
  <c r="K667" i="47"/>
  <c r="L667" i="47"/>
  <c r="M667" i="47"/>
  <c r="N667" i="47"/>
  <c r="O667" i="47"/>
  <c r="K668" i="47"/>
  <c r="L668" i="47"/>
  <c r="M668" i="47"/>
  <c r="N668" i="47"/>
  <c r="O668" i="47"/>
  <c r="L670" i="47"/>
  <c r="M670" i="47"/>
  <c r="N670" i="47"/>
  <c r="O670" i="47"/>
  <c r="L671" i="47"/>
  <c r="M671" i="47"/>
  <c r="N671" i="47"/>
  <c r="O671" i="47"/>
  <c r="K672" i="47"/>
  <c r="L672" i="47"/>
  <c r="M672" i="47"/>
  <c r="N672" i="47"/>
  <c r="O672" i="47"/>
  <c r="L679" i="47"/>
  <c r="M679" i="47"/>
  <c r="N679" i="47"/>
  <c r="O679" i="47"/>
  <c r="K680" i="47"/>
  <c r="L680" i="47"/>
  <c r="M680" i="47"/>
  <c r="N680" i="47"/>
  <c r="O680" i="47"/>
  <c r="K682" i="47"/>
  <c r="L682" i="47"/>
  <c r="M682" i="47"/>
  <c r="N682" i="47"/>
  <c r="O682" i="47"/>
  <c r="L685" i="47"/>
  <c r="M685" i="47"/>
  <c r="N685" i="47"/>
  <c r="O685" i="47"/>
  <c r="K689" i="47"/>
  <c r="L689" i="47"/>
  <c r="M689" i="47"/>
  <c r="N689" i="47"/>
  <c r="O689" i="47"/>
  <c r="L690" i="47"/>
  <c r="M690" i="47"/>
  <c r="N690" i="47"/>
  <c r="O690" i="47"/>
  <c r="K691" i="47"/>
  <c r="L691" i="47"/>
  <c r="M691" i="47"/>
  <c r="N691" i="47"/>
  <c r="O691" i="47"/>
  <c r="K719" i="47"/>
  <c r="L719" i="47"/>
  <c r="M719" i="47"/>
  <c r="N719" i="47"/>
  <c r="O719" i="47"/>
  <c r="K720" i="47"/>
  <c r="L720" i="47"/>
  <c r="M720" i="47"/>
  <c r="N720" i="47"/>
  <c r="O720" i="47"/>
  <c r="L724" i="47"/>
  <c r="M724" i="47"/>
  <c r="N724" i="47"/>
  <c r="O724" i="47"/>
  <c r="K725" i="47"/>
  <c r="L725" i="47"/>
  <c r="M725" i="47"/>
  <c r="N725" i="47"/>
  <c r="O725" i="47"/>
  <c r="K727" i="47"/>
  <c r="L727" i="47"/>
  <c r="M727" i="47"/>
  <c r="N727" i="47"/>
  <c r="O727" i="47"/>
  <c r="K728" i="47"/>
  <c r="L728" i="47"/>
  <c r="M728" i="47"/>
  <c r="N728" i="47"/>
  <c r="O728" i="47"/>
  <c r="K742" i="47"/>
  <c r="L742" i="47"/>
  <c r="M742" i="47"/>
  <c r="N742" i="47"/>
  <c r="O742" i="47"/>
  <c r="K743" i="47"/>
  <c r="L743" i="47"/>
  <c r="M743" i="47"/>
  <c r="N743" i="47"/>
  <c r="O743" i="47"/>
  <c r="L746" i="47"/>
  <c r="M746" i="47"/>
  <c r="N746" i="47"/>
  <c r="O746" i="47"/>
  <c r="K747" i="47"/>
  <c r="L747" i="47"/>
  <c r="M747" i="47"/>
  <c r="N747" i="47"/>
  <c r="O747" i="47"/>
  <c r="K748" i="47"/>
  <c r="L748" i="47"/>
  <c r="M748" i="47"/>
  <c r="N748" i="47"/>
  <c r="O748" i="47"/>
  <c r="K749" i="47"/>
  <c r="L749" i="47"/>
  <c r="M749" i="47"/>
  <c r="N749" i="47"/>
  <c r="O749" i="47"/>
  <c r="K750" i="47"/>
  <c r="L750" i="47"/>
  <c r="M750" i="47"/>
  <c r="N750" i="47"/>
  <c r="O750" i="47"/>
  <c r="K754" i="47"/>
  <c r="L754" i="47"/>
  <c r="M754" i="47"/>
  <c r="N754" i="47"/>
  <c r="O754" i="47"/>
  <c r="K761" i="47"/>
  <c r="L761" i="47"/>
  <c r="M761" i="47"/>
  <c r="N761" i="47"/>
  <c r="O761" i="47"/>
  <c r="K762" i="47"/>
  <c r="L762" i="47"/>
  <c r="M762" i="47"/>
  <c r="N762" i="47"/>
  <c r="O762" i="47"/>
  <c r="K766" i="47"/>
  <c r="L766" i="47"/>
  <c r="M766" i="47"/>
  <c r="N766" i="47"/>
  <c r="O766" i="47"/>
  <c r="K767" i="47"/>
  <c r="L767" i="47"/>
  <c r="M767" i="47"/>
  <c r="N767" i="47"/>
  <c r="O767" i="47"/>
  <c r="L772" i="47"/>
  <c r="M772" i="47"/>
  <c r="N772" i="47"/>
  <c r="O772" i="47"/>
  <c r="K774" i="47"/>
  <c r="L774" i="47"/>
  <c r="M774" i="47"/>
  <c r="N774" i="47"/>
  <c r="O774" i="47"/>
  <c r="K776" i="47"/>
  <c r="L776" i="47"/>
  <c r="M776" i="47"/>
  <c r="N776" i="47"/>
  <c r="O776" i="47"/>
  <c r="K778" i="47"/>
  <c r="L778" i="47"/>
  <c r="M778" i="47"/>
  <c r="N778" i="47"/>
  <c r="O778" i="47"/>
  <c r="K794" i="47"/>
  <c r="L794" i="47"/>
  <c r="M794" i="47"/>
  <c r="N794" i="47"/>
  <c r="O794" i="47"/>
  <c r="K796" i="47"/>
  <c r="L796" i="47"/>
  <c r="M796" i="47"/>
  <c r="N796" i="47"/>
  <c r="O796" i="47"/>
  <c r="K799" i="47"/>
  <c r="L799" i="47"/>
  <c r="M799" i="47"/>
  <c r="N799" i="47"/>
  <c r="O799" i="47"/>
  <c r="F806" i="47"/>
  <c r="G806" i="47"/>
  <c r="K806" i="47"/>
  <c r="F807" i="47"/>
  <c r="G807" i="47"/>
  <c r="L807" i="47"/>
  <c r="F808" i="47"/>
  <c r="G808" i="47"/>
  <c r="M808" i="47"/>
  <c r="F809" i="47"/>
  <c r="G809" i="47"/>
  <c r="N809" i="47"/>
  <c r="F810" i="47"/>
  <c r="G810" i="47"/>
  <c r="O810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41" authorId="0" shapeId="0" xr:uid="{3B7E8F50-E942-4E8A-89BD-B83B862928A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Correct: cash must be deducted in order to obtain the Net debt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9" authorId="0" shapeId="0" xr:uid="{99779BC1-1EA0-47F4-A545-89A76525C868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Incorrectly labelled as forecast "F" period</t>
        </r>
      </text>
    </comment>
    <comment ref="N11" authorId="0" shapeId="0" xr:uid="{7F0CA277-3F0F-4D99-84B3-FDBD69AA56B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G26" authorId="0" shapeId="0" xr:uid="{9F953BE5-B6CD-47DC-96AA-FB0DED285A1F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Sum() range</t>
        </r>
      </text>
    </comment>
    <comment ref="P41" authorId="0" shapeId="0" xr:uid="{C5638EA6-296B-4F53-97B0-100F957979D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Should be negative</t>
        </r>
      </text>
    </comment>
    <comment ref="I147" authorId="0" shapeId="0" xr:uid="{7CCBB62D-A1D8-4727-B538-62B00FCD3163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K202" authorId="0" shapeId="0" xr:uid="{B5A0A0CD-40C6-4A40-B60F-8D77030BD6EC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excluding Base Case</t>
        </r>
      </text>
    </comment>
    <comment ref="L202" authorId="0" shapeId="0" xr:uid="{DF8E0FE1-5A25-4B16-83E1-F10BD7269522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excluding Base Case</t>
        </r>
      </text>
    </comment>
    <comment ref="M202" authorId="0" shapeId="0" xr:uid="{DB590A55-2838-46F6-B414-9B2AC58AA20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excluding Base Case</t>
        </r>
      </text>
    </comment>
    <comment ref="N202" authorId="0" shapeId="0" xr:uid="{BBF7C0ED-DE7B-4F19-AB38-4E165C18A537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excluding Base Case</t>
        </r>
      </text>
    </comment>
    <comment ref="O202" authorId="0" shapeId="0" xr:uid="{BD738116-2087-4466-83FF-A0D8B767BE4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excluding Base Case</t>
        </r>
      </text>
    </comment>
    <comment ref="O245" authorId="0" shapeId="0" xr:uid="{1CD3B946-CEA7-40D2-8A83-BEEE4385D2A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Hard-code</t>
        </r>
      </text>
    </comment>
    <comment ref="K260" authorId="0" shapeId="0" xr:uid="{23FF5C63-899D-4F4F-A0BC-862BB7A6473C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Ignores capacity constraint</t>
        </r>
      </text>
    </comment>
    <comment ref="L260" authorId="0" shapeId="0" xr:uid="{E3EB0C5D-8792-4B3E-B02F-E33D79921BB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Ignores capacity constraint</t>
        </r>
      </text>
    </comment>
    <comment ref="M260" authorId="0" shapeId="0" xr:uid="{C7320F53-385B-4396-A361-5E338341309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Ignores capacity constraint</t>
        </r>
      </text>
    </comment>
    <comment ref="N260" authorId="0" shapeId="0" xr:uid="{3B75E1F3-BB83-4A82-9F2F-2F5A4B6FF68C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Ignores capacity constraint</t>
        </r>
      </text>
    </comment>
    <comment ref="O260" authorId="0" shapeId="0" xr:uid="{057CAD99-421B-4AE7-9004-660997DB7D87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Ignores capacity constraint</t>
        </r>
      </text>
    </comment>
    <comment ref="M287" authorId="0" shapeId="0" xr:uid="{DFD10171-5772-4D58-985B-B52863FAA313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K333" authorId="0" shapeId="0" xr:uid="{DF3D3B02-FDEF-4B19-BF7A-20ADC7078F5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Hard-coded</t>
        </r>
      </text>
    </comment>
    <comment ref="L333" authorId="0" shapeId="0" xr:uid="{7E36B21F-89FA-4BAC-A690-539CB58BE344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Hard-coded</t>
        </r>
      </text>
    </comment>
    <comment ref="M333" authorId="0" shapeId="0" xr:uid="{B9C77FD7-4D3A-433E-98FA-ADCB8D299D77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Hard-coded</t>
        </r>
      </text>
    </comment>
    <comment ref="N333" authorId="0" shapeId="0" xr:uid="{574C8ECB-9F24-4F6D-B028-CB0034DB161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Hard-coded</t>
        </r>
      </text>
    </comment>
    <comment ref="O333" authorId="0" shapeId="0" xr:uid="{A50ACEF0-40D6-4508-BE30-F91EA73A9DC9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Hard-coded</t>
        </r>
      </text>
    </comment>
    <comment ref="H338" authorId="0" shapeId="0" xr:uid="{60628132-2081-4B21-8C91-BF6643D513E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formula</t>
        </r>
      </text>
    </comment>
    <comment ref="I338" authorId="0" shapeId="0" xr:uid="{9F192800-77FA-4C0A-A559-4468DEF6F3A2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formula</t>
        </r>
      </text>
    </comment>
    <comment ref="J338" authorId="0" shapeId="0" xr:uid="{B57EEF84-CCE6-4C64-93F6-DB693E726818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formula</t>
        </r>
      </text>
    </comment>
    <comment ref="K338" authorId="0" shapeId="0" xr:uid="{CED97E36-2962-4A75-9343-9A452F5A57D2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formula</t>
        </r>
      </text>
    </comment>
    <comment ref="L338" authorId="0" shapeId="0" xr:uid="{3A365A3A-5769-4BB7-86F2-ADF630EC407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formula</t>
        </r>
      </text>
    </comment>
    <comment ref="M338" authorId="0" shapeId="0" xr:uid="{DBF63B5E-0A0D-4460-A50F-905245548A46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formula</t>
        </r>
      </text>
    </comment>
    <comment ref="N338" authorId="0" shapeId="0" xr:uid="{207D2026-8DD0-443B-9439-109CED4DA66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formula</t>
        </r>
      </text>
    </comment>
    <comment ref="O338" authorId="0" shapeId="0" xr:uid="{0A472F54-86A7-45B9-A0B4-59229E883ED4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formula</t>
        </r>
      </text>
    </comment>
    <comment ref="K356" authorId="0" shapeId="0" xr:uid="{5D59927C-D8DE-4A9A-B768-928FCD216AE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L356" authorId="0" shapeId="0" xr:uid="{594F8A1B-67AB-4D5C-B882-D634C8B25A6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M356" authorId="0" shapeId="0" xr:uid="{A6ACD3AB-4412-4DEC-A678-5D905BE1031C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N356" authorId="0" shapeId="0" xr:uid="{D56A487B-3490-4CE8-BF09-B19843E89A0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O356" authorId="0" shapeId="0" xr:uid="{5BEA474E-05C8-4A6C-A211-26A3A272B85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K357" authorId="0" shapeId="0" xr:uid="{0C1EDEE5-BDB7-4176-85C6-51DB26BA0FFB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L357" authorId="0" shapeId="0" xr:uid="{D57090C0-76AA-4CCC-BD82-CBBABA974DD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M357" authorId="0" shapeId="0" xr:uid="{F9D11A95-70D7-482D-A227-7E906A8B5CF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N357" authorId="0" shapeId="0" xr:uid="{FA16631B-4094-4FD2-B4D1-1088BBC98E59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O357" authorId="0" shapeId="0" xr:uid="{B37DAEB9-99F4-4313-BEDB-31F052A49AB6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</t>
        </r>
      </text>
    </comment>
    <comment ref="K405" authorId="0" shapeId="0" xr:uid="{AACCD5F4-57E8-4191-80A6-C824671E386F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Wrong sign</t>
        </r>
      </text>
    </comment>
    <comment ref="L405" authorId="0" shapeId="0" xr:uid="{84C8E2E4-653B-4041-94A9-10E8B396DBD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Wrong sign</t>
        </r>
      </text>
    </comment>
    <comment ref="M405" authorId="0" shapeId="0" xr:uid="{B8501946-A89B-4703-8FDA-1BA58FD9E21A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Wrong sign</t>
        </r>
      </text>
    </comment>
    <comment ref="N405" authorId="0" shapeId="0" xr:uid="{AD47DD60-2F22-47D1-BC16-DAC0B88EF019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Wrong sign</t>
        </r>
      </text>
    </comment>
    <comment ref="O405" authorId="0" shapeId="0" xr:uid="{81A952C2-A4BE-4EFC-A3CD-20E0C92B9579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Wrong sign</t>
        </r>
      </text>
    </comment>
    <comment ref="I425" authorId="0" shapeId="0" xr:uid="{C3A02E0D-B391-4BBE-960F-9EB0E25EC23F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Wrong sign</t>
        </r>
      </text>
    </comment>
    <comment ref="K483" authorId="0" shapeId="0" xr:uid="{3187143C-38AE-4709-ACA5-FE1427D42054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Sum() range</t>
        </r>
      </text>
    </comment>
    <comment ref="L483" authorId="0" shapeId="0" xr:uid="{97D7E3A2-6801-42D7-9BB8-55B4602631EC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Sum() range</t>
        </r>
      </text>
    </comment>
    <comment ref="M483" authorId="0" shapeId="0" xr:uid="{7826D1A0-E6CD-42EF-BE45-36579FD4F9D9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Sum() range</t>
        </r>
      </text>
    </comment>
    <comment ref="N483" authorId="0" shapeId="0" xr:uid="{CF370814-0BA3-4FDF-8529-3FE611577D2A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Sum() range</t>
        </r>
      </text>
    </comment>
    <comment ref="O483" authorId="0" shapeId="0" xr:uid="{4167DFB9-8F53-4817-9ABC-CB3914C12BE7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Incorrect Sum() range</t>
        </r>
      </text>
    </comment>
    <comment ref="K555" authorId="0" shapeId="0" xr:uid="{84B13779-3DC4-4524-8E85-FF8AA005E3AA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referencing costs instead of revenue</t>
        </r>
      </text>
    </comment>
    <comment ref="L555" authorId="0" shapeId="0" xr:uid="{80537203-AF92-4304-9247-6FABEC4A652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referencing costs instead of revenue</t>
        </r>
      </text>
    </comment>
    <comment ref="M555" authorId="0" shapeId="0" xr:uid="{404ED1E1-8ED6-4D49-A200-976FF5B209A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referencing costs instead of revenue</t>
        </r>
      </text>
    </comment>
    <comment ref="N555" authorId="0" shapeId="0" xr:uid="{02E45987-03D2-455C-B298-16EF3B248DE3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referencing costs instead of revenue</t>
        </r>
      </text>
    </comment>
    <comment ref="O555" authorId="0" shapeId="0" xr:uid="{C580B334-8F42-4DE0-B4BC-4A3E6DEEC44A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referencing costs instead of revenue</t>
        </r>
      </text>
    </comment>
    <comment ref="J558" authorId="0" shapeId="0" xr:uid="{0EF3AD41-CEC2-4847-A472-27889F31CC74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A/P instead of subtracting</t>
        </r>
      </text>
    </comment>
    <comment ref="K558" authorId="0" shapeId="0" xr:uid="{554A5E60-6E32-47BA-99C8-F6C226C4ACC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A/P instead of subtracting</t>
        </r>
      </text>
    </comment>
    <comment ref="L558" authorId="0" shapeId="0" xr:uid="{1279E22E-0488-4DBF-AEF5-8386F52AD6A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A/P instead of subtracting</t>
        </r>
      </text>
    </comment>
    <comment ref="M558" authorId="0" shapeId="0" xr:uid="{8292F249-83C3-49EF-BCA7-749536B5651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A/P instead of subtracting</t>
        </r>
      </text>
    </comment>
    <comment ref="N558" authorId="0" shapeId="0" xr:uid="{1685928E-F37E-4F2C-B3E0-37C9C5257F8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A/P instead of subtracting</t>
        </r>
      </text>
    </comment>
    <comment ref="O558" authorId="0" shapeId="0" xr:uid="{4FED405C-419D-4549-A7B4-6FEC209A0DE7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A/P instead of subtracting</t>
        </r>
      </text>
    </comment>
    <comment ref="J574" authorId="0" shapeId="0" xr:uid="{9BC1EF75-8131-428E-B88F-D6F325DBA18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Undrawn portion of revolver (instead of Drawn)</t>
        </r>
      </text>
    </comment>
    <comment ref="K574" authorId="0" shapeId="0" xr:uid="{23B8FCF5-06D2-4D1F-A7C8-33E4F1F1F1E2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Undrawn portion of revolver (instead of Drawn)</t>
        </r>
      </text>
    </comment>
    <comment ref="L574" authorId="0" shapeId="0" xr:uid="{C0947EC5-8625-474B-A8C3-191126E725E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Undrawn portion of revolver (instead of Drawn)</t>
        </r>
      </text>
    </comment>
    <comment ref="M574" authorId="0" shapeId="0" xr:uid="{D2E90E7D-D6D9-4E0F-BFB8-4AD11CE9EA4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Undrawn portion of revolver (instead of Drawn)</t>
        </r>
      </text>
    </comment>
    <comment ref="N574" authorId="0" shapeId="0" xr:uid="{ECD0A2E1-6F4A-4909-956A-A3CA4516101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Undrawn portion of revolver (instead of Drawn)</t>
        </r>
      </text>
    </comment>
    <comment ref="O574" authorId="0" shapeId="0" xr:uid="{69615F91-5C71-46C9-82FF-B71E95AAF056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Undrawn portion of revolver (instead of Drawn)</t>
        </r>
      </text>
    </comment>
    <comment ref="K667" authorId="0" shapeId="0" xr:uid="{02C1778B-639F-497F-ACA2-0E6DE1792017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ending cash balance</t>
        </r>
      </text>
    </comment>
    <comment ref="L667" authorId="0" shapeId="0" xr:uid="{2358C864-AA4E-4786-86B8-574526A121C9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ending cash balance</t>
        </r>
      </text>
    </comment>
    <comment ref="M667" authorId="0" shapeId="0" xr:uid="{59751D30-5A01-485B-9D59-19867DD4A78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ending cash balance</t>
        </r>
      </text>
    </comment>
    <comment ref="N667" authorId="0" shapeId="0" xr:uid="{2DC5D2D2-23C3-4E63-AB79-5AD3018D5FC5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ending cash balance</t>
        </r>
      </text>
    </comment>
    <comment ref="O667" authorId="0" shapeId="0" xr:uid="{B944356F-9E3E-4D28-AF68-194043492812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linking to ending cash balance</t>
        </r>
      </text>
    </comment>
    <comment ref="K671" authorId="0" shapeId="0" xr:uid="{3C0CC45E-14AE-4E53-BD27-73B234B14BBB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subtracting LIBOR</t>
        </r>
      </text>
    </comment>
    <comment ref="L671" authorId="0" shapeId="0" xr:uid="{0D9A8580-2B29-47F4-9E4C-88DA513D6D8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subtracting LIBOR</t>
        </r>
      </text>
    </comment>
    <comment ref="M671" authorId="0" shapeId="0" xr:uid="{D75F738D-A728-4BD6-B658-BE324A77107A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subtracting LIBOR</t>
        </r>
      </text>
    </comment>
    <comment ref="N671" authorId="0" shapeId="0" xr:uid="{F4A50142-1B8B-4F9C-9969-02E81CF08FF8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subtracting LIBOR</t>
        </r>
      </text>
    </comment>
    <comment ref="O671" authorId="0" shapeId="0" xr:uid="{98619714-0BA4-47E5-97C7-0E147BD0F812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subtracting LIBOR</t>
        </r>
      </text>
    </comment>
    <comment ref="K689" authorId="0" shapeId="0" xr:uid="{30DC9914-6A70-46C1-AE55-D86D6B53F48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interest income</t>
        </r>
      </text>
    </comment>
    <comment ref="L689" authorId="0" shapeId="0" xr:uid="{06A70255-FD96-4EBD-9A33-1AC49DA50AC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interest income</t>
        </r>
      </text>
    </comment>
    <comment ref="M689" authorId="0" shapeId="0" xr:uid="{2F7D08B0-E081-4A91-86FA-B13250F42F1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interest income</t>
        </r>
      </text>
    </comment>
    <comment ref="N689" authorId="0" shapeId="0" xr:uid="{B641C5A5-CCB3-49F3-BBFF-D882A4FFF4FF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interest income</t>
        </r>
      </text>
    </comment>
    <comment ref="O689" authorId="0" shapeId="0" xr:uid="{81675212-D458-4C7C-B988-C2EE3F50894A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 - adding interest income</t>
        </r>
      </text>
    </comment>
    <comment ref="K725" authorId="0" shapeId="0" xr:uid="{993B2F85-3550-4801-B1B4-6DDD2A3FEA5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should be linked to NI before Preferred Dividend</t>
        </r>
      </text>
    </comment>
    <comment ref="L725" authorId="0" shapeId="0" xr:uid="{098D8143-7BB9-4618-B0C8-832DE76C8A93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should be linked to NI before Preferred Dividend</t>
        </r>
      </text>
    </comment>
    <comment ref="M725" authorId="0" shapeId="0" xr:uid="{65521C30-360E-4200-BEF3-5DF40E281C1B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should be linked to NI before Preferred Dividend</t>
        </r>
      </text>
    </comment>
    <comment ref="N725" authorId="0" shapeId="0" xr:uid="{7B316F02-9CED-4C30-AE23-F343BBB126E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should be linked to NI before Preferred Dividend</t>
        </r>
      </text>
    </comment>
    <comment ref="O725" authorId="0" shapeId="0" xr:uid="{D4CD8C5C-7196-4DD5-8AB5-C0A272E89AE7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Mis-linked - should be linked to NI before Preferred Dividend</t>
        </r>
      </text>
    </comment>
    <comment ref="J759" authorId="0" shapeId="0" xr:uid="{A315F67D-843C-4A3F-BEAF-EA60378D022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Hard-code</t>
        </r>
      </text>
    </comment>
    <comment ref="K796" authorId="0" shapeId="0" xr:uid="{C14D659A-6420-4572-B954-7E5EC4E0BA25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</t>
        </r>
      </text>
    </comment>
    <comment ref="L796" authorId="0" shapeId="0" xr:uid="{5851E7BE-957F-41A5-A64A-4D59FD511D76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</t>
        </r>
      </text>
    </comment>
    <comment ref="M796" authorId="0" shapeId="0" xr:uid="{B8CC6559-9880-49E1-9B51-D928BAED2636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</t>
        </r>
      </text>
    </comment>
    <comment ref="N796" authorId="0" shapeId="0" xr:uid="{8B0B9820-BF44-4E62-B7E0-AF102B3DB48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</t>
        </r>
      </text>
    </comment>
    <comment ref="O796" authorId="0" shapeId="0" xr:uid="{B036B97D-F744-458A-9AAC-AF08E5F39734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Formula error</t>
        </r>
      </text>
    </comment>
    <comment ref="K807" authorId="0" shapeId="0" xr:uid="{AA14CDFC-5A73-4A4A-8C24-6AA5F1CE0FAE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K808" authorId="0" shapeId="0" xr:uid="{60353035-F3C2-4C4F-BE43-69AD3C6A9958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L808" authorId="0" shapeId="0" xr:uid="{16D5CB5D-7B8C-418A-B1CC-0D134291A4A5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K809" authorId="0" shapeId="0" xr:uid="{50E28197-1174-4BE5-B4F9-379992FD696F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L809" authorId="0" shapeId="0" xr:uid="{9EF66548-D514-421E-99F2-06D13919223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M809" authorId="0" shapeId="0" xr:uid="{2E6C5133-D015-4172-80DC-3C72AEB1E8AB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K810" authorId="0" shapeId="0" xr:uid="{B5F24E5F-E001-4E8F-A2E3-A19D156BADC4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L810" authorId="0" shapeId="0" xr:uid="{9199DF5F-1AD9-4D82-BD7D-A1D08181C201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M810" authorId="0" shapeId="0" xr:uid="{C57A97D3-A7F0-446D-8DB1-5C95E037459C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  <comment ref="N810" authorId="0" shapeId="0" xr:uid="{C3812BEA-7554-4134-B0C1-321250CCD21D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IRR() formula requires values (cannot be blank)</t>
        </r>
      </text>
    </comment>
  </commentList>
</comments>
</file>

<file path=xl/sharedStrings.xml><?xml version="1.0" encoding="utf-8"?>
<sst xmlns="http://schemas.openxmlformats.org/spreadsheetml/2006/main" count="1237" uniqueCount="382">
  <si>
    <t>Total</t>
  </si>
  <si>
    <t>Accounts Payable</t>
  </si>
  <si>
    <t>Inventory</t>
  </si>
  <si>
    <t>Accounts Receivable</t>
  </si>
  <si>
    <t>Net Working Capital</t>
  </si>
  <si>
    <t>Gross Revenue</t>
  </si>
  <si>
    <t>Cost Inflation</t>
  </si>
  <si>
    <t>Base Case</t>
  </si>
  <si>
    <t>Best Case</t>
  </si>
  <si>
    <t>Worst Case</t>
  </si>
  <si>
    <t>Revenue</t>
  </si>
  <si>
    <t>Moonbucks Corp.</t>
  </si>
  <si>
    <t>Sources and Uses of Capital</t>
  </si>
  <si>
    <t>PURCHASE PRICE - $MM</t>
  </si>
  <si>
    <t>IMPLIED PURCHASE MULTIPLES</t>
  </si>
  <si>
    <t>Adj. EBITDA</t>
  </si>
  <si>
    <t>Multiple</t>
  </si>
  <si>
    <t>Purchase Multiple of EBITDA</t>
  </si>
  <si>
    <t>Purchase Price (Enterprise Value)</t>
  </si>
  <si>
    <t>SOURCES OF CAPITAL - AT CLOSING</t>
  </si>
  <si>
    <t>TRANSACTION FEES</t>
  </si>
  <si>
    <t>Multiple of</t>
  </si>
  <si>
    <t xml:space="preserve">% of </t>
  </si>
  <si>
    <t>Debt Source</t>
  </si>
  <si>
    <t>Amount</t>
  </si>
  <si>
    <t>Capital</t>
  </si>
  <si>
    <t>Interest Rate</t>
  </si>
  <si>
    <t>Category</t>
  </si>
  <si>
    <t>Fees %</t>
  </si>
  <si>
    <t>Fees</t>
  </si>
  <si>
    <t>($MM)</t>
  </si>
  <si>
    <t>Max Size</t>
  </si>
  <si>
    <t>Cash on Hand</t>
  </si>
  <si>
    <t>Revolver</t>
  </si>
  <si>
    <t>LBR + Spread</t>
  </si>
  <si>
    <t>Term Loans</t>
  </si>
  <si>
    <t>Term Loan A</t>
  </si>
  <si>
    <t>Term Loan B</t>
  </si>
  <si>
    <t>Senior Notes</t>
  </si>
  <si>
    <t>M&amp;A</t>
  </si>
  <si>
    <t>Mezzanine</t>
  </si>
  <si>
    <t>Due Diligence</t>
  </si>
  <si>
    <t>Total Debt</t>
  </si>
  <si>
    <t>Legal</t>
  </si>
  <si>
    <t>Consultants</t>
  </si>
  <si>
    <t>Equity Source</t>
  </si>
  <si>
    <t>Div. Rate</t>
  </si>
  <si>
    <t>% of Cap.</t>
  </si>
  <si>
    <t>% of Common</t>
  </si>
  <si>
    <t>Other</t>
  </si>
  <si>
    <t>Preferred Shares</t>
  </si>
  <si>
    <t>Total Fees</t>
  </si>
  <si>
    <t>Management</t>
  </si>
  <si>
    <t>GCC</t>
  </si>
  <si>
    <t>Total Equity</t>
  </si>
  <si>
    <t>Total Sources of Capital</t>
  </si>
  <si>
    <t>USES OF CAPITAL - AT CLOSING</t>
  </si>
  <si>
    <t>PURCHASE PRICE ALLOCATION</t>
  </si>
  <si>
    <t>% of</t>
  </si>
  <si>
    <t>Enterprise Value</t>
  </si>
  <si>
    <t>Capital Use</t>
  </si>
  <si>
    <t>Less: Net Debt prior to Close</t>
  </si>
  <si>
    <t>Implied Equity Purchase Value</t>
  </si>
  <si>
    <t>Purchase of Equity</t>
  </si>
  <si>
    <t>Target Debt Refinanced</t>
  </si>
  <si>
    <t>Tangible Equity on B/S Prior to Close</t>
  </si>
  <si>
    <t>Transaction Fees</t>
  </si>
  <si>
    <t>Write-up / (Write-down) of Assets</t>
  </si>
  <si>
    <t>Total Uses of Capital</t>
  </si>
  <si>
    <t>Goodwill Created</t>
  </si>
  <si>
    <t>Inputs and Assumptions</t>
  </si>
  <si>
    <t>GENERAL</t>
  </si>
  <si>
    <t>OPERATIONS</t>
  </si>
  <si>
    <t>-</t>
  </si>
  <si>
    <t>First year of forecast in financial model:</t>
  </si>
  <si>
    <t>- Operating Days per Year:</t>
  </si>
  <si>
    <t>- Maximum Production (000's Cases per day)</t>
  </si>
  <si>
    <t>Three scenarios have been used for Inflation, FX, Product Pricing,</t>
  </si>
  <si>
    <t>Sales Volume Growth and Cacao Prices</t>
  </si>
  <si>
    <t>PRODUCT PRICING</t>
  </si>
  <si>
    <t>TAXES</t>
  </si>
  <si>
    <t>The product pricing cases used in the model are as follows:</t>
  </si>
  <si>
    <t>- Values are calculated assuming a share purchase</t>
  </si>
  <si>
    <t>Pricing Case</t>
  </si>
  <si>
    <t>Terminal Year</t>
  </si>
  <si>
    <t>- Tax rate assumed in the model:</t>
  </si>
  <si>
    <t>Research Forecast</t>
  </si>
  <si>
    <t>Implied Growth of Yr. 5</t>
  </si>
  <si>
    <t>- Blended Tax Dep'n Rate assumed in the model:</t>
  </si>
  <si>
    <t>- Opening NOL balance ($MM):</t>
  </si>
  <si>
    <t>- Opening Tax Basis balance ($MM):</t>
  </si>
  <si>
    <t>COSTS (excl. Cocoa)</t>
  </si>
  <si>
    <t>DEPRECIATION</t>
  </si>
  <si>
    <t>Cost Item</t>
  </si>
  <si>
    <t>Increases</t>
  </si>
  <si>
    <t>- Depreciation Methodology Used:</t>
  </si>
  <si>
    <t>Straight Line</t>
  </si>
  <si>
    <t>Sugars</t>
  </si>
  <si>
    <t>per Case</t>
  </si>
  <si>
    <t>Inflation on a unit basis</t>
  </si>
  <si>
    <t>- Years remaining for depreciation of existing assets:</t>
  </si>
  <si>
    <t>Packaging</t>
  </si>
  <si>
    <t>- Years used for depreciation of new assets:</t>
  </si>
  <si>
    <t>Energy</t>
  </si>
  <si>
    <t>MM</t>
  </si>
  <si>
    <t>Inflation on a $ basis</t>
  </si>
  <si>
    <t>Supplies</t>
  </si>
  <si>
    <t>PRE-TRANSACTION EQUITY</t>
  </si>
  <si>
    <t>Operating Labour</t>
  </si>
  <si>
    <t>Salaries &amp; Benefits</t>
  </si>
  <si>
    <t>SG&amp;A</t>
  </si>
  <si>
    <t>Sales Discounts</t>
  </si>
  <si>
    <t>CAPITAL EXPENDITURES (CAPEX)</t>
  </si>
  <si>
    <t xml:space="preserve">When productivity enhancing (strategic) capex is added, corresponding changes to the model's capacity and/or cost structure </t>
  </si>
  <si>
    <t>will need to be incorporated</t>
  </si>
  <si>
    <t>($ millions)</t>
  </si>
  <si>
    <t>Maintenance</t>
  </si>
  <si>
    <t>Environmental</t>
  </si>
  <si>
    <t>Strategic</t>
  </si>
  <si>
    <t>EARNINGS ADJUSTMENTS (PRE-EBITDA)</t>
  </si>
  <si>
    <t>Synergies</t>
  </si>
  <si>
    <t>Restructuring</t>
  </si>
  <si>
    <t>Adjustment 3</t>
  </si>
  <si>
    <t>WORKING CAPITAL DAYS</t>
  </si>
  <si>
    <t>(Days)</t>
  </si>
  <si>
    <t>Inventories</t>
  </si>
  <si>
    <t>EQUITY ISSUANCE / (REDEMPTION)</t>
  </si>
  <si>
    <t>Preferred Sh. ($MM)</t>
  </si>
  <si>
    <t>Common Sh. ($MM)</t>
  </si>
  <si>
    <t>DEBT COVENANTS AND REPAYMENT TERMS</t>
  </si>
  <si>
    <t>PRICING GRID FOR SR. SEC. DEBT</t>
  </si>
  <si>
    <t>Total Senior Secured Debt (Revolver and Term Debt)</t>
  </si>
  <si>
    <t>If Total Debt / EBITDA &gt;=</t>
  </si>
  <si>
    <t>Spread to LIBOR</t>
  </si>
  <si>
    <t>Senior Secured Debt / EBITDA at Close</t>
  </si>
  <si>
    <t>Covenant tightens annually by:</t>
  </si>
  <si>
    <t>Maximum Amount Available ($ MM):</t>
  </si>
  <si>
    <t xml:space="preserve">Revolver outstanding can't exceed the following Margining Formula </t>
  </si>
  <si>
    <t>on Accounts Receivable and Inventory:</t>
  </si>
  <si>
    <t xml:space="preserve">      - Accounts Receivable Percentage</t>
  </si>
  <si>
    <t xml:space="preserve">      - Inventory Percentage</t>
  </si>
  <si>
    <t>Interest on Undrawn Amounts (Stand-by Fee):</t>
  </si>
  <si>
    <t>Cash sweep of FCF After Scheduled Debt Repayments and Dividends</t>
  </si>
  <si>
    <t>Senior Secured Term Loans</t>
  </si>
  <si>
    <t>Sr. Secured Term Debt / EBITDA at Close:</t>
  </si>
  <si>
    <t>Term Loan A has a 5-year term</t>
  </si>
  <si>
    <t>Term Loan B has a 7-year term</t>
  </si>
  <si>
    <t>Repayment Schedule</t>
  </si>
  <si>
    <t>*Principal Repayments as Percentage of Value at Transaction Close</t>
  </si>
  <si>
    <t>Senior Unsecured Notes</t>
  </si>
  <si>
    <t>Senior Notes / EBITDA at Close</t>
  </si>
  <si>
    <t>Scheduled Principal Repayments</t>
  </si>
  <si>
    <t>Bullet payment due at the end of 8-year term</t>
  </si>
  <si>
    <t>Mezzanine Debt</t>
  </si>
  <si>
    <t>Mezzanine Debt / EBITDA at Close</t>
  </si>
  <si>
    <t>PIK Interest Percentage:</t>
  </si>
  <si>
    <t xml:space="preserve">       If Total Debt / EBITDA in the previous year is:</t>
  </si>
  <si>
    <t>Bullet payment due at the end of 10-year term</t>
  </si>
  <si>
    <t>Interest Coverage</t>
  </si>
  <si>
    <t>- EBITDA / Interest Covenant</t>
  </si>
  <si>
    <t>Economic and Pricing Scenarios</t>
  </si>
  <si>
    <t>SCENARIO SWITCH:</t>
  </si>
  <si>
    <t>SALES SCENARIOS</t>
  </si>
  <si>
    <t>Sales Price - $/Case</t>
  </si>
  <si>
    <t>Sales Volume Growth</t>
  </si>
  <si>
    <t>ECONOMIC SCENARIOS</t>
  </si>
  <si>
    <t>FX Rate - Peso / US$</t>
  </si>
  <si>
    <t>Cacao Cost - Peso / Case</t>
  </si>
  <si>
    <t>LIBOR</t>
  </si>
  <si>
    <t>Revenue Schedule</t>
  </si>
  <si>
    <t>Projected</t>
  </si>
  <si>
    <t>Pricing</t>
  </si>
  <si>
    <t>Gross Sales Price per Case</t>
  </si>
  <si>
    <t>($/case)</t>
  </si>
  <si>
    <t>Sales Price Growth</t>
  </si>
  <si>
    <t>(%)</t>
  </si>
  <si>
    <t>Net Sales Price per Case</t>
  </si>
  <si>
    <t>Capacity</t>
  </si>
  <si>
    <t>Operating Days</t>
  </si>
  <si>
    <t>Maximum Units per Day</t>
  </si>
  <si>
    <t>(000's cases / day)</t>
  </si>
  <si>
    <t>Annual Mfg. Capacity</t>
  </si>
  <si>
    <t>(MM's cases)</t>
  </si>
  <si>
    <t>Sales Volume</t>
  </si>
  <si>
    <t>Annual Sales Volume</t>
  </si>
  <si>
    <t>Capacity Utilization</t>
  </si>
  <si>
    <t>($ MM)</t>
  </si>
  <si>
    <t>Net Revenue</t>
  </si>
  <si>
    <t>Costs of Production</t>
  </si>
  <si>
    <t>Exchange Rate</t>
  </si>
  <si>
    <t>(Peso / US$)</t>
  </si>
  <si>
    <t>COSTS PER UNIT</t>
  </si>
  <si>
    <t>Variable Costs</t>
  </si>
  <si>
    <t>Cacao</t>
  </si>
  <si>
    <t>(Peso /case)</t>
  </si>
  <si>
    <t>Total Variable Costs</t>
  </si>
  <si>
    <t>Fixed Costs</t>
  </si>
  <si>
    <t>Total Fixed Costs</t>
  </si>
  <si>
    <t>Total Manufacturing Costs</t>
  </si>
  <si>
    <t>COSTS IN MILLIONS</t>
  </si>
  <si>
    <t>Income Statement</t>
  </si>
  <si>
    <t>Cost of Sales</t>
  </si>
  <si>
    <t>S,G &amp; A</t>
  </si>
  <si>
    <t>Total Costs</t>
  </si>
  <si>
    <t>Plus: Synergies (Net)</t>
  </si>
  <si>
    <t>EBITDA</t>
  </si>
  <si>
    <t>Depreciation</t>
  </si>
  <si>
    <t>EBIT</t>
  </si>
  <si>
    <t>Cash Interest</t>
  </si>
  <si>
    <t>PIK Interest</t>
  </si>
  <si>
    <t>Total Interest Expense</t>
  </si>
  <si>
    <t>EBT</t>
  </si>
  <si>
    <t>Current Income Taxes</t>
  </si>
  <si>
    <t>Deferred Income Taxes</t>
  </si>
  <si>
    <t>Total Income Taxes</t>
  </si>
  <si>
    <t>Net Income</t>
  </si>
  <si>
    <t>Preferred Dividends</t>
  </si>
  <si>
    <t>Net Income to Common</t>
  </si>
  <si>
    <t>Margins</t>
  </si>
  <si>
    <t>EBITDA Margin</t>
  </si>
  <si>
    <t>EBIT Margin</t>
  </si>
  <si>
    <r>
      <t xml:space="preserve">Return on Capital </t>
    </r>
    <r>
      <rPr>
        <vertAlign val="superscript"/>
        <sz val="8"/>
        <rFont val="Times New Roman"/>
        <family val="1"/>
      </rPr>
      <t>(1)</t>
    </r>
  </si>
  <si>
    <r>
      <t>(1)</t>
    </r>
    <r>
      <rPr>
        <sz val="8"/>
        <rFont val="Times New Roman"/>
        <family val="1"/>
      </rPr>
      <t xml:space="preserve"> Defined as EBITDA divided by average Total Capital</t>
    </r>
  </si>
  <si>
    <t>Cash Flow Statement</t>
  </si>
  <si>
    <t>($ Millions)</t>
  </si>
  <si>
    <t>Operating Activities</t>
  </si>
  <si>
    <t>Depreciation &amp; Amortization</t>
  </si>
  <si>
    <t>Changes in working capital</t>
  </si>
  <si>
    <t>Operating Cash Flow</t>
  </si>
  <si>
    <t>Investing Activities</t>
  </si>
  <si>
    <t>CAPEX</t>
  </si>
  <si>
    <t>Investing Cash Flow</t>
  </si>
  <si>
    <t>FCF Before Debt Issuance / (Repayment)</t>
  </si>
  <si>
    <t>Financing Activities</t>
  </si>
  <si>
    <t>Revolver Issuance / (Repayment)</t>
  </si>
  <si>
    <t>Term Loan Issuance / (Repayment)</t>
  </si>
  <si>
    <t>Senior Notes Issuance / (Repayment)</t>
  </si>
  <si>
    <t>Mezzanine Debt Issuance / (Repayment)</t>
  </si>
  <si>
    <t>Preferred Shares Issuance/ (Buy-Back)</t>
  </si>
  <si>
    <t>Preferred  Dividends</t>
  </si>
  <si>
    <t>Common Shares Issuance/ (Buy-Back)</t>
  </si>
  <si>
    <t>Common Dividends</t>
  </si>
  <si>
    <t>Financing Cash Flow</t>
  </si>
  <si>
    <t>Change in the Cash Position</t>
  </si>
  <si>
    <t>Beginning Cash</t>
  </si>
  <si>
    <t>Ending Cash</t>
  </si>
  <si>
    <t>Balance Sheet</t>
  </si>
  <si>
    <t>BS prior</t>
  </si>
  <si>
    <t>BS at</t>
  </si>
  <si>
    <t>to Closing</t>
  </si>
  <si>
    <t>Adjust.</t>
  </si>
  <si>
    <t>Closing</t>
  </si>
  <si>
    <t>ASSETS</t>
  </si>
  <si>
    <t>Cash</t>
  </si>
  <si>
    <t>Total Current Assets</t>
  </si>
  <si>
    <t>Net PP&amp;E</t>
  </si>
  <si>
    <t>Goodwill</t>
  </si>
  <si>
    <t>Total Assets</t>
  </si>
  <si>
    <t>LIABILITIES AND EQUITY</t>
  </si>
  <si>
    <t>Bank Debt - Revolver</t>
  </si>
  <si>
    <t>Total Current Liabilities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</si>
  <si>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</si>
  <si>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</si>
  <si>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</si>
  <si>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</si>
  <si>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</si>
  <si>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</si>
  <si>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Check</t>
  </si>
  <si>
    <t>Depreciation Schedule</t>
  </si>
  <si>
    <t>Years Remaining on Existing Assets:</t>
  </si>
  <si>
    <t>Depreciation Years on New Assets:</t>
  </si>
  <si>
    <t>Depreciation to Existing Assets</t>
  </si>
  <si>
    <t>Total Depreciation</t>
  </si>
  <si>
    <t>Income Tax Schedule</t>
  </si>
  <si>
    <t>Tax Rate</t>
  </si>
  <si>
    <t xml:space="preserve">Earnings Before Taxes (as is on I/S)   </t>
  </si>
  <si>
    <t>A</t>
  </si>
  <si>
    <t>Add Back GAAP Depreciation</t>
  </si>
  <si>
    <t>Deduct Tax Depreciation</t>
  </si>
  <si>
    <t>Earnings Before NOL after Tax Dep'n</t>
  </si>
  <si>
    <t>Net Operating Loss Schedule</t>
  </si>
  <si>
    <t>Existing NOL (Initial Balance)</t>
  </si>
  <si>
    <t>Existing NOL Used</t>
  </si>
  <si>
    <t>Earnings after use of Existing NOL</t>
  </si>
  <si>
    <t>Newly Created NOL - Beginning</t>
  </si>
  <si>
    <t>Newly Created NOL Used (Added)</t>
  </si>
  <si>
    <t>Newly Created NOL - Ending</t>
  </si>
  <si>
    <t>Remaining Existing NOL</t>
  </si>
  <si>
    <t>Total NOL Available</t>
  </si>
  <si>
    <t>EBT After NOL</t>
  </si>
  <si>
    <t>B</t>
  </si>
  <si>
    <t>Taxes as Appearing on Income Statement</t>
  </si>
  <si>
    <t>Increase (Decrease) in Deferred Income Taxes</t>
  </si>
  <si>
    <t>Total Income Taxes (Same as Accounting Taxes Above)</t>
  </si>
  <si>
    <t>Tax Depreciation Schedule</t>
  </si>
  <si>
    <t>Blended Tax Dep'n Rate</t>
  </si>
  <si>
    <t xml:space="preserve">Tax Basis Beginning </t>
  </si>
  <si>
    <t>C</t>
  </si>
  <si>
    <t>Plus: New Capex</t>
  </si>
  <si>
    <t>D</t>
  </si>
  <si>
    <t>1/2 of New Capex</t>
  </si>
  <si>
    <t>Tax Basis After New Capex (1/2 Year)</t>
  </si>
  <si>
    <t>Less: Tax Dep'n Available and Used</t>
  </si>
  <si>
    <t>E</t>
  </si>
  <si>
    <t>Tax Basis Ending (C + D - E)</t>
  </si>
  <si>
    <t>Working Capital Schedule</t>
  </si>
  <si>
    <t>Days per Year</t>
  </si>
  <si>
    <t>(days)</t>
  </si>
  <si>
    <t>Income Statement Items</t>
  </si>
  <si>
    <t>Days In</t>
  </si>
  <si>
    <t>Account Balances</t>
  </si>
  <si>
    <t>Change in Working Capital</t>
  </si>
  <si>
    <t>Debt and Interest Schedule (Part 1)</t>
  </si>
  <si>
    <t>LIBOR Forecast</t>
  </si>
  <si>
    <t>Total Debt / EBITDA</t>
  </si>
  <si>
    <t>Amount Outstanding - Beginning</t>
  </si>
  <si>
    <t>Change in Cash</t>
  </si>
  <si>
    <t>Amount Outstanding - Ending</t>
  </si>
  <si>
    <t>Annual Interest Income</t>
  </si>
  <si>
    <t>Additions / (Repayments)</t>
  </si>
  <si>
    <t>Interest Rate (LIBOR + Spread)</t>
  </si>
  <si>
    <t>Annual Interest Expense</t>
  </si>
  <si>
    <t>Debt and Interest Schedule (Part 2)</t>
  </si>
  <si>
    <t>Coupon Rate</t>
  </si>
  <si>
    <t>Scheduled Repayments</t>
  </si>
  <si>
    <t>PIK Amount</t>
  </si>
  <si>
    <t>PIK Interest Percentage</t>
  </si>
  <si>
    <t>Cash Interest Percentage</t>
  </si>
  <si>
    <t>PIK Interest Expense</t>
  </si>
  <si>
    <t>Cash Interest Expense</t>
  </si>
  <si>
    <t>Debt and Interest Schedule (Part 3)</t>
  </si>
  <si>
    <t>Revolver (Drawn Amount)</t>
  </si>
  <si>
    <t>Scheduled Debt Repayments</t>
  </si>
  <si>
    <t>Dividends</t>
  </si>
  <si>
    <t>FCF After Scheduled Debt Repayment and Dividends</t>
  </si>
  <si>
    <t>Revolver Outstanding - Beginning</t>
  </si>
  <si>
    <t>Revolver Outstanding - Ending</t>
  </si>
  <si>
    <t>Revolver (Undrawn Amount)</t>
  </si>
  <si>
    <t>Margining of Assets Formula Amount</t>
  </si>
  <si>
    <t>Maximum Revolver Amount Available</t>
  </si>
  <si>
    <t>Undrawn Amount at Beginning</t>
  </si>
  <si>
    <t>Repayments / (Drawings)</t>
  </si>
  <si>
    <t>Less: Reduction in Maximum Amount Available</t>
  </si>
  <si>
    <t>Amount Available - Ending</t>
  </si>
  <si>
    <t>Interest Rate on Undrawn Amount</t>
  </si>
  <si>
    <t>Interest Expense (Stand-By Fee) on Undrawn Amount</t>
  </si>
  <si>
    <t>Net Interest Expense</t>
  </si>
  <si>
    <t>Shareholders' Equity Schedule</t>
  </si>
  <si>
    <t>New Issuance / (Redemption)</t>
  </si>
  <si>
    <t>Dividend Rate</t>
  </si>
  <si>
    <t>Preferred Dividend</t>
  </si>
  <si>
    <t>New Issuance / (Buy-Back)</t>
  </si>
  <si>
    <t>Dividend Payout Rate</t>
  </si>
  <si>
    <t>Common Dividend</t>
  </si>
  <si>
    <t>Credit Statistics and Covenants</t>
  </si>
  <si>
    <t>At Closing</t>
  </si>
  <si>
    <t>Balance Sheet Items</t>
  </si>
  <si>
    <t>Net Debt</t>
  </si>
  <si>
    <t>Net Book Capitalization (D+E)</t>
  </si>
  <si>
    <t>Earnings and Cash Flow Items</t>
  </si>
  <si>
    <t>Interest Expense</t>
  </si>
  <si>
    <t>Capital Expenditures</t>
  </si>
  <si>
    <t>Senior Secured Debt / EBITDA</t>
  </si>
  <si>
    <t>Covenant</t>
  </si>
  <si>
    <t>EBITDA Cushion</t>
  </si>
  <si>
    <t>EBITDA / Interest</t>
  </si>
  <si>
    <t>Other Ratios</t>
  </si>
  <si>
    <t>Mezzanine Debt / EBITDA</t>
  </si>
  <si>
    <t>Net Debt / Total Capitalization</t>
  </si>
  <si>
    <t>Interest Coverage ((EBITDA - CAPEX) / Interest)</t>
  </si>
  <si>
    <t>IRR Calculations (Based on a Sale as Exit)</t>
  </si>
  <si>
    <t>Assumed Exit Multiple</t>
  </si>
  <si>
    <t>Less: Net Debt</t>
  </si>
  <si>
    <t>Less: Preferred Shares</t>
  </si>
  <si>
    <t>Equity Value</t>
  </si>
  <si>
    <t>GCC Fully Diluted Equity</t>
  </si>
  <si>
    <t>Value</t>
  </si>
  <si>
    <t>Exit Value in:</t>
  </si>
  <si>
    <t>IRR</t>
  </si>
  <si>
    <t>Added</t>
  </si>
  <si>
    <t>Investment</t>
  </si>
  <si>
    <t>Remember to link it to beginning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</si>
</sst>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8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.00_);_(* \(#,##0.00\);_(* &quot;-&quot;??_);_(@_)"/>
    <numFmt numFmtId="169" formatCode="_-* #,##0_-;\-* #,##0_-;_-* &quot;-&quot;??_-;_-@_-"/>
    <numFmt numFmtId="170" formatCode="#,##0_);\(#,##0\);\-"/>
    <numFmt numFmtId="171" formatCode="#,##0_);\(#,##0\);\-_)"/>
    <numFmt numFmtId="172" formatCode="#,##0.00_);\(#,##0.00\);\-_)"/>
    <numFmt numFmtId="173" formatCode="0.00%_);\(0.00%\);\-_)"/>
    <numFmt numFmtId="174" formatCode="d/mmm/yy;d/mmm/yy;\-"/>
    <numFmt numFmtId="175" formatCode="[Red]&quot;Error&quot;;[Red]&quot;Error&quot;;&quot;OK&quot;;[Red]General"/>
    <numFmt numFmtId="176" formatCode="&quot;On&quot;;[Black]\(#,##0\);[Red]&quot;Off&quot;;[Black]General"/>
    <numFmt numFmtId="177" formatCode="&quot;Yes&quot;;[Black]\(#,##0\);[Red]&quot;No&quot;;[Black]General"/>
    <numFmt numFmtId="178" formatCode="d\-mmm\-yy;d\-mmm\-yy;\-"/>
    <numFmt numFmtId="179" formatCode="###0_);\(###0\);\-_)"/>
    <numFmt numFmtId="180" formatCode="0.0%"/>
    <numFmt numFmtId="181" formatCode="0.0000"/>
    <numFmt numFmtId="182" formatCode="&quot;$&quot;#,##0.0_);\(&quot;$&quot;#,##0.0\)"/>
    <numFmt numFmtId="183" formatCode="0.00\ \x\ "/>
    <numFmt numFmtId="184" formatCode="0.0\ \x\ "/>
    <numFmt numFmtId="185" formatCode="0\F"/>
    <numFmt numFmtId="186" formatCode="&quot;LBR - &quot;0.0%"/>
    <numFmt numFmtId="187" formatCode="&quot;LIBOR +&quot;0.0%"/>
    <numFmt numFmtId="188" formatCode="#,##0.0_);\(#,##0.0\)"/>
    <numFmt numFmtId="189" formatCode="0.0\ \x"/>
    <numFmt numFmtId="190" formatCode="\+0%;\(0%\)"/>
    <numFmt numFmtId="191" formatCode="&quot;$&quot;#,##0.0"/>
    <numFmt numFmtId="192" formatCode="&quot;- Opening UCC pool of &quot;&quot;$&quot;#,###.0&quot; million as of January 1, 1999&quot;"/>
    <numFmt numFmtId="193" formatCode="0\ &quot;years&quot;"/>
    <numFmt numFmtId="194" formatCode="&quot;- EBITDA margin of &quot;0.0%"/>
    <numFmt numFmtId="195" formatCode="0.0_);\(0.0\)"/>
    <numFmt numFmtId="196" formatCode="0_);\(0\)"/>
    <numFmt numFmtId="197" formatCode="0\A"/>
    <numFmt numFmtId="198" formatCode="0.00%\ ;\(0.00%\)"/>
    <numFmt numFmtId="199" formatCode="\&lt;\ 0.00\ \x\ "/>
    <numFmt numFmtId="200" formatCode="0.0%\ ;\(0.0%\)"/>
    <numFmt numFmtId="201" formatCode="\&gt;\ 0.00\ \x\ "/>
    <numFmt numFmtId="202" formatCode="0.00_);\(0.00\)"/>
    <numFmt numFmtId="203" formatCode="_(* #,##0.0_);_(* \(#,##0.0\);_(* &quot;-&quot;??_);_(@_)"/>
    <numFmt numFmtId="204" formatCode="_(* #,##0_);_(* \(#,##0\);_(* &quot;-&quot;??_);_(@_)"/>
    <numFmt numFmtId="205" formatCode="0%\ ;\(0%\)"/>
    <numFmt numFmtId="206" formatCode="_(* #,##0.0_);_(* \(#,##0.0\);_(* &quot;-&quot;?_);_(@_)"/>
    <numFmt numFmtId="207" formatCode="0.0%;\(0.0%\)"/>
    <numFmt numFmtId="208" formatCode="0%;\(0%\)"/>
    <numFmt numFmtId="209" formatCode="&quot;$&quot;#,##0.000_);\(&quot;$&quot;#,##0.000\)"/>
    <numFmt numFmtId="210" formatCode="#,##0.000_);\(#,##0.000\)"/>
    <numFmt numFmtId="211" formatCode="0.000_);\(0.000\)"/>
    <numFmt numFmtId="212" formatCode="#,##0.0000_);\(#,##0.0000\)"/>
    <numFmt numFmtId="213" formatCode="&quot;$&quot;#,##0.000000_);\(&quot;$&quot;#,##0.000000\)"/>
    <numFmt numFmtId="214" formatCode="0.00\ \x"/>
    <numFmt numFmtId="217" formatCode="#,##0_);\(#,##0\);&quot;-  &quot;;&quot; &quot;@"/>
    <numFmt numFmtId="218" formatCode="0.00%\ ;\-0.00%\ _);&quot;-  &quot;;&quot; &quot;@&quot; &quot;"/>
    <numFmt numFmtId="219" formatCode="#,##0.0000_);\(#,##0.0000\);&quot;-  &quot;;&quot; &quot;@&quot; &quot;"/>
    <numFmt numFmtId="220" formatCode="dd\ mmm\ yyyy_);\(###0\);&quot;-  &quot;;&quot; &quot;@&quot; &quot;"/>
    <numFmt numFmtId="221" formatCode="dd\ mmm\ yy_);\(###0\);&quot;-  &quot;;&quot; &quot;@&quot; &quot;"/>
    <numFmt numFmtId="222" formatCode="###0_);\(###0\);&quot;-  &quot;;&quot; &quot;@&quot; &quot;"/>
    <numFmt numFmtId="223" formatCode="#,##0.0_);\(#,##0.0\);&quot;-  &quot;;&quot; &quot;@"/>
  </numFmts>
  <fonts count="8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8"/>
      <color rgb="FF0000FF"/>
      <name val="Times New Roman"/>
      <family val="1"/>
    </font>
    <font>
      <b/>
      <sz val="18"/>
      <color indexed="12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u/>
      <sz val="10"/>
      <name val="Times New Roman"/>
      <family val="1"/>
    </font>
    <font>
      <i/>
      <sz val="8"/>
      <name val="Times New Roman"/>
      <family val="1"/>
    </font>
    <font>
      <b/>
      <u/>
      <sz val="8"/>
      <name val="Times New Roman"/>
      <family val="1"/>
    </font>
    <font>
      <sz val="10"/>
      <color rgb="FF0000FF"/>
      <name val="Times New Roman"/>
      <family val="1"/>
    </font>
    <font>
      <b/>
      <sz val="18"/>
      <name val="Times New Roman"/>
      <family val="1"/>
    </font>
    <font>
      <u/>
      <sz val="10"/>
      <name val="Times New Roman"/>
      <family val="1"/>
    </font>
    <font>
      <b/>
      <i/>
      <sz val="14"/>
      <name val="Times New Roman"/>
      <family val="1"/>
    </font>
    <font>
      <sz val="12"/>
      <color indexed="9"/>
      <name val="Times New Roman"/>
      <family val="1"/>
    </font>
    <font>
      <i/>
      <sz val="10"/>
      <name val="Times New Roman"/>
      <family val="1"/>
    </font>
    <font>
      <sz val="10"/>
      <color theme="1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sz val="9"/>
      <name val="Times New Roman"/>
      <family val="1"/>
    </font>
    <font>
      <sz val="9"/>
      <color indexed="12"/>
      <name val="Times New Roman"/>
      <family val="1"/>
    </font>
    <font>
      <b/>
      <sz val="8"/>
      <name val="Times New Roman"/>
      <family val="1"/>
    </font>
    <font>
      <b/>
      <i/>
      <sz val="14"/>
      <color indexed="10"/>
      <name val="Times New Roman"/>
      <family val="1"/>
    </font>
    <font>
      <b/>
      <i/>
      <sz val="9"/>
      <color indexed="10"/>
      <name val="Times New Roman"/>
      <family val="1"/>
    </font>
    <font>
      <b/>
      <i/>
      <sz val="10"/>
      <name val="Times New Roman"/>
      <family val="1"/>
    </font>
    <font>
      <sz val="10"/>
      <color indexed="9"/>
      <name val="Times New Roman"/>
      <family val="1"/>
    </font>
    <font>
      <sz val="8"/>
      <name val="Times New Roman"/>
      <family val="1"/>
    </font>
    <font>
      <b/>
      <sz val="10"/>
      <color indexed="9"/>
      <name val="Times New Roman"/>
      <family val="1"/>
    </font>
    <font>
      <i/>
      <sz val="9"/>
      <name val="Times New Roman"/>
      <family val="1"/>
    </font>
    <font>
      <b/>
      <i/>
      <sz val="8"/>
      <color indexed="10"/>
      <name val="Times New Roman"/>
      <family val="1"/>
    </font>
    <font>
      <b/>
      <sz val="9"/>
      <name val="Times New Roman"/>
      <family val="1"/>
    </font>
    <font>
      <vertAlign val="superscript"/>
      <sz val="8"/>
      <name val="Times New Roman"/>
      <family val="1"/>
    </font>
    <font>
      <vertAlign val="superscript"/>
      <sz val="7"/>
      <name val="Times New Roman"/>
      <family val="1"/>
    </font>
    <font>
      <b/>
      <sz val="18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9"/>
      <color indexed="12"/>
      <name val="Times New Roman"/>
      <family val="1"/>
    </font>
    <font>
      <b/>
      <sz val="20"/>
      <name val="Times New Roman"/>
      <family val="1"/>
    </font>
    <font>
      <b/>
      <u/>
      <sz val="9"/>
      <name val="Times New Roman"/>
      <family val="1"/>
    </font>
    <font>
      <sz val="10"/>
      <color indexed="8"/>
      <name val="Times New Roman"/>
      <family val="1"/>
    </font>
    <font>
      <sz val="10"/>
      <color indexed="61"/>
      <name val="Times New Roman"/>
      <family val="1"/>
    </font>
    <font>
      <b/>
      <i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0"/>
      <color indexed="10"/>
      <name val="Times New Roman"/>
      <family val="1"/>
    </font>
    <font>
      <sz val="10"/>
      <color rgb="FF993366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FFFF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8">
    <xf numFmtId="217" fontId="0" fillId="0" borderId="0" applyFont="0" applyFill="0" applyBorder="0" applyProtection="0">
      <alignment vertical="top"/>
    </xf>
    <xf numFmtId="0" fontId="2" fillId="0" borderId="0"/>
    <xf numFmtId="168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7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9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71" fontId="1" fillId="0" borderId="0" applyBorder="0"/>
    <xf numFmtId="4" fontId="7" fillId="4" borderId="2">
      <alignment horizontal="left"/>
    </xf>
    <xf numFmtId="170" fontId="11" fillId="0" borderId="0" applyFill="0" applyBorder="0"/>
    <xf numFmtId="171" fontId="9" fillId="0" borderId="0" applyBorder="0"/>
    <xf numFmtId="0" fontId="12" fillId="0" borderId="0" applyNumberFormat="0" applyFill="0" applyBorder="0">
      <alignment horizontal="right"/>
    </xf>
    <xf numFmtId="171" fontId="12" fillId="5" borderId="8">
      <protection locked="0"/>
    </xf>
    <xf numFmtId="172" fontId="12" fillId="5" borderId="8">
      <protection locked="0"/>
    </xf>
    <xf numFmtId="173" fontId="12" fillId="5" borderId="8">
      <protection locked="0"/>
    </xf>
    <xf numFmtId="174" fontId="1" fillId="0" borderId="0" applyBorder="0"/>
    <xf numFmtId="174" fontId="12" fillId="5" borderId="8">
      <protection locked="0"/>
    </xf>
    <xf numFmtId="171" fontId="12" fillId="0" borderId="8"/>
    <xf numFmtId="15" fontId="8" fillId="0" borderId="0" applyFill="0" applyBorder="0" applyAlignment="0"/>
    <xf numFmtId="175" fontId="13" fillId="0" borderId="9">
      <alignment horizontal="center"/>
    </xf>
    <xf numFmtId="171" fontId="14" fillId="7" borderId="0" applyBorder="0" applyAlignment="0"/>
    <xf numFmtId="175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70" fontId="18" fillId="6" borderId="8" applyNumberFormat="0" applyAlignment="0">
      <protection locked="0"/>
    </xf>
    <xf numFmtId="176" fontId="19" fillId="5" borderId="8">
      <alignment horizontal="center"/>
      <protection locked="0"/>
    </xf>
    <xf numFmtId="177" fontId="19" fillId="5" borderId="8">
      <alignment horizontal="center"/>
      <protection locked="0"/>
    </xf>
    <xf numFmtId="172" fontId="1" fillId="0" borderId="0" applyBorder="0"/>
    <xf numFmtId="177" fontId="20" fillId="0" borderId="11" applyFill="0">
      <alignment horizontal="center"/>
    </xf>
    <xf numFmtId="176" fontId="19" fillId="0" borderId="11">
      <alignment horizontal="center"/>
    </xf>
    <xf numFmtId="173" fontId="2" fillId="0" borderId="0" applyFill="0" applyBorder="0" applyAlignment="0"/>
    <xf numFmtId="171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8" fontId="1" fillId="0" borderId="0" applyBorder="0"/>
    <xf numFmtId="179" fontId="1" fillId="0" borderId="0" applyBorder="0"/>
    <xf numFmtId="178" fontId="12" fillId="5" borderId="8">
      <protection locked="0"/>
    </xf>
    <xf numFmtId="168" fontId="22" fillId="0" borderId="0" applyFont="0" applyFill="0" applyBorder="0" applyAlignment="0" applyProtection="0"/>
    <xf numFmtId="0" fontId="25" fillId="2" borderId="7" applyNumberFormat="0" applyAlignment="0" applyProtection="0"/>
    <xf numFmtId="4" fontId="7" fillId="4" borderId="13">
      <alignment horizontal="left"/>
    </xf>
    <xf numFmtId="0" fontId="26" fillId="0" borderId="0"/>
    <xf numFmtId="0" fontId="29" fillId="0" borderId="0"/>
    <xf numFmtId="0" fontId="2" fillId="0" borderId="0"/>
    <xf numFmtId="218" fontId="24" fillId="0" borderId="0" applyFont="0" applyFill="0" applyBorder="0" applyProtection="0">
      <alignment vertical="top"/>
    </xf>
    <xf numFmtId="219" fontId="24" fillId="0" borderId="0" applyFont="0" applyFill="0" applyBorder="0" applyProtection="0">
      <alignment vertical="top"/>
    </xf>
    <xf numFmtId="220" fontId="24" fillId="0" borderId="0" applyFont="0" applyFill="0" applyBorder="0" applyProtection="0">
      <alignment vertical="top"/>
    </xf>
    <xf numFmtId="221" fontId="24" fillId="0" borderId="0" applyFont="0" applyFill="0" applyBorder="0" applyProtection="0">
      <alignment vertical="top"/>
    </xf>
    <xf numFmtId="222" fontId="24" fillId="0" borderId="0" applyFont="0" applyFill="0" applyBorder="0" applyProtection="0">
      <alignment vertical="top"/>
    </xf>
  </cellStyleXfs>
  <cellXfs count="662">
    <xf numFmtId="217" fontId="0" fillId="0" borderId="0" xfId="0">
      <alignment vertical="top"/>
    </xf>
    <xf numFmtId="0" fontId="27" fillId="0" borderId="0" xfId="1" applyFont="1" applyAlignment="1">
      <alignment horizontal="centerContinuous"/>
    </xf>
    <xf numFmtId="0" fontId="28" fillId="0" borderId="0" xfId="1" applyFont="1" applyAlignment="1">
      <alignment horizontal="centerContinuous"/>
    </xf>
    <xf numFmtId="0" fontId="29" fillId="0" borderId="0" xfId="1" applyFont="1" applyAlignment="1">
      <alignment horizontal="centerContinuous"/>
    </xf>
    <xf numFmtId="0" fontId="2" fillId="0" borderId="0" xfId="1"/>
    <xf numFmtId="0" fontId="30" fillId="0" borderId="0" xfId="1" applyFont="1" applyAlignment="1">
      <alignment horizontal="centerContinuous"/>
    </xf>
    <xf numFmtId="0" fontId="30" fillId="0" borderId="31" xfId="1" applyFont="1" applyBorder="1"/>
    <xf numFmtId="0" fontId="29" fillId="0" borderId="31" xfId="1" applyFont="1" applyBorder="1"/>
    <xf numFmtId="0" fontId="29" fillId="0" borderId="0" xfId="1" applyFont="1"/>
    <xf numFmtId="0" fontId="31" fillId="10" borderId="19" xfId="1" applyFont="1" applyFill="1" applyBorder="1" applyAlignment="1">
      <alignment vertical="center"/>
    </xf>
    <xf numFmtId="0" fontId="29" fillId="10" borderId="2" xfId="1" applyFont="1" applyFill="1" applyBorder="1"/>
    <xf numFmtId="0" fontId="29" fillId="10" borderId="20" xfId="1" applyFont="1" applyFill="1" applyBorder="1"/>
    <xf numFmtId="0" fontId="32" fillId="10" borderId="2" xfId="1" applyFont="1" applyFill="1" applyBorder="1"/>
    <xf numFmtId="0" fontId="32" fillId="10" borderId="20" xfId="1" applyFont="1" applyFill="1" applyBorder="1"/>
    <xf numFmtId="0" fontId="33" fillId="0" borderId="22" xfId="1" applyFont="1" applyBorder="1" applyAlignment="1">
      <alignment vertical="center"/>
    </xf>
    <xf numFmtId="0" fontId="29" fillId="0" borderId="24" xfId="1" applyFont="1" applyBorder="1"/>
    <xf numFmtId="0" fontId="29" fillId="0" borderId="0" xfId="1" applyFont="1" applyAlignment="1">
      <alignment vertical="center"/>
    </xf>
    <xf numFmtId="0" fontId="34" fillId="0" borderId="22" xfId="1" applyFont="1" applyBorder="1" applyAlignment="1">
      <alignment horizontal="center" vertical="center"/>
    </xf>
    <xf numFmtId="0" fontId="29" fillId="11" borderId="0" xfId="1" applyFont="1" applyFill="1" applyAlignment="1">
      <alignment vertical="center"/>
    </xf>
    <xf numFmtId="182" fontId="29" fillId="0" borderId="0" xfId="1" applyNumberFormat="1" applyFont="1" applyAlignment="1">
      <alignment horizontal="right" vertical="center"/>
    </xf>
    <xf numFmtId="0" fontId="29" fillId="0" borderId="24" xfId="1" applyFont="1" applyBorder="1" applyAlignment="1">
      <alignment vertical="center"/>
    </xf>
    <xf numFmtId="1" fontId="29" fillId="0" borderId="22" xfId="1" quotePrefix="1" applyNumberFormat="1" applyFont="1" applyBorder="1" applyAlignment="1">
      <alignment horizontal="left" vertical="center"/>
    </xf>
    <xf numFmtId="0" fontId="31" fillId="0" borderId="1" xfId="1" applyFont="1" applyBorder="1" applyAlignment="1">
      <alignment horizontal="center" vertical="center"/>
    </xf>
    <xf numFmtId="180" fontId="31" fillId="0" borderId="1" xfId="1" applyNumberFormat="1" applyFont="1" applyBorder="1" applyAlignment="1">
      <alignment horizontal="center" vertical="center"/>
    </xf>
    <xf numFmtId="0" fontId="2" fillId="0" borderId="24" xfId="1" applyBorder="1"/>
    <xf numFmtId="0" fontId="29" fillId="0" borderId="0" xfId="1" applyFont="1" applyAlignment="1">
      <alignment horizontal="left" vertical="center"/>
    </xf>
    <xf numFmtId="183" fontId="35" fillId="0" borderId="0" xfId="1" applyNumberFormat="1" applyFont="1" applyAlignment="1">
      <alignment vertical="center"/>
    </xf>
    <xf numFmtId="184" fontId="35" fillId="0" borderId="0" xfId="1" applyNumberFormat="1" applyFont="1" applyAlignment="1">
      <alignment vertical="center"/>
    </xf>
    <xf numFmtId="185" fontId="29" fillId="0" borderId="22" xfId="1" quotePrefix="1" applyNumberFormat="1" applyFont="1" applyBorder="1" applyAlignment="1">
      <alignment horizontal="left"/>
    </xf>
    <xf numFmtId="184" fontId="29" fillId="0" borderId="0" xfId="1" applyNumberFormat="1" applyFont="1" applyAlignment="1">
      <alignment vertical="center"/>
    </xf>
    <xf numFmtId="0" fontId="31" fillId="0" borderId="0" xfId="1" applyFont="1" applyAlignment="1">
      <alignment horizontal="left" vertical="center"/>
    </xf>
    <xf numFmtId="182" fontId="31" fillId="0" borderId="12" xfId="1" applyNumberFormat="1" applyFont="1" applyBorder="1" applyAlignment="1">
      <alignment horizontal="right" vertical="center"/>
    </xf>
    <xf numFmtId="182" fontId="31" fillId="0" borderId="0" xfId="1" applyNumberFormat="1" applyFont="1" applyAlignment="1">
      <alignment horizontal="right" vertical="center"/>
    </xf>
    <xf numFmtId="0" fontId="34" fillId="0" borderId="26" xfId="1" applyFont="1" applyBorder="1" applyAlignment="1">
      <alignment horizontal="center" vertical="center"/>
    </xf>
    <xf numFmtId="0" fontId="34" fillId="0" borderId="1" xfId="1" quotePrefix="1" applyFont="1" applyBorder="1" applyAlignment="1">
      <alignment horizontal="left"/>
    </xf>
    <xf numFmtId="0" fontId="29" fillId="0" borderId="1" xfId="1" applyFont="1" applyBorder="1"/>
    <xf numFmtId="0" fontId="29" fillId="0" borderId="27" xfId="1" applyFont="1" applyBorder="1"/>
    <xf numFmtId="0" fontId="34" fillId="0" borderId="26" xfId="1" quotePrefix="1" applyFont="1" applyBorder="1" applyAlignment="1">
      <alignment horizontal="left"/>
    </xf>
    <xf numFmtId="0" fontId="34" fillId="0" borderId="0" xfId="1" applyFont="1" applyAlignment="1">
      <alignment horizontal="center" vertical="center"/>
    </xf>
    <xf numFmtId="0" fontId="34" fillId="0" borderId="0" xfId="1" quotePrefix="1" applyFont="1" applyAlignment="1">
      <alignment horizontal="left"/>
    </xf>
    <xf numFmtId="0" fontId="31" fillId="0" borderId="22" xfId="1" applyFont="1" applyBorder="1" applyAlignment="1">
      <alignment vertical="center"/>
    </xf>
    <xf numFmtId="0" fontId="29" fillId="0" borderId="22" xfId="1" applyFont="1" applyBorder="1"/>
    <xf numFmtId="0" fontId="31" fillId="0" borderId="0" xfId="1" applyFont="1"/>
    <xf numFmtId="0" fontId="31" fillId="0" borderId="0" xfId="1" applyFont="1" applyAlignment="1">
      <alignment horizontal="center"/>
    </xf>
    <xf numFmtId="0" fontId="31" fillId="0" borderId="24" xfId="1" applyFont="1" applyBorder="1" applyAlignment="1">
      <alignment horizontal="center"/>
    </xf>
    <xf numFmtId="0" fontId="31" fillId="0" borderId="1" xfId="1" applyFont="1" applyBorder="1"/>
    <xf numFmtId="0" fontId="31" fillId="0" borderId="1" xfId="1" applyFont="1" applyBorder="1" applyAlignment="1">
      <alignment horizontal="center"/>
    </xf>
    <xf numFmtId="0" fontId="31" fillId="0" borderId="26" xfId="1" applyFont="1" applyBorder="1"/>
    <xf numFmtId="0" fontId="2" fillId="0" borderId="1" xfId="1" applyBorder="1"/>
    <xf numFmtId="0" fontId="31" fillId="0" borderId="27" xfId="1" applyFont="1" applyBorder="1" applyAlignment="1">
      <alignment horizontal="center"/>
    </xf>
    <xf numFmtId="0" fontId="36" fillId="0" borderId="0" xfId="1" applyFont="1"/>
    <xf numFmtId="0" fontId="37" fillId="0" borderId="0" xfId="1" applyFont="1" applyAlignment="1">
      <alignment horizontal="center" vertical="center"/>
    </xf>
    <xf numFmtId="0" fontId="38" fillId="0" borderId="0" xfId="1" applyFont="1" applyAlignment="1">
      <alignment horizontal="center"/>
    </xf>
    <xf numFmtId="0" fontId="37" fillId="0" borderId="24" xfId="1" applyFont="1" applyBorder="1" applyAlignment="1">
      <alignment horizontal="center" vertical="center"/>
    </xf>
    <xf numFmtId="180" fontId="29" fillId="0" borderId="0" xfId="1" applyNumberFormat="1" applyFont="1"/>
    <xf numFmtId="186" fontId="35" fillId="0" borderId="0" xfId="1" applyNumberFormat="1" applyFont="1" applyAlignment="1">
      <alignment horizontal="right"/>
    </xf>
    <xf numFmtId="182" fontId="39" fillId="0" borderId="0" xfId="1" applyNumberFormat="1" applyFont="1" applyAlignment="1">
      <alignment horizontal="right" vertical="center"/>
    </xf>
    <xf numFmtId="180" fontId="39" fillId="0" borderId="0" xfId="1" applyNumberFormat="1" applyFont="1"/>
    <xf numFmtId="182" fontId="29" fillId="0" borderId="24" xfId="1" applyNumberFormat="1" applyFont="1" applyBorder="1" applyAlignment="1">
      <alignment horizontal="right" vertical="center"/>
    </xf>
    <xf numFmtId="187" fontId="35" fillId="0" borderId="0" xfId="1" applyNumberFormat="1" applyFont="1" applyAlignment="1">
      <alignment horizontal="right"/>
    </xf>
    <xf numFmtId="180" fontId="35" fillId="0" borderId="0" xfId="1" applyNumberFormat="1" applyFont="1"/>
    <xf numFmtId="10" fontId="35" fillId="0" borderId="0" xfId="1" applyNumberFormat="1" applyFont="1"/>
    <xf numFmtId="183" fontId="35" fillId="0" borderId="1" xfId="1" applyNumberFormat="1" applyFont="1" applyBorder="1" applyAlignment="1">
      <alignment vertical="center"/>
    </xf>
    <xf numFmtId="182" fontId="29" fillId="0" borderId="1" xfId="1" applyNumberFormat="1" applyFont="1" applyBorder="1" applyAlignment="1">
      <alignment horizontal="right" vertical="center"/>
    </xf>
    <xf numFmtId="180" fontId="29" fillId="0" borderId="1" xfId="1" applyNumberFormat="1" applyFont="1" applyBorder="1"/>
    <xf numFmtId="182" fontId="35" fillId="0" borderId="24" xfId="1" applyNumberFormat="1" applyFont="1" applyBorder="1" applyAlignment="1">
      <alignment horizontal="right" vertical="center"/>
    </xf>
    <xf numFmtId="183" fontId="31" fillId="0" borderId="0" xfId="1" applyNumberFormat="1" applyFont="1"/>
    <xf numFmtId="182" fontId="31" fillId="0" borderId="0" xfId="1" applyNumberFormat="1" applyFont="1"/>
    <xf numFmtId="180" fontId="31" fillId="0" borderId="0" xfId="1" applyNumberFormat="1" applyFont="1"/>
    <xf numFmtId="182" fontId="35" fillId="0" borderId="27" xfId="1" applyNumberFormat="1" applyFont="1" applyBorder="1" applyAlignment="1">
      <alignment horizontal="right" vertical="center"/>
    </xf>
    <xf numFmtId="182" fontId="35" fillId="0" borderId="0" xfId="1" applyNumberFormat="1" applyFont="1" applyAlignment="1">
      <alignment horizontal="right" vertical="center"/>
    </xf>
    <xf numFmtId="0" fontId="31" fillId="0" borderId="22" xfId="1" applyFont="1" applyBorder="1"/>
    <xf numFmtId="182" fontId="31" fillId="0" borderId="32" xfId="1" applyNumberFormat="1" applyFont="1" applyBorder="1"/>
    <xf numFmtId="182" fontId="29" fillId="0" borderId="1" xfId="1" applyNumberFormat="1" applyFont="1" applyBorder="1"/>
    <xf numFmtId="188" fontId="29" fillId="0" borderId="24" xfId="1" applyNumberFormat="1" applyFont="1" applyBorder="1" applyAlignment="1">
      <alignment horizontal="right" vertical="center"/>
    </xf>
    <xf numFmtId="182" fontId="31" fillId="0" borderId="12" xfId="1" applyNumberFormat="1" applyFont="1" applyBorder="1"/>
    <xf numFmtId="180" fontId="31" fillId="0" borderId="12" xfId="1" applyNumberFormat="1" applyFont="1" applyBorder="1"/>
    <xf numFmtId="0" fontId="29" fillId="0" borderId="26" xfId="1" applyFont="1" applyBorder="1"/>
    <xf numFmtId="182" fontId="29" fillId="0" borderId="24" xfId="1" applyNumberFormat="1" applyFont="1" applyBorder="1"/>
    <xf numFmtId="182" fontId="29" fillId="0" borderId="27" xfId="1" applyNumberFormat="1" applyFont="1" applyBorder="1"/>
    <xf numFmtId="182" fontId="31" fillId="0" borderId="24" xfId="1" applyNumberFormat="1" applyFont="1" applyBorder="1"/>
    <xf numFmtId="182" fontId="29" fillId="0" borderId="0" xfId="1" applyNumberFormat="1" applyFont="1"/>
    <xf numFmtId="189" fontId="29" fillId="0" borderId="0" xfId="1" applyNumberFormat="1" applyFont="1" applyAlignment="1">
      <alignment horizontal="center"/>
    </xf>
    <xf numFmtId="189" fontId="29" fillId="0" borderId="1" xfId="1" applyNumberFormat="1" applyFont="1" applyBorder="1" applyAlignment="1">
      <alignment horizontal="center"/>
    </xf>
    <xf numFmtId="182" fontId="35" fillId="0" borderId="24" xfId="1" applyNumberFormat="1" applyFont="1" applyBorder="1"/>
    <xf numFmtId="189" fontId="31" fillId="0" borderId="0" xfId="1" applyNumberFormat="1" applyFont="1" applyAlignment="1">
      <alignment horizontal="center"/>
    </xf>
    <xf numFmtId="0" fontId="40" fillId="0" borderId="0" xfId="1" applyFont="1" applyAlignment="1">
      <alignment horizontal="centerContinuous"/>
    </xf>
    <xf numFmtId="0" fontId="29" fillId="10" borderId="2" xfId="1" applyFont="1" applyFill="1" applyBorder="1" applyAlignment="1">
      <alignment vertical="center"/>
    </xf>
    <xf numFmtId="0" fontId="29" fillId="10" borderId="20" xfId="1" applyFont="1" applyFill="1" applyBorder="1" applyAlignment="1">
      <alignment vertical="center"/>
    </xf>
    <xf numFmtId="0" fontId="29" fillId="0" borderId="22" xfId="1" applyFont="1" applyBorder="1" applyAlignment="1">
      <alignment horizontal="center" vertical="center"/>
    </xf>
    <xf numFmtId="0" fontId="29" fillId="0" borderId="0" xfId="1" applyFont="1" applyAlignment="1">
      <alignment horizontal="left"/>
    </xf>
    <xf numFmtId="0" fontId="35" fillId="0" borderId="0" xfId="1" applyFont="1" applyAlignment="1">
      <alignment horizontal="left"/>
    </xf>
    <xf numFmtId="0" fontId="29" fillId="0" borderId="22" xfId="1" quotePrefix="1" applyFont="1" applyBorder="1" applyAlignment="1">
      <alignment horizontal="left"/>
    </xf>
    <xf numFmtId="37" fontId="35" fillId="0" borderId="24" xfId="1" applyNumberFormat="1" applyFont="1" applyBorder="1" applyAlignment="1">
      <alignment horizontal="right"/>
    </xf>
    <xf numFmtId="0" fontId="29" fillId="0" borderId="0" xfId="1" quotePrefix="1" applyFont="1" applyAlignment="1">
      <alignment horizontal="left"/>
    </xf>
    <xf numFmtId="188" fontId="35" fillId="0" borderId="24" xfId="1" applyNumberFormat="1" applyFont="1" applyBorder="1" applyAlignment="1">
      <alignment horizontal="right"/>
    </xf>
    <xf numFmtId="0" fontId="29" fillId="0" borderId="26" xfId="1" applyFont="1" applyBorder="1" applyAlignment="1">
      <alignment horizontal="center" vertical="center"/>
    </xf>
    <xf numFmtId="0" fontId="29" fillId="0" borderId="1" xfId="1" applyFont="1" applyBorder="1" applyAlignment="1">
      <alignment horizontal="left"/>
    </xf>
    <xf numFmtId="0" fontId="29" fillId="10" borderId="2" xfId="1" quotePrefix="1" applyFont="1" applyFill="1" applyBorder="1" applyAlignment="1">
      <alignment horizontal="left" vertical="center"/>
    </xf>
    <xf numFmtId="0" fontId="31" fillId="10" borderId="19" xfId="1" applyFont="1" applyFill="1" applyBorder="1" applyAlignment="1">
      <alignment horizontal="left" vertical="center"/>
    </xf>
    <xf numFmtId="0" fontId="36" fillId="0" borderId="22" xfId="1" applyFont="1" applyBorder="1" applyAlignment="1">
      <alignment vertical="center"/>
    </xf>
    <xf numFmtId="0" fontId="41" fillId="0" borderId="0" xfId="1" applyFont="1" applyAlignment="1">
      <alignment vertical="center"/>
    </xf>
    <xf numFmtId="0" fontId="36" fillId="0" borderId="0" xfId="1" applyFont="1" applyAlignment="1">
      <alignment horizontal="centerContinuous" vertical="center"/>
    </xf>
    <xf numFmtId="0" fontId="41" fillId="0" borderId="0" xfId="1" applyFont="1" applyAlignment="1">
      <alignment horizontal="centerContinuous" vertical="center"/>
    </xf>
    <xf numFmtId="0" fontId="41" fillId="0" borderId="24" xfId="1" applyFont="1" applyBorder="1" applyAlignment="1">
      <alignment horizontal="centerContinuous" vertical="center"/>
    </xf>
    <xf numFmtId="180" fontId="35" fillId="0" borderId="24" xfId="1" quotePrefix="1" applyNumberFormat="1" applyFont="1" applyBorder="1" applyAlignment="1">
      <alignment horizontal="right"/>
    </xf>
    <xf numFmtId="0" fontId="34" fillId="0" borderId="0" xfId="1" applyFont="1" applyAlignment="1">
      <alignment vertical="center"/>
    </xf>
    <xf numFmtId="0" fontId="35" fillId="0" borderId="22" xfId="1" applyFont="1" applyBorder="1"/>
    <xf numFmtId="0" fontId="29" fillId="0" borderId="24" xfId="1" applyFont="1" applyBorder="1" applyAlignment="1">
      <alignment horizontal="centerContinuous"/>
    </xf>
    <xf numFmtId="190" fontId="35" fillId="0" borderId="0" xfId="1" quotePrefix="1" applyNumberFormat="1" applyFont="1" applyAlignment="1">
      <alignment horizontal="centerContinuous"/>
    </xf>
    <xf numFmtId="182" fontId="35" fillId="0" borderId="24" xfId="1" applyNumberFormat="1" applyFont="1" applyBorder="1" applyAlignment="1">
      <alignment horizontal="right"/>
    </xf>
    <xf numFmtId="0" fontId="35" fillId="0" borderId="26" xfId="1" applyFont="1" applyBorder="1" applyAlignment="1">
      <alignment horizontal="left"/>
    </xf>
    <xf numFmtId="190" fontId="35" fillId="0" borderId="1" xfId="1" quotePrefix="1" applyNumberFormat="1" applyFont="1" applyBorder="1" applyAlignment="1">
      <alignment horizontal="centerContinuous"/>
    </xf>
    <xf numFmtId="0" fontId="29" fillId="0" borderId="1" xfId="1" applyFont="1" applyBorder="1" applyAlignment="1">
      <alignment horizontal="centerContinuous"/>
    </xf>
    <xf numFmtId="0" fontId="29" fillId="0" borderId="27" xfId="1" applyFont="1" applyBorder="1" applyAlignment="1">
      <alignment horizontal="centerContinuous"/>
    </xf>
    <xf numFmtId="0" fontId="29" fillId="0" borderId="26" xfId="1" quotePrefix="1" applyFont="1" applyBorder="1" applyAlignment="1">
      <alignment horizontal="left"/>
    </xf>
    <xf numFmtId="182" fontId="35" fillId="0" borderId="27" xfId="1" applyNumberFormat="1" applyFont="1" applyBorder="1" applyAlignment="1">
      <alignment horizontal="right"/>
    </xf>
    <xf numFmtId="0" fontId="29" fillId="10" borderId="2" xfId="1" quotePrefix="1" applyFont="1" applyFill="1" applyBorder="1" applyAlignment="1">
      <alignment horizontal="left"/>
    </xf>
    <xf numFmtId="0" fontId="36" fillId="0" borderId="18" xfId="1" applyFont="1" applyBorder="1" applyAlignment="1">
      <alignment vertical="center"/>
    </xf>
    <xf numFmtId="0" fontId="29" fillId="0" borderId="14" xfId="1" quotePrefix="1" applyFont="1" applyBorder="1" applyAlignment="1">
      <alignment horizontal="left"/>
    </xf>
    <xf numFmtId="0" fontId="36" fillId="0" borderId="14" xfId="1" applyFont="1" applyBorder="1"/>
    <xf numFmtId="0" fontId="29" fillId="0" borderId="14" xfId="1" applyFont="1" applyBorder="1"/>
    <xf numFmtId="0" fontId="29" fillId="0" borderId="21" xfId="1" applyFont="1" applyBorder="1"/>
    <xf numFmtId="0" fontId="29" fillId="0" borderId="18" xfId="1" quotePrefix="1" applyFont="1" applyBorder="1" applyAlignment="1">
      <alignment horizontal="left"/>
    </xf>
    <xf numFmtId="0" fontId="35" fillId="0" borderId="21" xfId="1" applyFont="1" applyBorder="1" applyAlignment="1">
      <alignment horizontal="right"/>
    </xf>
    <xf numFmtId="0" fontId="29" fillId="0" borderId="22" xfId="1" applyFont="1" applyBorder="1" applyAlignment="1">
      <alignment horizontal="left" vertical="center"/>
    </xf>
    <xf numFmtId="191" fontId="35" fillId="11" borderId="0" xfId="1" applyNumberFormat="1" applyFont="1" applyFill="1"/>
    <xf numFmtId="192" fontId="29" fillId="0" borderId="22" xfId="1" quotePrefix="1" applyNumberFormat="1" applyFont="1" applyBorder="1" applyAlignment="1">
      <alignment horizontal="left"/>
    </xf>
    <xf numFmtId="193" fontId="35" fillId="0" borderId="24" xfId="1" applyNumberFormat="1" applyFont="1" applyBorder="1" applyAlignment="1">
      <alignment horizontal="right"/>
    </xf>
    <xf numFmtId="192" fontId="29" fillId="0" borderId="26" xfId="1" quotePrefix="1" applyNumberFormat="1" applyFont="1" applyBorder="1" applyAlignment="1">
      <alignment horizontal="left"/>
    </xf>
    <xf numFmtId="193" fontId="35" fillId="0" borderId="27" xfId="1" applyNumberFormat="1" applyFont="1" applyBorder="1" applyAlignment="1">
      <alignment horizontal="right"/>
    </xf>
    <xf numFmtId="14" fontId="29" fillId="0" borderId="0" xfId="1" applyNumberFormat="1" applyFont="1" applyAlignment="1">
      <alignment horizontal="left"/>
    </xf>
    <xf numFmtId="37" fontId="35" fillId="0" borderId="0" xfId="1" applyNumberFormat="1" applyFont="1" applyAlignment="1">
      <alignment horizontal="right"/>
    </xf>
    <xf numFmtId="166" fontId="35" fillId="0" borderId="24" xfId="1" applyNumberFormat="1" applyFont="1" applyBorder="1" applyAlignment="1">
      <alignment horizontal="right"/>
    </xf>
    <xf numFmtId="37" fontId="35" fillId="0" borderId="1" xfId="1" applyNumberFormat="1" applyFont="1" applyBorder="1" applyAlignment="1">
      <alignment horizontal="right"/>
    </xf>
    <xf numFmtId="39" fontId="35" fillId="0" borderId="27" xfId="1" applyNumberFormat="1" applyFont="1" applyBorder="1" applyAlignment="1">
      <alignment horizontal="right"/>
    </xf>
    <xf numFmtId="191" fontId="35" fillId="0" borderId="0" xfId="1" applyNumberFormat="1" applyFont="1"/>
    <xf numFmtId="180" fontId="35" fillId="11" borderId="1" xfId="1" quotePrefix="1" applyNumberFormat="1" applyFont="1" applyFill="1" applyBorder="1"/>
    <xf numFmtId="0" fontId="2" fillId="0" borderId="27" xfId="1" applyBorder="1"/>
    <xf numFmtId="194" fontId="29" fillId="0" borderId="1" xfId="1" applyNumberFormat="1" applyFont="1" applyBorder="1" applyAlignment="1">
      <alignment horizontal="left"/>
    </xf>
    <xf numFmtId="194" fontId="29" fillId="0" borderId="0" xfId="1" applyNumberFormat="1" applyFont="1" applyAlignment="1">
      <alignment horizontal="left"/>
    </xf>
    <xf numFmtId="0" fontId="31" fillId="0" borderId="0" xfId="1" applyFont="1" applyAlignment="1">
      <alignment horizontal="left"/>
    </xf>
    <xf numFmtId="0" fontId="29" fillId="0" borderId="0" xfId="1" applyFont="1" applyAlignment="1">
      <alignment horizontal="center" vertical="center"/>
    </xf>
    <xf numFmtId="0" fontId="42" fillId="0" borderId="0" xfId="1" applyFont="1" applyAlignment="1">
      <alignment horizontal="left"/>
    </xf>
    <xf numFmtId="0" fontId="34" fillId="0" borderId="0" xfId="1" applyFont="1"/>
    <xf numFmtId="0" fontId="43" fillId="0" borderId="0" xfId="1" applyFont="1"/>
    <xf numFmtId="0" fontId="44" fillId="10" borderId="19" xfId="1" applyFont="1" applyFill="1" applyBorder="1"/>
    <xf numFmtId="0" fontId="31" fillId="10" borderId="2" xfId="1" applyFont="1" applyFill="1" applyBorder="1"/>
    <xf numFmtId="0" fontId="31" fillId="10" borderId="20" xfId="1" applyFont="1" applyFill="1" applyBorder="1"/>
    <xf numFmtId="0" fontId="33" fillId="0" borderId="0" xfId="1" applyFont="1"/>
    <xf numFmtId="195" fontId="35" fillId="0" borderId="0" xfId="1" applyNumberFormat="1" applyFont="1"/>
    <xf numFmtId="195" fontId="29" fillId="0" borderId="0" xfId="1" applyNumberFormat="1" applyFont="1"/>
    <xf numFmtId="195" fontId="29" fillId="0" borderId="24" xfId="1" applyNumberFormat="1" applyFont="1" applyBorder="1"/>
    <xf numFmtId="0" fontId="29" fillId="0" borderId="22" xfId="1" applyFont="1" applyBorder="1" applyAlignment="1">
      <alignment horizontal="left"/>
    </xf>
    <xf numFmtId="195" fontId="35" fillId="0" borderId="24" xfId="1" applyNumberFormat="1" applyFont="1" applyBorder="1"/>
    <xf numFmtId="195" fontId="35" fillId="0" borderId="1" xfId="1" applyNumberFormat="1" applyFont="1" applyBorder="1"/>
    <xf numFmtId="195" fontId="35" fillId="0" borderId="27" xfId="1" applyNumberFormat="1" applyFont="1" applyBorder="1"/>
    <xf numFmtId="196" fontId="29" fillId="0" borderId="1" xfId="1" applyNumberFormat="1" applyFont="1" applyBorder="1"/>
    <xf numFmtId="196" fontId="32" fillId="0" borderId="1" xfId="1" applyNumberFormat="1" applyFont="1" applyBorder="1"/>
    <xf numFmtId="196" fontId="29" fillId="0" borderId="27" xfId="1" applyNumberFormat="1" applyFont="1" applyBorder="1"/>
    <xf numFmtId="196" fontId="29" fillId="0" borderId="0" xfId="1" applyNumberFormat="1" applyFont="1"/>
    <xf numFmtId="196" fontId="32" fillId="0" borderId="0" xfId="1" applyNumberFormat="1" applyFont="1"/>
    <xf numFmtId="197" fontId="31" fillId="10" borderId="2" xfId="1" applyNumberFormat="1" applyFont="1" applyFill="1" applyBorder="1"/>
    <xf numFmtId="196" fontId="29" fillId="0" borderId="24" xfId="1" applyNumberFormat="1" applyFont="1" applyBorder="1"/>
    <xf numFmtId="0" fontId="29" fillId="0" borderId="18" xfId="1" applyFont="1" applyBorder="1"/>
    <xf numFmtId="0" fontId="2" fillId="0" borderId="18" xfId="1" applyBorder="1"/>
    <xf numFmtId="0" fontId="36" fillId="0" borderId="22" xfId="1" applyFont="1" applyBorder="1"/>
    <xf numFmtId="0" fontId="36" fillId="0" borderId="24" xfId="1" applyFont="1" applyBorder="1" applyAlignment="1">
      <alignment horizontal="right"/>
    </xf>
    <xf numFmtId="0" fontId="29" fillId="0" borderId="22" xfId="1" quotePrefix="1" applyFont="1" applyBorder="1" applyAlignment="1">
      <alignment horizontal="center"/>
    </xf>
    <xf numFmtId="183" fontId="29" fillId="0" borderId="24" xfId="1" applyNumberFormat="1" applyFont="1" applyBorder="1"/>
    <xf numFmtId="184" fontId="29" fillId="0" borderId="22" xfId="1" applyNumberFormat="1" applyFont="1" applyBorder="1"/>
    <xf numFmtId="198" fontId="35" fillId="0" borderId="24" xfId="1" quotePrefix="1" applyNumberFormat="1" applyFont="1" applyBorder="1" applyAlignment="1">
      <alignment horizontal="center"/>
    </xf>
    <xf numFmtId="183" fontId="35" fillId="0" borderId="24" xfId="1" applyNumberFormat="1" applyFont="1" applyBorder="1"/>
    <xf numFmtId="199" fontId="35" fillId="0" borderId="24" xfId="1" applyNumberFormat="1" applyFont="1" applyBorder="1"/>
    <xf numFmtId="200" fontId="35" fillId="0" borderId="24" xfId="1" quotePrefix="1" applyNumberFormat="1" applyFont="1" applyBorder="1" applyAlignment="1">
      <alignment horizontal="right"/>
    </xf>
    <xf numFmtId="198" fontId="35" fillId="0" borderId="24" xfId="1" quotePrefix="1" applyNumberFormat="1" applyFont="1" applyBorder="1" applyAlignment="1">
      <alignment horizontal="right"/>
    </xf>
    <xf numFmtId="200" fontId="32" fillId="0" borderId="24" xfId="1" quotePrefix="1" applyNumberFormat="1" applyFont="1" applyBorder="1" applyAlignment="1">
      <alignment horizontal="right"/>
    </xf>
    <xf numFmtId="0" fontId="32" fillId="0" borderId="0" xfId="1" quotePrefix="1" applyFont="1"/>
    <xf numFmtId="0" fontId="32" fillId="0" borderId="0" xfId="1" applyFont="1"/>
    <xf numFmtId="201" fontId="32" fillId="0" borderId="24" xfId="1" applyNumberFormat="1" applyFont="1" applyBorder="1"/>
    <xf numFmtId="0" fontId="29" fillId="0" borderId="0" xfId="1" quotePrefix="1" applyFont="1"/>
    <xf numFmtId="200" fontId="35" fillId="0" borderId="0" xfId="1" quotePrefix="1" applyNumberFormat="1" applyFont="1" applyAlignment="1">
      <alignment horizontal="right"/>
    </xf>
    <xf numFmtId="200" fontId="29" fillId="0" borderId="24" xfId="1" quotePrefix="1" applyNumberFormat="1" applyFont="1" applyBorder="1" applyAlignment="1">
      <alignment horizontal="right"/>
    </xf>
    <xf numFmtId="200" fontId="39" fillId="0" borderId="24" xfId="1" quotePrefix="1" applyNumberFormat="1" applyFont="1" applyBorder="1" applyAlignment="1">
      <alignment horizontal="right"/>
    </xf>
    <xf numFmtId="0" fontId="44" fillId="0" borderId="0" xfId="1" applyFont="1"/>
    <xf numFmtId="0" fontId="2" fillId="0" borderId="22" xfId="1" applyBorder="1"/>
    <xf numFmtId="201" fontId="35" fillId="0" borderId="24" xfId="1" applyNumberFormat="1" applyFont="1" applyBorder="1"/>
    <xf numFmtId="196" fontId="31" fillId="0" borderId="22" xfId="1" applyNumberFormat="1" applyFont="1" applyBorder="1"/>
    <xf numFmtId="0" fontId="29" fillId="0" borderId="22" xfId="1" quotePrefix="1" applyFont="1" applyBorder="1"/>
    <xf numFmtId="196" fontId="29" fillId="0" borderId="26" xfId="1" applyNumberFormat="1" applyFont="1" applyBorder="1"/>
    <xf numFmtId="0" fontId="46" fillId="0" borderId="0" xfId="51" applyFont="1" applyAlignment="1">
      <alignment horizontal="centerContinuous"/>
    </xf>
    <xf numFmtId="0" fontId="47" fillId="0" borderId="0" xfId="51" applyFont="1" applyAlignment="1">
      <alignment horizontal="centerContinuous"/>
    </xf>
    <xf numFmtId="0" fontId="29" fillId="0" borderId="31" xfId="51" applyBorder="1"/>
    <xf numFmtId="0" fontId="29" fillId="0" borderId="31" xfId="51" applyBorder="1" applyAlignment="1">
      <alignment horizontal="center"/>
    </xf>
    <xf numFmtId="0" fontId="29" fillId="0" borderId="0" xfId="51"/>
    <xf numFmtId="0" fontId="44" fillId="0" borderId="0" xfId="51" quotePrefix="1" applyFont="1" applyAlignment="1">
      <alignment horizontal="left"/>
    </xf>
    <xf numFmtId="0" fontId="44" fillId="0" borderId="0" xfId="51" quotePrefix="1" applyFont="1" applyAlignment="1">
      <alignment horizontal="center"/>
    </xf>
    <xf numFmtId="0" fontId="29" fillId="0" borderId="18" xfId="51" applyBorder="1"/>
    <xf numFmtId="0" fontId="29" fillId="0" borderId="14" xfId="51" applyBorder="1"/>
    <xf numFmtId="0" fontId="29" fillId="0" borderId="14" xfId="51" applyBorder="1" applyAlignment="1">
      <alignment horizontal="center"/>
    </xf>
    <xf numFmtId="0" fontId="2" fillId="0" borderId="21" xfId="1" applyBorder="1"/>
    <xf numFmtId="0" fontId="31" fillId="0" borderId="1" xfId="51" applyFont="1" applyBorder="1" applyAlignment="1">
      <alignment horizontal="centerContinuous"/>
    </xf>
    <xf numFmtId="0" fontId="31" fillId="0" borderId="22" xfId="51" applyFont="1" applyBorder="1" applyAlignment="1">
      <alignment vertical="center"/>
    </xf>
    <xf numFmtId="0" fontId="31" fillId="0" borderId="0" xfId="51" applyFont="1"/>
    <xf numFmtId="0" fontId="48" fillId="0" borderId="0" xfId="51" applyFont="1" applyAlignment="1">
      <alignment horizontal="center" vertical="center"/>
    </xf>
    <xf numFmtId="0" fontId="36" fillId="0" borderId="0" xfId="51" quotePrefix="1" applyFont="1" applyAlignment="1">
      <alignment horizontal="right"/>
    </xf>
    <xf numFmtId="0" fontId="31" fillId="0" borderId="26" xfId="51" applyFont="1" applyBorder="1"/>
    <xf numFmtId="0" fontId="31" fillId="0" borderId="1" xfId="51" applyFont="1" applyBorder="1"/>
    <xf numFmtId="0" fontId="31" fillId="0" borderId="1" xfId="51" applyFont="1" applyBorder="1" applyAlignment="1">
      <alignment horizontal="center"/>
    </xf>
    <xf numFmtId="0" fontId="36" fillId="0" borderId="0" xfId="51" applyFont="1" applyAlignment="1">
      <alignment horizontal="right"/>
    </xf>
    <xf numFmtId="0" fontId="31" fillId="0" borderId="0" xfId="51" applyFont="1" applyAlignment="1">
      <alignment horizontal="center"/>
    </xf>
    <xf numFmtId="0" fontId="29" fillId="0" borderId="0" xfId="51" applyAlignment="1">
      <alignment horizontal="center"/>
    </xf>
    <xf numFmtId="0" fontId="49" fillId="0" borderId="0" xfId="51" applyFont="1" applyAlignment="1">
      <alignment horizontal="left"/>
    </xf>
    <xf numFmtId="0" fontId="31" fillId="0" borderId="0" xfId="51" applyFont="1" applyAlignment="1">
      <alignment horizontal="left" vertical="center"/>
    </xf>
    <xf numFmtId="0" fontId="29" fillId="0" borderId="0" xfId="51" applyAlignment="1">
      <alignment vertical="center"/>
    </xf>
    <xf numFmtId="195" fontId="50" fillId="0" borderId="19" xfId="1" applyNumberFormat="1" applyFont="1" applyBorder="1" applyAlignment="1">
      <alignment vertical="center"/>
    </xf>
    <xf numFmtId="195" fontId="50" fillId="0" borderId="2" xfId="1" applyNumberFormat="1" applyFont="1" applyBorder="1" applyAlignment="1">
      <alignment vertical="center"/>
    </xf>
    <xf numFmtId="195" fontId="50" fillId="0" borderId="20" xfId="1" applyNumberFormat="1" applyFont="1" applyBorder="1" applyAlignment="1">
      <alignment vertical="center"/>
    </xf>
    <xf numFmtId="0" fontId="31" fillId="0" borderId="0" xfId="51" applyFont="1" applyAlignment="1">
      <alignment horizontal="left"/>
    </xf>
    <xf numFmtId="196" fontId="50" fillId="0" borderId="0" xfId="1" applyNumberFormat="1" applyFont="1"/>
    <xf numFmtId="0" fontId="29" fillId="0" borderId="0" xfId="51" applyAlignment="1">
      <alignment horizontal="left"/>
    </xf>
    <xf numFmtId="0" fontId="51" fillId="0" borderId="0" xfId="51" applyFont="1" applyAlignment="1">
      <alignment horizontal="center"/>
    </xf>
    <xf numFmtId="195" fontId="35" fillId="11" borderId="33" xfId="2" applyNumberFormat="1" applyFont="1" applyFill="1" applyBorder="1" applyProtection="1"/>
    <xf numFmtId="195" fontId="35" fillId="11" borderId="34" xfId="2" applyNumberFormat="1" applyFont="1" applyFill="1" applyBorder="1" applyProtection="1"/>
    <xf numFmtId="195" fontId="35" fillId="11" borderId="23" xfId="1" applyNumberFormat="1" applyFont="1" applyFill="1" applyBorder="1"/>
    <xf numFmtId="195" fontId="29" fillId="11" borderId="35" xfId="2" applyNumberFormat="1" applyFont="1" applyFill="1" applyBorder="1" applyProtection="1"/>
    <xf numFmtId="195" fontId="29" fillId="11" borderId="0" xfId="2" applyNumberFormat="1" applyFont="1" applyFill="1" applyBorder="1" applyProtection="1"/>
    <xf numFmtId="195" fontId="29" fillId="11" borderId="25" xfId="2" applyNumberFormat="1" applyFont="1" applyFill="1" applyBorder="1" applyProtection="1"/>
    <xf numFmtId="195" fontId="29" fillId="11" borderId="36" xfId="2" applyNumberFormat="1" applyFont="1" applyFill="1" applyBorder="1" applyProtection="1"/>
    <xf numFmtId="195" fontId="29" fillId="11" borderId="37" xfId="2" applyNumberFormat="1" applyFont="1" applyFill="1" applyBorder="1" applyProtection="1"/>
    <xf numFmtId="195" fontId="29" fillId="11" borderId="38" xfId="2" applyNumberFormat="1" applyFont="1" applyFill="1" applyBorder="1" applyProtection="1"/>
    <xf numFmtId="0" fontId="29" fillId="0" borderId="0" xfId="51" quotePrefix="1" applyAlignment="1">
      <alignment horizontal="left"/>
    </xf>
    <xf numFmtId="180" fontId="29" fillId="0" borderId="0" xfId="51" applyNumberFormat="1"/>
    <xf numFmtId="180" fontId="31" fillId="0" borderId="19" xfId="1" applyNumberFormat="1" applyFont="1" applyBorder="1" applyAlignment="1">
      <alignment vertical="center"/>
    </xf>
    <xf numFmtId="180" fontId="31" fillId="0" borderId="2" xfId="1" applyNumberFormat="1" applyFont="1" applyBorder="1" applyAlignment="1">
      <alignment vertical="center"/>
    </xf>
    <xf numFmtId="180" fontId="31" fillId="0" borderId="20" xfId="1" applyNumberFormat="1" applyFont="1" applyBorder="1" applyAlignment="1">
      <alignment vertical="center"/>
    </xf>
    <xf numFmtId="0" fontId="31" fillId="0" borderId="0" xfId="51" quotePrefix="1" applyFont="1" applyAlignment="1">
      <alignment horizontal="left"/>
    </xf>
    <xf numFmtId="0" fontId="48" fillId="0" borderId="0" xfId="51" applyFont="1" applyAlignment="1">
      <alignment horizontal="center"/>
    </xf>
    <xf numFmtId="180" fontId="35" fillId="11" borderId="33" xfId="1" applyNumberFormat="1" applyFont="1" applyFill="1" applyBorder="1"/>
    <xf numFmtId="180" fontId="35" fillId="11" borderId="34" xfId="1" applyNumberFormat="1" applyFont="1" applyFill="1" applyBorder="1"/>
    <xf numFmtId="180" fontId="35" fillId="11" borderId="23" xfId="1" applyNumberFormat="1" applyFont="1" applyFill="1" applyBorder="1"/>
    <xf numFmtId="180" fontId="35" fillId="11" borderId="35" xfId="1" applyNumberFormat="1" applyFont="1" applyFill="1" applyBorder="1"/>
    <xf numFmtId="180" fontId="35" fillId="11" borderId="0" xfId="1" applyNumberFormat="1" applyFont="1" applyFill="1"/>
    <xf numFmtId="180" fontId="35" fillId="11" borderId="25" xfId="1" applyNumberFormat="1" applyFont="1" applyFill="1" applyBorder="1"/>
    <xf numFmtId="180" fontId="35" fillId="11" borderId="36" xfId="1" applyNumberFormat="1" applyFont="1" applyFill="1" applyBorder="1"/>
    <xf numFmtId="180" fontId="35" fillId="11" borderId="37" xfId="1" applyNumberFormat="1" applyFont="1" applyFill="1" applyBorder="1"/>
    <xf numFmtId="180" fontId="35" fillId="11" borderId="38" xfId="1" applyNumberFormat="1" applyFont="1" applyFill="1" applyBorder="1"/>
    <xf numFmtId="0" fontId="29" fillId="0" borderId="37" xfId="51" applyBorder="1"/>
    <xf numFmtId="0" fontId="29" fillId="0" borderId="37" xfId="51" applyBorder="1" applyAlignment="1">
      <alignment horizontal="center"/>
    </xf>
    <xf numFmtId="180" fontId="35" fillId="0" borderId="33" xfId="1" applyNumberFormat="1" applyFont="1" applyBorder="1"/>
    <xf numFmtId="180" fontId="35" fillId="0" borderId="34" xfId="1" applyNumberFormat="1" applyFont="1" applyBorder="1"/>
    <xf numFmtId="180" fontId="35" fillId="0" borderId="23" xfId="1" applyNumberFormat="1" applyFont="1" applyBorder="1"/>
    <xf numFmtId="180" fontId="35" fillId="0" borderId="35" xfId="1" applyNumberFormat="1" applyFont="1" applyBorder="1"/>
    <xf numFmtId="180" fontId="35" fillId="0" borderId="25" xfId="1" applyNumberFormat="1" applyFont="1" applyBorder="1"/>
    <xf numFmtId="180" fontId="35" fillId="0" borderId="36" xfId="1" applyNumberFormat="1" applyFont="1" applyBorder="1"/>
    <xf numFmtId="180" fontId="35" fillId="0" borderId="37" xfId="1" applyNumberFormat="1" applyFont="1" applyBorder="1"/>
    <xf numFmtId="180" fontId="35" fillId="0" borderId="38" xfId="1" applyNumberFormat="1" applyFont="1" applyBorder="1"/>
    <xf numFmtId="202" fontId="31" fillId="0" borderId="19" xfId="1" applyNumberFormat="1" applyFont="1" applyBorder="1" applyAlignment="1">
      <alignment vertical="center"/>
    </xf>
    <xf numFmtId="202" fontId="31" fillId="0" borderId="2" xfId="1" applyNumberFormat="1" applyFont="1" applyBorder="1" applyAlignment="1">
      <alignment vertical="center"/>
    </xf>
    <xf numFmtId="202" fontId="31" fillId="0" borderId="20" xfId="1" applyNumberFormat="1" applyFont="1" applyBorder="1" applyAlignment="1">
      <alignment vertical="center"/>
    </xf>
    <xf numFmtId="202" fontId="31" fillId="0" borderId="0" xfId="1" applyNumberFormat="1" applyFont="1"/>
    <xf numFmtId="202" fontId="35" fillId="0" borderId="33" xfId="51" applyNumberFormat="1" applyFont="1" applyBorder="1"/>
    <xf numFmtId="202" fontId="35" fillId="0" borderId="34" xfId="51" applyNumberFormat="1" applyFont="1" applyBorder="1"/>
    <xf numFmtId="202" fontId="35" fillId="0" borderId="23" xfId="51" applyNumberFormat="1" applyFont="1" applyBorder="1"/>
    <xf numFmtId="202" fontId="35" fillId="0" borderId="35" xfId="51" applyNumberFormat="1" applyFont="1" applyBorder="1"/>
    <xf numFmtId="202" fontId="35" fillId="0" borderId="0" xfId="51" applyNumberFormat="1" applyFont="1"/>
    <xf numFmtId="202" fontId="35" fillId="0" borderId="25" xfId="51" applyNumberFormat="1" applyFont="1" applyBorder="1"/>
    <xf numFmtId="202" fontId="35" fillId="0" borderId="36" xfId="2" applyNumberFormat="1" applyFont="1" applyBorder="1" applyAlignment="1" applyProtection="1">
      <alignment horizontal="right"/>
    </xf>
    <xf numFmtId="202" fontId="35" fillId="0" borderId="37" xfId="2" applyNumberFormat="1" applyFont="1" applyBorder="1" applyAlignment="1" applyProtection="1">
      <alignment horizontal="right"/>
    </xf>
    <xf numFmtId="202" fontId="35" fillId="0" borderId="38" xfId="2" applyNumberFormat="1" applyFont="1" applyBorder="1" applyAlignment="1" applyProtection="1">
      <alignment horizontal="right"/>
    </xf>
    <xf numFmtId="202" fontId="52" fillId="0" borderId="0" xfId="2" applyNumberFormat="1" applyFont="1" applyBorder="1" applyAlignment="1">
      <alignment horizontal="right"/>
    </xf>
    <xf numFmtId="195" fontId="31" fillId="0" borderId="19" xfId="1" applyNumberFormat="1" applyFont="1" applyBorder="1" applyAlignment="1">
      <alignment vertical="center"/>
    </xf>
    <xf numFmtId="195" fontId="31" fillId="0" borderId="2" xfId="1" applyNumberFormat="1" applyFont="1" applyBorder="1" applyAlignment="1">
      <alignment vertical="center"/>
    </xf>
    <xf numFmtId="195" fontId="31" fillId="0" borderId="20" xfId="1" applyNumberFormat="1" applyFont="1" applyBorder="1" applyAlignment="1">
      <alignment vertical="center"/>
    </xf>
    <xf numFmtId="195" fontId="35" fillId="0" borderId="33" xfId="51" applyNumberFormat="1" applyFont="1" applyBorder="1"/>
    <xf numFmtId="195" fontId="35" fillId="0" borderId="34" xfId="51" applyNumberFormat="1" applyFont="1" applyBorder="1"/>
    <xf numFmtId="195" fontId="35" fillId="0" borderId="23" xfId="51" applyNumberFormat="1" applyFont="1" applyBorder="1"/>
    <xf numFmtId="195" fontId="35" fillId="0" borderId="35" xfId="51" applyNumberFormat="1" applyFont="1" applyBorder="1"/>
    <xf numFmtId="195" fontId="35" fillId="0" borderId="0" xfId="51" applyNumberFormat="1" applyFont="1"/>
    <xf numFmtId="195" fontId="35" fillId="0" borderId="25" xfId="51" applyNumberFormat="1" applyFont="1" applyBorder="1"/>
    <xf numFmtId="195" fontId="35" fillId="0" borderId="36" xfId="2" applyNumberFormat="1" applyFont="1" applyBorder="1" applyAlignment="1">
      <alignment horizontal="right"/>
    </xf>
    <xf numFmtId="195" fontId="35" fillId="0" borderId="37" xfId="2" applyNumberFormat="1" applyFont="1" applyBorder="1" applyAlignment="1">
      <alignment horizontal="right"/>
    </xf>
    <xf numFmtId="195" fontId="35" fillId="0" borderId="38" xfId="2" applyNumberFormat="1" applyFont="1" applyBorder="1" applyAlignment="1">
      <alignment horizontal="right"/>
    </xf>
    <xf numFmtId="10" fontId="39" fillId="0" borderId="19" xfId="1" applyNumberFormat="1" applyFont="1" applyBorder="1" applyAlignment="1">
      <alignment vertical="center"/>
    </xf>
    <xf numFmtId="10" fontId="39" fillId="0" borderId="2" xfId="1" applyNumberFormat="1" applyFont="1" applyBorder="1" applyAlignment="1">
      <alignment vertical="center"/>
    </xf>
    <xf numFmtId="10" fontId="39" fillId="0" borderId="20" xfId="1" applyNumberFormat="1" applyFont="1" applyBorder="1" applyAlignment="1">
      <alignment vertical="center"/>
    </xf>
    <xf numFmtId="0" fontId="29" fillId="0" borderId="1" xfId="51" applyBorder="1"/>
    <xf numFmtId="0" fontId="29" fillId="0" borderId="1" xfId="51" applyBorder="1" applyAlignment="1">
      <alignment horizontal="center"/>
    </xf>
    <xf numFmtId="0" fontId="28" fillId="0" borderId="0" xfId="1" applyFont="1" applyAlignment="1">
      <alignment horizontal="left"/>
    </xf>
    <xf numFmtId="0" fontId="51" fillId="0" borderId="0" xfId="1" applyFont="1" applyAlignment="1">
      <alignment horizontal="centerContinuous"/>
    </xf>
    <xf numFmtId="0" fontId="53" fillId="0" borderId="0" xfId="52" quotePrefix="1" applyFont="1" applyAlignment="1">
      <alignment horizontal="right" vertical="center"/>
    </xf>
    <xf numFmtId="0" fontId="40" fillId="0" borderId="0" xfId="1" applyFont="1" applyAlignment="1">
      <alignment horizontal="left"/>
    </xf>
    <xf numFmtId="0" fontId="47" fillId="0" borderId="0" xfId="1" applyFont="1" applyAlignment="1">
      <alignment horizontal="left"/>
    </xf>
    <xf numFmtId="0" fontId="47" fillId="0" borderId="0" xfId="1" applyFont="1" applyAlignment="1">
      <alignment horizontal="centerContinuous"/>
    </xf>
    <xf numFmtId="0" fontId="54" fillId="0" borderId="0" xfId="1" applyFont="1" applyAlignment="1">
      <alignment horizontal="centerContinuous"/>
    </xf>
    <xf numFmtId="0" fontId="55" fillId="0" borderId="0" xfId="1" applyFont="1" applyAlignment="1">
      <alignment horizontal="centerContinuous"/>
    </xf>
    <xf numFmtId="0" fontId="47" fillId="0" borderId="31" xfId="1" applyFont="1" applyBorder="1" applyAlignment="1">
      <alignment horizontal="centerContinuous"/>
    </xf>
    <xf numFmtId="0" fontId="54" fillId="0" borderId="31" xfId="1" applyFont="1" applyBorder="1" applyAlignment="1">
      <alignment horizontal="centerContinuous"/>
    </xf>
    <xf numFmtId="0" fontId="55" fillId="0" borderId="31" xfId="1" applyFont="1" applyBorder="1" applyAlignment="1">
      <alignment horizontal="centerContinuous"/>
    </xf>
    <xf numFmtId="181" fontId="39" fillId="0" borderId="0" xfId="1" applyNumberFormat="1" applyFont="1"/>
    <xf numFmtId="181" fontId="29" fillId="0" borderId="0" xfId="1" applyNumberFormat="1" applyFont="1"/>
    <xf numFmtId="0" fontId="51" fillId="0" borderId="0" xfId="1" applyFont="1"/>
    <xf numFmtId="0" fontId="31" fillId="0" borderId="0" xfId="1" applyFont="1" applyAlignment="1">
      <alignment horizontal="centerContinuous"/>
    </xf>
    <xf numFmtId="0" fontId="56" fillId="0" borderId="1" xfId="1" applyFont="1" applyBorder="1" applyAlignment="1">
      <alignment horizontal="centerContinuous"/>
    </xf>
    <xf numFmtId="197" fontId="36" fillId="0" borderId="0" xfId="1" quotePrefix="1" applyNumberFormat="1" applyFont="1" applyAlignment="1">
      <alignment horizontal="right"/>
    </xf>
    <xf numFmtId="0" fontId="57" fillId="0" borderId="0" xfId="1" applyFont="1"/>
    <xf numFmtId="0" fontId="31" fillId="0" borderId="0" xfId="1" quotePrefix="1" applyFont="1" applyAlignment="1">
      <alignment horizontal="left"/>
    </xf>
    <xf numFmtId="0" fontId="58" fillId="0" borderId="0" xfId="1" applyFont="1"/>
    <xf numFmtId="0" fontId="58" fillId="0" borderId="0" xfId="1" quotePrefix="1" applyFont="1" applyAlignment="1">
      <alignment horizontal="left"/>
    </xf>
    <xf numFmtId="203" fontId="35" fillId="0" borderId="0" xfId="2" applyNumberFormat="1" applyFont="1" applyBorder="1" applyProtection="1"/>
    <xf numFmtId="203" fontId="29" fillId="0" borderId="0" xfId="2" applyNumberFormat="1" applyFont="1" applyFill="1" applyBorder="1" applyProtection="1"/>
    <xf numFmtId="0" fontId="58" fillId="0" borderId="0" xfId="1" applyFont="1" applyAlignment="1">
      <alignment horizontal="left"/>
    </xf>
    <xf numFmtId="203" fontId="29" fillId="0" borderId="0" xfId="2" applyNumberFormat="1" applyFont="1" applyBorder="1" applyProtection="1"/>
    <xf numFmtId="180" fontId="44" fillId="0" borderId="0" xfId="1" applyNumberFormat="1" applyFont="1"/>
    <xf numFmtId="203" fontId="35" fillId="0" borderId="1" xfId="2" applyNumberFormat="1" applyFont="1" applyBorder="1" applyProtection="1"/>
    <xf numFmtId="203" fontId="29" fillId="0" borderId="1" xfId="2" applyNumberFormat="1" applyFont="1" applyBorder="1" applyProtection="1"/>
    <xf numFmtId="0" fontId="53" fillId="0" borderId="0" xfId="1" quotePrefix="1" applyFont="1" applyAlignment="1">
      <alignment horizontal="left"/>
    </xf>
    <xf numFmtId="203" fontId="31" fillId="0" borderId="0" xfId="2" applyNumberFormat="1" applyFont="1" applyProtection="1"/>
    <xf numFmtId="0" fontId="29" fillId="0" borderId="37" xfId="1" applyFont="1" applyBorder="1"/>
    <xf numFmtId="0" fontId="31" fillId="0" borderId="37" xfId="1" quotePrefix="1" applyFont="1" applyBorder="1" applyAlignment="1">
      <alignment horizontal="left"/>
    </xf>
    <xf numFmtId="0" fontId="53" fillId="0" borderId="37" xfId="1" quotePrefix="1" applyFont="1" applyBorder="1" applyAlignment="1">
      <alignment horizontal="left"/>
    </xf>
    <xf numFmtId="204" fontId="59" fillId="0" borderId="37" xfId="2" applyNumberFormat="1" applyFont="1" applyBorder="1" applyProtection="1"/>
    <xf numFmtId="204" fontId="31" fillId="0" borderId="37" xfId="2" applyNumberFormat="1" applyFont="1" applyBorder="1" applyProtection="1"/>
    <xf numFmtId="204" fontId="59" fillId="0" borderId="0" xfId="2" applyNumberFormat="1" applyFont="1" applyProtection="1"/>
    <xf numFmtId="204" fontId="31" fillId="0" borderId="0" xfId="2" applyNumberFormat="1" applyFont="1" applyProtection="1"/>
    <xf numFmtId="204" fontId="29" fillId="0" borderId="0" xfId="2" applyNumberFormat="1" applyFont="1" applyProtection="1"/>
    <xf numFmtId="181" fontId="29" fillId="0" borderId="0" xfId="2" applyNumberFormat="1" applyFont="1" applyProtection="1"/>
    <xf numFmtId="203" fontId="35" fillId="0" borderId="0" xfId="2" applyNumberFormat="1" applyFont="1" applyProtection="1"/>
    <xf numFmtId="0" fontId="53" fillId="0" borderId="0" xfId="1" applyFont="1"/>
    <xf numFmtId="180" fontId="60" fillId="0" borderId="0" xfId="1" applyNumberFormat="1" applyFont="1"/>
    <xf numFmtId="203" fontId="48" fillId="0" borderId="2" xfId="2" applyNumberFormat="1" applyFont="1" applyBorder="1" applyProtection="1"/>
    <xf numFmtId="205" fontId="29" fillId="0" borderId="0" xfId="1" applyNumberFormat="1" applyFont="1"/>
    <xf numFmtId="0" fontId="58" fillId="0" borderId="37" xfId="1" applyFont="1" applyBorder="1"/>
    <xf numFmtId="188" fontId="29" fillId="0" borderId="0" xfId="2" applyNumberFormat="1" applyFont="1" applyBorder="1" applyProtection="1"/>
    <xf numFmtId="188" fontId="29" fillId="0" borderId="1" xfId="2" applyNumberFormat="1" applyFont="1" applyBorder="1" applyProtection="1"/>
    <xf numFmtId="188" fontId="31" fillId="0" borderId="12" xfId="2" applyNumberFormat="1" applyFont="1" applyFill="1" applyBorder="1" applyProtection="1"/>
    <xf numFmtId="0" fontId="51" fillId="0" borderId="1" xfId="1" applyFont="1" applyBorder="1"/>
    <xf numFmtId="196" fontId="29" fillId="0" borderId="0" xfId="2" applyNumberFormat="1" applyFont="1" applyBorder="1" applyProtection="1"/>
    <xf numFmtId="0" fontId="53" fillId="0" borderId="0" xfId="1" applyFont="1" applyAlignment="1">
      <alignment horizontal="right" vertical="center"/>
    </xf>
    <xf numFmtId="0" fontId="42" fillId="0" borderId="0" xfId="1" applyFont="1" applyAlignment="1">
      <alignment horizontal="centerContinuous"/>
    </xf>
    <xf numFmtId="0" fontId="42" fillId="0" borderId="31" xfId="1" applyFont="1" applyBorder="1" applyAlignment="1">
      <alignment horizontal="centerContinuous"/>
    </xf>
    <xf numFmtId="0" fontId="61" fillId="0" borderId="0" xfId="1" applyFont="1" applyAlignment="1">
      <alignment horizontal="centerContinuous"/>
    </xf>
    <xf numFmtId="197" fontId="36" fillId="0" borderId="0" xfId="1" applyNumberFormat="1" applyFont="1"/>
    <xf numFmtId="0" fontId="36" fillId="0" borderId="0" xfId="1" quotePrefix="1" applyFont="1" applyAlignment="1">
      <alignment horizontal="right"/>
    </xf>
    <xf numFmtId="0" fontId="29" fillId="0" borderId="33" xfId="1" applyFont="1" applyBorder="1"/>
    <xf numFmtId="0" fontId="29" fillId="0" borderId="34" xfId="1" applyFont="1" applyBorder="1"/>
    <xf numFmtId="0" fontId="58" fillId="0" borderId="34" xfId="1" applyFont="1" applyBorder="1"/>
    <xf numFmtId="0" fontId="36" fillId="0" borderId="34" xfId="1" applyFont="1" applyBorder="1"/>
    <xf numFmtId="180" fontId="29" fillId="0" borderId="34" xfId="1" applyNumberFormat="1" applyFont="1" applyBorder="1" applyAlignment="1">
      <alignment horizontal="right"/>
    </xf>
    <xf numFmtId="200" fontId="29" fillId="0" borderId="34" xfId="1" applyNumberFormat="1" applyFont="1" applyBorder="1"/>
    <xf numFmtId="180" fontId="29" fillId="0" borderId="23" xfId="1" applyNumberFormat="1" applyFont="1" applyBorder="1" applyAlignment="1">
      <alignment horizontal="right"/>
    </xf>
    <xf numFmtId="0" fontId="29" fillId="0" borderId="35" xfId="1" applyFont="1" applyBorder="1"/>
    <xf numFmtId="168" fontId="35" fillId="0" borderId="0" xfId="2" applyFont="1" applyFill="1" applyBorder="1" applyProtection="1"/>
    <xf numFmtId="168" fontId="29" fillId="0" borderId="0" xfId="2" applyFont="1" applyFill="1" applyBorder="1" applyProtection="1"/>
    <xf numFmtId="168" fontId="29" fillId="0" borderId="0" xfId="2" applyFont="1" applyBorder="1" applyProtection="1"/>
    <xf numFmtId="168" fontId="29" fillId="0" borderId="25" xfId="2" applyFont="1" applyBorder="1" applyProtection="1"/>
    <xf numFmtId="0" fontId="29" fillId="0" borderId="36" xfId="1" applyFont="1" applyBorder="1"/>
    <xf numFmtId="0" fontId="36" fillId="0" borderId="37" xfId="1" applyFont="1" applyBorder="1"/>
    <xf numFmtId="188" fontId="29" fillId="0" borderId="37" xfId="2" applyNumberFormat="1" applyFont="1" applyBorder="1" applyProtection="1"/>
    <xf numFmtId="188" fontId="29" fillId="0" borderId="38" xfId="2" applyNumberFormat="1" applyFont="1" applyBorder="1" applyProtection="1"/>
    <xf numFmtId="0" fontId="56" fillId="0" borderId="0" xfId="1" applyFont="1"/>
    <xf numFmtId="0" fontId="35" fillId="0" borderId="0" xfId="1" applyFont="1" applyAlignment="1">
      <alignment horizontal="center"/>
    </xf>
    <xf numFmtId="206" fontId="35" fillId="0" borderId="0" xfId="1" applyNumberFormat="1" applyFont="1"/>
    <xf numFmtId="206" fontId="29" fillId="0" borderId="0" xfId="1" applyNumberFormat="1" applyFont="1"/>
    <xf numFmtId="188" fontId="39" fillId="0" borderId="0" xfId="2" applyNumberFormat="1" applyFont="1" applyBorder="1" applyProtection="1"/>
    <xf numFmtId="188" fontId="35" fillId="0" borderId="1" xfId="2" applyNumberFormat="1" applyFont="1" applyBorder="1" applyProtection="1"/>
    <xf numFmtId="188" fontId="31" fillId="0" borderId="0" xfId="2" applyNumberFormat="1" applyFont="1" applyBorder="1" applyProtection="1"/>
    <xf numFmtId="37" fontId="29" fillId="0" borderId="0" xfId="2" applyNumberFormat="1" applyFont="1" applyBorder="1" applyProtection="1"/>
    <xf numFmtId="182" fontId="31" fillId="0" borderId="12" xfId="2" applyNumberFormat="1" applyFont="1" applyBorder="1" applyProtection="1"/>
    <xf numFmtId="0" fontId="29" fillId="0" borderId="37" xfId="1" applyFont="1" applyBorder="1" applyAlignment="1">
      <alignment horizontal="left"/>
    </xf>
    <xf numFmtId="37" fontId="29" fillId="0" borderId="37" xfId="2" applyNumberFormat="1" applyFont="1" applyBorder="1" applyProtection="1"/>
    <xf numFmtId="188" fontId="31" fillId="0" borderId="14" xfId="2" applyNumberFormat="1" applyFont="1" applyBorder="1" applyProtection="1"/>
    <xf numFmtId="37" fontId="31" fillId="0" borderId="0" xfId="2" applyNumberFormat="1" applyFont="1" applyBorder="1" applyProtection="1"/>
    <xf numFmtId="188" fontId="35" fillId="0" borderId="0" xfId="2" applyNumberFormat="1" applyFont="1" applyBorder="1" applyProtection="1"/>
    <xf numFmtId="188" fontId="29" fillId="0" borderId="0" xfId="2" applyNumberFormat="1" applyFont="1" applyFill="1" applyBorder="1" applyProtection="1"/>
    <xf numFmtId="188" fontId="31" fillId="0" borderId="14" xfId="2" applyNumberFormat="1" applyFont="1" applyFill="1" applyBorder="1" applyProtection="1"/>
    <xf numFmtId="37" fontId="35" fillId="0" borderId="0" xfId="2" applyNumberFormat="1" applyFont="1" applyBorder="1" applyProtection="1"/>
    <xf numFmtId="0" fontId="31" fillId="0" borderId="1" xfId="1" quotePrefix="1" applyFont="1" applyBorder="1" applyAlignment="1">
      <alignment horizontal="left"/>
    </xf>
    <xf numFmtId="0" fontId="62" fillId="0" borderId="1" xfId="1" applyFont="1" applyBorder="1"/>
    <xf numFmtId="37" fontId="31" fillId="0" borderId="1" xfId="2" applyNumberFormat="1" applyFont="1" applyBorder="1" applyProtection="1"/>
    <xf numFmtId="204" fontId="29" fillId="0" borderId="0" xfId="2" applyNumberFormat="1" applyFont="1" applyBorder="1" applyProtection="1"/>
    <xf numFmtId="164" fontId="29" fillId="0" borderId="0" xfId="1" applyNumberFormat="1" applyFont="1"/>
    <xf numFmtId="188" fontId="29" fillId="0" borderId="34" xfId="2" applyNumberFormat="1" applyFont="1" applyBorder="1" applyAlignment="1" applyProtection="1">
      <alignment horizontal="right"/>
    </xf>
    <xf numFmtId="188" fontId="29" fillId="0" borderId="23" xfId="2" applyNumberFormat="1" applyFont="1" applyBorder="1" applyAlignment="1" applyProtection="1">
      <alignment horizontal="right"/>
    </xf>
    <xf numFmtId="180" fontId="29" fillId="0" borderId="37" xfId="1" applyNumberFormat="1" applyFont="1" applyBorder="1" applyAlignment="1">
      <alignment horizontal="right"/>
    </xf>
    <xf numFmtId="188" fontId="29" fillId="0" borderId="0" xfId="2" applyNumberFormat="1" applyFont="1" applyBorder="1" applyAlignment="1" applyProtection="1">
      <alignment horizontal="right"/>
    </xf>
    <xf numFmtId="188" fontId="29" fillId="0" borderId="1" xfId="2" applyNumberFormat="1" applyFont="1" applyFill="1" applyBorder="1" applyAlignment="1" applyProtection="1">
      <alignment horizontal="right"/>
    </xf>
    <xf numFmtId="37" fontId="36" fillId="0" borderId="0" xfId="1" applyNumberFormat="1" applyFont="1"/>
    <xf numFmtId="188" fontId="35" fillId="0" borderId="1" xfId="2" applyNumberFormat="1" applyFont="1" applyBorder="1" applyAlignment="1" applyProtection="1">
      <alignment horizontal="right"/>
    </xf>
    <xf numFmtId="188" fontId="29" fillId="0" borderId="1" xfId="2" applyNumberFormat="1" applyFont="1" applyBorder="1" applyAlignment="1" applyProtection="1">
      <alignment horizontal="right"/>
    </xf>
    <xf numFmtId="188" fontId="31" fillId="0" borderId="0" xfId="2" applyNumberFormat="1" applyFont="1" applyBorder="1" applyAlignment="1" applyProtection="1">
      <alignment horizontal="right"/>
    </xf>
    <xf numFmtId="37" fontId="31" fillId="0" borderId="0" xfId="2" applyNumberFormat="1" applyFont="1" applyBorder="1" applyAlignment="1" applyProtection="1">
      <alignment horizontal="right"/>
    </xf>
    <xf numFmtId="0" fontId="29" fillId="11" borderId="0" xfId="1" applyFont="1" applyFill="1"/>
    <xf numFmtId="188" fontId="31" fillId="0" borderId="0" xfId="2" applyNumberFormat="1" applyFont="1" applyFill="1" applyBorder="1" applyProtection="1"/>
    <xf numFmtId="189" fontId="29" fillId="0" borderId="0" xfId="2" applyNumberFormat="1" applyFont="1" applyBorder="1" applyProtection="1"/>
    <xf numFmtId="188" fontId="35" fillId="0" borderId="0" xfId="2" applyNumberFormat="1" applyFont="1" applyFill="1" applyBorder="1" applyProtection="1"/>
    <xf numFmtId="188" fontId="29" fillId="0" borderId="1" xfId="2" applyNumberFormat="1" applyFont="1" applyFill="1" applyBorder="1" applyProtection="1"/>
    <xf numFmtId="39" fontId="31" fillId="0" borderId="0" xfId="2" applyNumberFormat="1" applyFont="1" applyBorder="1" applyProtection="1"/>
    <xf numFmtId="188" fontId="29" fillId="0" borderId="0" xfId="1" applyNumberFormat="1" applyFont="1"/>
    <xf numFmtId="165" fontId="31" fillId="0" borderId="0" xfId="1" quotePrefix="1" applyNumberFormat="1" applyFont="1" applyAlignment="1">
      <alignment horizontal="left"/>
    </xf>
    <xf numFmtId="165" fontId="31" fillId="0" borderId="0" xfId="1" applyNumberFormat="1" applyFont="1" applyAlignment="1">
      <alignment horizontal="left"/>
    </xf>
    <xf numFmtId="0" fontId="31" fillId="0" borderId="18" xfId="1" applyFont="1" applyBorder="1"/>
    <xf numFmtId="0" fontId="51" fillId="0" borderId="14" xfId="1" applyFont="1" applyBorder="1"/>
    <xf numFmtId="204" fontId="29" fillId="0" borderId="14" xfId="2" applyNumberFormat="1" applyFont="1" applyBorder="1" applyProtection="1"/>
    <xf numFmtId="204" fontId="29" fillId="0" borderId="21" xfId="2" applyNumberFormat="1" applyFont="1" applyBorder="1" applyProtection="1"/>
    <xf numFmtId="207" fontId="44" fillId="0" borderId="0" xfId="1" applyNumberFormat="1" applyFont="1"/>
    <xf numFmtId="207" fontId="44" fillId="0" borderId="24" xfId="1" applyNumberFormat="1" applyFont="1" applyBorder="1"/>
    <xf numFmtId="0" fontId="51" fillId="0" borderId="0" xfId="1" quotePrefix="1" applyFont="1"/>
    <xf numFmtId="0" fontId="51" fillId="0" borderId="1" xfId="1" quotePrefix="1" applyFont="1" applyBorder="1"/>
    <xf numFmtId="208" fontId="44" fillId="0" borderId="1" xfId="1" applyNumberFormat="1" applyFont="1" applyBorder="1"/>
    <xf numFmtId="207" fontId="44" fillId="0" borderId="1" xfId="1" applyNumberFormat="1" applyFont="1" applyBorder="1"/>
    <xf numFmtId="207" fontId="44" fillId="0" borderId="27" xfId="1" applyNumberFormat="1" applyFont="1" applyBorder="1"/>
    <xf numFmtId="0" fontId="64" fillId="0" borderId="14" xfId="1" quotePrefix="1" applyFont="1" applyBorder="1"/>
    <xf numFmtId="208" fontId="44" fillId="0" borderId="0" xfId="1" applyNumberFormat="1" applyFont="1"/>
    <xf numFmtId="0" fontId="64" fillId="0" borderId="0" xfId="1" quotePrefix="1" applyFont="1"/>
    <xf numFmtId="0" fontId="29" fillId="0" borderId="31" xfId="1" applyFont="1" applyBorder="1" applyAlignment="1">
      <alignment horizontal="centerContinuous"/>
    </xf>
    <xf numFmtId="0" fontId="44" fillId="0" borderId="0" xfId="1" quotePrefix="1" applyFont="1"/>
    <xf numFmtId="0" fontId="44" fillId="0" borderId="0" xfId="1" quotePrefix="1" applyFont="1" applyAlignment="1">
      <alignment horizontal="left"/>
    </xf>
    <xf numFmtId="0" fontId="29" fillId="0" borderId="0" xfId="1" applyFont="1" applyAlignment="1">
      <alignment horizontal="right"/>
    </xf>
    <xf numFmtId="197" fontId="36" fillId="0" borderId="0" xfId="1" applyNumberFormat="1" applyFont="1" applyAlignment="1">
      <alignment horizontal="right"/>
    </xf>
    <xf numFmtId="0" fontId="36" fillId="0" borderId="0" xfId="1" applyFont="1" applyAlignment="1">
      <alignment horizontal="right"/>
    </xf>
    <xf numFmtId="37" fontId="29" fillId="0" borderId="0" xfId="2" applyNumberFormat="1" applyFont="1" applyProtection="1"/>
    <xf numFmtId="188" fontId="29" fillId="0" borderId="0" xfId="2" applyNumberFormat="1" applyFont="1" applyProtection="1"/>
    <xf numFmtId="37" fontId="29" fillId="0" borderId="0" xfId="2" applyNumberFormat="1" applyFont="1" applyFill="1" applyProtection="1"/>
    <xf numFmtId="188" fontId="29" fillId="0" borderId="0" xfId="2" applyNumberFormat="1" applyFont="1" applyFill="1" applyProtection="1"/>
    <xf numFmtId="188" fontId="31" fillId="0" borderId="0" xfId="2" applyNumberFormat="1" applyFont="1" applyProtection="1"/>
    <xf numFmtId="204" fontId="29" fillId="0" borderId="0" xfId="2" applyNumberFormat="1" applyFont="1" applyFill="1" applyBorder="1" applyProtection="1"/>
    <xf numFmtId="37" fontId="35" fillId="0" borderId="0" xfId="2" applyNumberFormat="1" applyFont="1" applyFill="1" applyProtection="1"/>
    <xf numFmtId="164" fontId="31" fillId="0" borderId="0" xfId="2" applyNumberFormat="1" applyFont="1" applyProtection="1"/>
    <xf numFmtId="209" fontId="31" fillId="0" borderId="0" xfId="2" applyNumberFormat="1" applyFont="1" applyProtection="1"/>
    <xf numFmtId="188" fontId="31" fillId="0" borderId="12" xfId="2" applyNumberFormat="1" applyFont="1" applyBorder="1" applyProtection="1"/>
    <xf numFmtId="37" fontId="31" fillId="0" borderId="0" xfId="2" applyNumberFormat="1" applyFont="1" applyProtection="1"/>
    <xf numFmtId="210" fontId="31" fillId="0" borderId="0" xfId="2" applyNumberFormat="1" applyFont="1" applyProtection="1"/>
    <xf numFmtId="37" fontId="31" fillId="0" borderId="0" xfId="2" applyNumberFormat="1" applyFont="1" applyFill="1" applyBorder="1" applyProtection="1"/>
    <xf numFmtId="37" fontId="31" fillId="0" borderId="0" xfId="2" applyNumberFormat="1" applyFont="1" applyFill="1" applyProtection="1"/>
    <xf numFmtId="0" fontId="31" fillId="0" borderId="14" xfId="1" quotePrefix="1" applyFont="1" applyBorder="1" applyAlignment="1">
      <alignment horizontal="left"/>
    </xf>
    <xf numFmtId="37" fontId="31" fillId="0" borderId="14" xfId="2" applyNumberFormat="1" applyFont="1" applyBorder="1" applyProtection="1"/>
    <xf numFmtId="37" fontId="29" fillId="0" borderId="14" xfId="2" applyNumberFormat="1" applyFont="1" applyBorder="1" applyProtection="1"/>
    <xf numFmtId="188" fontId="29" fillId="0" borderId="14" xfId="2" applyNumberFormat="1" applyFont="1" applyFill="1" applyBorder="1" applyProtection="1"/>
    <xf numFmtId="188" fontId="29" fillId="0" borderId="21" xfId="2" applyNumberFormat="1" applyFont="1" applyFill="1" applyBorder="1" applyProtection="1"/>
    <xf numFmtId="188" fontId="41" fillId="0" borderId="0" xfId="2" applyNumberFormat="1" applyFont="1" applyFill="1" applyBorder="1" applyProtection="1"/>
    <xf numFmtId="188" fontId="41" fillId="0" borderId="24" xfId="2" applyNumberFormat="1" applyFont="1" applyFill="1" applyBorder="1" applyProtection="1"/>
    <xf numFmtId="0" fontId="29" fillId="0" borderId="26" xfId="1" applyFont="1" applyBorder="1" applyAlignment="1">
      <alignment horizontal="left"/>
    </xf>
    <xf numFmtId="37" fontId="29" fillId="0" borderId="1" xfId="2" applyNumberFormat="1" applyFont="1" applyBorder="1" applyProtection="1"/>
    <xf numFmtId="188" fontId="29" fillId="0" borderId="27" xfId="2" applyNumberFormat="1" applyFont="1" applyFill="1" applyBorder="1" applyProtection="1"/>
    <xf numFmtId="0" fontId="31" fillId="0" borderId="18" xfId="1" applyFont="1" applyBorder="1" applyAlignment="1">
      <alignment horizontal="center"/>
    </xf>
    <xf numFmtId="0" fontId="31" fillId="0" borderId="21" xfId="1" applyFont="1" applyBorder="1" applyAlignment="1">
      <alignment horizontal="center"/>
    </xf>
    <xf numFmtId="0" fontId="44" fillId="0" borderId="0" xfId="1" applyFont="1" applyAlignment="1">
      <alignment horizontal="left"/>
    </xf>
    <xf numFmtId="197" fontId="36" fillId="0" borderId="22" xfId="1" applyNumberFormat="1" applyFont="1" applyBorder="1" applyAlignment="1">
      <alignment horizontal="center"/>
    </xf>
    <xf numFmtId="197" fontId="36" fillId="0" borderId="0" xfId="1" applyNumberFormat="1" applyFont="1" applyAlignment="1">
      <alignment horizontal="center"/>
    </xf>
    <xf numFmtId="0" fontId="36" fillId="0" borderId="24" xfId="1" applyFont="1" applyBorder="1" applyAlignment="1">
      <alignment horizontal="center"/>
    </xf>
    <xf numFmtId="197" fontId="36" fillId="0" borderId="22" xfId="1" applyNumberFormat="1" applyFont="1" applyBorder="1" applyAlignment="1">
      <alignment horizontal="right"/>
    </xf>
    <xf numFmtId="188" fontId="35" fillId="0" borderId="22" xfId="2" applyNumberFormat="1" applyFont="1" applyFill="1" applyBorder="1" applyProtection="1"/>
    <xf numFmtId="188" fontId="29" fillId="0" borderId="24" xfId="2" applyNumberFormat="1" applyFont="1" applyFill="1" applyBorder="1" applyProtection="1"/>
    <xf numFmtId="188" fontId="35" fillId="0" borderId="26" xfId="2" applyNumberFormat="1" applyFont="1" applyFill="1" applyBorder="1" applyProtection="1"/>
    <xf numFmtId="188" fontId="29" fillId="0" borderId="22" xfId="2" applyNumberFormat="1" applyFont="1" applyFill="1" applyBorder="1" applyProtection="1"/>
    <xf numFmtId="210" fontId="29" fillId="0" borderId="22" xfId="2" applyNumberFormat="1" applyFont="1" applyFill="1" applyBorder="1" applyProtection="1"/>
    <xf numFmtId="210" fontId="29" fillId="0" borderId="0" xfId="2" applyNumberFormat="1" applyFont="1" applyFill="1" applyBorder="1" applyProtection="1"/>
    <xf numFmtId="210" fontId="29" fillId="0" borderId="24" xfId="2" applyNumberFormat="1" applyFont="1" applyFill="1" applyBorder="1" applyProtection="1"/>
    <xf numFmtId="210" fontId="29" fillId="0" borderId="0" xfId="2" applyNumberFormat="1" applyFont="1" applyFill="1" applyProtection="1"/>
    <xf numFmtId="182" fontId="31" fillId="0" borderId="39" xfId="2" applyNumberFormat="1" applyFont="1" applyFill="1" applyBorder="1" applyProtection="1"/>
    <xf numFmtId="182" fontId="31" fillId="0" borderId="12" xfId="2" applyNumberFormat="1" applyFont="1" applyFill="1" applyBorder="1" applyProtection="1"/>
    <xf numFmtId="182" fontId="31" fillId="0" borderId="32" xfId="2" applyNumberFormat="1" applyFont="1" applyFill="1" applyBorder="1" applyProtection="1"/>
    <xf numFmtId="37" fontId="29" fillId="0" borderId="22" xfId="2" applyNumberFormat="1" applyFont="1" applyFill="1" applyBorder="1" applyProtection="1"/>
    <xf numFmtId="37" fontId="29" fillId="0" borderId="0" xfId="2" applyNumberFormat="1" applyFont="1" applyFill="1" applyBorder="1" applyProtection="1"/>
    <xf numFmtId="37" fontId="29" fillId="0" borderId="24" xfId="2" applyNumberFormat="1" applyFont="1" applyFill="1" applyBorder="1" applyProtection="1"/>
    <xf numFmtId="188" fontId="29" fillId="0" borderId="26" xfId="2" applyNumberFormat="1" applyFont="1" applyFill="1" applyBorder="1" applyProtection="1"/>
    <xf numFmtId="188" fontId="31" fillId="0" borderId="22" xfId="2" applyNumberFormat="1" applyFont="1" applyFill="1" applyBorder="1" applyProtection="1"/>
    <xf numFmtId="188" fontId="31" fillId="0" borderId="24" xfId="2" applyNumberFormat="1" applyFont="1" applyFill="1" applyBorder="1" applyProtection="1"/>
    <xf numFmtId="188" fontId="31" fillId="0" borderId="0" xfId="2" applyNumberFormat="1" applyFont="1" applyFill="1" applyProtection="1"/>
    <xf numFmtId="203" fontId="29" fillId="0" borderId="22" xfId="2" applyNumberFormat="1" applyFont="1" applyFill="1" applyBorder="1" applyProtection="1"/>
    <xf numFmtId="203" fontId="29" fillId="0" borderId="24" xfId="2" applyNumberFormat="1" applyFont="1" applyFill="1" applyBorder="1" applyProtection="1"/>
    <xf numFmtId="203" fontId="29" fillId="0" borderId="0" xfId="2" applyNumberFormat="1" applyFont="1" applyFill="1" applyProtection="1"/>
    <xf numFmtId="211" fontId="44" fillId="0" borderId="0" xfId="2" applyNumberFormat="1" applyFont="1" applyBorder="1" applyProtection="1"/>
    <xf numFmtId="211" fontId="44" fillId="0" borderId="26" xfId="2" applyNumberFormat="1" applyFont="1" applyFill="1" applyBorder="1" applyProtection="1"/>
    <xf numFmtId="211" fontId="44" fillId="0" borderId="1" xfId="2" applyNumberFormat="1" applyFont="1" applyFill="1" applyBorder="1" applyProtection="1"/>
    <xf numFmtId="211" fontId="44" fillId="0" borderId="27" xfId="2" applyNumberFormat="1" applyFont="1" applyFill="1" applyBorder="1" applyProtection="1"/>
    <xf numFmtId="211" fontId="44" fillId="0" borderId="0" xfId="2" applyNumberFormat="1" applyFont="1" applyFill="1" applyProtection="1"/>
    <xf numFmtId="0" fontId="44" fillId="0" borderId="1" xfId="1" quotePrefix="1" applyFont="1" applyBorder="1" applyAlignment="1">
      <alignment horizontal="left"/>
    </xf>
    <xf numFmtId="211" fontId="29" fillId="0" borderId="1" xfId="1" applyNumberFormat="1" applyFont="1" applyBorder="1"/>
    <xf numFmtId="0" fontId="65" fillId="0" borderId="0" xfId="1" applyFont="1" applyAlignment="1">
      <alignment horizontal="centerContinuous"/>
    </xf>
    <xf numFmtId="0" fontId="66" fillId="0" borderId="0" xfId="1" applyFont="1" applyAlignment="1">
      <alignment horizontal="centerContinuous"/>
    </xf>
    <xf numFmtId="0" fontId="67" fillId="0" borderId="0" xfId="1" applyFont="1" applyAlignment="1">
      <alignment horizontal="centerContinuous"/>
    </xf>
    <xf numFmtId="0" fontId="68" fillId="0" borderId="0" xfId="1" applyFont="1" applyAlignment="1">
      <alignment horizontal="centerContinuous"/>
    </xf>
    <xf numFmtId="0" fontId="62" fillId="0" borderId="0" xfId="1" applyFont="1" applyAlignment="1">
      <alignment horizontal="centerContinuous"/>
    </xf>
    <xf numFmtId="0" fontId="51" fillId="0" borderId="31" xfId="1" applyFont="1" applyBorder="1"/>
    <xf numFmtId="0" fontId="31" fillId="0" borderId="1" xfId="1" applyFont="1" applyBorder="1" applyAlignment="1">
      <alignment horizontal="centerContinuous"/>
    </xf>
    <xf numFmtId="0" fontId="62" fillId="0" borderId="0" xfId="1" applyFont="1"/>
    <xf numFmtId="0" fontId="69" fillId="0" borderId="0" xfId="1" applyFont="1" applyAlignment="1">
      <alignment horizontal="right"/>
    </xf>
    <xf numFmtId="0" fontId="36" fillId="0" borderId="14" xfId="1" quotePrefix="1" applyFont="1" applyBorder="1" applyAlignment="1">
      <alignment horizontal="right"/>
    </xf>
    <xf numFmtId="0" fontId="70" fillId="0" borderId="0" xfId="1" applyFont="1"/>
    <xf numFmtId="0" fontId="70" fillId="0" borderId="18" xfId="1" applyFont="1" applyBorder="1" applyAlignment="1">
      <alignment horizontal="left" vertical="center"/>
    </xf>
    <xf numFmtId="196" fontId="71" fillId="0" borderId="21" xfId="1" applyNumberFormat="1" applyFont="1" applyBorder="1" applyAlignment="1">
      <alignment vertical="center"/>
    </xf>
    <xf numFmtId="212" fontId="29" fillId="0" borderId="0" xfId="1" applyNumberFormat="1" applyFont="1"/>
    <xf numFmtId="37" fontId="29" fillId="0" borderId="0" xfId="1" applyNumberFormat="1" applyFont="1"/>
    <xf numFmtId="0" fontId="70" fillId="0" borderId="26" xfId="1" applyFont="1" applyBorder="1" applyAlignment="1">
      <alignment horizontal="left" vertical="center"/>
    </xf>
    <xf numFmtId="0" fontId="70" fillId="0" borderId="1" xfId="1" quotePrefix="1" applyFont="1" applyBorder="1" applyAlignment="1">
      <alignment horizontal="left" vertical="center"/>
    </xf>
    <xf numFmtId="0" fontId="70" fillId="0" borderId="1" xfId="1" applyFont="1" applyBorder="1" applyAlignment="1">
      <alignment vertical="center"/>
    </xf>
    <xf numFmtId="196" fontId="71" fillId="0" borderId="27" xfId="1" applyNumberFormat="1" applyFont="1" applyBorder="1" applyAlignment="1">
      <alignment vertical="center"/>
    </xf>
    <xf numFmtId="213" fontId="29" fillId="0" borderId="0" xfId="1" applyNumberFormat="1" applyFont="1"/>
    <xf numFmtId="182" fontId="35" fillId="0" borderId="0" xfId="1" applyNumberFormat="1" applyFont="1"/>
    <xf numFmtId="0" fontId="72" fillId="0" borderId="0" xfId="1" applyFont="1" applyAlignment="1">
      <alignment horizontal="right"/>
    </xf>
    <xf numFmtId="182" fontId="29" fillId="0" borderId="15" xfId="1" applyNumberFormat="1" applyFont="1" applyBorder="1"/>
    <xf numFmtId="182" fontId="29" fillId="0" borderId="22" xfId="1" applyNumberFormat="1" applyFont="1" applyBorder="1"/>
    <xf numFmtId="37" fontId="70" fillId="0" borderId="0" xfId="1" applyNumberFormat="1" applyFont="1"/>
    <xf numFmtId="182" fontId="29" fillId="0" borderId="16" xfId="1" applyNumberFormat="1" applyFont="1" applyBorder="1"/>
    <xf numFmtId="182" fontId="29" fillId="0" borderId="17" xfId="1" applyNumberFormat="1" applyFont="1" applyBorder="1"/>
    <xf numFmtId="0" fontId="50" fillId="0" borderId="0" xfId="1" applyFont="1" applyAlignment="1">
      <alignment vertical="center"/>
    </xf>
    <xf numFmtId="182" fontId="31" fillId="0" borderId="12" xfId="1" applyNumberFormat="1" applyFont="1" applyBorder="1" applyAlignment="1">
      <alignment vertical="center"/>
    </xf>
    <xf numFmtId="182" fontId="48" fillId="0" borderId="0" xfId="1" applyNumberFormat="1" applyFont="1"/>
    <xf numFmtId="0" fontId="56" fillId="0" borderId="0" xfId="1" applyFont="1" applyAlignment="1">
      <alignment horizontal="centerContinuous"/>
    </xf>
    <xf numFmtId="0" fontId="72" fillId="0" borderId="0" xfId="1" applyFont="1"/>
    <xf numFmtId="0" fontId="31" fillId="0" borderId="19" xfId="1" applyFont="1" applyBorder="1"/>
    <xf numFmtId="0" fontId="29" fillId="0" borderId="2" xfId="1" applyFont="1" applyBorder="1"/>
    <xf numFmtId="180" fontId="31" fillId="0" borderId="20" xfId="1" applyNumberFormat="1" applyFont="1" applyBorder="1"/>
    <xf numFmtId="37" fontId="73" fillId="0" borderId="0" xfId="1" applyNumberFormat="1" applyFont="1"/>
    <xf numFmtId="37" fontId="52" fillId="0" borderId="0" xfId="1" applyNumberFormat="1" applyFont="1"/>
    <xf numFmtId="37" fontId="35" fillId="0" borderId="0" xfId="1" applyNumberFormat="1" applyFont="1"/>
    <xf numFmtId="188" fontId="29" fillId="0" borderId="1" xfId="1" applyNumberFormat="1" applyFont="1" applyBorder="1"/>
    <xf numFmtId="37" fontId="67" fillId="0" borderId="0" xfId="1" applyNumberFormat="1" applyFont="1"/>
    <xf numFmtId="37" fontId="48" fillId="0" borderId="0" xfId="1" applyNumberFormat="1" applyFont="1"/>
    <xf numFmtId="37" fontId="50" fillId="0" borderId="0" xfId="1" applyNumberFormat="1" applyFont="1"/>
    <xf numFmtId="188" fontId="31" fillId="0" borderId="0" xfId="1" applyNumberFormat="1" applyFont="1"/>
    <xf numFmtId="180" fontId="71" fillId="0" borderId="0" xfId="1" applyNumberFormat="1" applyFont="1"/>
    <xf numFmtId="37" fontId="52" fillId="0" borderId="14" xfId="1" applyNumberFormat="1" applyFont="1" applyBorder="1"/>
    <xf numFmtId="37" fontId="35" fillId="0" borderId="14" xfId="1" applyNumberFormat="1" applyFont="1" applyBorder="1"/>
    <xf numFmtId="37" fontId="29" fillId="0" borderId="14" xfId="1" applyNumberFormat="1" applyFont="1" applyBorder="1"/>
    <xf numFmtId="37" fontId="29" fillId="0" borderId="21" xfId="1" applyNumberFormat="1" applyFont="1" applyBorder="1"/>
    <xf numFmtId="188" fontId="29" fillId="0" borderId="24" xfId="1" applyNumberFormat="1" applyFont="1" applyBorder="1"/>
    <xf numFmtId="188" fontId="29" fillId="0" borderId="27" xfId="1" applyNumberFormat="1" applyFont="1" applyBorder="1"/>
    <xf numFmtId="37" fontId="67" fillId="0" borderId="1" xfId="1" applyNumberFormat="1" applyFont="1" applyBorder="1"/>
    <xf numFmtId="37" fontId="48" fillId="0" borderId="1" xfId="1" applyNumberFormat="1" applyFont="1" applyBorder="1"/>
    <xf numFmtId="37" fontId="50" fillId="0" borderId="1" xfId="1" applyNumberFormat="1" applyFont="1" applyBorder="1"/>
    <xf numFmtId="188" fontId="31" fillId="0" borderId="1" xfId="1" applyNumberFormat="1" applyFont="1" applyBorder="1"/>
    <xf numFmtId="188" fontId="31" fillId="0" borderId="27" xfId="1" applyNumberFormat="1" applyFont="1" applyBorder="1"/>
    <xf numFmtId="37" fontId="72" fillId="0" borderId="0" xfId="1" applyNumberFormat="1" applyFont="1"/>
    <xf numFmtId="180" fontId="29" fillId="0" borderId="3" xfId="1" applyNumberFormat="1" applyFont="1" applyBorder="1"/>
    <xf numFmtId="37" fontId="29" fillId="0" borderId="0" xfId="1" quotePrefix="1" applyNumberFormat="1" applyFont="1" applyAlignment="1">
      <alignment horizontal="right"/>
    </xf>
    <xf numFmtId="188" fontId="29" fillId="0" borderId="0" xfId="1" quotePrefix="1" applyNumberFormat="1" applyFont="1" applyAlignment="1">
      <alignment horizontal="right"/>
    </xf>
    <xf numFmtId="37" fontId="70" fillId="0" borderId="0" xfId="1" quotePrefix="1" applyNumberFormat="1" applyFont="1" applyAlignment="1">
      <alignment horizontal="left"/>
    </xf>
    <xf numFmtId="37" fontId="31" fillId="0" borderId="0" xfId="1" applyNumberFormat="1" applyFont="1"/>
    <xf numFmtId="0" fontId="74" fillId="0" borderId="0" xfId="1" applyFont="1"/>
    <xf numFmtId="37" fontId="52" fillId="0" borderId="1" xfId="1" applyNumberFormat="1" applyFont="1" applyBorder="1"/>
    <xf numFmtId="37" fontId="35" fillId="0" borderId="1" xfId="1" applyNumberFormat="1" applyFont="1" applyBorder="1"/>
    <xf numFmtId="37" fontId="29" fillId="0" borderId="1" xfId="1" applyNumberFormat="1" applyFont="1" applyBorder="1"/>
    <xf numFmtId="0" fontId="29" fillId="0" borderId="28" xfId="1" applyFont="1" applyBorder="1"/>
    <xf numFmtId="0" fontId="29" fillId="0" borderId="29" xfId="1" applyFont="1" applyBorder="1"/>
    <xf numFmtId="0" fontId="58" fillId="0" borderId="29" xfId="1" applyFont="1" applyBorder="1"/>
    <xf numFmtId="196" fontId="29" fillId="0" borderId="29" xfId="1" applyNumberFormat="1" applyFont="1" applyBorder="1"/>
    <xf numFmtId="196" fontId="29" fillId="0" borderId="30" xfId="1" applyNumberFormat="1" applyFont="1" applyBorder="1"/>
    <xf numFmtId="4" fontId="31" fillId="0" borderId="0" xfId="1" applyNumberFormat="1" applyFont="1"/>
    <xf numFmtId="4" fontId="29" fillId="0" borderId="0" xfId="2" applyNumberFormat="1" applyFont="1" applyBorder="1" applyProtection="1"/>
    <xf numFmtId="4" fontId="29" fillId="0" borderId="0" xfId="1" applyNumberFormat="1" applyFont="1"/>
    <xf numFmtId="168" fontId="70" fillId="0" borderId="0" xfId="2" applyFont="1" applyProtection="1"/>
    <xf numFmtId="196" fontId="35" fillId="0" borderId="0" xfId="2" applyNumberFormat="1" applyFont="1" applyProtection="1"/>
    <xf numFmtId="195" fontId="29" fillId="0" borderId="0" xfId="2" applyNumberFormat="1" applyFont="1" applyProtection="1"/>
    <xf numFmtId="4" fontId="29" fillId="0" borderId="0" xfId="2" applyNumberFormat="1" applyFont="1" applyBorder="1" applyAlignment="1" applyProtection="1">
      <alignment horizontal="left"/>
    </xf>
    <xf numFmtId="195" fontId="29" fillId="0" borderId="0" xfId="2" applyNumberFormat="1" applyFont="1" applyFill="1" applyProtection="1"/>
    <xf numFmtId="196" fontId="29" fillId="0" borderId="0" xfId="2" applyNumberFormat="1" applyFont="1" applyProtection="1"/>
    <xf numFmtId="195" fontId="29" fillId="0" borderId="1" xfId="2" applyNumberFormat="1" applyFont="1" applyFill="1" applyBorder="1" applyProtection="1"/>
    <xf numFmtId="4" fontId="31" fillId="0" borderId="0" xfId="2" applyNumberFormat="1" applyFont="1" applyBorder="1" applyProtection="1"/>
    <xf numFmtId="195" fontId="31" fillId="0" borderId="0" xfId="1" applyNumberFormat="1" applyFont="1"/>
    <xf numFmtId="182" fontId="31" fillId="0" borderId="0" xfId="2" applyNumberFormat="1" applyFont="1" applyBorder="1" applyProtection="1"/>
    <xf numFmtId="0" fontId="51" fillId="0" borderId="34" xfId="1" applyFont="1" applyBorder="1"/>
    <xf numFmtId="198" fontId="29" fillId="0" borderId="34" xfId="1" applyNumberFormat="1" applyFont="1" applyBorder="1"/>
    <xf numFmtId="198" fontId="29" fillId="0" borderId="23" xfId="1" applyNumberFormat="1" applyFont="1" applyBorder="1"/>
    <xf numFmtId="0" fontId="51" fillId="0" borderId="37" xfId="1" applyFont="1" applyBorder="1"/>
    <xf numFmtId="214" fontId="29" fillId="0" borderId="37" xfId="1" applyNumberFormat="1" applyFont="1" applyBorder="1"/>
    <xf numFmtId="214" fontId="29" fillId="0" borderId="38" xfId="1" applyNumberFormat="1" applyFont="1" applyBorder="1"/>
    <xf numFmtId="198" fontId="29" fillId="0" borderId="0" xfId="1" applyNumberFormat="1" applyFont="1"/>
    <xf numFmtId="198" fontId="29" fillId="0" borderId="1" xfId="1" applyNumberFormat="1" applyFont="1" applyBorder="1"/>
    <xf numFmtId="182" fontId="31" fillId="0" borderId="2" xfId="1" applyNumberFormat="1" applyFont="1" applyBorder="1"/>
    <xf numFmtId="200" fontId="29" fillId="0" borderId="0" xfId="1" applyNumberFormat="1" applyFont="1"/>
    <xf numFmtId="164" fontId="31" fillId="0" borderId="0" xfId="1" applyNumberFormat="1" applyFont="1"/>
    <xf numFmtId="0" fontId="36" fillId="0" borderId="0" xfId="1" applyFont="1" applyAlignment="1">
      <alignment horizontal="center"/>
    </xf>
    <xf numFmtId="0" fontId="31" fillId="0" borderId="18" xfId="1" applyFont="1" applyBorder="1" applyAlignment="1">
      <alignment vertical="center"/>
    </xf>
    <xf numFmtId="0" fontId="29" fillId="0" borderId="14" xfId="1" applyFont="1" applyBorder="1" applyAlignment="1">
      <alignment vertical="center"/>
    </xf>
    <xf numFmtId="0" fontId="51" fillId="0" borderId="14" xfId="1" applyFont="1" applyBorder="1" applyAlignment="1">
      <alignment vertical="center"/>
    </xf>
    <xf numFmtId="0" fontId="58" fillId="0" borderId="0" xfId="1" applyFont="1" applyAlignment="1">
      <alignment vertical="center"/>
    </xf>
    <xf numFmtId="0" fontId="29" fillId="0" borderId="22" xfId="1" applyFont="1" applyBorder="1" applyAlignment="1">
      <alignment vertical="center"/>
    </xf>
    <xf numFmtId="0" fontId="51" fillId="0" borderId="0" xfId="1" applyFont="1" applyAlignment="1">
      <alignment vertical="center"/>
    </xf>
    <xf numFmtId="0" fontId="29" fillId="0" borderId="26" xfId="1" applyFont="1" applyBorder="1" applyAlignment="1">
      <alignment vertical="center"/>
    </xf>
    <xf numFmtId="0" fontId="29" fillId="0" borderId="1" xfId="1" applyFont="1" applyBorder="1" applyAlignment="1">
      <alignment vertical="center"/>
    </xf>
    <xf numFmtId="0" fontId="58" fillId="0" borderId="1" xfId="1" applyFont="1" applyBorder="1" applyAlignment="1">
      <alignment vertical="center"/>
    </xf>
    <xf numFmtId="0" fontId="31" fillId="0" borderId="0" xfId="1" applyFont="1" applyAlignment="1">
      <alignment vertical="center"/>
    </xf>
    <xf numFmtId="0" fontId="31" fillId="0" borderId="19" xfId="1" applyFont="1" applyBorder="1" applyAlignment="1">
      <alignment vertical="center"/>
    </xf>
    <xf numFmtId="183" fontId="29" fillId="0" borderId="2" xfId="1" applyNumberFormat="1" applyFont="1" applyBorder="1" applyAlignment="1">
      <alignment vertical="center"/>
    </xf>
    <xf numFmtId="183" fontId="29" fillId="0" borderId="20" xfId="1" applyNumberFormat="1" applyFont="1" applyBorder="1" applyAlignment="1">
      <alignment vertical="center"/>
    </xf>
    <xf numFmtId="183" fontId="29" fillId="0" borderId="0" xfId="1" applyNumberFormat="1" applyFont="1" applyAlignment="1">
      <alignment vertical="center"/>
    </xf>
    <xf numFmtId="0" fontId="44" fillId="0" borderId="0" xfId="1" applyFont="1" applyAlignment="1">
      <alignment vertical="center"/>
    </xf>
    <xf numFmtId="182" fontId="44" fillId="0" borderId="0" xfId="1" applyNumberFormat="1" applyFont="1" applyAlignment="1">
      <alignment vertical="center"/>
    </xf>
    <xf numFmtId="180" fontId="29" fillId="0" borderId="0" xfId="1" applyNumberFormat="1" applyFont="1" applyAlignment="1">
      <alignment vertical="center"/>
    </xf>
    <xf numFmtId="188" fontId="31" fillId="0" borderId="2" xfId="1" applyNumberFormat="1" applyFont="1" applyBorder="1"/>
    <xf numFmtId="200" fontId="29" fillId="0" borderId="0" xfId="1" applyNumberFormat="1" applyFont="1" applyAlignment="1">
      <alignment vertical="center"/>
    </xf>
    <xf numFmtId="165" fontId="31" fillId="0" borderId="0" xfId="1" applyNumberFormat="1" applyFont="1" applyAlignment="1">
      <alignment horizontal="center"/>
    </xf>
    <xf numFmtId="165" fontId="36" fillId="0" borderId="15" xfId="1" applyNumberFormat="1" applyFont="1" applyBorder="1" applyAlignment="1">
      <alignment horizontal="center"/>
    </xf>
    <xf numFmtId="165" fontId="36" fillId="0" borderId="0" xfId="1" applyNumberFormat="1" applyFont="1" applyAlignment="1">
      <alignment horizontal="center"/>
    </xf>
    <xf numFmtId="200" fontId="31" fillId="0" borderId="16" xfId="1" applyNumberFormat="1" applyFont="1" applyBorder="1" applyAlignment="1">
      <alignment horizontal="center" vertical="center"/>
    </xf>
    <xf numFmtId="182" fontId="29" fillId="0" borderId="0" xfId="1" applyNumberFormat="1" applyFont="1" applyAlignment="1">
      <alignment horizontal="center"/>
    </xf>
    <xf numFmtId="182" fontId="75" fillId="0" borderId="0" xfId="1" applyNumberFormat="1" applyFont="1" applyAlignment="1">
      <alignment horizontal="center"/>
    </xf>
    <xf numFmtId="182" fontId="29" fillId="0" borderId="0" xfId="1" applyNumberFormat="1" applyFont="1" applyAlignment="1">
      <alignment horizontal="right"/>
    </xf>
    <xf numFmtId="200" fontId="31" fillId="0" borderId="17" xfId="1" applyNumberFormat="1" applyFont="1" applyBorder="1" applyAlignment="1">
      <alignment horizontal="center" vertical="center"/>
    </xf>
    <xf numFmtId="2" fontId="29" fillId="12" borderId="0" xfId="1" quotePrefix="1" applyNumberFormat="1" applyFont="1" applyFill="1" applyAlignment="1">
      <alignment horizontal="left" vertical="center"/>
    </xf>
    <xf numFmtId="182" fontId="29" fillId="12" borderId="0" xfId="1" applyNumberFormat="1" applyFont="1" applyFill="1" applyAlignment="1">
      <alignment horizontal="right" vertical="center"/>
    </xf>
    <xf numFmtId="180" fontId="31" fillId="12" borderId="0" xfId="1" applyNumberFormat="1" applyFont="1" applyFill="1"/>
    <xf numFmtId="182" fontId="29" fillId="12" borderId="27" xfId="1" applyNumberFormat="1" applyFont="1" applyFill="1" applyBorder="1"/>
    <xf numFmtId="191" fontId="35" fillId="13" borderId="0" xfId="1" applyNumberFormat="1" applyFont="1" applyFill="1"/>
    <xf numFmtId="182" fontId="45" fillId="12" borderId="24" xfId="1" applyNumberFormat="1" applyFont="1" applyFill="1" applyBorder="1" applyAlignment="1">
      <alignment horizontal="right" vertical="center"/>
    </xf>
    <xf numFmtId="180" fontId="31" fillId="12" borderId="19" xfId="1" applyNumberFormat="1" applyFont="1" applyFill="1" applyBorder="1" applyAlignment="1">
      <alignment vertical="center"/>
    </xf>
    <xf numFmtId="180" fontId="31" fillId="12" borderId="2" xfId="1" applyNumberFormat="1" applyFont="1" applyFill="1" applyBorder="1" applyAlignment="1">
      <alignment vertical="center"/>
    </xf>
    <xf numFmtId="180" fontId="31" fillId="12" borderId="20" xfId="1" applyNumberFormat="1" applyFont="1" applyFill="1" applyBorder="1" applyAlignment="1">
      <alignment vertical="center"/>
    </xf>
    <xf numFmtId="203" fontId="29" fillId="12" borderId="0" xfId="2" applyNumberFormat="1" applyFont="1" applyFill="1" applyBorder="1" applyProtection="1"/>
    <xf numFmtId="203" fontId="31" fillId="12" borderId="2" xfId="2" applyNumberFormat="1" applyFont="1" applyFill="1" applyBorder="1" applyProtection="1"/>
    <xf numFmtId="206" fontId="29" fillId="12" borderId="0" xfId="1" applyNumberFormat="1" applyFont="1" applyFill="1"/>
    <xf numFmtId="200" fontId="29" fillId="12" borderId="37" xfId="1" applyNumberFormat="1" applyFont="1" applyFill="1" applyBorder="1"/>
    <xf numFmtId="200" fontId="29" fillId="12" borderId="38" xfId="1" applyNumberFormat="1" applyFont="1" applyFill="1" applyBorder="1"/>
    <xf numFmtId="188" fontId="31" fillId="12" borderId="0" xfId="2" applyNumberFormat="1" applyFont="1" applyFill="1" applyBorder="1" applyAlignment="1" applyProtection="1">
      <alignment horizontal="right"/>
    </xf>
    <xf numFmtId="188" fontId="29" fillId="12" borderId="0" xfId="2" applyNumberFormat="1" applyFont="1" applyFill="1" applyBorder="1" applyProtection="1"/>
    <xf numFmtId="188" fontId="29" fillId="12" borderId="1" xfId="2" applyNumberFormat="1" applyFont="1" applyFill="1" applyBorder="1" applyProtection="1"/>
    <xf numFmtId="188" fontId="29" fillId="12" borderId="0" xfId="2" applyNumberFormat="1" applyFont="1" applyFill="1" applyProtection="1"/>
    <xf numFmtId="182" fontId="31" fillId="12" borderId="12" xfId="1" applyNumberFormat="1" applyFont="1" applyFill="1" applyBorder="1" applyAlignment="1">
      <alignment vertical="center"/>
    </xf>
    <xf numFmtId="195" fontId="29" fillId="12" borderId="0" xfId="2" applyNumberFormat="1" applyFont="1" applyFill="1" applyProtection="1"/>
    <xf numFmtId="195" fontId="29" fillId="0" borderId="1" xfId="2" applyNumberFormat="1" applyFont="1" applyBorder="1" applyProtection="1"/>
    <xf numFmtId="195" fontId="31" fillId="12" borderId="0" xfId="1" applyNumberFormat="1" applyFont="1" applyFill="1"/>
    <xf numFmtId="214" fontId="29" fillId="12" borderId="37" xfId="1" applyNumberFormat="1" applyFont="1" applyFill="1" applyBorder="1"/>
    <xf numFmtId="214" fontId="29" fillId="12" borderId="38" xfId="1" applyNumberFormat="1" applyFont="1" applyFill="1" applyBorder="1"/>
    <xf numFmtId="188" fontId="29" fillId="12" borderId="1" xfId="1" applyNumberFormat="1" applyFont="1" applyFill="1" applyBorder="1"/>
    <xf numFmtId="198" fontId="29" fillId="12" borderId="0" xfId="1" applyNumberFormat="1" applyFont="1" applyFill="1"/>
    <xf numFmtId="188" fontId="29" fillId="12" borderId="0" xfId="1" applyNumberFormat="1" applyFont="1" applyFill="1"/>
    <xf numFmtId="183" fontId="29" fillId="12" borderId="2" xfId="1" applyNumberFormat="1" applyFont="1" applyFill="1" applyBorder="1" applyAlignment="1">
      <alignment vertical="center"/>
    </xf>
    <xf numFmtId="188" fontId="31" fillId="12" borderId="2" xfId="1" applyNumberFormat="1" applyFont="1" applyFill="1" applyBorder="1"/>
    <xf numFmtId="164" fontId="39" fillId="12" borderId="0" xfId="1" applyNumberFormat="1" applyFont="1" applyFill="1" applyAlignment="1">
      <alignment horizontal="right"/>
    </xf>
    <xf numFmtId="182" fontId="29" fillId="14" borderId="0" xfId="1" applyNumberFormat="1" applyFont="1" applyFill="1" applyAlignment="1">
      <alignment horizontal="right" vertical="center"/>
    </xf>
    <xf numFmtId="182" fontId="31" fillId="14" borderId="12" xfId="1" applyNumberFormat="1" applyFont="1" applyFill="1" applyBorder="1" applyAlignment="1">
      <alignment horizontal="right" vertical="center"/>
    </xf>
    <xf numFmtId="180" fontId="31" fillId="15" borderId="0" xfId="1" applyNumberFormat="1" applyFont="1" applyFill="1"/>
    <xf numFmtId="180" fontId="31" fillId="15" borderId="19" xfId="1" applyNumberFormat="1" applyFont="1" applyFill="1" applyBorder="1" applyAlignment="1">
      <alignment vertical="center"/>
    </xf>
    <xf numFmtId="180" fontId="31" fillId="15" borderId="2" xfId="1" applyNumberFormat="1" applyFont="1" applyFill="1" applyBorder="1" applyAlignment="1">
      <alignment vertical="center"/>
    </xf>
    <xf numFmtId="180" fontId="31" fillId="15" borderId="20" xfId="1" applyNumberFormat="1" applyFont="1" applyFill="1" applyBorder="1" applyAlignment="1">
      <alignment vertical="center"/>
    </xf>
    <xf numFmtId="203" fontId="31" fillId="15" borderId="2" xfId="2" applyNumberFormat="1" applyFont="1" applyFill="1" applyBorder="1" applyProtection="1"/>
    <xf numFmtId="206" fontId="29" fillId="15" borderId="0" xfId="1" applyNumberFormat="1" applyFont="1" applyFill="1"/>
    <xf numFmtId="188" fontId="31" fillId="15" borderId="0" xfId="2" applyNumberFormat="1" applyFont="1" applyFill="1" applyBorder="1" applyAlignment="1" applyProtection="1">
      <alignment horizontal="right"/>
    </xf>
    <xf numFmtId="200" fontId="29" fillId="15" borderId="37" xfId="1" applyNumberFormat="1" applyFont="1" applyFill="1" applyBorder="1"/>
    <xf numFmtId="182" fontId="29" fillId="15" borderId="0" xfId="1" applyNumberFormat="1" applyFont="1" applyFill="1" applyAlignment="1">
      <alignment horizontal="right" vertical="center"/>
    </xf>
    <xf numFmtId="2" fontId="29" fillId="15" borderId="0" xfId="1" quotePrefix="1" applyNumberFormat="1" applyFont="1" applyFill="1" applyAlignment="1">
      <alignment horizontal="left" vertical="center"/>
    </xf>
    <xf numFmtId="182" fontId="29" fillId="15" borderId="27" xfId="1" applyNumberFormat="1" applyFont="1" applyFill="1" applyBorder="1"/>
    <xf numFmtId="182" fontId="45" fillId="15" borderId="24" xfId="1" applyNumberFormat="1" applyFont="1" applyFill="1" applyBorder="1" applyAlignment="1">
      <alignment horizontal="right" vertical="center"/>
    </xf>
    <xf numFmtId="198" fontId="29" fillId="15" borderId="0" xfId="1" applyNumberFormat="1" applyFont="1" applyFill="1"/>
    <xf numFmtId="214" fontId="29" fillId="15" borderId="37" xfId="1" applyNumberFormat="1" applyFont="1" applyFill="1" applyBorder="1"/>
    <xf numFmtId="188" fontId="29" fillId="15" borderId="0" xfId="2" applyNumberFormat="1" applyFont="1" applyFill="1" applyProtection="1"/>
    <xf numFmtId="188" fontId="29" fillId="15" borderId="0" xfId="2" applyNumberFormat="1" applyFont="1" applyFill="1" applyBorder="1" applyProtection="1"/>
    <xf numFmtId="195" fontId="29" fillId="15" borderId="0" xfId="2" applyNumberFormat="1" applyFont="1" applyFill="1" applyProtection="1"/>
    <xf numFmtId="223" fontId="44" fillId="0" borderId="26" xfId="0" applyNumberFormat="1" applyFont="1" applyFill="1" applyBorder="1" applyProtection="1">
      <alignment vertical="top"/>
    </xf>
    <xf numFmtId="223" fontId="44" fillId="0" borderId="1" xfId="0" applyNumberFormat="1" applyFont="1" applyFill="1" applyBorder="1" applyProtection="1">
      <alignment vertical="top"/>
    </xf>
    <xf numFmtId="223" fontId="44" fillId="0" borderId="27" xfId="0" applyNumberFormat="1" applyFont="1" applyFill="1" applyBorder="1" applyProtection="1">
      <alignment vertical="top"/>
    </xf>
    <xf numFmtId="223" fontId="44" fillId="0" borderId="0" xfId="0" applyNumberFormat="1" applyFont="1" applyFill="1" applyProtection="1">
      <alignment vertical="top"/>
    </xf>
    <xf numFmtId="164" fontId="39" fillId="15" borderId="0" xfId="1" applyNumberFormat="1" applyFont="1" applyFill="1" applyAlignment="1">
      <alignment horizontal="right"/>
    </xf>
    <xf numFmtId="188" fontId="29" fillId="15" borderId="1" xfId="1" applyNumberFormat="1" applyFont="1" applyFill="1" applyBorder="1"/>
    <xf numFmtId="0" fontId="80" fillId="0" borderId="0" xfId="1" applyFont="1"/>
    <xf numFmtId="188" fontId="29" fillId="15" borderId="0" xfId="1" applyNumberFormat="1" applyFont="1" applyFill="1"/>
    <xf numFmtId="188" fontId="29" fillId="15" borderId="24" xfId="1" applyNumberFormat="1" applyFont="1" applyFill="1" applyBorder="1"/>
    <xf numFmtId="183" fontId="29" fillId="15" borderId="2" xfId="1" applyNumberFormat="1" applyFont="1" applyFill="1" applyBorder="1" applyAlignment="1">
      <alignment vertical="center"/>
    </xf>
    <xf numFmtId="188" fontId="29" fillId="15" borderId="1" xfId="2" applyNumberFormat="1" applyFont="1" applyFill="1" applyBorder="1" applyProtection="1"/>
  </cellXfs>
  <cellStyles count="58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5" xr:uid="{7751120F-AADD-4615-A319-AFF107DFF21D}"/>
    <cellStyle name="DateShort" xfId="56" xr:uid="{624BCFAC-BB4A-4DC6-BEDC-EC52B276EECC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49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4" xr:uid="{501E302A-9FDE-4430-908A-8B0B37CB3F6C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50" xr:uid="{1C775B2B-0598-46C6-BD92-10F7105A3C16}"/>
    <cellStyle name="Normal_DrydenNewDCF3" xfId="52" xr:uid="{8A17274A-9472-4FF9-8206-85368FA2A516}"/>
    <cellStyle name="Normal_TrainingDCF1" xfId="51" xr:uid="{60236486-4414-461F-BBF5-8B889F6B72B2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3" builtinId="5" customBuiltin="1"/>
    <cellStyle name="Percent 2" xfId="11" xr:uid="{00000000-0005-0000-0000-00002E000000}"/>
    <cellStyle name="Year" xfId="57" xr:uid="{24138B77-F6F5-4A51-9711-A80AE9004001}"/>
  </cellStyles>
  <dxfs count="4"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99CCFF"/>
        </patternFill>
      </fill>
    </dxf>
  </dxfs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0" fmlaLink="$F$190" fmlaRange="$C$204:$C$206" noThreeD="1" sel="1" val="0"/>
</file>

<file path=xl/ctrlProps/ctrlProp2.xml><?xml version="1.0" encoding="utf-8"?>
<formControlPr xmlns="http://schemas.microsoft.com/office/spreadsheetml/2009/9/main" objectType="Drop" dropStyle="combo" dx="20" fmlaLink="$F$190" fmlaRange="$C$204:$C$206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678180</xdr:colOff>
          <xdr:row>188</xdr:row>
          <xdr:rowOff>91440</xdr:rowOff>
        </xdr:from>
        <xdr:to>
          <xdr:col>6</xdr:col>
          <xdr:colOff>68580</xdr:colOff>
          <xdr:row>190</xdr:row>
          <xdr:rowOff>30480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678180</xdr:colOff>
          <xdr:row>188</xdr:row>
          <xdr:rowOff>91440</xdr:rowOff>
        </xdr:from>
        <xdr:to>
          <xdr:col>6</xdr:col>
          <xdr:colOff>68580</xdr:colOff>
          <xdr:row>190</xdr:row>
          <xdr:rowOff>30480</xdr:rowOff>
        </xdr:to>
        <xdr:sp macro="" textlink="">
          <xdr:nvSpPr>
            <xdr:cNvPr id="13313" name="Drop Dow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A82FA5-0536-49D3-B713-AF9219D925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3392eaf-d303-4e26-b9cc-2a0b9039de6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FB5B-C18D-4ECF-B053-E6F783AA5CAC}">
  <sheetPr>
    <pageSetUpPr fitToPage="1"/>
  </sheetPr>
  <dimension ref="A3:P811"/>
  <sheetViews>
    <sheetView showGridLines="0" tabSelected="1" topLeftCell="A420" zoomScaleNormal="100" zoomScaleSheetLayoutView="90" workbookViewId="0">
      <selection activeCell="K420" sqref="K420"/>
    </sheetView>
  </sheetViews>
  <sheetFormatPr defaultColWidth="9.44140625" defaultRowHeight="13.2"/>
  <cols>
    <col min="1" max="1" width="2.5546875" style="4" customWidth="1"/>
    <col min="2" max="2" width="1.88671875" style="4" customWidth="1"/>
    <col min="3" max="3" width="2.44140625" style="4" customWidth="1"/>
    <col min="4" max="4" width="17" style="4" bestFit="1" customWidth="1"/>
    <col min="5" max="5" width="12.5546875" style="4" customWidth="1"/>
    <col min="6" max="6" width="10.44140625" style="4" customWidth="1"/>
    <col min="7" max="8" width="9.5546875" style="4" customWidth="1"/>
    <col min="9" max="9" width="10.77734375" style="4" customWidth="1"/>
    <col min="10" max="15" width="9.5546875" style="4" customWidth="1"/>
    <col min="16" max="16384" width="9.44140625" style="4"/>
  </cols>
  <sheetData>
    <row r="3" spans="2:16" ht="22.8">
      <c r="B3" s="1" t="s">
        <v>11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17.399999999999999">
      <c r="B4" s="5" t="s">
        <v>12</v>
      </c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ht="6" customHeight="1" thickBot="1"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2:16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6">
      <c r="B7" s="8"/>
      <c r="C7" s="9" t="s">
        <v>13</v>
      </c>
      <c r="D7" s="10"/>
      <c r="E7" s="10"/>
      <c r="F7" s="10"/>
      <c r="G7" s="10"/>
      <c r="H7" s="10"/>
      <c r="I7" s="10"/>
      <c r="J7" s="11"/>
      <c r="L7" s="9" t="s">
        <v>14</v>
      </c>
      <c r="M7" s="12"/>
      <c r="N7" s="12"/>
      <c r="O7" s="12"/>
      <c r="P7" s="13"/>
    </row>
    <row r="8" spans="2:16" ht="15.6">
      <c r="B8" s="8"/>
      <c r="C8" s="14"/>
      <c r="D8" s="8"/>
      <c r="E8" s="8"/>
      <c r="F8" s="8"/>
      <c r="G8" s="8"/>
      <c r="H8" s="8"/>
      <c r="I8" s="8"/>
      <c r="J8" s="15"/>
      <c r="L8" s="14"/>
      <c r="M8" s="8"/>
      <c r="N8" s="8"/>
      <c r="O8" s="8"/>
      <c r="P8" s="15"/>
    </row>
    <row r="9" spans="2:16" ht="15.6">
      <c r="B9" s="16"/>
      <c r="C9" s="17"/>
      <c r="D9" s="643" t="str">
        <f>CONCATENATE(J242,"A Adjusted EBITDA")</f>
        <v>2021A Adjusted EBITDA</v>
      </c>
      <c r="E9" s="18"/>
      <c r="F9" s="18"/>
      <c r="G9" s="632">
        <f>J345</f>
        <v>158.19406029629624</v>
      </c>
      <c r="H9" s="19"/>
      <c r="I9" s="19"/>
      <c r="J9" s="20"/>
      <c r="L9" s="21"/>
      <c r="M9" s="16"/>
      <c r="N9" s="22" t="s">
        <v>15</v>
      </c>
      <c r="O9" s="23" t="s">
        <v>16</v>
      </c>
      <c r="P9" s="24"/>
    </row>
    <row r="10" spans="2:16" ht="15.6">
      <c r="B10" s="16"/>
      <c r="C10" s="17"/>
      <c r="D10" s="25" t="s">
        <v>17</v>
      </c>
      <c r="E10" s="16"/>
      <c r="F10" s="16"/>
      <c r="G10" s="26">
        <v>10</v>
      </c>
      <c r="H10" s="27"/>
      <c r="I10" s="27"/>
      <c r="J10" s="20"/>
      <c r="L10" s="28">
        <f>K242</f>
        <v>2022</v>
      </c>
      <c r="M10" s="16"/>
      <c r="N10" s="19">
        <f>K345</f>
        <v>140.28343822222212</v>
      </c>
      <c r="O10" s="29">
        <f>$G$11/N10</f>
        <v>11.276745302300192</v>
      </c>
      <c r="P10" s="24"/>
    </row>
    <row r="11" spans="2:16" ht="16.2" thickBot="1">
      <c r="B11" s="16"/>
      <c r="C11" s="17"/>
      <c r="D11" s="30" t="s">
        <v>18</v>
      </c>
      <c r="E11" s="16"/>
      <c r="F11" s="16"/>
      <c r="G11" s="633">
        <f>G10*G9</f>
        <v>1581.9406029629624</v>
      </c>
      <c r="H11" s="32"/>
      <c r="I11" s="32"/>
      <c r="J11" s="20"/>
      <c r="L11" s="28">
        <f>L242</f>
        <v>2023</v>
      </c>
      <c r="M11" s="16"/>
      <c r="N11" s="642">
        <f>$L$345</f>
        <v>158.46792730105267</v>
      </c>
      <c r="O11" s="29">
        <f>$G$11/N11</f>
        <v>9.9827178275490311</v>
      </c>
      <c r="P11" s="24"/>
    </row>
    <row r="12" spans="2:16" ht="16.2" thickTop="1">
      <c r="B12" s="8"/>
      <c r="C12" s="33"/>
      <c r="D12" s="34"/>
      <c r="E12" s="35"/>
      <c r="F12" s="35"/>
      <c r="G12" s="35"/>
      <c r="H12" s="35"/>
      <c r="I12" s="35"/>
      <c r="J12" s="36"/>
      <c r="L12" s="37"/>
      <c r="M12" s="35"/>
      <c r="N12" s="35"/>
      <c r="O12" s="35"/>
      <c r="P12" s="36"/>
    </row>
    <row r="13" spans="2:16" ht="15.6">
      <c r="B13" s="8"/>
      <c r="C13" s="38"/>
      <c r="D13" s="39"/>
      <c r="E13" s="8"/>
      <c r="F13" s="8"/>
      <c r="G13" s="8"/>
      <c r="H13" s="8"/>
      <c r="I13" s="8"/>
      <c r="J13" s="8"/>
      <c r="L13" s="8"/>
      <c r="M13" s="8"/>
      <c r="N13" s="8"/>
      <c r="O13" s="8"/>
      <c r="P13" s="8"/>
    </row>
    <row r="15" spans="2:16">
      <c r="B15" s="8"/>
      <c r="C15" s="9" t="s">
        <v>19</v>
      </c>
      <c r="D15" s="10"/>
      <c r="E15" s="10"/>
      <c r="F15" s="10"/>
      <c r="G15" s="10"/>
      <c r="H15" s="10"/>
      <c r="I15" s="10"/>
      <c r="J15" s="11"/>
      <c r="L15" s="9" t="s">
        <v>20</v>
      </c>
      <c r="M15" s="10"/>
      <c r="N15" s="10"/>
      <c r="O15" s="10"/>
      <c r="P15" s="11"/>
    </row>
    <row r="16" spans="2:16">
      <c r="B16" s="8"/>
      <c r="C16" s="40"/>
      <c r="D16" s="8"/>
      <c r="E16" s="8"/>
      <c r="F16" s="8"/>
      <c r="G16" s="8"/>
      <c r="H16" s="8"/>
      <c r="I16" s="8"/>
      <c r="J16" s="15"/>
      <c r="L16" s="40"/>
      <c r="M16" s="8"/>
      <c r="N16" s="8"/>
      <c r="O16" s="8"/>
      <c r="P16" s="15"/>
    </row>
    <row r="17" spans="2:16">
      <c r="B17" s="8"/>
      <c r="C17" s="41"/>
      <c r="D17" s="42"/>
      <c r="E17" s="43" t="s">
        <v>21</v>
      </c>
      <c r="F17" s="43"/>
      <c r="G17" s="43" t="s">
        <v>22</v>
      </c>
      <c r="H17" s="43"/>
      <c r="I17" s="43"/>
      <c r="J17" s="44"/>
      <c r="L17" s="41"/>
      <c r="M17" s="8"/>
      <c r="N17" s="8"/>
      <c r="O17" s="8"/>
      <c r="P17" s="15"/>
    </row>
    <row r="18" spans="2:16">
      <c r="B18" s="8"/>
      <c r="C18" s="41"/>
      <c r="D18" s="45" t="s">
        <v>23</v>
      </c>
      <c r="E18" s="46" t="s">
        <v>15</v>
      </c>
      <c r="F18" s="46" t="s">
        <v>24</v>
      </c>
      <c r="G18" s="46" t="s">
        <v>25</v>
      </c>
      <c r="H18" s="46"/>
      <c r="I18" s="46" t="s">
        <v>26</v>
      </c>
      <c r="J18" s="44"/>
      <c r="L18" s="47" t="s">
        <v>27</v>
      </c>
      <c r="M18" s="48"/>
      <c r="N18" s="35"/>
      <c r="O18" s="46" t="s">
        <v>28</v>
      </c>
      <c r="P18" s="49" t="s">
        <v>29</v>
      </c>
    </row>
    <row r="19" spans="2:16">
      <c r="B19" s="8"/>
      <c r="C19" s="41"/>
      <c r="D19" s="50"/>
      <c r="E19" s="43"/>
      <c r="F19" s="51" t="s">
        <v>30</v>
      </c>
      <c r="G19" s="43"/>
      <c r="H19" s="43"/>
      <c r="I19" s="43"/>
      <c r="J19" s="44"/>
      <c r="L19" s="41"/>
      <c r="N19" s="52" t="s">
        <v>31</v>
      </c>
      <c r="O19" s="8"/>
      <c r="P19" s="53" t="str">
        <f>F19</f>
        <v>($MM)</v>
      </c>
    </row>
    <row r="20" spans="2:16">
      <c r="B20" s="8"/>
      <c r="C20" s="41"/>
      <c r="D20" s="8" t="s">
        <v>32</v>
      </c>
      <c r="E20" s="27"/>
      <c r="F20" s="19">
        <f>H425</f>
        <v>5</v>
      </c>
      <c r="G20" s="54">
        <f t="shared" ref="G20:G25" si="0">F20/$F$34</f>
        <v>3.1008739588772823E-3</v>
      </c>
      <c r="H20" s="54"/>
      <c r="I20" s="55">
        <v>5.0000000000000001E-3</v>
      </c>
      <c r="J20" s="15"/>
      <c r="L20" s="41" t="str">
        <f>D21</f>
        <v>Revolver</v>
      </c>
      <c r="N20" s="56">
        <v>125</v>
      </c>
      <c r="O20" s="57">
        <v>5.0000000000000001E-3</v>
      </c>
      <c r="P20" s="58">
        <f>O20*N20</f>
        <v>0.625</v>
      </c>
    </row>
    <row r="21" spans="2:16">
      <c r="B21" s="8"/>
      <c r="C21" s="41"/>
      <c r="D21" s="8" t="s">
        <v>33</v>
      </c>
      <c r="E21" s="26">
        <v>0.5</v>
      </c>
      <c r="F21" s="19">
        <f>E21*$G$9</f>
        <v>79.097030148148121</v>
      </c>
      <c r="G21" s="54">
        <f t="shared" si="0"/>
        <v>4.9053984202184764E-2</v>
      </c>
      <c r="H21" s="54"/>
      <c r="I21" s="59" t="s">
        <v>34</v>
      </c>
      <c r="J21" s="15"/>
      <c r="L21" s="41" t="s">
        <v>35</v>
      </c>
      <c r="N21" s="8"/>
      <c r="O21" s="60">
        <v>7.0000000000000001E-3</v>
      </c>
      <c r="P21" s="58">
        <f>O21*(F22+F23)</f>
        <v>3.0452356607037023</v>
      </c>
    </row>
    <row r="22" spans="2:16">
      <c r="B22" s="8"/>
      <c r="C22" s="41"/>
      <c r="D22" s="8" t="s">
        <v>36</v>
      </c>
      <c r="E22" s="26">
        <v>1.5</v>
      </c>
      <c r="F22" s="19">
        <f>E22*$G$9</f>
        <v>237.29109044444436</v>
      </c>
      <c r="G22" s="54">
        <f t="shared" si="0"/>
        <v>0.14716195260655429</v>
      </c>
      <c r="H22" s="54"/>
      <c r="I22" s="59" t="s">
        <v>34</v>
      </c>
      <c r="J22" s="15"/>
      <c r="L22" s="41" t="str">
        <f>D24</f>
        <v>Senior Notes</v>
      </c>
      <c r="N22" s="8"/>
      <c r="O22" s="60">
        <v>0.02</v>
      </c>
      <c r="P22" s="58">
        <f>O22*F24</f>
        <v>4.7458218088888877</v>
      </c>
    </row>
    <row r="23" spans="2:16">
      <c r="B23" s="8"/>
      <c r="C23" s="41"/>
      <c r="D23" s="8" t="s">
        <v>37</v>
      </c>
      <c r="E23" s="26">
        <v>1.25</v>
      </c>
      <c r="F23" s="19">
        <f>E23*$G$9</f>
        <v>197.7425753703703</v>
      </c>
      <c r="G23" s="54">
        <f t="shared" si="0"/>
        <v>0.12263496050546191</v>
      </c>
      <c r="H23" s="54"/>
      <c r="I23" s="59" t="s">
        <v>34</v>
      </c>
      <c r="J23" s="15"/>
      <c r="L23" s="41" t="str">
        <f>D25</f>
        <v>Mezzanine</v>
      </c>
      <c r="N23" s="8"/>
      <c r="O23" s="60">
        <v>0.03</v>
      </c>
      <c r="P23" s="58">
        <f>O23*F25</f>
        <v>5.9322772611111088</v>
      </c>
    </row>
    <row r="24" spans="2:16">
      <c r="B24" s="8"/>
      <c r="C24" s="41"/>
      <c r="D24" s="8" t="s">
        <v>38</v>
      </c>
      <c r="E24" s="26">
        <v>1.5</v>
      </c>
      <c r="F24" s="19">
        <f>E24*$G$9</f>
        <v>237.29109044444436</v>
      </c>
      <c r="G24" s="54">
        <f t="shared" si="0"/>
        <v>0.14716195260655429</v>
      </c>
      <c r="H24" s="54"/>
      <c r="I24" s="61">
        <v>5.5E-2</v>
      </c>
      <c r="J24" s="15"/>
      <c r="L24" s="41" t="s">
        <v>39</v>
      </c>
      <c r="N24" s="8"/>
      <c r="O24" s="60">
        <v>5.0000000000000001E-3</v>
      </c>
      <c r="P24" s="58">
        <f>O24*G11</f>
        <v>7.909703014814812</v>
      </c>
    </row>
    <row r="25" spans="2:16">
      <c r="B25" s="8"/>
      <c r="C25" s="41"/>
      <c r="D25" s="8" t="s">
        <v>40</v>
      </c>
      <c r="E25" s="62">
        <v>1.25</v>
      </c>
      <c r="F25" s="63">
        <f>E25*$G$9</f>
        <v>197.7425753703703</v>
      </c>
      <c r="G25" s="64">
        <f t="shared" si="0"/>
        <v>0.12263496050546191</v>
      </c>
      <c r="H25" s="54"/>
      <c r="I25" s="61">
        <v>7.0000000000000007E-2</v>
      </c>
      <c r="J25" s="15"/>
      <c r="L25" s="41" t="s">
        <v>41</v>
      </c>
      <c r="N25" s="8"/>
      <c r="O25" s="8"/>
      <c r="P25" s="65">
        <v>1.5</v>
      </c>
    </row>
    <row r="26" spans="2:16">
      <c r="B26" s="8"/>
      <c r="C26" s="41"/>
      <c r="D26" s="42" t="s">
        <v>42</v>
      </c>
      <c r="E26" s="66">
        <f>SUM(E20:E25)</f>
        <v>6</v>
      </c>
      <c r="F26" s="67">
        <f>SUM(F20:F25)</f>
        <v>954.16436177777746</v>
      </c>
      <c r="G26" s="634">
        <f>SUM(G20:G25)</f>
        <v>0.59174868438509454</v>
      </c>
      <c r="H26" s="68"/>
      <c r="I26" s="8"/>
      <c r="J26" s="15"/>
      <c r="L26" s="41" t="s">
        <v>43</v>
      </c>
      <c r="N26" s="8"/>
      <c r="O26" s="8"/>
      <c r="P26" s="65">
        <v>1</v>
      </c>
    </row>
    <row r="27" spans="2:16">
      <c r="B27" s="8"/>
      <c r="C27" s="41"/>
      <c r="D27" s="8"/>
      <c r="E27" s="8"/>
      <c r="F27" s="8"/>
      <c r="G27" s="8"/>
      <c r="H27" s="8"/>
      <c r="I27" s="43"/>
      <c r="J27" s="15"/>
      <c r="L27" s="41" t="s">
        <v>44</v>
      </c>
      <c r="N27" s="8"/>
      <c r="O27" s="8"/>
      <c r="P27" s="65">
        <v>0.5</v>
      </c>
    </row>
    <row r="28" spans="2:16">
      <c r="B28" s="8"/>
      <c r="C28" s="41"/>
      <c r="D28" s="45" t="s">
        <v>45</v>
      </c>
      <c r="E28" s="46" t="s">
        <v>46</v>
      </c>
      <c r="F28" s="46" t="s">
        <v>24</v>
      </c>
      <c r="G28" s="46" t="s">
        <v>47</v>
      </c>
      <c r="H28" s="46"/>
      <c r="I28" s="46" t="s">
        <v>48</v>
      </c>
      <c r="J28" s="15"/>
      <c r="L28" s="41" t="s">
        <v>49</v>
      </c>
      <c r="N28" s="8"/>
      <c r="O28" s="8"/>
      <c r="P28" s="69">
        <v>0.25</v>
      </c>
    </row>
    <row r="29" spans="2:16" ht="13.8" thickBot="1">
      <c r="B29" s="8"/>
      <c r="C29" s="41"/>
      <c r="D29" s="8" t="s">
        <v>50</v>
      </c>
      <c r="E29" s="60">
        <v>0.12</v>
      </c>
      <c r="F29" s="70">
        <v>100</v>
      </c>
      <c r="G29" s="54">
        <f>F29/$F$34</f>
        <v>6.2017479177545645E-2</v>
      </c>
      <c r="H29" s="54"/>
      <c r="I29" s="60">
        <v>0</v>
      </c>
      <c r="J29" s="15"/>
      <c r="L29" s="71" t="s">
        <v>51</v>
      </c>
      <c r="N29" s="8"/>
      <c r="O29" s="8"/>
      <c r="P29" s="72">
        <f>SUM(P20:P28)</f>
        <v>25.508037745518511</v>
      </c>
    </row>
    <row r="30" spans="2:16" ht="13.8" thickTop="1">
      <c r="B30" s="8"/>
      <c r="C30" s="41"/>
      <c r="D30" s="8" t="s">
        <v>52</v>
      </c>
      <c r="E30" s="60">
        <v>0.1</v>
      </c>
      <c r="F30" s="70">
        <v>10</v>
      </c>
      <c r="G30" s="54">
        <f>F30/$F$34</f>
        <v>6.2017479177545647E-3</v>
      </c>
      <c r="H30" s="54"/>
      <c r="I30" s="54">
        <f>F30/(F30+F31)</f>
        <v>1.7912021486890625E-2</v>
      </c>
      <c r="J30" s="15"/>
      <c r="L30" s="41"/>
      <c r="M30" s="8"/>
      <c r="N30" s="8"/>
      <c r="O30" s="8"/>
      <c r="P30" s="15"/>
    </row>
    <row r="31" spans="2:16">
      <c r="B31" s="8"/>
      <c r="C31" s="41"/>
      <c r="D31" s="8" t="s">
        <v>53</v>
      </c>
      <c r="E31" s="54">
        <f>E30</f>
        <v>0.1</v>
      </c>
      <c r="F31" s="73">
        <f>F34-F26-F29-F30</f>
        <v>548.28427893070352</v>
      </c>
      <c r="G31" s="64">
        <f>F31/$F$34</f>
        <v>0.34003208851960537</v>
      </c>
      <c r="H31" s="54"/>
      <c r="I31" s="64">
        <f>F31/(F30+F31)</f>
        <v>0.98208797851310936</v>
      </c>
      <c r="J31" s="15"/>
      <c r="L31" s="41"/>
      <c r="M31" s="8"/>
      <c r="N31" s="8"/>
      <c r="O31" s="8"/>
      <c r="P31" s="74"/>
    </row>
    <row r="32" spans="2:16">
      <c r="B32" s="8"/>
      <c r="C32" s="41"/>
      <c r="D32" s="42" t="s">
        <v>54</v>
      </c>
      <c r="E32" s="8"/>
      <c r="F32" s="67">
        <f>SUM(F29:F31)</f>
        <v>658.28427893070352</v>
      </c>
      <c r="G32" s="68">
        <f>SUM(G29:G31)</f>
        <v>0.40825131561490557</v>
      </c>
      <c r="H32" s="68"/>
      <c r="I32" s="68">
        <f>SUM(I29:I31)</f>
        <v>1</v>
      </c>
      <c r="J32" s="15"/>
      <c r="L32" s="41"/>
      <c r="M32" s="8"/>
      <c r="N32" s="8"/>
      <c r="O32" s="8"/>
      <c r="P32" s="74"/>
    </row>
    <row r="33" spans="2:16">
      <c r="B33" s="8"/>
      <c r="C33" s="41"/>
      <c r="D33" s="8"/>
      <c r="E33" s="8"/>
      <c r="F33" s="8"/>
      <c r="G33" s="8"/>
      <c r="H33" s="8"/>
      <c r="I33" s="8"/>
      <c r="J33" s="15"/>
      <c r="L33" s="41"/>
      <c r="M33" s="42"/>
      <c r="N33" s="8"/>
      <c r="O33" s="8"/>
      <c r="P33" s="74"/>
    </row>
    <row r="34" spans="2:16" ht="13.8" thickBot="1">
      <c r="B34" s="8"/>
      <c r="C34" s="41"/>
      <c r="D34" s="42" t="s">
        <v>55</v>
      </c>
      <c r="E34" s="8"/>
      <c r="F34" s="75">
        <f>F46</f>
        <v>1612.448640708481</v>
      </c>
      <c r="G34" s="76">
        <f>G26+G32</f>
        <v>1</v>
      </c>
      <c r="H34" s="68"/>
      <c r="I34" s="8"/>
      <c r="J34" s="15"/>
      <c r="L34" s="41"/>
      <c r="M34" s="42"/>
      <c r="N34" s="8"/>
      <c r="O34" s="8"/>
      <c r="P34" s="74"/>
    </row>
    <row r="35" spans="2:16" ht="13.8" thickTop="1">
      <c r="B35" s="8"/>
      <c r="C35" s="77"/>
      <c r="D35" s="35"/>
      <c r="E35" s="35"/>
      <c r="F35" s="35"/>
      <c r="G35" s="35"/>
      <c r="H35" s="35"/>
      <c r="I35" s="35"/>
      <c r="J35" s="36"/>
      <c r="L35" s="77"/>
      <c r="M35" s="35"/>
      <c r="N35" s="35"/>
      <c r="O35" s="35"/>
      <c r="P35" s="36"/>
    </row>
    <row r="36" spans="2:16">
      <c r="B36" s="8"/>
      <c r="C36" s="8"/>
      <c r="D36" s="8"/>
      <c r="E36" s="8"/>
      <c r="F36" s="8"/>
      <c r="G36" s="8"/>
      <c r="H36" s="8"/>
      <c r="I36" s="8"/>
      <c r="J36" s="8"/>
      <c r="L36" s="8"/>
      <c r="M36" s="8"/>
      <c r="N36" s="8"/>
      <c r="O36" s="8"/>
      <c r="P36" s="8"/>
    </row>
    <row r="37" spans="2:16">
      <c r="B37" s="8"/>
      <c r="C37" s="8"/>
      <c r="D37" s="8"/>
      <c r="E37" s="8"/>
      <c r="F37" s="8"/>
      <c r="G37" s="8"/>
      <c r="H37" s="8"/>
      <c r="I37" s="8"/>
      <c r="J37" s="8"/>
      <c r="L37" s="8"/>
      <c r="M37" s="8"/>
      <c r="N37" s="8"/>
      <c r="O37" s="8"/>
      <c r="P37" s="8"/>
    </row>
    <row r="38" spans="2:16">
      <c r="B38" s="8"/>
      <c r="C38" s="9" t="s">
        <v>56</v>
      </c>
      <c r="D38" s="10"/>
      <c r="E38" s="10"/>
      <c r="F38" s="10"/>
      <c r="G38" s="10"/>
      <c r="H38" s="10"/>
      <c r="I38" s="10"/>
      <c r="J38" s="11"/>
      <c r="L38" s="9" t="s">
        <v>57</v>
      </c>
      <c r="M38" s="10"/>
      <c r="N38" s="10"/>
      <c r="O38" s="10"/>
      <c r="P38" s="11"/>
    </row>
    <row r="39" spans="2:16">
      <c r="B39" s="8"/>
      <c r="C39" s="41"/>
      <c r="D39" s="8"/>
      <c r="E39" s="8"/>
      <c r="F39" s="8"/>
      <c r="G39" s="8"/>
      <c r="H39" s="8"/>
      <c r="I39" s="8"/>
      <c r="J39" s="15"/>
      <c r="L39" s="41"/>
      <c r="M39" s="8"/>
      <c r="N39" s="8"/>
      <c r="O39" s="8"/>
      <c r="P39" s="15"/>
    </row>
    <row r="40" spans="2:16">
      <c r="B40" s="8"/>
      <c r="C40" s="41"/>
      <c r="D40" s="8"/>
      <c r="E40" s="8"/>
      <c r="F40" s="8"/>
      <c r="G40" s="43" t="s">
        <v>58</v>
      </c>
      <c r="H40" s="43"/>
      <c r="I40" s="43" t="s">
        <v>15</v>
      </c>
      <c r="J40" s="15"/>
      <c r="L40" s="41" t="s">
        <v>59</v>
      </c>
      <c r="M40" s="8"/>
      <c r="N40" s="8"/>
      <c r="P40" s="78">
        <f>G11</f>
        <v>1581.9406029629624</v>
      </c>
    </row>
    <row r="41" spans="2:16">
      <c r="B41" s="8"/>
      <c r="C41" s="41"/>
      <c r="D41" s="45" t="s">
        <v>60</v>
      </c>
      <c r="E41" s="35"/>
      <c r="F41" s="46" t="s">
        <v>24</v>
      </c>
      <c r="G41" s="46" t="s">
        <v>0</v>
      </c>
      <c r="H41" s="46"/>
      <c r="I41" s="46" t="s">
        <v>16</v>
      </c>
      <c r="J41" s="15"/>
      <c r="L41" s="41" t="s">
        <v>61</v>
      </c>
      <c r="M41" s="8"/>
      <c r="N41" s="8"/>
      <c r="P41" s="644">
        <f xml:space="preserve"> ( H438+SUM(H444:H447)-H425 ) * - 1</f>
        <v>-375</v>
      </c>
    </row>
    <row r="42" spans="2:16">
      <c r="B42" s="8"/>
      <c r="C42" s="41"/>
      <c r="D42" s="8"/>
      <c r="E42" s="8"/>
      <c r="F42" s="51" t="str">
        <f>F19</f>
        <v>($MM)</v>
      </c>
      <c r="G42" s="8"/>
      <c r="H42" s="8"/>
      <c r="I42" s="8"/>
      <c r="J42" s="15"/>
      <c r="L42" s="71" t="s">
        <v>62</v>
      </c>
      <c r="M42" s="8"/>
      <c r="N42" s="8"/>
      <c r="P42" s="80">
        <f>SUM(P40:P41)</f>
        <v>1206.9406029629624</v>
      </c>
    </row>
    <row r="43" spans="2:16">
      <c r="B43" s="8"/>
      <c r="C43" s="41"/>
      <c r="D43" s="8" t="s">
        <v>63</v>
      </c>
      <c r="E43" s="8"/>
      <c r="F43" s="81">
        <f>P42</f>
        <v>1206.9406029629624</v>
      </c>
      <c r="G43" s="54">
        <f>F43/$F$46</f>
        <v>0.74851413712789905</v>
      </c>
      <c r="H43" s="54"/>
      <c r="I43" s="82">
        <f>F43/$G$9</f>
        <v>7.6294938046496314</v>
      </c>
      <c r="J43" s="15"/>
      <c r="L43" s="41"/>
      <c r="M43" s="8"/>
      <c r="N43" s="8"/>
      <c r="P43" s="15"/>
    </row>
    <row r="44" spans="2:16">
      <c r="B44" s="8"/>
      <c r="C44" s="41"/>
      <c r="D44" s="8" t="s">
        <v>64</v>
      </c>
      <c r="E44" s="8"/>
      <c r="F44" s="81">
        <f>H438+SUM(H444:H447)</f>
        <v>380</v>
      </c>
      <c r="G44" s="54">
        <f>F44/$F$46</f>
        <v>0.23566642087467346</v>
      </c>
      <c r="H44" s="54"/>
      <c r="I44" s="82">
        <f>F44/$G$9</f>
        <v>2.4021129446217069</v>
      </c>
      <c r="J44" s="15"/>
      <c r="L44" s="41" t="s">
        <v>65</v>
      </c>
      <c r="M44" s="8"/>
      <c r="N44" s="8"/>
      <c r="P44" s="78">
        <f>H455-H432</f>
        <v>821.7</v>
      </c>
    </row>
    <row r="45" spans="2:16">
      <c r="B45" s="8"/>
      <c r="C45" s="41"/>
      <c r="D45" s="8" t="s">
        <v>66</v>
      </c>
      <c r="E45" s="8"/>
      <c r="F45" s="73">
        <f>P29</f>
        <v>25.508037745518511</v>
      </c>
      <c r="G45" s="64">
        <f>F45/$F$46</f>
        <v>1.5819441997427425E-2</v>
      </c>
      <c r="H45" s="64"/>
      <c r="I45" s="83">
        <f>F45/$G$9</f>
        <v>0.16124523068528715</v>
      </c>
      <c r="J45" s="15"/>
      <c r="L45" s="41" t="s">
        <v>67</v>
      </c>
      <c r="M45" s="8"/>
      <c r="N45" s="8"/>
      <c r="P45" s="84">
        <v>50</v>
      </c>
    </row>
    <row r="46" spans="2:16" ht="13.8" thickBot="1">
      <c r="B46" s="8"/>
      <c r="C46" s="41"/>
      <c r="D46" s="42" t="s">
        <v>68</v>
      </c>
      <c r="E46" s="8"/>
      <c r="F46" s="67">
        <f>SUM(F43:F45)</f>
        <v>1612.448640708481</v>
      </c>
      <c r="G46" s="68">
        <f>SUM(G43:G45)</f>
        <v>1</v>
      </c>
      <c r="H46" s="68"/>
      <c r="I46" s="85">
        <f>SUM(I43:I45)</f>
        <v>10.192851979956625</v>
      </c>
      <c r="J46" s="15"/>
      <c r="L46" s="71" t="s">
        <v>69</v>
      </c>
      <c r="M46" s="42"/>
      <c r="N46" s="42"/>
      <c r="P46" s="72">
        <f>P42-P44-P45</f>
        <v>335.24060296296238</v>
      </c>
    </row>
    <row r="47" spans="2:16" ht="13.8" thickTop="1">
      <c r="B47" s="8"/>
      <c r="C47" s="77"/>
      <c r="D47" s="35"/>
      <c r="E47" s="35"/>
      <c r="F47" s="35"/>
      <c r="G47" s="35"/>
      <c r="H47" s="35"/>
      <c r="I47" s="35"/>
      <c r="J47" s="36"/>
      <c r="L47" s="77"/>
      <c r="M47" s="35"/>
      <c r="N47" s="35"/>
      <c r="O47" s="35"/>
      <c r="P47" s="79"/>
    </row>
    <row r="48" spans="2:16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2:16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2" spans="2:16" ht="22.8">
      <c r="B52" s="86" t="str">
        <f>$B$3</f>
        <v>Moonbucks Corp.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2:16" ht="17.399999999999999">
      <c r="B53" s="5" t="s">
        <v>70</v>
      </c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2:16" ht="6" customHeight="1" thickBot="1"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2:16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2:16">
      <c r="B56" s="8"/>
      <c r="C56" s="9" t="s">
        <v>71</v>
      </c>
      <c r="D56" s="10"/>
      <c r="E56" s="10"/>
      <c r="F56" s="10"/>
      <c r="G56" s="10"/>
      <c r="H56" s="11"/>
      <c r="I56" s="8"/>
      <c r="J56" s="9" t="s">
        <v>72</v>
      </c>
      <c r="K56" s="87"/>
      <c r="L56" s="87"/>
      <c r="M56" s="87"/>
      <c r="N56" s="88"/>
    </row>
    <row r="57" spans="2:16">
      <c r="B57" s="8"/>
      <c r="C57" s="89" t="s">
        <v>73</v>
      </c>
      <c r="D57" s="90" t="s">
        <v>74</v>
      </c>
      <c r="E57" s="8"/>
      <c r="F57" s="8"/>
      <c r="G57" s="91">
        <v>2022</v>
      </c>
      <c r="H57" s="15"/>
      <c r="I57" s="8"/>
      <c r="J57" s="92" t="s">
        <v>75</v>
      </c>
      <c r="K57" s="8"/>
      <c r="L57" s="8"/>
      <c r="M57" s="8"/>
      <c r="N57" s="93">
        <v>350</v>
      </c>
    </row>
    <row r="58" spans="2:16">
      <c r="B58" s="8"/>
      <c r="C58" s="89" t="s">
        <v>73</v>
      </c>
      <c r="D58" s="94" t="str">
        <f>CONCATENATE("5-year cash flow model discounted to December 31, ",G57-1)</f>
        <v>5-year cash flow model discounted to December 31, 2021</v>
      </c>
      <c r="E58" s="8"/>
      <c r="F58" s="8"/>
      <c r="G58" s="8"/>
      <c r="H58" s="15"/>
      <c r="I58" s="8"/>
      <c r="J58" s="92" t="s">
        <v>76</v>
      </c>
      <c r="K58" s="16"/>
      <c r="L58" s="16"/>
      <c r="M58" s="16"/>
      <c r="N58" s="95">
        <v>39.5</v>
      </c>
      <c r="O58" s="8"/>
    </row>
    <row r="59" spans="2:16">
      <c r="B59" s="8"/>
      <c r="C59" s="89" t="s">
        <v>73</v>
      </c>
      <c r="D59" s="90" t="s">
        <v>77</v>
      </c>
      <c r="E59" s="8"/>
      <c r="F59" s="8"/>
      <c r="G59" s="8"/>
      <c r="H59" s="15"/>
      <c r="I59" s="8"/>
      <c r="J59" s="41"/>
      <c r="K59" s="8"/>
      <c r="L59" s="8"/>
      <c r="M59" s="8"/>
      <c r="N59" s="15"/>
      <c r="O59" s="8"/>
    </row>
    <row r="60" spans="2:16">
      <c r="B60" s="8"/>
      <c r="C60" s="96"/>
      <c r="D60" s="97" t="s">
        <v>78</v>
      </c>
      <c r="E60" s="35"/>
      <c r="F60" s="35"/>
      <c r="G60" s="35"/>
      <c r="H60" s="36"/>
      <c r="I60" s="8"/>
      <c r="J60" s="77"/>
      <c r="K60" s="35"/>
      <c r="L60" s="35"/>
      <c r="M60" s="35"/>
      <c r="N60" s="36"/>
      <c r="O60" s="8"/>
    </row>
    <row r="61" spans="2:16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2:16">
      <c r="B62" s="16"/>
      <c r="C62" s="9" t="s">
        <v>79</v>
      </c>
      <c r="D62" s="98"/>
      <c r="E62" s="87"/>
      <c r="F62" s="87"/>
      <c r="G62" s="87"/>
      <c r="H62" s="88"/>
      <c r="I62" s="16"/>
      <c r="J62" s="99" t="s">
        <v>80</v>
      </c>
      <c r="K62" s="10"/>
      <c r="L62" s="10"/>
      <c r="M62" s="10"/>
      <c r="N62" s="11"/>
      <c r="O62" s="16"/>
    </row>
    <row r="63" spans="2:16">
      <c r="B63" s="8"/>
      <c r="C63" s="89" t="s">
        <v>73</v>
      </c>
      <c r="D63" s="94" t="s">
        <v>81</v>
      </c>
      <c r="E63" s="8"/>
      <c r="F63" s="8"/>
      <c r="G63" s="8"/>
      <c r="H63" s="15"/>
      <c r="I63" s="8"/>
      <c r="J63" s="92" t="s">
        <v>82</v>
      </c>
      <c r="K63" s="8"/>
      <c r="L63" s="8"/>
      <c r="M63" s="8"/>
      <c r="N63" s="15"/>
      <c r="O63" s="8"/>
    </row>
    <row r="64" spans="2:16">
      <c r="B64" s="8"/>
      <c r="C64" s="100" t="s">
        <v>83</v>
      </c>
      <c r="D64" s="101"/>
      <c r="E64" s="102" t="str">
        <f>K190&amp;" - "&amp;O190</f>
        <v>2022 - 2026</v>
      </c>
      <c r="F64" s="103"/>
      <c r="G64" s="102" t="s">
        <v>84</v>
      </c>
      <c r="H64" s="104"/>
      <c r="I64" s="8"/>
      <c r="J64" s="92" t="s">
        <v>85</v>
      </c>
      <c r="K64" s="8"/>
      <c r="L64" s="8"/>
      <c r="M64" s="8"/>
      <c r="N64" s="105">
        <v>0.35</v>
      </c>
      <c r="O64" s="8"/>
    </row>
    <row r="65" spans="2:16" ht="15.6">
      <c r="B65" s="106"/>
      <c r="C65" s="107" t="s">
        <v>7</v>
      </c>
      <c r="D65" s="8"/>
      <c r="E65" s="3" t="s">
        <v>86</v>
      </c>
      <c r="F65" s="3"/>
      <c r="G65" s="3" t="s">
        <v>87</v>
      </c>
      <c r="H65" s="108"/>
      <c r="I65" s="30"/>
      <c r="J65" s="92" t="s">
        <v>88</v>
      </c>
      <c r="K65" s="8"/>
      <c r="L65" s="8"/>
      <c r="M65" s="8"/>
      <c r="N65" s="105">
        <v>0.15</v>
      </c>
      <c r="O65" s="106"/>
    </row>
    <row r="66" spans="2:16">
      <c r="B66" s="8"/>
      <c r="C66" s="107" t="s">
        <v>8</v>
      </c>
      <c r="D66" s="8"/>
      <c r="E66" s="109">
        <v>0.03</v>
      </c>
      <c r="F66" s="3"/>
      <c r="G66" s="3" t="s">
        <v>87</v>
      </c>
      <c r="H66" s="108"/>
      <c r="I66" s="90"/>
      <c r="J66" s="92" t="s">
        <v>89</v>
      </c>
      <c r="K66" s="8"/>
      <c r="L66" s="8"/>
      <c r="M66" s="8"/>
      <c r="N66" s="110">
        <v>32.5</v>
      </c>
      <c r="O66" s="8"/>
    </row>
    <row r="67" spans="2:16">
      <c r="B67" s="8"/>
      <c r="C67" s="111" t="s">
        <v>9</v>
      </c>
      <c r="D67" s="35"/>
      <c r="E67" s="112">
        <v>-0.03</v>
      </c>
      <c r="F67" s="113"/>
      <c r="G67" s="113" t="s">
        <v>87</v>
      </c>
      <c r="H67" s="114"/>
      <c r="I67" s="90"/>
      <c r="J67" s="115" t="s">
        <v>90</v>
      </c>
      <c r="K67" s="35"/>
      <c r="L67" s="35"/>
      <c r="M67" s="35"/>
      <c r="N67" s="116">
        <v>580.79999999999995</v>
      </c>
      <c r="O67" s="8"/>
    </row>
    <row r="68" spans="2:16">
      <c r="B68" s="8"/>
      <c r="C68" s="8"/>
      <c r="D68" s="8"/>
      <c r="E68" s="8"/>
      <c r="F68" s="8"/>
      <c r="G68" s="8"/>
      <c r="H68" s="8"/>
      <c r="I68" s="90"/>
      <c r="J68" s="8"/>
      <c r="K68" s="8"/>
      <c r="L68" s="8"/>
      <c r="M68" s="8"/>
      <c r="N68" s="8"/>
      <c r="O68" s="8"/>
    </row>
    <row r="69" spans="2:16">
      <c r="B69" s="8"/>
      <c r="C69" s="9" t="s">
        <v>91</v>
      </c>
      <c r="D69" s="117"/>
      <c r="E69" s="10"/>
      <c r="F69" s="10"/>
      <c r="G69" s="10"/>
      <c r="H69" s="11"/>
      <c r="I69" s="8"/>
      <c r="J69" s="9" t="s">
        <v>92</v>
      </c>
      <c r="K69" s="10"/>
      <c r="L69" s="10"/>
      <c r="M69" s="10"/>
      <c r="N69" s="11"/>
      <c r="O69" s="8"/>
    </row>
    <row r="70" spans="2:16">
      <c r="B70" s="8"/>
      <c r="C70" s="118" t="s">
        <v>93</v>
      </c>
      <c r="D70" s="119"/>
      <c r="E70" s="120">
        <f>G57</f>
        <v>2022</v>
      </c>
      <c r="F70" s="121"/>
      <c r="G70" s="120" t="s">
        <v>94</v>
      </c>
      <c r="H70" s="122"/>
      <c r="I70" s="8"/>
      <c r="J70" s="123" t="s">
        <v>95</v>
      </c>
      <c r="K70" s="121"/>
      <c r="L70" s="121"/>
      <c r="M70" s="121"/>
      <c r="N70" s="124" t="s">
        <v>96</v>
      </c>
      <c r="O70" s="8"/>
    </row>
    <row r="71" spans="2:16">
      <c r="B71" s="8"/>
      <c r="C71" s="125" t="s">
        <v>97</v>
      </c>
      <c r="D71" s="94"/>
      <c r="E71" s="126">
        <v>24.6</v>
      </c>
      <c r="F71" s="8" t="s">
        <v>98</v>
      </c>
      <c r="G71" s="8" t="s">
        <v>99</v>
      </c>
      <c r="H71" s="15"/>
      <c r="I71" s="8"/>
      <c r="J71" s="127" t="s">
        <v>100</v>
      </c>
      <c r="K71" s="8"/>
      <c r="L71" s="8"/>
      <c r="M71" s="8"/>
      <c r="N71" s="128">
        <v>20</v>
      </c>
      <c r="O71" s="8"/>
    </row>
    <row r="72" spans="2:16">
      <c r="B72" s="8"/>
      <c r="C72" s="41" t="s">
        <v>101</v>
      </c>
      <c r="D72" s="8"/>
      <c r="E72" s="126">
        <v>2.7</v>
      </c>
      <c r="F72" s="8" t="s">
        <v>98</v>
      </c>
      <c r="G72" s="8" t="s">
        <v>99</v>
      </c>
      <c r="H72" s="15"/>
      <c r="I72" s="8"/>
      <c r="J72" s="129" t="s">
        <v>102</v>
      </c>
      <c r="K72" s="35"/>
      <c r="L72" s="35"/>
      <c r="M72" s="35"/>
      <c r="N72" s="130">
        <v>25</v>
      </c>
      <c r="O72" s="8"/>
    </row>
    <row r="73" spans="2:16">
      <c r="B73" s="8"/>
      <c r="C73" s="125" t="s">
        <v>103</v>
      </c>
      <c r="D73" s="94"/>
      <c r="E73" s="126">
        <v>41</v>
      </c>
      <c r="F73" s="8" t="s">
        <v>104</v>
      </c>
      <c r="G73" s="8" t="s">
        <v>105</v>
      </c>
      <c r="H73" s="15"/>
      <c r="I73" s="8"/>
      <c r="J73" s="8"/>
      <c r="K73" s="8"/>
      <c r="L73" s="8"/>
      <c r="M73" s="8"/>
      <c r="N73" s="8"/>
      <c r="O73" s="8"/>
    </row>
    <row r="74" spans="2:16">
      <c r="B74" s="8"/>
      <c r="C74" s="125" t="s">
        <v>106</v>
      </c>
      <c r="D74" s="90"/>
      <c r="E74" s="126">
        <v>31.2</v>
      </c>
      <c r="F74" s="8" t="s">
        <v>104</v>
      </c>
      <c r="G74" s="8" t="s">
        <v>105</v>
      </c>
      <c r="H74" s="15"/>
      <c r="I74" s="8"/>
      <c r="J74" s="9" t="s">
        <v>107</v>
      </c>
      <c r="K74" s="10"/>
      <c r="L74" s="10"/>
      <c r="M74" s="10"/>
      <c r="N74" s="11"/>
      <c r="O74" s="8"/>
    </row>
    <row r="75" spans="2:16">
      <c r="B75" s="8"/>
      <c r="C75" s="125" t="s">
        <v>108</v>
      </c>
      <c r="D75" s="90"/>
      <c r="E75" s="126">
        <v>66.400000000000006</v>
      </c>
      <c r="F75" s="8" t="s">
        <v>104</v>
      </c>
      <c r="G75" s="8" t="s">
        <v>105</v>
      </c>
      <c r="H75" s="15"/>
      <c r="I75" s="8"/>
      <c r="J75" s="41" t="str">
        <f ca="1">"- Stock Price - "&amp;TEXT(TODAY()-1,"mm/dd/yy")</f>
        <v>- Stock Price - 10/05/26</v>
      </c>
      <c r="K75" s="131"/>
      <c r="L75" s="8"/>
      <c r="M75" s="132"/>
      <c r="N75" s="133">
        <v>45</v>
      </c>
      <c r="O75" s="8"/>
    </row>
    <row r="76" spans="2:16">
      <c r="B76" s="8"/>
      <c r="C76" s="125" t="s">
        <v>109</v>
      </c>
      <c r="D76" s="90"/>
      <c r="E76" s="126">
        <v>8.1999999999999993</v>
      </c>
      <c r="F76" s="8" t="s">
        <v>104</v>
      </c>
      <c r="G76" s="8" t="s">
        <v>105</v>
      </c>
      <c r="H76" s="15"/>
      <c r="I76" s="8"/>
      <c r="J76" s="77" t="str">
        <f>"- Fully Diluted Shares O/S (MM) - Dec. 31, "&amp;G57-1</f>
        <v>- Fully Diluted Shares O/S (MM) - Dec. 31, 2021</v>
      </c>
      <c r="K76" s="35"/>
      <c r="L76" s="35"/>
      <c r="M76" s="134"/>
      <c r="N76" s="135">
        <v>50.2</v>
      </c>
      <c r="O76" s="8"/>
    </row>
    <row r="77" spans="2:16">
      <c r="B77" s="8"/>
      <c r="C77" s="41" t="s">
        <v>49</v>
      </c>
      <c r="D77" s="8"/>
      <c r="E77" s="126">
        <v>4.2</v>
      </c>
      <c r="F77" s="8" t="s">
        <v>104</v>
      </c>
      <c r="G77" s="8" t="s">
        <v>105</v>
      </c>
      <c r="H77" s="15"/>
      <c r="I77" s="8"/>
      <c r="J77" s="8"/>
      <c r="K77" s="8"/>
      <c r="L77" s="8"/>
      <c r="M77" s="8"/>
      <c r="N77" s="8"/>
      <c r="O77" s="8"/>
    </row>
    <row r="78" spans="2:16">
      <c r="B78" s="8"/>
      <c r="C78" s="125" t="s">
        <v>110</v>
      </c>
      <c r="D78" s="90"/>
      <c r="E78" s="136">
        <v>45.2</v>
      </c>
      <c r="F78" s="8" t="s">
        <v>104</v>
      </c>
      <c r="G78" s="8" t="s">
        <v>105</v>
      </c>
      <c r="H78" s="15"/>
      <c r="I78" s="8"/>
      <c r="J78" s="8"/>
      <c r="K78" s="8"/>
      <c r="L78" s="8"/>
      <c r="M78" s="8"/>
      <c r="N78" s="8"/>
      <c r="O78" s="8"/>
      <c r="P78" s="8"/>
    </row>
    <row r="79" spans="2:16">
      <c r="B79" s="8"/>
      <c r="C79" s="77" t="s">
        <v>111</v>
      </c>
      <c r="D79" s="35"/>
      <c r="E79" s="137">
        <v>0.02</v>
      </c>
      <c r="F79" s="48"/>
      <c r="G79" s="48"/>
      <c r="H79" s="138"/>
      <c r="I79" s="8"/>
      <c r="J79" s="8"/>
      <c r="K79" s="8"/>
      <c r="L79" s="8"/>
      <c r="M79" s="8"/>
      <c r="N79" s="8"/>
      <c r="O79" s="8"/>
      <c r="P79" s="8"/>
    </row>
    <row r="80" spans="2:16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2:16">
      <c r="B81" s="35"/>
      <c r="C81" s="35"/>
      <c r="D81" s="139"/>
      <c r="E81" s="113"/>
      <c r="F81" s="113"/>
      <c r="G81" s="113"/>
      <c r="H81" s="113"/>
      <c r="I81" s="35"/>
      <c r="J81" s="35"/>
      <c r="K81" s="35"/>
      <c r="L81" s="35"/>
      <c r="M81" s="35"/>
      <c r="N81" s="35"/>
      <c r="O81" s="35"/>
      <c r="P81" s="35"/>
    </row>
    <row r="82" spans="2:16">
      <c r="B82" s="8"/>
      <c r="C82" s="8"/>
      <c r="D82" s="140"/>
      <c r="E82" s="3"/>
      <c r="F82" s="3"/>
      <c r="G82" s="3"/>
      <c r="H82" s="3"/>
      <c r="I82" s="8"/>
      <c r="J82" s="8"/>
      <c r="K82" s="8"/>
      <c r="L82" s="8"/>
      <c r="M82" s="8"/>
      <c r="N82" s="8"/>
      <c r="O82" s="8"/>
      <c r="P82" s="8"/>
    </row>
    <row r="83" spans="2:16">
      <c r="B83" s="8"/>
      <c r="C83" s="8"/>
      <c r="D83" s="140"/>
      <c r="E83" s="3"/>
      <c r="F83" s="3"/>
      <c r="G83" s="3"/>
      <c r="H83" s="3"/>
      <c r="I83" s="8"/>
      <c r="J83" s="8"/>
      <c r="K83" s="8"/>
      <c r="L83" s="8"/>
      <c r="M83" s="8"/>
      <c r="N83" s="8"/>
      <c r="O83" s="8"/>
      <c r="P83" s="8"/>
    </row>
    <row r="84" spans="2:16">
      <c r="B84" s="8"/>
      <c r="C84" s="8"/>
      <c r="D84" s="140"/>
      <c r="E84" s="3"/>
      <c r="F84" s="3"/>
      <c r="G84" s="3"/>
      <c r="H84" s="3"/>
      <c r="I84" s="8"/>
      <c r="J84" s="8"/>
      <c r="K84" s="8"/>
      <c r="L84" s="8"/>
      <c r="M84" s="8"/>
      <c r="N84" s="8"/>
      <c r="O84" s="8"/>
      <c r="P84" s="8"/>
    </row>
    <row r="85" spans="2:16" ht="22.8">
      <c r="B85" s="86" t="str">
        <f>$B$3</f>
        <v>Moonbucks Corp.</v>
      </c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2:16" ht="17.399999999999999">
      <c r="B86" s="5" t="s">
        <v>70</v>
      </c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2:16" ht="6" customHeight="1" thickBot="1"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2:16">
      <c r="B88" s="8"/>
      <c r="C88" s="8"/>
      <c r="D88" s="140"/>
      <c r="E88" s="3"/>
      <c r="F88" s="3"/>
      <c r="G88" s="3"/>
      <c r="H88" s="3"/>
      <c r="I88" s="8"/>
      <c r="J88" s="8"/>
      <c r="K88" s="8"/>
      <c r="L88" s="8"/>
      <c r="M88" s="8"/>
      <c r="N88" s="8"/>
      <c r="O88" s="8"/>
      <c r="P88" s="8"/>
    </row>
    <row r="89" spans="2:16">
      <c r="B89" s="8"/>
      <c r="C89" s="141" t="s">
        <v>112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2:16" ht="13.35" customHeight="1">
      <c r="B90" s="8"/>
      <c r="C90" s="142" t="s">
        <v>73</v>
      </c>
      <c r="D90" s="90" t="str">
        <f>CONCATENATE("Capex has been assumed at $",G99," million in ",G94,", $",H99," million in ",H94," and grown at inflation thereafter")</f>
        <v>Capex has been assumed at $60 million in 2022, $64 million in 2023 and grown at inflation thereafter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2:16">
      <c r="B91" s="8"/>
      <c r="C91" s="142" t="s">
        <v>73</v>
      </c>
      <c r="D91" s="90" t="s">
        <v>113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2:16">
      <c r="B92" s="8"/>
      <c r="C92" s="142"/>
      <c r="D92" s="90" t="s">
        <v>114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2:16" ht="18">
      <c r="B93" s="8"/>
      <c r="C93" s="143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2:16" ht="15.6">
      <c r="B94" s="144"/>
      <c r="C94" s="145"/>
      <c r="D94" s="146" t="s">
        <v>115</v>
      </c>
      <c r="E94" s="10"/>
      <c r="F94" s="10"/>
      <c r="G94" s="147">
        <f>G57</f>
        <v>2022</v>
      </c>
      <c r="H94" s="147">
        <f>G94+1</f>
        <v>2023</v>
      </c>
      <c r="I94" s="147">
        <f>H94+1</f>
        <v>2024</v>
      </c>
      <c r="J94" s="147">
        <f>I94+1</f>
        <v>2025</v>
      </c>
      <c r="K94" s="148">
        <f>J94+1</f>
        <v>2026</v>
      </c>
      <c r="M94" s="149"/>
      <c r="N94" s="149"/>
      <c r="O94" s="144"/>
    </row>
    <row r="95" spans="2:16" ht="6" customHeight="1">
      <c r="B95" s="8"/>
      <c r="C95" s="8"/>
      <c r="D95" s="41"/>
      <c r="E95" s="8"/>
      <c r="F95" s="8"/>
      <c r="G95" s="8"/>
      <c r="H95" s="8"/>
      <c r="I95" s="8"/>
      <c r="J95" s="8"/>
      <c r="K95" s="15"/>
      <c r="M95" s="8"/>
      <c r="N95" s="8"/>
      <c r="O95" s="8"/>
    </row>
    <row r="96" spans="2:16">
      <c r="B96" s="8"/>
      <c r="C96" s="8"/>
      <c r="D96" s="92" t="s">
        <v>116</v>
      </c>
      <c r="E96" s="8"/>
      <c r="F96" s="8"/>
      <c r="G96" s="150">
        <v>60</v>
      </c>
      <c r="H96" s="150">
        <v>64</v>
      </c>
      <c r="I96" s="151">
        <f>H96*(1+M$211)</f>
        <v>65.28</v>
      </c>
      <c r="J96" s="151">
        <f>I96*(1+N$211)</f>
        <v>66.911999999999992</v>
      </c>
      <c r="K96" s="152">
        <f>J96*(1+O$211)</f>
        <v>68.584799999999987</v>
      </c>
      <c r="M96" s="151"/>
      <c r="N96" s="151"/>
      <c r="O96" s="8"/>
    </row>
    <row r="97" spans="2:15">
      <c r="B97" s="8"/>
      <c r="C97" s="8"/>
      <c r="D97" s="153" t="s">
        <v>117</v>
      </c>
      <c r="E97" s="8"/>
      <c r="F97" s="8"/>
      <c r="G97" s="150">
        <v>0</v>
      </c>
      <c r="H97" s="150">
        <v>0</v>
      </c>
      <c r="I97" s="150">
        <v>0</v>
      </c>
      <c r="J97" s="150">
        <v>0</v>
      </c>
      <c r="K97" s="154">
        <v>0</v>
      </c>
      <c r="M97" s="150"/>
      <c r="N97" s="150"/>
      <c r="O97" s="8"/>
    </row>
    <row r="98" spans="2:15">
      <c r="B98" s="8"/>
      <c r="C98" s="8"/>
      <c r="D98" s="41" t="s">
        <v>118</v>
      </c>
      <c r="E98" s="8"/>
      <c r="F98" s="8"/>
      <c r="G98" s="155">
        <v>0</v>
      </c>
      <c r="H98" s="155">
        <v>0</v>
      </c>
      <c r="I98" s="155">
        <v>0</v>
      </c>
      <c r="J98" s="155">
        <v>0</v>
      </c>
      <c r="K98" s="156">
        <v>30</v>
      </c>
      <c r="M98" s="150"/>
      <c r="N98" s="150"/>
      <c r="O98" s="8"/>
    </row>
    <row r="99" spans="2:15">
      <c r="B99" s="8"/>
      <c r="C99" s="8"/>
      <c r="D99" s="71" t="s">
        <v>0</v>
      </c>
      <c r="E99" s="8"/>
      <c r="F99" s="8"/>
      <c r="G99" s="67">
        <f>SUM(G96:G98)</f>
        <v>60</v>
      </c>
      <c r="H99" s="67">
        <f>SUM(H96:H98)</f>
        <v>64</v>
      </c>
      <c r="I99" s="67">
        <f>SUM(I96:I98)</f>
        <v>65.28</v>
      </c>
      <c r="J99" s="67">
        <f>SUM(J96:J98)</f>
        <v>66.911999999999992</v>
      </c>
      <c r="K99" s="80">
        <f>SUM(K96:K98)</f>
        <v>98.584799999999987</v>
      </c>
      <c r="M99" s="67"/>
      <c r="N99" s="150"/>
      <c r="O99" s="8"/>
    </row>
    <row r="100" spans="2:15" ht="6" customHeight="1">
      <c r="B100" s="8"/>
      <c r="C100" s="8"/>
      <c r="D100" s="77"/>
      <c r="E100" s="157"/>
      <c r="F100" s="157"/>
      <c r="G100" s="157"/>
      <c r="H100" s="157"/>
      <c r="I100" s="158"/>
      <c r="J100" s="157"/>
      <c r="K100" s="159"/>
      <c r="M100" s="160"/>
      <c r="N100" s="160"/>
      <c r="O100" s="160"/>
    </row>
    <row r="101" spans="2:15">
      <c r="B101" s="8"/>
      <c r="C101" s="8"/>
      <c r="D101" s="8"/>
      <c r="E101" s="8"/>
      <c r="F101" s="8"/>
      <c r="G101" s="8"/>
      <c r="H101" s="160"/>
      <c r="I101" s="161"/>
      <c r="J101" s="160"/>
      <c r="K101" s="160"/>
      <c r="L101" s="160"/>
      <c r="M101" s="160"/>
      <c r="N101" s="160"/>
      <c r="O101" s="160"/>
    </row>
    <row r="102" spans="2:15">
      <c r="B102" s="8"/>
      <c r="C102" s="8"/>
      <c r="D102" s="8"/>
      <c r="E102" s="8"/>
      <c r="F102" s="8"/>
      <c r="G102" s="8"/>
      <c r="H102" s="160"/>
      <c r="I102" s="161"/>
      <c r="J102" s="160"/>
      <c r="K102" s="160"/>
      <c r="L102" s="160"/>
      <c r="M102" s="160"/>
      <c r="N102" s="160"/>
      <c r="O102" s="160"/>
    </row>
    <row r="103" spans="2:15">
      <c r="B103" s="8"/>
      <c r="C103" s="141" t="s">
        <v>119</v>
      </c>
      <c r="D103" s="8"/>
      <c r="E103" s="8"/>
      <c r="F103" s="8"/>
      <c r="G103" s="8"/>
      <c r="H103" s="151"/>
      <c r="I103" s="151"/>
      <c r="J103" s="151"/>
      <c r="K103" s="151"/>
      <c r="L103" s="8"/>
      <c r="M103" s="8"/>
      <c r="N103" s="8"/>
      <c r="O103" s="8"/>
    </row>
    <row r="104" spans="2:15">
      <c r="B104" s="8"/>
      <c r="C104" s="14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2:15">
      <c r="B105" s="8"/>
      <c r="C105" s="141"/>
      <c r="D105" s="146" t="s">
        <v>115</v>
      </c>
      <c r="E105" s="10"/>
      <c r="F105" s="162">
        <f>G105-1</f>
        <v>2021</v>
      </c>
      <c r="G105" s="147">
        <f>G94</f>
        <v>2022</v>
      </c>
      <c r="H105" s="147">
        <f>G105+1</f>
        <v>2023</v>
      </c>
      <c r="I105" s="147">
        <f>H105+1</f>
        <v>2024</v>
      </c>
      <c r="J105" s="147">
        <f>I105+1</f>
        <v>2025</v>
      </c>
      <c r="K105" s="148">
        <f>J105+1</f>
        <v>2026</v>
      </c>
      <c r="L105" s="160"/>
      <c r="M105" s="8"/>
      <c r="N105" s="8"/>
      <c r="O105" s="8"/>
    </row>
    <row r="106" spans="2:15" ht="6" customHeight="1">
      <c r="B106" s="8"/>
      <c r="C106" s="8"/>
      <c r="D106" s="41"/>
      <c r="E106" s="8"/>
      <c r="F106" s="8"/>
      <c r="G106" s="8"/>
      <c r="H106" s="8"/>
      <c r="I106" s="8"/>
      <c r="J106" s="8"/>
      <c r="K106" s="15"/>
      <c r="L106" s="8"/>
      <c r="M106" s="160"/>
      <c r="N106" s="160"/>
      <c r="O106" s="160"/>
    </row>
    <row r="107" spans="2:15">
      <c r="B107" s="8"/>
      <c r="C107" s="8"/>
      <c r="D107" s="153" t="s">
        <v>120</v>
      </c>
      <c r="E107" s="8"/>
      <c r="F107" s="150">
        <v>15</v>
      </c>
      <c r="G107" s="150">
        <v>15</v>
      </c>
      <c r="H107" s="150">
        <v>20</v>
      </c>
      <c r="I107" s="150">
        <v>25</v>
      </c>
      <c r="J107" s="150">
        <v>30</v>
      </c>
      <c r="K107" s="154">
        <v>35</v>
      </c>
      <c r="L107" s="150"/>
      <c r="M107" s="150"/>
      <c r="N107" s="150"/>
      <c r="O107" s="8"/>
    </row>
    <row r="108" spans="2:15">
      <c r="B108" s="8"/>
      <c r="C108" s="8"/>
      <c r="D108" s="153" t="s">
        <v>121</v>
      </c>
      <c r="E108" s="8"/>
      <c r="F108" s="150">
        <v>-4</v>
      </c>
      <c r="G108" s="150">
        <v>-4</v>
      </c>
      <c r="H108" s="150">
        <v>-2</v>
      </c>
      <c r="I108" s="150">
        <v>0</v>
      </c>
      <c r="J108" s="150">
        <v>0</v>
      </c>
      <c r="K108" s="154">
        <v>0</v>
      </c>
      <c r="L108" s="150"/>
      <c r="M108" s="150"/>
      <c r="N108" s="150"/>
      <c r="O108" s="8"/>
    </row>
    <row r="109" spans="2:15">
      <c r="B109" s="8"/>
      <c r="C109" s="8"/>
      <c r="D109" s="153" t="s">
        <v>122</v>
      </c>
      <c r="E109" s="8"/>
      <c r="F109" s="155">
        <v>0</v>
      </c>
      <c r="G109" s="155">
        <v>0</v>
      </c>
      <c r="H109" s="155">
        <v>0</v>
      </c>
      <c r="I109" s="155">
        <v>0</v>
      </c>
      <c r="J109" s="155">
        <v>0</v>
      </c>
      <c r="K109" s="156">
        <v>0</v>
      </c>
      <c r="L109" s="150"/>
      <c r="M109" s="150"/>
      <c r="N109" s="150"/>
      <c r="O109" s="8"/>
    </row>
    <row r="110" spans="2:15">
      <c r="B110" s="8"/>
      <c r="C110" s="8"/>
      <c r="D110" s="71" t="s">
        <v>0</v>
      </c>
      <c r="E110" s="8"/>
      <c r="F110" s="67">
        <f t="shared" ref="F110:K110" si="1">SUM(F107:F109)</f>
        <v>11</v>
      </c>
      <c r="G110" s="67">
        <f t="shared" si="1"/>
        <v>11</v>
      </c>
      <c r="H110" s="67">
        <f t="shared" si="1"/>
        <v>18</v>
      </c>
      <c r="I110" s="67">
        <f t="shared" si="1"/>
        <v>25</v>
      </c>
      <c r="J110" s="67">
        <f t="shared" si="1"/>
        <v>30</v>
      </c>
      <c r="K110" s="80">
        <f t="shared" si="1"/>
        <v>35</v>
      </c>
      <c r="L110" s="160"/>
      <c r="M110" s="67"/>
      <c r="N110" s="67"/>
      <c r="O110" s="8"/>
    </row>
    <row r="111" spans="2:15" ht="6" customHeight="1">
      <c r="B111" s="8"/>
      <c r="C111" s="8"/>
      <c r="D111" s="77"/>
      <c r="E111" s="157"/>
      <c r="F111" s="157"/>
      <c r="G111" s="157"/>
      <c r="H111" s="157"/>
      <c r="I111" s="158"/>
      <c r="J111" s="157"/>
      <c r="K111" s="159"/>
      <c r="L111" s="160"/>
      <c r="M111" s="160"/>
      <c r="N111" s="160"/>
      <c r="O111" s="160"/>
    </row>
    <row r="112" spans="2:15">
      <c r="B112" s="8"/>
      <c r="C112" s="8"/>
      <c r="D112" s="8"/>
      <c r="E112" s="8"/>
      <c r="F112" s="8"/>
      <c r="G112" s="8"/>
      <c r="H112" s="160"/>
      <c r="I112" s="161"/>
      <c r="J112" s="160"/>
      <c r="K112" s="160"/>
      <c r="L112" s="160"/>
      <c r="M112" s="160"/>
      <c r="N112" s="160"/>
      <c r="O112" s="160"/>
    </row>
    <row r="113" spans="2:1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2:15">
      <c r="B114" s="8"/>
      <c r="C114" s="141" t="s">
        <v>123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2:15">
      <c r="B115" s="8"/>
      <c r="C115" s="8"/>
      <c r="D115" s="8"/>
      <c r="E115" s="8"/>
      <c r="F115" s="8"/>
      <c r="G115" s="8"/>
      <c r="H115" s="160"/>
      <c r="I115" s="161"/>
      <c r="J115" s="160"/>
      <c r="K115" s="160"/>
      <c r="L115" s="160"/>
      <c r="M115" s="160"/>
      <c r="N115" s="160"/>
      <c r="O115" s="160"/>
    </row>
    <row r="116" spans="2:15" ht="15.6">
      <c r="B116" s="144"/>
      <c r="C116" s="145"/>
      <c r="D116" s="146" t="s">
        <v>124</v>
      </c>
      <c r="E116" s="10"/>
      <c r="F116" s="10"/>
      <c r="G116" s="147">
        <f>G105</f>
        <v>2022</v>
      </c>
      <c r="H116" s="147">
        <f>G116+1</f>
        <v>2023</v>
      </c>
      <c r="I116" s="147">
        <f>H116+1</f>
        <v>2024</v>
      </c>
      <c r="J116" s="147">
        <f>I116+1</f>
        <v>2025</v>
      </c>
      <c r="K116" s="148">
        <f>J116+1</f>
        <v>2026</v>
      </c>
      <c r="L116" s="160"/>
      <c r="M116" s="149"/>
      <c r="N116" s="149"/>
      <c r="O116" s="144"/>
    </row>
    <row r="117" spans="2:15" ht="6" customHeight="1">
      <c r="B117" s="8"/>
      <c r="C117" s="8"/>
      <c r="D117" s="41"/>
      <c r="E117" s="8"/>
      <c r="F117" s="8"/>
      <c r="G117" s="8"/>
      <c r="H117" s="8"/>
      <c r="I117" s="8"/>
      <c r="J117" s="8"/>
      <c r="K117" s="15"/>
      <c r="L117" s="8"/>
      <c r="M117" s="8"/>
      <c r="N117" s="8"/>
      <c r="O117" s="8"/>
    </row>
    <row r="118" spans="2:15">
      <c r="B118" s="8"/>
      <c r="C118" s="8"/>
      <c r="D118" s="153" t="s">
        <v>3</v>
      </c>
      <c r="E118" s="8"/>
      <c r="F118" s="8"/>
      <c r="G118" s="150">
        <v>34</v>
      </c>
      <c r="H118" s="150">
        <v>32</v>
      </c>
      <c r="I118" s="150">
        <v>30</v>
      </c>
      <c r="J118" s="150">
        <v>30</v>
      </c>
      <c r="K118" s="154">
        <v>30</v>
      </c>
      <c r="L118" s="150"/>
      <c r="M118" s="150"/>
      <c r="N118" s="150"/>
      <c r="O118" s="8"/>
    </row>
    <row r="119" spans="2:15">
      <c r="B119" s="8"/>
      <c r="C119" s="8"/>
      <c r="D119" s="153" t="s">
        <v>125</v>
      </c>
      <c r="E119" s="8"/>
      <c r="F119" s="8"/>
      <c r="G119" s="150">
        <v>40</v>
      </c>
      <c r="H119" s="150">
        <v>38</v>
      </c>
      <c r="I119" s="150">
        <v>36</v>
      </c>
      <c r="J119" s="150">
        <v>36</v>
      </c>
      <c r="K119" s="154">
        <v>36</v>
      </c>
      <c r="L119" s="150"/>
      <c r="M119" s="150"/>
      <c r="N119" s="150"/>
      <c r="O119" s="8"/>
    </row>
    <row r="120" spans="2:15">
      <c r="B120" s="8"/>
      <c r="C120" s="8"/>
      <c r="D120" s="153" t="s">
        <v>1</v>
      </c>
      <c r="E120" s="8"/>
      <c r="F120" s="8"/>
      <c r="G120" s="150">
        <v>27</v>
      </c>
      <c r="H120" s="150">
        <v>28</v>
      </c>
      <c r="I120" s="150">
        <v>30</v>
      </c>
      <c r="J120" s="150">
        <v>30</v>
      </c>
      <c r="K120" s="154">
        <v>30</v>
      </c>
      <c r="L120" s="150"/>
      <c r="M120" s="150"/>
      <c r="N120" s="150"/>
      <c r="O120" s="8"/>
    </row>
    <row r="121" spans="2:15" ht="6" customHeight="1">
      <c r="B121" s="8"/>
      <c r="C121" s="8"/>
      <c r="D121" s="77"/>
      <c r="E121" s="35"/>
      <c r="F121" s="35"/>
      <c r="G121" s="35"/>
      <c r="H121" s="157"/>
      <c r="I121" s="158"/>
      <c r="J121" s="157"/>
      <c r="K121" s="159"/>
      <c r="L121" s="160"/>
      <c r="M121" s="160"/>
      <c r="N121" s="160"/>
      <c r="O121" s="160"/>
    </row>
    <row r="122" spans="2:15">
      <c r="B122" s="8"/>
      <c r="C122" s="8"/>
      <c r="D122" s="8"/>
      <c r="E122" s="8"/>
      <c r="F122" s="8"/>
      <c r="G122" s="8"/>
      <c r="H122" s="160"/>
      <c r="I122" s="161"/>
      <c r="J122" s="160"/>
      <c r="K122" s="160"/>
      <c r="L122" s="160"/>
      <c r="M122" s="160"/>
      <c r="N122" s="160"/>
      <c r="O122" s="160"/>
    </row>
    <row r="123" spans="2:1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2:15">
      <c r="B124" s="8"/>
      <c r="C124" s="141" t="s">
        <v>126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2:15">
      <c r="B125" s="8"/>
      <c r="C125" s="8"/>
      <c r="D125" s="8"/>
      <c r="E125" s="8"/>
      <c r="F125" s="8"/>
      <c r="G125" s="8"/>
      <c r="H125" s="160"/>
      <c r="I125" s="161"/>
      <c r="J125" s="160"/>
      <c r="K125" s="160"/>
      <c r="L125" s="160"/>
      <c r="M125" s="160"/>
      <c r="N125" s="160"/>
      <c r="O125" s="160"/>
    </row>
    <row r="126" spans="2:15">
      <c r="B126" s="8"/>
      <c r="C126" s="8"/>
      <c r="D126" s="146" t="s">
        <v>115</v>
      </c>
      <c r="E126" s="10"/>
      <c r="F126" s="10"/>
      <c r="G126" s="147">
        <f>G116</f>
        <v>2022</v>
      </c>
      <c r="H126" s="147">
        <f>H116</f>
        <v>2023</v>
      </c>
      <c r="I126" s="147">
        <f>I116</f>
        <v>2024</v>
      </c>
      <c r="J126" s="147">
        <f>J116</f>
        <v>2025</v>
      </c>
      <c r="K126" s="148">
        <f>K116</f>
        <v>2026</v>
      </c>
      <c r="L126" s="160"/>
      <c r="M126" s="160"/>
      <c r="N126" s="8"/>
      <c r="O126" s="8"/>
    </row>
    <row r="127" spans="2:15">
      <c r="B127" s="8"/>
      <c r="C127" s="8"/>
      <c r="D127" s="41"/>
      <c r="E127" s="8"/>
      <c r="F127" s="8"/>
      <c r="G127" s="160"/>
      <c r="H127" s="161"/>
      <c r="I127" s="160"/>
      <c r="J127" s="160"/>
      <c r="K127" s="163"/>
      <c r="L127" s="160"/>
      <c r="M127" s="160"/>
      <c r="N127" s="160"/>
      <c r="O127" s="160"/>
    </row>
    <row r="128" spans="2:15">
      <c r="B128" s="8"/>
      <c r="C128" s="8"/>
      <c r="D128" s="153" t="s">
        <v>127</v>
      </c>
      <c r="F128" s="8"/>
      <c r="G128" s="70">
        <v>0</v>
      </c>
      <c r="H128" s="70">
        <v>0</v>
      </c>
      <c r="I128" s="70">
        <v>0</v>
      </c>
      <c r="J128" s="70">
        <v>0</v>
      </c>
      <c r="K128" s="65">
        <v>0</v>
      </c>
      <c r="L128" s="160"/>
      <c r="M128" s="160"/>
      <c r="N128" s="8"/>
      <c r="O128" s="8"/>
    </row>
    <row r="129" spans="2:15">
      <c r="B129" s="8"/>
      <c r="C129" s="8"/>
      <c r="D129" s="153" t="s">
        <v>128</v>
      </c>
      <c r="F129" s="8"/>
      <c r="G129" s="70">
        <v>0</v>
      </c>
      <c r="H129" s="70">
        <v>0</v>
      </c>
      <c r="I129" s="70">
        <v>0</v>
      </c>
      <c r="J129" s="70">
        <v>0</v>
      </c>
      <c r="K129" s="65">
        <v>0</v>
      </c>
      <c r="L129" s="160"/>
      <c r="M129" s="160"/>
      <c r="N129" s="8"/>
      <c r="O129" s="8"/>
    </row>
    <row r="130" spans="2:15" ht="6" customHeight="1">
      <c r="B130" s="8"/>
      <c r="C130" s="8"/>
      <c r="D130" s="77"/>
      <c r="E130" s="35"/>
      <c r="F130" s="35"/>
      <c r="G130" s="157"/>
      <c r="H130" s="158"/>
      <c r="I130" s="157"/>
      <c r="J130" s="157"/>
      <c r="K130" s="159"/>
      <c r="L130" s="160"/>
      <c r="M130" s="160"/>
      <c r="N130" s="150"/>
      <c r="O130" s="8"/>
    </row>
    <row r="131" spans="2:15">
      <c r="B131" s="8"/>
      <c r="C131" s="8"/>
      <c r="D131" s="8"/>
      <c r="E131" s="8"/>
      <c r="F131" s="8"/>
      <c r="G131" s="8"/>
      <c r="H131" s="160"/>
      <c r="I131" s="161"/>
      <c r="J131" s="160"/>
      <c r="K131" s="160"/>
      <c r="L131" s="160"/>
      <c r="M131" s="160"/>
      <c r="N131" s="160"/>
      <c r="O131" s="160"/>
    </row>
    <row r="132" spans="2:15"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</row>
    <row r="133" spans="2:1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2:1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6" spans="2:15" ht="22.8">
      <c r="B136" s="86" t="str">
        <f>$B$3</f>
        <v>Moonbucks Corp.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2:15" ht="17.399999999999999">
      <c r="B137" s="5" t="s">
        <v>70</v>
      </c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2:15" ht="18" thickBot="1">
      <c r="B138" s="6"/>
      <c r="C138" s="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2:1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2:15">
      <c r="C140" s="9" t="s">
        <v>129</v>
      </c>
      <c r="D140" s="87"/>
      <c r="E140" s="87"/>
      <c r="F140" s="87"/>
      <c r="G140" s="87"/>
      <c r="H140" s="87"/>
      <c r="I140" s="88"/>
      <c r="K140" s="9" t="s">
        <v>130</v>
      </c>
      <c r="L140" s="117"/>
      <c r="M140" s="10"/>
      <c r="N140" s="10"/>
      <c r="O140" s="11"/>
    </row>
    <row r="141" spans="2:15">
      <c r="C141" s="164"/>
      <c r="D141" s="8"/>
      <c r="E141" s="8"/>
      <c r="F141" s="8"/>
      <c r="G141" s="8"/>
      <c r="H141" s="8"/>
      <c r="I141" s="15"/>
      <c r="K141" s="165"/>
      <c r="L141" s="8"/>
      <c r="M141" s="8"/>
      <c r="O141" s="15"/>
    </row>
    <row r="142" spans="2:15">
      <c r="C142" s="71" t="s">
        <v>131</v>
      </c>
      <c r="D142" s="8"/>
      <c r="E142" s="8"/>
      <c r="F142" s="8"/>
      <c r="G142" s="8"/>
      <c r="H142" s="8"/>
      <c r="I142" s="15"/>
      <c r="K142" s="166" t="s">
        <v>132</v>
      </c>
      <c r="L142" s="8"/>
      <c r="M142" s="8"/>
      <c r="O142" s="167" t="s">
        <v>133</v>
      </c>
    </row>
    <row r="143" spans="2:15">
      <c r="C143" s="168" t="s">
        <v>73</v>
      </c>
      <c r="D143" s="8" t="s">
        <v>134</v>
      </c>
      <c r="E143" s="8"/>
      <c r="F143" s="8"/>
      <c r="G143" s="8"/>
      <c r="H143" s="8"/>
      <c r="I143" s="169">
        <f>SUM(E21:E23)</f>
        <v>3.25</v>
      </c>
      <c r="K143" s="170">
        <v>0</v>
      </c>
      <c r="L143" s="8"/>
      <c r="M143" s="8"/>
      <c r="O143" s="171">
        <v>0.01</v>
      </c>
    </row>
    <row r="144" spans="2:15">
      <c r="C144" s="168" t="s">
        <v>73</v>
      </c>
      <c r="D144" s="8" t="s">
        <v>135</v>
      </c>
      <c r="E144" s="8"/>
      <c r="F144" s="8"/>
      <c r="G144" s="8"/>
      <c r="H144" s="8"/>
      <c r="I144" s="172">
        <v>0.25</v>
      </c>
      <c r="K144" s="170">
        <v>1</v>
      </c>
      <c r="L144" s="8"/>
      <c r="M144" s="8"/>
      <c r="O144" s="171">
        <v>1.4999999999999999E-2</v>
      </c>
    </row>
    <row r="145" spans="3:15">
      <c r="C145" s="41"/>
      <c r="D145" s="8"/>
      <c r="E145" s="8"/>
      <c r="F145" s="8"/>
      <c r="G145" s="8"/>
      <c r="H145" s="8"/>
      <c r="I145" s="15"/>
      <c r="K145" s="170">
        <v>2</v>
      </c>
      <c r="L145" s="8"/>
      <c r="M145" s="8"/>
      <c r="O145" s="171">
        <v>0.02</v>
      </c>
    </row>
    <row r="146" spans="3:15">
      <c r="C146" s="71" t="s">
        <v>33</v>
      </c>
      <c r="D146" s="8"/>
      <c r="E146" s="8"/>
      <c r="F146" s="8"/>
      <c r="G146" s="8"/>
      <c r="H146" s="8"/>
      <c r="I146" s="15"/>
      <c r="K146" s="170">
        <v>3</v>
      </c>
      <c r="L146" s="8"/>
      <c r="M146" s="8"/>
      <c r="O146" s="171">
        <v>2.5000000000000001E-2</v>
      </c>
    </row>
    <row r="147" spans="3:15">
      <c r="C147" s="168" t="s">
        <v>73</v>
      </c>
      <c r="D147" s="8" t="s">
        <v>136</v>
      </c>
      <c r="E147" s="8"/>
      <c r="F147" s="8"/>
      <c r="G147" s="8"/>
      <c r="H147" s="8"/>
      <c r="I147" s="645">
        <f>$N$20</f>
        <v>125</v>
      </c>
      <c r="K147" s="170">
        <v>4</v>
      </c>
      <c r="L147" s="8"/>
      <c r="M147" s="8"/>
      <c r="O147" s="171">
        <v>2.75E-2</v>
      </c>
    </row>
    <row r="148" spans="3:15">
      <c r="C148" s="168" t="s">
        <v>73</v>
      </c>
      <c r="D148" s="8" t="s">
        <v>137</v>
      </c>
      <c r="E148" s="8"/>
      <c r="F148" s="8"/>
      <c r="G148" s="8"/>
      <c r="H148" s="8"/>
      <c r="I148" s="15"/>
      <c r="K148" s="170">
        <v>4.5</v>
      </c>
      <c r="L148" s="8"/>
      <c r="M148" s="8"/>
      <c r="O148" s="171">
        <v>0.03</v>
      </c>
    </row>
    <row r="149" spans="3:15">
      <c r="C149" s="41"/>
      <c r="D149" s="8" t="s">
        <v>138</v>
      </c>
      <c r="E149" s="8"/>
      <c r="F149" s="8"/>
      <c r="G149" s="8"/>
      <c r="H149" s="8"/>
      <c r="I149" s="173"/>
      <c r="K149" s="170">
        <v>5</v>
      </c>
      <c r="L149" s="8"/>
      <c r="M149" s="8"/>
      <c r="O149" s="171">
        <v>3.2500000000000001E-2</v>
      </c>
    </row>
    <row r="150" spans="3:15">
      <c r="C150" s="41"/>
      <c r="D150" s="8" t="s">
        <v>139</v>
      </c>
      <c r="E150" s="8"/>
      <c r="F150" s="8"/>
      <c r="G150" s="8"/>
      <c r="H150" s="8"/>
      <c r="I150" s="174">
        <v>0.75</v>
      </c>
      <c r="K150" s="77"/>
      <c r="L150" s="35"/>
      <c r="M150" s="35"/>
      <c r="N150" s="48"/>
      <c r="O150" s="36"/>
    </row>
    <row r="151" spans="3:15">
      <c r="C151" s="41"/>
      <c r="D151" s="8" t="s">
        <v>140</v>
      </c>
      <c r="E151" s="8"/>
      <c r="F151" s="8"/>
      <c r="G151" s="8"/>
      <c r="H151" s="8"/>
      <c r="I151" s="174">
        <v>0.5</v>
      </c>
      <c r="K151" s="8"/>
      <c r="L151" s="8"/>
      <c r="M151" s="8"/>
      <c r="O151" s="8"/>
    </row>
    <row r="152" spans="3:15">
      <c r="C152" s="41"/>
      <c r="D152" s="8"/>
      <c r="E152" s="8"/>
      <c r="F152" s="8"/>
      <c r="G152" s="8"/>
      <c r="H152" s="8"/>
      <c r="I152" s="15"/>
      <c r="K152" s="8"/>
      <c r="L152" s="8"/>
      <c r="M152" s="8"/>
      <c r="O152" s="8"/>
    </row>
    <row r="153" spans="3:15">
      <c r="C153" s="168" t="s">
        <v>73</v>
      </c>
      <c r="D153" s="8" t="s">
        <v>141</v>
      </c>
      <c r="E153" s="8"/>
      <c r="F153" s="8"/>
      <c r="G153" s="8"/>
      <c r="H153" s="8"/>
      <c r="I153" s="175">
        <v>2.5000000000000001E-3</v>
      </c>
    </row>
    <row r="154" spans="3:15">
      <c r="C154" s="168" t="s">
        <v>73</v>
      </c>
      <c r="D154" s="8" t="s">
        <v>142</v>
      </c>
      <c r="E154" s="8"/>
      <c r="F154" s="8"/>
      <c r="G154" s="8"/>
      <c r="H154" s="8"/>
      <c r="I154" s="176"/>
    </row>
    <row r="155" spans="3:15">
      <c r="C155" s="41"/>
      <c r="D155" s="177"/>
      <c r="E155" s="178"/>
      <c r="F155" s="178"/>
      <c r="G155" s="178"/>
      <c r="H155" s="178"/>
      <c r="I155" s="179"/>
    </row>
    <row r="156" spans="3:15">
      <c r="C156" s="71" t="s">
        <v>143</v>
      </c>
      <c r="D156" s="8"/>
      <c r="E156" s="8"/>
      <c r="F156" s="8"/>
      <c r="G156" s="8"/>
      <c r="H156" s="8"/>
      <c r="I156" s="15"/>
    </row>
    <row r="157" spans="3:15">
      <c r="C157" s="168" t="s">
        <v>73</v>
      </c>
      <c r="D157" s="8" t="s">
        <v>144</v>
      </c>
      <c r="E157" s="8"/>
      <c r="F157" s="8"/>
      <c r="G157" s="8"/>
      <c r="H157" s="8"/>
      <c r="I157" s="169">
        <f>SUM(E21:E23)</f>
        <v>3.25</v>
      </c>
    </row>
    <row r="158" spans="3:15">
      <c r="C158" s="168" t="s">
        <v>73</v>
      </c>
      <c r="D158" s="8" t="s">
        <v>145</v>
      </c>
      <c r="I158" s="24"/>
    </row>
    <row r="159" spans="3:15">
      <c r="C159" s="168" t="s">
        <v>73</v>
      </c>
      <c r="D159" s="8" t="s">
        <v>146</v>
      </c>
      <c r="I159" s="24"/>
    </row>
    <row r="160" spans="3:15">
      <c r="C160" s="168"/>
      <c r="D160" s="180"/>
      <c r="E160" s="8"/>
      <c r="F160" s="8"/>
      <c r="G160" s="8"/>
      <c r="H160" s="8"/>
      <c r="I160" s="174"/>
    </row>
    <row r="161" spans="3:15">
      <c r="C161" s="168"/>
      <c r="D161" s="42" t="s">
        <v>147</v>
      </c>
      <c r="E161" s="50">
        <f>G116</f>
        <v>2022</v>
      </c>
      <c r="F161" s="50">
        <f>E161+1</f>
        <v>2023</v>
      </c>
      <c r="G161" s="50">
        <f>F161+1</f>
        <v>2024</v>
      </c>
      <c r="H161" s="50">
        <f>G161+1</f>
        <v>2025</v>
      </c>
      <c r="I161" s="167">
        <f>H161+1</f>
        <v>2026</v>
      </c>
      <c r="K161" s="42"/>
      <c r="L161" s="8"/>
      <c r="M161" s="8"/>
      <c r="N161" s="8"/>
      <c r="O161" s="8"/>
    </row>
    <row r="162" spans="3:15">
      <c r="C162" s="168"/>
      <c r="D162" s="8" t="s">
        <v>36</v>
      </c>
      <c r="E162" s="181">
        <v>7.4999999999999997E-2</v>
      </c>
      <c r="F162" s="181">
        <v>0.15</v>
      </c>
      <c r="G162" s="181">
        <v>0.1</v>
      </c>
      <c r="H162" s="181">
        <v>0.35</v>
      </c>
      <c r="I162" s="182">
        <f>1-SUM(E162:H162)</f>
        <v>0.32500000000000007</v>
      </c>
      <c r="K162" s="42"/>
      <c r="L162" s="8"/>
      <c r="M162" s="8"/>
      <c r="N162" s="8"/>
      <c r="O162" s="8"/>
    </row>
    <row r="163" spans="3:15">
      <c r="C163" s="168"/>
      <c r="D163" s="8" t="s">
        <v>37</v>
      </c>
      <c r="E163" s="181">
        <v>0.01</v>
      </c>
      <c r="F163" s="181">
        <v>0.01</v>
      </c>
      <c r="G163" s="181">
        <v>0.01</v>
      </c>
      <c r="H163" s="181">
        <v>0.01</v>
      </c>
      <c r="I163" s="183">
        <v>0.01</v>
      </c>
      <c r="K163" s="42"/>
      <c r="L163" s="8"/>
      <c r="M163" s="8"/>
      <c r="N163" s="8"/>
      <c r="O163" s="8"/>
    </row>
    <row r="164" spans="3:15">
      <c r="C164" s="168"/>
      <c r="D164" s="184" t="s">
        <v>148</v>
      </c>
      <c r="E164" s="181"/>
      <c r="F164" s="181"/>
      <c r="G164" s="181"/>
      <c r="H164" s="181"/>
      <c r="I164" s="183"/>
      <c r="K164" s="42"/>
      <c r="L164" s="8"/>
      <c r="M164" s="8"/>
      <c r="N164" s="8"/>
      <c r="O164" s="8"/>
    </row>
    <row r="165" spans="3:15">
      <c r="C165" s="41"/>
      <c r="D165" s="8"/>
      <c r="E165" s="8"/>
      <c r="F165" s="8"/>
      <c r="G165" s="8"/>
      <c r="H165" s="8"/>
      <c r="I165" s="15"/>
      <c r="K165" s="42"/>
      <c r="L165" s="8"/>
      <c r="M165" s="8"/>
      <c r="N165" s="8"/>
      <c r="O165" s="8"/>
    </row>
    <row r="166" spans="3:15">
      <c r="C166" s="71" t="s">
        <v>149</v>
      </c>
      <c r="I166" s="24"/>
      <c r="K166" s="42"/>
      <c r="L166" s="8"/>
      <c r="M166" s="8"/>
      <c r="N166" s="8"/>
      <c r="O166" s="8"/>
    </row>
    <row r="167" spans="3:15">
      <c r="C167" s="168" t="s">
        <v>73</v>
      </c>
      <c r="D167" s="8" t="s">
        <v>150</v>
      </c>
      <c r="E167" s="8"/>
      <c r="F167" s="8"/>
      <c r="I167" s="169">
        <f>E24</f>
        <v>1.5</v>
      </c>
      <c r="K167" s="42"/>
      <c r="L167" s="8"/>
      <c r="M167" s="8"/>
      <c r="N167" s="8"/>
      <c r="O167" s="8"/>
    </row>
    <row r="168" spans="3:15">
      <c r="C168" s="168" t="s">
        <v>73</v>
      </c>
      <c r="D168" s="8" t="s">
        <v>151</v>
      </c>
      <c r="E168" s="8"/>
      <c r="F168" s="8"/>
      <c r="I168" s="65">
        <v>0</v>
      </c>
    </row>
    <row r="169" spans="3:15">
      <c r="C169" s="168" t="s">
        <v>73</v>
      </c>
      <c r="D169" s="8" t="s">
        <v>152</v>
      </c>
      <c r="E169" s="8"/>
      <c r="I169" s="24"/>
      <c r="K169" s="42"/>
      <c r="L169" s="8"/>
      <c r="M169" s="8"/>
      <c r="N169" s="8"/>
      <c r="O169" s="8"/>
    </row>
    <row r="170" spans="3:15">
      <c r="C170" s="185"/>
      <c r="I170" s="24"/>
    </row>
    <row r="171" spans="3:15">
      <c r="C171" s="71" t="s">
        <v>153</v>
      </c>
      <c r="D171" s="8"/>
      <c r="E171" s="8"/>
      <c r="F171" s="8"/>
      <c r="G171" s="8"/>
      <c r="H171" s="8"/>
      <c r="I171" s="15"/>
    </row>
    <row r="172" spans="3:15">
      <c r="C172" s="168" t="s">
        <v>73</v>
      </c>
      <c r="D172" s="8" t="s">
        <v>154</v>
      </c>
      <c r="E172" s="8"/>
      <c r="F172" s="8"/>
      <c r="G172" s="8"/>
      <c r="H172" s="8"/>
      <c r="I172" s="169">
        <f>E25</f>
        <v>1.25</v>
      </c>
    </row>
    <row r="173" spans="3:15">
      <c r="C173" s="168" t="s">
        <v>73</v>
      </c>
      <c r="D173" s="160" t="s">
        <v>151</v>
      </c>
      <c r="E173" s="160"/>
      <c r="F173" s="160"/>
      <c r="G173" s="8"/>
      <c r="H173" s="8"/>
      <c r="I173" s="65">
        <v>0</v>
      </c>
    </row>
    <row r="174" spans="3:15">
      <c r="C174" s="168" t="s">
        <v>73</v>
      </c>
      <c r="D174" s="8" t="s">
        <v>155</v>
      </c>
      <c r="E174" s="8"/>
      <c r="F174" s="8"/>
      <c r="G174" s="8"/>
      <c r="H174" s="8"/>
      <c r="I174" s="174">
        <v>0.6</v>
      </c>
    </row>
    <row r="175" spans="3:15">
      <c r="C175" s="41"/>
      <c r="D175" s="180" t="s">
        <v>156</v>
      </c>
      <c r="E175" s="8"/>
      <c r="F175" s="8"/>
      <c r="G175" s="8"/>
      <c r="H175" s="8"/>
      <c r="I175" s="186">
        <v>4.5</v>
      </c>
    </row>
    <row r="176" spans="3:15">
      <c r="C176" s="168" t="s">
        <v>73</v>
      </c>
      <c r="D176" s="8" t="s">
        <v>157</v>
      </c>
      <c r="E176" s="8"/>
      <c r="F176" s="8"/>
      <c r="G176" s="8"/>
      <c r="H176" s="8"/>
      <c r="I176" s="186"/>
    </row>
    <row r="177" spans="2:15">
      <c r="C177" s="41"/>
      <c r="D177" s="180"/>
      <c r="E177" s="8"/>
      <c r="F177" s="8"/>
      <c r="G177" s="8"/>
      <c r="H177" s="8"/>
      <c r="I177" s="186"/>
    </row>
    <row r="178" spans="2:15">
      <c r="C178" s="187" t="s">
        <v>158</v>
      </c>
      <c r="D178" s="160"/>
      <c r="E178" s="160"/>
      <c r="F178" s="160"/>
      <c r="G178" s="8"/>
      <c r="H178" s="8"/>
      <c r="I178" s="163"/>
    </row>
    <row r="179" spans="2:15">
      <c r="C179" s="188" t="s">
        <v>159</v>
      </c>
      <c r="D179" s="160"/>
      <c r="E179" s="160"/>
      <c r="F179" s="160"/>
      <c r="G179" s="8"/>
      <c r="H179" s="8"/>
      <c r="I179" s="186">
        <v>3</v>
      </c>
    </row>
    <row r="180" spans="2:15">
      <c r="C180" s="189"/>
      <c r="D180" s="157"/>
      <c r="E180" s="157"/>
      <c r="F180" s="157"/>
      <c r="G180" s="35"/>
      <c r="H180" s="35"/>
      <c r="I180" s="159"/>
    </row>
    <row r="182" spans="2:15">
      <c r="B182" s="35"/>
      <c r="C182" s="35"/>
      <c r="D182" s="139"/>
      <c r="E182" s="113"/>
      <c r="F182" s="113"/>
      <c r="G182" s="113"/>
      <c r="H182" s="113"/>
      <c r="I182" s="35"/>
      <c r="J182" s="35"/>
      <c r="K182" s="35"/>
      <c r="L182" s="35"/>
      <c r="M182" s="35"/>
      <c r="N182" s="35"/>
      <c r="O182" s="35"/>
    </row>
    <row r="185" spans="2:15" ht="22.8">
      <c r="B185" s="86" t="str">
        <f>$B$3</f>
        <v>Moonbucks Corp.</v>
      </c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</row>
    <row r="186" spans="2:15" ht="17.399999999999999">
      <c r="B186" s="191" t="s">
        <v>160</v>
      </c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</row>
    <row r="187" spans="2:15" ht="13.8" thickBot="1">
      <c r="B187" s="192"/>
      <c r="C187" s="192"/>
      <c r="D187" s="193"/>
      <c r="E187" s="193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</row>
    <row r="188" spans="2:15">
      <c r="B188" s="194"/>
      <c r="C188" s="195"/>
      <c r="D188" s="196"/>
      <c r="E188" s="196"/>
      <c r="F188" s="195"/>
      <c r="G188" s="194"/>
      <c r="H188" s="194"/>
      <c r="I188" s="194"/>
      <c r="J188" s="194"/>
      <c r="K188" s="194"/>
      <c r="L188" s="194"/>
      <c r="M188" s="194"/>
      <c r="N188" s="194"/>
      <c r="O188" s="194"/>
    </row>
    <row r="189" spans="2:15">
      <c r="B189" s="197"/>
      <c r="C189" s="198"/>
      <c r="D189" s="199"/>
      <c r="E189" s="199"/>
      <c r="F189" s="198"/>
      <c r="G189" s="200"/>
      <c r="K189" s="201"/>
      <c r="L189" s="201"/>
      <c r="M189" s="201"/>
      <c r="N189" s="201"/>
      <c r="O189" s="201"/>
    </row>
    <row r="190" spans="2:15">
      <c r="B190" s="202" t="s">
        <v>161</v>
      </c>
      <c r="C190" s="203"/>
      <c r="F190" s="204">
        <v>1</v>
      </c>
      <c r="G190" s="24"/>
      <c r="K190" s="205">
        <f>G57</f>
        <v>2022</v>
      </c>
      <c r="L190" s="205">
        <f>K190+1</f>
        <v>2023</v>
      </c>
      <c r="M190" s="205">
        <f>L190+1</f>
        <v>2024</v>
      </c>
      <c r="N190" s="205">
        <f>M190+1</f>
        <v>2025</v>
      </c>
      <c r="O190" s="205">
        <f>N190+1</f>
        <v>2026</v>
      </c>
    </row>
    <row r="191" spans="2:15">
      <c r="B191" s="206"/>
      <c r="C191" s="207"/>
      <c r="D191" s="208"/>
      <c r="E191" s="208"/>
      <c r="F191" s="207"/>
      <c r="G191" s="138"/>
      <c r="K191" s="205"/>
      <c r="L191" s="205"/>
      <c r="M191" s="209"/>
      <c r="N191" s="209"/>
      <c r="O191" s="205"/>
    </row>
    <row r="192" spans="2:15">
      <c r="B192" s="203"/>
      <c r="C192" s="203"/>
      <c r="D192" s="210"/>
      <c r="E192" s="210"/>
      <c r="F192" s="203"/>
      <c r="K192" s="205"/>
      <c r="L192" s="205"/>
      <c r="M192" s="209"/>
      <c r="N192" s="209"/>
      <c r="O192" s="205"/>
    </row>
    <row r="193" spans="2:15">
      <c r="B193" s="194"/>
      <c r="C193" s="194"/>
      <c r="D193" s="211"/>
      <c r="E193" s="211"/>
      <c r="F193" s="194"/>
      <c r="K193" s="194"/>
      <c r="L193" s="194"/>
      <c r="M193" s="194"/>
      <c r="N193" s="194"/>
      <c r="O193" s="194"/>
    </row>
    <row r="194" spans="2:15" ht="13.8">
      <c r="B194" s="212" t="s">
        <v>162</v>
      </c>
      <c r="C194" s="194"/>
      <c r="D194" s="211"/>
      <c r="E194" s="211"/>
      <c r="F194" s="194"/>
      <c r="K194" s="194"/>
      <c r="L194" s="194"/>
      <c r="M194" s="194"/>
      <c r="N194" s="194"/>
      <c r="O194" s="194"/>
    </row>
    <row r="195" spans="2:15">
      <c r="B195" s="194"/>
      <c r="C195" s="194"/>
      <c r="D195" s="211"/>
      <c r="E195" s="211"/>
      <c r="F195" s="194"/>
      <c r="K195" s="194"/>
      <c r="L195" s="194"/>
      <c r="M195" s="194"/>
      <c r="N195" s="194"/>
      <c r="O195" s="194"/>
    </row>
    <row r="196" spans="2:15">
      <c r="B196" s="213" t="s">
        <v>163</v>
      </c>
      <c r="C196" s="214"/>
      <c r="D196" s="211"/>
      <c r="E196" s="211"/>
      <c r="F196" s="194"/>
      <c r="K196" s="215">
        <f>CHOOSE($F$190,K198,K199,K200)</f>
        <v>86.1</v>
      </c>
      <c r="L196" s="216">
        <f>CHOOSE($F$190,L198,L199,L200)</f>
        <v>88</v>
      </c>
      <c r="M196" s="216">
        <f>CHOOSE($F$190,M198,M199,M200)</f>
        <v>90.4</v>
      </c>
      <c r="N196" s="216">
        <f>CHOOSE($F$190,N198,N199,N200)</f>
        <v>92.8</v>
      </c>
      <c r="O196" s="217">
        <f>CHOOSE($F$190,O198,O199,O200)</f>
        <v>94.8</v>
      </c>
    </row>
    <row r="197" spans="2:15">
      <c r="B197" s="218"/>
      <c r="C197" s="194"/>
      <c r="D197" s="211"/>
      <c r="E197" s="211"/>
      <c r="F197" s="194"/>
      <c r="K197" s="219"/>
      <c r="L197" s="219"/>
      <c r="M197" s="219"/>
      <c r="N197" s="219"/>
      <c r="O197" s="219"/>
    </row>
    <row r="198" spans="2:15">
      <c r="B198" s="194"/>
      <c r="C198" s="220" t="str">
        <f>C65</f>
        <v>Base Case</v>
      </c>
      <c r="D198" s="221"/>
      <c r="E198" s="221"/>
      <c r="F198" s="194"/>
      <c r="K198" s="222">
        <v>86.1</v>
      </c>
      <c r="L198" s="223">
        <v>88</v>
      </c>
      <c r="M198" s="223">
        <v>90.4</v>
      </c>
      <c r="N198" s="223">
        <v>92.8</v>
      </c>
      <c r="O198" s="224">
        <v>94.8</v>
      </c>
    </row>
    <row r="199" spans="2:15">
      <c r="B199" s="194"/>
      <c r="C199" s="220" t="str">
        <f>CONCATENATE(,C66,": ",TEXT(E66,"+0.0%;-0.0%"))</f>
        <v>Best Case: +3.0%</v>
      </c>
      <c r="D199" s="221"/>
      <c r="E199" s="221"/>
      <c r="F199" s="194"/>
      <c r="K199" s="225">
        <f>K$198*(1+$E$66)</f>
        <v>88.682999999999993</v>
      </c>
      <c r="L199" s="226">
        <f>L$198*(1+$E$66)</f>
        <v>90.64</v>
      </c>
      <c r="M199" s="226">
        <f>M$198*(1+$E$66)</f>
        <v>93.112000000000009</v>
      </c>
      <c r="N199" s="226">
        <f>N$198*(1+$E$66)</f>
        <v>95.584000000000003</v>
      </c>
      <c r="O199" s="227">
        <f>O$198*(1+$E$66)</f>
        <v>97.644000000000005</v>
      </c>
    </row>
    <row r="200" spans="2:15">
      <c r="B200" s="194"/>
      <c r="C200" s="220" t="str">
        <f>CONCATENATE(,C67,": ",TEXT(E67,"+0.0%;-0.0%"))</f>
        <v>Worst Case: -3.0%</v>
      </c>
      <c r="D200" s="221"/>
      <c r="E200" s="221"/>
      <c r="F200" s="194"/>
      <c r="K200" s="228">
        <f>K$198*(1+$E$67)</f>
        <v>83.516999999999996</v>
      </c>
      <c r="L200" s="229">
        <f>L$198*(1+$E$67)</f>
        <v>85.36</v>
      </c>
      <c r="M200" s="229">
        <f>M$198*(1+$E$67)</f>
        <v>87.688000000000002</v>
      </c>
      <c r="N200" s="229">
        <f>N$198*(1+$E$67)</f>
        <v>90.015999999999991</v>
      </c>
      <c r="O200" s="230">
        <f>O$198*(1+$E$67)</f>
        <v>91.955999999999989</v>
      </c>
    </row>
    <row r="201" spans="2:15">
      <c r="B201" s="194"/>
      <c r="C201" s="231"/>
      <c r="D201" s="221"/>
      <c r="E201" s="221"/>
      <c r="F201" s="194"/>
      <c r="K201" s="232"/>
      <c r="L201" s="232"/>
      <c r="M201" s="232"/>
      <c r="N201" s="232"/>
      <c r="O201" s="232"/>
    </row>
    <row r="202" spans="2:15">
      <c r="B202" s="213" t="s">
        <v>164</v>
      </c>
      <c r="C202" s="194"/>
      <c r="D202" s="221"/>
      <c r="E202" s="221"/>
      <c r="F202" s="194"/>
      <c r="K202" s="635">
        <f>CHOOSE($F$190,K204, K205,K206)</f>
        <v>0.04</v>
      </c>
      <c r="L202" s="636">
        <f t="shared" ref="L202:O202" si="2">CHOOSE($F$190,L204, L205,L206)</f>
        <v>3.5000000000000003E-2</v>
      </c>
      <c r="M202" s="636">
        <f t="shared" si="2"/>
        <v>0.03</v>
      </c>
      <c r="N202" s="636">
        <f t="shared" si="2"/>
        <v>0.03</v>
      </c>
      <c r="O202" s="637">
        <f t="shared" si="2"/>
        <v>0.03</v>
      </c>
    </row>
    <row r="203" spans="2:15">
      <c r="B203" s="236"/>
      <c r="C203" s="194"/>
      <c r="D203" s="237"/>
      <c r="E203" s="237"/>
      <c r="F203" s="194"/>
      <c r="K203" s="60"/>
      <c r="L203" s="54"/>
      <c r="M203" s="54"/>
      <c r="N203" s="54"/>
      <c r="O203" s="54"/>
    </row>
    <row r="204" spans="2:15">
      <c r="B204" s="236"/>
      <c r="C204" s="194" t="str">
        <f>C65</f>
        <v>Base Case</v>
      </c>
      <c r="D204" s="237"/>
      <c r="E204" s="237"/>
      <c r="F204" s="194"/>
      <c r="K204" s="238">
        <v>0.04</v>
      </c>
      <c r="L204" s="239">
        <v>3.5000000000000003E-2</v>
      </c>
      <c r="M204" s="239">
        <v>0.03</v>
      </c>
      <c r="N204" s="239">
        <v>0.03</v>
      </c>
      <c r="O204" s="240">
        <v>0.03</v>
      </c>
    </row>
    <row r="205" spans="2:15">
      <c r="B205" s="236"/>
      <c r="C205" s="194" t="str">
        <f>C66</f>
        <v>Best Case</v>
      </c>
      <c r="D205" s="237"/>
      <c r="E205" s="237"/>
      <c r="F205" s="194"/>
      <c r="K205" s="241">
        <v>4.4999999999999998E-2</v>
      </c>
      <c r="L205" s="242">
        <v>4.4999999999999998E-2</v>
      </c>
      <c r="M205" s="242">
        <v>0.04</v>
      </c>
      <c r="N205" s="242">
        <v>0.04</v>
      </c>
      <c r="O205" s="243">
        <v>0.04</v>
      </c>
    </row>
    <row r="206" spans="2:15">
      <c r="B206" s="236"/>
      <c r="C206" s="194" t="str">
        <f>C67</f>
        <v>Worst Case</v>
      </c>
      <c r="D206" s="237"/>
      <c r="E206" s="237"/>
      <c r="F206" s="194"/>
      <c r="K206" s="244">
        <v>0.03</v>
      </c>
      <c r="L206" s="245">
        <v>0.03</v>
      </c>
      <c r="M206" s="245">
        <v>1.9999999999999997E-2</v>
      </c>
      <c r="N206" s="245">
        <v>1.9999999999999997E-2</v>
      </c>
      <c r="O206" s="246">
        <v>1.4999999999999999E-2</v>
      </c>
    </row>
    <row r="207" spans="2:15">
      <c r="B207" s="247"/>
      <c r="C207" s="247"/>
      <c r="D207" s="248"/>
      <c r="E207" s="248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</row>
    <row r="208" spans="2:15">
      <c r="B208" s="194"/>
      <c r="C208" s="194"/>
      <c r="D208" s="211"/>
      <c r="E208" s="211"/>
      <c r="F208" s="194"/>
      <c r="L208" s="194"/>
      <c r="M208" s="194"/>
      <c r="N208" s="194"/>
      <c r="O208" s="194"/>
    </row>
    <row r="209" spans="2:15" ht="13.8">
      <c r="B209" s="212" t="s">
        <v>165</v>
      </c>
      <c r="C209" s="194"/>
      <c r="D209" s="211"/>
      <c r="E209" s="211"/>
      <c r="F209" s="194"/>
      <c r="K209" s="194"/>
      <c r="L209" s="194"/>
      <c r="M209" s="194"/>
      <c r="N209" s="194"/>
      <c r="O209" s="194"/>
    </row>
    <row r="210" spans="2:15">
      <c r="B210" s="194"/>
      <c r="C210" s="194"/>
      <c r="D210" s="211"/>
      <c r="E210" s="211"/>
      <c r="F210" s="194"/>
      <c r="K210" s="194"/>
      <c r="L210" s="194"/>
      <c r="M210" s="194"/>
      <c r="N210" s="194"/>
      <c r="O210" s="194"/>
    </row>
    <row r="211" spans="2:15">
      <c r="B211" s="213" t="s">
        <v>6</v>
      </c>
      <c r="C211" s="194"/>
      <c r="D211" s="237"/>
      <c r="E211" s="237"/>
      <c r="F211" s="194"/>
      <c r="K211" s="233">
        <f>CHOOSE($F$190,K213,K214,K215)</f>
        <v>0.02</v>
      </c>
      <c r="L211" s="234">
        <f>CHOOSE($F$190,L213,L214,L215)</f>
        <v>0.02</v>
      </c>
      <c r="M211" s="234">
        <f>CHOOSE($F$190,M213,M214,M215)</f>
        <v>0.02</v>
      </c>
      <c r="N211" s="234">
        <f>CHOOSE($F$190,N213,N214,N215)</f>
        <v>2.5000000000000001E-2</v>
      </c>
      <c r="O211" s="235">
        <f>CHOOSE($F$190,O213,O214,O215)</f>
        <v>2.5000000000000001E-2</v>
      </c>
    </row>
    <row r="212" spans="2:15">
      <c r="B212" s="236"/>
      <c r="C212" s="194"/>
      <c r="D212" s="237"/>
      <c r="E212" s="237"/>
      <c r="F212" s="194"/>
      <c r="K212" s="60"/>
      <c r="L212" s="54"/>
      <c r="M212" s="54"/>
      <c r="N212" s="54"/>
      <c r="O212" s="54"/>
    </row>
    <row r="213" spans="2:15">
      <c r="B213" s="236"/>
      <c r="C213" s="194" t="str">
        <f>C$204</f>
        <v>Base Case</v>
      </c>
      <c r="D213" s="237"/>
      <c r="E213" s="237"/>
      <c r="F213" s="194"/>
      <c r="K213" s="249">
        <v>0.02</v>
      </c>
      <c r="L213" s="250">
        <v>0.02</v>
      </c>
      <c r="M213" s="250">
        <v>0.02</v>
      </c>
      <c r="N213" s="250">
        <v>2.5000000000000001E-2</v>
      </c>
      <c r="O213" s="251">
        <v>2.5000000000000001E-2</v>
      </c>
    </row>
    <row r="214" spans="2:15">
      <c r="B214" s="236"/>
      <c r="C214" s="194" t="str">
        <f>C$66</f>
        <v>Best Case</v>
      </c>
      <c r="D214" s="237"/>
      <c r="E214" s="237"/>
      <c r="F214" s="194"/>
      <c r="K214" s="252">
        <v>1.7999999999999999E-2</v>
      </c>
      <c r="L214" s="60">
        <v>1.7999999999999999E-2</v>
      </c>
      <c r="M214" s="60">
        <v>1.7999999999999999E-2</v>
      </c>
      <c r="N214" s="60">
        <v>0.02</v>
      </c>
      <c r="O214" s="253">
        <v>0.02</v>
      </c>
    </row>
    <row r="215" spans="2:15">
      <c r="B215" s="236"/>
      <c r="C215" s="194" t="str">
        <f>C$67</f>
        <v>Worst Case</v>
      </c>
      <c r="D215" s="237"/>
      <c r="E215" s="237"/>
      <c r="F215" s="194"/>
      <c r="K215" s="254">
        <v>2.5000000000000001E-2</v>
      </c>
      <c r="L215" s="255">
        <v>2.5000000000000001E-2</v>
      </c>
      <c r="M215" s="255">
        <v>2.5000000000000001E-2</v>
      </c>
      <c r="N215" s="255">
        <v>2.5000000000000001E-2</v>
      </c>
      <c r="O215" s="256">
        <v>2.5000000000000001E-2</v>
      </c>
    </row>
    <row r="216" spans="2:15">
      <c r="B216" s="194"/>
      <c r="C216" s="231"/>
      <c r="D216" s="237"/>
      <c r="E216" s="237"/>
      <c r="F216" s="194"/>
      <c r="K216" s="54"/>
      <c r="L216" s="54"/>
      <c r="M216" s="54"/>
      <c r="N216" s="54"/>
      <c r="O216" s="54"/>
    </row>
    <row r="217" spans="2:15">
      <c r="B217" s="213" t="s">
        <v>166</v>
      </c>
      <c r="C217" s="214"/>
      <c r="D217" s="211"/>
      <c r="E217" s="211"/>
      <c r="F217" s="194"/>
      <c r="K217" s="257">
        <f>CHOOSE($F$190,K219,K220,K221)</f>
        <v>10.8</v>
      </c>
      <c r="L217" s="258">
        <f>CHOOSE($F$190,L219,L220,L221)</f>
        <v>11.4</v>
      </c>
      <c r="M217" s="258">
        <f>CHOOSE($F$190,M219,M220,M221)</f>
        <v>12</v>
      </c>
      <c r="N217" s="258">
        <f>CHOOSE($F$190,N219,N220,N221)</f>
        <v>11.2</v>
      </c>
      <c r="O217" s="259">
        <f>CHOOSE($F$190,O219,O220,O221)</f>
        <v>10.8</v>
      </c>
    </row>
    <row r="218" spans="2:15">
      <c r="B218" s="236"/>
      <c r="C218" s="194"/>
      <c r="D218" s="211"/>
      <c r="E218" s="211"/>
      <c r="F218" s="194"/>
      <c r="K218" s="260"/>
      <c r="L218" s="260"/>
      <c r="M218" s="260"/>
      <c r="N218" s="260"/>
      <c r="O218" s="260"/>
    </row>
    <row r="219" spans="2:15">
      <c r="B219" s="194"/>
      <c r="C219" s="194" t="str">
        <f>C$204</f>
        <v>Base Case</v>
      </c>
      <c r="D219" s="221"/>
      <c r="E219" s="221"/>
      <c r="F219" s="194"/>
      <c r="K219" s="261">
        <v>10.8</v>
      </c>
      <c r="L219" s="262">
        <v>11.4</v>
      </c>
      <c r="M219" s="262">
        <v>12</v>
      </c>
      <c r="N219" s="262">
        <v>11.2</v>
      </c>
      <c r="O219" s="263">
        <v>10.8</v>
      </c>
    </row>
    <row r="220" spans="2:15">
      <c r="B220" s="194"/>
      <c r="C220" s="194" t="str">
        <f>C$66</f>
        <v>Best Case</v>
      </c>
      <c r="D220" s="221"/>
      <c r="E220" s="221"/>
      <c r="F220" s="194"/>
      <c r="K220" s="264">
        <v>11</v>
      </c>
      <c r="L220" s="265">
        <v>11.600000000000001</v>
      </c>
      <c r="M220" s="265">
        <v>12.2</v>
      </c>
      <c r="N220" s="265">
        <v>11.5</v>
      </c>
      <c r="O220" s="266">
        <v>11.2</v>
      </c>
    </row>
    <row r="221" spans="2:15">
      <c r="B221" s="194"/>
      <c r="C221" s="194" t="str">
        <f>C$67</f>
        <v>Worst Case</v>
      </c>
      <c r="D221" s="221"/>
      <c r="E221" s="221"/>
      <c r="F221" s="194"/>
      <c r="K221" s="267">
        <v>10.6</v>
      </c>
      <c r="L221" s="268">
        <v>11.200000000000001</v>
      </c>
      <c r="M221" s="268">
        <v>11.8</v>
      </c>
      <c r="N221" s="268">
        <v>11</v>
      </c>
      <c r="O221" s="269">
        <v>10.600000000000001</v>
      </c>
    </row>
    <row r="222" spans="2:15">
      <c r="B222" s="194"/>
      <c r="C222" s="194"/>
      <c r="D222" s="220"/>
      <c r="E222" s="221"/>
      <c r="F222" s="221"/>
      <c r="K222" s="194"/>
      <c r="L222" s="270"/>
      <c r="M222" s="270"/>
      <c r="N222" s="270"/>
      <c r="O222" s="270"/>
    </row>
    <row r="223" spans="2:15">
      <c r="B223" s="213" t="s">
        <v>167</v>
      </c>
      <c r="C223" s="214"/>
      <c r="D223" s="214"/>
      <c r="E223" s="204"/>
      <c r="F223" s="204"/>
      <c r="K223" s="271">
        <f>CHOOSE($F$190,K225,K226,K227)</f>
        <v>330</v>
      </c>
      <c r="L223" s="272">
        <f>CHOOSE($F$190,L225,L226,L227)</f>
        <v>360</v>
      </c>
      <c r="M223" s="272">
        <f>CHOOSE($F$190,M225,M226,M227)</f>
        <v>380</v>
      </c>
      <c r="N223" s="272">
        <f>CHOOSE($F$190,N225,N226,N227)</f>
        <v>360</v>
      </c>
      <c r="O223" s="273">
        <f>CHOOSE($F$190,O225,O226,O227)</f>
        <v>340</v>
      </c>
    </row>
    <row r="224" spans="2:15">
      <c r="B224" s="236"/>
      <c r="C224" s="236"/>
      <c r="D224" s="194"/>
      <c r="E224" s="237"/>
      <c r="F224" s="237"/>
      <c r="K224" s="260"/>
      <c r="L224" s="260"/>
      <c r="M224" s="260"/>
      <c r="N224" s="260"/>
      <c r="O224" s="260"/>
    </row>
    <row r="225" spans="1:15">
      <c r="B225" s="194"/>
      <c r="C225" s="194" t="str">
        <f>C$204</f>
        <v>Base Case</v>
      </c>
      <c r="D225" s="220"/>
      <c r="E225" s="221"/>
      <c r="F225" s="221"/>
      <c r="K225" s="274">
        <v>330</v>
      </c>
      <c r="L225" s="275">
        <v>360</v>
      </c>
      <c r="M225" s="275">
        <v>380</v>
      </c>
      <c r="N225" s="275">
        <v>360</v>
      </c>
      <c r="O225" s="276">
        <v>340</v>
      </c>
    </row>
    <row r="226" spans="1:15">
      <c r="B226" s="194"/>
      <c r="C226" s="194" t="str">
        <f>C$66</f>
        <v>Best Case</v>
      </c>
      <c r="D226" s="220"/>
      <c r="E226" s="221"/>
      <c r="F226" s="221"/>
      <c r="K226" s="277">
        <v>325</v>
      </c>
      <c r="L226" s="278">
        <v>350</v>
      </c>
      <c r="M226" s="278">
        <v>367</v>
      </c>
      <c r="N226" s="278">
        <v>350</v>
      </c>
      <c r="O226" s="279">
        <v>330</v>
      </c>
    </row>
    <row r="227" spans="1:15">
      <c r="B227" s="194"/>
      <c r="C227" s="194" t="str">
        <f>C$67</f>
        <v>Worst Case</v>
      </c>
      <c r="D227" s="220"/>
      <c r="E227" s="221"/>
      <c r="F227" s="221"/>
      <c r="K227" s="280">
        <v>335</v>
      </c>
      <c r="L227" s="281">
        <v>365</v>
      </c>
      <c r="M227" s="281">
        <v>385</v>
      </c>
      <c r="N227" s="281">
        <v>365</v>
      </c>
      <c r="O227" s="282">
        <v>345</v>
      </c>
    </row>
    <row r="228" spans="1:15">
      <c r="B228" s="213"/>
      <c r="C228" s="194"/>
      <c r="D228" s="220"/>
      <c r="E228" s="221"/>
      <c r="F228" s="221"/>
      <c r="K228" s="194"/>
      <c r="L228" s="270"/>
      <c r="M228" s="270"/>
      <c r="N228" s="270"/>
      <c r="O228" s="270"/>
    </row>
    <row r="229" spans="1:15">
      <c r="B229" s="213" t="s">
        <v>168</v>
      </c>
      <c r="C229" s="194"/>
      <c r="D229" s="220"/>
      <c r="E229" s="221"/>
      <c r="F229" s="221"/>
      <c r="K229" s="194"/>
      <c r="L229" s="270"/>
      <c r="M229" s="270"/>
      <c r="N229" s="270"/>
      <c r="O229" s="270"/>
    </row>
    <row r="230" spans="1:15">
      <c r="B230" s="213"/>
      <c r="C230" s="194" t="str">
        <f>C$204</f>
        <v>Base Case</v>
      </c>
      <c r="D230" s="237"/>
      <c r="E230" s="237"/>
      <c r="F230" s="194"/>
      <c r="K230" s="283">
        <v>7.4999999999999997E-3</v>
      </c>
      <c r="L230" s="284">
        <v>7.4999999999999997E-3</v>
      </c>
      <c r="M230" s="284">
        <v>7.4999999999999997E-3</v>
      </c>
      <c r="N230" s="284">
        <v>0.01</v>
      </c>
      <c r="O230" s="285">
        <v>0.01</v>
      </c>
    </row>
    <row r="231" spans="1:15">
      <c r="B231" s="286"/>
      <c r="C231" s="286"/>
      <c r="D231" s="286"/>
      <c r="E231" s="287"/>
      <c r="F231" s="287"/>
      <c r="G231" s="286"/>
      <c r="H231" s="286"/>
      <c r="I231" s="286"/>
      <c r="J231" s="286"/>
      <c r="K231" s="286"/>
      <c r="L231" s="286"/>
      <c r="M231" s="286"/>
      <c r="N231" s="286"/>
      <c r="O231" s="286"/>
    </row>
    <row r="236" spans="1:15" ht="12.75" customHeight="1">
      <c r="A236" s="288"/>
      <c r="B236" s="2"/>
      <c r="C236" s="3"/>
      <c r="D236" s="3"/>
      <c r="E236" s="3"/>
      <c r="F236" s="289"/>
      <c r="G236" s="3"/>
      <c r="H236" s="3"/>
      <c r="I236" s="3"/>
      <c r="J236" s="3"/>
      <c r="K236" s="3"/>
      <c r="L236" s="3"/>
      <c r="M236" s="3"/>
      <c r="N236" s="3"/>
      <c r="O236" s="290" t="str">
        <f>"CURRENTLY RUNNING: "&amp;UPPER(CHOOSE($F$190,C213,C214,C215))&amp;" SCENARIO"</f>
        <v>CURRENTLY RUNNING: BASE CASE SCENARIO</v>
      </c>
    </row>
    <row r="237" spans="1:15" ht="22.8" customHeight="1">
      <c r="A237" s="291"/>
      <c r="B237" s="86" t="str">
        <f>$B$3</f>
        <v>Moonbucks Corp.</v>
      </c>
      <c r="C237" s="3"/>
      <c r="D237" s="3"/>
      <c r="E237" s="3"/>
      <c r="F237" s="289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8.75" customHeight="1">
      <c r="A238" s="292"/>
      <c r="B238" s="293" t="s">
        <v>169</v>
      </c>
      <c r="C238" s="294"/>
      <c r="D238" s="294"/>
      <c r="E238" s="294"/>
      <c r="F238" s="295"/>
      <c r="G238" s="294"/>
      <c r="H238" s="294"/>
      <c r="I238" s="294"/>
      <c r="J238" s="294"/>
      <c r="K238" s="294"/>
      <c r="L238" s="294"/>
      <c r="M238" s="294"/>
      <c r="N238" s="294"/>
      <c r="O238" s="294"/>
    </row>
    <row r="239" spans="1:15" ht="6" customHeight="1" thickBot="1">
      <c r="A239" s="292"/>
      <c r="B239" s="296"/>
      <c r="C239" s="297"/>
      <c r="D239" s="297"/>
      <c r="E239" s="297"/>
      <c r="F239" s="298"/>
      <c r="G239" s="297"/>
      <c r="H239" s="297"/>
      <c r="I239" s="297"/>
      <c r="J239" s="297"/>
      <c r="K239" s="297"/>
      <c r="L239" s="297"/>
      <c r="M239" s="297"/>
      <c r="N239" s="297"/>
      <c r="O239" s="297"/>
    </row>
    <row r="240" spans="1:15" ht="12.75" customHeight="1">
      <c r="A240" s="293"/>
      <c r="B240" s="294"/>
      <c r="C240" s="294"/>
      <c r="D240" s="294"/>
      <c r="E240" s="294"/>
      <c r="F240" s="295"/>
      <c r="G240" s="294"/>
      <c r="H240" s="294"/>
      <c r="I240" s="294"/>
      <c r="J240" s="294"/>
      <c r="K240" s="299"/>
      <c r="L240" s="300"/>
      <c r="M240" s="300"/>
      <c r="N240" s="300"/>
      <c r="O240" s="300"/>
    </row>
    <row r="241" spans="1:15" ht="13.8">
      <c r="A241" s="8"/>
      <c r="B241" s="8"/>
      <c r="C241" s="8"/>
      <c r="D241" s="8"/>
      <c r="E241" s="8"/>
      <c r="F241" s="301"/>
      <c r="G241" s="302"/>
      <c r="H241" s="8"/>
      <c r="I241" s="8"/>
      <c r="J241" s="8"/>
      <c r="K241" s="303" t="s">
        <v>170</v>
      </c>
      <c r="L241" s="113"/>
      <c r="M241" s="113"/>
      <c r="N241" s="113"/>
      <c r="O241" s="113"/>
    </row>
    <row r="242" spans="1:15">
      <c r="A242" s="8"/>
      <c r="B242" s="8"/>
      <c r="C242" s="8"/>
      <c r="D242" s="8"/>
      <c r="E242" s="8"/>
      <c r="F242" s="301"/>
      <c r="G242" s="50"/>
      <c r="H242" s="304">
        <f>I242-1</f>
        <v>2019</v>
      </c>
      <c r="I242" s="304">
        <f>J242-1</f>
        <v>2020</v>
      </c>
      <c r="J242" s="304">
        <f>K242-1</f>
        <v>2021</v>
      </c>
      <c r="K242" s="50">
        <f>K190</f>
        <v>2022</v>
      </c>
      <c r="L242" s="50">
        <f>L190</f>
        <v>2023</v>
      </c>
      <c r="M242" s="50">
        <f>M190</f>
        <v>2024</v>
      </c>
      <c r="N242" s="50">
        <f>N190</f>
        <v>2025</v>
      </c>
      <c r="O242" s="50">
        <f>O190</f>
        <v>2026</v>
      </c>
    </row>
    <row r="243" spans="1:15" ht="12.75" customHeight="1">
      <c r="A243" s="8"/>
      <c r="B243" s="8"/>
      <c r="C243" s="8"/>
      <c r="D243" s="8"/>
      <c r="E243" s="8"/>
      <c r="F243" s="301"/>
      <c r="G243" s="8"/>
      <c r="H243" s="305"/>
      <c r="I243" s="305"/>
      <c r="J243" s="305"/>
      <c r="K243" s="8"/>
      <c r="L243" s="8"/>
      <c r="M243" s="8"/>
      <c r="N243" s="8"/>
      <c r="O243" s="8"/>
    </row>
    <row r="244" spans="1:15">
      <c r="A244" s="8"/>
      <c r="B244" s="306" t="s">
        <v>171</v>
      </c>
      <c r="C244" s="8"/>
      <c r="D244" s="8"/>
      <c r="E244" s="8"/>
      <c r="F244" s="307"/>
      <c r="G244" s="8"/>
      <c r="H244" s="8"/>
      <c r="I244" s="8"/>
      <c r="J244" s="305"/>
      <c r="K244" s="8"/>
      <c r="L244" s="8"/>
      <c r="M244" s="8"/>
      <c r="N244" s="8"/>
      <c r="O244" s="8"/>
    </row>
    <row r="245" spans="1:15" ht="13.35" customHeight="1">
      <c r="A245" s="8"/>
      <c r="B245" s="8"/>
      <c r="C245" s="90" t="s">
        <v>172</v>
      </c>
      <c r="D245" s="8"/>
      <c r="E245" s="8"/>
      <c r="F245" s="308" t="s">
        <v>173</v>
      </c>
      <c r="G245" s="8"/>
      <c r="H245" s="309">
        <v>82.1</v>
      </c>
      <c r="I245" s="309">
        <v>83.7</v>
      </c>
      <c r="J245" s="309">
        <v>85.07</v>
      </c>
      <c r="K245" s="310">
        <f>K196</f>
        <v>86.1</v>
      </c>
      <c r="L245" s="310">
        <f>L196</f>
        <v>88</v>
      </c>
      <c r="M245" s="310">
        <f>M196</f>
        <v>90.4</v>
      </c>
      <c r="N245" s="310">
        <f>N196</f>
        <v>92.8</v>
      </c>
      <c r="O245" s="310">
        <v>95</v>
      </c>
    </row>
    <row r="246" spans="1:15" ht="13.35" customHeight="1">
      <c r="A246" s="8"/>
      <c r="B246" s="8"/>
      <c r="C246" s="8" t="s">
        <v>174</v>
      </c>
      <c r="D246" s="8"/>
      <c r="E246" s="8"/>
      <c r="F246" s="311" t="s">
        <v>175</v>
      </c>
      <c r="G246" s="8"/>
      <c r="H246" s="60">
        <v>2.1000000000000001E-2</v>
      </c>
      <c r="I246" s="54">
        <f t="shared" ref="I246:O246" si="3">I245/H245-1</f>
        <v>1.948842874543244E-2</v>
      </c>
      <c r="J246" s="54">
        <f t="shared" si="3"/>
        <v>1.6367980884109734E-2</v>
      </c>
      <c r="K246" s="54">
        <f t="shared" si="3"/>
        <v>1.2107676031503534E-2</v>
      </c>
      <c r="L246" s="54">
        <f t="shared" si="3"/>
        <v>2.2067363530778206E-2</v>
      </c>
      <c r="M246" s="54">
        <f t="shared" si="3"/>
        <v>2.7272727272727337E-2</v>
      </c>
      <c r="N246" s="54">
        <f t="shared" si="3"/>
        <v>2.6548672566371501E-2</v>
      </c>
      <c r="O246" s="54">
        <f t="shared" si="3"/>
        <v>2.3706896551724199E-2</v>
      </c>
    </row>
    <row r="247" spans="1:15" ht="9" customHeight="1">
      <c r="A247" s="8"/>
      <c r="B247" s="8"/>
      <c r="C247" s="90"/>
      <c r="D247" s="8"/>
      <c r="E247" s="8"/>
      <c r="F247" s="308"/>
      <c r="G247" s="8"/>
      <c r="H247" s="309"/>
      <c r="I247" s="309"/>
      <c r="J247" s="309"/>
      <c r="K247" s="312"/>
      <c r="L247" s="312"/>
      <c r="M247" s="312"/>
      <c r="N247" s="312"/>
      <c r="O247" s="312"/>
    </row>
    <row r="248" spans="1:15" ht="13.35" customHeight="1">
      <c r="A248" s="8"/>
      <c r="B248" s="8"/>
      <c r="C248" s="90" t="s">
        <v>111</v>
      </c>
      <c r="D248" s="8"/>
      <c r="E248" s="8"/>
      <c r="F248" s="311" t="s">
        <v>175</v>
      </c>
      <c r="G248" s="8"/>
      <c r="H248" s="313">
        <f>H249/H245</f>
        <v>2.9488185140073085E-2</v>
      </c>
      <c r="I248" s="313">
        <f>I249/I245</f>
        <v>2.9221863799283154E-2</v>
      </c>
      <c r="J248" s="313">
        <f>J249/J245</f>
        <v>2.3040084636181967E-2</v>
      </c>
      <c r="K248" s="313">
        <f>E79</f>
        <v>0.02</v>
      </c>
      <c r="L248" s="313">
        <f>K248</f>
        <v>0.02</v>
      </c>
      <c r="M248" s="313">
        <f>L248</f>
        <v>0.02</v>
      </c>
      <c r="N248" s="313">
        <f>M248</f>
        <v>0.02</v>
      </c>
      <c r="O248" s="313">
        <f>N248</f>
        <v>0.02</v>
      </c>
    </row>
    <row r="249" spans="1:15" ht="13.35" customHeight="1">
      <c r="A249" s="8"/>
      <c r="B249" s="8"/>
      <c r="C249" s="90" t="s">
        <v>111</v>
      </c>
      <c r="D249" s="8"/>
      <c r="E249" s="8"/>
      <c r="F249" s="308" t="s">
        <v>173</v>
      </c>
      <c r="G249" s="8"/>
      <c r="H249" s="314">
        <v>2.4209800000000001</v>
      </c>
      <c r="I249" s="314">
        <v>2.4458700000000002</v>
      </c>
      <c r="J249" s="314">
        <v>1.9600199999999999</v>
      </c>
      <c r="K249" s="315">
        <f>K248*K245</f>
        <v>1.722</v>
      </c>
      <c r="L249" s="315">
        <f>L248*L245</f>
        <v>1.76</v>
      </c>
      <c r="M249" s="315">
        <f>M248*M245</f>
        <v>1.8080000000000001</v>
      </c>
      <c r="N249" s="315">
        <f>N248*N245</f>
        <v>1.8559999999999999</v>
      </c>
      <c r="O249" s="315">
        <f>O248*O245</f>
        <v>1.9000000000000001</v>
      </c>
    </row>
    <row r="250" spans="1:15" ht="13.35" customHeight="1">
      <c r="A250" s="8"/>
      <c r="B250" s="8"/>
      <c r="C250" s="141" t="s">
        <v>176</v>
      </c>
      <c r="D250" s="42"/>
      <c r="E250" s="42"/>
      <c r="F250" s="316" t="s">
        <v>173</v>
      </c>
      <c r="G250" s="8"/>
      <c r="H250" s="317">
        <f t="shared" ref="H250:O250" si="4">H245-H249</f>
        <v>79.679019999999994</v>
      </c>
      <c r="I250" s="317">
        <f t="shared" si="4"/>
        <v>81.254130000000004</v>
      </c>
      <c r="J250" s="317">
        <f t="shared" si="4"/>
        <v>83.109979999999993</v>
      </c>
      <c r="K250" s="317">
        <f t="shared" si="4"/>
        <v>84.378</v>
      </c>
      <c r="L250" s="317">
        <f t="shared" si="4"/>
        <v>86.24</v>
      </c>
      <c r="M250" s="317">
        <f t="shared" si="4"/>
        <v>88.591999999999999</v>
      </c>
      <c r="N250" s="317">
        <f t="shared" si="4"/>
        <v>90.944000000000003</v>
      </c>
      <c r="O250" s="317">
        <f t="shared" si="4"/>
        <v>93.1</v>
      </c>
    </row>
    <row r="251" spans="1:15" ht="12.75" customHeight="1">
      <c r="A251" s="8"/>
      <c r="B251" s="318"/>
      <c r="C251" s="319"/>
      <c r="D251" s="318"/>
      <c r="E251" s="318"/>
      <c r="F251" s="320"/>
      <c r="G251" s="318"/>
      <c r="H251" s="318"/>
      <c r="I251" s="318"/>
      <c r="J251" s="321"/>
      <c r="K251" s="322"/>
      <c r="L251" s="322"/>
      <c r="M251" s="322"/>
      <c r="N251" s="322"/>
      <c r="O251" s="322"/>
    </row>
    <row r="252" spans="1:15" ht="12.75" customHeight="1">
      <c r="A252" s="8"/>
      <c r="B252" s="8"/>
      <c r="C252" s="306"/>
      <c r="D252" s="8"/>
      <c r="E252" s="8"/>
      <c r="F252" s="316"/>
      <c r="G252" s="8"/>
      <c r="H252" s="8"/>
      <c r="I252" s="8"/>
      <c r="J252" s="323"/>
      <c r="K252" s="324"/>
      <c r="L252" s="324"/>
      <c r="M252" s="324"/>
      <c r="N252" s="324"/>
      <c r="O252" s="324"/>
    </row>
    <row r="253" spans="1:15">
      <c r="A253" s="8"/>
      <c r="B253" s="42" t="s">
        <v>177</v>
      </c>
      <c r="C253" s="8"/>
      <c r="D253" s="8"/>
      <c r="E253" s="8"/>
      <c r="F253" s="308"/>
      <c r="G253" s="8"/>
      <c r="H253" s="8"/>
      <c r="I253" s="8"/>
      <c r="J253" s="325"/>
      <c r="K253" s="326"/>
      <c r="L253" s="326"/>
      <c r="M253" s="326"/>
      <c r="N253" s="326"/>
      <c r="O253" s="325"/>
    </row>
    <row r="254" spans="1:15">
      <c r="A254" s="8"/>
      <c r="B254" s="42"/>
      <c r="C254" s="8" t="s">
        <v>178</v>
      </c>
      <c r="D254" s="8"/>
      <c r="E254" s="8"/>
      <c r="F254" s="307" t="s">
        <v>124</v>
      </c>
      <c r="G254" s="8"/>
      <c r="H254" s="327">
        <v>340</v>
      </c>
      <c r="I254" s="327">
        <v>345</v>
      </c>
      <c r="J254" s="327">
        <v>348</v>
      </c>
      <c r="K254" s="312">
        <f>N57</f>
        <v>350</v>
      </c>
      <c r="L254" s="312">
        <f t="shared" ref="L254:O255" si="5">K254</f>
        <v>350</v>
      </c>
      <c r="M254" s="312">
        <f t="shared" si="5"/>
        <v>350</v>
      </c>
      <c r="N254" s="312">
        <f t="shared" si="5"/>
        <v>350</v>
      </c>
      <c r="O254" s="312">
        <f t="shared" si="5"/>
        <v>350</v>
      </c>
    </row>
    <row r="255" spans="1:15">
      <c r="A255" s="8"/>
      <c r="B255" s="42"/>
      <c r="C255" s="8" t="s">
        <v>179</v>
      </c>
      <c r="D255" s="8"/>
      <c r="E255" s="8"/>
      <c r="F255" s="307" t="s">
        <v>180</v>
      </c>
      <c r="G255" s="8"/>
      <c r="H255" s="314">
        <v>39.25</v>
      </c>
      <c r="I255" s="314">
        <v>39.25</v>
      </c>
      <c r="J255" s="314">
        <v>39.5</v>
      </c>
      <c r="K255" s="315">
        <f>N58</f>
        <v>39.5</v>
      </c>
      <c r="L255" s="315">
        <f t="shared" si="5"/>
        <v>39.5</v>
      </c>
      <c r="M255" s="315">
        <f t="shared" si="5"/>
        <v>39.5</v>
      </c>
      <c r="N255" s="315">
        <f t="shared" si="5"/>
        <v>39.5</v>
      </c>
      <c r="O255" s="315">
        <f t="shared" si="5"/>
        <v>39.5</v>
      </c>
    </row>
    <row r="256" spans="1:15">
      <c r="A256" s="8"/>
      <c r="B256" s="8"/>
      <c r="C256" s="42" t="s">
        <v>181</v>
      </c>
      <c r="D256" s="42"/>
      <c r="E256" s="42"/>
      <c r="F256" s="328" t="s">
        <v>182</v>
      </c>
      <c r="G256" s="42"/>
      <c r="H256" s="317">
        <f t="shared" ref="H256:O256" si="6">H254*H255/1000</f>
        <v>13.345000000000001</v>
      </c>
      <c r="I256" s="317">
        <f t="shared" si="6"/>
        <v>13.54125</v>
      </c>
      <c r="J256" s="317">
        <f t="shared" si="6"/>
        <v>13.746</v>
      </c>
      <c r="K256" s="317">
        <f t="shared" si="6"/>
        <v>13.824999999999999</v>
      </c>
      <c r="L256" s="317">
        <f t="shared" si="6"/>
        <v>13.824999999999999</v>
      </c>
      <c r="M256" s="317">
        <f t="shared" si="6"/>
        <v>13.824999999999999</v>
      </c>
      <c r="N256" s="317">
        <f t="shared" si="6"/>
        <v>13.824999999999999</v>
      </c>
      <c r="O256" s="317">
        <f t="shared" si="6"/>
        <v>13.824999999999999</v>
      </c>
    </row>
    <row r="257" spans="1:15" ht="12.75" customHeight="1">
      <c r="A257" s="8"/>
      <c r="B257" s="8"/>
      <c r="C257" s="8"/>
      <c r="D257" s="8"/>
      <c r="E257" s="8"/>
      <c r="F257" s="307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2.75" customHeight="1">
      <c r="A258" s="8"/>
      <c r="B258" s="42" t="s">
        <v>183</v>
      </c>
      <c r="C258" s="8"/>
      <c r="D258" s="8"/>
      <c r="E258" s="8"/>
      <c r="F258" s="307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4.1" customHeight="1">
      <c r="A259" s="8"/>
      <c r="B259" s="8"/>
      <c r="C259" s="8" t="s">
        <v>164</v>
      </c>
      <c r="D259" s="8"/>
      <c r="E259" s="8"/>
      <c r="F259" s="311" t="s">
        <v>175</v>
      </c>
      <c r="G259" s="8"/>
      <c r="H259" s="8"/>
      <c r="I259" s="329">
        <f>I260/H260-1</f>
        <v>3.6363636363636376E-2</v>
      </c>
      <c r="J259" s="329">
        <f>J260/I260-1</f>
        <v>3.5087719298245723E-2</v>
      </c>
      <c r="K259" s="329">
        <f>K202</f>
        <v>0.04</v>
      </c>
      <c r="L259" s="329">
        <f>L202</f>
        <v>3.5000000000000003E-2</v>
      </c>
      <c r="M259" s="329">
        <f>M202</f>
        <v>0.03</v>
      </c>
      <c r="N259" s="329">
        <f>N202</f>
        <v>0.03</v>
      </c>
      <c r="O259" s="329">
        <f>O202</f>
        <v>0.03</v>
      </c>
    </row>
    <row r="260" spans="1:15">
      <c r="A260" s="8"/>
      <c r="B260" s="8"/>
      <c r="C260" s="141" t="s">
        <v>184</v>
      </c>
      <c r="D260" s="42"/>
      <c r="E260" s="42"/>
      <c r="F260" s="328" t="s">
        <v>182</v>
      </c>
      <c r="G260" s="8"/>
      <c r="H260" s="330">
        <v>11</v>
      </c>
      <c r="I260" s="330">
        <v>11.4</v>
      </c>
      <c r="J260" s="330">
        <v>11.8</v>
      </c>
      <c r="K260" s="638">
        <f>MIN( J260*(1+K259), K$256 )</f>
        <v>12.272000000000002</v>
      </c>
      <c r="L260" s="638">
        <f t="shared" ref="L260:O260" si="7">MIN( K260*(1+L259), L$256 )</f>
        <v>12.70152</v>
      </c>
      <c r="M260" s="638">
        <f t="shared" si="7"/>
        <v>13.082565600000001</v>
      </c>
      <c r="N260" s="638">
        <f t="shared" si="7"/>
        <v>13.475042568000001</v>
      </c>
      <c r="O260" s="638">
        <f t="shared" si="7"/>
        <v>13.824999999999999</v>
      </c>
    </row>
    <row r="261" spans="1:15" ht="6" customHeight="1">
      <c r="A261" s="8"/>
      <c r="B261" s="8"/>
      <c r="C261" s="42"/>
      <c r="D261" s="8"/>
      <c r="E261" s="8"/>
      <c r="F261" s="328"/>
      <c r="G261" s="8"/>
      <c r="H261" s="8"/>
      <c r="I261" s="8"/>
      <c r="J261" s="324"/>
      <c r="K261" s="324"/>
      <c r="L261" s="324"/>
      <c r="M261" s="324"/>
      <c r="N261" s="324"/>
      <c r="O261" s="324"/>
    </row>
    <row r="262" spans="1:15">
      <c r="A262" s="8"/>
      <c r="B262" s="8"/>
      <c r="C262" s="8" t="s">
        <v>185</v>
      </c>
      <c r="D262" s="8"/>
      <c r="E262" s="8"/>
      <c r="F262" s="311" t="s">
        <v>175</v>
      </c>
      <c r="G262" s="8"/>
      <c r="H262" s="331">
        <f t="shared" ref="H262:O262" si="8">H260/H256</f>
        <v>0.8242787560884226</v>
      </c>
      <c r="I262" s="331">
        <f t="shared" si="8"/>
        <v>0.84187205760177242</v>
      </c>
      <c r="J262" s="331">
        <f t="shared" si="8"/>
        <v>0.85843154372180996</v>
      </c>
      <c r="K262" s="331">
        <f t="shared" si="8"/>
        <v>0.88766726943942154</v>
      </c>
      <c r="L262" s="331">
        <f t="shared" si="8"/>
        <v>0.91873562386980112</v>
      </c>
      <c r="M262" s="331">
        <f t="shared" si="8"/>
        <v>0.94629769258589524</v>
      </c>
      <c r="N262" s="331">
        <f t="shared" si="8"/>
        <v>0.97468662336347212</v>
      </c>
      <c r="O262" s="331">
        <f t="shared" si="8"/>
        <v>1</v>
      </c>
    </row>
    <row r="263" spans="1:15" ht="12.75" customHeight="1">
      <c r="A263" s="8"/>
      <c r="B263" s="318"/>
      <c r="C263" s="318"/>
      <c r="D263" s="318"/>
      <c r="E263" s="318"/>
      <c r="F263" s="332"/>
      <c r="G263" s="318"/>
      <c r="H263" s="318"/>
      <c r="I263" s="318"/>
      <c r="J263" s="318"/>
      <c r="K263" s="318"/>
      <c r="L263" s="318"/>
      <c r="M263" s="318"/>
      <c r="N263" s="318"/>
      <c r="O263" s="318"/>
    </row>
    <row r="264" spans="1:15" ht="12.75" customHeight="1">
      <c r="A264" s="8"/>
      <c r="B264" s="8"/>
      <c r="C264" s="8"/>
      <c r="D264" s="8"/>
      <c r="E264" s="8"/>
      <c r="F264" s="307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2.75" customHeight="1">
      <c r="A265" s="8"/>
      <c r="B265" s="42" t="s">
        <v>10</v>
      </c>
      <c r="C265" s="8"/>
      <c r="D265" s="8"/>
      <c r="E265" s="8"/>
      <c r="F265" s="307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2.75" customHeight="1">
      <c r="A266" s="8"/>
      <c r="B266" s="8"/>
      <c r="C266" s="94" t="s">
        <v>5</v>
      </c>
      <c r="D266" s="8"/>
      <c r="E266" s="8"/>
      <c r="F266" s="307" t="s">
        <v>186</v>
      </c>
      <c r="G266" s="8"/>
      <c r="H266" s="333">
        <f t="shared" ref="H266:O266" si="9">H260*H245</f>
        <v>903.09999999999991</v>
      </c>
      <c r="I266" s="333">
        <f t="shared" si="9"/>
        <v>954.18000000000006</v>
      </c>
      <c r="J266" s="333">
        <f t="shared" si="9"/>
        <v>1003.826</v>
      </c>
      <c r="K266" s="333">
        <f t="shared" si="9"/>
        <v>1056.6192000000001</v>
      </c>
      <c r="L266" s="333">
        <f t="shared" si="9"/>
        <v>1117.7337600000001</v>
      </c>
      <c r="M266" s="333">
        <f t="shared" si="9"/>
        <v>1182.6639302400001</v>
      </c>
      <c r="N266" s="333">
        <f t="shared" si="9"/>
        <v>1250.4839503104001</v>
      </c>
      <c r="O266" s="333">
        <f t="shared" si="9"/>
        <v>1313.375</v>
      </c>
    </row>
    <row r="267" spans="1:15" ht="12.75" customHeight="1">
      <c r="A267" s="8"/>
      <c r="B267" s="8"/>
      <c r="C267" s="90" t="s">
        <v>111</v>
      </c>
      <c r="D267" s="8"/>
      <c r="E267" s="8"/>
      <c r="F267" s="307" t="s">
        <v>186</v>
      </c>
      <c r="G267" s="8"/>
      <c r="H267" s="334">
        <f t="shared" ref="H267:O267" si="10">H260*H249</f>
        <v>26.630780000000001</v>
      </c>
      <c r="I267" s="334">
        <f t="shared" si="10"/>
        <v>27.882918000000004</v>
      </c>
      <c r="J267" s="334">
        <f t="shared" si="10"/>
        <v>23.128236000000001</v>
      </c>
      <c r="K267" s="334">
        <f t="shared" si="10"/>
        <v>21.132384000000002</v>
      </c>
      <c r="L267" s="334">
        <f t="shared" si="10"/>
        <v>22.354675199999999</v>
      </c>
      <c r="M267" s="334">
        <f t="shared" si="10"/>
        <v>23.653278604800001</v>
      </c>
      <c r="N267" s="334">
        <f t="shared" si="10"/>
        <v>25.009679006208</v>
      </c>
      <c r="O267" s="334">
        <f t="shared" si="10"/>
        <v>26.267500000000002</v>
      </c>
    </row>
    <row r="268" spans="1:15" ht="13.8" thickBot="1">
      <c r="A268" s="8"/>
      <c r="B268" s="42"/>
      <c r="C268" s="42" t="s">
        <v>187</v>
      </c>
      <c r="D268" s="8"/>
      <c r="E268" s="8"/>
      <c r="F268" s="328" t="s">
        <v>186</v>
      </c>
      <c r="G268" s="8"/>
      <c r="H268" s="335">
        <f t="shared" ref="H268:O268" si="11">H266-H267</f>
        <v>876.46921999999995</v>
      </c>
      <c r="I268" s="335">
        <f t="shared" si="11"/>
        <v>926.29708200000005</v>
      </c>
      <c r="J268" s="335">
        <f t="shared" si="11"/>
        <v>980.69776400000001</v>
      </c>
      <c r="K268" s="335">
        <f t="shared" si="11"/>
        <v>1035.4868160000001</v>
      </c>
      <c r="L268" s="335">
        <f t="shared" si="11"/>
        <v>1095.3790848000001</v>
      </c>
      <c r="M268" s="335">
        <f t="shared" si="11"/>
        <v>1159.0106516352</v>
      </c>
      <c r="N268" s="335">
        <f t="shared" si="11"/>
        <v>1225.4742713041921</v>
      </c>
      <c r="O268" s="335">
        <f t="shared" si="11"/>
        <v>1287.1075000000001</v>
      </c>
    </row>
    <row r="269" spans="1:15" ht="12.75" customHeight="1" thickTop="1">
      <c r="A269" s="8"/>
      <c r="B269" s="35"/>
      <c r="C269" s="35"/>
      <c r="D269" s="35"/>
      <c r="E269" s="35"/>
      <c r="F269" s="336"/>
      <c r="G269" s="35"/>
      <c r="H269" s="35"/>
      <c r="I269" s="35"/>
      <c r="J269" s="35"/>
      <c r="K269" s="35"/>
      <c r="L269" s="35"/>
      <c r="M269" s="35"/>
      <c r="N269" s="35"/>
      <c r="O269" s="35"/>
    </row>
    <row r="270" spans="1:15" ht="12.75" customHeight="1">
      <c r="A270" s="8"/>
      <c r="B270" s="8"/>
      <c r="C270" s="8"/>
      <c r="D270" s="8"/>
      <c r="E270" s="8"/>
      <c r="F270" s="301"/>
      <c r="G270" s="8"/>
      <c r="H270" s="8"/>
      <c r="I270" s="8"/>
      <c r="J270" s="8"/>
      <c r="K270" s="8"/>
      <c r="L270" s="8"/>
      <c r="M270" s="8"/>
      <c r="N270" s="8"/>
      <c r="O270" s="8"/>
    </row>
    <row r="271" spans="1:15">
      <c r="A271" s="8"/>
      <c r="B271" s="8"/>
      <c r="C271" s="8"/>
      <c r="D271" s="8"/>
      <c r="E271" s="8"/>
      <c r="F271" s="301"/>
      <c r="G271" s="8"/>
      <c r="H271" s="8"/>
      <c r="I271" s="8"/>
      <c r="J271" s="8"/>
      <c r="K271" s="337"/>
      <c r="L271" s="8"/>
      <c r="M271" s="8"/>
      <c r="N271" s="8"/>
      <c r="O271" s="8"/>
    </row>
    <row r="272" spans="1:15" ht="12.75" customHeight="1">
      <c r="A272" s="291"/>
      <c r="B272" s="86"/>
      <c r="C272" s="3"/>
      <c r="D272" s="3"/>
      <c r="E272" s="3"/>
      <c r="F272" s="289"/>
      <c r="G272" s="3"/>
      <c r="H272" s="3"/>
      <c r="I272" s="3"/>
      <c r="J272" s="3"/>
      <c r="K272" s="3"/>
      <c r="L272" s="3"/>
      <c r="M272" s="3"/>
      <c r="N272" s="3"/>
      <c r="O272" s="338" t="str">
        <f>$O$236</f>
        <v>CURRENTLY RUNNING: BASE CASE SCENARIO</v>
      </c>
    </row>
    <row r="273" spans="1:15" ht="22.8" customHeight="1">
      <c r="A273" s="291"/>
      <c r="B273" s="86" t="str">
        <f>$B$3</f>
        <v>Moonbucks Corp.</v>
      </c>
      <c r="C273" s="3"/>
      <c r="D273" s="3"/>
      <c r="E273" s="3"/>
      <c r="F273" s="289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8.75" customHeight="1">
      <c r="A274" s="292"/>
      <c r="B274" s="293" t="s">
        <v>188</v>
      </c>
      <c r="C274" s="294"/>
      <c r="D274" s="294"/>
      <c r="E274" s="294"/>
      <c r="F274" s="295"/>
      <c r="G274" s="294"/>
      <c r="H274" s="294"/>
      <c r="I274" s="294"/>
      <c r="J274" s="294"/>
      <c r="K274" s="339"/>
      <c r="L274" s="339"/>
      <c r="M274" s="339"/>
      <c r="N274" s="339"/>
      <c r="O274" s="339"/>
    </row>
    <row r="275" spans="1:15" ht="6" customHeight="1" thickBot="1">
      <c r="A275" s="292"/>
      <c r="B275" s="296"/>
      <c r="C275" s="297"/>
      <c r="D275" s="297"/>
      <c r="E275" s="297"/>
      <c r="F275" s="298"/>
      <c r="G275" s="297"/>
      <c r="H275" s="297"/>
      <c r="I275" s="297"/>
      <c r="J275" s="297"/>
      <c r="K275" s="340"/>
      <c r="L275" s="340"/>
      <c r="M275" s="340"/>
      <c r="N275" s="340"/>
      <c r="O275" s="340"/>
    </row>
    <row r="276" spans="1:15" ht="12.75" customHeight="1">
      <c r="A276" s="293"/>
      <c r="B276" s="294"/>
      <c r="C276" s="294"/>
      <c r="D276" s="294"/>
      <c r="E276" s="294"/>
      <c r="F276" s="341"/>
      <c r="G276" s="294"/>
      <c r="H276" s="294"/>
      <c r="I276" s="294"/>
      <c r="J276" s="294"/>
      <c r="K276" s="339"/>
      <c r="L276" s="339"/>
      <c r="M276" s="339"/>
      <c r="N276" s="339"/>
      <c r="O276" s="339"/>
    </row>
    <row r="277" spans="1:15" ht="13.8">
      <c r="A277" s="8"/>
      <c r="B277" s="8"/>
      <c r="C277" s="8"/>
      <c r="D277" s="8"/>
      <c r="E277" s="8"/>
      <c r="F277" s="307"/>
      <c r="G277" s="302"/>
      <c r="H277" s="302"/>
      <c r="I277" s="302"/>
      <c r="J277" s="8"/>
      <c r="K277" s="303" t="s">
        <v>170</v>
      </c>
      <c r="L277" s="113"/>
      <c r="M277" s="113"/>
      <c r="N277" s="113"/>
      <c r="O277" s="113"/>
    </row>
    <row r="278" spans="1:15">
      <c r="A278" s="8"/>
      <c r="B278" s="8"/>
      <c r="C278" s="8"/>
      <c r="D278" s="8"/>
      <c r="E278" s="8"/>
      <c r="F278" s="307"/>
      <c r="G278" s="50"/>
      <c r="H278" s="342">
        <f t="shared" ref="H278:O278" si="12">H$242</f>
        <v>2019</v>
      </c>
      <c r="I278" s="342">
        <f t="shared" si="12"/>
        <v>2020</v>
      </c>
      <c r="J278" s="304">
        <f t="shared" si="12"/>
        <v>2021</v>
      </c>
      <c r="K278" s="343">
        <f t="shared" si="12"/>
        <v>2022</v>
      </c>
      <c r="L278" s="343">
        <f t="shared" si="12"/>
        <v>2023</v>
      </c>
      <c r="M278" s="343">
        <f t="shared" si="12"/>
        <v>2024</v>
      </c>
      <c r="N278" s="343">
        <f t="shared" si="12"/>
        <v>2025</v>
      </c>
      <c r="O278" s="343">
        <f t="shared" si="12"/>
        <v>2026</v>
      </c>
    </row>
    <row r="279" spans="1:15" ht="6" customHeight="1">
      <c r="A279" s="8"/>
      <c r="B279" s="8"/>
      <c r="C279" s="8"/>
      <c r="D279" s="8"/>
      <c r="E279" s="8"/>
      <c r="F279" s="307"/>
      <c r="G279" s="50"/>
      <c r="H279" s="50"/>
      <c r="I279" s="50"/>
      <c r="J279" s="50"/>
      <c r="K279" s="50"/>
      <c r="L279" s="50"/>
      <c r="M279" s="50"/>
      <c r="N279" s="50"/>
      <c r="O279" s="50"/>
    </row>
    <row r="280" spans="1:15">
      <c r="A280" s="8"/>
      <c r="B280" s="344" t="s">
        <v>6</v>
      </c>
      <c r="C280" s="345"/>
      <c r="D280" s="345"/>
      <c r="E280" s="345"/>
      <c r="F280" s="346" t="s">
        <v>175</v>
      </c>
      <c r="G280" s="347"/>
      <c r="H280" s="348"/>
      <c r="I280" s="348"/>
      <c r="J280" s="348"/>
      <c r="K280" s="349">
        <f>K211</f>
        <v>0.02</v>
      </c>
      <c r="L280" s="348">
        <f>L211</f>
        <v>0.02</v>
      </c>
      <c r="M280" s="348">
        <f>M211</f>
        <v>0.02</v>
      </c>
      <c r="N280" s="348">
        <f>N211</f>
        <v>2.5000000000000001E-2</v>
      </c>
      <c r="O280" s="350">
        <f>O211</f>
        <v>2.5000000000000001E-2</v>
      </c>
    </row>
    <row r="281" spans="1:15">
      <c r="A281" s="8"/>
      <c r="B281" s="351" t="s">
        <v>189</v>
      </c>
      <c r="C281" s="8"/>
      <c r="D281" s="8"/>
      <c r="E281" s="8"/>
      <c r="F281" s="308" t="s">
        <v>190</v>
      </c>
      <c r="G281" s="8"/>
      <c r="H281" s="352">
        <v>11.4</v>
      </c>
      <c r="I281" s="352">
        <v>11</v>
      </c>
      <c r="J281" s="352">
        <v>10.8</v>
      </c>
      <c r="K281" s="353">
        <f>K217</f>
        <v>10.8</v>
      </c>
      <c r="L281" s="353">
        <f>L217</f>
        <v>11.4</v>
      </c>
      <c r="M281" s="354">
        <f>M217</f>
        <v>12</v>
      </c>
      <c r="N281" s="354">
        <f>N217</f>
        <v>11.2</v>
      </c>
      <c r="O281" s="355">
        <f>O217</f>
        <v>10.8</v>
      </c>
    </row>
    <row r="282" spans="1:15">
      <c r="A282" s="8"/>
      <c r="B282" s="356" t="s">
        <v>183</v>
      </c>
      <c r="C282" s="318"/>
      <c r="D282" s="318"/>
      <c r="E282" s="318"/>
      <c r="F282" s="332" t="s">
        <v>182</v>
      </c>
      <c r="G282" s="357"/>
      <c r="H282" s="358">
        <f t="shared" ref="H282:O282" si="13">H260</f>
        <v>11</v>
      </c>
      <c r="I282" s="358">
        <f t="shared" si="13"/>
        <v>11.4</v>
      </c>
      <c r="J282" s="358">
        <f t="shared" si="13"/>
        <v>11.8</v>
      </c>
      <c r="K282" s="358">
        <f t="shared" si="13"/>
        <v>12.272000000000002</v>
      </c>
      <c r="L282" s="358">
        <f t="shared" si="13"/>
        <v>12.70152</v>
      </c>
      <c r="M282" s="358">
        <f t="shared" si="13"/>
        <v>13.082565600000001</v>
      </c>
      <c r="N282" s="358">
        <f t="shared" si="13"/>
        <v>13.475042568000001</v>
      </c>
      <c r="O282" s="359">
        <f t="shared" si="13"/>
        <v>13.824999999999999</v>
      </c>
    </row>
    <row r="283" spans="1:15" ht="6" customHeight="1">
      <c r="A283" s="8"/>
      <c r="B283" s="360"/>
      <c r="C283" s="8"/>
      <c r="D283" s="8"/>
      <c r="E283" s="8"/>
      <c r="F283" s="307"/>
      <c r="G283" s="50"/>
      <c r="H283" s="50"/>
      <c r="I283" s="50"/>
      <c r="J283" s="50"/>
      <c r="K283" s="50"/>
      <c r="L283" s="50"/>
      <c r="M283" s="50"/>
      <c r="N283" s="50"/>
      <c r="O283" s="50"/>
    </row>
    <row r="284" spans="1:15" ht="12.75" customHeight="1">
      <c r="A284" s="8"/>
      <c r="B284" s="360" t="s">
        <v>191</v>
      </c>
      <c r="C284" s="8"/>
      <c r="D284" s="8"/>
      <c r="E284" s="8"/>
      <c r="F284" s="307"/>
      <c r="G284" s="50"/>
      <c r="H284" s="50"/>
      <c r="I284" s="50"/>
      <c r="J284" s="50"/>
      <c r="K284" s="50"/>
      <c r="L284" s="50"/>
      <c r="M284" s="50"/>
      <c r="N284" s="50"/>
      <c r="O284" s="50"/>
    </row>
    <row r="285" spans="1:15" ht="6" customHeight="1">
      <c r="A285" s="8"/>
      <c r="B285" s="360"/>
      <c r="C285" s="8"/>
      <c r="D285" s="8"/>
      <c r="E285" s="8"/>
      <c r="F285" s="307"/>
      <c r="G285" s="50"/>
      <c r="H285" s="50"/>
      <c r="I285" s="50"/>
      <c r="J285" s="50"/>
      <c r="K285" s="8"/>
      <c r="L285" s="50"/>
      <c r="M285" s="50"/>
      <c r="N285" s="50"/>
      <c r="O285" s="50"/>
    </row>
    <row r="286" spans="1:15" ht="12.75" customHeight="1">
      <c r="A286" s="361"/>
      <c r="B286" s="8"/>
      <c r="C286" s="42" t="s">
        <v>192</v>
      </c>
      <c r="D286" s="42"/>
      <c r="E286" s="8"/>
      <c r="F286" s="307"/>
      <c r="G286" s="8"/>
      <c r="H286" s="8"/>
      <c r="I286" s="8"/>
      <c r="J286" s="8"/>
      <c r="K286" s="8"/>
      <c r="L286" s="8"/>
      <c r="M286" s="8"/>
      <c r="N286" s="8"/>
      <c r="O286" s="8"/>
    </row>
    <row r="287" spans="1:15">
      <c r="A287" s="361"/>
      <c r="B287" s="8"/>
      <c r="C287" s="42"/>
      <c r="D287" s="8" t="s">
        <v>193</v>
      </c>
      <c r="E287" s="8"/>
      <c r="F287" s="307" t="s">
        <v>194</v>
      </c>
      <c r="G287" s="8"/>
      <c r="H287" s="362">
        <v>302</v>
      </c>
      <c r="I287" s="362">
        <v>280</v>
      </c>
      <c r="J287" s="362">
        <v>310</v>
      </c>
      <c r="K287" s="639">
        <f>K$223</f>
        <v>330</v>
      </c>
      <c r="L287" s="639">
        <f t="shared" ref="L287:O287" si="14">L$223</f>
        <v>360</v>
      </c>
      <c r="M287" s="639">
        <f t="shared" si="14"/>
        <v>380</v>
      </c>
      <c r="N287" s="639">
        <f t="shared" si="14"/>
        <v>360</v>
      </c>
      <c r="O287" s="639">
        <f t="shared" si="14"/>
        <v>340</v>
      </c>
    </row>
    <row r="288" spans="1:15" ht="6" customHeight="1">
      <c r="A288" s="361"/>
      <c r="B288" s="8"/>
      <c r="C288" s="42"/>
      <c r="D288" s="42"/>
      <c r="E288" s="8"/>
      <c r="F288" s="307"/>
      <c r="G288" s="8"/>
      <c r="H288" s="8"/>
      <c r="I288" s="8"/>
      <c r="J288" s="8"/>
      <c r="K288" s="8"/>
      <c r="L288" s="8"/>
      <c r="M288" s="8"/>
      <c r="N288" s="8"/>
      <c r="O288" s="8"/>
    </row>
    <row r="289" spans="1:15">
      <c r="A289" s="361"/>
      <c r="B289" s="8"/>
      <c r="C289" s="42"/>
      <c r="D289" s="8" t="s">
        <v>193</v>
      </c>
      <c r="E289" s="8"/>
      <c r="F289" s="307" t="s">
        <v>173</v>
      </c>
      <c r="G289" s="8"/>
      <c r="H289" s="333">
        <f t="shared" ref="H289:O289" si="15">H287/H281</f>
        <v>26.491228070175438</v>
      </c>
      <c r="I289" s="333">
        <f t="shared" si="15"/>
        <v>25.454545454545453</v>
      </c>
      <c r="J289" s="333">
        <f t="shared" si="15"/>
        <v>28.703703703703702</v>
      </c>
      <c r="K289" s="333">
        <f t="shared" si="15"/>
        <v>30.555555555555554</v>
      </c>
      <c r="L289" s="333">
        <f t="shared" si="15"/>
        <v>31.578947368421051</v>
      </c>
      <c r="M289" s="333">
        <f t="shared" si="15"/>
        <v>31.666666666666668</v>
      </c>
      <c r="N289" s="333">
        <f t="shared" si="15"/>
        <v>32.142857142857146</v>
      </c>
      <c r="O289" s="333">
        <f t="shared" si="15"/>
        <v>31.481481481481481</v>
      </c>
    </row>
    <row r="290" spans="1:15">
      <c r="A290" s="361"/>
      <c r="B290" s="8"/>
      <c r="C290" s="42"/>
      <c r="D290" s="8" t="s">
        <v>97</v>
      </c>
      <c r="E290" s="8"/>
      <c r="F290" s="307" t="str">
        <f>F$289</f>
        <v>($/case)</v>
      </c>
      <c r="G290" s="8"/>
      <c r="H290" s="364">
        <v>23</v>
      </c>
      <c r="I290" s="364">
        <v>24</v>
      </c>
      <c r="J290" s="364">
        <v>24</v>
      </c>
      <c r="K290" s="333">
        <f>E71</f>
        <v>24.6</v>
      </c>
      <c r="L290" s="333">
        <f t="shared" ref="L290:O291" si="16">K290*(1+L$280)</f>
        <v>25.092000000000002</v>
      </c>
      <c r="M290" s="333">
        <f t="shared" si="16"/>
        <v>25.593840000000004</v>
      </c>
      <c r="N290" s="333">
        <f t="shared" si="16"/>
        <v>26.233686000000002</v>
      </c>
      <c r="O290" s="333">
        <f t="shared" si="16"/>
        <v>26.88952815</v>
      </c>
    </row>
    <row r="291" spans="1:15">
      <c r="A291" s="361"/>
      <c r="B291" s="8"/>
      <c r="C291" s="42"/>
      <c r="D291" s="8" t="s">
        <v>101</v>
      </c>
      <c r="E291" s="8"/>
      <c r="F291" s="307" t="str">
        <f>F$289</f>
        <v>($/case)</v>
      </c>
      <c r="G291" s="8"/>
      <c r="H291" s="365">
        <v>2.2999999999999998</v>
      </c>
      <c r="I291" s="365">
        <v>2.4</v>
      </c>
      <c r="J291" s="365">
        <v>2.5</v>
      </c>
      <c r="K291" s="334">
        <f>E72</f>
        <v>2.7</v>
      </c>
      <c r="L291" s="334">
        <f t="shared" si="16"/>
        <v>2.7540000000000004</v>
      </c>
      <c r="M291" s="334">
        <f t="shared" si="16"/>
        <v>2.8090800000000007</v>
      </c>
      <c r="N291" s="334">
        <f t="shared" si="16"/>
        <v>2.8793070000000003</v>
      </c>
      <c r="O291" s="334">
        <f t="shared" si="16"/>
        <v>2.9512896749999999</v>
      </c>
    </row>
    <row r="292" spans="1:15">
      <c r="A292" s="8"/>
      <c r="B292" s="8"/>
      <c r="C292" s="8"/>
      <c r="D292" s="141" t="s">
        <v>195</v>
      </c>
      <c r="E292" s="42"/>
      <c r="F292" s="328" t="str">
        <f>F$289</f>
        <v>($/case)</v>
      </c>
      <c r="G292" s="42"/>
      <c r="H292" s="366">
        <f t="shared" ref="H292:O292" si="17">SUM(H289:H291)</f>
        <v>51.791228070175436</v>
      </c>
      <c r="I292" s="366">
        <f t="shared" si="17"/>
        <v>51.854545454545452</v>
      </c>
      <c r="J292" s="366">
        <f t="shared" si="17"/>
        <v>55.203703703703702</v>
      </c>
      <c r="K292" s="366">
        <f t="shared" si="17"/>
        <v>57.855555555555554</v>
      </c>
      <c r="L292" s="366">
        <f t="shared" si="17"/>
        <v>59.424947368421051</v>
      </c>
      <c r="M292" s="366">
        <f t="shared" si="17"/>
        <v>60.069586666666673</v>
      </c>
      <c r="N292" s="366">
        <f t="shared" si="17"/>
        <v>61.255850142857142</v>
      </c>
      <c r="O292" s="366">
        <f t="shared" si="17"/>
        <v>61.322299306481483</v>
      </c>
    </row>
    <row r="293" spans="1:15" ht="6" customHeight="1">
      <c r="A293" s="8"/>
      <c r="B293" s="8"/>
      <c r="C293" s="90"/>
      <c r="D293" s="8"/>
      <c r="E293" s="8"/>
      <c r="F293" s="307"/>
      <c r="G293" s="8"/>
      <c r="H293" s="367"/>
      <c r="I293" s="367"/>
      <c r="J293" s="367"/>
      <c r="K293" s="367"/>
      <c r="L293" s="367"/>
      <c r="M293" s="367"/>
      <c r="N293" s="367"/>
      <c r="O293" s="367"/>
    </row>
    <row r="294" spans="1:15">
      <c r="A294" s="8"/>
      <c r="B294" s="8"/>
      <c r="C294" s="42" t="s">
        <v>196</v>
      </c>
      <c r="D294" s="8"/>
      <c r="E294" s="8"/>
      <c r="F294" s="307"/>
      <c r="G294" s="8"/>
      <c r="H294" s="367"/>
      <c r="I294" s="367"/>
      <c r="J294" s="367"/>
      <c r="K294" s="367"/>
      <c r="L294" s="367"/>
      <c r="M294" s="367"/>
      <c r="N294" s="367"/>
      <c r="O294" s="367"/>
    </row>
    <row r="295" spans="1:15">
      <c r="A295" s="8"/>
      <c r="B295" s="8"/>
      <c r="C295" s="42"/>
      <c r="D295" s="8" t="s">
        <v>103</v>
      </c>
      <c r="E295" s="8"/>
      <c r="F295" s="307" t="str">
        <f t="shared" ref="F295:F300" si="18">F$289</f>
        <v>($/case)</v>
      </c>
      <c r="G295" s="8"/>
      <c r="H295" s="333">
        <f t="shared" ref="H295:O299" si="19">H313/H$282</f>
        <v>3.1818181818181817</v>
      </c>
      <c r="I295" s="333">
        <f t="shared" si="19"/>
        <v>3.140350877192982</v>
      </c>
      <c r="J295" s="333">
        <f t="shared" si="19"/>
        <v>3.1355932203389827</v>
      </c>
      <c r="K295" s="333">
        <f t="shared" si="19"/>
        <v>3.3409387222946538</v>
      </c>
      <c r="L295" s="333">
        <f t="shared" ref="L295:O295" si="20">L313/L$282</f>
        <v>3.2925193205222683</v>
      </c>
      <c r="M295" s="333">
        <f t="shared" si="20"/>
        <v>3.2605531135269059</v>
      </c>
      <c r="N295" s="333">
        <f t="shared" si="20"/>
        <v>3.2447251857913382</v>
      </c>
      <c r="O295" s="333">
        <f t="shared" si="20"/>
        <v>3.2416549909584083</v>
      </c>
    </row>
    <row r="296" spans="1:15">
      <c r="A296" s="8"/>
      <c r="B296" s="8"/>
      <c r="C296" s="42"/>
      <c r="D296" s="90" t="s">
        <v>106</v>
      </c>
      <c r="E296" s="8"/>
      <c r="F296" s="307" t="str">
        <f t="shared" si="18"/>
        <v>($/case)</v>
      </c>
      <c r="G296" s="8"/>
      <c r="H296" s="333">
        <f t="shared" si="19"/>
        <v>2.6</v>
      </c>
      <c r="I296" s="333">
        <f t="shared" si="19"/>
        <v>2.3157894736842102</v>
      </c>
      <c r="J296" s="333">
        <f t="shared" si="19"/>
        <v>2.6101694915254234</v>
      </c>
      <c r="K296" s="333">
        <f t="shared" si="19"/>
        <v>2.5423728813559316</v>
      </c>
      <c r="L296" s="333">
        <f t="shared" ref="L296:O296" si="21">L314/L$282</f>
        <v>2.5055268975681648</v>
      </c>
      <c r="M296" s="333">
        <f t="shared" si="21"/>
        <v>2.4812013937082797</v>
      </c>
      <c r="N296" s="333">
        <f t="shared" si="21"/>
        <v>2.4691567267485306</v>
      </c>
      <c r="O296" s="333">
        <f t="shared" si="21"/>
        <v>2.4668203833634719</v>
      </c>
    </row>
    <row r="297" spans="1:15">
      <c r="A297" s="8"/>
      <c r="B297" s="8"/>
      <c r="C297" s="90"/>
      <c r="D297" s="8" t="s">
        <v>108</v>
      </c>
      <c r="E297" s="8"/>
      <c r="F297" s="307" t="str">
        <f t="shared" si="18"/>
        <v>($/case)</v>
      </c>
      <c r="G297" s="8"/>
      <c r="H297" s="333">
        <f t="shared" si="19"/>
        <v>5.1818181818181817</v>
      </c>
      <c r="I297" s="333">
        <f t="shared" si="19"/>
        <v>5.2982456140350873</v>
      </c>
      <c r="J297" s="333">
        <f t="shared" si="19"/>
        <v>5.2881355932203382</v>
      </c>
      <c r="K297" s="333">
        <f t="shared" si="19"/>
        <v>5.4106910039113423</v>
      </c>
      <c r="L297" s="333">
        <f t="shared" ref="L297:O297" si="22">L315/L$282</f>
        <v>5.3322751922604548</v>
      </c>
      <c r="M297" s="333">
        <f t="shared" si="22"/>
        <v>5.2805055301996733</v>
      </c>
      <c r="N297" s="333">
        <f t="shared" si="22"/>
        <v>5.2548720082084133</v>
      </c>
      <c r="O297" s="333">
        <f t="shared" si="22"/>
        <v>5.2498997902350819</v>
      </c>
    </row>
    <row r="298" spans="1:15">
      <c r="A298" s="8"/>
      <c r="B298" s="8"/>
      <c r="C298" s="90"/>
      <c r="D298" s="8" t="s">
        <v>109</v>
      </c>
      <c r="E298" s="8"/>
      <c r="F298" s="307" t="str">
        <f t="shared" si="18"/>
        <v>($/case)</v>
      </c>
      <c r="G298" s="8"/>
      <c r="H298" s="333">
        <f t="shared" si="19"/>
        <v>0.63636363636363635</v>
      </c>
      <c r="I298" s="333">
        <f t="shared" si="19"/>
        <v>0.64912280701754388</v>
      </c>
      <c r="J298" s="333">
        <f t="shared" si="19"/>
        <v>0.66101694915254228</v>
      </c>
      <c r="K298" s="333">
        <f t="shared" si="19"/>
        <v>0.6681877444589307</v>
      </c>
      <c r="L298" s="333">
        <f t="shared" ref="L298:O298" si="23">L316/L$282</f>
        <v>0.6585038641044535</v>
      </c>
      <c r="M298" s="333">
        <f t="shared" si="23"/>
        <v>0.65211062270538112</v>
      </c>
      <c r="N298" s="333">
        <f t="shared" si="23"/>
        <v>0.64894503715826757</v>
      </c>
      <c r="O298" s="333">
        <f t="shared" si="23"/>
        <v>0.64833099819168161</v>
      </c>
    </row>
    <row r="299" spans="1:15">
      <c r="A299" s="8"/>
      <c r="B299" s="8"/>
      <c r="C299" s="90"/>
      <c r="D299" s="8" t="s">
        <v>49</v>
      </c>
      <c r="E299" s="8"/>
      <c r="F299" s="307" t="str">
        <f t="shared" si="18"/>
        <v>($/case)</v>
      </c>
      <c r="G299" s="8"/>
      <c r="H299" s="334">
        <f t="shared" si="19"/>
        <v>0.21818181818181817</v>
      </c>
      <c r="I299" s="334">
        <f t="shared" si="19"/>
        <v>0.26315789473684209</v>
      </c>
      <c r="J299" s="334">
        <f t="shared" si="19"/>
        <v>0.33898305084745761</v>
      </c>
      <c r="K299" s="334">
        <f t="shared" si="19"/>
        <v>0.34224250325945238</v>
      </c>
      <c r="L299" s="334">
        <f t="shared" ref="L299:O299" si="24">L317/L$282</f>
        <v>0.33728246698032993</v>
      </c>
      <c r="M299" s="334">
        <f t="shared" si="24"/>
        <v>0.33400787992226849</v>
      </c>
      <c r="N299" s="334">
        <f t="shared" si="24"/>
        <v>0.33238648244691765</v>
      </c>
      <c r="O299" s="334">
        <f t="shared" si="24"/>
        <v>0.33207197468354432</v>
      </c>
    </row>
    <row r="300" spans="1:15">
      <c r="A300" s="8"/>
      <c r="B300" s="8"/>
      <c r="C300" s="90"/>
      <c r="D300" s="42" t="s">
        <v>197</v>
      </c>
      <c r="E300" s="8"/>
      <c r="F300" s="328" t="str">
        <f t="shared" si="18"/>
        <v>($/case)</v>
      </c>
      <c r="G300" s="8"/>
      <c r="H300" s="366">
        <f t="shared" ref="H300:O300" si="25">SUM(H295:H299)</f>
        <v>11.818181818181818</v>
      </c>
      <c r="I300" s="366">
        <f t="shared" si="25"/>
        <v>11.666666666666666</v>
      </c>
      <c r="J300" s="366">
        <f t="shared" si="25"/>
        <v>12.033898305084744</v>
      </c>
      <c r="K300" s="366">
        <f t="shared" si="25"/>
        <v>12.304432855280313</v>
      </c>
      <c r="L300" s="366">
        <f t="shared" si="25"/>
        <v>12.126107741435671</v>
      </c>
      <c r="M300" s="366">
        <f t="shared" si="25"/>
        <v>12.008378540062507</v>
      </c>
      <c r="N300" s="366">
        <f t="shared" si="25"/>
        <v>11.950085440353465</v>
      </c>
      <c r="O300" s="366">
        <f t="shared" si="25"/>
        <v>11.938778137432188</v>
      </c>
    </row>
    <row r="301" spans="1:15" ht="6" customHeight="1">
      <c r="A301" s="8"/>
      <c r="B301" s="8"/>
      <c r="C301" s="90"/>
      <c r="D301" s="8"/>
      <c r="E301" s="8"/>
      <c r="F301" s="307"/>
      <c r="G301" s="8"/>
      <c r="H301" s="367"/>
      <c r="I301" s="367"/>
      <c r="J301" s="367"/>
      <c r="K301" s="367"/>
      <c r="L301" s="367"/>
      <c r="M301" s="367"/>
      <c r="N301" s="367"/>
      <c r="O301" s="367"/>
    </row>
    <row r="302" spans="1:15" ht="13.8" thickBot="1">
      <c r="A302" s="8"/>
      <c r="B302" s="8"/>
      <c r="C302" s="141" t="s">
        <v>198</v>
      </c>
      <c r="D302" s="8"/>
      <c r="E302" s="8"/>
      <c r="F302" s="328" t="str">
        <f>F$289</f>
        <v>($/case)</v>
      </c>
      <c r="G302" s="8"/>
      <c r="H302" s="368">
        <f t="shared" ref="H302:O302" si="26">H300+H292</f>
        <v>63.609409888357256</v>
      </c>
      <c r="I302" s="368">
        <f t="shared" si="26"/>
        <v>63.521212121212116</v>
      </c>
      <c r="J302" s="368">
        <f t="shared" si="26"/>
        <v>67.237602008788443</v>
      </c>
      <c r="K302" s="368">
        <f t="shared" si="26"/>
        <v>70.159988410835865</v>
      </c>
      <c r="L302" s="368">
        <f t="shared" si="26"/>
        <v>71.551055109856719</v>
      </c>
      <c r="M302" s="368">
        <f t="shared" si="26"/>
        <v>72.077965206729175</v>
      </c>
      <c r="N302" s="368">
        <f t="shared" si="26"/>
        <v>73.205935583210604</v>
      </c>
      <c r="O302" s="368">
        <f t="shared" si="26"/>
        <v>73.261077443913678</v>
      </c>
    </row>
    <row r="303" spans="1:15" ht="12.75" customHeight="1" thickTop="1">
      <c r="A303" s="8"/>
      <c r="B303" s="318"/>
      <c r="C303" s="369"/>
      <c r="D303" s="318"/>
      <c r="E303" s="318"/>
      <c r="F303" s="332"/>
      <c r="G303" s="318"/>
      <c r="H303" s="370"/>
      <c r="I303" s="370"/>
      <c r="J303" s="370"/>
      <c r="K303" s="370"/>
      <c r="L303" s="370"/>
      <c r="M303" s="370"/>
      <c r="N303" s="370"/>
      <c r="O303" s="370"/>
    </row>
    <row r="304" spans="1:15" ht="13.8">
      <c r="A304" s="8"/>
      <c r="B304" s="360" t="s">
        <v>199</v>
      </c>
      <c r="C304" s="90"/>
      <c r="D304" s="8"/>
      <c r="E304" s="8"/>
      <c r="F304" s="307"/>
      <c r="G304" s="8"/>
      <c r="H304" s="367"/>
      <c r="I304" s="367"/>
      <c r="J304" s="367"/>
      <c r="K304" s="367"/>
      <c r="L304" s="367"/>
      <c r="M304" s="367"/>
      <c r="N304" s="367"/>
      <c r="O304" s="367"/>
    </row>
    <row r="305" spans="1:15" ht="6" customHeight="1">
      <c r="A305" s="8"/>
      <c r="B305" s="360"/>
      <c r="C305" s="90"/>
      <c r="D305" s="8"/>
      <c r="E305" s="8"/>
      <c r="F305" s="307"/>
      <c r="G305" s="8"/>
      <c r="H305" s="367"/>
      <c r="I305" s="367"/>
      <c r="J305" s="367"/>
      <c r="K305" s="367"/>
      <c r="L305" s="367"/>
      <c r="M305" s="367"/>
      <c r="N305" s="367"/>
      <c r="O305" s="367"/>
    </row>
    <row r="306" spans="1:15" ht="13.8">
      <c r="A306" s="8"/>
      <c r="B306" s="360"/>
      <c r="C306" s="42" t="s">
        <v>192</v>
      </c>
      <c r="D306" s="42"/>
      <c r="E306" s="8"/>
      <c r="F306" s="307"/>
      <c r="G306" s="8"/>
      <c r="H306" s="367"/>
      <c r="I306" s="367"/>
      <c r="J306" s="367"/>
      <c r="K306" s="367"/>
      <c r="L306" s="367"/>
      <c r="M306" s="367"/>
      <c r="N306" s="367"/>
      <c r="O306" s="367"/>
    </row>
    <row r="307" spans="1:15" ht="13.8">
      <c r="A307" s="8"/>
      <c r="B307" s="360"/>
      <c r="C307" s="42"/>
      <c r="D307" s="8" t="str">
        <f>D289</f>
        <v>Cacao</v>
      </c>
      <c r="E307" s="8"/>
      <c r="F307" s="307" t="s">
        <v>186</v>
      </c>
      <c r="G307" s="8"/>
      <c r="H307" s="333">
        <f t="shared" ref="H307:O309" si="27">H289*H$282</f>
        <v>291.40350877192981</v>
      </c>
      <c r="I307" s="333">
        <f t="shared" si="27"/>
        <v>290.18181818181819</v>
      </c>
      <c r="J307" s="333">
        <f t="shared" si="27"/>
        <v>338.7037037037037</v>
      </c>
      <c r="K307" s="333">
        <f t="shared" si="27"/>
        <v>374.97777777777782</v>
      </c>
      <c r="L307" s="333">
        <f t="shared" si="27"/>
        <v>401.10063157894734</v>
      </c>
      <c r="M307" s="333">
        <f t="shared" si="27"/>
        <v>414.28124400000002</v>
      </c>
      <c r="N307" s="333">
        <f t="shared" si="27"/>
        <v>433.12636825714293</v>
      </c>
      <c r="O307" s="333">
        <f t="shared" si="27"/>
        <v>435.23148148148147</v>
      </c>
    </row>
    <row r="308" spans="1:15" ht="13.8">
      <c r="A308" s="8"/>
      <c r="B308" s="360"/>
      <c r="C308" s="42"/>
      <c r="D308" s="8" t="str">
        <f>D290</f>
        <v>Sugars</v>
      </c>
      <c r="E308" s="8"/>
      <c r="F308" s="307" t="str">
        <f>F$307</f>
        <v>($ MM)</v>
      </c>
      <c r="G308" s="8"/>
      <c r="H308" s="333">
        <f t="shared" si="27"/>
        <v>253</v>
      </c>
      <c r="I308" s="333">
        <f t="shared" si="27"/>
        <v>273.60000000000002</v>
      </c>
      <c r="J308" s="333">
        <f t="shared" si="27"/>
        <v>283.20000000000005</v>
      </c>
      <c r="K308" s="333">
        <f t="shared" si="27"/>
        <v>301.89120000000008</v>
      </c>
      <c r="L308" s="333">
        <f t="shared" si="27"/>
        <v>318.70653984000006</v>
      </c>
      <c r="M308" s="333">
        <f t="shared" si="27"/>
        <v>334.83309075590404</v>
      </c>
      <c r="N308" s="333">
        <f t="shared" si="27"/>
        <v>353.50003556554572</v>
      </c>
      <c r="O308" s="333">
        <f t="shared" si="27"/>
        <v>371.74772667374998</v>
      </c>
    </row>
    <row r="309" spans="1:15" ht="13.8">
      <c r="A309" s="8"/>
      <c r="B309" s="360"/>
      <c r="C309" s="42"/>
      <c r="D309" s="8" t="str">
        <f>D291</f>
        <v>Packaging</v>
      </c>
      <c r="E309" s="8"/>
      <c r="F309" s="307" t="str">
        <f>F$307</f>
        <v>($ MM)</v>
      </c>
      <c r="G309" s="8"/>
      <c r="H309" s="333">
        <f t="shared" si="27"/>
        <v>25.299999999999997</v>
      </c>
      <c r="I309" s="333">
        <f t="shared" si="27"/>
        <v>27.36</v>
      </c>
      <c r="J309" s="333">
        <f t="shared" si="27"/>
        <v>29.5</v>
      </c>
      <c r="K309" s="333">
        <f t="shared" si="27"/>
        <v>33.134400000000007</v>
      </c>
      <c r="L309" s="333">
        <f t="shared" si="27"/>
        <v>34.979986080000003</v>
      </c>
      <c r="M309" s="333">
        <f t="shared" si="27"/>
        <v>36.749973375648011</v>
      </c>
      <c r="N309" s="333">
        <f t="shared" si="27"/>
        <v>38.798784391340384</v>
      </c>
      <c r="O309" s="333">
        <f t="shared" si="27"/>
        <v>40.801579756875</v>
      </c>
    </row>
    <row r="310" spans="1:15">
      <c r="A310" s="8"/>
      <c r="B310" s="8"/>
      <c r="C310" s="8"/>
      <c r="D310" s="141" t="s">
        <v>195</v>
      </c>
      <c r="E310" s="42"/>
      <c r="F310" s="328" t="str">
        <f>F$307</f>
        <v>($ MM)</v>
      </c>
      <c r="G310" s="42"/>
      <c r="H310" s="371">
        <f t="shared" ref="H310:O310" si="28">SUM(H307:H309)</f>
        <v>569.70350877192982</v>
      </c>
      <c r="I310" s="371">
        <f t="shared" si="28"/>
        <v>591.14181818181817</v>
      </c>
      <c r="J310" s="371">
        <f t="shared" si="28"/>
        <v>651.40370370370374</v>
      </c>
      <c r="K310" s="371">
        <f t="shared" si="28"/>
        <v>710.00337777777793</v>
      </c>
      <c r="L310" s="371">
        <f t="shared" si="28"/>
        <v>754.78715749894741</v>
      </c>
      <c r="M310" s="371">
        <f t="shared" si="28"/>
        <v>785.86430813155209</v>
      </c>
      <c r="N310" s="371">
        <f t="shared" si="28"/>
        <v>825.42518821402905</v>
      </c>
      <c r="O310" s="371">
        <f t="shared" si="28"/>
        <v>847.78078791210635</v>
      </c>
    </row>
    <row r="311" spans="1:15" ht="6" customHeight="1">
      <c r="A311" s="8"/>
      <c r="B311" s="8"/>
      <c r="C311" s="90"/>
      <c r="D311" s="8"/>
      <c r="E311" s="8"/>
      <c r="F311" s="307"/>
      <c r="G311" s="8"/>
      <c r="H311" s="367"/>
      <c r="I311" s="367"/>
      <c r="J311" s="367"/>
      <c r="K311" s="367"/>
      <c r="L311" s="367"/>
      <c r="M311" s="367"/>
      <c r="N311" s="367"/>
      <c r="O311" s="367"/>
    </row>
    <row r="312" spans="1:15" ht="13.35" customHeight="1">
      <c r="A312" s="8"/>
      <c r="B312" s="8"/>
      <c r="C312" s="42" t="s">
        <v>196</v>
      </c>
      <c r="D312" s="90"/>
      <c r="E312" s="8"/>
      <c r="F312" s="328"/>
      <c r="G312" s="8"/>
      <c r="H312" s="8"/>
      <c r="I312" s="8"/>
      <c r="J312" s="372"/>
      <c r="K312" s="372"/>
      <c r="L312" s="372"/>
      <c r="M312" s="372"/>
      <c r="N312" s="372"/>
      <c r="O312" s="372"/>
    </row>
    <row r="313" spans="1:15" ht="13.35" customHeight="1">
      <c r="A313" s="8"/>
      <c r="B313" s="8"/>
      <c r="C313" s="42"/>
      <c r="D313" s="8" t="str">
        <f>D295</f>
        <v>Energy</v>
      </c>
      <c r="E313" s="8"/>
      <c r="F313" s="307" t="str">
        <f t="shared" ref="F313:F318" si="29">F$307</f>
        <v>($ MM)</v>
      </c>
      <c r="G313" s="8"/>
      <c r="H313" s="373">
        <v>35</v>
      </c>
      <c r="I313" s="373">
        <v>35.799999999999997</v>
      </c>
      <c r="J313" s="373">
        <v>37</v>
      </c>
      <c r="K313" s="374">
        <f>E73</f>
        <v>41</v>
      </c>
      <c r="L313" s="374">
        <f t="shared" ref="L313:O317" si="30">K313*(1+L$280)</f>
        <v>41.82</v>
      </c>
      <c r="M313" s="374">
        <f t="shared" si="30"/>
        <v>42.656399999999998</v>
      </c>
      <c r="N313" s="374">
        <f t="shared" si="30"/>
        <v>43.722809999999996</v>
      </c>
      <c r="O313" s="374">
        <f t="shared" si="30"/>
        <v>44.815880249999992</v>
      </c>
    </row>
    <row r="314" spans="1:15" ht="13.35" customHeight="1">
      <c r="A314" s="8"/>
      <c r="B314" s="8"/>
      <c r="C314" s="42"/>
      <c r="D314" s="90" t="str">
        <f>D296</f>
        <v>Supplies</v>
      </c>
      <c r="E314" s="8"/>
      <c r="F314" s="307" t="str">
        <f t="shared" si="29"/>
        <v>($ MM)</v>
      </c>
      <c r="G314" s="8"/>
      <c r="H314" s="373">
        <v>28.6</v>
      </c>
      <c r="I314" s="373">
        <v>26.4</v>
      </c>
      <c r="J314" s="373">
        <v>30.8</v>
      </c>
      <c r="K314" s="374">
        <f>E74</f>
        <v>31.2</v>
      </c>
      <c r="L314" s="374">
        <f t="shared" si="30"/>
        <v>31.823999999999998</v>
      </c>
      <c r="M314" s="374">
        <f t="shared" si="30"/>
        <v>32.460479999999997</v>
      </c>
      <c r="N314" s="374">
        <f t="shared" si="30"/>
        <v>33.271991999999997</v>
      </c>
      <c r="O314" s="374">
        <f t="shared" si="30"/>
        <v>34.103791799999996</v>
      </c>
    </row>
    <row r="315" spans="1:15" ht="13.35" customHeight="1">
      <c r="A315" s="8"/>
      <c r="B315" s="8"/>
      <c r="C315" s="42"/>
      <c r="D315" s="8" t="str">
        <f>D297</f>
        <v>Operating Labour</v>
      </c>
      <c r="E315" s="8"/>
      <c r="F315" s="307" t="str">
        <f t="shared" si="29"/>
        <v>($ MM)</v>
      </c>
      <c r="G315" s="8"/>
      <c r="H315" s="373">
        <v>57</v>
      </c>
      <c r="I315" s="373">
        <v>60.4</v>
      </c>
      <c r="J315" s="373">
        <v>62.4</v>
      </c>
      <c r="K315" s="374">
        <f>E75</f>
        <v>66.400000000000006</v>
      </c>
      <c r="L315" s="374">
        <f t="shared" si="30"/>
        <v>67.728000000000009</v>
      </c>
      <c r="M315" s="374">
        <f t="shared" si="30"/>
        <v>69.082560000000015</v>
      </c>
      <c r="N315" s="374">
        <f t="shared" si="30"/>
        <v>70.809624000000014</v>
      </c>
      <c r="O315" s="374">
        <f t="shared" si="30"/>
        <v>72.579864600000008</v>
      </c>
    </row>
    <row r="316" spans="1:15" ht="13.35" customHeight="1">
      <c r="A316" s="8"/>
      <c r="B316" s="8"/>
      <c r="C316" s="42"/>
      <c r="D316" s="8" t="str">
        <f>D298</f>
        <v>Salaries &amp; Benefits</v>
      </c>
      <c r="E316" s="8"/>
      <c r="F316" s="307" t="str">
        <f t="shared" si="29"/>
        <v>($ MM)</v>
      </c>
      <c r="G316" s="8"/>
      <c r="H316" s="373">
        <v>7</v>
      </c>
      <c r="I316" s="373">
        <v>7.4</v>
      </c>
      <c r="J316" s="373">
        <v>7.8</v>
      </c>
      <c r="K316" s="374">
        <f>E76</f>
        <v>8.1999999999999993</v>
      </c>
      <c r="L316" s="374">
        <f t="shared" si="30"/>
        <v>8.363999999999999</v>
      </c>
      <c r="M316" s="374">
        <f t="shared" si="30"/>
        <v>8.5312799999999989</v>
      </c>
      <c r="N316" s="374">
        <f t="shared" si="30"/>
        <v>8.7445619999999984</v>
      </c>
      <c r="O316" s="374">
        <f t="shared" si="30"/>
        <v>8.9631760499999977</v>
      </c>
    </row>
    <row r="317" spans="1:15" ht="13.35" customHeight="1">
      <c r="A317" s="8"/>
      <c r="B317" s="8"/>
      <c r="C317" s="42"/>
      <c r="D317" s="8" t="str">
        <f>D299</f>
        <v>Other</v>
      </c>
      <c r="E317" s="8"/>
      <c r="F317" s="307" t="str">
        <f t="shared" si="29"/>
        <v>($ MM)</v>
      </c>
      <c r="G317" s="8"/>
      <c r="H317" s="373">
        <v>2.4</v>
      </c>
      <c r="I317" s="373">
        <v>3</v>
      </c>
      <c r="J317" s="373">
        <v>4</v>
      </c>
      <c r="K317" s="374">
        <f>E77</f>
        <v>4.2</v>
      </c>
      <c r="L317" s="374">
        <f t="shared" si="30"/>
        <v>4.2840000000000007</v>
      </c>
      <c r="M317" s="374">
        <f t="shared" si="30"/>
        <v>4.3696800000000007</v>
      </c>
      <c r="N317" s="374">
        <f t="shared" si="30"/>
        <v>4.4789220000000007</v>
      </c>
      <c r="O317" s="374">
        <f t="shared" si="30"/>
        <v>4.5908950500000003</v>
      </c>
    </row>
    <row r="318" spans="1:15" ht="12.75" customHeight="1">
      <c r="A318" s="8"/>
      <c r="B318" s="8"/>
      <c r="C318" s="8"/>
      <c r="D318" s="42" t="s">
        <v>197</v>
      </c>
      <c r="E318" s="8"/>
      <c r="F318" s="328" t="str">
        <f t="shared" si="29"/>
        <v>($ MM)</v>
      </c>
      <c r="G318" s="8"/>
      <c r="H318" s="371">
        <f t="shared" ref="H318:O318" si="31">SUM(H313:H317)</f>
        <v>130</v>
      </c>
      <c r="I318" s="371">
        <f t="shared" si="31"/>
        <v>133</v>
      </c>
      <c r="J318" s="371">
        <f t="shared" si="31"/>
        <v>142</v>
      </c>
      <c r="K318" s="371">
        <f t="shared" si="31"/>
        <v>151</v>
      </c>
      <c r="L318" s="375">
        <f t="shared" si="31"/>
        <v>154.02000000000001</v>
      </c>
      <c r="M318" s="375">
        <f t="shared" si="31"/>
        <v>157.10040000000001</v>
      </c>
      <c r="N318" s="375">
        <f t="shared" si="31"/>
        <v>161.02791000000002</v>
      </c>
      <c r="O318" s="375">
        <f t="shared" si="31"/>
        <v>165.05360774999997</v>
      </c>
    </row>
    <row r="319" spans="1:15" ht="6" customHeight="1">
      <c r="A319" s="8"/>
      <c r="B319" s="8"/>
      <c r="C319" s="90"/>
      <c r="D319" s="90"/>
      <c r="E319" s="8"/>
      <c r="F319" s="307"/>
      <c r="G319" s="8"/>
      <c r="H319" s="376"/>
      <c r="I319" s="376"/>
      <c r="J319" s="376"/>
      <c r="K319" s="367"/>
      <c r="L319" s="367"/>
      <c r="M319" s="367"/>
      <c r="N319" s="367"/>
      <c r="O319" s="367"/>
    </row>
    <row r="320" spans="1:15" ht="13.8" thickBot="1">
      <c r="A320" s="8"/>
      <c r="B320" s="8"/>
      <c r="C320" s="141" t="s">
        <v>198</v>
      </c>
      <c r="D320" s="8"/>
      <c r="E320" s="8"/>
      <c r="F320" s="328" t="str">
        <f>F$307</f>
        <v>($ MM)</v>
      </c>
      <c r="G320" s="8"/>
      <c r="H320" s="368">
        <f t="shared" ref="H320:O320" si="32">H318+H310</f>
        <v>699.70350877192982</v>
      </c>
      <c r="I320" s="368">
        <f t="shared" si="32"/>
        <v>724.14181818181817</v>
      </c>
      <c r="J320" s="368">
        <f t="shared" si="32"/>
        <v>793.40370370370374</v>
      </c>
      <c r="K320" s="368">
        <f t="shared" si="32"/>
        <v>861.00337777777793</v>
      </c>
      <c r="L320" s="368">
        <f t="shared" si="32"/>
        <v>908.80715749894739</v>
      </c>
      <c r="M320" s="368">
        <f t="shared" si="32"/>
        <v>942.96470813155213</v>
      </c>
      <c r="N320" s="368">
        <f t="shared" si="32"/>
        <v>986.45309821402907</v>
      </c>
      <c r="O320" s="368">
        <f t="shared" si="32"/>
        <v>1012.8343956621063</v>
      </c>
    </row>
    <row r="321" spans="1:15" ht="12.75" customHeight="1" thickTop="1">
      <c r="A321" s="8"/>
      <c r="B321" s="377"/>
      <c r="C321" s="45"/>
      <c r="D321" s="35"/>
      <c r="E321" s="35"/>
      <c r="F321" s="378"/>
      <c r="G321" s="35"/>
      <c r="H321" s="35"/>
      <c r="I321" s="35"/>
      <c r="J321" s="379"/>
      <c r="K321" s="379"/>
      <c r="L321" s="379"/>
      <c r="M321" s="379"/>
      <c r="N321" s="379"/>
      <c r="O321" s="379"/>
    </row>
    <row r="322" spans="1:15">
      <c r="A322" s="8"/>
      <c r="B322" s="8"/>
      <c r="C322" s="8"/>
      <c r="D322" s="8"/>
      <c r="E322" s="8"/>
      <c r="F322" s="301"/>
      <c r="G322" s="8"/>
      <c r="H322" s="380"/>
      <c r="I322" s="380"/>
      <c r="J322" s="380"/>
      <c r="K322" s="380"/>
      <c r="L322" s="380"/>
      <c r="M322" s="380"/>
      <c r="N322" s="380"/>
      <c r="O322" s="380"/>
    </row>
    <row r="323" spans="1:15">
      <c r="A323" s="8"/>
      <c r="B323" s="8"/>
      <c r="C323" s="8"/>
      <c r="D323" s="8"/>
      <c r="E323" s="8"/>
      <c r="F323" s="301"/>
      <c r="G323" s="8"/>
      <c r="H323" s="380"/>
      <c r="I323" s="380"/>
      <c r="J323" s="380"/>
      <c r="K323" s="380"/>
      <c r="L323" s="380"/>
      <c r="M323" s="380"/>
      <c r="N323" s="380"/>
      <c r="O323" s="380"/>
    </row>
    <row r="324" spans="1:15" ht="12.75" customHeight="1">
      <c r="A324" s="291"/>
      <c r="B324" s="86"/>
      <c r="C324" s="3"/>
      <c r="D324" s="3"/>
      <c r="E324" s="3"/>
      <c r="F324" s="289"/>
      <c r="G324" s="3"/>
      <c r="H324" s="3"/>
      <c r="I324" s="3"/>
      <c r="J324" s="3"/>
      <c r="K324" s="3"/>
      <c r="L324" s="3"/>
      <c r="M324" s="3"/>
      <c r="N324" s="3"/>
      <c r="O324" s="338" t="str">
        <f>$O$236</f>
        <v>CURRENTLY RUNNING: BASE CASE SCENARIO</v>
      </c>
    </row>
    <row r="325" spans="1:15" ht="22.8" customHeight="1">
      <c r="A325" s="291"/>
      <c r="B325" s="86" t="str">
        <f>$B$3</f>
        <v>Moonbucks Corp.</v>
      </c>
      <c r="C325" s="3"/>
      <c r="D325" s="3"/>
      <c r="E325" s="3"/>
      <c r="F325" s="289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18.75" customHeight="1">
      <c r="A326" s="292"/>
      <c r="B326" s="293" t="s">
        <v>200</v>
      </c>
      <c r="C326" s="294"/>
      <c r="D326" s="294"/>
      <c r="E326" s="294"/>
      <c r="F326" s="295"/>
      <c r="G326" s="294"/>
      <c r="H326" s="294"/>
      <c r="I326" s="294"/>
      <c r="J326" s="294"/>
      <c r="K326" s="339"/>
      <c r="L326" s="339"/>
      <c r="M326" s="339"/>
      <c r="N326" s="339"/>
      <c r="O326" s="339"/>
    </row>
    <row r="327" spans="1:15" ht="6" customHeight="1" thickBot="1">
      <c r="A327" s="292"/>
      <c r="B327" s="296"/>
      <c r="C327" s="297"/>
      <c r="D327" s="297"/>
      <c r="E327" s="297"/>
      <c r="F327" s="298"/>
      <c r="G327" s="297"/>
      <c r="H327" s="297"/>
      <c r="I327" s="297"/>
      <c r="J327" s="297"/>
      <c r="K327" s="340"/>
      <c r="L327" s="340"/>
      <c r="M327" s="340"/>
      <c r="N327" s="340"/>
      <c r="O327" s="340"/>
    </row>
    <row r="328" spans="1:15" ht="12.75" customHeight="1">
      <c r="A328" s="293"/>
      <c r="B328" s="294"/>
      <c r="C328" s="294"/>
      <c r="D328" s="294"/>
      <c r="E328" s="294"/>
      <c r="F328" s="295"/>
      <c r="G328" s="294"/>
      <c r="H328" s="294"/>
      <c r="I328" s="294"/>
      <c r="J328" s="294"/>
      <c r="K328" s="339"/>
      <c r="L328" s="339"/>
      <c r="M328" s="339"/>
      <c r="N328" s="339"/>
      <c r="O328" s="339"/>
    </row>
    <row r="329" spans="1:15" ht="13.8">
      <c r="A329" s="8"/>
      <c r="B329" s="8"/>
      <c r="C329" s="8"/>
      <c r="D329" s="8"/>
      <c r="E329" s="8"/>
      <c r="F329" s="301"/>
      <c r="G329" s="302"/>
      <c r="H329" s="8"/>
      <c r="I329" s="8"/>
      <c r="J329" s="8"/>
      <c r="K329" s="303" t="s">
        <v>170</v>
      </c>
      <c r="L329" s="113"/>
      <c r="M329" s="113"/>
      <c r="N329" s="113"/>
      <c r="O329" s="113"/>
    </row>
    <row r="330" spans="1:15">
      <c r="A330" s="8"/>
      <c r="B330" s="8"/>
      <c r="C330" s="8"/>
      <c r="D330" s="8"/>
      <c r="E330" s="8"/>
      <c r="F330" s="301"/>
      <c r="G330" s="50"/>
      <c r="H330" s="304">
        <f t="shared" ref="H330:O330" si="33">H$242</f>
        <v>2019</v>
      </c>
      <c r="I330" s="304">
        <f t="shared" si="33"/>
        <v>2020</v>
      </c>
      <c r="J330" s="304">
        <f t="shared" si="33"/>
        <v>2021</v>
      </c>
      <c r="K330" s="343">
        <f t="shared" si="33"/>
        <v>2022</v>
      </c>
      <c r="L330" s="343">
        <f t="shared" si="33"/>
        <v>2023</v>
      </c>
      <c r="M330" s="343">
        <f t="shared" si="33"/>
        <v>2024</v>
      </c>
      <c r="N330" s="343">
        <f t="shared" si="33"/>
        <v>2025</v>
      </c>
      <c r="O330" s="343">
        <f t="shared" si="33"/>
        <v>2026</v>
      </c>
    </row>
    <row r="331" spans="1:15" ht="6" customHeight="1">
      <c r="A331" s="8"/>
      <c r="B331" s="8"/>
      <c r="C331" s="8"/>
      <c r="D331" s="8"/>
      <c r="E331" s="8"/>
      <c r="F331" s="301"/>
      <c r="G331" s="50"/>
      <c r="H331" s="50"/>
      <c r="I331" s="50"/>
      <c r="J331" s="50"/>
      <c r="K331" s="381"/>
      <c r="L331" s="381"/>
      <c r="M331" s="381"/>
      <c r="N331" s="54"/>
      <c r="O331" s="54"/>
    </row>
    <row r="332" spans="1:15">
      <c r="A332" s="8"/>
      <c r="B332" s="344" t="s">
        <v>183</v>
      </c>
      <c r="C332" s="345"/>
      <c r="D332" s="345"/>
      <c r="E332" s="345"/>
      <c r="F332" s="346" t="s">
        <v>182</v>
      </c>
      <c r="G332" s="347"/>
      <c r="H332" s="382">
        <f t="shared" ref="H332:O332" si="34">H260</f>
        <v>11</v>
      </c>
      <c r="I332" s="382">
        <f t="shared" si="34"/>
        <v>11.4</v>
      </c>
      <c r="J332" s="382">
        <f t="shared" si="34"/>
        <v>11.8</v>
      </c>
      <c r="K332" s="382">
        <f t="shared" si="34"/>
        <v>12.272000000000002</v>
      </c>
      <c r="L332" s="382">
        <f t="shared" si="34"/>
        <v>12.70152</v>
      </c>
      <c r="M332" s="382">
        <f t="shared" si="34"/>
        <v>13.082565600000001</v>
      </c>
      <c r="N332" s="382">
        <f t="shared" si="34"/>
        <v>13.475042568000001</v>
      </c>
      <c r="O332" s="383">
        <f t="shared" si="34"/>
        <v>13.824999999999999</v>
      </c>
    </row>
    <row r="333" spans="1:15">
      <c r="A333" s="8"/>
      <c r="B333" s="356" t="s">
        <v>6</v>
      </c>
      <c r="C333" s="318"/>
      <c r="D333" s="318"/>
      <c r="E333" s="318"/>
      <c r="F333" s="332" t="s">
        <v>175</v>
      </c>
      <c r="G333" s="357"/>
      <c r="H333" s="384"/>
      <c r="I333" s="384"/>
      <c r="J333" s="384"/>
      <c r="K333" s="641">
        <f>K$211</f>
        <v>0.02</v>
      </c>
      <c r="L333" s="641">
        <f t="shared" ref="L333:O333" si="35">L$211</f>
        <v>0.02</v>
      </c>
      <c r="M333" s="641">
        <f t="shared" si="35"/>
        <v>0.02</v>
      </c>
      <c r="N333" s="641">
        <f t="shared" si="35"/>
        <v>2.5000000000000001E-2</v>
      </c>
      <c r="O333" s="641">
        <f t="shared" si="35"/>
        <v>2.5000000000000001E-2</v>
      </c>
    </row>
    <row r="334" spans="1:15" ht="6" customHeight="1">
      <c r="A334" s="8"/>
      <c r="B334" s="8"/>
      <c r="C334" s="8"/>
      <c r="D334" s="8"/>
      <c r="E334" s="8"/>
      <c r="F334" s="307"/>
      <c r="G334" s="50"/>
      <c r="H334" s="50"/>
      <c r="I334" s="50"/>
      <c r="J334" s="50"/>
      <c r="K334" s="381"/>
      <c r="L334" s="381"/>
      <c r="M334" s="381"/>
      <c r="N334" s="54"/>
      <c r="O334" s="54"/>
    </row>
    <row r="335" spans="1:15">
      <c r="A335" s="8"/>
      <c r="B335" s="42" t="s">
        <v>10</v>
      </c>
      <c r="C335" s="8"/>
      <c r="D335" s="8"/>
      <c r="E335" s="8"/>
      <c r="F335" s="307"/>
      <c r="G335" s="50"/>
      <c r="H335" s="60"/>
    </row>
    <row r="336" spans="1:15">
      <c r="A336" s="8"/>
      <c r="B336" s="8"/>
      <c r="C336" s="8" t="s">
        <v>5</v>
      </c>
      <c r="D336" s="8"/>
      <c r="E336" s="8"/>
      <c r="F336" s="307" t="s">
        <v>186</v>
      </c>
      <c r="G336" s="50"/>
      <c r="H336" s="385">
        <f t="shared" ref="H336:O337" si="36">H266</f>
        <v>903.09999999999991</v>
      </c>
      <c r="I336" s="385">
        <f t="shared" si="36"/>
        <v>954.18000000000006</v>
      </c>
      <c r="J336" s="385">
        <f t="shared" si="36"/>
        <v>1003.826</v>
      </c>
      <c r="K336" s="385">
        <f t="shared" si="36"/>
        <v>1056.6192000000001</v>
      </c>
      <c r="L336" s="385">
        <f t="shared" si="36"/>
        <v>1117.7337600000001</v>
      </c>
      <c r="M336" s="385">
        <f t="shared" si="36"/>
        <v>1182.6639302400001</v>
      </c>
      <c r="N336" s="385">
        <f t="shared" si="36"/>
        <v>1250.4839503104001</v>
      </c>
      <c r="O336" s="385">
        <f t="shared" si="36"/>
        <v>1313.375</v>
      </c>
    </row>
    <row r="337" spans="1:15">
      <c r="A337" s="8"/>
      <c r="B337" s="8"/>
      <c r="C337" s="90" t="s">
        <v>111</v>
      </c>
      <c r="D337" s="8"/>
      <c r="E337" s="8"/>
      <c r="F337" s="307" t="s">
        <v>186</v>
      </c>
      <c r="G337" s="50"/>
      <c r="H337" s="386">
        <f t="shared" si="36"/>
        <v>26.630780000000001</v>
      </c>
      <c r="I337" s="386">
        <f t="shared" si="36"/>
        <v>27.882918000000004</v>
      </c>
      <c r="J337" s="386">
        <f t="shared" si="36"/>
        <v>23.128236000000001</v>
      </c>
      <c r="K337" s="386">
        <f t="shared" si="36"/>
        <v>21.132384000000002</v>
      </c>
      <c r="L337" s="386">
        <f t="shared" si="36"/>
        <v>22.354675199999999</v>
      </c>
      <c r="M337" s="386">
        <f t="shared" si="36"/>
        <v>23.653278604800001</v>
      </c>
      <c r="N337" s="386">
        <f t="shared" si="36"/>
        <v>25.009679006208</v>
      </c>
      <c r="O337" s="386">
        <f t="shared" si="36"/>
        <v>26.267500000000002</v>
      </c>
    </row>
    <row r="338" spans="1:15">
      <c r="A338" s="8"/>
      <c r="B338" s="8"/>
      <c r="C338" s="42" t="s">
        <v>187</v>
      </c>
      <c r="D338" s="8"/>
      <c r="E338" s="8"/>
      <c r="F338" s="328" t="s">
        <v>186</v>
      </c>
      <c r="G338" s="50"/>
      <c r="H338" s="640">
        <f>H336 - H337</f>
        <v>876.46921999999995</v>
      </c>
      <c r="I338" s="640">
        <f t="shared" ref="I338:J338" si="37">I336 - I337</f>
        <v>926.29708200000005</v>
      </c>
      <c r="J338" s="640">
        <f t="shared" si="37"/>
        <v>980.69776400000001</v>
      </c>
      <c r="K338" s="640">
        <f xml:space="preserve"> K336 - K337</f>
        <v>1035.4868160000001</v>
      </c>
      <c r="L338" s="640">
        <f t="shared" ref="L338:O338" si="38" xml:space="preserve"> L336 - L337</f>
        <v>1095.3790848000001</v>
      </c>
      <c r="M338" s="640">
        <f t="shared" si="38"/>
        <v>1159.0106516352</v>
      </c>
      <c r="N338" s="640">
        <f t="shared" si="38"/>
        <v>1225.4742713041921</v>
      </c>
      <c r="O338" s="640">
        <f t="shared" si="38"/>
        <v>1287.1075000000001</v>
      </c>
    </row>
    <row r="339" spans="1:15">
      <c r="A339" s="8"/>
      <c r="B339" s="8"/>
      <c r="C339" s="8"/>
      <c r="D339" s="8"/>
      <c r="E339" s="8"/>
      <c r="F339" s="307"/>
      <c r="G339" s="50"/>
      <c r="H339" s="387"/>
      <c r="I339" s="387"/>
      <c r="J339" s="387"/>
    </row>
    <row r="340" spans="1:15">
      <c r="A340" s="8"/>
      <c r="B340" s="8"/>
      <c r="C340" s="8" t="s">
        <v>201</v>
      </c>
      <c r="D340" s="8"/>
      <c r="E340" s="8"/>
      <c r="F340" s="307" t="s">
        <v>186</v>
      </c>
      <c r="G340" s="50"/>
      <c r="H340" s="385">
        <f t="shared" ref="H340:O340" si="39">H320</f>
        <v>699.70350877192982</v>
      </c>
      <c r="I340" s="385">
        <f t="shared" si="39"/>
        <v>724.14181818181817</v>
      </c>
      <c r="J340" s="385">
        <f t="shared" si="39"/>
        <v>793.40370370370374</v>
      </c>
      <c r="K340" s="385">
        <f t="shared" si="39"/>
        <v>861.00337777777793</v>
      </c>
      <c r="L340" s="385">
        <f t="shared" si="39"/>
        <v>908.80715749894739</v>
      </c>
      <c r="M340" s="385">
        <f t="shared" si="39"/>
        <v>942.96470813155213</v>
      </c>
      <c r="N340" s="385">
        <f t="shared" si="39"/>
        <v>986.45309821402907</v>
      </c>
      <c r="O340" s="385">
        <f t="shared" si="39"/>
        <v>1012.8343956621063</v>
      </c>
    </row>
    <row r="341" spans="1:15">
      <c r="A341" s="361"/>
      <c r="B341" s="8"/>
      <c r="C341" s="94" t="s">
        <v>202</v>
      </c>
      <c r="D341" s="8"/>
      <c r="E341" s="8"/>
      <c r="F341" s="307" t="s">
        <v>186</v>
      </c>
      <c r="G341" s="50"/>
      <c r="H341" s="388">
        <v>38.299999999999997</v>
      </c>
      <c r="I341" s="388">
        <v>42.1</v>
      </c>
      <c r="J341" s="388">
        <v>40.1</v>
      </c>
      <c r="K341" s="389">
        <f>E78</f>
        <v>45.2</v>
      </c>
      <c r="L341" s="389">
        <f>K341*(1+L333)</f>
        <v>46.104000000000006</v>
      </c>
      <c r="M341" s="389">
        <f>L341*(1+M333)</f>
        <v>47.026080000000007</v>
      </c>
      <c r="N341" s="389">
        <f>M341*(1+N333)</f>
        <v>48.201732000000007</v>
      </c>
      <c r="O341" s="389">
        <f>N341*(1+O333)</f>
        <v>49.4067753</v>
      </c>
    </row>
    <row r="342" spans="1:15">
      <c r="A342" s="8"/>
      <c r="B342" s="8"/>
      <c r="C342" s="306" t="s">
        <v>203</v>
      </c>
      <c r="D342" s="8"/>
      <c r="E342" s="8"/>
      <c r="F342" s="328" t="s">
        <v>186</v>
      </c>
      <c r="G342" s="50"/>
      <c r="H342" s="390">
        <f t="shared" ref="H342:O342" si="40">SUM(H340:H341)</f>
        <v>738.00350877192977</v>
      </c>
      <c r="I342" s="390">
        <f t="shared" si="40"/>
        <v>766.24181818181819</v>
      </c>
      <c r="J342" s="390">
        <f t="shared" si="40"/>
        <v>833.50370370370376</v>
      </c>
      <c r="K342" s="390">
        <f t="shared" si="40"/>
        <v>906.20337777777797</v>
      </c>
      <c r="L342" s="390">
        <f t="shared" si="40"/>
        <v>954.91115749894743</v>
      </c>
      <c r="M342" s="390">
        <f t="shared" si="40"/>
        <v>989.99078813155211</v>
      </c>
      <c r="N342" s="390">
        <f t="shared" si="40"/>
        <v>1034.6548302140291</v>
      </c>
      <c r="O342" s="390">
        <f t="shared" si="40"/>
        <v>1062.2411709621063</v>
      </c>
    </row>
    <row r="343" spans="1:15">
      <c r="A343" s="8"/>
      <c r="B343" s="8"/>
      <c r="C343" s="306"/>
      <c r="D343" s="8"/>
      <c r="E343" s="8"/>
      <c r="F343" s="328"/>
      <c r="G343" s="50"/>
      <c r="H343" s="391"/>
      <c r="I343" s="391"/>
      <c r="J343" s="391"/>
      <c r="K343" s="391"/>
      <c r="L343" s="391"/>
      <c r="M343" s="391"/>
      <c r="N343" s="391"/>
      <c r="O343" s="391"/>
    </row>
    <row r="344" spans="1:15">
      <c r="A344" s="8"/>
      <c r="B344" s="8"/>
      <c r="C344" s="392" t="s">
        <v>204</v>
      </c>
      <c r="D344" s="392"/>
      <c r="E344" s="392"/>
      <c r="F344" s="307" t="s">
        <v>186</v>
      </c>
      <c r="G344" s="50"/>
      <c r="H344" s="388">
        <v>0</v>
      </c>
      <c r="I344" s="388">
        <v>0</v>
      </c>
      <c r="J344" s="386">
        <f t="shared" ref="J344:O344" si="41">F110</f>
        <v>11</v>
      </c>
      <c r="K344" s="386">
        <f t="shared" si="41"/>
        <v>11</v>
      </c>
      <c r="L344" s="386">
        <f t="shared" si="41"/>
        <v>18</v>
      </c>
      <c r="M344" s="386">
        <f t="shared" si="41"/>
        <v>25</v>
      </c>
      <c r="N344" s="386">
        <f t="shared" si="41"/>
        <v>30</v>
      </c>
      <c r="O344" s="386">
        <f t="shared" si="41"/>
        <v>35</v>
      </c>
    </row>
    <row r="345" spans="1:15">
      <c r="A345" s="8"/>
      <c r="B345" s="42"/>
      <c r="C345" s="42" t="s">
        <v>205</v>
      </c>
      <c r="D345" s="8"/>
      <c r="E345" s="8"/>
      <c r="F345" s="328" t="s">
        <v>186</v>
      </c>
      <c r="G345" s="8"/>
      <c r="H345" s="366">
        <f t="shared" ref="H345:O345" si="42">H338-H342+H344</f>
        <v>138.46571122807018</v>
      </c>
      <c r="I345" s="366">
        <f t="shared" si="42"/>
        <v>160.05526381818186</v>
      </c>
      <c r="J345" s="366">
        <f t="shared" si="42"/>
        <v>158.19406029629624</v>
      </c>
      <c r="K345" s="393">
        <f t="shared" si="42"/>
        <v>140.28343822222212</v>
      </c>
      <c r="L345" s="393">
        <f t="shared" si="42"/>
        <v>158.46792730105267</v>
      </c>
      <c r="M345" s="393">
        <f t="shared" si="42"/>
        <v>194.01986350364791</v>
      </c>
      <c r="N345" s="393">
        <f t="shared" si="42"/>
        <v>220.81944109016308</v>
      </c>
      <c r="O345" s="393">
        <f t="shared" si="42"/>
        <v>259.86632903789382</v>
      </c>
    </row>
    <row r="346" spans="1:15">
      <c r="A346" s="8"/>
      <c r="B346" s="8"/>
      <c r="C346" s="8"/>
      <c r="D346" s="8"/>
      <c r="E346" s="8"/>
      <c r="F346" s="307"/>
      <c r="G346" s="8"/>
      <c r="H346" s="367"/>
      <c r="I346" s="367"/>
      <c r="J346" s="394"/>
      <c r="K346" s="394"/>
      <c r="L346" s="394"/>
      <c r="M346" s="394"/>
      <c r="N346" s="394"/>
      <c r="O346" s="394"/>
    </row>
    <row r="347" spans="1:15" ht="12.75" customHeight="1">
      <c r="A347" s="8"/>
      <c r="B347" s="8"/>
      <c r="C347" s="8" t="s">
        <v>206</v>
      </c>
      <c r="D347" s="8"/>
      <c r="E347" s="8"/>
      <c r="F347" s="307" t="s">
        <v>186</v>
      </c>
      <c r="G347" s="8"/>
      <c r="H347" s="334">
        <f t="shared" ref="H347:O347" si="43">H483</f>
        <v>54.8</v>
      </c>
      <c r="I347" s="334">
        <f t="shared" si="43"/>
        <v>55.2</v>
      </c>
      <c r="J347" s="334">
        <f t="shared" si="43"/>
        <v>56.4</v>
      </c>
      <c r="K347" s="334">
        <f t="shared" si="43"/>
        <v>63.06</v>
      </c>
      <c r="L347" s="334">
        <f t="shared" si="43"/>
        <v>65.540000000000006</v>
      </c>
      <c r="M347" s="334">
        <f t="shared" si="43"/>
        <v>68.125600000000006</v>
      </c>
      <c r="N347" s="334">
        <f t="shared" si="43"/>
        <v>70.769440000000003</v>
      </c>
      <c r="O347" s="334">
        <f t="shared" si="43"/>
        <v>74.079375999999996</v>
      </c>
    </row>
    <row r="348" spans="1:15">
      <c r="A348" s="8"/>
      <c r="B348" s="8"/>
      <c r="C348" s="306" t="s">
        <v>207</v>
      </c>
      <c r="D348" s="8"/>
      <c r="E348" s="8"/>
      <c r="F348" s="328" t="s">
        <v>186</v>
      </c>
      <c r="G348" s="8"/>
      <c r="H348" s="366">
        <f t="shared" ref="H348:O348" si="44">H345-H347</f>
        <v>83.66571122807018</v>
      </c>
      <c r="I348" s="366">
        <f t="shared" si="44"/>
        <v>104.85526381818185</v>
      </c>
      <c r="J348" s="366">
        <f t="shared" si="44"/>
        <v>101.79406029629624</v>
      </c>
      <c r="K348" s="366">
        <f t="shared" si="44"/>
        <v>77.223438222222114</v>
      </c>
      <c r="L348" s="366">
        <f t="shared" si="44"/>
        <v>92.927927301052662</v>
      </c>
      <c r="M348" s="366">
        <f t="shared" si="44"/>
        <v>125.89426350364791</v>
      </c>
      <c r="N348" s="366">
        <f t="shared" si="44"/>
        <v>150.05000109016308</v>
      </c>
      <c r="O348" s="366">
        <f t="shared" si="44"/>
        <v>185.78695303789382</v>
      </c>
    </row>
    <row r="349" spans="1:15" ht="12.75" customHeight="1">
      <c r="A349" s="8"/>
      <c r="B349" s="8"/>
      <c r="C349" s="306"/>
      <c r="D349" s="8"/>
      <c r="E349" s="8"/>
      <c r="F349" s="328"/>
      <c r="G349" s="8"/>
      <c r="H349" s="8"/>
      <c r="I349" s="8"/>
      <c r="J349" s="8"/>
      <c r="K349" s="372"/>
      <c r="L349" s="372"/>
      <c r="M349" s="372"/>
      <c r="N349" s="372"/>
      <c r="O349" s="372"/>
    </row>
    <row r="350" spans="1:15">
      <c r="A350" s="8"/>
      <c r="B350" s="8"/>
      <c r="C350" s="90" t="s">
        <v>208</v>
      </c>
      <c r="D350" s="8"/>
      <c r="E350" s="8"/>
      <c r="F350" s="307" t="s">
        <v>186</v>
      </c>
      <c r="G350" s="8"/>
      <c r="H350" s="395"/>
      <c r="I350" s="395"/>
      <c r="J350" s="395"/>
      <c r="K350" s="374">
        <f t="shared" ref="K350:O351" ca="1" si="45">K689</f>
        <v>38.047166724907015</v>
      </c>
      <c r="L350" s="374">
        <f t="shared" ca="1" si="45"/>
        <v>37.282661259957948</v>
      </c>
      <c r="M350" s="374">
        <f t="shared" ca="1" si="45"/>
        <v>35.410003882812525</v>
      </c>
      <c r="N350" s="374">
        <f t="shared" ca="1" si="45"/>
        <v>42.846193321831386</v>
      </c>
      <c r="O350" s="374">
        <f t="shared" ca="1" si="45"/>
        <v>39.284289111758518</v>
      </c>
    </row>
    <row r="351" spans="1:15">
      <c r="A351" s="8"/>
      <c r="B351" s="8"/>
      <c r="C351" s="90" t="s">
        <v>209</v>
      </c>
      <c r="D351" s="8"/>
      <c r="E351" s="8"/>
      <c r="F351" s="307" t="s">
        <v>186</v>
      </c>
      <c r="G351" s="8"/>
      <c r="H351" s="395"/>
      <c r="I351" s="395"/>
      <c r="J351" s="395"/>
      <c r="K351" s="396">
        <f t="shared" si="45"/>
        <v>8.3051881655555526</v>
      </c>
      <c r="L351" s="396">
        <f t="shared" ca="1" si="45"/>
        <v>8.6540060685088864</v>
      </c>
      <c r="M351" s="396">
        <f t="shared" ca="1" si="45"/>
        <v>9.01747432338626</v>
      </c>
      <c r="N351" s="396">
        <f t="shared" ca="1" si="45"/>
        <v>0</v>
      </c>
      <c r="O351" s="396">
        <f t="shared" ca="1" si="45"/>
        <v>0</v>
      </c>
    </row>
    <row r="352" spans="1:15">
      <c r="A352" s="8"/>
      <c r="B352" s="8"/>
      <c r="C352" s="90" t="s">
        <v>210</v>
      </c>
      <c r="D352" s="8"/>
      <c r="E352" s="8"/>
      <c r="F352" s="328" t="s">
        <v>186</v>
      </c>
      <c r="G352" s="8"/>
      <c r="H352" s="374"/>
      <c r="I352" s="374"/>
      <c r="J352" s="374"/>
      <c r="K352" s="374">
        <f ca="1">SUM(K350:K351)</f>
        <v>46.352354890462564</v>
      </c>
      <c r="L352" s="374">
        <f ca="1">SUM(L350:L351)</f>
        <v>45.936667328466832</v>
      </c>
      <c r="M352" s="374">
        <f ca="1">SUM(M350:M351)</f>
        <v>44.427478206198785</v>
      </c>
      <c r="N352" s="374">
        <f ca="1">SUM(N350:N351)</f>
        <v>42.846193321831386</v>
      </c>
      <c r="O352" s="374">
        <f ca="1">SUM(O350:O351)</f>
        <v>39.284289111758518</v>
      </c>
    </row>
    <row r="353" spans="1:15" ht="6" customHeight="1">
      <c r="A353" s="8"/>
      <c r="B353" s="8"/>
      <c r="C353" s="306"/>
      <c r="D353" s="8"/>
      <c r="E353" s="8"/>
      <c r="F353" s="328"/>
      <c r="G353" s="8"/>
      <c r="H353" s="397"/>
      <c r="I353" s="397"/>
      <c r="J353" s="397"/>
      <c r="K353" s="397"/>
      <c r="L353" s="372"/>
      <c r="M353" s="366"/>
      <c r="N353" s="366"/>
      <c r="O353" s="372"/>
    </row>
    <row r="354" spans="1:15">
      <c r="A354" s="8"/>
      <c r="B354" s="8"/>
      <c r="C354" s="141" t="s">
        <v>211</v>
      </c>
      <c r="D354" s="8"/>
      <c r="E354" s="8"/>
      <c r="F354" s="328" t="s">
        <v>186</v>
      </c>
      <c r="G354" s="8"/>
      <c r="H354" s="366"/>
      <c r="I354" s="366"/>
      <c r="J354" s="366"/>
      <c r="K354" s="366">
        <f ca="1">K348-K352</f>
        <v>30.87108333175955</v>
      </c>
      <c r="L354" s="366">
        <f ca="1">L348-L352</f>
        <v>46.99125997258583</v>
      </c>
      <c r="M354" s="366">
        <f ca="1">M348-M352</f>
        <v>81.466785297449121</v>
      </c>
      <c r="N354" s="366">
        <f ca="1">N348-N352</f>
        <v>107.2038077683317</v>
      </c>
      <c r="O354" s="366">
        <f ca="1">O348-O352</f>
        <v>146.50266392613531</v>
      </c>
    </row>
    <row r="355" spans="1:15" ht="12.75" customHeight="1">
      <c r="A355" s="8"/>
      <c r="B355" s="8"/>
      <c r="C355" s="306"/>
      <c r="D355" s="8"/>
      <c r="E355" s="8"/>
      <c r="F355" s="328"/>
      <c r="G355" s="8"/>
      <c r="H355" s="397"/>
      <c r="I355" s="397"/>
      <c r="J355" s="397"/>
      <c r="K355" s="397"/>
      <c r="L355" s="372"/>
      <c r="M355" s="366"/>
      <c r="N355" s="366"/>
      <c r="O355" s="372"/>
    </row>
    <row r="356" spans="1:15">
      <c r="A356" s="8"/>
      <c r="B356" s="8"/>
      <c r="C356" s="8" t="s">
        <v>212</v>
      </c>
      <c r="D356" s="8"/>
      <c r="E356" s="8"/>
      <c r="F356" s="307" t="s">
        <v>186</v>
      </c>
      <c r="G356" s="8"/>
      <c r="H356" s="395"/>
      <c r="I356" s="395"/>
      <c r="J356" s="395"/>
      <c r="K356" s="649">
        <f ca="1">K$519</f>
        <v>0</v>
      </c>
      <c r="L356" s="649">
        <f t="shared" ref="L356:O356" ca="1" si="46">L$519</f>
        <v>0</v>
      </c>
      <c r="M356" s="649">
        <f t="shared" ca="1" si="46"/>
        <v>21.336447510628357</v>
      </c>
      <c r="N356" s="649">
        <f t="shared" ca="1" si="46"/>
        <v>33.891152843883575</v>
      </c>
      <c r="O356" s="649">
        <f t="shared" ca="1" si="46"/>
        <v>48.719861668020016</v>
      </c>
    </row>
    <row r="357" spans="1:15">
      <c r="A357" s="8"/>
      <c r="B357" s="8"/>
      <c r="C357" s="8" t="s">
        <v>213</v>
      </c>
      <c r="D357" s="8"/>
      <c r="E357" s="8"/>
      <c r="F357" s="307" t="s">
        <v>186</v>
      </c>
      <c r="G357" s="8"/>
      <c r="H357" s="395"/>
      <c r="I357" s="395"/>
      <c r="J357" s="395"/>
      <c r="K357" s="661">
        <f ca="1">K$520</f>
        <v>10.804879166115843</v>
      </c>
      <c r="L357" s="661">
        <f t="shared" ref="L357:O357" ca="1" si="47">L$520</f>
        <v>16.446940990405039</v>
      </c>
      <c r="M357" s="661">
        <f t="shared" ca="1" si="47"/>
        <v>7.1769273434790932</v>
      </c>
      <c r="N357" s="661">
        <f t="shared" ca="1" si="47"/>
        <v>3.6301798749999605</v>
      </c>
      <c r="O357" s="661">
        <f t="shared" ca="1" si="47"/>
        <v>2.5560706937503284</v>
      </c>
    </row>
    <row r="358" spans="1:15">
      <c r="A358" s="8"/>
      <c r="B358" s="8"/>
      <c r="C358" s="42" t="s">
        <v>214</v>
      </c>
      <c r="D358" s="8"/>
      <c r="E358" s="8"/>
      <c r="F358" s="328" t="s">
        <v>186</v>
      </c>
      <c r="G358" s="8"/>
      <c r="H358" s="398"/>
      <c r="I358" s="398"/>
      <c r="J358" s="398"/>
      <c r="K358" s="398">
        <f ca="1">SUM(K356:K357)</f>
        <v>10.804879166115843</v>
      </c>
      <c r="L358" s="398">
        <f ca="1">SUM(L356:L357)</f>
        <v>16.446940990405039</v>
      </c>
      <c r="M358" s="398">
        <f ca="1">SUM(M356:M357)</f>
        <v>28.51337485410745</v>
      </c>
      <c r="N358" s="398">
        <f ca="1">SUM(N356:N357)</f>
        <v>37.521332718883535</v>
      </c>
      <c r="O358" s="398">
        <f ca="1">SUM(O356:O357)</f>
        <v>51.275932361770344</v>
      </c>
    </row>
    <row r="359" spans="1:15" ht="6" customHeight="1">
      <c r="A359" s="8"/>
      <c r="B359" s="8"/>
      <c r="C359" s="8"/>
      <c r="D359" s="8"/>
      <c r="E359" s="8"/>
      <c r="F359" s="307"/>
      <c r="G359" s="8"/>
      <c r="H359" s="8"/>
      <c r="I359" s="8"/>
      <c r="J359" s="8"/>
      <c r="K359" s="8"/>
      <c r="L359" s="8"/>
      <c r="M359" s="8"/>
      <c r="N359" s="8"/>
      <c r="O359" s="8"/>
    </row>
    <row r="360" spans="1:15">
      <c r="A360" s="8"/>
      <c r="B360" s="8"/>
      <c r="C360" s="399" t="s">
        <v>215</v>
      </c>
      <c r="D360" s="42"/>
      <c r="E360" s="42"/>
      <c r="F360" s="328" t="s">
        <v>186</v>
      </c>
      <c r="G360" s="8"/>
      <c r="H360" s="366"/>
      <c r="I360" s="366"/>
      <c r="J360" s="366"/>
      <c r="K360" s="366">
        <f ca="1">K354-K358</f>
        <v>20.066204165643708</v>
      </c>
      <c r="L360" s="366">
        <f ca="1">L354-L358</f>
        <v>30.544318982180791</v>
      </c>
      <c r="M360" s="366">
        <f ca="1">M354-M358</f>
        <v>52.953410443341667</v>
      </c>
      <c r="N360" s="366">
        <f ca="1">N354-N358</f>
        <v>69.682475049448158</v>
      </c>
      <c r="O360" s="366">
        <f ca="1">O354-O358</f>
        <v>95.226731564364968</v>
      </c>
    </row>
    <row r="361" spans="1:15">
      <c r="A361" s="8"/>
      <c r="B361" s="8"/>
      <c r="C361" s="400"/>
      <c r="D361" s="8"/>
      <c r="E361" s="8"/>
      <c r="F361" s="328"/>
      <c r="G361" s="8"/>
      <c r="H361" s="67"/>
      <c r="I361" s="67"/>
      <c r="J361" s="67"/>
      <c r="K361" s="67"/>
      <c r="L361" s="67"/>
      <c r="M361" s="67"/>
      <c r="N361" s="67"/>
      <c r="O361" s="67"/>
    </row>
    <row r="362" spans="1:15">
      <c r="A362" s="8"/>
      <c r="B362" s="8"/>
      <c r="C362" s="8" t="s">
        <v>216</v>
      </c>
      <c r="D362" s="8"/>
      <c r="E362" s="8"/>
      <c r="F362" s="307" t="s">
        <v>186</v>
      </c>
      <c r="G362" s="8"/>
      <c r="H362" s="395"/>
      <c r="I362" s="395"/>
      <c r="J362" s="395"/>
      <c r="K362" s="396">
        <f>K710</f>
        <v>12</v>
      </c>
      <c r="L362" s="396">
        <f>L710</f>
        <v>12</v>
      </c>
      <c r="M362" s="396">
        <f>M710</f>
        <v>12</v>
      </c>
      <c r="N362" s="396">
        <f>N710</f>
        <v>12</v>
      </c>
      <c r="O362" s="396">
        <f>O710</f>
        <v>12</v>
      </c>
    </row>
    <row r="363" spans="1:15">
      <c r="A363" s="8"/>
      <c r="B363" s="8"/>
      <c r="C363" s="399" t="s">
        <v>217</v>
      </c>
      <c r="D363" s="8"/>
      <c r="E363" s="8"/>
      <c r="F363" s="328" t="s">
        <v>186</v>
      </c>
      <c r="G363" s="8"/>
      <c r="H363" s="366"/>
      <c r="I363" s="366"/>
      <c r="J363" s="366"/>
      <c r="K363" s="366">
        <f ca="1">K360-K362</f>
        <v>8.0662041656437076</v>
      </c>
      <c r="L363" s="366">
        <f ca="1">L360-L362</f>
        <v>18.544318982180791</v>
      </c>
      <c r="M363" s="366">
        <f ca="1">M360-M362</f>
        <v>40.953410443341667</v>
      </c>
      <c r="N363" s="366">
        <f ca="1">N360-N362</f>
        <v>57.682475049448158</v>
      </c>
      <c r="O363" s="366">
        <f ca="1">O360-O362</f>
        <v>83.226731564364968</v>
      </c>
    </row>
    <row r="364" spans="1:15">
      <c r="A364" s="8"/>
      <c r="B364" s="8"/>
      <c r="C364" s="42"/>
      <c r="D364" s="8"/>
      <c r="E364" s="8"/>
      <c r="F364" s="328"/>
      <c r="G364" s="8"/>
      <c r="H364" s="398"/>
      <c r="I364" s="398"/>
      <c r="J364" s="398"/>
      <c r="K364" s="398"/>
      <c r="L364" s="398"/>
      <c r="M364" s="398"/>
      <c r="N364" s="398"/>
      <c r="O364" s="398"/>
    </row>
    <row r="365" spans="1:15" ht="6" customHeight="1">
      <c r="A365" s="8"/>
      <c r="B365" s="8"/>
      <c r="C365" s="8"/>
      <c r="D365" s="8"/>
      <c r="E365" s="8"/>
      <c r="F365" s="301"/>
      <c r="G365" s="8"/>
      <c r="H365" s="380"/>
      <c r="I365" s="380"/>
      <c r="J365" s="380"/>
      <c r="K365" s="354"/>
      <c r="L365" s="354"/>
      <c r="M365" s="354"/>
      <c r="N365" s="354"/>
      <c r="O365" s="354"/>
    </row>
    <row r="366" spans="1:15">
      <c r="A366" s="8"/>
      <c r="B366" s="401" t="s">
        <v>218</v>
      </c>
      <c r="C366" s="121"/>
      <c r="D366" s="121"/>
      <c r="E366" s="121"/>
      <c r="F366" s="402"/>
      <c r="G366" s="121"/>
      <c r="H366" s="403"/>
      <c r="I366" s="403"/>
      <c r="J366" s="403"/>
      <c r="K366" s="403"/>
      <c r="L366" s="403"/>
      <c r="M366" s="403"/>
      <c r="N366" s="403"/>
      <c r="O366" s="404"/>
    </row>
    <row r="367" spans="1:15">
      <c r="A367" s="8"/>
      <c r="B367" s="41"/>
      <c r="C367" s="8" t="s">
        <v>219</v>
      </c>
      <c r="D367" s="8"/>
      <c r="E367" s="8"/>
      <c r="F367" s="301"/>
      <c r="G367" s="8"/>
      <c r="H367" s="405">
        <f t="shared" ref="H367:O367" si="48">H345/H338</f>
        <v>0.15798125943095889</v>
      </c>
      <c r="I367" s="405">
        <f t="shared" si="48"/>
        <v>0.17279042213174309</v>
      </c>
      <c r="J367" s="405">
        <f t="shared" si="48"/>
        <v>0.16130765879496411</v>
      </c>
      <c r="K367" s="405">
        <f t="shared" si="48"/>
        <v>0.135475832289324</v>
      </c>
      <c r="L367" s="405">
        <f t="shared" si="48"/>
        <v>0.14466948429089876</v>
      </c>
      <c r="M367" s="405">
        <f t="shared" si="48"/>
        <v>0.16740127731346846</v>
      </c>
      <c r="N367" s="405">
        <f t="shared" si="48"/>
        <v>0.18019100544245567</v>
      </c>
      <c r="O367" s="406">
        <f t="shared" si="48"/>
        <v>0.20189947540348713</v>
      </c>
    </row>
    <row r="368" spans="1:15">
      <c r="A368" s="8"/>
      <c r="B368" s="41"/>
      <c r="C368" s="8" t="s">
        <v>220</v>
      </c>
      <c r="D368" s="8"/>
      <c r="E368" s="8"/>
      <c r="F368" s="407"/>
      <c r="G368" s="8"/>
      <c r="H368" s="405">
        <f t="shared" ref="H368:O368" si="49">H348/H338</f>
        <v>9.5457671894137008E-2</v>
      </c>
      <c r="I368" s="405">
        <f t="shared" si="49"/>
        <v>0.11319830954426115</v>
      </c>
      <c r="J368" s="405">
        <f t="shared" si="49"/>
        <v>0.10379758579351286</v>
      </c>
      <c r="K368" s="405">
        <f t="shared" si="49"/>
        <v>7.4576940072042505E-2</v>
      </c>
      <c r="L368" s="405">
        <f t="shared" si="49"/>
        <v>8.4836317025370186E-2</v>
      </c>
      <c r="M368" s="405">
        <f t="shared" si="49"/>
        <v>0.10862217989630114</v>
      </c>
      <c r="N368" s="405">
        <f t="shared" si="49"/>
        <v>0.12244239198141196</v>
      </c>
      <c r="O368" s="406">
        <f t="shared" si="49"/>
        <v>0.14434455011558384</v>
      </c>
    </row>
    <row r="369" spans="1:15">
      <c r="A369" s="8"/>
      <c r="B369" s="77"/>
      <c r="C369" s="35" t="s">
        <v>221</v>
      </c>
      <c r="D369" s="35"/>
      <c r="E369" s="35"/>
      <c r="F369" s="408"/>
      <c r="G369" s="35"/>
      <c r="H369" s="409"/>
      <c r="I369" s="409"/>
      <c r="J369" s="410"/>
      <c r="K369" s="410">
        <f ca="1">K345/AVERAGE(K750,J750)</f>
        <v>8.8873088865877178E-2</v>
      </c>
      <c r="L369" s="410">
        <f ca="1">L345/AVERAGE(L750,K750)</f>
        <v>0.10139290861027422</v>
      </c>
      <c r="M369" s="410">
        <f ca="1">M345/AVERAGE(M750,L750)</f>
        <v>0.12594004806637021</v>
      </c>
      <c r="N369" s="410">
        <f ca="1">N345/AVERAGE(N750,M750)</f>
        <v>0.14434323523909029</v>
      </c>
      <c r="O369" s="411">
        <f ca="1">O345/AVERAGE(O750,N750)</f>
        <v>0.16841163636166201</v>
      </c>
    </row>
    <row r="370" spans="1:15">
      <c r="A370" s="8"/>
      <c r="B370" s="8"/>
      <c r="C370" s="412" t="s">
        <v>222</v>
      </c>
      <c r="D370" s="8"/>
      <c r="E370" s="8"/>
      <c r="F370" s="407"/>
      <c r="G370" s="8"/>
      <c r="H370" s="413"/>
      <c r="I370" s="413"/>
      <c r="J370" s="405"/>
      <c r="K370" s="405"/>
      <c r="L370" s="405"/>
      <c r="M370" s="405"/>
      <c r="N370" s="405"/>
      <c r="O370" s="405"/>
    </row>
    <row r="371" spans="1:15">
      <c r="A371" s="8"/>
      <c r="B371" s="8"/>
      <c r="C371" s="414"/>
      <c r="D371" s="8"/>
      <c r="E371" s="8"/>
      <c r="F371" s="407"/>
      <c r="G371" s="8"/>
      <c r="H371" s="413"/>
      <c r="I371" s="413"/>
      <c r="J371" s="413"/>
      <c r="K371" s="413"/>
      <c r="L371" s="413"/>
      <c r="M371" s="413"/>
      <c r="N371" s="413"/>
      <c r="O371" s="413"/>
    </row>
    <row r="372" spans="1:15">
      <c r="A372" s="8"/>
      <c r="B372" s="42"/>
      <c r="C372" s="8"/>
      <c r="D372" s="8"/>
      <c r="E372" s="8"/>
      <c r="F372" s="407"/>
      <c r="G372" s="8"/>
      <c r="H372" s="8"/>
      <c r="I372" s="8"/>
      <c r="J372" s="8"/>
      <c r="K372" s="8"/>
      <c r="L372" s="8"/>
      <c r="M372" s="8"/>
      <c r="N372" s="8"/>
      <c r="O372" s="8"/>
    </row>
    <row r="373" spans="1:15">
      <c r="A373" s="8"/>
      <c r="B373" s="42"/>
      <c r="C373" s="8"/>
      <c r="D373" s="8"/>
      <c r="E373" s="8"/>
      <c r="F373" s="407"/>
      <c r="G373" s="8"/>
      <c r="H373" s="380"/>
      <c r="I373" s="380"/>
      <c r="J373" s="380"/>
      <c r="K373" s="380"/>
      <c r="L373" s="380"/>
      <c r="M373" s="380"/>
      <c r="N373" s="380"/>
      <c r="O373" s="380"/>
    </row>
    <row r="374" spans="1:15" ht="12.75" customHeight="1">
      <c r="A374" s="8"/>
      <c r="B374" s="8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38" t="str">
        <f>$O$236</f>
        <v>CURRENTLY RUNNING: BASE CASE SCENARIO</v>
      </c>
    </row>
    <row r="375" spans="1:15" ht="22.8" customHeight="1">
      <c r="A375" s="8"/>
      <c r="B375" s="86" t="str">
        <f>$B$3</f>
        <v>Moonbucks Corp.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18.75" customHeight="1">
      <c r="A376" s="8"/>
      <c r="B376" s="293" t="s">
        <v>223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6" customHeight="1" thickBot="1">
      <c r="A377" s="8"/>
      <c r="B377" s="296"/>
      <c r="C377" s="415"/>
      <c r="D377" s="415"/>
      <c r="E377" s="415"/>
      <c r="F377" s="415"/>
      <c r="G377" s="415"/>
      <c r="H377" s="415"/>
      <c r="I377" s="415"/>
      <c r="J377" s="415"/>
      <c r="K377" s="415"/>
      <c r="L377" s="415"/>
      <c r="M377" s="415"/>
      <c r="N377" s="415"/>
      <c r="O377" s="415"/>
    </row>
    <row r="378" spans="1:15" ht="12.75" customHeight="1">
      <c r="A378" s="8"/>
      <c r="B378" s="416" t="s">
        <v>224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3.8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303" t="s">
        <v>170</v>
      </c>
      <c r="L379" s="113"/>
      <c r="M379" s="113"/>
      <c r="N379" s="113"/>
      <c r="O379" s="113"/>
    </row>
    <row r="380" spans="1:15">
      <c r="A380" s="8"/>
      <c r="B380" s="417"/>
      <c r="C380" s="8"/>
      <c r="D380" s="8"/>
      <c r="E380" s="8"/>
      <c r="F380" s="418"/>
      <c r="G380" s="419"/>
      <c r="H380" s="304">
        <f t="shared" ref="H380:O380" si="50">H$242</f>
        <v>2019</v>
      </c>
      <c r="I380" s="304">
        <f t="shared" si="50"/>
        <v>2020</v>
      </c>
      <c r="J380" s="304">
        <f t="shared" si="50"/>
        <v>2021</v>
      </c>
      <c r="K380" s="420">
        <f t="shared" si="50"/>
        <v>2022</v>
      </c>
      <c r="L380" s="420">
        <f t="shared" si="50"/>
        <v>2023</v>
      </c>
      <c r="M380" s="420">
        <f t="shared" si="50"/>
        <v>2024</v>
      </c>
      <c r="N380" s="420">
        <f t="shared" si="50"/>
        <v>2025</v>
      </c>
      <c r="O380" s="420">
        <f t="shared" si="50"/>
        <v>2026</v>
      </c>
    </row>
    <row r="381" spans="1:15">
      <c r="A381" s="8"/>
      <c r="B381" s="42" t="s">
        <v>225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>
      <c r="A382" s="8"/>
      <c r="B382" s="8"/>
      <c r="C382" s="8" t="s">
        <v>215</v>
      </c>
      <c r="D382" s="8"/>
      <c r="E382" s="8"/>
      <c r="F382" s="8"/>
      <c r="G382" s="421"/>
      <c r="K382" s="422">
        <f ca="1">K360</f>
        <v>20.066204165643708</v>
      </c>
      <c r="L382" s="422">
        <f ca="1">L360</f>
        <v>30.544318982180791</v>
      </c>
      <c r="M382" s="422">
        <f ca="1">M360</f>
        <v>52.953410443341667</v>
      </c>
      <c r="N382" s="422">
        <f ca="1">N360</f>
        <v>69.682475049448158</v>
      </c>
      <c r="O382" s="422">
        <f ca="1">O360</f>
        <v>95.226731564364968</v>
      </c>
    </row>
    <row r="383" spans="1:15">
      <c r="A383" s="8"/>
      <c r="B383" s="8"/>
      <c r="C383" s="8" t="s">
        <v>226</v>
      </c>
      <c r="D383" s="8"/>
      <c r="E383" s="8"/>
      <c r="F383" s="8"/>
      <c r="G383" s="421"/>
      <c r="K383" s="422">
        <f>K347</f>
        <v>63.06</v>
      </c>
      <c r="L383" s="422">
        <f>L347</f>
        <v>65.540000000000006</v>
      </c>
      <c r="M383" s="422">
        <f>M347</f>
        <v>68.125600000000006</v>
      </c>
      <c r="N383" s="422">
        <f>N347</f>
        <v>70.769440000000003</v>
      </c>
      <c r="O383" s="422">
        <f>O347</f>
        <v>74.079375999999996</v>
      </c>
    </row>
    <row r="384" spans="1:15">
      <c r="A384" s="8"/>
      <c r="B384" s="8"/>
      <c r="C384" s="8" t="s">
        <v>209</v>
      </c>
      <c r="D384" s="8"/>
      <c r="E384" s="8"/>
      <c r="F384" s="8"/>
      <c r="G384" s="421"/>
      <c r="K384" s="422">
        <f>K351</f>
        <v>8.3051881655555526</v>
      </c>
      <c r="L384" s="422">
        <f ca="1">L351</f>
        <v>8.6540060685088864</v>
      </c>
      <c r="M384" s="422">
        <f ca="1">M351</f>
        <v>9.01747432338626</v>
      </c>
      <c r="N384" s="422">
        <f ca="1">N351</f>
        <v>0</v>
      </c>
      <c r="O384" s="422">
        <f ca="1">O351</f>
        <v>0</v>
      </c>
    </row>
    <row r="385" spans="1:15">
      <c r="A385" s="8"/>
      <c r="B385" s="8"/>
      <c r="C385" s="8" t="s">
        <v>213</v>
      </c>
      <c r="D385" s="8"/>
      <c r="E385" s="8"/>
      <c r="F385" s="8"/>
      <c r="G385" s="423"/>
      <c r="K385" s="424">
        <f ca="1">K357</f>
        <v>10.804879166115843</v>
      </c>
      <c r="L385" s="424">
        <f ca="1">L357</f>
        <v>16.446940990405039</v>
      </c>
      <c r="M385" s="424">
        <f ca="1">M357</f>
        <v>7.1769273434790932</v>
      </c>
      <c r="N385" s="424">
        <f ca="1">N357</f>
        <v>3.6301798749999605</v>
      </c>
      <c r="O385" s="424">
        <f ca="1">O357</f>
        <v>2.5560706937503284</v>
      </c>
    </row>
    <row r="386" spans="1:15">
      <c r="A386" s="8"/>
      <c r="B386" s="8"/>
      <c r="C386" s="8" t="s">
        <v>227</v>
      </c>
      <c r="D386" s="8"/>
      <c r="E386" s="8"/>
      <c r="F386" s="8"/>
      <c r="G386" s="376"/>
      <c r="K386" s="334">
        <f>K560</f>
        <v>-6.9221798770167453</v>
      </c>
      <c r="L386" s="334">
        <f>L560</f>
        <v>6.1901188123880218</v>
      </c>
      <c r="M386" s="334">
        <f>M560</f>
        <v>10.472750141554101</v>
      </c>
      <c r="N386" s="334">
        <f>N560</f>
        <v>-6.4802691547608049</v>
      </c>
      <c r="O386" s="334">
        <f>O560</f>
        <v>-5.499409987843066</v>
      </c>
    </row>
    <row r="387" spans="1:15">
      <c r="A387" s="8"/>
      <c r="B387" s="8"/>
      <c r="C387" s="306" t="s">
        <v>228</v>
      </c>
      <c r="D387" s="8"/>
      <c r="E387" s="8"/>
      <c r="F387" s="8"/>
      <c r="G387" s="372"/>
      <c r="K387" s="425">
        <f ca="1">SUM(K382:K386)</f>
        <v>95.314091620298356</v>
      </c>
      <c r="L387" s="425">
        <f ca="1">SUM(L382:L386)</f>
        <v>127.37538485348276</v>
      </c>
      <c r="M387" s="425">
        <f ca="1">SUM(M382:M386)</f>
        <v>147.74616225176112</v>
      </c>
      <c r="N387" s="425">
        <f ca="1">SUM(N382:N386)</f>
        <v>137.60182576968731</v>
      </c>
      <c r="O387" s="425">
        <f ca="1">SUM(O382:O386)</f>
        <v>166.36276827027223</v>
      </c>
    </row>
    <row r="388" spans="1:15">
      <c r="A388" s="8"/>
      <c r="B388" s="94"/>
      <c r="C388" s="8"/>
      <c r="D388" s="8"/>
      <c r="E388" s="8"/>
      <c r="F388" s="8"/>
      <c r="G388" s="380"/>
      <c r="H388" s="325"/>
      <c r="I388" s="325"/>
      <c r="J388" s="325"/>
      <c r="K388" s="325"/>
      <c r="L388" s="325"/>
      <c r="M388" s="325"/>
      <c r="N388" s="325"/>
      <c r="O388" s="325"/>
    </row>
    <row r="389" spans="1:15">
      <c r="A389" s="8"/>
      <c r="B389" s="94"/>
      <c r="C389" s="8"/>
      <c r="D389" s="8"/>
      <c r="E389" s="8"/>
      <c r="F389" s="8"/>
      <c r="G389" s="380"/>
      <c r="H389" s="325"/>
      <c r="I389" s="325"/>
      <c r="J389" s="325"/>
      <c r="K389" s="325"/>
      <c r="L389" s="325"/>
      <c r="M389" s="325"/>
      <c r="N389" s="325"/>
      <c r="O389" s="325"/>
    </row>
    <row r="390" spans="1:15">
      <c r="A390" s="8"/>
      <c r="B390" s="42" t="s">
        <v>229</v>
      </c>
      <c r="C390" s="8"/>
      <c r="D390" s="8"/>
      <c r="E390" s="8"/>
      <c r="F390" s="8"/>
      <c r="G390" s="426"/>
      <c r="H390" s="427"/>
      <c r="I390" s="427"/>
      <c r="J390" s="427"/>
      <c r="K390" s="423"/>
      <c r="L390" s="423"/>
      <c r="M390" s="423"/>
      <c r="N390" s="423"/>
      <c r="O390" s="423"/>
    </row>
    <row r="391" spans="1:15">
      <c r="A391" s="8"/>
      <c r="B391" s="8"/>
      <c r="C391" s="8" t="s">
        <v>230</v>
      </c>
      <c r="D391" s="8"/>
      <c r="E391" s="8"/>
      <c r="F391" s="301"/>
      <c r="G391" s="8"/>
      <c r="K391" s="333">
        <f>-G99</f>
        <v>-60</v>
      </c>
      <c r="L391" s="333">
        <f>-H99</f>
        <v>-64</v>
      </c>
      <c r="M391" s="333">
        <f>-I99</f>
        <v>-65.28</v>
      </c>
      <c r="N391" s="333">
        <f>-J99</f>
        <v>-66.911999999999992</v>
      </c>
      <c r="O391" s="333">
        <f>-K99</f>
        <v>-98.584799999999987</v>
      </c>
    </row>
    <row r="392" spans="1:15">
      <c r="A392" s="8"/>
      <c r="B392" s="8"/>
      <c r="C392" s="8" t="s">
        <v>49</v>
      </c>
      <c r="D392" s="8"/>
      <c r="E392" s="8"/>
      <c r="F392" s="301"/>
      <c r="G392" s="8"/>
      <c r="K392" s="333">
        <f>J392</f>
        <v>0</v>
      </c>
      <c r="L392" s="333">
        <f>K392</f>
        <v>0</v>
      </c>
      <c r="M392" s="333">
        <f>L392</f>
        <v>0</v>
      </c>
      <c r="N392" s="333">
        <f>M392</f>
        <v>0</v>
      </c>
      <c r="O392" s="333">
        <f>N392</f>
        <v>0</v>
      </c>
    </row>
    <row r="393" spans="1:15">
      <c r="A393" s="42"/>
      <c r="B393" s="8"/>
      <c r="C393" s="42" t="s">
        <v>231</v>
      </c>
      <c r="D393" s="8"/>
      <c r="E393" s="8"/>
      <c r="F393" s="8"/>
      <c r="G393" s="372"/>
      <c r="K393" s="371">
        <f>SUM(K391:K392)</f>
        <v>-60</v>
      </c>
      <c r="L393" s="371">
        <f>SUM(L391:L392)</f>
        <v>-64</v>
      </c>
      <c r="M393" s="371">
        <f>SUM(M391:M392)</f>
        <v>-65.28</v>
      </c>
      <c r="N393" s="371">
        <f>SUM(N391:N392)</f>
        <v>-66.911999999999992</v>
      </c>
      <c r="O393" s="371">
        <f>SUM(O391:O392)</f>
        <v>-98.584799999999987</v>
      </c>
    </row>
    <row r="394" spans="1:15">
      <c r="A394" s="42"/>
      <c r="B394" s="141"/>
      <c r="C394" s="8"/>
      <c r="D394" s="8"/>
      <c r="E394" s="8"/>
      <c r="F394" s="8"/>
      <c r="G394" s="372"/>
      <c r="H394" s="428"/>
      <c r="I394" s="428"/>
      <c r="J394" s="429"/>
      <c r="K394" s="428"/>
      <c r="L394" s="428"/>
      <c r="M394" s="428"/>
      <c r="N394" s="428"/>
      <c r="O394" s="428"/>
    </row>
    <row r="395" spans="1:15" ht="13.8" thickBot="1">
      <c r="A395" s="42"/>
      <c r="B395" s="42" t="s">
        <v>232</v>
      </c>
      <c r="C395" s="42"/>
      <c r="D395" s="8"/>
      <c r="E395" s="8"/>
      <c r="F395" s="8"/>
      <c r="G395" s="372"/>
      <c r="K395" s="430">
        <f ca="1">K387+K393</f>
        <v>35.314091620298356</v>
      </c>
      <c r="L395" s="430">
        <f ca="1">L387+L393</f>
        <v>63.375384853482757</v>
      </c>
      <c r="M395" s="430">
        <f ca="1">M387+M393</f>
        <v>82.466162251761119</v>
      </c>
      <c r="N395" s="430">
        <f ca="1">N387+N393</f>
        <v>70.689825769687317</v>
      </c>
      <c r="O395" s="430">
        <f ca="1">O387+O393</f>
        <v>67.77796827027224</v>
      </c>
    </row>
    <row r="396" spans="1:15" ht="13.8" thickTop="1">
      <c r="A396" s="42"/>
      <c r="B396" s="141"/>
      <c r="C396" s="8"/>
      <c r="D396" s="8"/>
      <c r="E396" s="8"/>
      <c r="F396" s="8"/>
      <c r="G396" s="372"/>
      <c r="H396" s="428"/>
      <c r="I396" s="428"/>
      <c r="J396" s="428"/>
      <c r="K396" s="428"/>
      <c r="L396" s="428"/>
      <c r="M396" s="428"/>
      <c r="N396" s="428"/>
      <c r="O396" s="428"/>
    </row>
    <row r="397" spans="1:15">
      <c r="A397" s="42"/>
      <c r="B397" s="141" t="s">
        <v>233</v>
      </c>
      <c r="C397" s="8"/>
      <c r="D397" s="8"/>
      <c r="E397" s="8"/>
      <c r="F397" s="8"/>
      <c r="G397" s="372"/>
      <c r="H397" s="431"/>
      <c r="I397" s="431"/>
      <c r="J397" s="431"/>
      <c r="K397" s="432"/>
      <c r="L397" s="432"/>
      <c r="M397" s="432"/>
      <c r="N397" s="432"/>
      <c r="O397" s="432"/>
    </row>
    <row r="398" spans="1:15">
      <c r="A398" s="42"/>
      <c r="B398" s="141"/>
      <c r="C398" s="8" t="s">
        <v>234</v>
      </c>
      <c r="D398" s="8"/>
      <c r="E398" s="8"/>
      <c r="F398" s="8"/>
      <c r="G398" s="372"/>
      <c r="H398" s="431"/>
      <c r="I398" s="431"/>
      <c r="J398" s="431"/>
      <c r="K398" s="424">
        <f ca="1">K667</f>
        <v>-2.7332136666969546</v>
      </c>
      <c r="L398" s="424">
        <f ca="1">L667</f>
        <v>-11.949863634894298</v>
      </c>
      <c r="M398" s="424">
        <f ca="1">M667</f>
        <v>-40.664286409283449</v>
      </c>
      <c r="N398" s="424">
        <f ca="1">N667</f>
        <v>32.107729142157261</v>
      </c>
      <c r="O398" s="424">
        <f ca="1">O667</f>
        <v>31.641734716568138</v>
      </c>
    </row>
    <row r="399" spans="1:15">
      <c r="A399" s="42"/>
      <c r="B399" s="141"/>
      <c r="C399" s="8" t="s">
        <v>235</v>
      </c>
      <c r="D399" s="8"/>
      <c r="E399" s="8"/>
      <c r="F399" s="8"/>
      <c r="G399" s="372"/>
      <c r="H399" s="431"/>
      <c r="I399" s="431"/>
      <c r="J399" s="431"/>
      <c r="K399" s="424">
        <f>K590+K602</f>
        <v>-19.77425753703703</v>
      </c>
      <c r="L399" s="424">
        <f>L590+L602</f>
        <v>-37.571089320370362</v>
      </c>
      <c r="M399" s="424">
        <f>M590+M602</f>
        <v>-25.706534798148141</v>
      </c>
      <c r="N399" s="424">
        <f>N590+N602</f>
        <v>-85.029307409259218</v>
      </c>
      <c r="O399" s="424">
        <f>O590+O602</f>
        <v>-79.097030148148136</v>
      </c>
    </row>
    <row r="400" spans="1:15">
      <c r="A400" s="42"/>
      <c r="B400" s="141"/>
      <c r="C400" s="8" t="s">
        <v>236</v>
      </c>
      <c r="D400" s="8"/>
      <c r="E400" s="8"/>
      <c r="F400" s="8"/>
      <c r="G400" s="372"/>
      <c r="H400" s="431"/>
      <c r="I400" s="431"/>
      <c r="J400" s="431"/>
      <c r="K400" s="424">
        <f>K625</f>
        <v>0</v>
      </c>
      <c r="L400" s="424">
        <f>L625</f>
        <v>0</v>
      </c>
      <c r="M400" s="424">
        <f>M625</f>
        <v>0</v>
      </c>
      <c r="N400" s="424">
        <f>N625</f>
        <v>0</v>
      </c>
      <c r="O400" s="424">
        <f>O625</f>
        <v>0</v>
      </c>
    </row>
    <row r="401" spans="1:15">
      <c r="A401" s="42"/>
      <c r="B401" s="141"/>
      <c r="C401" s="8" t="s">
        <v>237</v>
      </c>
      <c r="D401" s="8"/>
      <c r="E401" s="8"/>
      <c r="F401" s="8"/>
      <c r="G401" s="372"/>
      <c r="H401" s="431"/>
      <c r="I401" s="431"/>
      <c r="J401" s="431"/>
      <c r="K401" s="424">
        <f>K634</f>
        <v>0</v>
      </c>
      <c r="L401" s="424">
        <f>L634</f>
        <v>0</v>
      </c>
      <c r="M401" s="424">
        <f>M634</f>
        <v>0</v>
      </c>
      <c r="N401" s="424">
        <f>N634</f>
        <v>0</v>
      </c>
      <c r="O401" s="424">
        <f>O634</f>
        <v>0</v>
      </c>
    </row>
    <row r="402" spans="1:15">
      <c r="A402" s="42"/>
      <c r="B402" s="141"/>
      <c r="C402" s="8" t="s">
        <v>238</v>
      </c>
      <c r="D402" s="8"/>
      <c r="E402" s="8"/>
      <c r="F402" s="8"/>
      <c r="G402" s="433"/>
      <c r="H402" s="434"/>
      <c r="I402" s="434"/>
      <c r="J402" s="434"/>
      <c r="K402" s="424">
        <f>K706</f>
        <v>0</v>
      </c>
      <c r="L402" s="424">
        <f>L706</f>
        <v>0</v>
      </c>
      <c r="M402" s="424">
        <f>M706</f>
        <v>0</v>
      </c>
      <c r="N402" s="424">
        <f>N706</f>
        <v>0</v>
      </c>
      <c r="O402" s="424">
        <f>O706</f>
        <v>0</v>
      </c>
    </row>
    <row r="403" spans="1:15">
      <c r="A403" s="42"/>
      <c r="B403" s="141"/>
      <c r="C403" s="8" t="s">
        <v>239</v>
      </c>
      <c r="D403" s="8"/>
      <c r="E403" s="8"/>
      <c r="F403" s="8"/>
      <c r="G403" s="433"/>
      <c r="H403" s="434"/>
      <c r="I403" s="434"/>
      <c r="J403" s="434"/>
      <c r="K403" s="424">
        <f>-K710</f>
        <v>-12</v>
      </c>
      <c r="L403" s="424">
        <f>-L710</f>
        <v>-12</v>
      </c>
      <c r="M403" s="424">
        <f>-M710</f>
        <v>-12</v>
      </c>
      <c r="N403" s="424">
        <f>-N710</f>
        <v>-12</v>
      </c>
      <c r="O403" s="424">
        <f>-O710</f>
        <v>-12</v>
      </c>
    </row>
    <row r="404" spans="1:15">
      <c r="A404" s="42"/>
      <c r="B404" s="141"/>
      <c r="C404" s="8" t="s">
        <v>240</v>
      </c>
      <c r="D404" s="8"/>
      <c r="E404" s="8"/>
      <c r="F404" s="8"/>
      <c r="G404" s="372"/>
      <c r="H404" s="431"/>
      <c r="I404" s="431"/>
      <c r="J404" s="431"/>
      <c r="K404" s="424">
        <f>K715</f>
        <v>0</v>
      </c>
      <c r="L404" s="424">
        <f>L715</f>
        <v>0</v>
      </c>
      <c r="M404" s="424">
        <f>M715</f>
        <v>0</v>
      </c>
      <c r="N404" s="424">
        <f>N715</f>
        <v>0</v>
      </c>
      <c r="O404" s="424">
        <f>O715</f>
        <v>0</v>
      </c>
    </row>
    <row r="405" spans="1:15">
      <c r="A405" s="42"/>
      <c r="B405" s="141"/>
      <c r="C405" s="8" t="s">
        <v>241</v>
      </c>
      <c r="D405" s="8"/>
      <c r="E405" s="8"/>
      <c r="F405" s="8"/>
      <c r="G405" s="372"/>
      <c r="H405" s="431"/>
      <c r="I405" s="431"/>
      <c r="J405" s="431"/>
      <c r="K405" s="648">
        <f ca="1">K720 * - 1</f>
        <v>-0.80662041656437078</v>
      </c>
      <c r="L405" s="648">
        <f t="shared" ref="L405:O405" ca="1" si="51">L720 * - 1</f>
        <v>-1.8544318982180787</v>
      </c>
      <c r="M405" s="648">
        <f t="shared" ca="1" si="51"/>
        <v>-4.0953410443346323</v>
      </c>
      <c r="N405" s="648">
        <f t="shared" ca="1" si="51"/>
        <v>-5.7682475050089668</v>
      </c>
      <c r="O405" s="648">
        <f t="shared" ca="1" si="51"/>
        <v>-8.322673152721757</v>
      </c>
    </row>
    <row r="406" spans="1:15">
      <c r="A406" s="42"/>
      <c r="B406" s="141"/>
      <c r="C406" s="42" t="s">
        <v>242</v>
      </c>
      <c r="D406" s="8"/>
      <c r="E406" s="8"/>
      <c r="F406" s="8"/>
      <c r="G406" s="372"/>
      <c r="H406" s="431"/>
      <c r="I406" s="431"/>
      <c r="J406" s="431"/>
      <c r="K406" s="375">
        <f ca="1">SUM(K398:K405)</f>
        <v>-35.314091620298356</v>
      </c>
      <c r="L406" s="375">
        <f ca="1">SUM(L398:L405)</f>
        <v>-63.375384853482743</v>
      </c>
      <c r="M406" s="375">
        <f ca="1">SUM(M398:M405)</f>
        <v>-82.466162251766221</v>
      </c>
      <c r="N406" s="375">
        <f ca="1">SUM(N398:N405)</f>
        <v>-70.689825772110922</v>
      </c>
      <c r="O406" s="375">
        <f ca="1">SUM(O398:O405)</f>
        <v>-67.77796858430176</v>
      </c>
    </row>
    <row r="407" spans="1:15">
      <c r="A407" s="42"/>
      <c r="B407" s="141"/>
      <c r="C407" s="8"/>
      <c r="D407" s="8"/>
      <c r="E407" s="8"/>
      <c r="F407" s="8"/>
      <c r="G407" s="372"/>
      <c r="H407" s="431"/>
      <c r="I407" s="431"/>
      <c r="J407" s="431"/>
      <c r="K407" s="434"/>
      <c r="L407" s="434"/>
      <c r="M407" s="434"/>
      <c r="N407" s="434"/>
      <c r="O407" s="434"/>
    </row>
    <row r="408" spans="1:15">
      <c r="A408" s="42"/>
      <c r="B408" s="8"/>
      <c r="C408" s="306"/>
      <c r="D408" s="8"/>
      <c r="E408" s="8"/>
      <c r="F408" s="8"/>
      <c r="G408" s="372"/>
      <c r="H408" s="431"/>
      <c r="I408" s="431"/>
      <c r="J408" s="431"/>
      <c r="K408" s="434"/>
      <c r="L408" s="434"/>
      <c r="M408" s="434"/>
      <c r="N408" s="434"/>
      <c r="O408" s="434"/>
    </row>
    <row r="409" spans="1:15">
      <c r="A409" s="42"/>
      <c r="B409" s="164" t="s">
        <v>243</v>
      </c>
      <c r="C409" s="435"/>
      <c r="D409" s="121"/>
      <c r="E409" s="121"/>
      <c r="F409" s="121"/>
      <c r="G409" s="436"/>
      <c r="H409" s="437"/>
      <c r="I409" s="437"/>
      <c r="J409" s="437"/>
      <c r="K409" s="438">
        <f ca="1">K406+K393+K387</f>
        <v>0</v>
      </c>
      <c r="L409" s="438">
        <f ca="1">L406+L393+L387</f>
        <v>0</v>
      </c>
      <c r="M409" s="438">
        <f ca="1">M406+M393+M387</f>
        <v>-5.1159076974727213E-12</v>
      </c>
      <c r="N409" s="438">
        <f ca="1">N406+N393+N387</f>
        <v>-2.4236044282588409E-9</v>
      </c>
      <c r="O409" s="439">
        <f ca="1">O406+O393+O387</f>
        <v>-3.1402953482029261E-7</v>
      </c>
    </row>
    <row r="410" spans="1:15">
      <c r="A410" s="42"/>
      <c r="B410" s="41" t="s">
        <v>244</v>
      </c>
      <c r="C410" s="306"/>
      <c r="D410" s="8"/>
      <c r="E410" s="8"/>
      <c r="F410" s="8"/>
      <c r="G410" s="372"/>
      <c r="H410" s="372"/>
      <c r="I410" s="372"/>
      <c r="J410" s="372"/>
      <c r="K410" s="440">
        <f>J425</f>
        <v>0</v>
      </c>
      <c r="L410" s="440">
        <f ca="1">K411</f>
        <v>0</v>
      </c>
      <c r="M410" s="440">
        <f ca="1">L411</f>
        <v>0</v>
      </c>
      <c r="N410" s="440">
        <f ca="1">M411</f>
        <v>-5.9230842452961951E-11</v>
      </c>
      <c r="O410" s="441">
        <f ca="1">N411</f>
        <v>8.3084188418069971E-9</v>
      </c>
    </row>
    <row r="411" spans="1:15">
      <c r="A411" s="42"/>
      <c r="B411" s="442" t="s">
        <v>245</v>
      </c>
      <c r="C411" s="377"/>
      <c r="D411" s="35"/>
      <c r="E411" s="35"/>
      <c r="F411" s="35"/>
      <c r="G411" s="379"/>
      <c r="H411" s="443"/>
      <c r="I411" s="443"/>
      <c r="J411" s="443"/>
      <c r="K411" s="396">
        <f ca="1">K410+K409</f>
        <v>0</v>
      </c>
      <c r="L411" s="396">
        <f ca="1">L410+L409</f>
        <v>0</v>
      </c>
      <c r="M411" s="396">
        <f ca="1">M410+M409</f>
        <v>-5.1159076974727213E-12</v>
      </c>
      <c r="N411" s="396">
        <f ca="1">N410+N409</f>
        <v>-2.4828352707118029E-9</v>
      </c>
      <c r="O411" s="444">
        <f ca="1">O410+O409</f>
        <v>-3.0572111597848561E-7</v>
      </c>
    </row>
    <row r="412" spans="1:15">
      <c r="A412" s="42"/>
      <c r="B412" s="90"/>
      <c r="C412" s="306"/>
      <c r="D412" s="8"/>
      <c r="E412" s="8"/>
      <c r="F412" s="8"/>
      <c r="G412" s="372"/>
      <c r="H412" s="367"/>
      <c r="I412" s="367"/>
      <c r="J412" s="367"/>
      <c r="K412" s="367"/>
      <c r="L412" s="367"/>
      <c r="M412" s="367"/>
      <c r="N412" s="367"/>
      <c r="O412" s="367"/>
    </row>
    <row r="413" spans="1:15">
      <c r="A413" s="8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</row>
    <row r="414" spans="1: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2.75" customHeight="1">
      <c r="A416" s="8"/>
      <c r="B416" s="8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38" t="str">
        <f>$O$236</f>
        <v>CURRENTLY RUNNING: BASE CASE SCENARIO</v>
      </c>
    </row>
    <row r="417" spans="1:15" ht="22.8" customHeight="1">
      <c r="A417" s="8"/>
      <c r="B417" s="86" t="str">
        <f>$B$3</f>
        <v>Moonbucks Corp.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18.75" customHeight="1">
      <c r="A418" s="8"/>
      <c r="B418" s="293" t="s">
        <v>246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6" customHeight="1" thickBot="1">
      <c r="A419" s="8"/>
      <c r="B419" s="296"/>
      <c r="C419" s="415"/>
      <c r="D419" s="415"/>
      <c r="E419" s="415"/>
      <c r="F419" s="415"/>
      <c r="G419" s="415"/>
      <c r="H419" s="415"/>
      <c r="I419" s="415"/>
      <c r="J419" s="415"/>
      <c r="K419" s="415"/>
      <c r="L419" s="415"/>
      <c r="M419" s="415"/>
      <c r="N419" s="415"/>
      <c r="O419" s="415"/>
    </row>
    <row r="420" spans="1:15" ht="12.75" customHeight="1">
      <c r="A420" s="8"/>
      <c r="B420" s="416" t="s">
        <v>224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90"/>
    </row>
    <row r="421" spans="1:15" ht="13.8">
      <c r="A421" s="8"/>
      <c r="B421" s="8"/>
      <c r="C421" s="8"/>
      <c r="D421" s="8"/>
      <c r="E421" s="8"/>
      <c r="F421" s="8"/>
      <c r="G421" s="8"/>
      <c r="H421" s="445" t="s">
        <v>247</v>
      </c>
      <c r="I421" s="121"/>
      <c r="J421" s="446" t="s">
        <v>248</v>
      </c>
      <c r="K421" s="303" t="s">
        <v>170</v>
      </c>
      <c r="L421" s="113"/>
      <c r="M421" s="113"/>
      <c r="N421" s="113"/>
      <c r="O421" s="113"/>
    </row>
    <row r="422" spans="1:15">
      <c r="A422" s="8"/>
      <c r="B422" s="447"/>
      <c r="C422" s="8"/>
      <c r="D422" s="8"/>
      <c r="E422" s="8"/>
      <c r="F422" s="420"/>
      <c r="G422" s="8"/>
      <c r="H422" s="448" t="s">
        <v>249</v>
      </c>
      <c r="I422" s="449" t="s">
        <v>250</v>
      </c>
      <c r="J422" s="450" t="s">
        <v>251</v>
      </c>
      <c r="K422" s="420">
        <f>K$242</f>
        <v>2022</v>
      </c>
      <c r="L422" s="420">
        <f>L$242</f>
        <v>2023</v>
      </c>
      <c r="M422" s="420">
        <f>M$242</f>
        <v>2024</v>
      </c>
      <c r="N422" s="420">
        <f>N$242</f>
        <v>2025</v>
      </c>
      <c r="O422" s="420">
        <f>O$242</f>
        <v>2026</v>
      </c>
    </row>
    <row r="423" spans="1:15">
      <c r="A423" s="8"/>
      <c r="B423" s="447"/>
      <c r="C423" s="8"/>
      <c r="D423" s="8"/>
      <c r="E423" s="8"/>
      <c r="F423" s="8"/>
      <c r="G423" s="8"/>
      <c r="H423" s="451"/>
      <c r="I423" s="420"/>
      <c r="J423" s="167"/>
      <c r="K423" s="420"/>
      <c r="L423" s="420"/>
      <c r="M423" s="420"/>
      <c r="N423" s="420"/>
      <c r="O423" s="420"/>
    </row>
    <row r="424" spans="1:15">
      <c r="A424" s="8"/>
      <c r="B424" s="42" t="s">
        <v>252</v>
      </c>
      <c r="C424" s="8"/>
      <c r="D424" s="8"/>
      <c r="E424" s="8"/>
      <c r="F424" s="8"/>
      <c r="G424" s="8"/>
      <c r="H424" s="41"/>
      <c r="I424" s="8"/>
      <c r="J424" s="15"/>
      <c r="K424" s="8"/>
      <c r="L424" s="8"/>
      <c r="M424" s="8"/>
      <c r="N424" s="8"/>
      <c r="O424" s="8"/>
    </row>
    <row r="425" spans="1:15">
      <c r="A425" s="8"/>
      <c r="B425" s="8"/>
      <c r="C425" s="8" t="s">
        <v>253</v>
      </c>
      <c r="D425" s="8"/>
      <c r="E425" s="8"/>
      <c r="F425" s="307"/>
      <c r="G425" s="8"/>
      <c r="H425" s="452">
        <v>5</v>
      </c>
      <c r="I425" s="649">
        <f>F20 * - 1</f>
        <v>-5</v>
      </c>
      <c r="J425" s="453">
        <f>SUM(H425:I425)</f>
        <v>0</v>
      </c>
      <c r="K425" s="424">
        <f ca="1">K411</f>
        <v>0</v>
      </c>
      <c r="L425" s="424">
        <f ca="1">L411</f>
        <v>0</v>
      </c>
      <c r="M425" s="424">
        <f ca="1">M411</f>
        <v>-5.1159076974727213E-12</v>
      </c>
      <c r="N425" s="424">
        <f ca="1">N411</f>
        <v>-2.4828352707118029E-9</v>
      </c>
      <c r="O425" s="424">
        <f ca="1">O411</f>
        <v>-3.0572111597848561E-7</v>
      </c>
    </row>
    <row r="426" spans="1:15">
      <c r="A426" s="8"/>
      <c r="B426" s="8"/>
      <c r="C426" s="8" t="s">
        <v>3</v>
      </c>
      <c r="D426" s="8"/>
      <c r="E426" s="8"/>
      <c r="F426" s="307"/>
      <c r="G426" s="8"/>
      <c r="H426" s="452">
        <v>92.2</v>
      </c>
      <c r="I426" s="374"/>
      <c r="J426" s="453">
        <f>SUM(H426:I426)</f>
        <v>92.2</v>
      </c>
      <c r="K426" s="424">
        <f t="shared" ref="K426:O427" si="52">K555</f>
        <v>96.456306147945213</v>
      </c>
      <c r="L426" s="424">
        <f t="shared" si="52"/>
        <v>96.033234831780831</v>
      </c>
      <c r="M426" s="424">
        <f t="shared" si="52"/>
        <v>95.000873084852458</v>
      </c>
      <c r="N426" s="424">
        <f t="shared" si="52"/>
        <v>100.7239127099336</v>
      </c>
      <c r="O426" s="424">
        <f t="shared" si="52"/>
        <v>105.78965753424659</v>
      </c>
    </row>
    <row r="427" spans="1:15">
      <c r="A427" s="8"/>
      <c r="B427" s="8"/>
      <c r="C427" s="8" t="s">
        <v>2</v>
      </c>
      <c r="D427" s="8"/>
      <c r="E427" s="8"/>
      <c r="F427" s="307"/>
      <c r="G427" s="8"/>
      <c r="H427" s="452">
        <v>88.2</v>
      </c>
      <c r="I427" s="374"/>
      <c r="J427" s="453">
        <f>SUM(H427:I427)</f>
        <v>88.2</v>
      </c>
      <c r="K427" s="424">
        <f t="shared" si="52"/>
        <v>94.356534550989366</v>
      </c>
      <c r="L427" s="424">
        <f t="shared" si="52"/>
        <v>94.615539684821925</v>
      </c>
      <c r="M427" s="424">
        <f t="shared" si="52"/>
        <v>92.750627029333003</v>
      </c>
      <c r="N427" s="424">
        <f t="shared" si="52"/>
        <v>97.294004207411092</v>
      </c>
      <c r="O427" s="424">
        <f t="shared" si="52"/>
        <v>99.895995188591314</v>
      </c>
    </row>
    <row r="428" spans="1:15">
      <c r="A428" s="8"/>
      <c r="B428" s="8"/>
      <c r="C428" s="90" t="s">
        <v>49</v>
      </c>
      <c r="D428" s="8"/>
      <c r="E428" s="8"/>
      <c r="F428" s="307"/>
      <c r="G428" s="8"/>
      <c r="H428" s="454">
        <v>1.4</v>
      </c>
      <c r="I428" s="396"/>
      <c r="J428" s="444">
        <f>SUM(H428:I428)</f>
        <v>1.4</v>
      </c>
      <c r="K428" s="396">
        <f>J428</f>
        <v>1.4</v>
      </c>
      <c r="L428" s="396">
        <f>K428</f>
        <v>1.4</v>
      </c>
      <c r="M428" s="396">
        <f>L428</f>
        <v>1.4</v>
      </c>
      <c r="N428" s="396">
        <f>M428</f>
        <v>1.4</v>
      </c>
      <c r="O428" s="396">
        <f>N428</f>
        <v>1.4</v>
      </c>
    </row>
    <row r="429" spans="1:15">
      <c r="A429" s="8"/>
      <c r="B429" s="8"/>
      <c r="C429" s="306" t="s">
        <v>254</v>
      </c>
      <c r="D429" s="8"/>
      <c r="E429" s="8"/>
      <c r="F429" s="328"/>
      <c r="G429" s="8"/>
      <c r="H429" s="455">
        <f t="shared" ref="H429:O429" si="53">SUM(H425:H428)</f>
        <v>186.8</v>
      </c>
      <c r="I429" s="374">
        <f t="shared" si="53"/>
        <v>-5</v>
      </c>
      <c r="J429" s="453">
        <f t="shared" si="53"/>
        <v>181.8</v>
      </c>
      <c r="K429" s="424">
        <f t="shared" ca="1" si="53"/>
        <v>192.21284069893457</v>
      </c>
      <c r="L429" s="424">
        <f t="shared" ca="1" si="53"/>
        <v>192.04877451660278</v>
      </c>
      <c r="M429" s="424">
        <f t="shared" ca="1" si="53"/>
        <v>189.15150011418035</v>
      </c>
      <c r="N429" s="424">
        <f t="shared" ca="1" si="53"/>
        <v>199.41791691486188</v>
      </c>
      <c r="O429" s="424">
        <f t="shared" ca="1" si="53"/>
        <v>207.08565241711679</v>
      </c>
    </row>
    <row r="430" spans="1:15">
      <c r="A430" s="8"/>
      <c r="B430" s="8"/>
      <c r="C430" s="8"/>
      <c r="D430" s="8"/>
      <c r="E430" s="8"/>
      <c r="F430" s="367"/>
      <c r="G430" s="8"/>
      <c r="H430" s="456"/>
      <c r="I430" s="457"/>
      <c r="J430" s="458"/>
      <c r="K430" s="459"/>
      <c r="L430" s="459"/>
      <c r="M430" s="459"/>
      <c r="N430" s="459"/>
      <c r="O430" s="459"/>
    </row>
    <row r="431" spans="1:15">
      <c r="A431" s="8"/>
      <c r="B431" s="8"/>
      <c r="C431" s="8" t="s">
        <v>255</v>
      </c>
      <c r="D431" s="8"/>
      <c r="E431" s="8"/>
      <c r="F431" s="307"/>
      <c r="G431" s="8"/>
      <c r="H431" s="452">
        <v>1187.2</v>
      </c>
      <c r="I431" s="374">
        <f>P45</f>
        <v>50</v>
      </c>
      <c r="J431" s="453">
        <f>SUM(H431:I431)</f>
        <v>1237.2</v>
      </c>
      <c r="K431" s="424">
        <f>J431-K391-K383</f>
        <v>1234.1400000000001</v>
      </c>
      <c r="L431" s="424">
        <f>K431-L391-L383</f>
        <v>1232.6000000000001</v>
      </c>
      <c r="M431" s="424">
        <f>L431-M391-M383</f>
        <v>1229.7544</v>
      </c>
      <c r="N431" s="424">
        <f>M431-N391-N383</f>
        <v>1225.89696</v>
      </c>
      <c r="O431" s="424">
        <f>N431-O391-O383</f>
        <v>1250.4023840000002</v>
      </c>
    </row>
    <row r="432" spans="1:15">
      <c r="A432" s="8"/>
      <c r="B432" s="8"/>
      <c r="C432" s="8" t="s">
        <v>256</v>
      </c>
      <c r="D432" s="8"/>
      <c r="E432" s="8"/>
      <c r="F432" s="307"/>
      <c r="G432" s="8"/>
      <c r="H432" s="452">
        <v>11</v>
      </c>
      <c r="I432" s="374">
        <f>-H432+P46</f>
        <v>324.24060296296238</v>
      </c>
      <c r="J432" s="453">
        <f>SUM(H432:I432)</f>
        <v>335.24060296296238</v>
      </c>
      <c r="K432" s="424">
        <f t="shared" ref="K432:O433" si="54">J432</f>
        <v>335.24060296296238</v>
      </c>
      <c r="L432" s="424">
        <f t="shared" si="54"/>
        <v>335.24060296296238</v>
      </c>
      <c r="M432" s="424">
        <f t="shared" si="54"/>
        <v>335.24060296296238</v>
      </c>
      <c r="N432" s="424">
        <f t="shared" si="54"/>
        <v>335.24060296296238</v>
      </c>
      <c r="O432" s="424">
        <f t="shared" si="54"/>
        <v>335.24060296296238</v>
      </c>
    </row>
    <row r="433" spans="1:15">
      <c r="A433" s="8"/>
      <c r="B433" s="8"/>
      <c r="C433" s="90" t="s">
        <v>49</v>
      </c>
      <c r="D433" s="8"/>
      <c r="E433" s="8"/>
      <c r="F433" s="307"/>
      <c r="G433" s="8"/>
      <c r="H433" s="452">
        <v>0</v>
      </c>
      <c r="I433" s="374"/>
      <c r="J433" s="453">
        <f>SUM(H433:I433)</f>
        <v>0</v>
      </c>
      <c r="K433" s="424">
        <f t="shared" si="54"/>
        <v>0</v>
      </c>
      <c r="L433" s="424">
        <f t="shared" si="54"/>
        <v>0</v>
      </c>
      <c r="M433" s="424">
        <f t="shared" si="54"/>
        <v>0</v>
      </c>
      <c r="N433" s="424">
        <f t="shared" si="54"/>
        <v>0</v>
      </c>
      <c r="O433" s="424">
        <f t="shared" si="54"/>
        <v>0</v>
      </c>
    </row>
    <row r="434" spans="1:15" ht="13.8" thickBot="1">
      <c r="A434" s="8"/>
      <c r="B434" s="8"/>
      <c r="C434" s="42" t="s">
        <v>257</v>
      </c>
      <c r="D434" s="8"/>
      <c r="E434" s="8"/>
      <c r="F434" s="328"/>
      <c r="G434" s="8"/>
      <c r="H434" s="460">
        <f t="shared" ref="H434:O434" si="55">SUM(H429:H433)</f>
        <v>1385</v>
      </c>
      <c r="I434" s="461">
        <f t="shared" si="55"/>
        <v>369.24060296296238</v>
      </c>
      <c r="J434" s="462">
        <f t="shared" si="55"/>
        <v>1754.2406029629624</v>
      </c>
      <c r="K434" s="461">
        <f t="shared" ca="1" si="55"/>
        <v>1761.593443661897</v>
      </c>
      <c r="L434" s="461">
        <f t="shared" ca="1" si="55"/>
        <v>1759.8893774795654</v>
      </c>
      <c r="M434" s="461">
        <f t="shared" ca="1" si="55"/>
        <v>1754.1465030771428</v>
      </c>
      <c r="N434" s="461">
        <f t="shared" ca="1" si="55"/>
        <v>1760.5554798778244</v>
      </c>
      <c r="O434" s="461">
        <f t="shared" ca="1" si="55"/>
        <v>1792.7286393800794</v>
      </c>
    </row>
    <row r="435" spans="1:15" ht="13.8" thickTop="1">
      <c r="A435" s="8"/>
      <c r="B435" s="8"/>
      <c r="C435" s="8"/>
      <c r="D435" s="8"/>
      <c r="E435" s="8"/>
      <c r="F435" s="367"/>
      <c r="G435" s="8"/>
      <c r="H435" s="463"/>
      <c r="I435" s="464"/>
      <c r="J435" s="465"/>
      <c r="K435" s="423"/>
      <c r="L435" s="423"/>
      <c r="M435" s="423"/>
      <c r="N435" s="423"/>
      <c r="O435" s="423"/>
    </row>
    <row r="436" spans="1:15">
      <c r="A436" s="8"/>
      <c r="B436" s="8"/>
      <c r="C436" s="8"/>
      <c r="D436" s="8"/>
      <c r="E436" s="8"/>
      <c r="F436" s="367"/>
      <c r="G436" s="8"/>
      <c r="H436" s="463"/>
      <c r="I436" s="464"/>
      <c r="J436" s="465"/>
      <c r="K436" s="423"/>
      <c r="L436" s="423"/>
      <c r="M436" s="423"/>
      <c r="N436" s="423"/>
      <c r="O436" s="423"/>
    </row>
    <row r="437" spans="1:15">
      <c r="A437" s="8"/>
      <c r="B437" s="306" t="s">
        <v>258</v>
      </c>
      <c r="C437" s="8"/>
      <c r="D437" s="8"/>
      <c r="E437" s="8"/>
      <c r="F437" s="367"/>
      <c r="G437" s="8"/>
      <c r="H437" s="463"/>
      <c r="I437" s="464"/>
      <c r="J437" s="465"/>
      <c r="K437" s="423"/>
      <c r="L437" s="423"/>
      <c r="M437" s="423"/>
      <c r="N437" s="423"/>
      <c r="O437" s="423"/>
    </row>
    <row r="438" spans="1:15">
      <c r="A438" s="8"/>
      <c r="B438" s="8"/>
      <c r="C438" s="90" t="s">
        <v>259</v>
      </c>
      <c r="D438" s="8"/>
      <c r="E438" s="8"/>
      <c r="F438" s="307"/>
      <c r="G438" s="8"/>
      <c r="H438" s="452">
        <v>0</v>
      </c>
      <c r="I438" s="374">
        <f>-H438+F21</f>
        <v>79.097030148148121</v>
      </c>
      <c r="J438" s="453">
        <f>SUM(H438:I438)</f>
        <v>79.097030148148121</v>
      </c>
      <c r="K438" s="424">
        <f ca="1">K668</f>
        <v>76.363816481451167</v>
      </c>
      <c r="L438" s="424">
        <f ca="1">L668</f>
        <v>64.413952846556867</v>
      </c>
      <c r="M438" s="424">
        <f ca="1">M668</f>
        <v>23.749666437273433</v>
      </c>
      <c r="N438" s="424">
        <f ca="1">N668</f>
        <v>55.857395579371136</v>
      </c>
      <c r="O438" s="424">
        <f ca="1">O668</f>
        <v>87.499130305132269</v>
      </c>
    </row>
    <row r="439" spans="1:15">
      <c r="A439" s="8"/>
      <c r="B439" s="8"/>
      <c r="C439" s="90" t="s">
        <v>1</v>
      </c>
      <c r="D439" s="8"/>
      <c r="E439" s="8"/>
      <c r="F439" s="307"/>
      <c r="G439" s="8"/>
      <c r="H439" s="452">
        <v>60.2</v>
      </c>
      <c r="I439" s="374"/>
      <c r="J439" s="453">
        <f>SUM(H439:I439)</f>
        <v>60.2</v>
      </c>
      <c r="K439" s="374">
        <f>K557</f>
        <v>63.690660821917824</v>
      </c>
      <c r="L439" s="374">
        <f>L557</f>
        <v>69.716713451974044</v>
      </c>
      <c r="M439" s="374">
        <f>M557</f>
        <v>77.292189191110836</v>
      </c>
      <c r="N439" s="374">
        <f>N557</f>
        <v>81.078336839509248</v>
      </c>
      <c r="O439" s="374">
        <f>O557</f>
        <v>83.246662657159419</v>
      </c>
    </row>
    <row r="440" spans="1:15">
      <c r="A440" s="8"/>
      <c r="B440" s="8"/>
      <c r="C440" s="90" t="s">
        <v>49</v>
      </c>
      <c r="D440" s="8"/>
      <c r="E440" s="8"/>
      <c r="F440" s="307"/>
      <c r="G440" s="8"/>
      <c r="H440" s="454">
        <v>27.5</v>
      </c>
      <c r="I440" s="396"/>
      <c r="J440" s="444">
        <f>SUM(H440:I440)</f>
        <v>27.5</v>
      </c>
      <c r="K440" s="396">
        <f>J440</f>
        <v>27.5</v>
      </c>
      <c r="L440" s="396">
        <f>K440</f>
        <v>27.5</v>
      </c>
      <c r="M440" s="396">
        <f>L440</f>
        <v>27.5</v>
      </c>
      <c r="N440" s="396">
        <f>M440</f>
        <v>27.5</v>
      </c>
      <c r="O440" s="396">
        <f>N440</f>
        <v>27.5</v>
      </c>
    </row>
    <row r="441" spans="1:15">
      <c r="A441" s="8"/>
      <c r="B441" s="8"/>
      <c r="C441" s="306" t="s">
        <v>260</v>
      </c>
      <c r="D441" s="8"/>
      <c r="E441" s="8"/>
      <c r="F441" s="328"/>
      <c r="G441" s="8"/>
      <c r="H441" s="455">
        <f t="shared" ref="H441:O441" si="56">SUM(H438:H440)</f>
        <v>87.7</v>
      </c>
      <c r="I441" s="374">
        <f t="shared" si="56"/>
        <v>79.097030148148121</v>
      </c>
      <c r="J441" s="453">
        <f t="shared" si="56"/>
        <v>166.79703014814811</v>
      </c>
      <c r="K441" s="374">
        <f t="shared" ca="1" si="56"/>
        <v>167.554477303369</v>
      </c>
      <c r="L441" s="374">
        <f t="shared" ca="1" si="56"/>
        <v>161.63066629853091</v>
      </c>
      <c r="M441" s="374">
        <f t="shared" ca="1" si="56"/>
        <v>128.54185562838427</v>
      </c>
      <c r="N441" s="374">
        <f t="shared" ca="1" si="56"/>
        <v>164.43573241888038</v>
      </c>
      <c r="O441" s="374">
        <f t="shared" ca="1" si="56"/>
        <v>198.24579296229169</v>
      </c>
    </row>
    <row r="442" spans="1:15">
      <c r="A442" s="8"/>
      <c r="B442" s="8"/>
      <c r="C442" s="8"/>
      <c r="D442" s="8"/>
      <c r="E442" s="8"/>
      <c r="F442" s="367"/>
      <c r="G442" s="8"/>
      <c r="H442" s="463"/>
      <c r="I442" s="464"/>
      <c r="J442" s="465"/>
      <c r="K442" s="423"/>
      <c r="L442" s="423"/>
      <c r="M442" s="424"/>
      <c r="N442" s="423"/>
      <c r="O442" s="423"/>
    </row>
    <row r="443" spans="1:15">
      <c r="A443" s="8"/>
      <c r="B443" s="8"/>
      <c r="C443" s="8" t="s">
        <v>213</v>
      </c>
      <c r="D443" s="8"/>
      <c r="E443" s="8"/>
      <c r="F443" s="307"/>
      <c r="G443" s="8"/>
      <c r="H443" s="452">
        <v>84.600000000000009</v>
      </c>
      <c r="I443" s="374"/>
      <c r="J443" s="453">
        <f>SUM(H443:I443)</f>
        <v>84.600000000000009</v>
      </c>
      <c r="K443" s="424">
        <f ca="1">J443+K520</f>
        <v>95.404879166115848</v>
      </c>
      <c r="L443" s="424">
        <f ca="1">K443+L520</f>
        <v>111.85182015652089</v>
      </c>
      <c r="M443" s="424">
        <f ca="1">L443+M520</f>
        <v>119.02874749999998</v>
      </c>
      <c r="N443" s="424">
        <f ca="1">M443+N520</f>
        <v>122.65892737499993</v>
      </c>
      <c r="O443" s="424">
        <f ca="1">N443+O520</f>
        <v>125.21499806875026</v>
      </c>
    </row>
    <row r="444" spans="1:15">
      <c r="A444" s="8"/>
      <c r="B444" s="8"/>
      <c r="C444" s="90" t="s">
        <v>36</v>
      </c>
      <c r="D444" s="8"/>
      <c r="E444" s="8"/>
      <c r="F444" s="307"/>
      <c r="G444" s="8"/>
      <c r="H444" s="452">
        <v>380</v>
      </c>
      <c r="I444" s="374">
        <f>-H444+F22</f>
        <v>-142.70890955555564</v>
      </c>
      <c r="J444" s="453">
        <f>SUM(H444:I444)</f>
        <v>237.29109044444436</v>
      </c>
      <c r="K444" s="374">
        <f>K591</f>
        <v>219.49425866111105</v>
      </c>
      <c r="L444" s="374">
        <f>L591</f>
        <v>183.90059509444438</v>
      </c>
      <c r="M444" s="374">
        <f>M591</f>
        <v>160.17148604999994</v>
      </c>
      <c r="N444" s="374">
        <f>N591</f>
        <v>77.119604394444423</v>
      </c>
      <c r="O444" s="374">
        <f>O591</f>
        <v>0</v>
      </c>
    </row>
    <row r="445" spans="1:15">
      <c r="A445" s="8"/>
      <c r="B445" s="8"/>
      <c r="C445" s="90" t="s">
        <v>37</v>
      </c>
      <c r="D445" s="8"/>
      <c r="E445" s="8"/>
      <c r="F445" s="307"/>
      <c r="G445" s="8"/>
      <c r="H445" s="452">
        <v>0</v>
      </c>
      <c r="I445" s="374">
        <f>-H445+F23</f>
        <v>197.7425753703703</v>
      </c>
      <c r="J445" s="453">
        <f>SUM(H445:I445)</f>
        <v>197.7425753703703</v>
      </c>
      <c r="K445" s="374">
        <f>K603</f>
        <v>195.7651496166666</v>
      </c>
      <c r="L445" s="374">
        <f>L603</f>
        <v>193.78772386296291</v>
      </c>
      <c r="M445" s="374">
        <f>M603</f>
        <v>191.81029810925921</v>
      </c>
      <c r="N445" s="374">
        <f>N603</f>
        <v>189.83287235555551</v>
      </c>
      <c r="O445" s="374">
        <f>O603</f>
        <v>187.85544660185181</v>
      </c>
    </row>
    <row r="446" spans="1:15">
      <c r="A446" s="8"/>
      <c r="B446" s="8"/>
      <c r="C446" s="90" t="s">
        <v>38</v>
      </c>
      <c r="D446" s="8"/>
      <c r="E446" s="8"/>
      <c r="F446" s="307"/>
      <c r="G446" s="8"/>
      <c r="H446" s="452">
        <v>0</v>
      </c>
      <c r="I446" s="374">
        <f>-H446+F24</f>
        <v>237.29109044444436</v>
      </c>
      <c r="J446" s="453">
        <f>SUM(H446:I446)</f>
        <v>237.29109044444436</v>
      </c>
      <c r="K446" s="374">
        <f>K626</f>
        <v>237.29109044444436</v>
      </c>
      <c r="L446" s="374">
        <f>L626</f>
        <v>237.29109044444436</v>
      </c>
      <c r="M446" s="374">
        <f>M626</f>
        <v>237.29109044444436</v>
      </c>
      <c r="N446" s="374">
        <f>N626</f>
        <v>237.29109044444436</v>
      </c>
      <c r="O446" s="374">
        <f>O626</f>
        <v>237.29109044444436</v>
      </c>
    </row>
    <row r="447" spans="1:15">
      <c r="A447" s="8"/>
      <c r="B447" s="8"/>
      <c r="C447" s="90" t="s">
        <v>153</v>
      </c>
      <c r="D447" s="8"/>
      <c r="E447" s="8"/>
      <c r="F447" s="307"/>
      <c r="G447" s="8"/>
      <c r="H447" s="454">
        <v>0</v>
      </c>
      <c r="I447" s="396">
        <f>-H447+F25</f>
        <v>197.7425753703703</v>
      </c>
      <c r="J447" s="444">
        <f>SUM(H447:I447)</f>
        <v>197.7425753703703</v>
      </c>
      <c r="K447" s="466">
        <f>K636</f>
        <v>206.04776353592587</v>
      </c>
      <c r="L447" s="396">
        <f ca="1">L636</f>
        <v>214.70176960443476</v>
      </c>
      <c r="M447" s="396">
        <f ca="1">M636</f>
        <v>223.71924392782103</v>
      </c>
      <c r="N447" s="396">
        <f ca="1">N636</f>
        <v>223.71924392782103</v>
      </c>
      <c r="O447" s="396">
        <f ca="1">O636</f>
        <v>223.71924392782103</v>
      </c>
    </row>
    <row r="448" spans="1:15">
      <c r="A448" s="8"/>
      <c r="B448" s="8"/>
      <c r="C448" s="141" t="s">
        <v>261</v>
      </c>
      <c r="D448" s="8"/>
      <c r="E448" s="8"/>
      <c r="F448" s="328"/>
      <c r="G448" s="8"/>
      <c r="H448" s="455">
        <f t="shared" ref="H448:O448" si="57">SUM(H443:H447)</f>
        <v>464.6</v>
      </c>
      <c r="I448" s="374">
        <f t="shared" si="57"/>
        <v>490.06733162962939</v>
      </c>
      <c r="J448" s="453">
        <f t="shared" si="57"/>
        <v>954.66733162962942</v>
      </c>
      <c r="K448" s="424">
        <f t="shared" ca="1" si="57"/>
        <v>954.00314142426373</v>
      </c>
      <c r="L448" s="424">
        <f t="shared" ca="1" si="57"/>
        <v>941.5329991628073</v>
      </c>
      <c r="M448" s="424">
        <f t="shared" ca="1" si="57"/>
        <v>932.02086603152452</v>
      </c>
      <c r="N448" s="424">
        <f t="shared" ca="1" si="57"/>
        <v>850.62173849726526</v>
      </c>
      <c r="O448" s="424">
        <f t="shared" ca="1" si="57"/>
        <v>774.08077904286745</v>
      </c>
    </row>
    <row r="449" spans="1:15">
      <c r="A449" s="8"/>
      <c r="B449" s="8"/>
      <c r="C449" s="306"/>
      <c r="D449" s="8"/>
      <c r="E449" s="8"/>
      <c r="F449" s="367"/>
      <c r="G449" s="8"/>
      <c r="H449" s="463"/>
      <c r="I449" s="464"/>
      <c r="J449" s="465"/>
      <c r="K449" s="423"/>
      <c r="L449" s="423"/>
      <c r="M449" s="423"/>
      <c r="N449" s="423"/>
      <c r="O449" s="423"/>
    </row>
    <row r="450" spans="1:15">
      <c r="A450" s="8"/>
      <c r="B450" s="8"/>
      <c r="C450" s="141" t="s">
        <v>262</v>
      </c>
      <c r="D450" s="8"/>
      <c r="E450" s="8"/>
      <c r="F450" s="328"/>
      <c r="G450" s="8"/>
      <c r="H450" s="467">
        <f t="shared" ref="H450:O450" si="58">H448+H441</f>
        <v>552.30000000000007</v>
      </c>
      <c r="I450" s="393">
        <f t="shared" si="58"/>
        <v>569.16436177777746</v>
      </c>
      <c r="J450" s="468">
        <f t="shared" si="58"/>
        <v>1121.4643617777774</v>
      </c>
      <c r="K450" s="393">
        <f t="shared" ca="1" si="58"/>
        <v>1121.5576187276326</v>
      </c>
      <c r="L450" s="393">
        <f t="shared" ca="1" si="58"/>
        <v>1103.1636654613383</v>
      </c>
      <c r="M450" s="393">
        <f t="shared" ca="1" si="58"/>
        <v>1060.5627216599087</v>
      </c>
      <c r="N450" s="393">
        <f t="shared" ca="1" si="58"/>
        <v>1015.0574709161456</v>
      </c>
      <c r="O450" s="393">
        <f t="shared" ca="1" si="58"/>
        <v>972.32657200515916</v>
      </c>
    </row>
    <row r="451" spans="1:15">
      <c r="A451" s="8"/>
      <c r="B451" s="8"/>
      <c r="C451" s="8"/>
      <c r="D451" s="8"/>
      <c r="E451" s="8"/>
      <c r="F451" s="367"/>
      <c r="G451" s="8"/>
      <c r="H451" s="463"/>
      <c r="I451" s="464"/>
      <c r="J451" s="465"/>
      <c r="K451" s="423"/>
      <c r="L451" s="423"/>
      <c r="M451" s="423"/>
      <c r="N451" s="423"/>
      <c r="O451" s="423"/>
    </row>
    <row r="452" spans="1:15">
      <c r="A452" s="8"/>
      <c r="B452" s="8"/>
      <c r="C452" s="8" t="s">
        <v>50</v>
      </c>
      <c r="D452" s="8"/>
      <c r="E452" s="8"/>
      <c r="F452" s="307"/>
      <c r="G452" s="8"/>
      <c r="H452" s="452">
        <v>0</v>
      </c>
      <c r="I452" s="374">
        <f>-H452+F29</f>
        <v>100</v>
      </c>
      <c r="J452" s="453">
        <f>SUM(H452:I452)</f>
        <v>100</v>
      </c>
      <c r="K452" s="424">
        <f>K707</f>
        <v>100</v>
      </c>
      <c r="L452" s="424">
        <f>L707</f>
        <v>100</v>
      </c>
      <c r="M452" s="424">
        <f>M707</f>
        <v>100</v>
      </c>
      <c r="N452" s="424">
        <f>N707</f>
        <v>100</v>
      </c>
      <c r="O452" s="424">
        <f>O707</f>
        <v>100</v>
      </c>
    </row>
    <row r="453" spans="1:15">
      <c r="A453" s="8"/>
      <c r="B453" s="8"/>
      <c r="C453" s="8" t="s">
        <v>263</v>
      </c>
      <c r="D453" s="8"/>
      <c r="E453" s="8"/>
      <c r="F453" s="307"/>
      <c r="G453" s="8"/>
      <c r="H453" s="452">
        <v>396.8</v>
      </c>
      <c r="I453" s="374">
        <f>-H453+SUM(F30:F31)</f>
        <v>161.48427893070351</v>
      </c>
      <c r="J453" s="453">
        <f>SUM(H453:I453)</f>
        <v>558.28427893070352</v>
      </c>
      <c r="K453" s="424">
        <f>K716</f>
        <v>558.28427893070352</v>
      </c>
      <c r="L453" s="424">
        <f>L716</f>
        <v>558.28427893070352</v>
      </c>
      <c r="M453" s="424">
        <f>M716</f>
        <v>558.28427893070352</v>
      </c>
      <c r="N453" s="424">
        <f>N716</f>
        <v>558.28427893070352</v>
      </c>
      <c r="O453" s="424">
        <f>O716</f>
        <v>558.28427893070352</v>
      </c>
    </row>
    <row r="454" spans="1:15">
      <c r="A454" s="8"/>
      <c r="B454" s="8"/>
      <c r="C454" s="8" t="s">
        <v>264</v>
      </c>
      <c r="D454" s="8"/>
      <c r="E454" s="8"/>
      <c r="F454" s="307"/>
      <c r="G454" s="8"/>
      <c r="H454" s="454">
        <v>435.9</v>
      </c>
      <c r="I454" s="396">
        <f>-H454-P29</f>
        <v>-461.40803774551847</v>
      </c>
      <c r="J454" s="444">
        <f>SUM(H454:I454)</f>
        <v>-25.508037745518493</v>
      </c>
      <c r="K454" s="396">
        <f ca="1">K728</f>
        <v>-18.248453996439157</v>
      </c>
      <c r="L454" s="396">
        <f ca="1">L728</f>
        <v>-1.5585669124764483</v>
      </c>
      <c r="M454" s="396">
        <f ca="1">M728</f>
        <v>35.299502486535282</v>
      </c>
      <c r="N454" s="396">
        <f ca="1">N728</f>
        <v>87.213730031609671</v>
      </c>
      <c r="O454" s="396">
        <f ca="1">O728</f>
        <v>162.11778839742882</v>
      </c>
    </row>
    <row r="455" spans="1:15">
      <c r="A455" s="8"/>
      <c r="B455" s="8"/>
      <c r="C455" s="306" t="s">
        <v>265</v>
      </c>
      <c r="D455" s="8"/>
      <c r="E455" s="8"/>
      <c r="F455" s="328"/>
      <c r="G455" s="8"/>
      <c r="H455" s="467">
        <f t="shared" ref="H455:O455" si="59">SUM(H452:H454)</f>
        <v>832.7</v>
      </c>
      <c r="I455" s="393">
        <f t="shared" si="59"/>
        <v>-199.92375881481496</v>
      </c>
      <c r="J455" s="468">
        <f t="shared" si="59"/>
        <v>632.77624118518497</v>
      </c>
      <c r="K455" s="469">
        <f t="shared" ca="1" si="59"/>
        <v>640.03582493426438</v>
      </c>
      <c r="L455" s="469">
        <f t="shared" ca="1" si="59"/>
        <v>656.72571201822711</v>
      </c>
      <c r="M455" s="469">
        <f t="shared" ca="1" si="59"/>
        <v>693.58378141723881</v>
      </c>
      <c r="N455" s="469">
        <f t="shared" ca="1" si="59"/>
        <v>745.49800896231318</v>
      </c>
      <c r="O455" s="469">
        <f t="shared" ca="1" si="59"/>
        <v>820.40206732813238</v>
      </c>
    </row>
    <row r="456" spans="1:15">
      <c r="A456" s="8"/>
      <c r="B456" s="8"/>
      <c r="C456" s="8"/>
      <c r="D456" s="8"/>
      <c r="E456" s="8"/>
      <c r="F456" s="367"/>
      <c r="G456" s="8"/>
      <c r="H456" s="463"/>
      <c r="I456" s="464"/>
      <c r="J456" s="465"/>
      <c r="K456" s="423"/>
      <c r="L456" s="423"/>
      <c r="M456" s="423"/>
      <c r="N456" s="423"/>
      <c r="O456" s="423"/>
    </row>
    <row r="457" spans="1:15" ht="13.8" thickBot="1">
      <c r="A457" s="8"/>
      <c r="B457" s="306" t="s">
        <v>266</v>
      </c>
      <c r="C457" s="8"/>
      <c r="D457" s="8"/>
      <c r="E457" s="8"/>
      <c r="F457" s="328"/>
      <c r="G457" s="8"/>
      <c r="H457" s="460">
        <f t="shared" ref="H457:O457" si="60">H455+H450</f>
        <v>1385</v>
      </c>
      <c r="I457" s="461">
        <f t="shared" si="60"/>
        <v>369.2406029629625</v>
      </c>
      <c r="J457" s="462">
        <f t="shared" si="60"/>
        <v>1754.2406029629624</v>
      </c>
      <c r="K457" s="461">
        <f t="shared" ca="1" si="60"/>
        <v>1761.593443661897</v>
      </c>
      <c r="L457" s="461">
        <f t="shared" ca="1" si="60"/>
        <v>1759.8893774795654</v>
      </c>
      <c r="M457" s="461">
        <f t="shared" ca="1" si="60"/>
        <v>1754.1465030771474</v>
      </c>
      <c r="N457" s="461">
        <f t="shared" ca="1" si="60"/>
        <v>1760.5554798784588</v>
      </c>
      <c r="O457" s="461">
        <f t="shared" ca="1" si="60"/>
        <v>1792.7286393332915</v>
      </c>
    </row>
    <row r="458" spans="1:15" ht="13.8" thickTop="1">
      <c r="A458" s="8"/>
      <c r="B458" s="8"/>
      <c r="C458" s="8"/>
      <c r="D458" s="8"/>
      <c r="E458" s="8"/>
      <c r="F458" s="312"/>
      <c r="G458" s="8"/>
      <c r="H458" s="470"/>
      <c r="I458" s="310"/>
      <c r="J458" s="471"/>
      <c r="K458" s="472"/>
      <c r="L458" s="472"/>
      <c r="M458" s="472"/>
      <c r="N458" s="472"/>
      <c r="O458" s="472"/>
    </row>
    <row r="459" spans="1:15">
      <c r="A459" s="8"/>
      <c r="B459" s="417"/>
      <c r="C459" s="8"/>
      <c r="D459" s="184" t="s">
        <v>267</v>
      </c>
      <c r="E459" s="8"/>
      <c r="F459" s="473"/>
      <c r="G459" s="8"/>
      <c r="H459" s="651">
        <f t="shared" ref="H459:O459" si="61">H434-H457</f>
        <v>0</v>
      </c>
      <c r="I459" s="652">
        <f t="shared" si="61"/>
        <v>0</v>
      </c>
      <c r="J459" s="653">
        <f t="shared" si="61"/>
        <v>0</v>
      </c>
      <c r="K459" s="654">
        <f t="shared" ca="1" si="61"/>
        <v>0</v>
      </c>
      <c r="L459" s="654">
        <f t="shared" ca="1" si="61"/>
        <v>0</v>
      </c>
      <c r="M459" s="654">
        <f t="shared" ca="1" si="61"/>
        <v>-4.5474735088646412E-12</v>
      </c>
      <c r="N459" s="654">
        <f t="shared" ca="1" si="61"/>
        <v>-6.3437255448661745E-10</v>
      </c>
      <c r="O459" s="654">
        <f t="shared" ca="1" si="61"/>
        <v>4.6787818064331077E-8</v>
      </c>
    </row>
    <row r="460" spans="1:15">
      <c r="A460" s="8"/>
      <c r="B460" s="478"/>
      <c r="C460" s="35"/>
      <c r="D460" s="35"/>
      <c r="E460" s="35"/>
      <c r="F460" s="35"/>
      <c r="G460" s="35"/>
      <c r="H460" s="35"/>
      <c r="I460" s="35"/>
      <c r="J460" s="35"/>
      <c r="K460" s="479"/>
      <c r="L460" s="479"/>
      <c r="M460" s="479"/>
      <c r="N460" s="479"/>
      <c r="O460" s="479"/>
    </row>
    <row r="461" spans="1: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spans="1: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2.75" customHeight="1">
      <c r="A463" s="8"/>
      <c r="B463" s="480"/>
      <c r="C463" s="481"/>
      <c r="D463" s="481"/>
      <c r="E463" s="482"/>
      <c r="F463" s="482"/>
      <c r="G463" s="483"/>
      <c r="H463" s="483"/>
      <c r="I463" s="483"/>
      <c r="J463" s="483"/>
      <c r="K463" s="483"/>
      <c r="L463" s="483"/>
      <c r="M463" s="483"/>
      <c r="N463" s="483"/>
      <c r="O463" s="338" t="str">
        <f>$O$236</f>
        <v>CURRENTLY RUNNING: BASE CASE SCENARIO</v>
      </c>
    </row>
    <row r="464" spans="1:15" ht="22.8" customHeight="1">
      <c r="A464" s="8"/>
      <c r="B464" s="86" t="str">
        <f>$B$3</f>
        <v>Moonbucks Corp.</v>
      </c>
      <c r="C464" s="481"/>
      <c r="D464" s="481"/>
      <c r="E464" s="482"/>
      <c r="F464" s="482"/>
      <c r="G464" s="483"/>
      <c r="H464" s="483"/>
      <c r="I464" s="483"/>
      <c r="J464" s="483"/>
      <c r="K464" s="483"/>
      <c r="L464" s="483"/>
      <c r="M464" s="483"/>
      <c r="N464" s="483"/>
      <c r="O464" s="483"/>
    </row>
    <row r="465" spans="1:15" ht="18.75" customHeight="1">
      <c r="A465" s="8"/>
      <c r="B465" s="293" t="s">
        <v>268</v>
      </c>
      <c r="C465" s="293"/>
      <c r="D465" s="293"/>
      <c r="E465" s="484"/>
      <c r="F465" s="484"/>
      <c r="G465" s="293"/>
      <c r="H465" s="293"/>
      <c r="I465" s="293"/>
      <c r="J465" s="293"/>
      <c r="K465" s="293"/>
      <c r="L465" s="293"/>
      <c r="M465" s="293"/>
      <c r="N465" s="293"/>
      <c r="O465" s="293"/>
    </row>
    <row r="466" spans="1:15" ht="6" customHeight="1" thickBot="1">
      <c r="A466" s="8"/>
      <c r="B466" s="7"/>
      <c r="C466" s="7"/>
      <c r="D466" s="7"/>
      <c r="E466" s="485"/>
      <c r="F466" s="485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2.75" customHeight="1">
      <c r="A467" s="8"/>
      <c r="B467" s="416" t="s">
        <v>224</v>
      </c>
      <c r="C467" s="417"/>
      <c r="D467" s="8"/>
      <c r="E467" s="301"/>
      <c r="F467" s="301"/>
      <c r="G467" s="417"/>
      <c r="H467" s="8"/>
      <c r="I467" s="8"/>
      <c r="J467" s="8"/>
      <c r="K467" s="8"/>
      <c r="L467" s="8"/>
      <c r="M467" s="8"/>
      <c r="N467" s="8"/>
      <c r="O467" s="8"/>
    </row>
    <row r="468" spans="1:15" ht="13.8">
      <c r="A468" s="8"/>
      <c r="B468" s="8"/>
      <c r="C468" s="8"/>
      <c r="D468" s="8"/>
      <c r="E468" s="301"/>
      <c r="F468" s="301"/>
      <c r="G468" s="8"/>
      <c r="H468" s="8"/>
      <c r="I468" s="8"/>
      <c r="J468" s="8"/>
      <c r="K468" s="303" t="s">
        <v>170</v>
      </c>
      <c r="L468" s="486"/>
      <c r="M468" s="486"/>
      <c r="N468" s="486"/>
      <c r="O468" s="486"/>
    </row>
    <row r="469" spans="1:15">
      <c r="A469" s="8"/>
      <c r="B469" s="8"/>
      <c r="C469" s="42"/>
      <c r="D469" s="42"/>
      <c r="E469" s="487"/>
      <c r="F469" s="488"/>
      <c r="G469" s="343"/>
      <c r="H469" s="304">
        <f t="shared" ref="H469:O469" si="62">H$242</f>
        <v>2019</v>
      </c>
      <c r="I469" s="304">
        <f t="shared" si="62"/>
        <v>2020</v>
      </c>
      <c r="J469" s="304">
        <f t="shared" si="62"/>
        <v>2021</v>
      </c>
      <c r="K469" s="489">
        <f t="shared" si="62"/>
        <v>2022</v>
      </c>
      <c r="L469" s="489">
        <f t="shared" si="62"/>
        <v>2023</v>
      </c>
      <c r="M469" s="489">
        <f t="shared" si="62"/>
        <v>2024</v>
      </c>
      <c r="N469" s="489">
        <f t="shared" si="62"/>
        <v>2025</v>
      </c>
      <c r="O469" s="489">
        <f t="shared" si="62"/>
        <v>2026</v>
      </c>
    </row>
    <row r="470" spans="1:15">
      <c r="A470" s="8"/>
      <c r="B470" s="8"/>
      <c r="C470" s="8"/>
      <c r="D470" s="8"/>
      <c r="E470" s="8"/>
      <c r="F470" s="301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3.35" customHeight="1">
      <c r="A471" s="490"/>
      <c r="B471" s="491" t="s">
        <v>269</v>
      </c>
      <c r="C471" s="121"/>
      <c r="D471" s="121"/>
      <c r="E471" s="121"/>
      <c r="F471" s="492">
        <f>N71</f>
        <v>20</v>
      </c>
      <c r="G471" s="8"/>
      <c r="H471" s="8"/>
      <c r="I471" s="8"/>
      <c r="J471" s="8"/>
      <c r="K471" s="493"/>
      <c r="L471" s="494"/>
      <c r="M471" s="494"/>
      <c r="N471" s="494"/>
      <c r="O471" s="8"/>
    </row>
    <row r="472" spans="1:15" ht="13.35" customHeight="1">
      <c r="A472" s="490"/>
      <c r="B472" s="495" t="s">
        <v>270</v>
      </c>
      <c r="C472" s="35"/>
      <c r="D472" s="496"/>
      <c r="E472" s="497"/>
      <c r="F472" s="498">
        <f>N72</f>
        <v>25</v>
      </c>
      <c r="G472" s="8"/>
      <c r="H472" s="8"/>
      <c r="I472" s="8"/>
      <c r="J472" s="8"/>
      <c r="K472" s="493"/>
      <c r="L472" s="494"/>
      <c r="M472" s="494"/>
      <c r="N472" s="494"/>
      <c r="O472" s="8"/>
    </row>
    <row r="473" spans="1:15" ht="12.75" customHeight="1">
      <c r="A473" s="490"/>
      <c r="B473" s="8"/>
      <c r="C473" s="8"/>
      <c r="D473" s="8"/>
      <c r="E473" s="8"/>
      <c r="F473" s="8"/>
      <c r="G473" s="8"/>
      <c r="H473" s="8"/>
      <c r="I473" s="8"/>
      <c r="J473" s="8"/>
      <c r="K473" s="499"/>
      <c r="L473" s="8"/>
      <c r="M473" s="8"/>
      <c r="N473" s="8"/>
      <c r="O473" s="8"/>
    </row>
    <row r="474" spans="1:15">
      <c r="A474" s="490"/>
      <c r="B474" s="8"/>
      <c r="C474" s="8"/>
      <c r="D474" s="8" t="s">
        <v>271</v>
      </c>
      <c r="E474" s="8"/>
      <c r="F474" s="8"/>
      <c r="G474" s="8"/>
      <c r="H474" s="500">
        <v>54.8</v>
      </c>
      <c r="I474" s="500">
        <v>55.2</v>
      </c>
      <c r="J474" s="500">
        <v>56.4</v>
      </c>
      <c r="K474" s="81">
        <f>J431/F471</f>
        <v>61.86</v>
      </c>
      <c r="L474" s="81">
        <f>K474</f>
        <v>61.86</v>
      </c>
      <c r="M474" s="81">
        <f>L474</f>
        <v>61.86</v>
      </c>
      <c r="N474" s="81">
        <f>M474</f>
        <v>61.86</v>
      </c>
      <c r="O474" s="81">
        <f>N474</f>
        <v>61.86</v>
      </c>
    </row>
    <row r="475" spans="1:15">
      <c r="A475" s="490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3.8">
      <c r="A476" s="8"/>
      <c r="B476" s="8"/>
      <c r="C476" s="8"/>
      <c r="D476" s="501" t="s">
        <v>230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spans="1:15">
      <c r="A477" s="8"/>
      <c r="B477" s="8"/>
      <c r="C477" s="8"/>
      <c r="D477" s="160">
        <f>K469</f>
        <v>2022</v>
      </c>
      <c r="E477" s="502">
        <f>-HLOOKUP(D477,$K$380:$O$391,12,FALSE)</f>
        <v>60</v>
      </c>
      <c r="F477" s="503"/>
      <c r="G477" s="8"/>
      <c r="H477" s="504"/>
      <c r="I477" s="504"/>
      <c r="J477" s="504"/>
      <c r="K477" s="398">
        <f>IF(K$469=$D477,$E477/$F$472/2,MIN($E477/$F$472,$E477-SUM($J477:J477)))</f>
        <v>1.2</v>
      </c>
      <c r="L477" s="398">
        <f>IF(L$469=$D477,$E477/$F$472/2,MIN($E477/$F$472,$E477-SUM($J477:K477)))</f>
        <v>2.4</v>
      </c>
      <c r="M477" s="398">
        <f>IF(M$469=$D477,$E477/$F$472/2,MIN($E477/$F$472,$E477-SUM($J477:L477)))</f>
        <v>2.4</v>
      </c>
      <c r="N477" s="398">
        <f>IF(N$469=$D477,$E477/$F$472/2,MIN($E477/$F$472,$E477-SUM($J477:M477)))</f>
        <v>2.4</v>
      </c>
      <c r="O477" s="398">
        <f>IF(O$469=$D477,$E477/$F$472/2,MIN($E477/$F$472,$E477-SUM($J477:N477)))</f>
        <v>2.4</v>
      </c>
    </row>
    <row r="478" spans="1:15">
      <c r="A478" s="8"/>
      <c r="B478" s="8"/>
      <c r="C478" s="8"/>
      <c r="D478" s="160">
        <f>D477+1</f>
        <v>2023</v>
      </c>
      <c r="E478" s="505">
        <f>-HLOOKUP(D478,$K$380:$O$391,12,FALSE)</f>
        <v>64</v>
      </c>
      <c r="F478" s="503"/>
      <c r="G478" s="8"/>
      <c r="H478" s="504"/>
      <c r="I478" s="504"/>
      <c r="J478" s="504"/>
      <c r="K478" s="398"/>
      <c r="L478" s="398">
        <f>IF(L$469=$D478,$E478/$F$472/2,MIN($E478/$F$472,$E478-SUM($J478:K478)))</f>
        <v>1.28</v>
      </c>
      <c r="M478" s="398">
        <f>IF(M$469=$D478,$E478/$F$472/2,MIN($E478/$F$472,$E478-SUM($J478:L478)))</f>
        <v>2.56</v>
      </c>
      <c r="N478" s="398">
        <f>IF(N$469=$D478,$E478/$F$472/2,MIN($E478/$F$472,$E478-SUM($J478:M478)))</f>
        <v>2.56</v>
      </c>
      <c r="O478" s="398">
        <f>IF(O$469=$D478,$E478/$F$472/2,MIN($E478/$F$472,$E478-SUM($J478:N478)))</f>
        <v>2.56</v>
      </c>
    </row>
    <row r="479" spans="1:15">
      <c r="A479" s="8"/>
      <c r="B479" s="8"/>
      <c r="C479" s="8"/>
      <c r="D479" s="160">
        <f>D478+1</f>
        <v>2024</v>
      </c>
      <c r="E479" s="505">
        <f>-HLOOKUP(D479,$K$380:$O$391,12,FALSE)</f>
        <v>65.28</v>
      </c>
      <c r="F479" s="503"/>
      <c r="G479" s="8"/>
      <c r="H479" s="494"/>
      <c r="I479" s="494"/>
      <c r="J479" s="494"/>
      <c r="K479" s="398"/>
      <c r="L479" s="398"/>
      <c r="M479" s="398">
        <f>IF(M$469=$D479,$E479/$F$472/2,MIN($E479/$F$472,$E479-SUM($J479:L479)))</f>
        <v>1.3056000000000001</v>
      </c>
      <c r="N479" s="398">
        <f>IF(N$469=$D479,$E479/$F$472/2,MIN($E479/$F$472,$E479-SUM($J479:M479)))</f>
        <v>2.6112000000000002</v>
      </c>
      <c r="O479" s="398">
        <f>IF(O$469=$D479,$E479/$F$472/2,MIN($E479/$F$472,$E479-SUM($J479:N479)))</f>
        <v>2.6112000000000002</v>
      </c>
    </row>
    <row r="480" spans="1:15">
      <c r="A480" s="8"/>
      <c r="B480" s="8"/>
      <c r="C480" s="8"/>
      <c r="D480" s="160">
        <f>D479+1</f>
        <v>2025</v>
      </c>
      <c r="E480" s="505">
        <f>-HLOOKUP(D480,$K$380:$O$391,12,FALSE)</f>
        <v>66.911999999999992</v>
      </c>
      <c r="F480" s="503"/>
      <c r="G480" s="8"/>
      <c r="H480" s="494"/>
      <c r="I480" s="494"/>
      <c r="J480" s="494"/>
      <c r="K480" s="398"/>
      <c r="L480" s="398"/>
      <c r="M480" s="398"/>
      <c r="N480" s="398">
        <f>IF(N$469=$D480,$E480/$F$472/2,MIN($E480/$F$472,$E480-SUM($J480:M480)))</f>
        <v>1.3382399999999999</v>
      </c>
      <c r="O480" s="398">
        <f>IF(O$469=$D480,$E480/$F$472/2,MIN($E480/$F$472,$E480-SUM($J480:N480)))</f>
        <v>2.6764799999999997</v>
      </c>
    </row>
    <row r="481" spans="1:15">
      <c r="A481" s="8"/>
      <c r="B481" s="8"/>
      <c r="C481" s="8"/>
      <c r="D481" s="160">
        <f>D480+1</f>
        <v>2026</v>
      </c>
      <c r="E481" s="506">
        <f>-HLOOKUP(D481,$K$380:$O$391,12,FALSE)</f>
        <v>98.584799999999987</v>
      </c>
      <c r="F481" s="503"/>
      <c r="G481" s="8"/>
      <c r="H481" s="494"/>
      <c r="I481" s="494"/>
      <c r="J481" s="494"/>
      <c r="K481" s="398"/>
      <c r="L481" s="398"/>
      <c r="M481" s="398"/>
      <c r="N481" s="398"/>
      <c r="O481" s="398">
        <f>IF(O$469=$D481,$E481/$F$472/2,MIN($E481/$F$472,$E481-SUM($J481:N481)))</f>
        <v>1.9716959999999997</v>
      </c>
    </row>
    <row r="482" spans="1:15">
      <c r="A482" s="8"/>
      <c r="B482" s="8"/>
      <c r="C482" s="8"/>
      <c r="D482" s="8"/>
      <c r="E482" s="8"/>
      <c r="F482" s="301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3.8" thickBot="1">
      <c r="A483" s="8"/>
      <c r="B483" s="8"/>
      <c r="C483" s="8"/>
      <c r="D483" s="507" t="s">
        <v>272</v>
      </c>
      <c r="E483" s="8"/>
      <c r="F483" s="301"/>
      <c r="G483" s="8"/>
      <c r="H483" s="508">
        <f t="shared" ref="H483:J483" si="63">SUM(H474:H481)</f>
        <v>54.8</v>
      </c>
      <c r="I483" s="508">
        <f t="shared" si="63"/>
        <v>55.2</v>
      </c>
      <c r="J483" s="508">
        <f t="shared" si="63"/>
        <v>56.4</v>
      </c>
      <c r="K483" s="508">
        <f>SUM(K474:K482)</f>
        <v>63.06</v>
      </c>
      <c r="L483" s="508">
        <f t="shared" ref="L483:O483" si="64">SUM(L474:L482)</f>
        <v>65.540000000000006</v>
      </c>
      <c r="M483" s="508">
        <f t="shared" si="64"/>
        <v>68.125600000000006</v>
      </c>
      <c r="N483" s="508">
        <f t="shared" si="64"/>
        <v>70.769440000000003</v>
      </c>
      <c r="O483" s="508">
        <f t="shared" si="64"/>
        <v>74.079375999999996</v>
      </c>
    </row>
    <row r="484" spans="1:15" ht="13.8" thickTop="1">
      <c r="A484" s="8"/>
      <c r="B484" s="8"/>
      <c r="C484" s="8"/>
      <c r="D484" s="507"/>
      <c r="E484" s="8"/>
      <c r="F484" s="301"/>
      <c r="G484" s="8"/>
      <c r="H484" s="509"/>
      <c r="I484" s="509"/>
      <c r="J484" s="509"/>
      <c r="K484" s="67"/>
      <c r="L484" s="67"/>
      <c r="M484" s="67"/>
      <c r="N484" s="67"/>
      <c r="O484" s="67"/>
    </row>
    <row r="485" spans="1:15">
      <c r="A485" s="8"/>
      <c r="B485" s="35"/>
      <c r="C485" s="35"/>
      <c r="D485" s="35"/>
      <c r="E485" s="35"/>
      <c r="F485" s="336"/>
      <c r="G485" s="35"/>
      <c r="H485" s="443"/>
      <c r="I485" s="443"/>
      <c r="J485" s="443"/>
      <c r="K485" s="443"/>
      <c r="L485" s="443"/>
      <c r="M485" s="443"/>
      <c r="N485" s="443"/>
      <c r="O485" s="35"/>
    </row>
    <row r="486" spans="1: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spans="1: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2.75" customHeight="1">
      <c r="A488" s="8"/>
      <c r="B488" s="8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38" t="str">
        <f>$O$236</f>
        <v>CURRENTLY RUNNING: BASE CASE SCENARIO</v>
      </c>
    </row>
    <row r="489" spans="1:15" ht="22.8" customHeight="1">
      <c r="A489" s="8"/>
      <c r="B489" s="86" t="str">
        <f>$B$3</f>
        <v>Moonbucks Corp.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8.75" customHeight="1">
      <c r="A490" s="8"/>
      <c r="B490" s="293" t="s">
        <v>273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6" customHeight="1" thickBot="1">
      <c r="A491" s="8"/>
      <c r="B491" s="297"/>
      <c r="C491" s="297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</row>
    <row r="492" spans="1:15" ht="12.75" customHeight="1">
      <c r="A492" s="8"/>
      <c r="B492" s="416" t="s">
        <v>224</v>
      </c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3.8">
      <c r="A493" s="8"/>
      <c r="B493" s="8"/>
      <c r="C493" s="8"/>
      <c r="D493" s="8"/>
      <c r="E493" s="8"/>
      <c r="F493" s="8"/>
      <c r="G493" s="8"/>
      <c r="H493" s="510"/>
      <c r="I493" s="510"/>
      <c r="J493" s="510"/>
      <c r="K493" s="303" t="s">
        <v>170</v>
      </c>
      <c r="L493" s="113"/>
      <c r="M493" s="113"/>
      <c r="N493" s="113"/>
      <c r="O493" s="113"/>
    </row>
    <row r="494" spans="1:15" ht="13.8">
      <c r="A494" s="8"/>
      <c r="B494" s="511"/>
      <c r="C494" s="512" t="s">
        <v>274</v>
      </c>
      <c r="D494" s="513"/>
      <c r="E494" s="514">
        <f>N64</f>
        <v>0.35</v>
      </c>
      <c r="F494" s="8"/>
      <c r="G494" s="8"/>
      <c r="H494" s="343"/>
      <c r="I494" s="343"/>
      <c r="J494" s="343"/>
      <c r="K494" s="420">
        <f>K$242</f>
        <v>2022</v>
      </c>
      <c r="L494" s="420">
        <f>L$242</f>
        <v>2023</v>
      </c>
      <c r="M494" s="420">
        <f>M$242</f>
        <v>2024</v>
      </c>
      <c r="N494" s="420">
        <f>N$242</f>
        <v>2025</v>
      </c>
      <c r="O494" s="420">
        <f>O$242</f>
        <v>2026</v>
      </c>
    </row>
    <row r="495" spans="1: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>
      <c r="A496" s="8"/>
      <c r="B496" s="8"/>
      <c r="C496" s="306" t="s">
        <v>275</v>
      </c>
      <c r="D496" s="8"/>
      <c r="E496" s="8"/>
      <c r="F496" s="8"/>
      <c r="G496" s="515" t="s">
        <v>276</v>
      </c>
      <c r="H496" s="504"/>
      <c r="I496" s="504"/>
      <c r="J496" s="504"/>
      <c r="K496" s="67">
        <f ca="1">K354</f>
        <v>30.87108333175955</v>
      </c>
      <c r="L496" s="67">
        <f ca="1">L354</f>
        <v>46.99125997258583</v>
      </c>
      <c r="M496" s="67">
        <f ca="1">M354</f>
        <v>81.466785297449121</v>
      </c>
      <c r="N496" s="67">
        <f ca="1">N354</f>
        <v>107.2038077683317</v>
      </c>
      <c r="O496" s="67">
        <f ca="1">O354</f>
        <v>146.50266392613531</v>
      </c>
    </row>
    <row r="497" spans="1:15" ht="6" customHeight="1">
      <c r="A497" s="8"/>
      <c r="B497" s="8"/>
      <c r="C497" s="8"/>
      <c r="D497" s="8"/>
      <c r="E497" s="516"/>
      <c r="F497" s="516"/>
      <c r="G497" s="517"/>
      <c r="H497" s="517"/>
      <c r="I497" s="517"/>
      <c r="J497" s="517"/>
      <c r="K497" s="494"/>
      <c r="L497" s="494"/>
      <c r="M497" s="494"/>
      <c r="N497" s="494"/>
      <c r="O497" s="494"/>
    </row>
    <row r="498" spans="1:15">
      <c r="A498" s="8"/>
      <c r="B498" s="8"/>
      <c r="C498" s="8"/>
      <c r="D498" s="8" t="s">
        <v>277</v>
      </c>
      <c r="E498" s="516"/>
      <c r="F498" s="516"/>
      <c r="G498" s="517"/>
      <c r="H498" s="504"/>
      <c r="I498" s="504"/>
      <c r="J498" s="504"/>
      <c r="K498" s="398">
        <f>K347</f>
        <v>63.06</v>
      </c>
      <c r="L498" s="398">
        <f>L347</f>
        <v>65.540000000000006</v>
      </c>
      <c r="M498" s="398">
        <f>M347</f>
        <v>68.125600000000006</v>
      </c>
      <c r="N498" s="398">
        <f>N347</f>
        <v>70.769440000000003</v>
      </c>
      <c r="O498" s="398">
        <f>O347</f>
        <v>74.079375999999996</v>
      </c>
    </row>
    <row r="499" spans="1:15">
      <c r="A499" s="8"/>
      <c r="B499" s="8"/>
      <c r="C499" s="8"/>
      <c r="D499" s="8" t="s">
        <v>278</v>
      </c>
      <c r="E499" s="516"/>
      <c r="F499" s="516"/>
      <c r="G499" s="517"/>
      <c r="H499" s="504"/>
      <c r="I499" s="504"/>
      <c r="J499" s="504"/>
      <c r="K499" s="518">
        <f>K530</f>
        <v>91.61999999999999</v>
      </c>
      <c r="L499" s="518">
        <f>L530</f>
        <v>87.176999999999992</v>
      </c>
      <c r="M499" s="518">
        <f>M530</f>
        <v>83.796449999999979</v>
      </c>
      <c r="N499" s="518">
        <f>N530</f>
        <v>81.141382499999978</v>
      </c>
      <c r="O499" s="518">
        <f>O530</f>
        <v>81.382435124999986</v>
      </c>
    </row>
    <row r="500" spans="1:15">
      <c r="A500" s="8"/>
      <c r="B500" s="8"/>
      <c r="C500" s="8"/>
      <c r="D500" s="42" t="s">
        <v>279</v>
      </c>
      <c r="E500" s="519"/>
      <c r="F500" s="519"/>
      <c r="G500" s="520"/>
      <c r="H500" s="521"/>
      <c r="I500" s="521"/>
      <c r="J500" s="521"/>
      <c r="K500" s="522">
        <f ca="1">K496+K498-K499</f>
        <v>2.311083331759562</v>
      </c>
      <c r="L500" s="522">
        <f ca="1">L496+L498-L499</f>
        <v>25.354259972585851</v>
      </c>
      <c r="M500" s="522">
        <f ca="1">M496+M498-M499</f>
        <v>65.795935297449162</v>
      </c>
      <c r="N500" s="522">
        <f ca="1">N496+N498-N499</f>
        <v>96.831865268331725</v>
      </c>
      <c r="O500" s="522">
        <f ca="1">O496+O498-O499</f>
        <v>139.19960480113531</v>
      </c>
    </row>
    <row r="501" spans="1:15">
      <c r="A501" s="8"/>
      <c r="B501" s="8"/>
      <c r="C501" s="8"/>
      <c r="D501" s="8"/>
      <c r="E501" s="516"/>
      <c r="F501" s="516"/>
      <c r="G501" s="517"/>
      <c r="H501" s="517"/>
      <c r="I501" s="517"/>
      <c r="J501" s="517"/>
      <c r="K501" s="494"/>
      <c r="L501" s="494"/>
      <c r="M501" s="494"/>
      <c r="N501" s="494"/>
      <c r="O501" s="494"/>
    </row>
    <row r="502" spans="1:15">
      <c r="A502" s="8"/>
      <c r="B502" s="8"/>
      <c r="C502" s="42" t="s">
        <v>280</v>
      </c>
      <c r="D502" s="8"/>
      <c r="E502" s="516"/>
      <c r="F502" s="516"/>
      <c r="G502" s="517"/>
      <c r="H502" s="517"/>
      <c r="I502" s="517"/>
      <c r="J502" s="517"/>
      <c r="K502" s="494"/>
      <c r="L502" s="494"/>
      <c r="M502" s="494"/>
      <c r="N502" s="494"/>
      <c r="O502" s="494"/>
    </row>
    <row r="503" spans="1:15">
      <c r="A503" s="8"/>
      <c r="B503" s="8"/>
      <c r="C503" s="8"/>
      <c r="D503" s="94" t="s">
        <v>281</v>
      </c>
      <c r="E503" s="516"/>
      <c r="F503" s="516"/>
      <c r="G503" s="517"/>
      <c r="H503" s="517"/>
      <c r="I503" s="517"/>
      <c r="J503" s="517"/>
      <c r="K503" s="398">
        <f>N66</f>
        <v>32.5</v>
      </c>
      <c r="L503" s="398">
        <f ca="1">K503-K504</f>
        <v>30.188916668240438</v>
      </c>
      <c r="M503" s="398">
        <f ca="1">L503-L504</f>
        <v>4.8346566956545871</v>
      </c>
      <c r="N503" s="398">
        <f ca="1">M503-M504</f>
        <v>0</v>
      </c>
      <c r="O503" s="398">
        <f ca="1">N503-N504</f>
        <v>9.9475983006414026E-14</v>
      </c>
    </row>
    <row r="504" spans="1:15">
      <c r="A504" s="8"/>
      <c r="B504" s="8"/>
      <c r="C504" s="8"/>
      <c r="D504" s="90" t="s">
        <v>282</v>
      </c>
      <c r="E504" s="516"/>
      <c r="F504" s="516"/>
      <c r="G504" s="517"/>
      <c r="H504" s="504"/>
      <c r="I504" s="504"/>
      <c r="J504" s="504"/>
      <c r="K504" s="518">
        <f ca="1">IF(K500&lt;0,0,MIN(K503,K500))</f>
        <v>2.311083331759562</v>
      </c>
      <c r="L504" s="518">
        <f ca="1">IF(L500&lt;0,0,MIN(L503,L500))</f>
        <v>25.354259972585851</v>
      </c>
      <c r="M504" s="518">
        <f ca="1">IF(M500&lt;0,0,MIN(M503,M500))</f>
        <v>4.8346566956545871</v>
      </c>
      <c r="N504" s="518">
        <f ca="1">IF(N500&lt;0,0,MIN(N503,N500))</f>
        <v>0</v>
      </c>
      <c r="O504" s="518">
        <f ca="1">IF(O500&lt;0,0,MIN(O503,O500))</f>
        <v>9.9475983006414026E-14</v>
      </c>
    </row>
    <row r="505" spans="1:15">
      <c r="A505" s="8"/>
      <c r="B505" s="8"/>
      <c r="C505" s="8"/>
      <c r="D505" s="306" t="s">
        <v>283</v>
      </c>
      <c r="E505" s="519"/>
      <c r="F505" s="519"/>
      <c r="G505" s="520"/>
      <c r="H505" s="521"/>
      <c r="I505" s="521"/>
      <c r="J505" s="521"/>
      <c r="K505" s="522">
        <f ca="1">K500-K504</f>
        <v>0</v>
      </c>
      <c r="L505" s="522">
        <f ca="1">L500-L504</f>
        <v>0</v>
      </c>
      <c r="M505" s="522">
        <f ca="1">M500-M504</f>
        <v>60.961278601794575</v>
      </c>
      <c r="N505" s="522">
        <f ca="1">N500-N504</f>
        <v>96.831865268331725</v>
      </c>
      <c r="O505" s="522">
        <f ca="1">O500-O504</f>
        <v>139.19960480113519</v>
      </c>
    </row>
    <row r="506" spans="1:15">
      <c r="A506" s="8"/>
      <c r="B506" s="8"/>
      <c r="C506" s="8"/>
      <c r="D506" s="8"/>
      <c r="E506" s="516"/>
      <c r="F506" s="516"/>
      <c r="G506" s="517"/>
      <c r="H506" s="517"/>
      <c r="I506" s="517"/>
      <c r="J506" s="517"/>
      <c r="K506" s="494"/>
      <c r="L506" s="494"/>
      <c r="M506" s="494"/>
      <c r="N506" s="494"/>
      <c r="O506" s="494"/>
    </row>
    <row r="507" spans="1:15">
      <c r="A507" s="8"/>
      <c r="B507" s="8"/>
      <c r="C507" s="8"/>
      <c r="D507" s="94" t="s">
        <v>284</v>
      </c>
      <c r="E507" s="516"/>
      <c r="F507" s="516"/>
      <c r="G507" s="517"/>
      <c r="H507" s="517"/>
      <c r="I507" s="517"/>
      <c r="J507" s="517"/>
      <c r="K507" s="398">
        <f>J509</f>
        <v>0</v>
      </c>
      <c r="L507" s="398">
        <f ca="1">K509</f>
        <v>0</v>
      </c>
      <c r="M507" s="398">
        <f ca="1">L509</f>
        <v>0</v>
      </c>
      <c r="N507" s="398">
        <f ca="1">M509</f>
        <v>0</v>
      </c>
      <c r="O507" s="398">
        <f ca="1">N509</f>
        <v>0</v>
      </c>
    </row>
    <row r="508" spans="1:15">
      <c r="A508" s="8"/>
      <c r="B508" s="8"/>
      <c r="C508" s="8"/>
      <c r="D508" s="94" t="s">
        <v>285</v>
      </c>
      <c r="E508" s="516"/>
      <c r="F508" s="516"/>
      <c r="G508" s="517"/>
      <c r="H508" s="504"/>
      <c r="I508" s="504"/>
      <c r="J508" s="504"/>
      <c r="K508" s="518">
        <f ca="1">MIN(K507,K505)</f>
        <v>0</v>
      </c>
      <c r="L508" s="518">
        <f ca="1">MIN(L507,L505)</f>
        <v>0</v>
      </c>
      <c r="M508" s="518">
        <f ca="1">MIN(M507,M505)</f>
        <v>0</v>
      </c>
      <c r="N508" s="518">
        <f ca="1">MIN(N507,N505)</f>
        <v>0</v>
      </c>
      <c r="O508" s="518">
        <f ca="1">MIN(O507,O505)</f>
        <v>0</v>
      </c>
    </row>
    <row r="509" spans="1:15">
      <c r="A509" s="8"/>
      <c r="B509" s="8"/>
      <c r="C509" s="8"/>
      <c r="D509" s="94" t="s">
        <v>286</v>
      </c>
      <c r="E509" s="516"/>
      <c r="F509" s="516"/>
      <c r="G509" s="517"/>
      <c r="H509" s="504"/>
      <c r="I509" s="504"/>
      <c r="J509" s="504"/>
      <c r="K509" s="398">
        <f ca="1">K507-K508</f>
        <v>0</v>
      </c>
      <c r="L509" s="398">
        <f ca="1">L507-L508</f>
        <v>0</v>
      </c>
      <c r="M509" s="398">
        <f ca="1">M507-M508</f>
        <v>0</v>
      </c>
      <c r="N509" s="398">
        <f ca="1">N507-N508</f>
        <v>0</v>
      </c>
      <c r="O509" s="398">
        <f ca="1">O507-O508</f>
        <v>0</v>
      </c>
    </row>
    <row r="510" spans="1:15" ht="6" customHeight="1">
      <c r="A510" s="8"/>
      <c r="B510" s="8"/>
      <c r="C510" s="8"/>
      <c r="D510" s="94"/>
      <c r="E510" s="516"/>
      <c r="F510" s="516"/>
      <c r="G510" s="517"/>
      <c r="H510" s="504"/>
      <c r="I510" s="504"/>
      <c r="J510" s="504"/>
      <c r="K510" s="398"/>
      <c r="L510" s="398"/>
      <c r="M510" s="398"/>
      <c r="N510" s="398"/>
      <c r="O510" s="398"/>
    </row>
    <row r="511" spans="1:15">
      <c r="A511" s="8"/>
      <c r="B511" s="8"/>
      <c r="C511" s="8"/>
      <c r="D511" s="94" t="s">
        <v>287</v>
      </c>
      <c r="E511" s="516"/>
      <c r="F511" s="516"/>
      <c r="G511" s="517"/>
      <c r="H511" s="504"/>
      <c r="I511" s="504"/>
      <c r="J511" s="504"/>
      <c r="K511" s="518">
        <f ca="1">IF(K504&lt;0,K503,(K503-K504))</f>
        <v>30.188916668240438</v>
      </c>
      <c r="L511" s="518">
        <f ca="1">IF(L504&lt;0,L503,(L503-L504))</f>
        <v>4.8346566956545871</v>
      </c>
      <c r="M511" s="518">
        <f ca="1">IF(M504&lt;0,M503,(M503-M504))</f>
        <v>0</v>
      </c>
      <c r="N511" s="518">
        <f ca="1">IF(N504&lt;0,N503,(N503-N504))</f>
        <v>0</v>
      </c>
      <c r="O511" s="518">
        <f ca="1">IF(O504&lt;0,O503,(O503-O504))</f>
        <v>0</v>
      </c>
    </row>
    <row r="512" spans="1:15">
      <c r="A512" s="8"/>
      <c r="B512" s="8"/>
      <c r="C512" s="8"/>
      <c r="D512" s="306" t="s">
        <v>288</v>
      </c>
      <c r="E512" s="519"/>
      <c r="F512" s="519"/>
      <c r="G512" s="520"/>
      <c r="H512" s="521"/>
      <c r="I512" s="521"/>
      <c r="J512" s="521"/>
      <c r="K512" s="522">
        <f ca="1">K511+K509</f>
        <v>30.188916668240438</v>
      </c>
      <c r="L512" s="522">
        <f ca="1">L511+L509</f>
        <v>4.8346566956545871</v>
      </c>
      <c r="M512" s="522">
        <f ca="1">M511+M509</f>
        <v>0</v>
      </c>
      <c r="N512" s="522">
        <f ca="1">N511+N509</f>
        <v>0</v>
      </c>
      <c r="O512" s="522">
        <f ca="1">O511+O509</f>
        <v>0</v>
      </c>
    </row>
    <row r="513" spans="1:15">
      <c r="A513" s="8"/>
      <c r="B513" s="8"/>
      <c r="C513" s="8"/>
      <c r="D513" s="8"/>
      <c r="E513" s="516"/>
      <c r="F513" s="516"/>
      <c r="G513" s="517"/>
      <c r="H513" s="517"/>
      <c r="I513" s="517"/>
      <c r="J513" s="517"/>
      <c r="K513" s="494"/>
      <c r="L513" s="494"/>
      <c r="M513" s="494"/>
      <c r="N513" s="494"/>
      <c r="O513" s="494"/>
    </row>
    <row r="514" spans="1:15">
      <c r="A514" s="8"/>
      <c r="B514" s="8"/>
      <c r="C514" s="8"/>
      <c r="D514" s="306" t="s">
        <v>289</v>
      </c>
      <c r="E514" s="8"/>
      <c r="F514" s="516"/>
      <c r="G514" s="515" t="s">
        <v>290</v>
      </c>
      <c r="H514" s="521"/>
      <c r="I514" s="521"/>
      <c r="J514" s="521"/>
      <c r="K514" s="67">
        <f ca="1">K505-K508</f>
        <v>0</v>
      </c>
      <c r="L514" s="67">
        <f ca="1">L505-L508</f>
        <v>0</v>
      </c>
      <c r="M514" s="67">
        <f ca="1">M505-M508</f>
        <v>60.961278601794575</v>
      </c>
      <c r="N514" s="67">
        <f ca="1">N505-N508</f>
        <v>96.831865268331725</v>
      </c>
      <c r="O514" s="67">
        <f ca="1">O505-O508</f>
        <v>139.19960480113519</v>
      </c>
    </row>
    <row r="515" spans="1:15">
      <c r="A515" s="8"/>
      <c r="B515" s="8"/>
      <c r="C515" s="8"/>
      <c r="D515" s="8"/>
      <c r="E515" s="42"/>
      <c r="F515" s="8"/>
      <c r="G515" s="8"/>
      <c r="H515" s="504"/>
      <c r="I515" s="504"/>
      <c r="J515" s="504"/>
      <c r="K515" s="494"/>
      <c r="L515" s="494"/>
      <c r="M515" s="494"/>
      <c r="N515" s="494"/>
      <c r="O515" s="494"/>
    </row>
    <row r="516" spans="1:15">
      <c r="A516" s="8"/>
      <c r="B516" s="8"/>
      <c r="C516" s="8"/>
      <c r="D516" s="90" t="str">
        <f>CONCATENATE("Accounting Taxes (",$E$494*100,"% of A)")</f>
        <v>Accounting Taxes (35% of A)</v>
      </c>
      <c r="E516" s="516"/>
      <c r="F516" s="517"/>
      <c r="G516" s="517"/>
      <c r="H516" s="504"/>
      <c r="I516" s="504"/>
      <c r="J516" s="504"/>
      <c r="K516" s="398">
        <f ca="1">$E$494*K496</f>
        <v>10.804879166115843</v>
      </c>
      <c r="L516" s="398">
        <f ca="1">$E$494*L496</f>
        <v>16.446940990405039</v>
      </c>
      <c r="M516" s="398">
        <f ca="1">$E$494*M496</f>
        <v>28.513374854107191</v>
      </c>
      <c r="N516" s="398">
        <f ca="1">$E$494*N496</f>
        <v>37.521332718916092</v>
      </c>
      <c r="O516" s="398">
        <f ca="1">$E$494*O496</f>
        <v>51.275932374147359</v>
      </c>
    </row>
    <row r="517" spans="1:15">
      <c r="A517" s="8"/>
      <c r="B517" s="8"/>
      <c r="C517" s="8"/>
      <c r="D517" s="8"/>
      <c r="E517" s="8"/>
      <c r="F517" s="523"/>
      <c r="G517" s="8"/>
      <c r="H517" s="504"/>
      <c r="I517" s="504"/>
      <c r="J517" s="504"/>
      <c r="K517" s="494"/>
      <c r="L517" s="494"/>
      <c r="M517" s="494"/>
      <c r="N517" s="494"/>
      <c r="O517" s="494"/>
    </row>
    <row r="518" spans="1:15">
      <c r="A518" s="8"/>
      <c r="B518" s="8"/>
      <c r="C518" s="8"/>
      <c r="D518" s="401" t="s">
        <v>291</v>
      </c>
      <c r="E518" s="524"/>
      <c r="F518" s="525"/>
      <c r="G518" s="525"/>
      <c r="H518" s="525"/>
      <c r="I518" s="525"/>
      <c r="J518" s="525"/>
      <c r="K518" s="526"/>
      <c r="L518" s="526"/>
      <c r="M518" s="526"/>
      <c r="N518" s="526"/>
      <c r="O518" s="527"/>
    </row>
    <row r="519" spans="1:15">
      <c r="A519" s="8"/>
      <c r="B519" s="8"/>
      <c r="C519" s="8"/>
      <c r="D519" s="153" t="str">
        <f>CONCATENATE("Current Tax (",$E$494*100,"% of B)")</f>
        <v>Current Tax (35% of B)</v>
      </c>
      <c r="E519" s="516"/>
      <c r="F519" s="517"/>
      <c r="G519" s="520"/>
      <c r="H519" s="504"/>
      <c r="I519" s="504"/>
      <c r="J519" s="504"/>
      <c r="K519" s="398">
        <f ca="1">$E$494*K514</f>
        <v>0</v>
      </c>
      <c r="L519" s="398">
        <f ca="1">$E$494*L514</f>
        <v>0</v>
      </c>
      <c r="M519" s="398">
        <f ca="1">$E$494*M514</f>
        <v>21.336447510628101</v>
      </c>
      <c r="N519" s="398">
        <f ca="1">$E$494*N514</f>
        <v>33.891152843916103</v>
      </c>
      <c r="O519" s="528">
        <f ca="1">$E$494*O514</f>
        <v>48.719861680397315</v>
      </c>
    </row>
    <row r="520" spans="1:15">
      <c r="A520" s="8"/>
      <c r="B520" s="8"/>
      <c r="C520" s="8"/>
      <c r="D520" s="41" t="s">
        <v>292</v>
      </c>
      <c r="E520" s="516"/>
      <c r="F520" s="517"/>
      <c r="G520" s="517"/>
      <c r="H520" s="504"/>
      <c r="I520" s="504"/>
      <c r="J520" s="504"/>
      <c r="K520" s="518">
        <f ca="1">K516-K519</f>
        <v>10.804879166115843</v>
      </c>
      <c r="L520" s="518">
        <f ca="1">L516-L519</f>
        <v>16.446940990405039</v>
      </c>
      <c r="M520" s="518">
        <f ca="1">M516-M519</f>
        <v>7.1769273434790897</v>
      </c>
      <c r="N520" s="518">
        <f ca="1">N516-N519</f>
        <v>3.630179874999989</v>
      </c>
      <c r="O520" s="529">
        <f ca="1">O516-O519</f>
        <v>2.5560706937500441</v>
      </c>
    </row>
    <row r="521" spans="1:15">
      <c r="A521" s="8"/>
      <c r="B521" s="8"/>
      <c r="C521" s="8"/>
      <c r="D521" s="47" t="s">
        <v>293</v>
      </c>
      <c r="E521" s="530"/>
      <c r="F521" s="531"/>
      <c r="G521" s="531"/>
      <c r="H521" s="532"/>
      <c r="I521" s="532"/>
      <c r="J521" s="532"/>
      <c r="K521" s="533">
        <f ca="1">SUM(K519:K520)</f>
        <v>10.804879166115843</v>
      </c>
      <c r="L521" s="533">
        <f ca="1">SUM(L519:L520)</f>
        <v>16.446940990405039</v>
      </c>
      <c r="M521" s="533">
        <f ca="1">SUM(M519:M520)</f>
        <v>28.513374854107191</v>
      </c>
      <c r="N521" s="533">
        <f ca="1">SUM(N519:N520)</f>
        <v>37.521332718916092</v>
      </c>
      <c r="O521" s="534">
        <f ca="1">SUM(O519:O520)</f>
        <v>51.275932374147359</v>
      </c>
    </row>
    <row r="522" spans="1:15">
      <c r="A522" s="8"/>
      <c r="B522" s="8"/>
      <c r="C522" s="8"/>
      <c r="D522" s="8"/>
      <c r="E522" s="516"/>
      <c r="F522" s="517"/>
      <c r="G522" s="517"/>
      <c r="H522" s="517"/>
      <c r="I522" s="517"/>
      <c r="J522" s="517"/>
      <c r="K522" s="494"/>
      <c r="L522" s="494"/>
      <c r="M522" s="494"/>
      <c r="N522" s="494"/>
      <c r="O522" s="494"/>
    </row>
    <row r="523" spans="1:15" ht="13.8">
      <c r="A523" s="8"/>
      <c r="B523" s="8"/>
      <c r="C523" s="8"/>
      <c r="D523" s="535" t="s">
        <v>294</v>
      </c>
      <c r="E523" s="8"/>
      <c r="F523" s="517"/>
      <c r="G523" s="517"/>
      <c r="H523" s="517"/>
      <c r="I523" s="517"/>
      <c r="J523" s="517"/>
      <c r="K523" s="494"/>
      <c r="L523" s="494"/>
      <c r="M523" s="494"/>
      <c r="N523" s="494"/>
      <c r="O523" s="494"/>
    </row>
    <row r="524" spans="1:15">
      <c r="A524" s="8"/>
      <c r="B524" s="8"/>
      <c r="C524" s="8"/>
      <c r="D524" s="504" t="s">
        <v>295</v>
      </c>
      <c r="E524" s="8"/>
      <c r="F524" s="536">
        <f>N65</f>
        <v>0.15</v>
      </c>
      <c r="G524" s="8"/>
      <c r="H524" s="343"/>
      <c r="I524" s="343"/>
      <c r="J524" s="343"/>
      <c r="K524" s="343">
        <f>K$242</f>
        <v>2022</v>
      </c>
      <c r="L524" s="343">
        <f>L$242</f>
        <v>2023</v>
      </c>
      <c r="M524" s="343">
        <f>M$242</f>
        <v>2024</v>
      </c>
      <c r="N524" s="343">
        <f>N$242</f>
        <v>2025</v>
      </c>
      <c r="O524" s="343">
        <f>O$242</f>
        <v>2026</v>
      </c>
    </row>
    <row r="525" spans="1:15" ht="6" customHeight="1">
      <c r="A525" s="8"/>
      <c r="B525" s="8"/>
      <c r="C525" s="8"/>
      <c r="D525" s="8"/>
      <c r="E525" s="8"/>
      <c r="F525" s="301"/>
      <c r="G525" s="517"/>
      <c r="H525" s="343"/>
      <c r="I525" s="343"/>
      <c r="J525" s="343"/>
      <c r="K525" s="343"/>
      <c r="L525" s="343"/>
      <c r="M525" s="343"/>
      <c r="N525" s="343"/>
      <c r="O525" s="343"/>
    </row>
    <row r="526" spans="1:15">
      <c r="A526" s="8"/>
      <c r="B526" s="8"/>
      <c r="C526" s="8"/>
      <c r="D526" s="504" t="s">
        <v>296</v>
      </c>
      <c r="E526" s="8"/>
      <c r="F526" s="516"/>
      <c r="G526" s="515" t="s">
        <v>297</v>
      </c>
      <c r="H526" s="537"/>
      <c r="I526" s="537"/>
      <c r="J526" s="537"/>
      <c r="K526" s="538">
        <f>N67</f>
        <v>580.79999999999995</v>
      </c>
      <c r="L526" s="538">
        <f>K531</f>
        <v>549.17999999999995</v>
      </c>
      <c r="M526" s="538">
        <f>L531</f>
        <v>526.00299999999993</v>
      </c>
      <c r="N526" s="538">
        <f>M531</f>
        <v>507.48654999999991</v>
      </c>
      <c r="O526" s="538">
        <f>N531</f>
        <v>493.25716749999992</v>
      </c>
    </row>
    <row r="527" spans="1:15">
      <c r="A527" s="8"/>
      <c r="B527" s="8"/>
      <c r="C527" s="8"/>
      <c r="D527" s="504" t="s">
        <v>298</v>
      </c>
      <c r="E527" s="8"/>
      <c r="F527" s="516"/>
      <c r="G527" s="515" t="s">
        <v>299</v>
      </c>
      <c r="H527" s="504"/>
      <c r="I527" s="504"/>
      <c r="J527" s="504"/>
      <c r="K527" s="398">
        <f>-K391</f>
        <v>60</v>
      </c>
      <c r="L527" s="398">
        <f>-L391</f>
        <v>64</v>
      </c>
      <c r="M527" s="398">
        <f>-M391</f>
        <v>65.28</v>
      </c>
      <c r="N527" s="398">
        <f>-N391</f>
        <v>66.911999999999992</v>
      </c>
      <c r="O527" s="398">
        <f>-O391</f>
        <v>98.584799999999987</v>
      </c>
    </row>
    <row r="528" spans="1:15">
      <c r="A528" s="8"/>
      <c r="B528" s="8"/>
      <c r="C528" s="8"/>
      <c r="D528" s="504" t="s">
        <v>300</v>
      </c>
      <c r="E528" s="8"/>
      <c r="F528" s="516"/>
      <c r="G528" s="517"/>
      <c r="H528" s="504"/>
      <c r="I528" s="504"/>
      <c r="J528" s="504"/>
      <c r="K528" s="398">
        <f>K527*0.5</f>
        <v>30</v>
      </c>
      <c r="L528" s="398">
        <f>L527*0.5</f>
        <v>32</v>
      </c>
      <c r="M528" s="398">
        <f>M527*0.5</f>
        <v>32.64</v>
      </c>
      <c r="N528" s="398">
        <f>N527*0.5</f>
        <v>33.455999999999996</v>
      </c>
      <c r="O528" s="398">
        <f>O527*0.5</f>
        <v>49.292399999999994</v>
      </c>
    </row>
    <row r="529" spans="1:15">
      <c r="A529" s="8"/>
      <c r="B529" s="8"/>
      <c r="C529" s="8"/>
      <c r="D529" s="504" t="s">
        <v>301</v>
      </c>
      <c r="E529" s="8"/>
      <c r="F529" s="516"/>
      <c r="G529" s="517"/>
      <c r="H529" s="504"/>
      <c r="I529" s="504"/>
      <c r="J529" s="504"/>
      <c r="K529" s="398">
        <f>K528+K526</f>
        <v>610.79999999999995</v>
      </c>
      <c r="L529" s="398">
        <f>L528+L526</f>
        <v>581.17999999999995</v>
      </c>
      <c r="M529" s="398">
        <f>M528+M526</f>
        <v>558.64299999999992</v>
      </c>
      <c r="N529" s="398">
        <f>N528+N526</f>
        <v>540.94254999999987</v>
      </c>
      <c r="O529" s="398">
        <f>O528+O526</f>
        <v>542.54956749999997</v>
      </c>
    </row>
    <row r="530" spans="1:15">
      <c r="A530" s="8"/>
      <c r="B530" s="8"/>
      <c r="C530" s="8"/>
      <c r="D530" s="539" t="s">
        <v>302</v>
      </c>
      <c r="E530" s="8"/>
      <c r="F530" s="516"/>
      <c r="G530" s="515" t="s">
        <v>303</v>
      </c>
      <c r="H530" s="504"/>
      <c r="I530" s="504"/>
      <c r="J530" s="504"/>
      <c r="K530" s="518">
        <f>K529*$F$524</f>
        <v>91.61999999999999</v>
      </c>
      <c r="L530" s="518">
        <f>L529*$F$524</f>
        <v>87.176999999999992</v>
      </c>
      <c r="M530" s="518">
        <f>M529*$F$524</f>
        <v>83.796449999999979</v>
      </c>
      <c r="N530" s="518">
        <f>N529*$F$524</f>
        <v>81.141382499999978</v>
      </c>
      <c r="O530" s="518">
        <f>O529*$F$524</f>
        <v>81.382435124999986</v>
      </c>
    </row>
    <row r="531" spans="1:15">
      <c r="A531" s="8"/>
      <c r="B531" s="8"/>
      <c r="C531" s="8"/>
      <c r="D531" s="521" t="s">
        <v>304</v>
      </c>
      <c r="E531" s="8"/>
      <c r="F531" s="519"/>
      <c r="G531" s="540"/>
      <c r="H531" s="541"/>
      <c r="I531" s="541"/>
      <c r="J531" s="541"/>
      <c r="K531" s="67">
        <f>K526+K527-K530</f>
        <v>549.17999999999995</v>
      </c>
      <c r="L531" s="67">
        <f>L526+L527-L530</f>
        <v>526.00299999999993</v>
      </c>
      <c r="M531" s="67">
        <f>M526+M527-M530</f>
        <v>507.48654999999991</v>
      </c>
      <c r="N531" s="67">
        <f>N526+N527-N530</f>
        <v>493.25716749999992</v>
      </c>
      <c r="O531" s="67">
        <f>O526+O527-O530</f>
        <v>510.45953237499992</v>
      </c>
    </row>
    <row r="532" spans="1:15" ht="6" customHeight="1">
      <c r="A532" s="8"/>
      <c r="B532" s="35"/>
      <c r="C532" s="35"/>
      <c r="D532" s="35"/>
      <c r="E532" s="542"/>
      <c r="F532" s="542"/>
      <c r="G532" s="543"/>
      <c r="H532" s="543"/>
      <c r="I532" s="543"/>
      <c r="J532" s="543"/>
      <c r="K532" s="544"/>
      <c r="L532" s="544"/>
      <c r="M532" s="544"/>
      <c r="N532" s="544"/>
      <c r="O532" s="35"/>
    </row>
    <row r="533" spans="1:15">
      <c r="A533" s="8"/>
      <c r="B533" s="8"/>
      <c r="C533" s="8"/>
      <c r="D533" s="8"/>
      <c r="E533" s="8"/>
      <c r="F533" s="301"/>
      <c r="G533" s="8"/>
      <c r="H533" s="8"/>
      <c r="I533" s="8"/>
      <c r="J533" s="8"/>
      <c r="K533" s="8"/>
      <c r="L533" s="8"/>
      <c r="M533" s="8"/>
      <c r="N533" s="8"/>
      <c r="O533" s="8"/>
    </row>
    <row r="534" spans="1:15">
      <c r="A534" s="8"/>
      <c r="B534" s="8"/>
      <c r="C534" s="8"/>
      <c r="D534" s="8"/>
      <c r="E534" s="8"/>
      <c r="F534" s="301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2.75" customHeight="1">
      <c r="A535" s="8"/>
      <c r="B535" s="8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38" t="str">
        <f>$O$236</f>
        <v>CURRENTLY RUNNING: BASE CASE SCENARIO</v>
      </c>
    </row>
    <row r="536" spans="1:15" ht="22.8" customHeight="1">
      <c r="A536" s="8"/>
      <c r="B536" s="86" t="str">
        <f>$B$3</f>
        <v>Moonbucks Corp.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18.75" customHeight="1">
      <c r="A537" s="8"/>
      <c r="B537" s="293" t="s">
        <v>305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6" customHeight="1" thickBot="1">
      <c r="A538" s="8"/>
      <c r="B538" s="297"/>
      <c r="C538" s="415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15"/>
      <c r="O538" s="415"/>
    </row>
    <row r="539" spans="1:15" ht="12.75" customHeight="1">
      <c r="A539" s="8"/>
      <c r="B539" s="416" t="s">
        <v>224</v>
      </c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90"/>
    </row>
    <row r="540" spans="1:15" ht="13.8">
      <c r="A540" s="8"/>
      <c r="B540" s="8"/>
      <c r="C540" s="8"/>
      <c r="D540" s="8"/>
      <c r="E540" s="8"/>
      <c r="F540" s="8"/>
      <c r="G540" s="8"/>
      <c r="H540" s="3"/>
      <c r="I540" s="3"/>
      <c r="J540" s="3"/>
      <c r="K540" s="303" t="s">
        <v>170</v>
      </c>
      <c r="L540" s="113"/>
      <c r="M540" s="113"/>
      <c r="N540" s="113"/>
      <c r="O540" s="113"/>
    </row>
    <row r="541" spans="1:15">
      <c r="A541" s="8"/>
      <c r="B541" s="8"/>
      <c r="C541" s="8"/>
      <c r="D541" s="8"/>
      <c r="E541" s="8"/>
      <c r="F541" s="8"/>
      <c r="G541" s="419"/>
      <c r="H541" s="343"/>
      <c r="I541" s="304">
        <f>I242</f>
        <v>2020</v>
      </c>
      <c r="J541" s="304">
        <f t="shared" ref="J541:O541" si="65">J$242</f>
        <v>2021</v>
      </c>
      <c r="K541" s="420">
        <f t="shared" si="65"/>
        <v>2022</v>
      </c>
      <c r="L541" s="420">
        <f t="shared" si="65"/>
        <v>2023</v>
      </c>
      <c r="M541" s="420">
        <f t="shared" si="65"/>
        <v>2024</v>
      </c>
      <c r="N541" s="420">
        <f t="shared" si="65"/>
        <v>2025</v>
      </c>
      <c r="O541" s="420">
        <f t="shared" si="65"/>
        <v>2026</v>
      </c>
    </row>
    <row r="542" spans="1: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spans="1:15">
      <c r="A543" s="8"/>
      <c r="B543" s="545" t="s">
        <v>306</v>
      </c>
      <c r="C543" s="546"/>
      <c r="D543" s="546"/>
      <c r="E543" s="546"/>
      <c r="F543" s="547" t="s">
        <v>307</v>
      </c>
      <c r="G543" s="546"/>
      <c r="H543" s="546"/>
      <c r="I543" s="546"/>
      <c r="J543" s="548">
        <f t="shared" ref="J543:O543" si="66">DATE(J541,12,31)-DATE(I541,12,31)</f>
        <v>365</v>
      </c>
      <c r="K543" s="548">
        <f t="shared" si="66"/>
        <v>365</v>
      </c>
      <c r="L543" s="548">
        <f t="shared" si="66"/>
        <v>365</v>
      </c>
      <c r="M543" s="548">
        <f t="shared" si="66"/>
        <v>366</v>
      </c>
      <c r="N543" s="548">
        <f t="shared" si="66"/>
        <v>365</v>
      </c>
      <c r="O543" s="549">
        <f t="shared" si="66"/>
        <v>365</v>
      </c>
    </row>
    <row r="544" spans="1:15">
      <c r="A544" s="8"/>
      <c r="B544" s="8"/>
      <c r="C544" s="8"/>
      <c r="D544" s="8"/>
      <c r="E544" s="8"/>
      <c r="F544" s="307"/>
      <c r="G544" s="8"/>
      <c r="H544" s="8"/>
      <c r="I544" s="8"/>
      <c r="J544" s="8"/>
      <c r="K544" s="8"/>
      <c r="L544" s="8"/>
      <c r="M544" s="8"/>
      <c r="N544" s="8"/>
      <c r="O544" s="8"/>
    </row>
    <row r="545" spans="1:15">
      <c r="A545" s="8"/>
      <c r="B545" s="42" t="s">
        <v>308</v>
      </c>
      <c r="C545" s="8"/>
      <c r="D545" s="8"/>
      <c r="E545" s="8"/>
      <c r="F545" s="307"/>
      <c r="G545" s="8"/>
      <c r="H545" s="8"/>
      <c r="I545" s="8"/>
      <c r="J545" s="8"/>
      <c r="K545" s="8"/>
      <c r="L545" s="8"/>
      <c r="M545" s="8"/>
      <c r="N545" s="8"/>
      <c r="O545" s="8"/>
    </row>
    <row r="546" spans="1:15">
      <c r="A546" s="8"/>
      <c r="B546" s="8"/>
      <c r="C546" s="8" t="s">
        <v>187</v>
      </c>
      <c r="D546" s="8"/>
      <c r="E546" s="8"/>
      <c r="F546" s="307" t="s">
        <v>186</v>
      </c>
      <c r="G546" s="8"/>
      <c r="H546" s="8"/>
      <c r="I546" s="8"/>
      <c r="J546" s="424">
        <f t="shared" ref="J546:O546" si="67">J338</f>
        <v>980.69776400000001</v>
      </c>
      <c r="K546" s="424">
        <f t="shared" si="67"/>
        <v>1035.4868160000001</v>
      </c>
      <c r="L546" s="424">
        <f t="shared" si="67"/>
        <v>1095.3790848000001</v>
      </c>
      <c r="M546" s="424">
        <f t="shared" si="67"/>
        <v>1159.0106516352</v>
      </c>
      <c r="N546" s="424">
        <f t="shared" si="67"/>
        <v>1225.4742713041921</v>
      </c>
      <c r="O546" s="424">
        <f t="shared" si="67"/>
        <v>1287.1075000000001</v>
      </c>
    </row>
    <row r="547" spans="1:15">
      <c r="A547" s="8"/>
      <c r="B547" s="8"/>
      <c r="C547" s="8" t="s">
        <v>201</v>
      </c>
      <c r="D547" s="8"/>
      <c r="E547" s="8"/>
      <c r="F547" s="307" t="s">
        <v>186</v>
      </c>
      <c r="G547" s="8"/>
      <c r="H547" s="8"/>
      <c r="I547" s="8"/>
      <c r="J547" s="424">
        <f t="shared" ref="J547:O547" si="68">J340</f>
        <v>793.40370370370374</v>
      </c>
      <c r="K547" s="424">
        <f t="shared" si="68"/>
        <v>861.00337777777793</v>
      </c>
      <c r="L547" s="424">
        <f t="shared" si="68"/>
        <v>908.80715749894739</v>
      </c>
      <c r="M547" s="424">
        <f t="shared" si="68"/>
        <v>942.96470813155213</v>
      </c>
      <c r="N547" s="424">
        <f t="shared" si="68"/>
        <v>986.45309821402907</v>
      </c>
      <c r="O547" s="424">
        <f t="shared" si="68"/>
        <v>1012.8343956621063</v>
      </c>
    </row>
    <row r="548" spans="1:15">
      <c r="A548" s="8"/>
      <c r="B548" s="8"/>
      <c r="C548" s="8"/>
      <c r="D548" s="8"/>
      <c r="E548" s="8"/>
      <c r="F548" s="307"/>
      <c r="G548" s="8"/>
      <c r="H548" s="8"/>
      <c r="I548" s="8"/>
      <c r="J548" s="8"/>
      <c r="K548" s="8"/>
      <c r="L548" s="8"/>
      <c r="M548" s="8"/>
      <c r="N548" s="8"/>
      <c r="O548" s="8"/>
    </row>
    <row r="549" spans="1:15">
      <c r="A549" s="8"/>
      <c r="B549" s="550" t="s">
        <v>309</v>
      </c>
      <c r="C549" s="551"/>
      <c r="D549" s="8"/>
      <c r="E549" s="8"/>
      <c r="F549" s="307"/>
      <c r="G549" s="8"/>
      <c r="H549" s="8"/>
      <c r="I549" s="8"/>
      <c r="J549" s="8"/>
      <c r="K549" s="8"/>
      <c r="L549" s="8"/>
      <c r="M549" s="8"/>
      <c r="N549" s="8"/>
      <c r="O549" s="8"/>
    </row>
    <row r="550" spans="1:15">
      <c r="A550" s="8"/>
      <c r="B550" s="552"/>
      <c r="C550" s="551" t="s">
        <v>3</v>
      </c>
      <c r="D550" s="8"/>
      <c r="E550" s="8"/>
      <c r="F550" s="307" t="s">
        <v>307</v>
      </c>
      <c r="G550" s="553"/>
      <c r="H550" s="554"/>
      <c r="I550" s="554"/>
      <c r="J550" s="555">
        <f>J555/J546*J543</f>
        <v>34.315363239677993</v>
      </c>
      <c r="K550" s="555">
        <f t="shared" ref="K550:O552" si="69">G118</f>
        <v>34</v>
      </c>
      <c r="L550" s="555">
        <f t="shared" si="69"/>
        <v>32</v>
      </c>
      <c r="M550" s="555">
        <f t="shared" si="69"/>
        <v>30</v>
      </c>
      <c r="N550" s="555">
        <f t="shared" si="69"/>
        <v>30</v>
      </c>
      <c r="O550" s="555">
        <f t="shared" si="69"/>
        <v>30</v>
      </c>
    </row>
    <row r="551" spans="1:15">
      <c r="A551" s="8"/>
      <c r="B551" s="552"/>
      <c r="C551" s="556" t="s">
        <v>125</v>
      </c>
      <c r="D551" s="8"/>
      <c r="E551" s="8"/>
      <c r="F551" s="307" t="s">
        <v>307</v>
      </c>
      <c r="G551" s="553"/>
      <c r="H551" s="554"/>
      <c r="I551" s="554"/>
      <c r="J551" s="555">
        <f>J556/J547*J543</f>
        <v>40.575812602990396</v>
      </c>
      <c r="K551" s="557">
        <f t="shared" si="69"/>
        <v>40</v>
      </c>
      <c r="L551" s="557">
        <f t="shared" si="69"/>
        <v>38</v>
      </c>
      <c r="M551" s="557">
        <f t="shared" si="69"/>
        <v>36</v>
      </c>
      <c r="N551" s="557">
        <f t="shared" si="69"/>
        <v>36</v>
      </c>
      <c r="O551" s="557">
        <f t="shared" si="69"/>
        <v>36</v>
      </c>
    </row>
    <row r="552" spans="1:15">
      <c r="A552" s="8"/>
      <c r="B552" s="552"/>
      <c r="C552" s="551" t="s">
        <v>1</v>
      </c>
      <c r="D552" s="8"/>
      <c r="E552" s="8"/>
      <c r="F552" s="307" t="s">
        <v>307</v>
      </c>
      <c r="G552" s="553"/>
      <c r="H552" s="554"/>
      <c r="I552" s="554"/>
      <c r="J552" s="555">
        <f>J557/J547*J543</f>
        <v>27.694602252834713</v>
      </c>
      <c r="K552" s="555">
        <f t="shared" si="69"/>
        <v>27</v>
      </c>
      <c r="L552" s="555">
        <f t="shared" si="69"/>
        <v>28</v>
      </c>
      <c r="M552" s="555">
        <f t="shared" si="69"/>
        <v>30</v>
      </c>
      <c r="N552" s="555">
        <f t="shared" si="69"/>
        <v>30</v>
      </c>
      <c r="O552" s="555">
        <f t="shared" si="69"/>
        <v>30</v>
      </c>
    </row>
    <row r="553" spans="1:15">
      <c r="A553" s="8"/>
      <c r="B553" s="552"/>
      <c r="C553" s="551"/>
      <c r="D553" s="8"/>
      <c r="E553" s="8"/>
      <c r="F553" s="307"/>
      <c r="G553" s="8"/>
      <c r="H553" s="160"/>
      <c r="I553" s="160"/>
      <c r="J553" s="160"/>
      <c r="K553" s="160"/>
      <c r="L553" s="160"/>
      <c r="M553" s="160"/>
      <c r="N553" s="160"/>
      <c r="O553" s="160"/>
    </row>
    <row r="554" spans="1:15">
      <c r="A554" s="8"/>
      <c r="B554" s="550" t="s">
        <v>310</v>
      </c>
      <c r="C554" s="551"/>
      <c r="D554" s="8"/>
      <c r="E554" s="8"/>
      <c r="F554" s="307"/>
      <c r="G554" s="8"/>
      <c r="H554" s="160"/>
      <c r="I554" s="160"/>
      <c r="J554" s="160"/>
      <c r="K554" s="160"/>
      <c r="L554" s="160"/>
      <c r="M554" s="160"/>
      <c r="N554" s="160"/>
      <c r="O554" s="160"/>
    </row>
    <row r="555" spans="1:15">
      <c r="A555" s="8"/>
      <c r="B555" s="552"/>
      <c r="C555" s="551" t="s">
        <v>3</v>
      </c>
      <c r="D555" s="8"/>
      <c r="E555" s="8"/>
      <c r="F555" s="307" t="s">
        <v>186</v>
      </c>
      <c r="G555" s="8"/>
      <c r="H555" s="8"/>
      <c r="I555" s="558"/>
      <c r="J555" s="557">
        <f>J426</f>
        <v>92.2</v>
      </c>
      <c r="K555" s="650">
        <f>K546/K543*K550</f>
        <v>96.456306147945213</v>
      </c>
      <c r="L555" s="650">
        <f>L546/L543*L550</f>
        <v>96.033234831780831</v>
      </c>
      <c r="M555" s="650">
        <f t="shared" ref="M555:O555" si="70">M546/M543*M550</f>
        <v>95.000873084852458</v>
      </c>
      <c r="N555" s="650">
        <f t="shared" si="70"/>
        <v>100.7239127099336</v>
      </c>
      <c r="O555" s="650">
        <f t="shared" si="70"/>
        <v>105.78965753424659</v>
      </c>
    </row>
    <row r="556" spans="1:15">
      <c r="A556" s="8"/>
      <c r="B556" s="552"/>
      <c r="C556" s="556" t="s">
        <v>125</v>
      </c>
      <c r="D556" s="8"/>
      <c r="E556" s="8"/>
      <c r="F556" s="307" t="s">
        <v>186</v>
      </c>
      <c r="G556" s="8"/>
      <c r="H556" s="8"/>
      <c r="I556" s="558"/>
      <c r="J556" s="557">
        <f>J427</f>
        <v>88.2</v>
      </c>
      <c r="K556" s="557">
        <f>K547/K543*K551</f>
        <v>94.356534550989366</v>
      </c>
      <c r="L556" s="557">
        <f>L547/L543*L551</f>
        <v>94.615539684821925</v>
      </c>
      <c r="M556" s="557">
        <f>M547/M543*M551</f>
        <v>92.750627029333003</v>
      </c>
      <c r="N556" s="557">
        <f>N547/N543*N551</f>
        <v>97.294004207411092</v>
      </c>
      <c r="O556" s="557">
        <f>O547/O543*O551</f>
        <v>99.895995188591314</v>
      </c>
    </row>
    <row r="557" spans="1:15">
      <c r="A557" s="8"/>
      <c r="B557" s="552"/>
      <c r="C557" s="551" t="s">
        <v>1</v>
      </c>
      <c r="D557" s="8"/>
      <c r="E557" s="8"/>
      <c r="F557" s="307" t="s">
        <v>186</v>
      </c>
      <c r="G557" s="8"/>
      <c r="H557" s="8"/>
      <c r="I557" s="337"/>
      <c r="J557" s="559">
        <f>J439</f>
        <v>60.2</v>
      </c>
      <c r="K557" s="559">
        <f>K547/K543*K552</f>
        <v>63.690660821917824</v>
      </c>
      <c r="L557" s="559">
        <f>L547/L543*L552</f>
        <v>69.716713451974044</v>
      </c>
      <c r="M557" s="559">
        <f>M547/M543*M552</f>
        <v>77.292189191110836</v>
      </c>
      <c r="N557" s="559">
        <f>N547/N543*N552</f>
        <v>81.078336839509248</v>
      </c>
      <c r="O557" s="559">
        <f>O547/O543*O552</f>
        <v>83.246662657159419</v>
      </c>
    </row>
    <row r="558" spans="1:15">
      <c r="A558" s="8"/>
      <c r="B558" s="552"/>
      <c r="C558" s="560" t="s">
        <v>4</v>
      </c>
      <c r="D558" s="42"/>
      <c r="E558" s="42"/>
      <c r="F558" s="328" t="s">
        <v>186</v>
      </c>
      <c r="G558" s="8"/>
      <c r="H558" s="8"/>
      <c r="I558" s="160"/>
      <c r="J558" s="561">
        <f>SUM( J555:J556) - J557</f>
        <v>120.2</v>
      </c>
      <c r="K558" s="561">
        <f t="shared" ref="K558:O558" si="71">SUM( K555:K556) - K557</f>
        <v>127.12217987701675</v>
      </c>
      <c r="L558" s="561">
        <f t="shared" si="71"/>
        <v>120.93206106462873</v>
      </c>
      <c r="M558" s="561">
        <f t="shared" si="71"/>
        <v>110.45931092307463</v>
      </c>
      <c r="N558" s="561">
        <f t="shared" si="71"/>
        <v>116.93958007783543</v>
      </c>
      <c r="O558" s="561">
        <f t="shared" si="71"/>
        <v>122.4389900656785</v>
      </c>
    </row>
    <row r="559" spans="1:15">
      <c r="A559" s="8"/>
      <c r="B559" s="552"/>
      <c r="C559" s="551"/>
      <c r="D559" s="8"/>
      <c r="E559" s="8"/>
      <c r="F559" s="307"/>
      <c r="G559" s="8"/>
      <c r="H559" s="160"/>
      <c r="I559" s="160"/>
      <c r="J559" s="160"/>
      <c r="K559" s="160"/>
      <c r="L559" s="160"/>
      <c r="M559" s="160"/>
      <c r="N559" s="160"/>
      <c r="O559" s="160"/>
    </row>
    <row r="560" spans="1:15" ht="13.8" thickBot="1">
      <c r="A560" s="8"/>
      <c r="B560" s="560" t="s">
        <v>311</v>
      </c>
      <c r="C560" s="552"/>
      <c r="D560" s="8"/>
      <c r="E560" s="8"/>
      <c r="F560" s="328" t="s">
        <v>186</v>
      </c>
      <c r="G560" s="8"/>
      <c r="H560" s="160"/>
      <c r="I560" s="160"/>
      <c r="J560" s="562"/>
      <c r="K560" s="461">
        <f>J558-K558</f>
        <v>-6.9221798770167453</v>
      </c>
      <c r="L560" s="461">
        <f t="shared" ref="L560:O560" si="72">K558-L558</f>
        <v>6.1901188123880218</v>
      </c>
      <c r="M560" s="461">
        <f t="shared" si="72"/>
        <v>10.472750141554101</v>
      </c>
      <c r="N560" s="461">
        <f t="shared" si="72"/>
        <v>-6.4802691547608049</v>
      </c>
      <c r="O560" s="461">
        <f t="shared" si="72"/>
        <v>-5.499409987843066</v>
      </c>
    </row>
    <row r="561" spans="1:15" ht="13.8" thickTop="1">
      <c r="A561" s="8"/>
      <c r="B561" s="8"/>
      <c r="C561" s="31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spans="1:15">
      <c r="A562" s="8"/>
      <c r="B562" s="35"/>
      <c r="C562" s="31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</row>
    <row r="563" spans="1:15">
      <c r="A563" s="8"/>
      <c r="B563" s="8"/>
      <c r="C563" s="8"/>
      <c r="D563" s="8"/>
      <c r="E563" s="8"/>
      <c r="F563" s="301"/>
      <c r="G563" s="8"/>
      <c r="H563" s="8"/>
      <c r="I563" s="8"/>
      <c r="J563" s="8"/>
      <c r="K563" s="8"/>
      <c r="L563" s="8"/>
      <c r="M563" s="8"/>
      <c r="N563" s="8"/>
      <c r="O563" s="8"/>
    </row>
    <row r="564" spans="1:15">
      <c r="A564" s="8"/>
      <c r="B564" s="8"/>
      <c r="C564" s="8"/>
      <c r="D564" s="8"/>
      <c r="E564" s="8"/>
      <c r="F564" s="301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2.75" customHeight="1">
      <c r="A565" s="8"/>
      <c r="B565" s="8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38" t="str">
        <f>$O$236</f>
        <v>CURRENTLY RUNNING: BASE CASE SCENARIO</v>
      </c>
    </row>
    <row r="566" spans="1:15" ht="22.8" customHeight="1">
      <c r="A566" s="8"/>
      <c r="B566" s="86" t="str">
        <f>$B$3</f>
        <v>Moonbucks Corp.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8.75" customHeight="1">
      <c r="A567" s="8"/>
      <c r="B567" s="293" t="s">
        <v>312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6" customHeight="1" thickBot="1">
      <c r="A568" s="8"/>
      <c r="B568" s="297"/>
      <c r="C568" s="415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15"/>
      <c r="O568" s="415"/>
    </row>
    <row r="569" spans="1:15" ht="12.75" customHeight="1">
      <c r="A569" s="8"/>
      <c r="B569" s="416" t="s">
        <v>224</v>
      </c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90"/>
    </row>
    <row r="570" spans="1:15" ht="13.8">
      <c r="A570" s="8"/>
      <c r="B570" s="8"/>
      <c r="C570" s="8"/>
      <c r="D570" s="8"/>
      <c r="E570" s="8"/>
      <c r="F570" s="8"/>
      <c r="G570" s="8"/>
      <c r="H570" s="3"/>
      <c r="I570" s="3"/>
      <c r="J570" s="3"/>
      <c r="K570" s="303" t="s">
        <v>170</v>
      </c>
      <c r="L570" s="113"/>
      <c r="M570" s="113"/>
      <c r="N570" s="113"/>
      <c r="O570" s="113"/>
    </row>
    <row r="571" spans="1:15">
      <c r="A571" s="8"/>
      <c r="B571" s="8"/>
      <c r="C571" s="8"/>
      <c r="D571" s="8"/>
      <c r="E571" s="8"/>
      <c r="F571" s="8"/>
      <c r="G571" s="419"/>
      <c r="H571" s="304"/>
      <c r="I571" s="304"/>
      <c r="J571" s="304">
        <f t="shared" ref="J571:O571" si="73">J$242</f>
        <v>2021</v>
      </c>
      <c r="K571" s="420">
        <f t="shared" si="73"/>
        <v>2022</v>
      </c>
      <c r="L571" s="420">
        <f t="shared" si="73"/>
        <v>2023</v>
      </c>
      <c r="M571" s="420">
        <f t="shared" si="73"/>
        <v>2024</v>
      </c>
      <c r="N571" s="420">
        <f t="shared" si="73"/>
        <v>2025</v>
      </c>
      <c r="O571" s="420">
        <f t="shared" si="73"/>
        <v>2026</v>
      </c>
    </row>
    <row r="572" spans="1:15" ht="6" customHeight="1">
      <c r="A572" s="8"/>
      <c r="B572" s="8"/>
      <c r="C572" s="8"/>
      <c r="D572" s="8"/>
      <c r="E572" s="8"/>
      <c r="F572" s="301"/>
      <c r="G572" s="8"/>
      <c r="H572" s="8"/>
      <c r="I572" s="8"/>
      <c r="J572" s="8"/>
      <c r="K572" s="8"/>
      <c r="L572" s="8"/>
      <c r="M572" s="8"/>
      <c r="N572" s="8"/>
      <c r="O572" s="8"/>
    </row>
    <row r="573" spans="1:15">
      <c r="A573" s="8"/>
      <c r="B573" s="344" t="s">
        <v>313</v>
      </c>
      <c r="C573" s="345"/>
      <c r="D573" s="345"/>
      <c r="E573" s="345"/>
      <c r="F573" s="563"/>
      <c r="G573" s="345"/>
      <c r="H573" s="345"/>
      <c r="I573" s="345"/>
      <c r="J573" s="345"/>
      <c r="K573" s="564">
        <f>K230</f>
        <v>7.4999999999999997E-3</v>
      </c>
      <c r="L573" s="564">
        <f>L230</f>
        <v>7.4999999999999997E-3</v>
      </c>
      <c r="M573" s="564">
        <f>M230</f>
        <v>7.4999999999999997E-3</v>
      </c>
      <c r="N573" s="564">
        <f>N230</f>
        <v>0.01</v>
      </c>
      <c r="O573" s="565">
        <f>O230</f>
        <v>0.01</v>
      </c>
    </row>
    <row r="574" spans="1:15">
      <c r="A574" s="8"/>
      <c r="B574" s="356" t="s">
        <v>314</v>
      </c>
      <c r="C574" s="318"/>
      <c r="D574" s="318"/>
      <c r="E574" s="318"/>
      <c r="F574" s="566"/>
      <c r="G574" s="318"/>
      <c r="H574" s="318"/>
      <c r="I574" s="318"/>
      <c r="J574" s="647">
        <f>(J591+J603+J626+J636+J668)/J345</f>
        <v>6</v>
      </c>
      <c r="K574" s="647">
        <f t="shared" ref="J574:O574" ca="1" si="74">(K591+K603+K626+K636+K668)/K345</f>
        <v>6.6648072686850721</v>
      </c>
      <c r="L574" s="647">
        <f t="shared" ca="1" si="74"/>
        <v>5.6421204409032741</v>
      </c>
      <c r="M574" s="647">
        <f t="shared" ca="1" si="74"/>
        <v>4.3126604145511402</v>
      </c>
      <c r="N574" s="647">
        <f t="shared" ca="1" si="74"/>
        <v>3.5495978199745273</v>
      </c>
      <c r="O574" s="647">
        <f t="shared" ca="1" si="74"/>
        <v>2.8336295587254496</v>
      </c>
    </row>
    <row r="575" spans="1:15" ht="12.75" customHeight="1">
      <c r="A575" s="8"/>
      <c r="B575" s="8"/>
      <c r="C575" s="8"/>
      <c r="D575" s="8"/>
      <c r="E575" s="8"/>
      <c r="F575" s="301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2.75" customHeight="1">
      <c r="A576" s="8"/>
      <c r="B576" s="8"/>
      <c r="C576" s="42" t="s">
        <v>253</v>
      </c>
      <c r="D576" s="8"/>
      <c r="E576" s="8"/>
      <c r="F576" s="301"/>
      <c r="G576" s="8"/>
      <c r="H576" s="8"/>
      <c r="I576" s="8"/>
      <c r="J576" s="8"/>
      <c r="K576" s="8"/>
      <c r="L576" s="8"/>
      <c r="M576" s="8"/>
      <c r="N576" s="8"/>
      <c r="O576" s="8"/>
    </row>
    <row r="577" spans="1:15">
      <c r="A577" s="8"/>
      <c r="B577" s="8"/>
      <c r="C577" s="8"/>
      <c r="D577" s="8" t="s">
        <v>315</v>
      </c>
      <c r="E577" s="8"/>
      <c r="F577" s="301"/>
      <c r="G577" s="8"/>
      <c r="H577" s="8"/>
      <c r="I577" s="8"/>
      <c r="J577" s="8"/>
      <c r="K577" s="398">
        <f>J579</f>
        <v>0</v>
      </c>
      <c r="L577" s="398">
        <f ca="1">K579</f>
        <v>0</v>
      </c>
      <c r="M577" s="398">
        <f ca="1">L579</f>
        <v>0</v>
      </c>
      <c r="N577" s="398">
        <f ca="1">M579</f>
        <v>-5.9230842452961951E-11</v>
      </c>
      <c r="O577" s="398">
        <f ca="1">N579</f>
        <v>8.3084188418069971E-9</v>
      </c>
    </row>
    <row r="578" spans="1:15">
      <c r="A578" s="8"/>
      <c r="B578" s="8"/>
      <c r="C578" s="8"/>
      <c r="D578" s="8" t="s">
        <v>316</v>
      </c>
      <c r="E578" s="8"/>
      <c r="F578" s="301"/>
      <c r="G578" s="8"/>
      <c r="H578" s="8"/>
      <c r="I578" s="8"/>
      <c r="J578" s="35"/>
      <c r="K578" s="518">
        <f ca="1">K409</f>
        <v>0</v>
      </c>
      <c r="L578" s="518">
        <f ca="1">L409</f>
        <v>0</v>
      </c>
      <c r="M578" s="518">
        <f ca="1">M409</f>
        <v>-5.1159076974727213E-12</v>
      </c>
      <c r="N578" s="518">
        <f ca="1">N409</f>
        <v>-2.4236044282588409E-9</v>
      </c>
      <c r="O578" s="518">
        <f ca="1">O409</f>
        <v>-3.1402953482029261E-7</v>
      </c>
    </row>
    <row r="579" spans="1:15">
      <c r="A579" s="8"/>
      <c r="B579" s="8"/>
      <c r="C579" s="8"/>
      <c r="D579" s="8" t="s">
        <v>317</v>
      </c>
      <c r="E579" s="8"/>
      <c r="F579" s="301"/>
      <c r="G579" s="8"/>
      <c r="H579" s="8"/>
      <c r="I579" s="381"/>
      <c r="J579" s="81">
        <f>J425</f>
        <v>0</v>
      </c>
      <c r="K579" s="81">
        <f ca="1">SUM(K577:K578)</f>
        <v>0</v>
      </c>
      <c r="L579" s="81">
        <f ca="1">SUM(L577:L578)</f>
        <v>0</v>
      </c>
      <c r="M579" s="81">
        <f ca="1">SUM(M577:M578)</f>
        <v>-5.1159076974727213E-12</v>
      </c>
      <c r="N579" s="81">
        <f ca="1">SUM(N577:N578)</f>
        <v>-2.4828352707118029E-9</v>
      </c>
      <c r="O579" s="81">
        <f ca="1">SUM(O577:O578)</f>
        <v>-3.0572111597848561E-7</v>
      </c>
    </row>
    <row r="580" spans="1:15" ht="6" customHeight="1">
      <c r="A580" s="8"/>
      <c r="B580" s="8"/>
      <c r="C580" s="8"/>
      <c r="D580" s="8"/>
      <c r="E580" s="8"/>
      <c r="F580" s="301"/>
      <c r="G580" s="8"/>
      <c r="H580" s="8"/>
      <c r="I580" s="8"/>
      <c r="J580" s="8"/>
      <c r="K580" s="8"/>
      <c r="L580" s="8"/>
      <c r="M580" s="8"/>
      <c r="N580" s="8"/>
      <c r="O580" s="8"/>
    </row>
    <row r="581" spans="1:15">
      <c r="A581" s="8"/>
      <c r="B581" s="8"/>
      <c r="C581" s="8"/>
      <c r="D581" s="8" t="s">
        <v>133</v>
      </c>
      <c r="E581" s="8"/>
      <c r="F581" s="301"/>
      <c r="G581" s="8"/>
      <c r="H581" s="8"/>
      <c r="I581" s="8"/>
      <c r="J581" s="8"/>
      <c r="K581" s="569">
        <f>-$I$20</f>
        <v>-5.0000000000000001E-3</v>
      </c>
      <c r="L581" s="569">
        <f>-$I$20</f>
        <v>-5.0000000000000001E-3</v>
      </c>
      <c r="M581" s="569">
        <f>-$I$20</f>
        <v>-5.0000000000000001E-3</v>
      </c>
      <c r="N581" s="569">
        <f>-$I$20</f>
        <v>-5.0000000000000001E-3</v>
      </c>
      <c r="O581" s="569">
        <f>-$I$20</f>
        <v>-5.0000000000000001E-3</v>
      </c>
    </row>
    <row r="582" spans="1:15">
      <c r="A582" s="8"/>
      <c r="B582" s="8"/>
      <c r="C582" s="8"/>
      <c r="D582" s="8" t="str">
        <f>CONCATENATE("Interest Rate (LIBOR minus ",I20*10000," bp)")</f>
        <v>Interest Rate (LIBOR minus 50 bp)</v>
      </c>
      <c r="E582" s="8"/>
      <c r="F582" s="301"/>
      <c r="G582" s="8"/>
      <c r="H582" s="8"/>
      <c r="I582" s="8"/>
      <c r="J582" s="8"/>
      <c r="K582" s="570">
        <f>K573+K581</f>
        <v>2.4999999999999996E-3</v>
      </c>
      <c r="L582" s="570">
        <f>L573+L581</f>
        <v>2.4999999999999996E-3</v>
      </c>
      <c r="M582" s="570">
        <f>M573+M581</f>
        <v>2.4999999999999996E-3</v>
      </c>
      <c r="N582" s="570">
        <f>N573+N581</f>
        <v>5.0000000000000001E-3</v>
      </c>
      <c r="O582" s="570">
        <f>O573+O581</f>
        <v>5.0000000000000001E-3</v>
      </c>
    </row>
    <row r="583" spans="1:15">
      <c r="A583" s="8"/>
      <c r="B583" s="8"/>
      <c r="C583" s="8"/>
      <c r="D583" s="42" t="s">
        <v>318</v>
      </c>
      <c r="E583" s="8"/>
      <c r="F583" s="301"/>
      <c r="G583" s="8"/>
      <c r="H583" s="8"/>
      <c r="I583" s="8"/>
      <c r="J583" s="8"/>
      <c r="K583" s="571">
        <f>J579*K582</f>
        <v>0</v>
      </c>
      <c r="L583" s="571">
        <f ca="1">K579*L582</f>
        <v>0</v>
      </c>
      <c r="M583" s="571">
        <f ca="1">L579*M582</f>
        <v>0</v>
      </c>
      <c r="N583" s="571">
        <f ca="1">M579*N582</f>
        <v>-2.5579538487363607E-14</v>
      </c>
      <c r="O583" s="571">
        <f ca="1">N579*O582</f>
        <v>-1.2414176353559015E-11</v>
      </c>
    </row>
    <row r="584" spans="1:15" ht="12.75" customHeight="1">
      <c r="A584" s="8"/>
      <c r="B584" s="8"/>
      <c r="C584" s="8"/>
      <c r="D584" s="8"/>
      <c r="E584" s="8"/>
      <c r="F584" s="301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2.75" customHeight="1">
      <c r="A585" s="8"/>
      <c r="B585" s="8"/>
      <c r="C585" s="8"/>
      <c r="D585" s="8"/>
      <c r="E585" s="8"/>
      <c r="F585" s="301"/>
      <c r="G585" s="8"/>
      <c r="H585" s="8"/>
      <c r="I585" s="8"/>
      <c r="J585" s="8"/>
      <c r="K585" s="8"/>
      <c r="L585" s="8"/>
      <c r="M585" s="8"/>
      <c r="N585" s="8"/>
      <c r="O585" s="8"/>
    </row>
    <row r="586" spans="1:15">
      <c r="A586" s="8"/>
      <c r="B586" s="8"/>
      <c r="C586" s="42" t="s">
        <v>36</v>
      </c>
      <c r="D586" s="8"/>
      <c r="E586" s="8"/>
      <c r="F586" s="301"/>
      <c r="G586" s="8"/>
      <c r="H586" s="8"/>
      <c r="I586" s="8"/>
      <c r="J586" s="8"/>
      <c r="K586" s="8"/>
      <c r="L586" s="8"/>
      <c r="M586" s="8"/>
      <c r="N586" s="8"/>
      <c r="O586" s="8"/>
    </row>
    <row r="587" spans="1:15">
      <c r="A587" s="8"/>
      <c r="B587" s="8"/>
      <c r="C587" s="42"/>
      <c r="D587" s="8" t="s">
        <v>147</v>
      </c>
      <c r="E587" s="8"/>
      <c r="F587" s="301"/>
      <c r="G587" s="8"/>
      <c r="H587" s="8"/>
      <c r="I587" s="8"/>
      <c r="J587" s="8"/>
      <c r="K587" s="572">
        <f>E162</f>
        <v>7.4999999999999997E-2</v>
      </c>
      <c r="L587" s="572">
        <f>F162</f>
        <v>0.15</v>
      </c>
      <c r="M587" s="572">
        <f>G162</f>
        <v>0.1</v>
      </c>
      <c r="N587" s="572">
        <f>H162</f>
        <v>0.35</v>
      </c>
      <c r="O587" s="572">
        <f>I162</f>
        <v>0.32500000000000007</v>
      </c>
    </row>
    <row r="588" spans="1:15" ht="6" customHeight="1">
      <c r="A588" s="8"/>
      <c r="B588" s="8"/>
      <c r="C588" s="42"/>
      <c r="D588" s="8"/>
      <c r="E588" s="8"/>
      <c r="F588" s="301"/>
      <c r="G588" s="8"/>
      <c r="H588" s="8"/>
      <c r="I588" s="8"/>
      <c r="J588" s="8"/>
      <c r="K588" s="8"/>
      <c r="L588" s="8"/>
      <c r="M588" s="8"/>
      <c r="N588" s="8"/>
      <c r="O588" s="8"/>
    </row>
    <row r="589" spans="1:15">
      <c r="A589" s="8"/>
      <c r="B589" s="8"/>
      <c r="C589" s="8"/>
      <c r="D589" s="8" t="s">
        <v>315</v>
      </c>
      <c r="E589" s="8"/>
      <c r="F589" s="301"/>
      <c r="G589" s="8"/>
      <c r="H589" s="8"/>
      <c r="I589" s="8"/>
      <c r="J589" s="8"/>
      <c r="K589" s="398">
        <f>J591</f>
        <v>237.29109044444436</v>
      </c>
      <c r="L589" s="398">
        <f>K591</f>
        <v>219.49425866111105</v>
      </c>
      <c r="M589" s="398">
        <f>L591</f>
        <v>183.90059509444438</v>
      </c>
      <c r="N589" s="398">
        <f>M591</f>
        <v>160.17148604999994</v>
      </c>
      <c r="O589" s="398">
        <f>N591</f>
        <v>77.119604394444423</v>
      </c>
    </row>
    <row r="590" spans="1:15">
      <c r="A590" s="8"/>
      <c r="B590" s="8"/>
      <c r="C590" s="8"/>
      <c r="D590" s="8" t="s">
        <v>319</v>
      </c>
      <c r="E590" s="8"/>
      <c r="F590" s="301"/>
      <c r="G590" s="8"/>
      <c r="H590" s="8"/>
      <c r="I590" s="8"/>
      <c r="J590" s="35"/>
      <c r="K590" s="518">
        <f>-$J$591*K587</f>
        <v>-17.796831783333328</v>
      </c>
      <c r="L590" s="518">
        <f>-$J$591*L587</f>
        <v>-35.593663566666656</v>
      </c>
      <c r="M590" s="518">
        <f>-$J$591*M587</f>
        <v>-23.729109044444439</v>
      </c>
      <c r="N590" s="518">
        <f>-$J$591*N587</f>
        <v>-83.051881655555519</v>
      </c>
      <c r="O590" s="518">
        <f>-$J$591*O587</f>
        <v>-77.119604394444437</v>
      </c>
    </row>
    <row r="591" spans="1:15">
      <c r="A591" s="8"/>
      <c r="B591" s="8"/>
      <c r="C591" s="8"/>
      <c r="D591" s="8" t="s">
        <v>317</v>
      </c>
      <c r="E591" s="8"/>
      <c r="F591" s="301"/>
      <c r="G591" s="8"/>
      <c r="H591" s="8"/>
      <c r="I591" s="381"/>
      <c r="J591" s="81">
        <f>F22</f>
        <v>237.29109044444436</v>
      </c>
      <c r="K591" s="81">
        <f>SUM(K589:K590)</f>
        <v>219.49425866111105</v>
      </c>
      <c r="L591" s="81">
        <f>SUM(L589:L590)</f>
        <v>183.90059509444438</v>
      </c>
      <c r="M591" s="81">
        <f>SUM(M589:M590)</f>
        <v>160.17148604999994</v>
      </c>
      <c r="N591" s="81">
        <f>SUM(N589:N590)</f>
        <v>77.119604394444423</v>
      </c>
      <c r="O591" s="81">
        <f>SUM(O589:O590)</f>
        <v>0</v>
      </c>
    </row>
    <row r="592" spans="1:15" ht="6" customHeight="1">
      <c r="A592" s="8"/>
      <c r="B592" s="8"/>
      <c r="C592" s="8"/>
      <c r="D592" s="8"/>
      <c r="E592" s="8"/>
      <c r="F592" s="301"/>
      <c r="G592" s="8"/>
      <c r="H592" s="8"/>
      <c r="I592" s="8"/>
      <c r="J592" s="8"/>
      <c r="K592" s="8"/>
      <c r="L592" s="8"/>
      <c r="M592" s="8"/>
      <c r="N592" s="8"/>
      <c r="O592" s="8"/>
    </row>
    <row r="593" spans="1:15">
      <c r="A593" s="8"/>
      <c r="B593" s="8"/>
      <c r="C593" s="8"/>
      <c r="D593" s="8" t="s">
        <v>133</v>
      </c>
      <c r="E593" s="8"/>
      <c r="F593" s="301"/>
      <c r="G593" s="8"/>
      <c r="H593" s="8"/>
      <c r="I593" s="8"/>
      <c r="J593" s="8"/>
      <c r="K593" s="646">
        <f xml:space="preserve"> _xlfn.XLOOKUP( J$574, $K$143:$K$149, $O$143:$O$149,, -1 )</f>
        <v>3.2500000000000001E-2</v>
      </c>
      <c r="L593" s="646">
        <f t="shared" ref="L593:O593" ca="1" si="75" xml:space="preserve"> _xlfn.XLOOKUP( K$574, $K$143:$K$149, $O$143:$O$149,, -1 )</f>
        <v>3.2500000000000001E-2</v>
      </c>
      <c r="M593" s="646">
        <f t="shared" ca="1" si="75"/>
        <v>3.2500000000000001E-2</v>
      </c>
      <c r="N593" s="646">
        <f t="shared" ca="1" si="75"/>
        <v>2.75E-2</v>
      </c>
      <c r="O593" s="646">
        <f t="shared" ca="1" si="75"/>
        <v>2.5000000000000001E-2</v>
      </c>
    </row>
    <row r="594" spans="1:15">
      <c r="A594" s="8"/>
      <c r="B594" s="8"/>
      <c r="C594" s="8"/>
      <c r="D594" s="8" t="s">
        <v>320</v>
      </c>
      <c r="E594" s="8"/>
      <c r="F594" s="301"/>
      <c r="G594" s="8"/>
      <c r="H594" s="8"/>
      <c r="I594" s="8"/>
      <c r="J594" s="8"/>
      <c r="K594" s="569">
        <f>K593+K$573</f>
        <v>0.04</v>
      </c>
      <c r="L594" s="569">
        <f ca="1">L593+L$573</f>
        <v>0.04</v>
      </c>
      <c r="M594" s="569">
        <f ca="1">M593+M$573</f>
        <v>0.04</v>
      </c>
      <c r="N594" s="569">
        <f ca="1">N593+N$573</f>
        <v>3.7499999999999999E-2</v>
      </c>
      <c r="O594" s="569">
        <f ca="1">O593+O$573</f>
        <v>3.5000000000000003E-2</v>
      </c>
    </row>
    <row r="595" spans="1:15">
      <c r="A595" s="8"/>
      <c r="B595" s="8"/>
      <c r="C595" s="8"/>
      <c r="D595" s="42" t="s">
        <v>321</v>
      </c>
      <c r="E595" s="8"/>
      <c r="F595" s="301"/>
      <c r="G595" s="8"/>
      <c r="H595" s="8"/>
      <c r="I595" s="8"/>
      <c r="J595" s="8"/>
      <c r="K595" s="571">
        <f>K594*J591</f>
        <v>9.4916436177777754</v>
      </c>
      <c r="L595" s="571">
        <f ca="1">L594*K591</f>
        <v>8.7797703464444421</v>
      </c>
      <c r="M595" s="571">
        <f ca="1">M594*L591</f>
        <v>7.3560238037777754</v>
      </c>
      <c r="N595" s="571">
        <f ca="1">N594*M591</f>
        <v>6.0064307268749975</v>
      </c>
      <c r="O595" s="571">
        <f ca="1">O594*N591</f>
        <v>2.699186153805555</v>
      </c>
    </row>
    <row r="596" spans="1:15" ht="12.75" customHeight="1">
      <c r="A596" s="8"/>
      <c r="B596" s="8"/>
      <c r="C596" s="8"/>
      <c r="D596" s="8"/>
      <c r="E596" s="8"/>
      <c r="F596" s="301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2.75" customHeight="1">
      <c r="A597" s="8"/>
      <c r="B597" s="8"/>
      <c r="C597" s="8"/>
      <c r="D597" s="8"/>
      <c r="E597" s="8"/>
      <c r="F597" s="301"/>
      <c r="G597" s="8"/>
      <c r="H597" s="8"/>
      <c r="I597" s="8"/>
      <c r="J597" s="8"/>
      <c r="K597" s="8"/>
      <c r="L597" s="8"/>
      <c r="M597" s="8"/>
      <c r="N597" s="8"/>
      <c r="O597" s="8"/>
    </row>
    <row r="598" spans="1:15">
      <c r="A598" s="8"/>
      <c r="B598" s="8"/>
      <c r="C598" s="42" t="s">
        <v>37</v>
      </c>
      <c r="D598" s="8"/>
      <c r="E598" s="8"/>
      <c r="F598" s="301"/>
      <c r="G598" s="8"/>
      <c r="H598" s="8"/>
      <c r="I598" s="8"/>
      <c r="J598" s="8"/>
      <c r="K598" s="8"/>
      <c r="L598" s="8"/>
      <c r="M598" s="8"/>
      <c r="N598" s="8"/>
      <c r="O598" s="8"/>
    </row>
    <row r="599" spans="1:15">
      <c r="A599" s="8"/>
      <c r="B599" s="8"/>
      <c r="C599" s="42"/>
      <c r="D599" s="8" t="s">
        <v>147</v>
      </c>
      <c r="E599" s="8"/>
      <c r="F599" s="301"/>
      <c r="G599" s="8"/>
      <c r="H599" s="8"/>
      <c r="I599" s="8"/>
      <c r="J599" s="8"/>
      <c r="K599" s="572">
        <f>E163</f>
        <v>0.01</v>
      </c>
      <c r="L599" s="572">
        <f>F163</f>
        <v>0.01</v>
      </c>
      <c r="M599" s="572">
        <f>G163</f>
        <v>0.01</v>
      </c>
      <c r="N599" s="572">
        <f>H163</f>
        <v>0.01</v>
      </c>
      <c r="O599" s="572">
        <f>I163</f>
        <v>0.01</v>
      </c>
    </row>
    <row r="600" spans="1:15" ht="6" customHeight="1">
      <c r="A600" s="8"/>
      <c r="B600" s="8"/>
      <c r="C600" s="42"/>
      <c r="D600" s="8"/>
      <c r="E600" s="8"/>
      <c r="F600" s="301"/>
      <c r="G600" s="8"/>
      <c r="H600" s="8"/>
      <c r="I600" s="8"/>
      <c r="J600" s="8"/>
      <c r="K600" s="8"/>
      <c r="L600" s="8"/>
      <c r="M600" s="8"/>
      <c r="N600" s="8"/>
      <c r="O600" s="8"/>
    </row>
    <row r="601" spans="1:15">
      <c r="A601" s="8"/>
      <c r="B601" s="8"/>
      <c r="C601" s="8"/>
      <c r="D601" s="8" t="s">
        <v>315</v>
      </c>
      <c r="E601" s="8"/>
      <c r="F601" s="301"/>
      <c r="G601" s="8"/>
      <c r="H601" s="8"/>
      <c r="I601" s="8"/>
      <c r="J601" s="8"/>
      <c r="K601" s="398">
        <f>J603</f>
        <v>197.7425753703703</v>
      </c>
      <c r="L601" s="398">
        <f>K603</f>
        <v>195.7651496166666</v>
      </c>
      <c r="M601" s="398">
        <f>L603</f>
        <v>193.78772386296291</v>
      </c>
      <c r="N601" s="398">
        <f>M603</f>
        <v>191.81029810925921</v>
      </c>
      <c r="O601" s="398">
        <f>N603</f>
        <v>189.83287235555551</v>
      </c>
    </row>
    <row r="602" spans="1:15">
      <c r="A602" s="8"/>
      <c r="B602" s="8"/>
      <c r="C602" s="8"/>
      <c r="D602" s="8" t="s">
        <v>319</v>
      </c>
      <c r="E602" s="8"/>
      <c r="F602" s="301"/>
      <c r="G602" s="8"/>
      <c r="H602" s="8"/>
      <c r="I602" s="8"/>
      <c r="J602" s="35"/>
      <c r="K602" s="518">
        <f>-$J603*K599</f>
        <v>-1.977425753703703</v>
      </c>
      <c r="L602" s="518">
        <f t="shared" ref="L602:O602" si="76">-$J603*L599</f>
        <v>-1.977425753703703</v>
      </c>
      <c r="M602" s="518">
        <f t="shared" si="76"/>
        <v>-1.977425753703703</v>
      </c>
      <c r="N602" s="518">
        <f t="shared" si="76"/>
        <v>-1.977425753703703</v>
      </c>
      <c r="O602" s="518">
        <f t="shared" si="76"/>
        <v>-1.977425753703703</v>
      </c>
    </row>
    <row r="603" spans="1:15">
      <c r="A603" s="8"/>
      <c r="B603" s="8"/>
      <c r="C603" s="8"/>
      <c r="D603" s="8" t="s">
        <v>317</v>
      </c>
      <c r="E603" s="8"/>
      <c r="F603" s="301"/>
      <c r="G603" s="8"/>
      <c r="H603" s="8"/>
      <c r="I603" s="381"/>
      <c r="J603" s="81">
        <f>F23</f>
        <v>197.7425753703703</v>
      </c>
      <c r="K603" s="81">
        <f>SUM(K601:K602)</f>
        <v>195.7651496166666</v>
      </c>
      <c r="L603" s="81">
        <f>SUM(L601:L602)</f>
        <v>193.78772386296291</v>
      </c>
      <c r="M603" s="81">
        <f>SUM(M601:M602)</f>
        <v>191.81029810925921</v>
      </c>
      <c r="N603" s="81">
        <f>SUM(N601:N602)</f>
        <v>189.83287235555551</v>
      </c>
      <c r="O603" s="81">
        <f>SUM(O601:O602)</f>
        <v>187.85544660185181</v>
      </c>
    </row>
    <row r="604" spans="1:15" ht="6" customHeight="1">
      <c r="A604" s="8"/>
      <c r="B604" s="8"/>
      <c r="C604" s="8"/>
      <c r="D604" s="8"/>
      <c r="E604" s="8"/>
      <c r="F604" s="301"/>
      <c r="G604" s="8"/>
      <c r="H604" s="8"/>
      <c r="I604" s="8"/>
      <c r="J604" s="8"/>
      <c r="K604" s="8"/>
      <c r="L604" s="8"/>
      <c r="M604" s="8"/>
      <c r="N604" s="8"/>
      <c r="O604" s="8"/>
    </row>
    <row r="605" spans="1:15">
      <c r="A605" s="8"/>
      <c r="B605" s="8"/>
      <c r="C605" s="8"/>
      <c r="D605" s="8" t="s">
        <v>133</v>
      </c>
      <c r="E605" s="8"/>
      <c r="F605" s="301"/>
      <c r="G605" s="8"/>
      <c r="H605" s="8"/>
      <c r="I605" s="8"/>
      <c r="J605" s="8"/>
      <c r="K605" s="569">
        <f>K593</f>
        <v>3.2500000000000001E-2</v>
      </c>
      <c r="L605" s="569">
        <f ca="1">L593</f>
        <v>3.2500000000000001E-2</v>
      </c>
      <c r="M605" s="569">
        <f ca="1">M593</f>
        <v>3.2500000000000001E-2</v>
      </c>
      <c r="N605" s="569">
        <f ca="1">N593</f>
        <v>2.75E-2</v>
      </c>
      <c r="O605" s="569">
        <f ca="1">O593</f>
        <v>2.5000000000000001E-2</v>
      </c>
    </row>
    <row r="606" spans="1:15">
      <c r="A606" s="8"/>
      <c r="B606" s="8"/>
      <c r="C606" s="8"/>
      <c r="D606" s="8" t="s">
        <v>320</v>
      </c>
      <c r="E606" s="8"/>
      <c r="F606" s="301"/>
      <c r="G606" s="8"/>
      <c r="H606" s="8"/>
      <c r="I606" s="8"/>
      <c r="J606" s="8"/>
      <c r="K606" s="569">
        <f>K605+K$573</f>
        <v>0.04</v>
      </c>
      <c r="L606" s="569">
        <f ca="1">L605+L$573</f>
        <v>0.04</v>
      </c>
      <c r="M606" s="569">
        <f ca="1">M605+M$573</f>
        <v>0.04</v>
      </c>
      <c r="N606" s="569">
        <f ca="1">N605+N$573</f>
        <v>3.7499999999999999E-2</v>
      </c>
      <c r="O606" s="569">
        <f ca="1">O605+O$573</f>
        <v>3.5000000000000003E-2</v>
      </c>
    </row>
    <row r="607" spans="1:15">
      <c r="A607" s="8"/>
      <c r="B607" s="8"/>
      <c r="C607" s="8"/>
      <c r="D607" s="42" t="s">
        <v>321</v>
      </c>
      <c r="E607" s="8"/>
      <c r="F607" s="301"/>
      <c r="G607" s="8"/>
      <c r="H607" s="8"/>
      <c r="I607" s="8"/>
      <c r="J607" s="8"/>
      <c r="K607" s="571">
        <f>K606*J603</f>
        <v>7.909703014814812</v>
      </c>
      <c r="L607" s="571">
        <f ca="1">L606*K603</f>
        <v>7.830605984666664</v>
      </c>
      <c r="M607" s="571">
        <f ca="1">M606*L603</f>
        <v>7.7515089545185161</v>
      </c>
      <c r="N607" s="571">
        <f ca="1">N606*M603</f>
        <v>7.1928861790972203</v>
      </c>
      <c r="O607" s="571">
        <f ca="1">O606*N603</f>
        <v>6.6441505324444439</v>
      </c>
    </row>
    <row r="608" spans="1:15">
      <c r="A608" s="8"/>
      <c r="B608" s="8"/>
      <c r="C608" s="8"/>
      <c r="D608" s="8"/>
      <c r="E608" s="8"/>
      <c r="F608" s="301"/>
      <c r="G608" s="8"/>
      <c r="H608" s="8"/>
      <c r="I608" s="8"/>
      <c r="J608" s="8"/>
      <c r="K608" s="8"/>
      <c r="L608" s="8"/>
      <c r="M608" s="8"/>
      <c r="N608" s="8"/>
      <c r="O608" s="8"/>
    </row>
    <row r="609" spans="1:15">
      <c r="A609" s="8"/>
      <c r="B609" s="35"/>
      <c r="C609" s="35"/>
      <c r="D609" s="35"/>
      <c r="E609" s="35"/>
      <c r="F609" s="336"/>
      <c r="G609" s="35"/>
      <c r="H609" s="35"/>
      <c r="I609" s="35"/>
      <c r="J609" s="35"/>
      <c r="K609" s="35"/>
      <c r="L609" s="35"/>
      <c r="M609" s="35"/>
      <c r="N609" s="35"/>
      <c r="O609" s="35"/>
    </row>
    <row r="610" spans="1:15">
      <c r="A610" s="8"/>
      <c r="B610" s="8"/>
      <c r="C610" s="8"/>
      <c r="D610" s="8"/>
      <c r="E610" s="8"/>
      <c r="F610" s="301"/>
      <c r="G610" s="8"/>
      <c r="H610" s="8"/>
      <c r="I610" s="8"/>
      <c r="J610" s="8"/>
      <c r="K610" s="8"/>
      <c r="L610" s="8"/>
      <c r="M610" s="8"/>
      <c r="N610" s="8"/>
      <c r="O610" s="8"/>
    </row>
    <row r="611" spans="1:15">
      <c r="A611" s="8"/>
      <c r="B611" s="8"/>
      <c r="C611" s="8"/>
      <c r="D611" s="8"/>
      <c r="E611" s="8"/>
      <c r="F611" s="301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2.75" customHeight="1">
      <c r="A612" s="8"/>
      <c r="B612" s="8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38" t="str">
        <f>$O$236</f>
        <v>CURRENTLY RUNNING: BASE CASE SCENARIO</v>
      </c>
    </row>
    <row r="613" spans="1:15" ht="22.8" customHeight="1">
      <c r="A613" s="8"/>
      <c r="B613" s="86" t="str">
        <f>$B$3</f>
        <v>Moonbucks Corp.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18.75" customHeight="1">
      <c r="A614" s="8"/>
      <c r="B614" s="293" t="s">
        <v>322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6" customHeight="1" thickBot="1">
      <c r="A615" s="8"/>
      <c r="B615" s="297"/>
      <c r="C615" s="415"/>
      <c r="D615" s="415"/>
      <c r="E615" s="415"/>
      <c r="F615" s="415"/>
      <c r="G615" s="415"/>
      <c r="H615" s="415"/>
      <c r="I615" s="415"/>
      <c r="J615" s="415"/>
      <c r="K615" s="415"/>
      <c r="L615" s="415"/>
      <c r="M615" s="415"/>
      <c r="N615" s="415"/>
      <c r="O615" s="415"/>
    </row>
    <row r="616" spans="1:15" ht="12.75" customHeight="1">
      <c r="A616" s="8"/>
      <c r="B616" s="416" t="s">
        <v>224</v>
      </c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90"/>
    </row>
    <row r="617" spans="1:15" ht="13.8">
      <c r="A617" s="8"/>
      <c r="B617" s="8"/>
      <c r="C617" s="8"/>
      <c r="D617" s="8"/>
      <c r="E617" s="8"/>
      <c r="F617" s="8"/>
      <c r="G617" s="8"/>
      <c r="H617" s="3"/>
      <c r="I617" s="3"/>
      <c r="J617" s="3"/>
      <c r="K617" s="303" t="s">
        <v>170</v>
      </c>
      <c r="L617" s="113"/>
      <c r="M617" s="113"/>
      <c r="N617" s="113"/>
      <c r="O617" s="113"/>
    </row>
    <row r="618" spans="1:15">
      <c r="A618" s="8"/>
      <c r="B618" s="8"/>
      <c r="C618" s="8"/>
      <c r="D618" s="8"/>
      <c r="E618" s="8"/>
      <c r="F618" s="8"/>
      <c r="G618" s="419"/>
      <c r="H618" s="304"/>
      <c r="I618" s="304"/>
      <c r="J618" s="304">
        <f t="shared" ref="J618:O618" si="77">J$242</f>
        <v>2021</v>
      </c>
      <c r="K618" s="420">
        <f t="shared" si="77"/>
        <v>2022</v>
      </c>
      <c r="L618" s="420">
        <f t="shared" si="77"/>
        <v>2023</v>
      </c>
      <c r="M618" s="420">
        <f t="shared" si="77"/>
        <v>2024</v>
      </c>
      <c r="N618" s="420">
        <f t="shared" si="77"/>
        <v>2025</v>
      </c>
      <c r="O618" s="420">
        <f t="shared" si="77"/>
        <v>2026</v>
      </c>
    </row>
    <row r="619" spans="1:15" ht="6" customHeight="1">
      <c r="A619" s="8"/>
      <c r="B619" s="8"/>
      <c r="C619" s="8"/>
      <c r="D619" s="8"/>
      <c r="E619" s="8"/>
      <c r="F619" s="301"/>
      <c r="G619" s="8"/>
      <c r="H619" s="8"/>
      <c r="I619" s="8"/>
      <c r="J619" s="8"/>
      <c r="K619" s="8"/>
      <c r="L619" s="8"/>
      <c r="M619" s="8"/>
      <c r="N619" s="8"/>
      <c r="O619" s="8"/>
    </row>
    <row r="620" spans="1:15">
      <c r="A620" s="8"/>
      <c r="B620" s="344" t="s">
        <v>313</v>
      </c>
      <c r="C620" s="345"/>
      <c r="D620" s="345"/>
      <c r="E620" s="345"/>
      <c r="F620" s="563"/>
      <c r="G620" s="345"/>
      <c r="H620" s="345"/>
      <c r="I620" s="345"/>
      <c r="J620" s="345"/>
      <c r="K620" s="564">
        <f t="shared" ref="K620:O621" si="78">K573</f>
        <v>7.4999999999999997E-3</v>
      </c>
      <c r="L620" s="564">
        <f t="shared" si="78"/>
        <v>7.4999999999999997E-3</v>
      </c>
      <c r="M620" s="564">
        <f t="shared" si="78"/>
        <v>7.4999999999999997E-3</v>
      </c>
      <c r="N620" s="564">
        <f t="shared" si="78"/>
        <v>0.01</v>
      </c>
      <c r="O620" s="565">
        <f t="shared" si="78"/>
        <v>0.01</v>
      </c>
    </row>
    <row r="621" spans="1:15">
      <c r="A621" s="8"/>
      <c r="B621" s="356" t="s">
        <v>314</v>
      </c>
      <c r="C621" s="318"/>
      <c r="D621" s="318"/>
      <c r="E621" s="318"/>
      <c r="F621" s="566"/>
      <c r="G621" s="318"/>
      <c r="H621" s="318"/>
      <c r="I621" s="318"/>
      <c r="J621" s="567">
        <f>J574</f>
        <v>6</v>
      </c>
      <c r="K621" s="567">
        <f t="shared" ca="1" si="78"/>
        <v>6.6648072686850721</v>
      </c>
      <c r="L621" s="567">
        <f t="shared" ca="1" si="78"/>
        <v>5.6421204409032741</v>
      </c>
      <c r="M621" s="567">
        <f t="shared" ca="1" si="78"/>
        <v>4.3126604145511402</v>
      </c>
      <c r="N621" s="567">
        <f t="shared" ca="1" si="78"/>
        <v>3.5495978199745273</v>
      </c>
      <c r="O621" s="568">
        <f t="shared" ca="1" si="78"/>
        <v>2.8336295587254496</v>
      </c>
    </row>
    <row r="622" spans="1:15" ht="12.75" customHeight="1">
      <c r="A622" s="8"/>
      <c r="B622" s="8"/>
      <c r="C622" s="8"/>
      <c r="D622" s="8"/>
      <c r="E622" s="8"/>
      <c r="F622" s="301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2.75" customHeight="1">
      <c r="A623" s="8"/>
      <c r="B623" s="8"/>
      <c r="C623" s="42" t="s">
        <v>149</v>
      </c>
      <c r="D623" s="8"/>
      <c r="E623" s="8"/>
      <c r="F623" s="301"/>
      <c r="G623" s="8"/>
      <c r="H623" s="8"/>
      <c r="I623" s="8"/>
      <c r="J623" s="8"/>
      <c r="K623" s="8"/>
      <c r="L623" s="8"/>
      <c r="M623" s="8"/>
      <c r="N623" s="8"/>
      <c r="O623" s="8"/>
    </row>
    <row r="624" spans="1:15">
      <c r="A624" s="8"/>
      <c r="B624" s="8"/>
      <c r="C624" s="8"/>
      <c r="D624" s="8" t="s">
        <v>315</v>
      </c>
      <c r="E624" s="8"/>
      <c r="F624" s="301"/>
      <c r="G624" s="8"/>
      <c r="H624" s="8"/>
      <c r="I624" s="8"/>
      <c r="J624" s="8"/>
      <c r="K624" s="398">
        <f>J626</f>
        <v>237.29109044444436</v>
      </c>
      <c r="L624" s="398">
        <f>K626</f>
        <v>237.29109044444436</v>
      </c>
      <c r="M624" s="398">
        <f>L626</f>
        <v>237.29109044444436</v>
      </c>
      <c r="N624" s="398">
        <f>M626</f>
        <v>237.29109044444436</v>
      </c>
      <c r="O624" s="398">
        <f>N626</f>
        <v>237.29109044444436</v>
      </c>
    </row>
    <row r="625" spans="1:15">
      <c r="A625" s="8"/>
      <c r="B625" s="8"/>
      <c r="C625" s="8"/>
      <c r="D625" s="8" t="s">
        <v>319</v>
      </c>
      <c r="E625" s="8"/>
      <c r="F625" s="301"/>
      <c r="G625" s="8"/>
      <c r="H625" s="8"/>
      <c r="I625" s="8"/>
      <c r="J625" s="35"/>
      <c r="K625" s="518">
        <f>I168</f>
        <v>0</v>
      </c>
      <c r="L625" s="518">
        <f>K625</f>
        <v>0</v>
      </c>
      <c r="M625" s="518">
        <f>L625</f>
        <v>0</v>
      </c>
      <c r="N625" s="518">
        <f>M625</f>
        <v>0</v>
      </c>
      <c r="O625" s="518">
        <f>N625</f>
        <v>0</v>
      </c>
    </row>
    <row r="626" spans="1:15">
      <c r="A626" s="8"/>
      <c r="B626" s="8"/>
      <c r="C626" s="8"/>
      <c r="D626" s="8" t="s">
        <v>317</v>
      </c>
      <c r="E626" s="8"/>
      <c r="F626" s="301"/>
      <c r="G626" s="8"/>
      <c r="H626" s="8"/>
      <c r="I626" s="381"/>
      <c r="J626" s="81">
        <f>J446</f>
        <v>237.29109044444436</v>
      </c>
      <c r="K626" s="81">
        <f>SUM(K624:K625)</f>
        <v>237.29109044444436</v>
      </c>
      <c r="L626" s="81">
        <f>SUM(L624:L625)</f>
        <v>237.29109044444436</v>
      </c>
      <c r="M626" s="81">
        <f>SUM(M624:M625)</f>
        <v>237.29109044444436</v>
      </c>
      <c r="N626" s="81">
        <f>SUM(N624:N625)</f>
        <v>237.29109044444436</v>
      </c>
      <c r="O626" s="81">
        <f>SUM(O624:O625)</f>
        <v>237.29109044444436</v>
      </c>
    </row>
    <row r="627" spans="1:15" ht="6" customHeight="1">
      <c r="A627" s="8"/>
      <c r="B627" s="8"/>
      <c r="C627" s="8"/>
      <c r="D627" s="8"/>
      <c r="E627" s="8"/>
      <c r="F627" s="301"/>
      <c r="G627" s="8"/>
      <c r="H627" s="8"/>
      <c r="I627" s="8"/>
      <c r="J627" s="8"/>
      <c r="K627" s="8"/>
      <c r="L627" s="8"/>
      <c r="M627" s="8"/>
      <c r="N627" s="8"/>
      <c r="O627" s="8"/>
    </row>
    <row r="628" spans="1:15">
      <c r="A628" s="8"/>
      <c r="B628" s="8"/>
      <c r="C628" s="8"/>
      <c r="D628" s="8" t="s">
        <v>323</v>
      </c>
      <c r="E628" s="8"/>
      <c r="F628" s="301"/>
      <c r="G628" s="8"/>
      <c r="H628" s="8"/>
      <c r="I628" s="8"/>
      <c r="J628" s="8"/>
      <c r="K628" s="569">
        <f>I24</f>
        <v>5.5E-2</v>
      </c>
      <c r="L628" s="570">
        <f>K628</f>
        <v>5.5E-2</v>
      </c>
      <c r="M628" s="570">
        <f>L628</f>
        <v>5.5E-2</v>
      </c>
      <c r="N628" s="570">
        <f>M628</f>
        <v>5.5E-2</v>
      </c>
      <c r="O628" s="570">
        <f>N628</f>
        <v>5.5E-2</v>
      </c>
    </row>
    <row r="629" spans="1:15">
      <c r="A629" s="8"/>
      <c r="B629" s="8"/>
      <c r="C629" s="8"/>
      <c r="D629" s="42" t="s">
        <v>321</v>
      </c>
      <c r="E629" s="8"/>
      <c r="F629" s="301"/>
      <c r="G629" s="8"/>
      <c r="H629" s="8"/>
      <c r="I629" s="8"/>
      <c r="J629" s="8"/>
      <c r="K629" s="571">
        <f>K628*J626</f>
        <v>13.05100997444444</v>
      </c>
      <c r="L629" s="571">
        <f>L628*K626</f>
        <v>13.05100997444444</v>
      </c>
      <c r="M629" s="571">
        <f>M628*L626</f>
        <v>13.05100997444444</v>
      </c>
      <c r="N629" s="571">
        <f>N628*M626</f>
        <v>13.05100997444444</v>
      </c>
      <c r="O629" s="571">
        <f>O628*N626</f>
        <v>13.05100997444444</v>
      </c>
    </row>
    <row r="630" spans="1:15" ht="12.75" customHeight="1">
      <c r="A630" s="8"/>
      <c r="B630" s="8"/>
      <c r="C630" s="8"/>
      <c r="D630" s="8"/>
      <c r="E630" s="8"/>
      <c r="F630" s="301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2.75" customHeight="1">
      <c r="A631" s="8"/>
      <c r="B631" s="8"/>
      <c r="C631" s="8"/>
      <c r="D631" s="8"/>
      <c r="E631" s="8"/>
      <c r="F631" s="301"/>
      <c r="G631" s="8"/>
      <c r="H631" s="8"/>
      <c r="I631" s="8"/>
      <c r="J631" s="8"/>
      <c r="K631" s="8"/>
      <c r="L631" s="8"/>
      <c r="M631" s="8"/>
      <c r="N631" s="8"/>
      <c r="O631" s="8"/>
    </row>
    <row r="632" spans="1:15">
      <c r="A632" s="8"/>
      <c r="B632" s="8"/>
      <c r="C632" s="42" t="s">
        <v>153</v>
      </c>
      <c r="D632" s="8"/>
      <c r="E632" s="8"/>
      <c r="F632" s="301"/>
      <c r="G632" s="8"/>
      <c r="H632" s="8"/>
      <c r="I632" s="8"/>
      <c r="J632" s="8"/>
      <c r="K632" s="8"/>
      <c r="L632" s="8"/>
      <c r="M632" s="8"/>
      <c r="N632" s="8"/>
      <c r="O632" s="8"/>
    </row>
    <row r="633" spans="1:15">
      <c r="A633" s="8"/>
      <c r="B633" s="8"/>
      <c r="C633" s="8"/>
      <c r="D633" s="8" t="s">
        <v>315</v>
      </c>
      <c r="E633" s="8"/>
      <c r="F633" s="301"/>
      <c r="G633" s="8"/>
      <c r="H633" s="8"/>
      <c r="I633" s="8"/>
      <c r="J633" s="8"/>
      <c r="K633" s="398">
        <f>J636</f>
        <v>197.7425753703703</v>
      </c>
      <c r="L633" s="398">
        <f>K636</f>
        <v>206.04776353592587</v>
      </c>
      <c r="M633" s="398">
        <f ca="1">L636</f>
        <v>214.70176960443476</v>
      </c>
      <c r="N633" s="398">
        <f ca="1">M636</f>
        <v>223.71924392782103</v>
      </c>
      <c r="O633" s="398">
        <f ca="1">N636</f>
        <v>223.71924392782103</v>
      </c>
    </row>
    <row r="634" spans="1:15">
      <c r="A634" s="8"/>
      <c r="B634" s="8"/>
      <c r="C634" s="8"/>
      <c r="D634" s="8" t="s">
        <v>324</v>
      </c>
      <c r="E634" s="8"/>
      <c r="F634" s="301"/>
      <c r="G634" s="8"/>
      <c r="H634" s="8"/>
      <c r="I634" s="8"/>
      <c r="J634" s="8"/>
      <c r="K634" s="398">
        <f>I173</f>
        <v>0</v>
      </c>
      <c r="L634" s="398">
        <f>K634</f>
        <v>0</v>
      </c>
      <c r="M634" s="398">
        <f>L634</f>
        <v>0</v>
      </c>
      <c r="N634" s="398">
        <f>M634</f>
        <v>0</v>
      </c>
      <c r="O634" s="398">
        <f>N634</f>
        <v>0</v>
      </c>
    </row>
    <row r="635" spans="1:15">
      <c r="A635" s="8"/>
      <c r="B635" s="8"/>
      <c r="C635" s="8"/>
      <c r="D635" s="8" t="s">
        <v>325</v>
      </c>
      <c r="E635" s="8"/>
      <c r="F635" s="301"/>
      <c r="G635" s="8"/>
      <c r="H635" s="8"/>
      <c r="I635" s="8"/>
      <c r="J635" s="35"/>
      <c r="K635" s="518">
        <f>K642</f>
        <v>8.3051881655555526</v>
      </c>
      <c r="L635" s="518">
        <f ca="1">L642</f>
        <v>8.6540060685088864</v>
      </c>
      <c r="M635" s="518">
        <f ca="1">M642</f>
        <v>9.01747432338626</v>
      </c>
      <c r="N635" s="518">
        <f ca="1">N642</f>
        <v>0</v>
      </c>
      <c r="O635" s="518">
        <f ca="1">O642</f>
        <v>0</v>
      </c>
    </row>
    <row r="636" spans="1:15">
      <c r="A636" s="8"/>
      <c r="B636" s="8"/>
      <c r="C636" s="8"/>
      <c r="D636" s="8" t="s">
        <v>317</v>
      </c>
      <c r="E636" s="8"/>
      <c r="F636" s="301"/>
      <c r="G636" s="8"/>
      <c r="H636" s="8"/>
      <c r="I636" s="381"/>
      <c r="J636" s="81">
        <f>J447</f>
        <v>197.7425753703703</v>
      </c>
      <c r="K636" s="81">
        <f>SUM(K633:K635)</f>
        <v>206.04776353592587</v>
      </c>
      <c r="L636" s="81">
        <f ca="1">SUM(L633:L635)</f>
        <v>214.70176960443476</v>
      </c>
      <c r="M636" s="81">
        <f ca="1">SUM(M633:M635)</f>
        <v>223.71924392782103</v>
      </c>
      <c r="N636" s="81">
        <f ca="1">SUM(N633:N635)</f>
        <v>223.71924392782103</v>
      </c>
      <c r="O636" s="81">
        <f ca="1">SUM(O633:O635)</f>
        <v>223.71924392782103</v>
      </c>
    </row>
    <row r="637" spans="1:15">
      <c r="A637" s="8"/>
      <c r="B637" s="8"/>
      <c r="C637" s="8"/>
      <c r="D637" s="8"/>
      <c r="E637" s="8"/>
      <c r="F637" s="301"/>
      <c r="G637" s="8"/>
      <c r="H637" s="8"/>
      <c r="I637" s="8"/>
      <c r="J637" s="8"/>
      <c r="K637" s="8"/>
      <c r="L637" s="8"/>
      <c r="M637" s="8"/>
      <c r="N637" s="8"/>
      <c r="O637" s="8"/>
    </row>
    <row r="638" spans="1:15">
      <c r="A638" s="8"/>
      <c r="B638" s="8"/>
      <c r="C638" s="8"/>
      <c r="D638" s="8" t="s">
        <v>326</v>
      </c>
      <c r="E638" s="8"/>
      <c r="F638" s="301"/>
      <c r="G638" s="8"/>
      <c r="H638" s="8"/>
      <c r="I638" s="8"/>
      <c r="J638" s="8"/>
      <c r="K638" s="572">
        <f>IF(J574&gt;$I$175,$I$174,0)</f>
        <v>0.6</v>
      </c>
      <c r="L638" s="572">
        <f ca="1">IF(K574&gt;$I$175,$I$174,0)</f>
        <v>0.6</v>
      </c>
      <c r="M638" s="572">
        <f ca="1">IF(L574&gt;$I$175,$I$174,0)</f>
        <v>0.6</v>
      </c>
      <c r="N638" s="572">
        <f ca="1">IF(M574&gt;$I$175,$I$174,0)</f>
        <v>0</v>
      </c>
      <c r="O638" s="572">
        <f ca="1">IF(N574&gt;$I$175,$I$174,0)</f>
        <v>0</v>
      </c>
    </row>
    <row r="639" spans="1:15">
      <c r="A639" s="8"/>
      <c r="B639" s="8"/>
      <c r="C639" s="8"/>
      <c r="D639" s="8" t="s">
        <v>327</v>
      </c>
      <c r="E639" s="8"/>
      <c r="F639" s="301"/>
      <c r="G639" s="8"/>
      <c r="H639" s="8"/>
      <c r="I639" s="8"/>
      <c r="J639" s="8"/>
      <c r="K639" s="572">
        <f>1-K638</f>
        <v>0.4</v>
      </c>
      <c r="L639" s="572">
        <f ca="1">1-L638</f>
        <v>0.4</v>
      </c>
      <c r="M639" s="572">
        <f ca="1">1-M638</f>
        <v>0.4</v>
      </c>
      <c r="N639" s="572">
        <f ca="1">1-N638</f>
        <v>1</v>
      </c>
      <c r="O639" s="572">
        <f ca="1">1-O638</f>
        <v>1</v>
      </c>
    </row>
    <row r="640" spans="1:15">
      <c r="A640" s="8"/>
      <c r="B640" s="8"/>
      <c r="C640" s="8"/>
      <c r="D640" s="8" t="s">
        <v>26</v>
      </c>
      <c r="E640" s="8"/>
      <c r="F640" s="301"/>
      <c r="G640" s="8"/>
      <c r="H640" s="8"/>
      <c r="I640" s="8"/>
      <c r="J640" s="8"/>
      <c r="K640" s="572">
        <f>I25</f>
        <v>7.0000000000000007E-2</v>
      </c>
      <c r="L640" s="572">
        <f>K640</f>
        <v>7.0000000000000007E-2</v>
      </c>
      <c r="M640" s="572">
        <f>L640</f>
        <v>7.0000000000000007E-2</v>
      </c>
      <c r="N640" s="572">
        <f>M640</f>
        <v>7.0000000000000007E-2</v>
      </c>
      <c r="O640" s="572">
        <f>N640</f>
        <v>7.0000000000000007E-2</v>
      </c>
    </row>
    <row r="641" spans="1:15">
      <c r="A641" s="8"/>
      <c r="B641" s="8"/>
      <c r="C641" s="8"/>
      <c r="D641" s="8"/>
      <c r="E641" s="8"/>
      <c r="F641" s="301"/>
      <c r="G641" s="8"/>
      <c r="H641" s="8"/>
      <c r="I641" s="8"/>
      <c r="J641" s="8"/>
      <c r="K641" s="8"/>
      <c r="L641" s="8"/>
      <c r="M641" s="8"/>
      <c r="N641" s="8"/>
      <c r="O641" s="8"/>
    </row>
    <row r="642" spans="1:15">
      <c r="A642" s="8"/>
      <c r="B642" s="8"/>
      <c r="C642" s="8"/>
      <c r="D642" s="8" t="s">
        <v>328</v>
      </c>
      <c r="E642" s="8"/>
      <c r="F642" s="301"/>
      <c r="G642" s="8"/>
      <c r="H642" s="8"/>
      <c r="I642" s="8"/>
      <c r="J642" s="8"/>
      <c r="K642" s="398">
        <f>K640*K638*J636</f>
        <v>8.3051881655555526</v>
      </c>
      <c r="L642" s="398">
        <f ca="1">L640*L638*K636</f>
        <v>8.6540060685088864</v>
      </c>
      <c r="M642" s="398">
        <f ca="1">M640*M638*L636</f>
        <v>9.01747432338626</v>
      </c>
      <c r="N642" s="398">
        <f ca="1">N640*N638*M636</f>
        <v>0</v>
      </c>
      <c r="O642" s="398">
        <f ca="1">O640*O638*N636</f>
        <v>0</v>
      </c>
    </row>
    <row r="643" spans="1:15">
      <c r="A643" s="8"/>
      <c r="B643" s="8"/>
      <c r="C643" s="8"/>
      <c r="D643" s="8" t="s">
        <v>329</v>
      </c>
      <c r="E643" s="8"/>
      <c r="F643" s="301"/>
      <c r="G643" s="8"/>
      <c r="H643" s="8"/>
      <c r="I643" s="8"/>
      <c r="J643" s="8"/>
      <c r="K643" s="398">
        <f>K640*K639*J636</f>
        <v>5.536792110370369</v>
      </c>
      <c r="L643" s="398">
        <f ca="1">L640*L639*K636</f>
        <v>5.7693373790059255</v>
      </c>
      <c r="M643" s="398">
        <f ca="1">M640*M639*L636</f>
        <v>6.0116495489241739</v>
      </c>
      <c r="N643" s="398">
        <f ca="1">N640*N639*M636</f>
        <v>15.660347074947474</v>
      </c>
      <c r="O643" s="398">
        <f ca="1">O640*O639*N636</f>
        <v>15.660347074947474</v>
      </c>
    </row>
    <row r="644" spans="1:15">
      <c r="A644" s="8"/>
      <c r="B644" s="8"/>
      <c r="C644" s="8"/>
      <c r="D644" s="42" t="s">
        <v>210</v>
      </c>
      <c r="E644" s="8"/>
      <c r="F644" s="301"/>
      <c r="G644" s="8"/>
      <c r="H644" s="8"/>
      <c r="I644" s="8"/>
      <c r="J644" s="8"/>
      <c r="K644" s="571">
        <f>SUM(K642:K643)</f>
        <v>13.841980275925922</v>
      </c>
      <c r="L644" s="571">
        <f ca="1">SUM(L642:L643)</f>
        <v>14.423343447514812</v>
      </c>
      <c r="M644" s="571">
        <f ca="1">SUM(M642:M643)</f>
        <v>15.029123872310434</v>
      </c>
      <c r="N644" s="571">
        <f ca="1">SUM(N642:N643)</f>
        <v>15.660347074947474</v>
      </c>
      <c r="O644" s="571">
        <f ca="1">SUM(O642:O643)</f>
        <v>15.660347074947474</v>
      </c>
    </row>
    <row r="645" spans="1:15">
      <c r="A645" s="8"/>
      <c r="B645" s="8"/>
      <c r="C645" s="42"/>
      <c r="D645" s="8"/>
      <c r="E645" s="8"/>
      <c r="F645" s="301"/>
      <c r="G645" s="8"/>
      <c r="H645" s="8"/>
      <c r="I645" s="8"/>
      <c r="J645" s="8"/>
      <c r="K645" s="8"/>
      <c r="L645" s="8"/>
      <c r="M645" s="8"/>
      <c r="N645" s="8"/>
      <c r="O645" s="8"/>
    </row>
    <row r="646" spans="1:15">
      <c r="A646" s="8"/>
      <c r="B646" s="35"/>
      <c r="C646" s="35"/>
      <c r="D646" s="35"/>
      <c r="E646" s="35"/>
      <c r="F646" s="336"/>
      <c r="G646" s="35"/>
      <c r="H646" s="35"/>
      <c r="I646" s="35"/>
      <c r="J646" s="35"/>
      <c r="K646" s="35"/>
      <c r="L646" s="35"/>
      <c r="M646" s="35"/>
      <c r="N646" s="35"/>
      <c r="O646" s="35"/>
    </row>
    <row r="647" spans="1:15">
      <c r="A647" s="8"/>
      <c r="B647" s="8"/>
      <c r="C647" s="42"/>
      <c r="D647" s="8"/>
      <c r="E647" s="8"/>
      <c r="F647" s="301"/>
      <c r="G647" s="8"/>
      <c r="H647" s="8"/>
      <c r="I647" s="8"/>
      <c r="J647" s="8"/>
      <c r="K647" s="8"/>
      <c r="L647" s="8"/>
      <c r="M647" s="8"/>
      <c r="N647" s="8"/>
      <c r="O647" s="8"/>
    </row>
    <row r="648" spans="1:15">
      <c r="A648" s="8"/>
      <c r="B648" s="8"/>
      <c r="C648" s="8"/>
      <c r="D648" s="8"/>
      <c r="E648" s="8"/>
      <c r="F648" s="301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2.75" customHeight="1">
      <c r="A649" s="8"/>
      <c r="B649" s="8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38" t="str">
        <f>$O$236</f>
        <v>CURRENTLY RUNNING: BASE CASE SCENARIO</v>
      </c>
    </row>
    <row r="650" spans="1:15" ht="22.8" customHeight="1">
      <c r="A650" s="8"/>
      <c r="B650" s="86" t="str">
        <f>$B$3</f>
        <v>Moonbucks Corp.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18.75" customHeight="1">
      <c r="A651" s="8"/>
      <c r="B651" s="293" t="s">
        <v>330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6" customHeight="1" thickBot="1">
      <c r="A652" s="8"/>
      <c r="B652" s="297"/>
      <c r="C652" s="415"/>
      <c r="D652" s="415"/>
      <c r="E652" s="415"/>
      <c r="F652" s="415"/>
      <c r="G652" s="415"/>
      <c r="H652" s="415"/>
      <c r="I652" s="415"/>
      <c r="J652" s="415"/>
      <c r="K652" s="415"/>
      <c r="L652" s="415"/>
      <c r="M652" s="415"/>
      <c r="N652" s="415"/>
      <c r="O652" s="415"/>
    </row>
    <row r="653" spans="1:15" ht="12.75" customHeight="1">
      <c r="A653" s="8"/>
      <c r="B653" s="416" t="s">
        <v>224</v>
      </c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90"/>
    </row>
    <row r="654" spans="1:15" ht="13.8">
      <c r="A654" s="8"/>
      <c r="B654" s="8"/>
      <c r="C654" s="8"/>
      <c r="D654" s="8"/>
      <c r="E654" s="8"/>
      <c r="F654" s="8"/>
      <c r="G654" s="8"/>
      <c r="H654" s="3"/>
      <c r="I654" s="3"/>
      <c r="J654" s="3"/>
      <c r="K654" s="303" t="s">
        <v>170</v>
      </c>
      <c r="L654" s="113"/>
      <c r="M654" s="113"/>
      <c r="N654" s="113"/>
      <c r="O654" s="113"/>
    </row>
    <row r="655" spans="1:15">
      <c r="A655" s="8"/>
      <c r="B655" s="8"/>
      <c r="C655" s="8"/>
      <c r="D655" s="8"/>
      <c r="E655" s="8"/>
      <c r="F655" s="8"/>
      <c r="G655" s="419"/>
      <c r="H655" s="304"/>
      <c r="I655" s="304"/>
      <c r="J655" s="304">
        <f t="shared" ref="J655:O655" si="79">J$242</f>
        <v>2021</v>
      </c>
      <c r="K655" s="420">
        <f t="shared" si="79"/>
        <v>2022</v>
      </c>
      <c r="L655" s="420">
        <f t="shared" si="79"/>
        <v>2023</v>
      </c>
      <c r="M655" s="420">
        <f t="shared" si="79"/>
        <v>2024</v>
      </c>
      <c r="N655" s="420">
        <f t="shared" si="79"/>
        <v>2025</v>
      </c>
      <c r="O655" s="420">
        <f t="shared" si="79"/>
        <v>2026</v>
      </c>
    </row>
    <row r="656" spans="1:15" ht="6" customHeight="1">
      <c r="A656" s="8"/>
      <c r="B656" s="8"/>
      <c r="C656" s="8"/>
      <c r="D656" s="8"/>
      <c r="E656" s="8"/>
      <c r="F656" s="301"/>
      <c r="G656" s="8"/>
      <c r="H656" s="8"/>
      <c r="I656" s="8"/>
      <c r="J656" s="8"/>
      <c r="K656" s="8"/>
      <c r="L656" s="8"/>
      <c r="M656" s="8"/>
      <c r="N656" s="8"/>
      <c r="O656" s="8"/>
    </row>
    <row r="657" spans="1:16">
      <c r="A657" s="8"/>
      <c r="B657" s="344" t="s">
        <v>313</v>
      </c>
      <c r="C657" s="345"/>
      <c r="D657" s="345"/>
      <c r="E657" s="345"/>
      <c r="F657" s="563"/>
      <c r="G657" s="345"/>
      <c r="H657" s="345"/>
      <c r="I657" s="345"/>
      <c r="J657" s="345"/>
      <c r="K657" s="564">
        <f t="shared" ref="K657:O658" si="80">K620</f>
        <v>7.4999999999999997E-3</v>
      </c>
      <c r="L657" s="564">
        <f t="shared" si="80"/>
        <v>7.4999999999999997E-3</v>
      </c>
      <c r="M657" s="564">
        <f t="shared" si="80"/>
        <v>7.4999999999999997E-3</v>
      </c>
      <c r="N657" s="564">
        <f t="shared" si="80"/>
        <v>0.01</v>
      </c>
      <c r="O657" s="565">
        <f t="shared" si="80"/>
        <v>0.01</v>
      </c>
    </row>
    <row r="658" spans="1:16">
      <c r="A658" s="8"/>
      <c r="B658" s="356" t="s">
        <v>314</v>
      </c>
      <c r="C658" s="318"/>
      <c r="D658" s="318"/>
      <c r="E658" s="318"/>
      <c r="F658" s="566"/>
      <c r="G658" s="318"/>
      <c r="H658" s="318"/>
      <c r="I658" s="318"/>
      <c r="J658" s="567">
        <f>J621</f>
        <v>6</v>
      </c>
      <c r="K658" s="567">
        <f t="shared" ca="1" si="80"/>
        <v>6.6648072686850721</v>
      </c>
      <c r="L658" s="567">
        <f t="shared" ca="1" si="80"/>
        <v>5.6421204409032741</v>
      </c>
      <c r="M658" s="567">
        <f t="shared" ca="1" si="80"/>
        <v>4.3126604145511402</v>
      </c>
      <c r="N658" s="567">
        <f t="shared" ca="1" si="80"/>
        <v>3.5495978199745273</v>
      </c>
      <c r="O658" s="568">
        <f t="shared" ca="1" si="80"/>
        <v>2.8336295587254496</v>
      </c>
    </row>
    <row r="659" spans="1:16" ht="12.75" customHeight="1">
      <c r="A659" s="8"/>
      <c r="B659" s="8"/>
      <c r="C659" s="8"/>
      <c r="D659" s="8"/>
      <c r="E659" s="8"/>
      <c r="F659" s="301"/>
      <c r="G659" s="8"/>
      <c r="H659" s="8"/>
      <c r="I659" s="8"/>
      <c r="J659" s="8"/>
      <c r="K659" s="8"/>
      <c r="L659" s="8"/>
      <c r="M659" s="8"/>
      <c r="N659" s="8"/>
      <c r="O659" s="8"/>
    </row>
    <row r="660" spans="1:16">
      <c r="A660" s="8"/>
      <c r="B660" s="8"/>
      <c r="C660" s="42" t="s">
        <v>331</v>
      </c>
      <c r="D660" s="8"/>
      <c r="E660" s="8"/>
      <c r="F660" s="301"/>
      <c r="G660" s="8"/>
      <c r="H660" s="8"/>
      <c r="I660" s="8"/>
      <c r="J660" s="8"/>
      <c r="K660" s="8"/>
      <c r="L660" s="8"/>
      <c r="M660" s="8"/>
      <c r="N660" s="8"/>
      <c r="O660" s="8"/>
    </row>
    <row r="661" spans="1:16">
      <c r="A661" s="8"/>
      <c r="B661" s="42"/>
      <c r="C661" s="8"/>
      <c r="D661" s="8" t="s">
        <v>232</v>
      </c>
      <c r="E661" s="8"/>
      <c r="F661" s="301"/>
      <c r="G661" s="8"/>
      <c r="H661" s="573"/>
      <c r="I661" s="573"/>
      <c r="J661" s="573"/>
      <c r="K661" s="424">
        <f ca="1">K395</f>
        <v>35.314091620298356</v>
      </c>
      <c r="L661" s="424">
        <f ca="1">L395</f>
        <v>63.375384853482757</v>
      </c>
      <c r="M661" s="424">
        <f ca="1">M395</f>
        <v>82.466162251761119</v>
      </c>
      <c r="N661" s="424">
        <f ca="1">N395</f>
        <v>70.689825769687317</v>
      </c>
      <c r="O661" s="424">
        <f ca="1">O395</f>
        <v>67.77796827027224</v>
      </c>
    </row>
    <row r="662" spans="1:16">
      <c r="A662" s="8"/>
      <c r="B662" s="42"/>
      <c r="C662" s="8"/>
      <c r="D662" s="8" t="s">
        <v>332</v>
      </c>
      <c r="E662" s="8"/>
      <c r="F662" s="301"/>
      <c r="G662" s="8"/>
      <c r="H662" s="573"/>
      <c r="I662" s="573"/>
      <c r="J662" s="573"/>
      <c r="K662" s="424">
        <f>K634+K625+K602+K590</f>
        <v>-19.77425753703703</v>
      </c>
      <c r="L662" s="424">
        <f>L634+L625+L602+L590</f>
        <v>-37.571089320370362</v>
      </c>
      <c r="M662" s="424">
        <f>M634+M625+M602+M590</f>
        <v>-25.706534798148141</v>
      </c>
      <c r="N662" s="424">
        <f>N634+N625+N602+N590</f>
        <v>-85.029307409259218</v>
      </c>
      <c r="O662" s="424">
        <f>O634+O625+O602+O590</f>
        <v>-79.097030148148136</v>
      </c>
    </row>
    <row r="663" spans="1:16">
      <c r="A663" s="8"/>
      <c r="B663" s="42"/>
      <c r="C663" s="8"/>
      <c r="D663" s="8" t="s">
        <v>333</v>
      </c>
      <c r="E663" s="8"/>
      <c r="F663" s="301"/>
      <c r="G663" s="8"/>
      <c r="H663" s="573"/>
      <c r="I663" s="573"/>
      <c r="J663" s="573"/>
      <c r="K663" s="396">
        <f ca="1">-K710-K720</f>
        <v>-12.806620416564371</v>
      </c>
      <c r="L663" s="396">
        <f ca="1">-L710-L720</f>
        <v>-13.854431898218079</v>
      </c>
      <c r="M663" s="396">
        <f ca="1">-M710-M720</f>
        <v>-16.095341044334631</v>
      </c>
      <c r="N663" s="396">
        <f ca="1">-N710-N720</f>
        <v>-17.768247505008965</v>
      </c>
      <c r="O663" s="396">
        <f ca="1">-O710-O720</f>
        <v>-20.322673152721755</v>
      </c>
    </row>
    <row r="664" spans="1:16">
      <c r="A664" s="8"/>
      <c r="B664" s="8"/>
      <c r="C664" s="8"/>
      <c r="D664" s="42" t="s">
        <v>334</v>
      </c>
      <c r="E664" s="8"/>
      <c r="F664" s="301"/>
      <c r="G664" s="8"/>
      <c r="H664" s="8"/>
      <c r="I664" s="8"/>
      <c r="J664" s="8"/>
      <c r="K664" s="67">
        <f ca="1">SUM(K661:K663)</f>
        <v>2.7332136666969546</v>
      </c>
      <c r="L664" s="67">
        <f ca="1">SUM(L661:L663)</f>
        <v>11.949863634894315</v>
      </c>
      <c r="M664" s="67">
        <f ca="1">SUM(M661:M663)</f>
        <v>40.664286409278347</v>
      </c>
      <c r="N664" s="67">
        <f ca="1">SUM(N661:N663)</f>
        <v>-32.107729144580865</v>
      </c>
      <c r="O664" s="67">
        <f ca="1">SUM(O661:O663)</f>
        <v>-31.641735030597651</v>
      </c>
    </row>
    <row r="665" spans="1:16">
      <c r="A665" s="8"/>
      <c r="B665" s="8"/>
      <c r="C665" s="42"/>
      <c r="D665" s="8"/>
      <c r="E665" s="8"/>
      <c r="F665" s="301"/>
      <c r="G665" s="8"/>
      <c r="H665" s="8"/>
      <c r="I665" s="8"/>
      <c r="J665" s="8"/>
      <c r="K665" s="8"/>
      <c r="L665" s="8"/>
      <c r="M665" s="8"/>
      <c r="N665" s="8"/>
      <c r="O665" s="8"/>
    </row>
    <row r="666" spans="1:16">
      <c r="A666" s="8"/>
      <c r="B666" s="8"/>
      <c r="C666" s="8"/>
      <c r="D666" s="8" t="s">
        <v>335</v>
      </c>
      <c r="E666" s="8"/>
      <c r="F666" s="301"/>
      <c r="G666" s="8"/>
      <c r="H666" s="8"/>
      <c r="I666" s="8"/>
      <c r="J666" s="8"/>
      <c r="K666" s="398">
        <f>J668</f>
        <v>79.097030148148121</v>
      </c>
      <c r="L666" s="398">
        <f ca="1">K668</f>
        <v>76.363816481451167</v>
      </c>
      <c r="M666" s="398">
        <f ca="1">L668</f>
        <v>64.413952846556867</v>
      </c>
      <c r="N666" s="398">
        <f ca="1">M668</f>
        <v>23.749666437273433</v>
      </c>
      <c r="O666" s="398">
        <f ca="1">N668</f>
        <v>55.857395579371136</v>
      </c>
    </row>
    <row r="667" spans="1:16">
      <c r="A667" s="8"/>
      <c r="B667" s="8"/>
      <c r="C667" s="8"/>
      <c r="D667" s="8" t="s">
        <v>319</v>
      </c>
      <c r="E667" s="8"/>
      <c r="F667" s="301"/>
      <c r="G667" s="8"/>
      <c r="H667" s="8"/>
      <c r="I667" s="8"/>
      <c r="J667" s="35"/>
      <c r="K667" s="656">
        <f ca="1">-MIN(K664+K577,K666)</f>
        <v>-2.7332136666969546</v>
      </c>
      <c r="L667" s="656">
        <f t="shared" ref="L667:O667" ca="1" si="81">-MIN(L664+L577,L666)</f>
        <v>-11.949863634894315</v>
      </c>
      <c r="M667" s="656">
        <f t="shared" ca="1" si="81"/>
        <v>-40.664286409278347</v>
      </c>
      <c r="N667" s="656">
        <f t="shared" ca="1" si="81"/>
        <v>32.107729144640096</v>
      </c>
      <c r="O667" s="656">
        <f t="shared" ca="1" si="81"/>
        <v>31.641735022289232</v>
      </c>
      <c r="P667" s="657" t="s">
        <v>381</v>
      </c>
    </row>
    <row r="668" spans="1:16">
      <c r="A668" s="8"/>
      <c r="B668" s="8"/>
      <c r="C668" s="8"/>
      <c r="D668" s="8" t="s">
        <v>336</v>
      </c>
      <c r="E668" s="8"/>
      <c r="F668" s="301"/>
      <c r="G668" s="8"/>
      <c r="H668" s="8"/>
      <c r="I668" s="381"/>
      <c r="J668" s="81">
        <f>J438</f>
        <v>79.097030148148121</v>
      </c>
      <c r="K668" s="81">
        <f ca="1">SUM(K666:K667)</f>
        <v>76.363816481451167</v>
      </c>
      <c r="L668" s="81">
        <f ca="1">SUM(L666:L667)</f>
        <v>64.413952846556853</v>
      </c>
      <c r="M668" s="81">
        <f ca="1">SUM(M666:M667)</f>
        <v>23.74966643727852</v>
      </c>
      <c r="N668" s="81">
        <f ca="1">SUM(N666:N667)</f>
        <v>55.857395581913529</v>
      </c>
      <c r="O668" s="81">
        <f ca="1">SUM(O666:O667)</f>
        <v>87.499130601660369</v>
      </c>
    </row>
    <row r="669" spans="1:16" ht="6" customHeight="1">
      <c r="A669" s="8"/>
      <c r="B669" s="8"/>
      <c r="C669" s="8"/>
      <c r="D669" s="8"/>
      <c r="E669" s="8"/>
      <c r="F669" s="301"/>
      <c r="G669" s="8"/>
      <c r="H669" s="8"/>
      <c r="I669" s="8"/>
      <c r="J669" s="8"/>
      <c r="K669" s="8"/>
      <c r="L669" s="8"/>
      <c r="M669" s="8"/>
      <c r="N669" s="8"/>
      <c r="O669" s="8"/>
    </row>
    <row r="670" spans="1:16">
      <c r="A670" s="8"/>
      <c r="B670" s="8"/>
      <c r="C670" s="8"/>
      <c r="D670" s="8" t="s">
        <v>133</v>
      </c>
      <c r="E670" s="8"/>
      <c r="F670" s="301"/>
      <c r="G670" s="8"/>
      <c r="H670" s="8"/>
      <c r="I670" s="8"/>
      <c r="J670" s="8"/>
      <c r="K670" s="569">
        <f>K593</f>
        <v>3.2500000000000001E-2</v>
      </c>
      <c r="L670" s="569">
        <f ca="1">L593</f>
        <v>3.2500000000000001E-2</v>
      </c>
      <c r="M670" s="569">
        <f ca="1">M593</f>
        <v>3.2500000000000001E-2</v>
      </c>
      <c r="N670" s="569">
        <f ca="1">N593</f>
        <v>2.75E-2</v>
      </c>
      <c r="O670" s="569">
        <f ca="1">O593</f>
        <v>2.5000000000000001E-2</v>
      </c>
    </row>
    <row r="671" spans="1:16">
      <c r="A671" s="8"/>
      <c r="B671" s="8"/>
      <c r="C671" s="8"/>
      <c r="D671" s="8" t="s">
        <v>320</v>
      </c>
      <c r="E671" s="8"/>
      <c r="F671" s="301"/>
      <c r="G671" s="8"/>
      <c r="H671" s="8"/>
      <c r="I671" s="8"/>
      <c r="J671" s="8"/>
      <c r="K671" s="569">
        <f>K670-K657</f>
        <v>2.5000000000000001E-2</v>
      </c>
      <c r="L671" s="569">
        <f t="shared" ref="L671:O671" ca="1" si="82">L670-L657</f>
        <v>2.5000000000000001E-2</v>
      </c>
      <c r="M671" s="569">
        <f t="shared" ca="1" si="82"/>
        <v>2.5000000000000001E-2</v>
      </c>
      <c r="N671" s="569">
        <f t="shared" ca="1" si="82"/>
        <v>1.7500000000000002E-2</v>
      </c>
      <c r="O671" s="569">
        <f t="shared" ca="1" si="82"/>
        <v>1.5000000000000001E-2</v>
      </c>
    </row>
    <row r="672" spans="1:16">
      <c r="A672" s="8"/>
      <c r="B672" s="8"/>
      <c r="C672" s="8"/>
      <c r="D672" s="42" t="s">
        <v>321</v>
      </c>
      <c r="E672" s="8"/>
      <c r="F672" s="301"/>
      <c r="G672" s="8"/>
      <c r="H672" s="8"/>
      <c r="I672" s="8"/>
      <c r="J672" s="8"/>
      <c r="K672" s="571">
        <f ca="1">AVERAGE( K666, K668 ) * K$671</f>
        <v>1.9432605828699914</v>
      </c>
      <c r="L672" s="571">
        <f t="shared" ref="L672:O672" ca="1" si="83">AVERAGE( L666, L668 ) * L$671</f>
        <v>1.7597221166001003</v>
      </c>
      <c r="M672" s="571">
        <f t="shared" ca="1" si="83"/>
        <v>1.1020452410479424</v>
      </c>
      <c r="N672" s="571">
        <f t="shared" ca="1" si="83"/>
        <v>0.69656179266788609</v>
      </c>
      <c r="O672" s="571">
        <f t="shared" ca="1" si="83"/>
        <v>1.0751739463577363</v>
      </c>
    </row>
    <row r="673" spans="1:15" ht="6" customHeight="1">
      <c r="A673" s="8"/>
      <c r="B673" s="8"/>
      <c r="C673" s="8"/>
      <c r="D673" s="8"/>
      <c r="E673" s="8"/>
      <c r="F673" s="301"/>
      <c r="G673" s="8"/>
      <c r="H673" s="8"/>
      <c r="I673" s="8"/>
      <c r="J673" s="8"/>
      <c r="K673" s="8"/>
      <c r="L673" s="8"/>
      <c r="M673" s="8"/>
      <c r="N673" s="8"/>
      <c r="O673" s="8"/>
    </row>
    <row r="674" spans="1:15">
      <c r="A674" s="8"/>
      <c r="B674" s="8"/>
      <c r="C674" s="8"/>
      <c r="D674" s="8"/>
      <c r="E674" s="8"/>
      <c r="F674" s="301"/>
      <c r="G674" s="8"/>
      <c r="H674" s="8"/>
      <c r="I674" s="8"/>
      <c r="J674" s="8"/>
      <c r="K674" s="8"/>
      <c r="L674" s="8"/>
      <c r="M674" s="8"/>
      <c r="N674" s="8"/>
      <c r="O674" s="8"/>
    </row>
    <row r="675" spans="1:15">
      <c r="A675" s="8"/>
      <c r="B675" s="8"/>
      <c r="C675" s="42" t="s">
        <v>337</v>
      </c>
      <c r="D675" s="8"/>
      <c r="E675" s="8"/>
      <c r="F675" s="301"/>
      <c r="G675" s="8"/>
      <c r="H675" s="8"/>
      <c r="I675" s="8"/>
      <c r="J675" s="8"/>
      <c r="K675" s="8"/>
      <c r="L675" s="8"/>
      <c r="M675" s="8"/>
      <c r="N675" s="8"/>
      <c r="O675" s="8"/>
    </row>
    <row r="676" spans="1:15">
      <c r="A676" s="8"/>
      <c r="B676" s="42"/>
      <c r="C676" s="8"/>
      <c r="D676" s="8" t="s">
        <v>338</v>
      </c>
      <c r="E676" s="8"/>
      <c r="F676" s="301"/>
      <c r="G676" s="8"/>
      <c r="H676" s="573"/>
      <c r="I676" s="573"/>
      <c r="J676" s="424">
        <f t="shared" ref="J676:O676" si="84">$I$150*J555+$I$151*J556</f>
        <v>113.25</v>
      </c>
      <c r="K676" s="424">
        <f t="shared" si="84"/>
        <v>119.5204968864536</v>
      </c>
      <c r="L676" s="424">
        <f t="shared" si="84"/>
        <v>119.33269596624659</v>
      </c>
      <c r="M676" s="424">
        <f t="shared" si="84"/>
        <v>117.62596832830585</v>
      </c>
      <c r="N676" s="424">
        <f t="shared" si="84"/>
        <v>124.18993663615575</v>
      </c>
      <c r="O676" s="424">
        <f t="shared" si="84"/>
        <v>129.29024074498059</v>
      </c>
    </row>
    <row r="677" spans="1:15">
      <c r="A677" s="8"/>
      <c r="B677" s="42"/>
      <c r="C677" s="8"/>
      <c r="D677" s="8" t="s">
        <v>339</v>
      </c>
      <c r="E677" s="8"/>
      <c r="F677" s="301"/>
      <c r="G677" s="8"/>
      <c r="H677" s="573"/>
      <c r="I677" s="573"/>
      <c r="J677" s="424">
        <f>I147</f>
        <v>125</v>
      </c>
      <c r="K677" s="424">
        <f>MIN($J$677,J676)</f>
        <v>113.25</v>
      </c>
      <c r="L677" s="424">
        <f>MIN($J$677,K676)</f>
        <v>119.5204968864536</v>
      </c>
      <c r="M677" s="424">
        <f>MIN($J$677,L676)</f>
        <v>119.33269596624659</v>
      </c>
      <c r="N677" s="424">
        <f>MIN($J$677,M676)</f>
        <v>117.62596832830585</v>
      </c>
      <c r="O677" s="424">
        <f>MIN($J$677,N676)</f>
        <v>124.18993663615575</v>
      </c>
    </row>
    <row r="678" spans="1:15">
      <c r="A678" s="8"/>
      <c r="B678" s="42"/>
      <c r="C678" s="8"/>
      <c r="D678" s="8"/>
      <c r="E678" s="8"/>
      <c r="F678" s="301"/>
      <c r="G678" s="8"/>
      <c r="H678" s="573"/>
      <c r="I678" s="573"/>
      <c r="J678" s="573"/>
      <c r="K678" s="424"/>
      <c r="L678" s="424"/>
      <c r="M678" s="424"/>
      <c r="N678" s="424"/>
      <c r="O678" s="424"/>
    </row>
    <row r="679" spans="1:15">
      <c r="A679" s="8"/>
      <c r="B679" s="8"/>
      <c r="C679" s="8"/>
      <c r="D679" s="8" t="s">
        <v>340</v>
      </c>
      <c r="E679" s="8"/>
      <c r="F679" s="301"/>
      <c r="G679" s="8"/>
      <c r="H679" s="8"/>
      <c r="I679" s="8"/>
      <c r="J679" s="8"/>
      <c r="K679" s="398">
        <f>J682</f>
        <v>45.902969851851879</v>
      </c>
      <c r="L679" s="398">
        <f ca="1">K682</f>
        <v>36.886183518548833</v>
      </c>
      <c r="M679" s="398">
        <f ca="1">L682</f>
        <v>55.106544039896733</v>
      </c>
      <c r="N679" s="398">
        <f ca="1">M682</f>
        <v>95.583029528973157</v>
      </c>
      <c r="O679" s="398">
        <f ca="1">N682</f>
        <v>61.768572748934709</v>
      </c>
    </row>
    <row r="680" spans="1:15" ht="13.35" customHeight="1">
      <c r="A680" s="8"/>
      <c r="B680" s="8"/>
      <c r="C680" s="8"/>
      <c r="D680" s="8" t="s">
        <v>341</v>
      </c>
      <c r="E680" s="8"/>
      <c r="F680" s="301"/>
      <c r="G680" s="8"/>
      <c r="H680" s="8"/>
      <c r="I680" s="8"/>
      <c r="J680" s="8"/>
      <c r="K680" s="398">
        <f ca="1">-K667</f>
        <v>2.7332136666969546</v>
      </c>
      <c r="L680" s="398">
        <f ca="1">-L667</f>
        <v>11.949863634894315</v>
      </c>
      <c r="M680" s="398">
        <f ca="1">-M667</f>
        <v>40.664286409278347</v>
      </c>
      <c r="N680" s="398">
        <f ca="1">-N667</f>
        <v>-32.107729144640096</v>
      </c>
      <c r="O680" s="398">
        <f ca="1">-O667</f>
        <v>-31.641735022289232</v>
      </c>
    </row>
    <row r="681" spans="1:15" ht="13.35" customHeight="1">
      <c r="A681" s="8"/>
      <c r="B681" s="8"/>
      <c r="C681" s="8"/>
      <c r="D681" s="8" t="s">
        <v>342</v>
      </c>
      <c r="E681" s="8"/>
      <c r="F681" s="301"/>
      <c r="G681" s="8"/>
      <c r="H681" s="8"/>
      <c r="I681" s="8"/>
      <c r="J681" s="35"/>
      <c r="K681" s="518">
        <f>K677-J677</f>
        <v>-11.75</v>
      </c>
      <c r="L681" s="518">
        <f>L677-K677</f>
        <v>6.2704968864535999</v>
      </c>
      <c r="M681" s="518">
        <f>M677-L677</f>
        <v>-0.18780092020701034</v>
      </c>
      <c r="N681" s="518">
        <f>N677-M677</f>
        <v>-1.7067276379407446</v>
      </c>
      <c r="O681" s="518">
        <f>O677-N677</f>
        <v>6.5639683078499047</v>
      </c>
    </row>
    <row r="682" spans="1:15" ht="13.35" customHeight="1">
      <c r="A682" s="8"/>
      <c r="B682" s="8"/>
      <c r="C682" s="8"/>
      <c r="D682" s="8" t="s">
        <v>343</v>
      </c>
      <c r="E682" s="8"/>
      <c r="F682" s="301"/>
      <c r="G682" s="8"/>
      <c r="H682" s="8"/>
      <c r="I682" s="381"/>
      <c r="J682" s="81">
        <f>J677-J668</f>
        <v>45.902969851851879</v>
      </c>
      <c r="K682" s="81">
        <f ca="1">SUM(K679:K681)</f>
        <v>36.886183518548833</v>
      </c>
      <c r="L682" s="81">
        <f ca="1">SUM(L679:L681)</f>
        <v>55.106544039896747</v>
      </c>
      <c r="M682" s="81">
        <f ca="1">SUM(M679:M681)</f>
        <v>95.583029528968069</v>
      </c>
      <c r="N682" s="81">
        <f ca="1">SUM(N679:N681)</f>
        <v>61.768572746392316</v>
      </c>
      <c r="O682" s="81">
        <f ca="1">SUM(O679:O681)</f>
        <v>36.690806034495381</v>
      </c>
    </row>
    <row r="683" spans="1:15" ht="13.35" customHeight="1">
      <c r="A683" s="8"/>
      <c r="B683" s="42"/>
      <c r="C683" s="8"/>
      <c r="D683" s="8"/>
      <c r="E683" s="8"/>
      <c r="F683" s="301"/>
      <c r="G683" s="8"/>
      <c r="H683" s="573"/>
      <c r="I683" s="573"/>
      <c r="J683" s="573"/>
      <c r="K683" s="424"/>
      <c r="L683" s="424"/>
      <c r="M683" s="424"/>
      <c r="N683" s="424"/>
      <c r="O683" s="424"/>
    </row>
    <row r="684" spans="1:15" ht="13.35" customHeight="1">
      <c r="A684" s="8"/>
      <c r="B684" s="8"/>
      <c r="C684" s="8"/>
      <c r="D684" s="8" t="s">
        <v>344</v>
      </c>
      <c r="E684" s="8"/>
      <c r="F684" s="301"/>
      <c r="G684" s="8"/>
      <c r="H684" s="8"/>
      <c r="I684" s="8"/>
      <c r="J684" s="8"/>
      <c r="K684" s="569">
        <f>I153</f>
        <v>2.5000000000000001E-3</v>
      </c>
      <c r="L684" s="569">
        <f>K684</f>
        <v>2.5000000000000001E-3</v>
      </c>
      <c r="M684" s="569">
        <f>L684</f>
        <v>2.5000000000000001E-3</v>
      </c>
      <c r="N684" s="569">
        <f>M684</f>
        <v>2.5000000000000001E-3</v>
      </c>
      <c r="O684" s="569">
        <f>N684</f>
        <v>2.5000000000000001E-3</v>
      </c>
    </row>
    <row r="685" spans="1:15" ht="13.35" customHeight="1">
      <c r="A685" s="8"/>
      <c r="B685" s="8"/>
      <c r="C685" s="8"/>
      <c r="D685" s="42" t="s">
        <v>345</v>
      </c>
      <c r="E685" s="8"/>
      <c r="F685" s="301"/>
      <c r="G685" s="8"/>
      <c r="H685" s="8"/>
      <c r="I685" s="8"/>
      <c r="J685" s="8"/>
      <c r="K685" s="571">
        <f>K684*J682</f>
        <v>0.11475742462962969</v>
      </c>
      <c r="L685" s="571">
        <f ca="1">L684*K682</f>
        <v>9.221545879637208E-2</v>
      </c>
      <c r="M685" s="571">
        <f ca="1">M684*L682</f>
        <v>0.13776636009974186</v>
      </c>
      <c r="N685" s="571">
        <f ca="1">N684*M682</f>
        <v>0.23895757382242017</v>
      </c>
      <c r="O685" s="571">
        <f ca="1">O684*N682</f>
        <v>0.15442143186598078</v>
      </c>
    </row>
    <row r="686" spans="1:15" ht="13.35" customHeight="1">
      <c r="A686" s="8"/>
      <c r="B686" s="42"/>
      <c r="C686" s="8"/>
      <c r="D686" s="8"/>
      <c r="E686" s="8"/>
      <c r="F686" s="301"/>
      <c r="G686" s="8"/>
      <c r="H686" s="573"/>
      <c r="I686" s="573"/>
      <c r="J686" s="573"/>
      <c r="K686" s="424"/>
      <c r="L686" s="424"/>
      <c r="M686" s="424"/>
      <c r="N686" s="424"/>
      <c r="O686" s="424"/>
    </row>
    <row r="687" spans="1:15" ht="13.35" customHeight="1">
      <c r="A687" s="8"/>
      <c r="B687" s="42"/>
      <c r="C687" s="8"/>
      <c r="D687" s="8"/>
      <c r="E687" s="8"/>
      <c r="F687" s="301"/>
      <c r="G687" s="8"/>
      <c r="H687" s="573"/>
      <c r="I687" s="573"/>
      <c r="J687" s="573"/>
      <c r="K687" s="424"/>
      <c r="L687" s="424"/>
      <c r="M687" s="424"/>
      <c r="N687" s="424"/>
      <c r="O687" s="424"/>
    </row>
    <row r="688" spans="1:15" ht="13.35" customHeight="1">
      <c r="A688" s="8"/>
      <c r="B688" s="42"/>
      <c r="C688" s="42" t="s">
        <v>210</v>
      </c>
      <c r="D688" s="8"/>
      <c r="E688" s="8"/>
      <c r="F688" s="301"/>
      <c r="G688" s="8"/>
      <c r="H688" s="573"/>
      <c r="I688" s="573"/>
      <c r="J688" s="573"/>
      <c r="K688" s="424"/>
      <c r="L688" s="424"/>
      <c r="M688" s="424"/>
      <c r="N688" s="424"/>
      <c r="O688" s="424"/>
    </row>
    <row r="689" spans="1:15" ht="13.35" customHeight="1">
      <c r="A689" s="8"/>
      <c r="B689" s="8"/>
      <c r="C689" s="8"/>
      <c r="D689" s="8" t="s">
        <v>208</v>
      </c>
      <c r="E689" s="8"/>
      <c r="F689" s="301"/>
      <c r="G689" s="8"/>
      <c r="H689" s="8"/>
      <c r="I689" s="8"/>
      <c r="J689" s="8"/>
      <c r="K689" s="398">
        <f ca="1">K685+K672+K643+K629+K607+K595+K583</f>
        <v>38.047166724907015</v>
      </c>
      <c r="L689" s="398">
        <f t="shared" ref="L689:O689" ca="1" si="85">L685+L672+L643+L629+L607+L595+L583</f>
        <v>37.282661259957948</v>
      </c>
      <c r="M689" s="398">
        <f t="shared" ca="1" si="85"/>
        <v>35.410003882812589</v>
      </c>
      <c r="N689" s="398">
        <f t="shared" ca="1" si="85"/>
        <v>42.846193321854408</v>
      </c>
      <c r="O689" s="398">
        <f t="shared" ca="1" si="85"/>
        <v>39.28428911385322</v>
      </c>
    </row>
    <row r="690" spans="1:15" ht="13.35" customHeight="1">
      <c r="A690" s="8"/>
      <c r="B690" s="8"/>
      <c r="C690" s="8"/>
      <c r="D690" s="8" t="s">
        <v>209</v>
      </c>
      <c r="E690" s="8"/>
      <c r="F690" s="301"/>
      <c r="G690" s="8"/>
      <c r="H690" s="8"/>
      <c r="I690" s="8"/>
      <c r="J690" s="8"/>
      <c r="K690" s="518">
        <f>K642</f>
        <v>8.3051881655555526</v>
      </c>
      <c r="L690" s="518">
        <f t="shared" ref="L690:O690" ca="1" si="86">L642</f>
        <v>8.6540060685088864</v>
      </c>
      <c r="M690" s="518">
        <f t="shared" ca="1" si="86"/>
        <v>9.01747432338626</v>
      </c>
      <c r="N690" s="518">
        <f t="shared" ca="1" si="86"/>
        <v>0</v>
      </c>
      <c r="O690" s="518">
        <f t="shared" ca="1" si="86"/>
        <v>0</v>
      </c>
    </row>
    <row r="691" spans="1:15" ht="13.35" customHeight="1" thickBot="1">
      <c r="A691" s="8"/>
      <c r="B691" s="8"/>
      <c r="C691" s="42"/>
      <c r="D691" s="42" t="s">
        <v>346</v>
      </c>
      <c r="E691" s="8"/>
      <c r="F691" s="301"/>
      <c r="G691" s="8"/>
      <c r="H691" s="8"/>
      <c r="I691" s="8"/>
      <c r="J691" s="8"/>
      <c r="K691" s="75">
        <f ca="1">SUM(K689:K690)</f>
        <v>46.352354890462564</v>
      </c>
      <c r="L691" s="75">
        <f ca="1">SUM(L689:L690)</f>
        <v>45.936667328466832</v>
      </c>
      <c r="M691" s="75">
        <f ca="1">SUM(M689:M690)</f>
        <v>44.427478206198849</v>
      </c>
      <c r="N691" s="75">
        <f ca="1">SUM(N689:N690)</f>
        <v>42.846193321854408</v>
      </c>
      <c r="O691" s="75">
        <f ca="1">SUM(O689:O690)</f>
        <v>39.28428911385322</v>
      </c>
    </row>
    <row r="692" spans="1:15" ht="13.35" customHeight="1" thickTop="1">
      <c r="A692" s="8"/>
      <c r="B692" s="8"/>
      <c r="C692" s="8"/>
      <c r="D692" s="8"/>
      <c r="E692" s="8"/>
      <c r="F692" s="301"/>
      <c r="G692" s="8"/>
      <c r="H692" s="8"/>
      <c r="I692" s="8"/>
      <c r="J692" s="8"/>
      <c r="K692" s="398"/>
      <c r="L692" s="398"/>
      <c r="M692" s="398"/>
      <c r="N692" s="398"/>
      <c r="O692" s="398"/>
    </row>
    <row r="693" spans="1:15" ht="13.35" customHeight="1">
      <c r="A693" s="8"/>
      <c r="B693" s="35"/>
      <c r="C693" s="35"/>
      <c r="D693" s="35"/>
      <c r="E693" s="35"/>
      <c r="F693" s="336"/>
      <c r="G693" s="35"/>
      <c r="H693" s="35"/>
      <c r="I693" s="35"/>
      <c r="J693" s="35"/>
      <c r="K693" s="35"/>
      <c r="L693" s="35"/>
      <c r="M693" s="35"/>
      <c r="N693" s="35"/>
      <c r="O693" s="35"/>
    </row>
    <row r="694" spans="1:15" ht="13.35" customHeight="1">
      <c r="A694" s="8"/>
      <c r="B694" s="8"/>
      <c r="C694" s="8"/>
      <c r="D694" s="8"/>
      <c r="E694" s="8"/>
      <c r="F694" s="301"/>
      <c r="G694" s="8"/>
      <c r="H694" s="8"/>
      <c r="I694" s="8"/>
      <c r="J694" s="8"/>
      <c r="K694" s="398"/>
      <c r="L694" s="398"/>
      <c r="M694" s="398"/>
      <c r="N694" s="398"/>
      <c r="O694" s="398"/>
    </row>
    <row r="695" spans="1:15" ht="13.35" customHeight="1">
      <c r="A695" s="8"/>
      <c r="B695" s="8"/>
      <c r="C695" s="8"/>
      <c r="D695" s="8"/>
      <c r="E695" s="8"/>
      <c r="F695" s="301"/>
      <c r="G695" s="8"/>
      <c r="H695" s="8"/>
      <c r="I695" s="8"/>
      <c r="J695" s="8"/>
      <c r="K695" s="398"/>
      <c r="L695" s="398"/>
      <c r="M695" s="398"/>
      <c r="N695" s="398"/>
      <c r="O695" s="398"/>
    </row>
    <row r="696" spans="1:15" ht="13.35" customHeight="1">
      <c r="A696" s="8"/>
      <c r="B696" s="8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38" t="str">
        <f>$O$236</f>
        <v>CURRENTLY RUNNING: BASE CASE SCENARIO</v>
      </c>
    </row>
    <row r="697" spans="1:15" ht="22.8" customHeight="1">
      <c r="A697" s="8"/>
      <c r="B697" s="86" t="str">
        <f>B566</f>
        <v>Moonbucks Corp.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8.75" customHeight="1">
      <c r="A698" s="8"/>
      <c r="B698" s="293" t="s">
        <v>347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6" customHeight="1" thickBot="1">
      <c r="A699" s="8"/>
      <c r="B699" s="297"/>
      <c r="C699" s="415"/>
      <c r="D699" s="415"/>
      <c r="E699" s="415"/>
      <c r="F699" s="415"/>
      <c r="G699" s="415"/>
      <c r="H699" s="415"/>
      <c r="I699" s="415"/>
      <c r="J699" s="415"/>
      <c r="K699" s="415"/>
      <c r="L699" s="415"/>
      <c r="M699" s="415"/>
      <c r="N699" s="415"/>
      <c r="O699" s="415"/>
    </row>
    <row r="700" spans="1:15" ht="13.35" customHeight="1">
      <c r="A700" s="8"/>
      <c r="B700" s="416" t="s">
        <v>224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90"/>
    </row>
    <row r="701" spans="1:15" ht="13.35" customHeight="1">
      <c r="A701" s="8"/>
      <c r="B701" s="8"/>
      <c r="C701" s="8"/>
      <c r="D701" s="8"/>
      <c r="E701" s="8"/>
      <c r="F701" s="8"/>
      <c r="G701" s="8"/>
      <c r="H701" s="3"/>
      <c r="I701" s="3"/>
      <c r="J701" s="3"/>
      <c r="K701" s="303" t="s">
        <v>170</v>
      </c>
      <c r="L701" s="113"/>
      <c r="M701" s="113"/>
      <c r="N701" s="113"/>
      <c r="O701" s="113"/>
    </row>
    <row r="702" spans="1:15" ht="13.35" customHeight="1">
      <c r="A702" s="8"/>
      <c r="B702" s="8"/>
      <c r="C702" s="8"/>
      <c r="D702" s="8"/>
      <c r="E702" s="8"/>
      <c r="F702" s="8"/>
      <c r="G702" s="419"/>
      <c r="H702" s="304"/>
      <c r="I702" s="304"/>
      <c r="J702" s="304">
        <f t="shared" ref="J702:O702" si="87">J$242</f>
        <v>2021</v>
      </c>
      <c r="K702" s="420">
        <f t="shared" si="87"/>
        <v>2022</v>
      </c>
      <c r="L702" s="420">
        <f t="shared" si="87"/>
        <v>2023</v>
      </c>
      <c r="M702" s="420">
        <f t="shared" si="87"/>
        <v>2024</v>
      </c>
      <c r="N702" s="420">
        <f t="shared" si="87"/>
        <v>2025</v>
      </c>
      <c r="O702" s="420">
        <f t="shared" si="87"/>
        <v>2026</v>
      </c>
    </row>
    <row r="703" spans="1:15" ht="6" customHeight="1">
      <c r="A703" s="8"/>
      <c r="B703" s="8"/>
      <c r="C703" s="8"/>
      <c r="D703" s="8"/>
      <c r="E703" s="8"/>
      <c r="F703" s="301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3.35" customHeight="1">
      <c r="A704" s="8"/>
      <c r="B704" s="42"/>
      <c r="C704" s="42" t="s">
        <v>50</v>
      </c>
      <c r="D704" s="8"/>
      <c r="E704" s="8"/>
      <c r="F704" s="301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3.35" customHeight="1">
      <c r="A705" s="8"/>
      <c r="B705" s="8"/>
      <c r="C705" s="8"/>
      <c r="D705" s="8" t="s">
        <v>315</v>
      </c>
      <c r="E705" s="8"/>
      <c r="F705" s="301"/>
      <c r="G705" s="307"/>
      <c r="H705" s="8"/>
      <c r="I705" s="8"/>
      <c r="J705" s="8"/>
      <c r="K705" s="398">
        <f>J707</f>
        <v>100</v>
      </c>
      <c r="L705" s="398">
        <f>K707</f>
        <v>100</v>
      </c>
      <c r="M705" s="398">
        <f>L707</f>
        <v>100</v>
      </c>
      <c r="N705" s="398">
        <f>M707</f>
        <v>100</v>
      </c>
      <c r="O705" s="398">
        <f>N707</f>
        <v>100</v>
      </c>
    </row>
    <row r="706" spans="1:15" ht="13.35" customHeight="1">
      <c r="A706" s="8"/>
      <c r="B706" s="8"/>
      <c r="C706" s="8"/>
      <c r="D706" s="8" t="s">
        <v>348</v>
      </c>
      <c r="E706" s="8"/>
      <c r="F706" s="301"/>
      <c r="G706" s="8"/>
      <c r="H706" s="8"/>
      <c r="I706" s="8"/>
      <c r="J706" s="35"/>
      <c r="K706" s="518">
        <f>G128</f>
        <v>0</v>
      </c>
      <c r="L706" s="518">
        <f>H128</f>
        <v>0</v>
      </c>
      <c r="M706" s="518">
        <f>I128</f>
        <v>0</v>
      </c>
      <c r="N706" s="518">
        <f>J128</f>
        <v>0</v>
      </c>
      <c r="O706" s="518">
        <f>K128</f>
        <v>0</v>
      </c>
    </row>
    <row r="707" spans="1:15" ht="13.35" customHeight="1">
      <c r="A707" s="8"/>
      <c r="B707" s="8"/>
      <c r="C707" s="8"/>
      <c r="D707" s="8" t="s">
        <v>317</v>
      </c>
      <c r="E707" s="8"/>
      <c r="F707" s="301"/>
      <c r="G707" s="8"/>
      <c r="H707" s="8"/>
      <c r="I707" s="8"/>
      <c r="J707" s="81">
        <f>J452</f>
        <v>100</v>
      </c>
      <c r="K707" s="81">
        <f>SUM(K705:K706)</f>
        <v>100</v>
      </c>
      <c r="L707" s="81">
        <f>SUM(L705:L706)</f>
        <v>100</v>
      </c>
      <c r="M707" s="81">
        <f>SUM(M705:M706)</f>
        <v>100</v>
      </c>
      <c r="N707" s="81">
        <f>SUM(N705:N706)</f>
        <v>100</v>
      </c>
      <c r="O707" s="81">
        <f>SUM(O705:O706)</f>
        <v>100</v>
      </c>
    </row>
    <row r="708" spans="1:15" ht="13.35" customHeight="1">
      <c r="A708" s="8"/>
      <c r="B708" s="8"/>
      <c r="C708" s="8"/>
      <c r="D708" s="8"/>
      <c r="E708" s="8"/>
      <c r="F708" s="301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3.35" customHeight="1">
      <c r="A709" s="8"/>
      <c r="B709" s="8"/>
      <c r="C709" s="8"/>
      <c r="D709" s="8" t="s">
        <v>349</v>
      </c>
      <c r="E709" s="8"/>
      <c r="F709" s="301"/>
      <c r="G709" s="8"/>
      <c r="H709" s="8"/>
      <c r="I709" s="8"/>
      <c r="J709" s="8"/>
      <c r="K709" s="572">
        <f>E29</f>
        <v>0.12</v>
      </c>
      <c r="L709" s="572">
        <f>K709</f>
        <v>0.12</v>
      </c>
      <c r="M709" s="572">
        <f>L709</f>
        <v>0.12</v>
      </c>
      <c r="N709" s="572">
        <f>M709</f>
        <v>0.12</v>
      </c>
      <c r="O709" s="572">
        <f>N709</f>
        <v>0.12</v>
      </c>
    </row>
    <row r="710" spans="1:15" ht="13.35" customHeight="1">
      <c r="A710" s="8"/>
      <c r="B710" s="8"/>
      <c r="C710" s="42"/>
      <c r="D710" s="42" t="s">
        <v>350</v>
      </c>
      <c r="E710" s="8"/>
      <c r="F710" s="301"/>
      <c r="G710" s="8"/>
      <c r="H710" s="8"/>
      <c r="I710" s="8"/>
      <c r="J710" s="8"/>
      <c r="K710" s="571">
        <f>K709*AVERAGE(K707,K705)</f>
        <v>12</v>
      </c>
      <c r="L710" s="571">
        <f>L709*AVERAGE(L707,L705)</f>
        <v>12</v>
      </c>
      <c r="M710" s="571">
        <f>M709*AVERAGE(M707,M705)</f>
        <v>12</v>
      </c>
      <c r="N710" s="571">
        <f>N709*AVERAGE(N707,N705)</f>
        <v>12</v>
      </c>
      <c r="O710" s="571">
        <f>O709*AVERAGE(O707,O705)</f>
        <v>12</v>
      </c>
    </row>
    <row r="711" spans="1:15" ht="13.35" customHeight="1">
      <c r="A711" s="8"/>
      <c r="B711" s="8"/>
      <c r="C711" s="8"/>
      <c r="D711" s="8"/>
      <c r="E711" s="8"/>
      <c r="F711" s="301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3.35" customHeight="1">
      <c r="A712" s="8"/>
      <c r="B712" s="8"/>
      <c r="C712" s="8"/>
      <c r="D712" s="8"/>
      <c r="E712" s="8"/>
      <c r="F712" s="301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3.35" customHeight="1">
      <c r="A713" s="8"/>
      <c r="B713" s="42"/>
      <c r="C713" s="42" t="s">
        <v>263</v>
      </c>
      <c r="D713" s="8"/>
      <c r="E713" s="8"/>
      <c r="F713" s="301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3.35" customHeight="1">
      <c r="A714" s="8"/>
      <c r="B714" s="8"/>
      <c r="C714" s="8"/>
      <c r="D714" s="8" t="s">
        <v>315</v>
      </c>
      <c r="E714" s="8"/>
      <c r="F714" s="301"/>
      <c r="G714" s="307"/>
      <c r="H714" s="8"/>
      <c r="I714" s="8"/>
      <c r="J714" s="8"/>
      <c r="K714" s="398">
        <f>J716</f>
        <v>558.28427893070352</v>
      </c>
      <c r="L714" s="398">
        <f>K716</f>
        <v>558.28427893070352</v>
      </c>
      <c r="M714" s="398">
        <f>L716</f>
        <v>558.28427893070352</v>
      </c>
      <c r="N714" s="398">
        <f>M716</f>
        <v>558.28427893070352</v>
      </c>
      <c r="O714" s="398">
        <f>N716</f>
        <v>558.28427893070352</v>
      </c>
    </row>
    <row r="715" spans="1:15" ht="13.35" customHeight="1">
      <c r="A715" s="8"/>
      <c r="B715" s="8"/>
      <c r="C715" s="8"/>
      <c r="D715" s="8" t="s">
        <v>351</v>
      </c>
      <c r="E715" s="8"/>
      <c r="F715" s="301"/>
      <c r="G715" s="8"/>
      <c r="H715" s="8"/>
      <c r="I715" s="8"/>
      <c r="J715" s="35"/>
      <c r="K715" s="518">
        <f>G129</f>
        <v>0</v>
      </c>
      <c r="L715" s="518">
        <f>H129</f>
        <v>0</v>
      </c>
      <c r="M715" s="518">
        <f>I129</f>
        <v>0</v>
      </c>
      <c r="N715" s="518">
        <f>J129</f>
        <v>0</v>
      </c>
      <c r="O715" s="518">
        <f>K129</f>
        <v>0</v>
      </c>
    </row>
    <row r="716" spans="1:15" ht="13.35" customHeight="1">
      <c r="A716" s="8"/>
      <c r="B716" s="8"/>
      <c r="C716" s="8"/>
      <c r="D716" s="8" t="s">
        <v>317</v>
      </c>
      <c r="E716" s="8"/>
      <c r="F716" s="301"/>
      <c r="G716" s="8"/>
      <c r="H716" s="8"/>
      <c r="I716" s="8"/>
      <c r="J716" s="81">
        <f>J453</f>
        <v>558.28427893070352</v>
      </c>
      <c r="K716" s="81">
        <f>SUM(K714:K715)</f>
        <v>558.28427893070352</v>
      </c>
      <c r="L716" s="81">
        <f>SUM(L714:L715)</f>
        <v>558.28427893070352</v>
      </c>
      <c r="M716" s="81">
        <f>SUM(M714:M715)</f>
        <v>558.28427893070352</v>
      </c>
      <c r="N716" s="81">
        <f>SUM(N714:N715)</f>
        <v>558.28427893070352</v>
      </c>
      <c r="O716" s="81">
        <f>SUM(O714:O715)</f>
        <v>558.28427893070352</v>
      </c>
    </row>
    <row r="717" spans="1:15" ht="13.35" customHeight="1">
      <c r="A717" s="8"/>
      <c r="B717" s="8"/>
      <c r="C717" s="8"/>
      <c r="D717" s="8"/>
      <c r="E717" s="8"/>
      <c r="F717" s="301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3.35" customHeight="1">
      <c r="A718" s="8"/>
      <c r="B718" s="8"/>
      <c r="C718" s="8"/>
      <c r="D718" s="8" t="s">
        <v>352</v>
      </c>
      <c r="E718" s="8"/>
      <c r="F718" s="301"/>
      <c r="G718" s="8"/>
      <c r="H718" s="8"/>
      <c r="I718" s="8"/>
      <c r="J718" s="8"/>
      <c r="K718" s="572">
        <f>E30</f>
        <v>0.1</v>
      </c>
      <c r="L718" s="572">
        <f>K718</f>
        <v>0.1</v>
      </c>
      <c r="M718" s="572">
        <f>L718</f>
        <v>0.1</v>
      </c>
      <c r="N718" s="572">
        <f>M718</f>
        <v>0.1</v>
      </c>
      <c r="O718" s="572">
        <f>N718</f>
        <v>0.1</v>
      </c>
    </row>
    <row r="719" spans="1:15" ht="13.35" customHeight="1">
      <c r="A719" s="8"/>
      <c r="B719" s="8"/>
      <c r="C719" s="8"/>
      <c r="D719" s="8" t="s">
        <v>217</v>
      </c>
      <c r="E719" s="8"/>
      <c r="F719" s="301"/>
      <c r="G719" s="8"/>
      <c r="H719" s="8"/>
      <c r="I719" s="8"/>
      <c r="J719" s="8"/>
      <c r="K719" s="398">
        <f ca="1">K363</f>
        <v>8.0662041656437076</v>
      </c>
      <c r="L719" s="398">
        <f ca="1">L363</f>
        <v>18.544318982180791</v>
      </c>
      <c r="M719" s="398">
        <f ca="1">M363</f>
        <v>40.953410443341667</v>
      </c>
      <c r="N719" s="398">
        <f ca="1">N363</f>
        <v>57.682475049448158</v>
      </c>
      <c r="O719" s="398">
        <f ca="1">O363</f>
        <v>83.226731564364968</v>
      </c>
    </row>
    <row r="720" spans="1:15" ht="13.35" customHeight="1">
      <c r="A720" s="8"/>
      <c r="B720" s="8"/>
      <c r="C720" s="42"/>
      <c r="D720" s="42" t="s">
        <v>353</v>
      </c>
      <c r="E720" s="8"/>
      <c r="F720" s="301"/>
      <c r="G720" s="8"/>
      <c r="H720" s="8"/>
      <c r="I720" s="8"/>
      <c r="J720" s="8"/>
      <c r="K720" s="571">
        <f ca="1">MAX(K719*K718,0)</f>
        <v>0.80662041656437078</v>
      </c>
      <c r="L720" s="571">
        <f ca="1">MAX(L719*L718,0)</f>
        <v>1.8544318982180792</v>
      </c>
      <c r="M720" s="571">
        <f ca="1">MAX(M719*M718,0)</f>
        <v>4.0953410443341669</v>
      </c>
      <c r="N720" s="571">
        <f ca="1">MAX(N719*N718,0)</f>
        <v>5.7682475049448163</v>
      </c>
      <c r="O720" s="571">
        <f ca="1">MAX(O719*O718,0)</f>
        <v>8.3226731564364975</v>
      </c>
    </row>
    <row r="721" spans="1:15" ht="13.35" customHeight="1">
      <c r="A721" s="8"/>
      <c r="B721" s="8"/>
      <c r="C721" s="8"/>
      <c r="D721" s="8"/>
      <c r="E721" s="8"/>
      <c r="F721" s="301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3.35" customHeight="1">
      <c r="A722" s="8"/>
      <c r="B722" s="8"/>
      <c r="C722" s="8"/>
      <c r="D722" s="8"/>
      <c r="E722" s="8"/>
      <c r="F722" s="301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3.35" customHeight="1">
      <c r="A723" s="8"/>
      <c r="B723" s="42"/>
      <c r="C723" s="42" t="s">
        <v>264</v>
      </c>
      <c r="D723" s="8"/>
      <c r="E723" s="8"/>
      <c r="F723" s="301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3.35" customHeight="1">
      <c r="A724" s="8"/>
      <c r="B724" s="8"/>
      <c r="C724" s="8"/>
      <c r="D724" s="8" t="s">
        <v>315</v>
      </c>
      <c r="E724" s="8"/>
      <c r="F724" s="301"/>
      <c r="G724" s="8"/>
      <c r="H724" s="8"/>
      <c r="I724" s="8"/>
      <c r="J724" s="8"/>
      <c r="K724" s="398">
        <f>J728</f>
        <v>-25.508037745518493</v>
      </c>
      <c r="L724" s="398">
        <f ca="1">K728</f>
        <v>-18.248453996439157</v>
      </c>
      <c r="M724" s="398">
        <f ca="1">L728</f>
        <v>-1.5585669124764483</v>
      </c>
      <c r="N724" s="398">
        <f ca="1">M728</f>
        <v>35.299502486535282</v>
      </c>
      <c r="O724" s="398">
        <f ca="1">N728</f>
        <v>87.213730031609671</v>
      </c>
    </row>
    <row r="725" spans="1:15" ht="13.35" customHeight="1">
      <c r="A725" s="8"/>
      <c r="B725" s="8"/>
      <c r="C725" s="8"/>
      <c r="D725" s="8" t="s">
        <v>215</v>
      </c>
      <c r="E725" s="8"/>
      <c r="F725" s="301"/>
      <c r="G725" s="8"/>
      <c r="H725" s="8"/>
      <c r="I725" s="8"/>
      <c r="J725" s="8"/>
      <c r="K725" s="658">
        <f ca="1">K$360</f>
        <v>20.066204165643708</v>
      </c>
      <c r="L725" s="658">
        <f t="shared" ref="L725:O725" ca="1" si="88">L$360</f>
        <v>30.544318982180791</v>
      </c>
      <c r="M725" s="658">
        <f t="shared" ca="1" si="88"/>
        <v>52.953410443341667</v>
      </c>
      <c r="N725" s="658">
        <f t="shared" ca="1" si="88"/>
        <v>69.682475049448158</v>
      </c>
      <c r="O725" s="658">
        <f t="shared" ca="1" si="88"/>
        <v>95.226731564364968</v>
      </c>
    </row>
    <row r="726" spans="1:15" ht="13.35" customHeight="1">
      <c r="A726" s="8"/>
      <c r="B726" s="8"/>
      <c r="C726" s="8"/>
      <c r="D726" s="8" t="s">
        <v>350</v>
      </c>
      <c r="E726" s="8"/>
      <c r="F726" s="301"/>
      <c r="G726" s="8"/>
      <c r="H726" s="8"/>
      <c r="I726" s="8"/>
      <c r="J726" s="8"/>
      <c r="K726" s="398">
        <f>-K710</f>
        <v>-12</v>
      </c>
      <c r="L726" s="398">
        <f>-L710</f>
        <v>-12</v>
      </c>
      <c r="M726" s="398">
        <f>-M710</f>
        <v>-12</v>
      </c>
      <c r="N726" s="398">
        <f>-N710</f>
        <v>-12</v>
      </c>
      <c r="O726" s="398">
        <f>-O710</f>
        <v>-12</v>
      </c>
    </row>
    <row r="727" spans="1:15" ht="13.35" customHeight="1">
      <c r="A727" s="8"/>
      <c r="B727" s="8"/>
      <c r="C727" s="8"/>
      <c r="D727" s="8" t="s">
        <v>353</v>
      </c>
      <c r="E727" s="8"/>
      <c r="F727" s="301"/>
      <c r="G727" s="8"/>
      <c r="H727" s="8"/>
      <c r="I727" s="8"/>
      <c r="J727" s="35"/>
      <c r="K727" s="518">
        <f ca="1">-K720</f>
        <v>-0.80662041656437078</v>
      </c>
      <c r="L727" s="518">
        <f ca="1">-L720</f>
        <v>-1.8544318982180792</v>
      </c>
      <c r="M727" s="518">
        <f ca="1">-M720</f>
        <v>-4.0953410443341669</v>
      </c>
      <c r="N727" s="518">
        <f ca="1">-N720</f>
        <v>-5.7682475049448163</v>
      </c>
      <c r="O727" s="518">
        <f ca="1">-O720</f>
        <v>-8.3226731564364975</v>
      </c>
    </row>
    <row r="728" spans="1:15" ht="13.35" customHeight="1">
      <c r="A728" s="8"/>
      <c r="B728" s="8"/>
      <c r="C728" s="8"/>
      <c r="D728" s="42" t="s">
        <v>317</v>
      </c>
      <c r="E728" s="42"/>
      <c r="F728" s="487"/>
      <c r="G728" s="42"/>
      <c r="H728" s="42"/>
      <c r="I728" s="42"/>
      <c r="J728" s="67">
        <f>J454</f>
        <v>-25.508037745518493</v>
      </c>
      <c r="K728" s="67">
        <f ca="1">SUM(K724:K727)</f>
        <v>-18.248453996439157</v>
      </c>
      <c r="L728" s="67">
        <f ca="1">SUM(L724:L727)</f>
        <v>-1.5585669124764452</v>
      </c>
      <c r="M728" s="67">
        <f ca="1">SUM(M724:M727)</f>
        <v>35.299502486531047</v>
      </c>
      <c r="N728" s="67">
        <f ca="1">SUM(N724:N727)</f>
        <v>87.213730031038637</v>
      </c>
      <c r="O728" s="67">
        <f ca="1">SUM(O724:O727)</f>
        <v>162.11778843953812</v>
      </c>
    </row>
    <row r="729" spans="1:15" ht="13.35" customHeight="1">
      <c r="A729" s="8"/>
      <c r="B729" s="8"/>
      <c r="C729" s="8"/>
      <c r="D729" s="8"/>
      <c r="E729" s="8"/>
      <c r="F729" s="301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3.35" customHeight="1">
      <c r="A730" s="8"/>
      <c r="B730" s="35"/>
      <c r="C730" s="35"/>
      <c r="D730" s="35"/>
      <c r="E730" s="35"/>
      <c r="F730" s="336"/>
      <c r="G730" s="35"/>
      <c r="H730" s="35"/>
      <c r="I730" s="35"/>
      <c r="J730" s="35"/>
      <c r="K730" s="35"/>
      <c r="L730" s="35"/>
      <c r="M730" s="35"/>
      <c r="N730" s="35"/>
      <c r="O730" s="35"/>
    </row>
    <row r="731" spans="1:15" ht="13.35" customHeight="1">
      <c r="A731" s="8"/>
      <c r="B731" s="8"/>
      <c r="C731" s="8"/>
      <c r="D731" s="8"/>
      <c r="E731" s="8"/>
      <c r="F731" s="301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3.35" customHeight="1">
      <c r="A732" s="8"/>
      <c r="B732" s="8"/>
      <c r="C732" s="8"/>
      <c r="D732" s="8"/>
      <c r="E732" s="8"/>
      <c r="F732" s="301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3.35" customHeight="1">
      <c r="A733" s="8"/>
      <c r="B733" s="8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38" t="str">
        <f>$O$236</f>
        <v>CURRENTLY RUNNING: BASE CASE SCENARIO</v>
      </c>
    </row>
    <row r="734" spans="1:15" ht="22.8" customHeight="1">
      <c r="A734" s="8"/>
      <c r="B734" s="86" t="str">
        <f>B237</f>
        <v>Moonbucks Corp.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8.75" customHeight="1">
      <c r="A735" s="8"/>
      <c r="B735" s="293" t="s">
        <v>354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3.35" customHeight="1" thickBot="1">
      <c r="A736" s="8"/>
      <c r="B736" s="297"/>
      <c r="C736" s="415"/>
      <c r="D736" s="415"/>
      <c r="E736" s="415"/>
      <c r="F736" s="415"/>
      <c r="G736" s="415"/>
      <c r="H736" s="415"/>
      <c r="I736" s="415"/>
      <c r="J736" s="415"/>
      <c r="K736" s="415"/>
      <c r="L736" s="415"/>
      <c r="M736" s="415"/>
      <c r="N736" s="415"/>
      <c r="O736" s="415"/>
    </row>
    <row r="737" spans="1:15" ht="13.35" customHeight="1">
      <c r="A737" s="8"/>
      <c r="B737" s="416" t="s">
        <v>224</v>
      </c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90"/>
    </row>
    <row r="738" spans="1:15" ht="13.35" customHeight="1">
      <c r="A738" s="8"/>
      <c r="B738" s="8"/>
      <c r="C738" s="8"/>
      <c r="D738" s="8"/>
      <c r="E738" s="8"/>
      <c r="F738" s="8"/>
      <c r="G738" s="8"/>
      <c r="H738" s="3"/>
      <c r="I738" s="3"/>
      <c r="J738" s="3"/>
      <c r="K738" s="303" t="s">
        <v>170</v>
      </c>
      <c r="L738" s="113"/>
      <c r="M738" s="113"/>
      <c r="N738" s="113"/>
      <c r="O738" s="113"/>
    </row>
    <row r="739" spans="1:15" ht="13.35" customHeight="1">
      <c r="A739" s="8"/>
      <c r="B739" s="8"/>
      <c r="C739" s="8"/>
      <c r="D739" s="8"/>
      <c r="E739" s="8"/>
      <c r="F739" s="8"/>
      <c r="G739" s="419"/>
      <c r="H739" s="304"/>
      <c r="I739" s="3"/>
      <c r="J739" s="574" t="s">
        <v>355</v>
      </c>
      <c r="K739" s="420">
        <f>K$242</f>
        <v>2022</v>
      </c>
      <c r="L739" s="420">
        <f>L$242</f>
        <v>2023</v>
      </c>
      <c r="M739" s="420">
        <f>M$242</f>
        <v>2024</v>
      </c>
      <c r="N739" s="420">
        <f>N$242</f>
        <v>2025</v>
      </c>
      <c r="O739" s="420">
        <f>O$242</f>
        <v>2026</v>
      </c>
    </row>
    <row r="740" spans="1:15" ht="6" customHeight="1">
      <c r="A740" s="8"/>
      <c r="B740" s="8"/>
      <c r="C740" s="8"/>
      <c r="D740" s="8"/>
      <c r="E740" s="8"/>
      <c r="F740" s="301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3.35" customHeight="1">
      <c r="A741" s="8"/>
      <c r="B741" s="575" t="s">
        <v>356</v>
      </c>
      <c r="C741" s="576"/>
      <c r="D741" s="576"/>
      <c r="E741" s="576"/>
      <c r="F741" s="577"/>
      <c r="G741" s="121"/>
      <c r="H741" s="121"/>
      <c r="I741" s="121"/>
      <c r="J741" s="121"/>
      <c r="K741" s="121"/>
      <c r="L741" s="121"/>
      <c r="M741" s="121"/>
      <c r="N741" s="121"/>
      <c r="O741" s="122"/>
    </row>
    <row r="742" spans="1:15" ht="13.35" customHeight="1">
      <c r="A742" s="8"/>
      <c r="B742" s="40"/>
      <c r="C742" s="16" t="s">
        <v>253</v>
      </c>
      <c r="D742" s="16"/>
      <c r="E742" s="16"/>
      <c r="F742" s="578"/>
      <c r="G742" s="8"/>
      <c r="H742" s="8"/>
      <c r="I742" s="81"/>
      <c r="J742" s="81">
        <f t="shared" ref="J742:O742" si="89">J425</f>
        <v>0</v>
      </c>
      <c r="K742" s="81">
        <f t="shared" ca="1" si="89"/>
        <v>0</v>
      </c>
      <c r="L742" s="81">
        <f t="shared" ca="1" si="89"/>
        <v>0</v>
      </c>
      <c r="M742" s="81">
        <f t="shared" ca="1" si="89"/>
        <v>-5.1159076974727213E-12</v>
      </c>
      <c r="N742" s="81">
        <f t="shared" ca="1" si="89"/>
        <v>-2.4828352707118029E-9</v>
      </c>
      <c r="O742" s="78">
        <f t="shared" ca="1" si="89"/>
        <v>-3.0572111597848561E-7</v>
      </c>
    </row>
    <row r="743" spans="1:15" ht="13.35" customHeight="1">
      <c r="A743" s="8"/>
      <c r="B743" s="40"/>
      <c r="C743" s="16" t="s">
        <v>33</v>
      </c>
      <c r="D743" s="16"/>
      <c r="E743" s="16"/>
      <c r="F743" s="578"/>
      <c r="G743" s="8"/>
      <c r="H743" s="8"/>
      <c r="I743" s="398"/>
      <c r="J743" s="398">
        <f t="shared" ref="J743:O743" si="90">J438</f>
        <v>79.097030148148121</v>
      </c>
      <c r="K743" s="398">
        <f t="shared" ca="1" si="90"/>
        <v>76.363816481451167</v>
      </c>
      <c r="L743" s="398">
        <f t="shared" ca="1" si="90"/>
        <v>64.413952846556867</v>
      </c>
      <c r="M743" s="398">
        <f t="shared" ca="1" si="90"/>
        <v>23.749666437273433</v>
      </c>
      <c r="N743" s="398">
        <f t="shared" ca="1" si="90"/>
        <v>55.857395579371136</v>
      </c>
      <c r="O743" s="528">
        <f t="shared" ca="1" si="90"/>
        <v>87.499130305132269</v>
      </c>
    </row>
    <row r="744" spans="1:15" ht="13.35" customHeight="1">
      <c r="A744" s="8"/>
      <c r="B744" s="40"/>
      <c r="C744" s="16" t="s">
        <v>143</v>
      </c>
      <c r="D744" s="16"/>
      <c r="E744" s="16"/>
      <c r="F744" s="578"/>
      <c r="G744" s="8"/>
      <c r="H744" s="8"/>
      <c r="I744" s="398"/>
      <c r="J744" s="398">
        <f t="shared" ref="J744:O744" si="91">J444+J445</f>
        <v>435.03366581481464</v>
      </c>
      <c r="K744" s="398">
        <f t="shared" si="91"/>
        <v>415.25940827777765</v>
      </c>
      <c r="L744" s="398">
        <f t="shared" si="91"/>
        <v>377.68831895740732</v>
      </c>
      <c r="M744" s="398">
        <f t="shared" si="91"/>
        <v>351.98178415925918</v>
      </c>
      <c r="N744" s="398">
        <f t="shared" si="91"/>
        <v>266.95247674999996</v>
      </c>
      <c r="O744" s="528">
        <f t="shared" si="91"/>
        <v>187.85544660185181</v>
      </c>
    </row>
    <row r="745" spans="1:15" ht="13.35" customHeight="1">
      <c r="A745" s="8"/>
      <c r="B745" s="40"/>
      <c r="C745" s="16" t="s">
        <v>149</v>
      </c>
      <c r="D745" s="16"/>
      <c r="E745" s="16"/>
      <c r="F745" s="578"/>
      <c r="G745" s="8"/>
      <c r="H745" s="8"/>
      <c r="I745" s="398"/>
      <c r="J745" s="398">
        <f t="shared" ref="J745:O746" si="92">J446</f>
        <v>237.29109044444436</v>
      </c>
      <c r="K745" s="398">
        <f t="shared" si="92"/>
        <v>237.29109044444436</v>
      </c>
      <c r="L745" s="398">
        <f t="shared" si="92"/>
        <v>237.29109044444436</v>
      </c>
      <c r="M745" s="398">
        <f t="shared" si="92"/>
        <v>237.29109044444436</v>
      </c>
      <c r="N745" s="398">
        <f t="shared" si="92"/>
        <v>237.29109044444436</v>
      </c>
      <c r="O745" s="528">
        <f t="shared" si="92"/>
        <v>237.29109044444436</v>
      </c>
    </row>
    <row r="746" spans="1:15" ht="13.35" customHeight="1">
      <c r="A746" s="8"/>
      <c r="B746" s="40"/>
      <c r="C746" s="16" t="s">
        <v>153</v>
      </c>
      <c r="D746" s="16"/>
      <c r="E746" s="16"/>
      <c r="F746" s="578"/>
      <c r="G746" s="8"/>
      <c r="H746" s="8"/>
      <c r="I746" s="398"/>
      <c r="J746" s="398">
        <f t="shared" si="92"/>
        <v>197.7425753703703</v>
      </c>
      <c r="K746" s="398">
        <f t="shared" si="92"/>
        <v>206.04776353592587</v>
      </c>
      <c r="L746" s="398">
        <f t="shared" ca="1" si="92"/>
        <v>214.70176960443476</v>
      </c>
      <c r="M746" s="398">
        <f t="shared" ca="1" si="92"/>
        <v>223.71924392782103</v>
      </c>
      <c r="N746" s="398">
        <f t="shared" ca="1" si="92"/>
        <v>223.71924392782103</v>
      </c>
      <c r="O746" s="528">
        <f t="shared" ca="1" si="92"/>
        <v>223.71924392782103</v>
      </c>
    </row>
    <row r="747" spans="1:15" ht="13.35" customHeight="1">
      <c r="A747" s="8"/>
      <c r="B747" s="579"/>
      <c r="C747" s="16" t="s">
        <v>42</v>
      </c>
      <c r="D747" s="16"/>
      <c r="E747" s="16"/>
      <c r="F747" s="578"/>
      <c r="G747" s="8"/>
      <c r="H747" s="8"/>
      <c r="I747" s="398"/>
      <c r="J747" s="658">
        <f>SUM( J742:J746)</f>
        <v>949.16436177777746</v>
      </c>
      <c r="K747" s="658">
        <f t="shared" ref="K747:O747" ca="1" si="93">SUM( K742:K746)</f>
        <v>934.96207873959906</v>
      </c>
      <c r="L747" s="658">
        <f t="shared" ca="1" si="93"/>
        <v>894.09513185284322</v>
      </c>
      <c r="M747" s="658">
        <f t="shared" ca="1" si="93"/>
        <v>836.7417849687929</v>
      </c>
      <c r="N747" s="658">
        <f t="shared" ca="1" si="93"/>
        <v>783.82020669915369</v>
      </c>
      <c r="O747" s="659">
        <f t="shared" ca="1" si="93"/>
        <v>736.36491097352837</v>
      </c>
    </row>
    <row r="748" spans="1:15" ht="13.35" customHeight="1">
      <c r="A748" s="8"/>
      <c r="B748" s="579"/>
      <c r="C748" s="16" t="s">
        <v>357</v>
      </c>
      <c r="D748" s="16"/>
      <c r="E748" s="16"/>
      <c r="F748" s="578"/>
      <c r="G748" s="8"/>
      <c r="H748" s="8"/>
      <c r="I748" s="398"/>
      <c r="J748" s="398">
        <f t="shared" ref="J748:O748" si="94">J747-J742</f>
        <v>949.16436177777746</v>
      </c>
      <c r="K748" s="398">
        <f t="shared" ca="1" si="94"/>
        <v>934.96207873959906</v>
      </c>
      <c r="L748" s="398">
        <f t="shared" ca="1" si="94"/>
        <v>894.09513185284322</v>
      </c>
      <c r="M748" s="398">
        <f t="shared" ca="1" si="94"/>
        <v>836.74178496879802</v>
      </c>
      <c r="N748" s="398">
        <f t="shared" ca="1" si="94"/>
        <v>783.82020670163649</v>
      </c>
      <c r="O748" s="528">
        <f t="shared" ca="1" si="94"/>
        <v>736.36491127924944</v>
      </c>
    </row>
    <row r="749" spans="1:15" ht="13.35" customHeight="1">
      <c r="A749" s="8"/>
      <c r="B749" s="579"/>
      <c r="C749" s="16" t="s">
        <v>265</v>
      </c>
      <c r="D749" s="16"/>
      <c r="E749" s="16"/>
      <c r="F749" s="578"/>
      <c r="G749" s="8"/>
      <c r="H749" s="8"/>
      <c r="I749" s="398"/>
      <c r="J749" s="398">
        <f t="shared" ref="J749:O749" si="95">J455</f>
        <v>632.77624118518497</v>
      </c>
      <c r="K749" s="398">
        <f t="shared" ca="1" si="95"/>
        <v>640.03582493426438</v>
      </c>
      <c r="L749" s="398">
        <f t="shared" ca="1" si="95"/>
        <v>656.72571201822711</v>
      </c>
      <c r="M749" s="398">
        <f t="shared" ca="1" si="95"/>
        <v>693.58378141723881</v>
      </c>
      <c r="N749" s="398">
        <f t="shared" ca="1" si="95"/>
        <v>745.49800896231318</v>
      </c>
      <c r="O749" s="528">
        <f t="shared" ca="1" si="95"/>
        <v>820.40206732813238</v>
      </c>
    </row>
    <row r="750" spans="1:15" ht="13.35" customHeight="1">
      <c r="A750" s="8"/>
      <c r="B750" s="579"/>
      <c r="C750" s="16" t="s">
        <v>358</v>
      </c>
      <c r="D750" s="16"/>
      <c r="E750" s="16"/>
      <c r="F750" s="578"/>
      <c r="G750" s="8"/>
      <c r="H750" s="8"/>
      <c r="I750" s="398"/>
      <c r="J750" s="398">
        <f t="shared" ref="J750:O750" si="96">J749+J748</f>
        <v>1581.9406029629624</v>
      </c>
      <c r="K750" s="398">
        <f t="shared" ca="1" si="96"/>
        <v>1574.9979036738634</v>
      </c>
      <c r="L750" s="398">
        <f t="shared" ca="1" si="96"/>
        <v>1550.8208438710703</v>
      </c>
      <c r="M750" s="398">
        <f t="shared" ca="1" si="96"/>
        <v>1530.3255663860368</v>
      </c>
      <c r="N750" s="398">
        <f t="shared" ca="1" si="96"/>
        <v>1529.3182156639496</v>
      </c>
      <c r="O750" s="528">
        <f t="shared" ca="1" si="96"/>
        <v>1556.7669786073818</v>
      </c>
    </row>
    <row r="751" spans="1:15" ht="13.35" customHeight="1">
      <c r="A751" s="8"/>
      <c r="B751" s="579"/>
      <c r="C751" s="16"/>
      <c r="D751" s="16"/>
      <c r="E751" s="16"/>
      <c r="F751" s="578"/>
      <c r="G751" s="8"/>
      <c r="H751" s="8"/>
      <c r="I751" s="398"/>
      <c r="J751" s="398"/>
      <c r="K751" s="398"/>
      <c r="L751" s="398"/>
      <c r="M751" s="398"/>
      <c r="N751" s="398"/>
      <c r="O751" s="528"/>
    </row>
    <row r="752" spans="1:15" ht="13.35" customHeight="1">
      <c r="A752" s="8"/>
      <c r="B752" s="40" t="s">
        <v>359</v>
      </c>
      <c r="C752" s="16"/>
      <c r="D752" s="16"/>
      <c r="E752" s="16"/>
      <c r="F752" s="580"/>
      <c r="G752" s="8"/>
      <c r="H752" s="8"/>
      <c r="I752" s="8"/>
      <c r="J752" s="8"/>
      <c r="K752" s="8"/>
      <c r="L752" s="8"/>
      <c r="M752" s="8"/>
      <c r="N752" s="8"/>
      <c r="O752" s="15"/>
    </row>
    <row r="753" spans="1:15" ht="13.35" customHeight="1">
      <c r="A753" s="8"/>
      <c r="B753" s="579"/>
      <c r="C753" s="16" t="s">
        <v>205</v>
      </c>
      <c r="D753" s="16"/>
      <c r="E753" s="16"/>
      <c r="F753" s="578"/>
      <c r="G753" s="8"/>
      <c r="H753" s="8"/>
      <c r="I753" s="398"/>
      <c r="J753" s="398">
        <f t="shared" ref="J753:O753" si="97">J345</f>
        <v>158.19406029629624</v>
      </c>
      <c r="K753" s="398">
        <f t="shared" si="97"/>
        <v>140.28343822222212</v>
      </c>
      <c r="L753" s="398">
        <f t="shared" si="97"/>
        <v>158.46792730105267</v>
      </c>
      <c r="M753" s="398">
        <f t="shared" si="97"/>
        <v>194.01986350364791</v>
      </c>
      <c r="N753" s="398">
        <f t="shared" si="97"/>
        <v>220.81944109016308</v>
      </c>
      <c r="O753" s="528">
        <f t="shared" si="97"/>
        <v>259.86632903789382</v>
      </c>
    </row>
    <row r="754" spans="1:15" ht="13.35" customHeight="1">
      <c r="A754" s="8"/>
      <c r="B754" s="579"/>
      <c r="C754" s="16" t="s">
        <v>360</v>
      </c>
      <c r="D754" s="16"/>
      <c r="E754" s="16"/>
      <c r="F754" s="578"/>
      <c r="G754" s="8"/>
      <c r="H754" s="8"/>
      <c r="I754" s="398"/>
      <c r="J754" s="398"/>
      <c r="K754" s="398">
        <f ca="1">K352</f>
        <v>46.352354890462564</v>
      </c>
      <c r="L754" s="398">
        <f ca="1">L352</f>
        <v>45.936667328466832</v>
      </c>
      <c r="M754" s="398">
        <f ca="1">M352</f>
        <v>44.427478206198785</v>
      </c>
      <c r="N754" s="398">
        <f ca="1">N352</f>
        <v>42.846193321831386</v>
      </c>
      <c r="O754" s="528">
        <f ca="1">O352</f>
        <v>39.284289111758518</v>
      </c>
    </row>
    <row r="755" spans="1:15" ht="13.35" customHeight="1">
      <c r="A755" s="8"/>
      <c r="B755" s="581"/>
      <c r="C755" s="582" t="s">
        <v>361</v>
      </c>
      <c r="D755" s="582"/>
      <c r="E755" s="582"/>
      <c r="F755" s="583"/>
      <c r="G755" s="35"/>
      <c r="H755" s="35"/>
      <c r="I755" s="518"/>
      <c r="J755" s="518"/>
      <c r="K755" s="518">
        <f>-K391</f>
        <v>60</v>
      </c>
      <c r="L755" s="518">
        <f t="shared" ref="L755:O755" si="98">-L391</f>
        <v>64</v>
      </c>
      <c r="M755" s="518">
        <f t="shared" si="98"/>
        <v>65.28</v>
      </c>
      <c r="N755" s="518">
        <f t="shared" si="98"/>
        <v>66.911999999999992</v>
      </c>
      <c r="O755" s="529">
        <f t="shared" si="98"/>
        <v>98.584799999999987</v>
      </c>
    </row>
    <row r="756" spans="1:15" ht="13.35" customHeight="1">
      <c r="A756" s="8"/>
      <c r="B756" s="8"/>
      <c r="C756" s="8"/>
      <c r="D756" s="8"/>
      <c r="E756" s="8"/>
      <c r="F756" s="301"/>
      <c r="G756" s="8"/>
      <c r="H756" s="8"/>
      <c r="I756" s="8"/>
      <c r="J756" s="8"/>
      <c r="K756" s="8"/>
      <c r="L756" s="8"/>
      <c r="M756" s="8"/>
      <c r="N756" s="8"/>
      <c r="O756" s="8"/>
    </row>
    <row r="757" spans="1:15" ht="13.35" customHeight="1">
      <c r="A757" s="8"/>
      <c r="B757" s="8"/>
      <c r="C757" s="8"/>
      <c r="D757" s="8"/>
      <c r="E757" s="8"/>
      <c r="F757" s="301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13.35" customHeight="1">
      <c r="A758" s="8"/>
      <c r="B758" s="8"/>
      <c r="C758" s="8"/>
      <c r="D758" s="8"/>
      <c r="E758" s="8"/>
      <c r="F758" s="301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13.35" customHeight="1">
      <c r="A759" s="8"/>
      <c r="B759" s="584" t="s">
        <v>362</v>
      </c>
      <c r="C759" s="8"/>
      <c r="D759" s="16"/>
      <c r="E759" s="16"/>
      <c r="F759" s="16"/>
      <c r="G759" s="8"/>
      <c r="H759" s="585" t="s">
        <v>363</v>
      </c>
      <c r="I759" s="513"/>
      <c r="J759" s="660">
        <f>$I$143</f>
        <v>3.25</v>
      </c>
      <c r="K759" s="586">
        <f>J759-$I$144</f>
        <v>3</v>
      </c>
      <c r="L759" s="586">
        <f>K759-$I$144</f>
        <v>2.75</v>
      </c>
      <c r="M759" s="586">
        <f>L759-$I$144</f>
        <v>2.5</v>
      </c>
      <c r="N759" s="586">
        <f>M759-$I$144</f>
        <v>2.25</v>
      </c>
      <c r="O759" s="587">
        <f>N759-$I$144</f>
        <v>2</v>
      </c>
    </row>
    <row r="760" spans="1:15" ht="6" customHeight="1">
      <c r="A760" s="8"/>
      <c r="B760" s="584"/>
      <c r="C760" s="8"/>
      <c r="D760" s="16"/>
      <c r="E760" s="16"/>
      <c r="F760" s="16"/>
      <c r="G760" s="8"/>
      <c r="H760" s="584"/>
      <c r="I760" s="8"/>
      <c r="J760" s="29"/>
      <c r="K760" s="29"/>
      <c r="L760" s="29"/>
      <c r="M760" s="29"/>
      <c r="N760" s="29"/>
      <c r="O760" s="29"/>
    </row>
    <row r="761" spans="1:15" ht="13.35" customHeight="1">
      <c r="A761" s="8"/>
      <c r="B761" s="584"/>
      <c r="C761" s="16" t="s">
        <v>362</v>
      </c>
      <c r="D761" s="16"/>
      <c r="E761" s="16"/>
      <c r="F761" s="16"/>
      <c r="G761" s="8"/>
      <c r="H761" s="16"/>
      <c r="I761" s="16"/>
      <c r="J761" s="588">
        <f t="shared" ref="J761:O761" si="99">(J744+J743)/J753</f>
        <v>3.25</v>
      </c>
      <c r="K761" s="588">
        <f t="shared" ca="1" si="99"/>
        <v>3.5044993977154419</v>
      </c>
      <c r="L761" s="588">
        <f t="shared" ca="1" si="99"/>
        <v>2.7898533118570512</v>
      </c>
      <c r="M761" s="588">
        <f t="shared" ca="1" si="99"/>
        <v>1.9365617716222556</v>
      </c>
      <c r="N761" s="588">
        <f t="shared" ca="1" si="99"/>
        <v>1.4618725178167813</v>
      </c>
      <c r="O761" s="588">
        <f t="shared" ca="1" si="99"/>
        <v>1.059600826034033</v>
      </c>
    </row>
    <row r="762" spans="1:15" ht="13.35" customHeight="1">
      <c r="A762" s="8"/>
      <c r="B762" s="8"/>
      <c r="C762" s="16"/>
      <c r="D762" s="589" t="s">
        <v>364</v>
      </c>
      <c r="E762" s="16"/>
      <c r="F762" s="580"/>
      <c r="G762" s="8"/>
      <c r="H762" s="16"/>
      <c r="I762" s="16"/>
      <c r="J762" s="590"/>
      <c r="K762" s="590">
        <f ca="1">K753-((K743+K744)/K759)</f>
        <v>-23.590970030854152</v>
      </c>
      <c r="L762" s="590">
        <f ca="1">L753-((L743+L744)/L759)</f>
        <v>-2.2965351731161263</v>
      </c>
      <c r="M762" s="590">
        <f ca="1">M753-((M743+M744)/M759)</f>
        <v>43.727283265034856</v>
      </c>
      <c r="N762" s="590">
        <f ca="1">N753-((N743+N744)/N759)</f>
        <v>77.348386721553709</v>
      </c>
      <c r="O762" s="590">
        <f ca="1">O753-((O743+O744)/O759)</f>
        <v>122.18904058440177</v>
      </c>
    </row>
    <row r="763" spans="1:15" ht="13.35" customHeight="1">
      <c r="A763" s="8"/>
      <c r="B763" s="8"/>
      <c r="C763" s="16"/>
      <c r="D763" s="16"/>
      <c r="E763" s="16"/>
      <c r="F763" s="580"/>
      <c r="G763" s="8"/>
      <c r="H763" s="16"/>
      <c r="I763" s="16"/>
      <c r="J763" s="8"/>
      <c r="K763" s="8"/>
      <c r="L763" s="8"/>
      <c r="M763" s="8"/>
      <c r="N763" s="8"/>
      <c r="O763" s="8"/>
    </row>
    <row r="764" spans="1:15" ht="13.35" customHeight="1">
      <c r="A764" s="8"/>
      <c r="B764" s="584" t="s">
        <v>158</v>
      </c>
      <c r="C764" s="8"/>
      <c r="D764" s="16"/>
      <c r="E764" s="16"/>
      <c r="F764" s="16"/>
      <c r="G764" s="8"/>
      <c r="H764" s="585" t="s">
        <v>363</v>
      </c>
      <c r="I764" s="513"/>
      <c r="J764" s="586">
        <f>I179</f>
        <v>3</v>
      </c>
      <c r="K764" s="586">
        <f>J764</f>
        <v>3</v>
      </c>
      <c r="L764" s="586">
        <f>K764</f>
        <v>3</v>
      </c>
      <c r="M764" s="586">
        <f>L764</f>
        <v>3</v>
      </c>
      <c r="N764" s="586">
        <f>M764</f>
        <v>3</v>
      </c>
      <c r="O764" s="587">
        <f>N764</f>
        <v>3</v>
      </c>
    </row>
    <row r="765" spans="1:15" ht="6" customHeight="1">
      <c r="A765" s="8"/>
      <c r="B765" s="584"/>
      <c r="C765" s="8"/>
      <c r="D765" s="16"/>
      <c r="E765" s="16"/>
      <c r="F765" s="16"/>
      <c r="G765" s="584"/>
      <c r="H765" s="8"/>
      <c r="I765" s="8"/>
      <c r="J765" s="29"/>
      <c r="K765" s="29"/>
      <c r="L765" s="29"/>
      <c r="M765" s="29"/>
      <c r="N765" s="29"/>
      <c r="O765" s="29"/>
    </row>
    <row r="766" spans="1:15" ht="13.35" customHeight="1">
      <c r="A766" s="8"/>
      <c r="B766" s="584"/>
      <c r="C766" s="16" t="s">
        <v>365</v>
      </c>
      <c r="D766" s="16"/>
      <c r="E766" s="16"/>
      <c r="F766" s="16"/>
      <c r="G766" s="16"/>
      <c r="H766" s="16"/>
      <c r="I766" s="8"/>
      <c r="J766" s="8"/>
      <c r="K766" s="588">
        <f ca="1">K753/K754</f>
        <v>3.0264576320606045</v>
      </c>
      <c r="L766" s="588">
        <f ca="1">L753/L754</f>
        <v>3.4497044848277558</v>
      </c>
      <c r="M766" s="588">
        <f ca="1">M753/M754</f>
        <v>4.367114032517315</v>
      </c>
      <c r="N766" s="588">
        <f ca="1">N753/N754</f>
        <v>5.1537703578826255</v>
      </c>
      <c r="O766" s="588">
        <f ca="1">O753/O754</f>
        <v>6.6150192586814809</v>
      </c>
    </row>
    <row r="767" spans="1:15" ht="13.35" customHeight="1">
      <c r="A767" s="8"/>
      <c r="B767" s="8"/>
      <c r="C767" s="16"/>
      <c r="D767" s="589" t="s">
        <v>364</v>
      </c>
      <c r="E767" s="16"/>
      <c r="F767" s="580"/>
      <c r="G767" s="16"/>
      <c r="H767" s="16"/>
      <c r="I767" s="8"/>
      <c r="J767" s="8"/>
      <c r="K767" s="590">
        <f ca="1">K753-(K754*K764)</f>
        <v>1.2263735508344098</v>
      </c>
      <c r="L767" s="590">
        <f ca="1">L753-(L754*L764)</f>
        <v>20.657925315652164</v>
      </c>
      <c r="M767" s="590">
        <f ca="1">M753-(M754*M764)</f>
        <v>60.737428885051543</v>
      </c>
      <c r="N767" s="590">
        <f ca="1">N753-(N754*N764)</f>
        <v>92.280861124668917</v>
      </c>
      <c r="O767" s="590">
        <f ca="1">O753-(O754*O764)</f>
        <v>142.01346170261826</v>
      </c>
    </row>
    <row r="768" spans="1:15" ht="13.35" customHeight="1">
      <c r="A768" s="8"/>
      <c r="B768" s="8"/>
      <c r="C768" s="16"/>
      <c r="D768" s="16"/>
      <c r="E768" s="16"/>
      <c r="F768" s="580"/>
      <c r="G768" s="16"/>
      <c r="H768" s="16"/>
      <c r="I768" s="8"/>
      <c r="J768" s="8"/>
      <c r="K768" s="8"/>
      <c r="L768" s="8"/>
      <c r="M768" s="8"/>
      <c r="N768" s="8"/>
      <c r="O768" s="8"/>
    </row>
    <row r="769" spans="1:15" ht="13.35" customHeight="1">
      <c r="A769" s="8"/>
      <c r="B769" s="8"/>
      <c r="C769" s="16"/>
      <c r="D769" s="16"/>
      <c r="E769" s="16"/>
      <c r="F769" s="580"/>
      <c r="G769" s="16"/>
      <c r="H769" s="16"/>
      <c r="I769" s="8"/>
      <c r="J769" s="8"/>
      <c r="K769" s="8"/>
      <c r="L769" s="8"/>
      <c r="M769" s="8"/>
      <c r="N769" s="8"/>
      <c r="O769" s="8"/>
    </row>
    <row r="770" spans="1:15" ht="13.35" customHeight="1">
      <c r="A770" s="8"/>
      <c r="B770" s="584" t="s">
        <v>366</v>
      </c>
      <c r="C770" s="16"/>
      <c r="D770" s="16"/>
      <c r="E770" s="16"/>
      <c r="F770" s="580"/>
      <c r="G770" s="16"/>
      <c r="H770" s="16"/>
      <c r="I770" s="8"/>
      <c r="J770" s="8"/>
      <c r="K770" s="8"/>
      <c r="L770" s="8"/>
      <c r="M770" s="8"/>
      <c r="N770" s="8"/>
      <c r="O770" s="8"/>
    </row>
    <row r="771" spans="1:15" ht="6" customHeight="1">
      <c r="A771" s="8"/>
      <c r="B771" s="584"/>
      <c r="C771" s="8"/>
      <c r="D771" s="16"/>
      <c r="E771" s="16"/>
      <c r="F771" s="16"/>
      <c r="G771" s="584"/>
      <c r="H771" s="8"/>
      <c r="I771" s="8"/>
      <c r="J771" s="29"/>
      <c r="K771" s="29"/>
      <c r="L771" s="29"/>
      <c r="M771" s="29"/>
      <c r="N771" s="29"/>
      <c r="O771" s="29"/>
    </row>
    <row r="772" spans="1:15" ht="13.35" customHeight="1">
      <c r="A772" s="8"/>
      <c r="B772" s="584"/>
      <c r="C772" s="16" t="s">
        <v>367</v>
      </c>
      <c r="D772" s="16"/>
      <c r="E772" s="16"/>
      <c r="F772" s="16"/>
      <c r="G772" s="16"/>
      <c r="H772" s="16"/>
      <c r="I772" s="8"/>
      <c r="J772" s="588">
        <f t="shared" ref="J772:O772" si="100">J746/J753</f>
        <v>1.25</v>
      </c>
      <c r="K772" s="588">
        <f t="shared" si="100"/>
        <v>1.4687960756246001</v>
      </c>
      <c r="L772" s="588">
        <f t="shared" ca="1" si="100"/>
        <v>1.3548594549138684</v>
      </c>
      <c r="M772" s="588">
        <f t="shared" ca="1" si="100"/>
        <v>1.1530739167003625</v>
      </c>
      <c r="N772" s="588">
        <f t="shared" ca="1" si="100"/>
        <v>1.0131320087730586</v>
      </c>
      <c r="O772" s="588">
        <f t="shared" ca="1" si="100"/>
        <v>0.86090123624749471</v>
      </c>
    </row>
    <row r="773" spans="1:15" ht="6" customHeight="1">
      <c r="A773" s="8"/>
      <c r="B773" s="584"/>
      <c r="C773" s="8"/>
      <c r="D773" s="16"/>
      <c r="E773" s="16"/>
      <c r="F773" s="16"/>
      <c r="G773" s="584"/>
      <c r="H773" s="8"/>
      <c r="I773" s="8"/>
      <c r="J773" s="588"/>
      <c r="K773" s="588"/>
      <c r="L773" s="588"/>
      <c r="M773" s="588"/>
      <c r="N773" s="588"/>
      <c r="O773" s="588"/>
    </row>
    <row r="774" spans="1:15" ht="13.35" customHeight="1">
      <c r="A774" s="8"/>
      <c r="B774" s="584"/>
      <c r="C774" s="16" t="s">
        <v>314</v>
      </c>
      <c r="D774" s="16"/>
      <c r="E774" s="16"/>
      <c r="F774" s="16"/>
      <c r="G774" s="16"/>
      <c r="H774" s="16"/>
      <c r="I774" s="8"/>
      <c r="J774" s="588">
        <f t="shared" ref="J774:O774" si="101">J747/J753</f>
        <v>6</v>
      </c>
      <c r="K774" s="588">
        <f t="shared" ca="1" si="101"/>
        <v>6.6648072686850712</v>
      </c>
      <c r="L774" s="588">
        <f t="shared" ca="1" si="101"/>
        <v>5.6421204409032741</v>
      </c>
      <c r="M774" s="588">
        <f t="shared" ca="1" si="101"/>
        <v>4.3126604145511145</v>
      </c>
      <c r="N774" s="588">
        <f t="shared" ca="1" si="101"/>
        <v>3.5495978199632838</v>
      </c>
      <c r="O774" s="588">
        <f t="shared" ca="1" si="101"/>
        <v>2.8336295575489943</v>
      </c>
    </row>
    <row r="775" spans="1:15" ht="6" customHeight="1">
      <c r="A775" s="8"/>
      <c r="B775" s="584"/>
      <c r="C775" s="8"/>
      <c r="D775" s="16"/>
      <c r="E775" s="16"/>
      <c r="F775" s="16"/>
      <c r="G775" s="584"/>
      <c r="H775" s="8"/>
      <c r="I775" s="8"/>
      <c r="J775" s="29"/>
      <c r="K775" s="29"/>
      <c r="L775" s="29"/>
      <c r="M775" s="29"/>
      <c r="N775" s="29"/>
      <c r="O775" s="29"/>
    </row>
    <row r="776" spans="1:15" ht="13.35" customHeight="1">
      <c r="A776" s="8"/>
      <c r="B776" s="584"/>
      <c r="C776" s="16" t="s">
        <v>368</v>
      </c>
      <c r="D776" s="16"/>
      <c r="E776" s="16"/>
      <c r="F776" s="16"/>
      <c r="G776" s="16"/>
      <c r="H776" s="16"/>
      <c r="I776" s="8"/>
      <c r="J776" s="8"/>
      <c r="K776" s="591">
        <f ca="1">K748/K750</f>
        <v>0.5936275067787028</v>
      </c>
      <c r="L776" s="591">
        <f ca="1">L748/L750</f>
        <v>0.57653025195421936</v>
      </c>
      <c r="M776" s="591">
        <f ca="1">M748/M750</f>
        <v>0.5467737083846923</v>
      </c>
      <c r="N776" s="591">
        <f ca="1">N748/N750</f>
        <v>0.51252917716758051</v>
      </c>
      <c r="O776" s="591">
        <f ca="1">O748/O750</f>
        <v>0.47300907675853354</v>
      </c>
    </row>
    <row r="777" spans="1:15" ht="3" customHeight="1">
      <c r="A777" s="8"/>
      <c r="B777" s="584"/>
      <c r="C777" s="8"/>
      <c r="D777" s="16"/>
      <c r="E777" s="16"/>
      <c r="F777" s="16"/>
      <c r="G777" s="584"/>
      <c r="H777" s="8"/>
      <c r="I777" s="8"/>
      <c r="J777" s="8"/>
      <c r="K777" s="29"/>
      <c r="L777" s="29"/>
      <c r="M777" s="29"/>
      <c r="N777" s="29"/>
      <c r="O777" s="29"/>
    </row>
    <row r="778" spans="1:15" ht="13.35" customHeight="1">
      <c r="A778" s="8"/>
      <c r="B778" s="584"/>
      <c r="C778" s="16" t="s">
        <v>369</v>
      </c>
      <c r="D778" s="16"/>
      <c r="E778" s="16"/>
      <c r="F778" s="16"/>
      <c r="G778" s="16"/>
      <c r="H778" s="16"/>
      <c r="I778" s="8"/>
      <c r="J778" s="8"/>
      <c r="K778" s="588">
        <f ca="1">(K753-K755)/K754</f>
        <v>1.7320250160308726</v>
      </c>
      <c r="L778" s="588">
        <f ca="1">(L753-L755)/L754</f>
        <v>2.0564819521095545</v>
      </c>
      <c r="M778" s="588">
        <f ca="1">(M753-M755)/M754</f>
        <v>2.8977531181521208</v>
      </c>
      <c r="N778" s="588">
        <f ca="1">(N753-N755)/N754</f>
        <v>3.5920913658330242</v>
      </c>
      <c r="O778" s="588">
        <f ca="1">(O753-O755)/O754</f>
        <v>4.1054969476237586</v>
      </c>
    </row>
    <row r="779" spans="1:15" ht="13.35" customHeight="1">
      <c r="A779" s="8"/>
      <c r="B779" s="35"/>
      <c r="C779" s="35"/>
      <c r="D779" s="35"/>
      <c r="E779" s="35"/>
      <c r="F779" s="336"/>
      <c r="G779" s="35"/>
      <c r="H779" s="35"/>
      <c r="I779" s="35"/>
      <c r="J779" s="35"/>
      <c r="K779" s="35"/>
      <c r="L779" s="35"/>
      <c r="M779" s="35"/>
      <c r="N779" s="35"/>
      <c r="O779" s="35"/>
    </row>
    <row r="780" spans="1:15" ht="13.35" customHeight="1">
      <c r="A780" s="8"/>
      <c r="B780" s="8"/>
      <c r="C780" s="8"/>
      <c r="D780" s="8"/>
      <c r="E780" s="8"/>
      <c r="F780" s="301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3.35" customHeight="1">
      <c r="A781" s="8"/>
      <c r="B781" s="8"/>
      <c r="C781" s="8"/>
      <c r="D781" s="8"/>
      <c r="E781" s="8"/>
      <c r="F781" s="301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3.35" customHeight="1">
      <c r="A782" s="8"/>
      <c r="B782" s="8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38" t="str">
        <f>$O$236</f>
        <v>CURRENTLY RUNNING: BASE CASE SCENARIO</v>
      </c>
    </row>
    <row r="783" spans="1:15" ht="22.8" customHeight="1">
      <c r="A783" s="8"/>
      <c r="B783" s="86" t="str">
        <f>B734</f>
        <v>Moonbucks Corp.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8.75" customHeight="1">
      <c r="A784" s="8"/>
      <c r="B784" s="293" t="s">
        <v>370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3.35" customHeight="1" thickBot="1">
      <c r="A785" s="8"/>
      <c r="B785" s="297"/>
      <c r="C785" s="415"/>
      <c r="D785" s="415"/>
      <c r="E785" s="415"/>
      <c r="F785" s="415"/>
      <c r="G785" s="415"/>
      <c r="H785" s="415"/>
      <c r="I785" s="415"/>
      <c r="J785" s="415"/>
      <c r="K785" s="415"/>
      <c r="L785" s="415"/>
      <c r="M785" s="415"/>
      <c r="N785" s="415"/>
      <c r="O785" s="415"/>
    </row>
    <row r="786" spans="1:15" ht="13.35" customHeight="1">
      <c r="A786" s="8"/>
      <c r="B786" s="416" t="s">
        <v>224</v>
      </c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90"/>
    </row>
    <row r="787" spans="1:15" ht="13.35" customHeight="1">
      <c r="A787" s="8"/>
      <c r="B787" s="8"/>
      <c r="C787" s="8"/>
      <c r="D787" s="8"/>
      <c r="E787" s="8"/>
      <c r="F787" s="8"/>
      <c r="G787" s="8"/>
      <c r="H787" s="3"/>
      <c r="I787" s="3"/>
      <c r="J787" s="3"/>
      <c r="K787" s="303" t="s">
        <v>170</v>
      </c>
      <c r="L787" s="113"/>
      <c r="M787" s="113"/>
      <c r="N787" s="113"/>
      <c r="O787" s="113"/>
    </row>
    <row r="788" spans="1:15" ht="13.35" customHeight="1">
      <c r="A788" s="8"/>
      <c r="B788" s="8"/>
      <c r="C788" s="8"/>
      <c r="D788" s="8"/>
      <c r="E788" s="8"/>
      <c r="F788" s="8"/>
      <c r="G788" s="419"/>
      <c r="H788" s="304"/>
      <c r="I788" s="304"/>
      <c r="J788" s="3"/>
      <c r="K788" s="420">
        <f>K$242</f>
        <v>2022</v>
      </c>
      <c r="L788" s="420">
        <f>L$242</f>
        <v>2023</v>
      </c>
      <c r="M788" s="420">
        <f>M$242</f>
        <v>2024</v>
      </c>
      <c r="N788" s="420">
        <f>N$242</f>
        <v>2025</v>
      </c>
      <c r="O788" s="420">
        <f>O$242</f>
        <v>2026</v>
      </c>
    </row>
    <row r="789" spans="1:15" ht="13.35" customHeight="1">
      <c r="A789" s="8"/>
      <c r="B789" s="8"/>
      <c r="C789" s="8"/>
      <c r="D789" s="8"/>
      <c r="E789" s="8"/>
      <c r="F789" s="301"/>
      <c r="G789" s="8"/>
      <c r="H789" s="8"/>
      <c r="I789" s="8"/>
      <c r="J789" s="3"/>
      <c r="K789" s="8"/>
      <c r="L789" s="8"/>
      <c r="M789" s="8"/>
      <c r="N789" s="8"/>
      <c r="O789" s="8"/>
    </row>
    <row r="790" spans="1:15" ht="13.35" customHeight="1">
      <c r="A790" s="8"/>
      <c r="B790" s="16"/>
      <c r="C790" s="16" t="s">
        <v>205</v>
      </c>
      <c r="D790" s="16"/>
      <c r="E790" s="16"/>
      <c r="F790" s="578"/>
      <c r="G790" s="8"/>
      <c r="H790" s="8"/>
      <c r="I790" s="8"/>
      <c r="J790" s="3"/>
      <c r="K790" s="81">
        <f>K345</f>
        <v>140.28343822222212</v>
      </c>
      <c r="L790" s="81">
        <f>L345</f>
        <v>158.46792730105267</v>
      </c>
      <c r="M790" s="81">
        <f>M345</f>
        <v>194.01986350364791</v>
      </c>
      <c r="N790" s="81">
        <f>N345</f>
        <v>220.81944109016308</v>
      </c>
      <c r="O790" s="81">
        <f>O345</f>
        <v>259.86632903789382</v>
      </c>
    </row>
    <row r="791" spans="1:15" ht="13.35" customHeight="1">
      <c r="A791" s="8"/>
      <c r="B791" s="8"/>
      <c r="C791" s="16" t="s">
        <v>371</v>
      </c>
      <c r="D791" s="16"/>
      <c r="E791" s="16"/>
      <c r="F791" s="578"/>
      <c r="G791" s="8"/>
      <c r="H791" s="8"/>
      <c r="I791" s="8"/>
      <c r="J791" s="3"/>
      <c r="K791" s="567">
        <f>G10</f>
        <v>10</v>
      </c>
      <c r="L791" s="567">
        <f>K791</f>
        <v>10</v>
      </c>
      <c r="M791" s="567">
        <f>L791</f>
        <v>10</v>
      </c>
      <c r="N791" s="567">
        <f>M791</f>
        <v>10</v>
      </c>
      <c r="O791" s="567">
        <f>N791</f>
        <v>10</v>
      </c>
    </row>
    <row r="792" spans="1:15" ht="13.35" customHeight="1">
      <c r="A792" s="8"/>
      <c r="B792" s="8"/>
      <c r="C792" s="400" t="s">
        <v>59</v>
      </c>
      <c r="D792" s="8"/>
      <c r="E792" s="8"/>
      <c r="F792" s="301"/>
      <c r="G792" s="8"/>
      <c r="H792" s="8"/>
      <c r="I792" s="8"/>
      <c r="J792" s="3"/>
      <c r="K792" s="592">
        <f>K790*K791</f>
        <v>1402.8343822222212</v>
      </c>
      <c r="L792" s="592">
        <f>L790*L791</f>
        <v>1584.6792730105267</v>
      </c>
      <c r="M792" s="592">
        <f>M790*M791</f>
        <v>1940.1986350364791</v>
      </c>
      <c r="N792" s="592">
        <f>N790*N791</f>
        <v>2208.1944109016308</v>
      </c>
      <c r="O792" s="592">
        <f>O790*O791</f>
        <v>2598.6632903789382</v>
      </c>
    </row>
    <row r="793" spans="1:15" ht="13.35" customHeight="1">
      <c r="A793" s="8"/>
      <c r="B793" s="8"/>
      <c r="C793" s="8"/>
      <c r="D793" s="8"/>
      <c r="E793" s="8"/>
      <c r="F793" s="301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3.35" customHeight="1">
      <c r="A794" s="8"/>
      <c r="B794" s="16"/>
      <c r="C794" s="16" t="s">
        <v>372</v>
      </c>
      <c r="D794" s="16"/>
      <c r="E794" s="16"/>
      <c r="F794" s="578"/>
      <c r="G794" s="8"/>
      <c r="H794" s="8"/>
      <c r="I794" s="8"/>
      <c r="J794" s="3"/>
      <c r="K794" s="398">
        <f ca="1">K748</f>
        <v>934.96207873959906</v>
      </c>
      <c r="L794" s="398">
        <f ca="1">L748</f>
        <v>894.09513185284322</v>
      </c>
      <c r="M794" s="398">
        <f ca="1">M748</f>
        <v>836.74178496879802</v>
      </c>
      <c r="N794" s="398">
        <f ca="1">N748</f>
        <v>783.82020670163649</v>
      </c>
      <c r="O794" s="398">
        <f ca="1">O748</f>
        <v>736.36491127924944</v>
      </c>
    </row>
    <row r="795" spans="1:15" ht="13.35" customHeight="1">
      <c r="A795" s="8"/>
      <c r="B795" s="8"/>
      <c r="C795" s="16" t="s">
        <v>373</v>
      </c>
      <c r="D795" s="16"/>
      <c r="E795" s="16"/>
      <c r="F795" s="578"/>
      <c r="G795" s="8"/>
      <c r="H795" s="8"/>
      <c r="I795" s="8"/>
      <c r="J795" s="3"/>
      <c r="K795" s="398">
        <f>K707</f>
        <v>100</v>
      </c>
      <c r="L795" s="398">
        <f>L707</f>
        <v>100</v>
      </c>
      <c r="M795" s="398">
        <f>M707</f>
        <v>100</v>
      </c>
      <c r="N795" s="398">
        <f>N707</f>
        <v>100</v>
      </c>
      <c r="O795" s="398">
        <f>O707</f>
        <v>100</v>
      </c>
    </row>
    <row r="796" spans="1:15" ht="13.35" customHeight="1">
      <c r="A796" s="8"/>
      <c r="B796" s="8"/>
      <c r="C796" s="400" t="s">
        <v>374</v>
      </c>
      <c r="D796" s="8"/>
      <c r="E796" s="8"/>
      <c r="F796" s="301"/>
      <c r="G796" s="8"/>
      <c r="H796" s="8"/>
      <c r="I796" s="8"/>
      <c r="J796" s="3"/>
      <c r="K796" s="592">
        <f ca="1">K792-K794+K795</f>
        <v>567.8723034826221</v>
      </c>
      <c r="L796" s="592">
        <f t="shared" ref="L796:O796" ca="1" si="102">L792-L794+L795</f>
        <v>790.58414115768346</v>
      </c>
      <c r="M796" s="592">
        <f t="shared" ca="1" si="102"/>
        <v>1203.456850067681</v>
      </c>
      <c r="N796" s="592">
        <f t="shared" ca="1" si="102"/>
        <v>1524.3742041999944</v>
      </c>
      <c r="O796" s="592">
        <f t="shared" ca="1" si="102"/>
        <v>1962.2983790996886</v>
      </c>
    </row>
    <row r="797" spans="1:15" ht="13.35" customHeight="1">
      <c r="A797" s="8"/>
      <c r="B797" s="8"/>
      <c r="C797" s="8"/>
      <c r="D797" s="8"/>
      <c r="E797" s="8"/>
      <c r="F797" s="301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3.35" customHeight="1">
      <c r="A798" s="8"/>
      <c r="B798" s="8"/>
      <c r="C798" s="16" t="s">
        <v>375</v>
      </c>
      <c r="D798" s="16"/>
      <c r="E798" s="8"/>
      <c r="F798" s="301"/>
      <c r="G798" s="8"/>
      <c r="H798" s="8"/>
      <c r="I798" s="8"/>
      <c r="J798" s="3"/>
      <c r="K798" s="593">
        <f>I31</f>
        <v>0.98208797851310936</v>
      </c>
      <c r="L798" s="593">
        <f>K798</f>
        <v>0.98208797851310936</v>
      </c>
      <c r="M798" s="593">
        <f>L798</f>
        <v>0.98208797851310936</v>
      </c>
      <c r="N798" s="593">
        <f>M798</f>
        <v>0.98208797851310936</v>
      </c>
      <c r="O798" s="593">
        <f>N798</f>
        <v>0.98208797851310936</v>
      </c>
    </row>
    <row r="799" spans="1:15" ht="13.35" customHeight="1">
      <c r="A799" s="8"/>
      <c r="B799" s="8"/>
      <c r="C799" s="400" t="s">
        <v>375</v>
      </c>
      <c r="D799" s="8"/>
      <c r="E799" s="8"/>
      <c r="F799" s="8"/>
      <c r="G799" s="8"/>
      <c r="H799" s="8"/>
      <c r="I799" s="8"/>
      <c r="J799" s="3"/>
      <c r="K799" s="592">
        <f ca="1">K798*K796</f>
        <v>557.70056258083127</v>
      </c>
      <c r="L799" s="592">
        <f ca="1">L798*L796</f>
        <v>776.42318103407206</v>
      </c>
      <c r="M799" s="592">
        <f ca="1">M798*M796</f>
        <v>1181.9005051107229</v>
      </c>
      <c r="N799" s="592">
        <f ca="1">N798*N796</f>
        <v>1497.0695807003024</v>
      </c>
      <c r="O799" s="592">
        <f ca="1">O798*O796</f>
        <v>1927.1496483695644</v>
      </c>
    </row>
    <row r="800" spans="1:15" ht="13.35" customHeight="1">
      <c r="A800" s="8"/>
      <c r="B800" s="8"/>
      <c r="C800" s="8"/>
      <c r="D800" s="8"/>
      <c r="E800" s="8"/>
      <c r="F800" s="301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6" customHeight="1">
      <c r="A801" s="8"/>
      <c r="B801" s="8"/>
      <c r="C801" s="318"/>
      <c r="D801" s="318"/>
      <c r="E801" s="318"/>
      <c r="F801" s="566"/>
      <c r="G801" s="318"/>
      <c r="H801" s="318"/>
      <c r="I801" s="318"/>
      <c r="J801" s="318"/>
      <c r="K801" s="318"/>
      <c r="L801" s="318"/>
      <c r="M801" s="318"/>
      <c r="N801" s="318"/>
      <c r="O801" s="318"/>
    </row>
    <row r="802" spans="1:15" ht="6" customHeight="1">
      <c r="A802" s="8"/>
      <c r="B802" s="8"/>
      <c r="C802" s="8"/>
      <c r="D802" s="8"/>
      <c r="E802" s="8"/>
      <c r="F802" s="301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3.35" customHeight="1">
      <c r="A803" s="8"/>
      <c r="B803" s="8"/>
      <c r="C803" s="8"/>
      <c r="D803" s="8"/>
      <c r="E803" s="8"/>
      <c r="F803" s="301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3.35" customHeight="1">
      <c r="A804" s="8"/>
      <c r="B804" s="8"/>
      <c r="C804" s="8"/>
      <c r="D804" s="8"/>
      <c r="E804" s="8"/>
      <c r="F804" s="301"/>
      <c r="G804" s="594" t="s">
        <v>376</v>
      </c>
      <c r="H804" s="8"/>
      <c r="I804" s="8"/>
      <c r="J804" s="594" t="s">
        <v>53</v>
      </c>
      <c r="K804" s="303" t="s">
        <v>377</v>
      </c>
      <c r="L804" s="113"/>
      <c r="M804" s="113"/>
      <c r="N804" s="113"/>
      <c r="O804" s="113"/>
    </row>
    <row r="805" spans="1:15" ht="13.35" customHeight="1">
      <c r="A805" s="8"/>
      <c r="B805" s="8"/>
      <c r="C805" s="8"/>
      <c r="D805" s="8"/>
      <c r="E805" s="8"/>
      <c r="F805" s="595" t="s">
        <v>378</v>
      </c>
      <c r="G805" s="596" t="s">
        <v>379</v>
      </c>
      <c r="H805" s="8"/>
      <c r="I805" s="8"/>
      <c r="J805" s="596" t="s">
        <v>380</v>
      </c>
      <c r="K805" s="420">
        <f>K$242</f>
        <v>2022</v>
      </c>
      <c r="L805" s="420">
        <f>L$242</f>
        <v>2023</v>
      </c>
      <c r="M805" s="420">
        <f>M$242</f>
        <v>2024</v>
      </c>
      <c r="N805" s="420">
        <f>N$242</f>
        <v>2025</v>
      </c>
      <c r="O805" s="420">
        <f>O$242</f>
        <v>2026</v>
      </c>
    </row>
    <row r="806" spans="1:15" ht="13.35" customHeight="1">
      <c r="A806" s="8"/>
      <c r="B806" s="8"/>
      <c r="C806" s="8" t="str">
        <f>"Exit at the End of "&amp;K805</f>
        <v>Exit at the End of 2022</v>
      </c>
      <c r="D806" s="8"/>
      <c r="E806" s="8"/>
      <c r="F806" s="597">
        <f ca="1">IFERROR(IRR(J806:O806),"N/A")</f>
        <v>1.7174090179080004E-2</v>
      </c>
      <c r="G806" s="598">
        <f ca="1">SUM(J806:O806)</f>
        <v>9.4162836501277525</v>
      </c>
      <c r="H806" s="8"/>
      <c r="I806" s="8"/>
      <c r="J806" s="599">
        <f>-F31</f>
        <v>-548.28427893070352</v>
      </c>
      <c r="K806" s="600">
        <f ca="1">K$799</f>
        <v>557.70056258083127</v>
      </c>
      <c r="L806" s="8"/>
      <c r="M806" s="8"/>
      <c r="N806" s="8"/>
      <c r="O806" s="8"/>
    </row>
    <row r="807" spans="1:15" ht="13.35" customHeight="1">
      <c r="A807" s="8"/>
      <c r="B807" s="8"/>
      <c r="C807" s="8" t="str">
        <f>"Exit at the End of "&amp;L805</f>
        <v>Exit at the End of 2023</v>
      </c>
      <c r="D807" s="8"/>
      <c r="E807" s="8"/>
      <c r="F807" s="597">
        <f ca="1">IFERROR(IRR(J807:O807),"N/A")</f>
        <v>0.18999832452030763</v>
      </c>
      <c r="G807" s="598">
        <f ca="1">SUM(J807:O807)</f>
        <v>228.13890210336854</v>
      </c>
      <c r="H807" s="8"/>
      <c r="I807" s="8"/>
      <c r="J807" s="598">
        <f>J806</f>
        <v>-548.28427893070352</v>
      </c>
      <c r="K807" s="655">
        <v>0</v>
      </c>
      <c r="L807" s="600">
        <f ca="1">L$799</f>
        <v>776.42318103407206</v>
      </c>
      <c r="M807" s="8"/>
      <c r="N807" s="8"/>
      <c r="O807" s="8"/>
    </row>
    <row r="808" spans="1:15" ht="13.35" customHeight="1">
      <c r="A808" s="8"/>
      <c r="B808" s="8"/>
      <c r="C808" s="8" t="str">
        <f>"Exit at the End of "&amp;M805</f>
        <v>Exit at the End of 2024</v>
      </c>
      <c r="D808" s="8"/>
      <c r="E808" s="8"/>
      <c r="F808" s="597">
        <f ca="1">IFERROR(IRR(J808:O808),"N/A")</f>
        <v>0.29178937538845906</v>
      </c>
      <c r="G808" s="598">
        <f ca="1">SUM(J808:O808)</f>
        <v>633.616226180078</v>
      </c>
      <c r="H808" s="8"/>
      <c r="I808" s="8"/>
      <c r="J808" s="598">
        <f>J807</f>
        <v>-548.28427893070352</v>
      </c>
      <c r="K808" s="655">
        <v>0</v>
      </c>
      <c r="L808" s="655">
        <v>0</v>
      </c>
      <c r="M808" s="600">
        <f ca="1">M$799</f>
        <v>1181.9005051107229</v>
      </c>
      <c r="N808" s="8"/>
      <c r="O808" s="8"/>
    </row>
    <row r="809" spans="1:15" ht="13.35" customHeight="1">
      <c r="A809" s="8"/>
      <c r="B809" s="8"/>
      <c r="C809" s="8" t="str">
        <f>"Exit at the End of "&amp;N805</f>
        <v>Exit at the End of 2025</v>
      </c>
      <c r="D809" s="8"/>
      <c r="E809" s="8"/>
      <c r="F809" s="597">
        <f ca="1">IFERROR(IRR(J809:O809),"N/A")</f>
        <v>0.2854614236619315</v>
      </c>
      <c r="G809" s="598">
        <f ca="1">SUM(J809:O809)</f>
        <v>948.78530176057029</v>
      </c>
      <c r="H809" s="8"/>
      <c r="I809" s="8"/>
      <c r="J809" s="598">
        <f>J808</f>
        <v>-548.28427893070352</v>
      </c>
      <c r="K809" s="655">
        <v>0</v>
      </c>
      <c r="L809" s="655">
        <v>0</v>
      </c>
      <c r="M809" s="655">
        <v>0</v>
      </c>
      <c r="N809" s="600">
        <f ca="1">N$799</f>
        <v>1497.0695807003024</v>
      </c>
      <c r="O809" s="8"/>
    </row>
    <row r="810" spans="1:15" ht="13.35" customHeight="1">
      <c r="A810" s="8"/>
      <c r="B810" s="8"/>
      <c r="C810" s="8" t="str">
        <f>"Exit at the End of "&amp;O805</f>
        <v>Exit at the End of 2026</v>
      </c>
      <c r="D810" s="8"/>
      <c r="E810" s="8"/>
      <c r="F810" s="601">
        <f ca="1">IFERROR(IRR(J810:O810),"N/A")</f>
        <v>0.28582518872765572</v>
      </c>
      <c r="G810" s="598">
        <f ca="1">SUM(J810:O810)</f>
        <v>1378.8653651911447</v>
      </c>
      <c r="H810" s="8"/>
      <c r="I810" s="8"/>
      <c r="J810" s="598">
        <f>J809</f>
        <v>-548.28427893070352</v>
      </c>
      <c r="K810" s="655">
        <v>0</v>
      </c>
      <c r="L810" s="655">
        <v>0</v>
      </c>
      <c r="M810" s="655">
        <v>0</v>
      </c>
      <c r="N810" s="655">
        <v>0</v>
      </c>
      <c r="O810" s="600">
        <f ca="1">O$799</f>
        <v>1927.1496483695644</v>
      </c>
    </row>
    <row r="811" spans="1:15" ht="6" customHeight="1">
      <c r="A811" s="8"/>
      <c r="B811" s="35"/>
      <c r="C811" s="35"/>
      <c r="D811" s="35"/>
      <c r="E811" s="35"/>
      <c r="F811" s="336"/>
      <c r="G811" s="35"/>
      <c r="H811" s="35"/>
      <c r="I811" s="35"/>
      <c r="J811" s="35"/>
      <c r="K811" s="35"/>
      <c r="L811" s="35"/>
      <c r="M811" s="35"/>
      <c r="N811" s="35"/>
      <c r="O811" s="35"/>
    </row>
  </sheetData>
  <sheetProtection formatCells="0" formatColumns="0" formatRows="0" insertColumns="0" insertRows="0"/>
  <conditionalFormatting sqref="J761:O761">
    <cfRule type="expression" dxfId="3" priority="2" stopIfTrue="1">
      <formula>J761&gt;J759</formula>
    </cfRule>
  </conditionalFormatting>
  <conditionalFormatting sqref="K766:O766">
    <cfRule type="expression" dxfId="2" priority="1" stopIfTrue="1">
      <formula>K766&lt;K764</formula>
    </cfRule>
  </conditionalFormatting>
  <printOptions horizontalCentered="1"/>
  <pageMargins left="0.25" right="0.25" top="0.25" bottom="0.5" header="0.25" footer="0.25"/>
  <pageSetup scale="10" orientation="landscape" r:id="rId1"/>
  <headerFooter alignWithMargins="0">
    <oddFooter>&amp;L&amp;"Times New Roman,Bold"&amp;9The Marquee Group
&amp;"Times New Roman,Regular"C:\My Documents\Hudson LBO Model.xls&amp;C&amp;"Times New Roman,Regular"&amp;9Page &amp;P of &amp;N&amp;R&amp;"Times New Roman,Regular"&amp;9&amp;D  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rop Down 1">
              <controlPr defaultSize="0" autoLine="0" autoPict="0">
                <anchor moveWithCells="1">
                  <from>
                    <xdr:col>4</xdr:col>
                    <xdr:colOff>678180</xdr:colOff>
                    <xdr:row>188</xdr:row>
                    <xdr:rowOff>91440</xdr:rowOff>
                  </from>
                  <to>
                    <xdr:col>6</xdr:col>
                    <xdr:colOff>68580</xdr:colOff>
                    <xdr:row>190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969-0D08-47EC-A932-1EFCBCA80991}">
  <sheetPr>
    <pageSetUpPr fitToPage="1"/>
  </sheetPr>
  <dimension ref="A3:R812"/>
  <sheetViews>
    <sheetView showGridLines="0" topLeftCell="A473" zoomScaleNormal="100" zoomScaleSheetLayoutView="90" workbookViewId="0">
      <selection activeCell="K520" sqref="K520"/>
    </sheetView>
  </sheetViews>
  <sheetFormatPr defaultColWidth="9.44140625" defaultRowHeight="13.2"/>
  <cols>
    <col min="1" max="1" width="2.5546875" style="4" customWidth="1"/>
    <col min="2" max="2" width="1.88671875" style="4" customWidth="1"/>
    <col min="3" max="3" width="2.44140625" style="4" customWidth="1"/>
    <col min="4" max="4" width="22.44140625" style="4" bestFit="1" customWidth="1"/>
    <col min="5" max="5" width="12.5546875" style="4" customWidth="1"/>
    <col min="6" max="6" width="10.44140625" style="4" customWidth="1"/>
    <col min="7" max="15" width="9.5546875" style="4" customWidth="1"/>
    <col min="16" max="16384" width="9.44140625" style="4"/>
  </cols>
  <sheetData>
    <row r="3" spans="2:18" ht="22.8">
      <c r="B3" s="1" t="s">
        <v>11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8" ht="17.399999999999999">
      <c r="B4" s="5" t="s">
        <v>12</v>
      </c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8" ht="6" customHeight="1" thickBot="1"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2:18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8">
      <c r="B7" s="8"/>
      <c r="C7" s="9" t="s">
        <v>13</v>
      </c>
      <c r="D7" s="10"/>
      <c r="E7" s="10"/>
      <c r="F7" s="10"/>
      <c r="G7" s="10"/>
      <c r="H7" s="10"/>
      <c r="I7" s="10"/>
      <c r="J7" s="11"/>
      <c r="L7" s="9" t="s">
        <v>14</v>
      </c>
      <c r="M7" s="12"/>
      <c r="N7" s="12"/>
      <c r="O7" s="12"/>
      <c r="P7" s="13"/>
    </row>
    <row r="8" spans="2:18" ht="15.6">
      <c r="B8" s="8"/>
      <c r="C8" s="14"/>
      <c r="D8" s="8"/>
      <c r="E8" s="8"/>
      <c r="F8" s="8"/>
      <c r="G8" s="8"/>
      <c r="H8" s="8"/>
      <c r="I8" s="8"/>
      <c r="J8" s="15"/>
      <c r="L8" s="14"/>
      <c r="M8" s="8"/>
      <c r="N8" s="8"/>
      <c r="O8" s="8"/>
      <c r="P8" s="15"/>
      <c r="R8" s="8"/>
    </row>
    <row r="9" spans="2:18" ht="15.6">
      <c r="B9" s="16"/>
      <c r="C9" s="17"/>
      <c r="D9" s="602" t="str">
        <f>CONCATENATE(J242," Adjusted EBITDA")</f>
        <v>2021 Adjusted EBITDA</v>
      </c>
      <c r="E9" s="18"/>
      <c r="F9" s="18"/>
      <c r="G9" s="19">
        <f>J345</f>
        <v>158.19406029629624</v>
      </c>
      <c r="H9" s="19"/>
      <c r="I9" s="19"/>
      <c r="J9" s="20"/>
      <c r="L9" s="21"/>
      <c r="M9" s="16"/>
      <c r="N9" s="22" t="s">
        <v>15</v>
      </c>
      <c r="O9" s="23" t="s">
        <v>16</v>
      </c>
      <c r="P9" s="24"/>
      <c r="R9" s="8"/>
    </row>
    <row r="10" spans="2:18" ht="15.6">
      <c r="B10" s="16"/>
      <c r="C10" s="17"/>
      <c r="D10" s="25" t="s">
        <v>17</v>
      </c>
      <c r="E10" s="16"/>
      <c r="F10" s="16"/>
      <c r="G10" s="26">
        <v>10</v>
      </c>
      <c r="H10" s="27"/>
      <c r="I10" s="27"/>
      <c r="J10" s="20"/>
      <c r="L10" s="28">
        <f>K242</f>
        <v>2022</v>
      </c>
      <c r="M10" s="16"/>
      <c r="N10" s="19">
        <f>K345</f>
        <v>140.28343822222212</v>
      </c>
      <c r="O10" s="29">
        <f>$G$11/N10</f>
        <v>11.276745302300192</v>
      </c>
      <c r="P10" s="24"/>
      <c r="R10" s="16"/>
    </row>
    <row r="11" spans="2:18" ht="16.2" thickBot="1">
      <c r="B11" s="16"/>
      <c r="C11" s="17"/>
      <c r="D11" s="30" t="s">
        <v>18</v>
      </c>
      <c r="E11" s="16"/>
      <c r="F11" s="16"/>
      <c r="G11" s="31">
        <f>G10*G9</f>
        <v>1581.9406029629624</v>
      </c>
      <c r="H11" s="32"/>
      <c r="I11" s="32"/>
      <c r="J11" s="20"/>
      <c r="L11" s="28">
        <f>L242</f>
        <v>2023</v>
      </c>
      <c r="M11" s="16"/>
      <c r="N11" s="603">
        <f>L345</f>
        <v>158.46792730105267</v>
      </c>
      <c r="O11" s="29">
        <f>$G$11/N11</f>
        <v>9.9827178275490311</v>
      </c>
      <c r="P11" s="24"/>
      <c r="R11" s="16"/>
    </row>
    <row r="12" spans="2:18" ht="16.2" thickTop="1">
      <c r="B12" s="8"/>
      <c r="C12" s="33"/>
      <c r="D12" s="34"/>
      <c r="E12" s="35"/>
      <c r="F12" s="35"/>
      <c r="G12" s="35"/>
      <c r="H12" s="35"/>
      <c r="I12" s="35"/>
      <c r="J12" s="36"/>
      <c r="L12" s="37"/>
      <c r="M12" s="35"/>
      <c r="N12" s="35"/>
      <c r="O12" s="35"/>
      <c r="P12" s="36"/>
      <c r="R12" s="8"/>
    </row>
    <row r="13" spans="2:18" ht="15.6">
      <c r="B13" s="8"/>
      <c r="C13" s="38"/>
      <c r="D13" s="39"/>
      <c r="E13" s="8"/>
      <c r="F13" s="8"/>
      <c r="G13" s="8"/>
      <c r="H13" s="8"/>
      <c r="I13" s="8"/>
      <c r="J13" s="8"/>
      <c r="L13" s="8"/>
      <c r="M13" s="8"/>
      <c r="N13" s="8"/>
      <c r="O13" s="8"/>
      <c r="P13" s="8"/>
      <c r="R13" s="8"/>
    </row>
    <row r="15" spans="2:18">
      <c r="B15" s="8"/>
      <c r="C15" s="9" t="s">
        <v>19</v>
      </c>
      <c r="D15" s="10"/>
      <c r="E15" s="10"/>
      <c r="F15" s="10"/>
      <c r="G15" s="10"/>
      <c r="H15" s="10"/>
      <c r="I15" s="10"/>
      <c r="J15" s="11"/>
      <c r="L15" s="9" t="s">
        <v>20</v>
      </c>
      <c r="M15" s="10"/>
      <c r="N15" s="10"/>
      <c r="O15" s="10"/>
      <c r="P15" s="11"/>
      <c r="R15" s="8"/>
    </row>
    <row r="16" spans="2:18">
      <c r="B16" s="8"/>
      <c r="C16" s="40"/>
      <c r="D16" s="8"/>
      <c r="E16" s="8"/>
      <c r="F16" s="8"/>
      <c r="G16" s="8"/>
      <c r="H16" s="8"/>
      <c r="I16" s="8"/>
      <c r="J16" s="15"/>
      <c r="L16" s="40"/>
      <c r="M16" s="8"/>
      <c r="N16" s="8"/>
      <c r="O16" s="8"/>
      <c r="P16" s="15"/>
      <c r="R16" s="8"/>
    </row>
    <row r="17" spans="2:18">
      <c r="B17" s="8"/>
      <c r="C17" s="41"/>
      <c r="D17" s="42"/>
      <c r="E17" s="43" t="s">
        <v>21</v>
      </c>
      <c r="F17" s="43"/>
      <c r="G17" s="43" t="s">
        <v>22</v>
      </c>
      <c r="H17" s="43"/>
      <c r="I17" s="43"/>
      <c r="J17" s="44"/>
      <c r="L17" s="41"/>
      <c r="M17" s="8"/>
      <c r="N17" s="8"/>
      <c r="O17" s="8"/>
      <c r="P17" s="15"/>
      <c r="R17" s="8"/>
    </row>
    <row r="18" spans="2:18">
      <c r="B18" s="8"/>
      <c r="C18" s="41"/>
      <c r="D18" s="45" t="s">
        <v>23</v>
      </c>
      <c r="E18" s="46" t="s">
        <v>15</v>
      </c>
      <c r="F18" s="46" t="s">
        <v>24</v>
      </c>
      <c r="G18" s="46" t="s">
        <v>25</v>
      </c>
      <c r="H18" s="46"/>
      <c r="I18" s="46" t="s">
        <v>26</v>
      </c>
      <c r="J18" s="44"/>
      <c r="L18" s="47" t="s">
        <v>27</v>
      </c>
      <c r="M18" s="48"/>
      <c r="N18" s="35"/>
      <c r="O18" s="46" t="s">
        <v>28</v>
      </c>
      <c r="P18" s="49" t="s">
        <v>29</v>
      </c>
      <c r="R18" s="8"/>
    </row>
    <row r="19" spans="2:18">
      <c r="B19" s="8"/>
      <c r="C19" s="41"/>
      <c r="D19" s="50"/>
      <c r="E19" s="43"/>
      <c r="F19" s="51" t="s">
        <v>30</v>
      </c>
      <c r="G19" s="43"/>
      <c r="H19" s="43"/>
      <c r="I19" s="43"/>
      <c r="J19" s="44"/>
      <c r="L19" s="41"/>
      <c r="N19" s="52" t="s">
        <v>31</v>
      </c>
      <c r="O19" s="8"/>
      <c r="P19" s="53" t="str">
        <f>F19</f>
        <v>($MM)</v>
      </c>
      <c r="R19" s="8"/>
    </row>
    <row r="20" spans="2:18">
      <c r="B20" s="8"/>
      <c r="C20" s="41"/>
      <c r="D20" s="8" t="s">
        <v>32</v>
      </c>
      <c r="E20" s="27"/>
      <c r="F20" s="19">
        <f>H425</f>
        <v>5</v>
      </c>
      <c r="G20" s="54">
        <f t="shared" ref="G20:G25" si="0">F20/$F$34</f>
        <v>3.1008739588772823E-3</v>
      </c>
      <c r="H20" s="54"/>
      <c r="I20" s="55">
        <v>5.0000000000000001E-3</v>
      </c>
      <c r="J20" s="15"/>
      <c r="L20" s="41" t="str">
        <f>D21</f>
        <v>Revolver</v>
      </c>
      <c r="N20" s="56">
        <v>125</v>
      </c>
      <c r="O20" s="57">
        <v>5.0000000000000001E-3</v>
      </c>
      <c r="P20" s="58">
        <f>O20*N20</f>
        <v>0.625</v>
      </c>
      <c r="R20" s="8"/>
    </row>
    <row r="21" spans="2:18">
      <c r="B21" s="8"/>
      <c r="C21" s="41"/>
      <c r="D21" s="8" t="s">
        <v>33</v>
      </c>
      <c r="E21" s="26">
        <v>0.5</v>
      </c>
      <c r="F21" s="19">
        <f>E21*$G$9</f>
        <v>79.097030148148121</v>
      </c>
      <c r="G21" s="54">
        <f t="shared" si="0"/>
        <v>4.9053984202184764E-2</v>
      </c>
      <c r="H21" s="54"/>
      <c r="I21" s="59" t="s">
        <v>34</v>
      </c>
      <c r="J21" s="15"/>
      <c r="L21" s="41" t="s">
        <v>35</v>
      </c>
      <c r="N21" s="8"/>
      <c r="O21" s="60">
        <v>7.0000000000000001E-3</v>
      </c>
      <c r="P21" s="58">
        <f>O21*(F22+F23)</f>
        <v>3.0452356607037023</v>
      </c>
      <c r="R21" s="8"/>
    </row>
    <row r="22" spans="2:18">
      <c r="B22" s="8"/>
      <c r="C22" s="41"/>
      <c r="D22" s="8" t="s">
        <v>36</v>
      </c>
      <c r="E22" s="26">
        <v>1.5</v>
      </c>
      <c r="F22" s="19">
        <f>E22*$G$9</f>
        <v>237.29109044444436</v>
      </c>
      <c r="G22" s="54">
        <f t="shared" si="0"/>
        <v>0.14716195260655429</v>
      </c>
      <c r="H22" s="54"/>
      <c r="I22" s="59" t="s">
        <v>34</v>
      </c>
      <c r="J22" s="15"/>
      <c r="L22" s="41" t="str">
        <f>D24</f>
        <v>Senior Notes</v>
      </c>
      <c r="N22" s="8"/>
      <c r="O22" s="60">
        <v>0.02</v>
      </c>
      <c r="P22" s="58">
        <f>O22*F24</f>
        <v>4.7458218088888877</v>
      </c>
      <c r="R22" s="8"/>
    </row>
    <row r="23" spans="2:18">
      <c r="B23" s="8"/>
      <c r="C23" s="41"/>
      <c r="D23" s="8" t="s">
        <v>37</v>
      </c>
      <c r="E23" s="26">
        <v>1.25</v>
      </c>
      <c r="F23" s="19">
        <f>E23*$G$9</f>
        <v>197.7425753703703</v>
      </c>
      <c r="G23" s="54">
        <f t="shared" si="0"/>
        <v>0.12263496050546191</v>
      </c>
      <c r="H23" s="54"/>
      <c r="I23" s="59" t="s">
        <v>34</v>
      </c>
      <c r="J23" s="15"/>
      <c r="L23" s="41" t="str">
        <f>D25</f>
        <v>Mezzanine</v>
      </c>
      <c r="N23" s="8"/>
      <c r="O23" s="60">
        <v>0.03</v>
      </c>
      <c r="P23" s="58">
        <f>O23*F25</f>
        <v>5.9322772611111088</v>
      </c>
      <c r="R23" s="8"/>
    </row>
    <row r="24" spans="2:18">
      <c r="B24" s="8"/>
      <c r="C24" s="41"/>
      <c r="D24" s="8" t="s">
        <v>38</v>
      </c>
      <c r="E24" s="26">
        <v>1.5</v>
      </c>
      <c r="F24" s="19">
        <f>E24*$G$9</f>
        <v>237.29109044444436</v>
      </c>
      <c r="G24" s="54">
        <f t="shared" si="0"/>
        <v>0.14716195260655429</v>
      </c>
      <c r="H24" s="54"/>
      <c r="I24" s="61">
        <v>5.5E-2</v>
      </c>
      <c r="J24" s="15"/>
      <c r="L24" s="41" t="s">
        <v>39</v>
      </c>
      <c r="N24" s="8"/>
      <c r="O24" s="60">
        <v>5.0000000000000001E-3</v>
      </c>
      <c r="P24" s="58">
        <f>O24*G11</f>
        <v>7.909703014814812</v>
      </c>
      <c r="R24" s="8"/>
    </row>
    <row r="25" spans="2:18">
      <c r="B25" s="8"/>
      <c r="C25" s="41"/>
      <c r="D25" s="8" t="s">
        <v>40</v>
      </c>
      <c r="E25" s="62">
        <v>1.25</v>
      </c>
      <c r="F25" s="63">
        <f>E25*$G$9</f>
        <v>197.7425753703703</v>
      </c>
      <c r="G25" s="64">
        <f t="shared" si="0"/>
        <v>0.12263496050546191</v>
      </c>
      <c r="H25" s="54"/>
      <c r="I25" s="61">
        <v>7.0000000000000007E-2</v>
      </c>
      <c r="J25" s="15"/>
      <c r="L25" s="41" t="s">
        <v>41</v>
      </c>
      <c r="N25" s="8"/>
      <c r="O25" s="8"/>
      <c r="P25" s="65">
        <v>1.5</v>
      </c>
      <c r="R25" s="8"/>
    </row>
    <row r="26" spans="2:18">
      <c r="B26" s="8"/>
      <c r="C26" s="41"/>
      <c r="D26" s="42" t="s">
        <v>42</v>
      </c>
      <c r="E26" s="66">
        <f>SUM(E20:E25)</f>
        <v>6</v>
      </c>
      <c r="F26" s="67">
        <f>SUM(F20:F25)</f>
        <v>954.16436177777746</v>
      </c>
      <c r="G26" s="604">
        <f>SUM(G20:G25)</f>
        <v>0.59174868438509454</v>
      </c>
      <c r="H26" s="68"/>
      <c r="I26" s="8"/>
      <c r="J26" s="15"/>
      <c r="L26" s="41" t="s">
        <v>43</v>
      </c>
      <c r="N26" s="8"/>
      <c r="O26" s="8"/>
      <c r="P26" s="65">
        <v>1</v>
      </c>
      <c r="R26" s="8"/>
    </row>
    <row r="27" spans="2:18">
      <c r="B27" s="8"/>
      <c r="C27" s="41"/>
      <c r="D27" s="8"/>
      <c r="E27" s="8"/>
      <c r="F27" s="8"/>
      <c r="G27" s="8"/>
      <c r="H27" s="8"/>
      <c r="I27" s="43"/>
      <c r="J27" s="15"/>
      <c r="L27" s="41" t="s">
        <v>44</v>
      </c>
      <c r="N27" s="8"/>
      <c r="O27" s="8"/>
      <c r="P27" s="65">
        <v>0.5</v>
      </c>
      <c r="R27" s="8"/>
    </row>
    <row r="28" spans="2:18">
      <c r="B28" s="8"/>
      <c r="C28" s="41"/>
      <c r="D28" s="45" t="s">
        <v>45</v>
      </c>
      <c r="E28" s="46" t="s">
        <v>46</v>
      </c>
      <c r="F28" s="46" t="s">
        <v>24</v>
      </c>
      <c r="G28" s="46" t="s">
        <v>47</v>
      </c>
      <c r="H28" s="46"/>
      <c r="I28" s="46" t="s">
        <v>48</v>
      </c>
      <c r="J28" s="15"/>
      <c r="L28" s="41" t="s">
        <v>49</v>
      </c>
      <c r="N28" s="8"/>
      <c r="O28" s="8"/>
      <c r="P28" s="69">
        <v>0.25</v>
      </c>
      <c r="R28" s="8"/>
    </row>
    <row r="29" spans="2:18" ht="13.8" thickBot="1">
      <c r="B29" s="8"/>
      <c r="C29" s="41"/>
      <c r="D29" s="8" t="s">
        <v>50</v>
      </c>
      <c r="E29" s="60">
        <v>0.12</v>
      </c>
      <c r="F29" s="70">
        <v>100</v>
      </c>
      <c r="G29" s="54">
        <f>F29/$F$34</f>
        <v>6.2017479177545645E-2</v>
      </c>
      <c r="H29" s="54"/>
      <c r="I29" s="60">
        <v>0</v>
      </c>
      <c r="J29" s="15"/>
      <c r="L29" s="71" t="s">
        <v>51</v>
      </c>
      <c r="N29" s="8"/>
      <c r="O29" s="8"/>
      <c r="P29" s="72">
        <f>SUM(P20:P28)</f>
        <v>25.508037745518511</v>
      </c>
      <c r="R29" s="8"/>
    </row>
    <row r="30" spans="2:18" ht="13.8" thickTop="1">
      <c r="B30" s="8"/>
      <c r="C30" s="41"/>
      <c r="D30" s="8" t="s">
        <v>52</v>
      </c>
      <c r="E30" s="60">
        <v>0.1</v>
      </c>
      <c r="F30" s="70">
        <v>10</v>
      </c>
      <c r="G30" s="54">
        <f>F30/$F$34</f>
        <v>6.2017479177545647E-3</v>
      </c>
      <c r="H30" s="54"/>
      <c r="I30" s="54">
        <f>F30/(F30+F31)</f>
        <v>1.7912021486890625E-2</v>
      </c>
      <c r="J30" s="15"/>
      <c r="L30" s="41"/>
      <c r="M30" s="8"/>
      <c r="N30" s="8"/>
      <c r="O30" s="8"/>
      <c r="P30" s="15"/>
      <c r="R30" s="8"/>
    </row>
    <row r="31" spans="2:18">
      <c r="B31" s="8"/>
      <c r="C31" s="41"/>
      <c r="D31" s="8" t="s">
        <v>53</v>
      </c>
      <c r="E31" s="54">
        <f>E30</f>
        <v>0.1</v>
      </c>
      <c r="F31" s="73">
        <f>F34-F26-F29-F30</f>
        <v>548.28427893070352</v>
      </c>
      <c r="G31" s="64">
        <f>F31/$F$34</f>
        <v>0.34003208851960537</v>
      </c>
      <c r="H31" s="54"/>
      <c r="I31" s="64">
        <f>F31/(F30+F31)</f>
        <v>0.98208797851310936</v>
      </c>
      <c r="J31" s="15"/>
      <c r="L31" s="41"/>
      <c r="M31" s="8"/>
      <c r="N31" s="8"/>
      <c r="O31" s="8"/>
      <c r="P31" s="74"/>
      <c r="R31" s="8"/>
    </row>
    <row r="32" spans="2:18">
      <c r="B32" s="8"/>
      <c r="C32" s="41"/>
      <c r="D32" s="42" t="s">
        <v>54</v>
      </c>
      <c r="E32" s="8"/>
      <c r="F32" s="67">
        <f>SUM(F29:F31)</f>
        <v>658.28427893070352</v>
      </c>
      <c r="G32" s="68">
        <f>SUM(G29:G31)</f>
        <v>0.40825131561490557</v>
      </c>
      <c r="H32" s="68"/>
      <c r="I32" s="68">
        <f>SUM(I29:I31)</f>
        <v>1</v>
      </c>
      <c r="J32" s="15"/>
      <c r="L32" s="41"/>
      <c r="M32" s="8"/>
      <c r="N32" s="8"/>
      <c r="O32" s="8"/>
      <c r="P32" s="74"/>
      <c r="R32" s="8"/>
    </row>
    <row r="33" spans="2:18">
      <c r="B33" s="8"/>
      <c r="C33" s="41"/>
      <c r="D33" s="8"/>
      <c r="E33" s="8"/>
      <c r="F33" s="8"/>
      <c r="G33" s="8"/>
      <c r="H33" s="8"/>
      <c r="I33" s="8"/>
      <c r="J33" s="15"/>
      <c r="L33" s="41"/>
      <c r="M33" s="42"/>
      <c r="N33" s="8"/>
      <c r="O33" s="8"/>
      <c r="P33" s="74"/>
      <c r="R33" s="8"/>
    </row>
    <row r="34" spans="2:18" ht="13.8" thickBot="1">
      <c r="B34" s="8"/>
      <c r="C34" s="41"/>
      <c r="D34" s="42" t="s">
        <v>55</v>
      </c>
      <c r="E34" s="8"/>
      <c r="F34" s="75">
        <f>F46</f>
        <v>1612.448640708481</v>
      </c>
      <c r="G34" s="76">
        <f>G26+G32</f>
        <v>1</v>
      </c>
      <c r="H34" s="68"/>
      <c r="I34" s="8"/>
      <c r="J34" s="15"/>
      <c r="L34" s="41"/>
      <c r="M34" s="42"/>
      <c r="N34" s="8"/>
      <c r="O34" s="8"/>
      <c r="P34" s="74"/>
      <c r="R34" s="8"/>
    </row>
    <row r="35" spans="2:18" ht="13.8" thickTop="1">
      <c r="B35" s="8"/>
      <c r="C35" s="77"/>
      <c r="D35" s="35"/>
      <c r="E35" s="35"/>
      <c r="F35" s="35"/>
      <c r="G35" s="35"/>
      <c r="H35" s="35"/>
      <c r="I35" s="35"/>
      <c r="J35" s="36"/>
      <c r="L35" s="77"/>
      <c r="M35" s="35"/>
      <c r="N35" s="35"/>
      <c r="O35" s="35"/>
      <c r="P35" s="36"/>
      <c r="R35" s="8"/>
    </row>
    <row r="36" spans="2:18">
      <c r="B36" s="8"/>
      <c r="C36" s="8"/>
      <c r="D36" s="8"/>
      <c r="E36" s="8"/>
      <c r="F36" s="8"/>
      <c r="G36" s="8"/>
      <c r="H36" s="8"/>
      <c r="I36" s="8"/>
      <c r="J36" s="8"/>
      <c r="L36" s="8"/>
      <c r="M36" s="8"/>
      <c r="N36" s="8"/>
      <c r="O36" s="8"/>
      <c r="P36" s="8"/>
      <c r="R36" s="8"/>
    </row>
    <row r="37" spans="2:18">
      <c r="B37" s="8"/>
      <c r="C37" s="8"/>
      <c r="D37" s="8"/>
      <c r="E37" s="8"/>
      <c r="F37" s="8"/>
      <c r="G37" s="8"/>
      <c r="H37" s="8"/>
      <c r="I37" s="8"/>
      <c r="J37" s="8"/>
      <c r="L37" s="8"/>
      <c r="M37" s="8"/>
      <c r="N37" s="8"/>
      <c r="O37" s="8"/>
      <c r="P37" s="8"/>
      <c r="R37" s="8"/>
    </row>
    <row r="38" spans="2:18">
      <c r="B38" s="8"/>
      <c r="C38" s="9" t="s">
        <v>56</v>
      </c>
      <c r="D38" s="10"/>
      <c r="E38" s="10"/>
      <c r="F38" s="10"/>
      <c r="G38" s="10"/>
      <c r="H38" s="10"/>
      <c r="I38" s="10"/>
      <c r="J38" s="11"/>
      <c r="L38" s="9" t="s">
        <v>57</v>
      </c>
      <c r="M38" s="10"/>
      <c r="N38" s="10"/>
      <c r="O38" s="10"/>
      <c r="P38" s="11"/>
      <c r="R38" s="8"/>
    </row>
    <row r="39" spans="2:18">
      <c r="B39" s="8"/>
      <c r="C39" s="41"/>
      <c r="D39" s="8"/>
      <c r="E39" s="8"/>
      <c r="F39" s="8"/>
      <c r="G39" s="8"/>
      <c r="H39" s="8"/>
      <c r="I39" s="8"/>
      <c r="J39" s="15"/>
      <c r="L39" s="41"/>
      <c r="M39" s="8"/>
      <c r="N39" s="8"/>
      <c r="O39" s="8"/>
      <c r="P39" s="15"/>
      <c r="R39" s="8"/>
    </row>
    <row r="40" spans="2:18">
      <c r="B40" s="8"/>
      <c r="C40" s="41"/>
      <c r="D40" s="8"/>
      <c r="E40" s="8"/>
      <c r="F40" s="8"/>
      <c r="G40" s="43" t="s">
        <v>58</v>
      </c>
      <c r="H40" s="43"/>
      <c r="I40" s="43" t="s">
        <v>15</v>
      </c>
      <c r="J40" s="15"/>
      <c r="L40" s="41" t="s">
        <v>59</v>
      </c>
      <c r="M40" s="8"/>
      <c r="N40" s="8"/>
      <c r="P40" s="78">
        <f>G11</f>
        <v>1581.9406029629624</v>
      </c>
      <c r="R40" s="8"/>
    </row>
    <row r="41" spans="2:18">
      <c r="B41" s="8"/>
      <c r="C41" s="41"/>
      <c r="D41" s="45" t="s">
        <v>60</v>
      </c>
      <c r="E41" s="35"/>
      <c r="F41" s="46" t="s">
        <v>24</v>
      </c>
      <c r="G41" s="46" t="s">
        <v>0</v>
      </c>
      <c r="H41" s="46"/>
      <c r="I41" s="46" t="s">
        <v>16</v>
      </c>
      <c r="J41" s="15"/>
      <c r="L41" s="41" t="s">
        <v>61</v>
      </c>
      <c r="M41" s="8"/>
      <c r="N41" s="8"/>
      <c r="P41" s="605">
        <f>-(H438+SUM(H444:H447)-H425)</f>
        <v>-375</v>
      </c>
      <c r="R41" s="8"/>
    </row>
    <row r="42" spans="2:18">
      <c r="B42" s="8"/>
      <c r="C42" s="41"/>
      <c r="D42" s="8"/>
      <c r="E42" s="8"/>
      <c r="F42" s="51" t="str">
        <f>F19</f>
        <v>($MM)</v>
      </c>
      <c r="G42" s="8"/>
      <c r="H42" s="8"/>
      <c r="I42" s="8"/>
      <c r="J42" s="15"/>
      <c r="L42" s="71" t="s">
        <v>62</v>
      </c>
      <c r="M42" s="8"/>
      <c r="N42" s="8"/>
      <c r="P42" s="80">
        <f>SUM(P40:P41)</f>
        <v>1206.9406029629624</v>
      </c>
      <c r="R42" s="8"/>
    </row>
    <row r="43" spans="2:18">
      <c r="B43" s="8"/>
      <c r="C43" s="41"/>
      <c r="D43" s="8" t="s">
        <v>63</v>
      </c>
      <c r="E43" s="8"/>
      <c r="F43" s="81">
        <f>P42</f>
        <v>1206.9406029629624</v>
      </c>
      <c r="G43" s="54">
        <f>F43/$F$46</f>
        <v>0.74851413712789905</v>
      </c>
      <c r="H43" s="54"/>
      <c r="I43" s="82">
        <f>F43/$G$9</f>
        <v>7.6294938046496314</v>
      </c>
      <c r="J43" s="15"/>
      <c r="L43" s="41"/>
      <c r="M43" s="8"/>
      <c r="N43" s="8"/>
      <c r="P43" s="15"/>
      <c r="R43" s="8"/>
    </row>
    <row r="44" spans="2:18">
      <c r="B44" s="8"/>
      <c r="C44" s="41"/>
      <c r="D44" s="8" t="s">
        <v>64</v>
      </c>
      <c r="E44" s="8"/>
      <c r="F44" s="81">
        <f>H438+SUM(H444:H447)</f>
        <v>380</v>
      </c>
      <c r="G44" s="54">
        <f>F44/$F$46</f>
        <v>0.23566642087467346</v>
      </c>
      <c r="H44" s="54"/>
      <c r="I44" s="82">
        <f>F44/$G$9</f>
        <v>2.4021129446217069</v>
      </c>
      <c r="J44" s="15"/>
      <c r="L44" s="41" t="s">
        <v>65</v>
      </c>
      <c r="M44" s="8"/>
      <c r="N44" s="8"/>
      <c r="P44" s="78">
        <f>H455-H432</f>
        <v>821.7</v>
      </c>
      <c r="R44" s="8"/>
    </row>
    <row r="45" spans="2:18">
      <c r="B45" s="8"/>
      <c r="C45" s="41"/>
      <c r="D45" s="8" t="s">
        <v>66</v>
      </c>
      <c r="E45" s="8"/>
      <c r="F45" s="73">
        <f>P29</f>
        <v>25.508037745518511</v>
      </c>
      <c r="G45" s="64">
        <f>F45/$F$46</f>
        <v>1.5819441997427425E-2</v>
      </c>
      <c r="H45" s="64"/>
      <c r="I45" s="83">
        <f>F45/$G$9</f>
        <v>0.16124523068528715</v>
      </c>
      <c r="J45" s="15"/>
      <c r="L45" s="41" t="s">
        <v>67</v>
      </c>
      <c r="M45" s="8"/>
      <c r="N45" s="8"/>
      <c r="P45" s="84">
        <v>50</v>
      </c>
      <c r="R45" s="8"/>
    </row>
    <row r="46" spans="2:18" ht="13.8" thickBot="1">
      <c r="B46" s="8"/>
      <c r="C46" s="41"/>
      <c r="D46" s="42" t="s">
        <v>68</v>
      </c>
      <c r="E46" s="8"/>
      <c r="F46" s="67">
        <f>SUM(F43:F45)</f>
        <v>1612.448640708481</v>
      </c>
      <c r="G46" s="68">
        <f>SUM(G43:G45)</f>
        <v>1</v>
      </c>
      <c r="H46" s="68"/>
      <c r="I46" s="85">
        <f>SUM(I43:I45)</f>
        <v>10.192851979956625</v>
      </c>
      <c r="J46" s="15"/>
      <c r="L46" s="71" t="s">
        <v>69</v>
      </c>
      <c r="M46" s="42"/>
      <c r="N46" s="42"/>
      <c r="P46" s="72">
        <f>P42-P44-P45</f>
        <v>335.24060296296238</v>
      </c>
      <c r="R46" s="8"/>
    </row>
    <row r="47" spans="2:18" ht="13.8" thickTop="1">
      <c r="B47" s="8"/>
      <c r="C47" s="77"/>
      <c r="D47" s="35"/>
      <c r="E47" s="35"/>
      <c r="F47" s="35"/>
      <c r="G47" s="35"/>
      <c r="H47" s="35"/>
      <c r="I47" s="35"/>
      <c r="J47" s="36"/>
      <c r="L47" s="77"/>
      <c r="M47" s="35"/>
      <c r="N47" s="35"/>
      <c r="O47" s="35"/>
      <c r="P47" s="79"/>
      <c r="R47" s="8"/>
    </row>
    <row r="48" spans="2:18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2:16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2" spans="2:16" ht="22.8">
      <c r="B52" s="86" t="str">
        <f>$B$3</f>
        <v>Moonbucks Corp.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2:16" ht="17.399999999999999">
      <c r="B53" s="5" t="s">
        <v>70</v>
      </c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2:16" ht="6" customHeight="1" thickBot="1"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2:16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2:16">
      <c r="B56" s="8"/>
      <c r="C56" s="9" t="s">
        <v>71</v>
      </c>
      <c r="D56" s="10"/>
      <c r="E56" s="10"/>
      <c r="F56" s="10"/>
      <c r="G56" s="10"/>
      <c r="H56" s="11"/>
      <c r="I56" s="8"/>
      <c r="J56" s="9" t="s">
        <v>72</v>
      </c>
      <c r="K56" s="87"/>
      <c r="L56" s="87"/>
      <c r="M56" s="87"/>
      <c r="N56" s="88"/>
    </row>
    <row r="57" spans="2:16">
      <c r="B57" s="8"/>
      <c r="C57" s="89" t="s">
        <v>73</v>
      </c>
      <c r="D57" s="90" t="s">
        <v>74</v>
      </c>
      <c r="E57" s="8"/>
      <c r="F57" s="8"/>
      <c r="G57" s="91">
        <v>2022</v>
      </c>
      <c r="H57" s="15"/>
      <c r="I57" s="8"/>
      <c r="J57" s="92" t="s">
        <v>75</v>
      </c>
      <c r="K57" s="8"/>
      <c r="L57" s="8"/>
      <c r="M57" s="8"/>
      <c r="N57" s="93">
        <v>350</v>
      </c>
    </row>
    <row r="58" spans="2:16">
      <c r="B58" s="8"/>
      <c r="C58" s="89" t="s">
        <v>73</v>
      </c>
      <c r="D58" s="94" t="str">
        <f>CONCATENATE("5-year cash flow model discounted to December 31, ",G57-1)</f>
        <v>5-year cash flow model discounted to December 31, 2021</v>
      </c>
      <c r="E58" s="8"/>
      <c r="F58" s="8"/>
      <c r="G58" s="8"/>
      <c r="H58" s="15"/>
      <c r="I58" s="8"/>
      <c r="J58" s="92" t="s">
        <v>76</v>
      </c>
      <c r="K58" s="16"/>
      <c r="L58" s="16"/>
      <c r="M58" s="16"/>
      <c r="N58" s="95">
        <v>39.5</v>
      </c>
      <c r="O58" s="8"/>
    </row>
    <row r="59" spans="2:16">
      <c r="B59" s="8"/>
      <c r="C59" s="89" t="s">
        <v>73</v>
      </c>
      <c r="D59" s="90" t="s">
        <v>77</v>
      </c>
      <c r="E59" s="8"/>
      <c r="F59" s="8"/>
      <c r="G59" s="8"/>
      <c r="H59" s="15"/>
      <c r="I59" s="8"/>
      <c r="J59" s="41"/>
      <c r="K59" s="8"/>
      <c r="L59" s="8"/>
      <c r="M59" s="8"/>
      <c r="N59" s="15"/>
      <c r="O59" s="8"/>
    </row>
    <row r="60" spans="2:16">
      <c r="B60" s="8"/>
      <c r="C60" s="96"/>
      <c r="D60" s="97" t="s">
        <v>78</v>
      </c>
      <c r="E60" s="35"/>
      <c r="F60" s="35"/>
      <c r="G60" s="35"/>
      <c r="H60" s="36"/>
      <c r="I60" s="8"/>
      <c r="J60" s="77"/>
      <c r="K60" s="35"/>
      <c r="L60" s="35"/>
      <c r="M60" s="35"/>
      <c r="N60" s="36"/>
      <c r="O60" s="8"/>
    </row>
    <row r="61" spans="2:16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2:16">
      <c r="B62" s="16"/>
      <c r="C62" s="9" t="s">
        <v>79</v>
      </c>
      <c r="D62" s="98"/>
      <c r="E62" s="87"/>
      <c r="F62" s="87"/>
      <c r="G62" s="87"/>
      <c r="H62" s="88"/>
      <c r="I62" s="16"/>
      <c r="J62" s="99" t="s">
        <v>80</v>
      </c>
      <c r="K62" s="10"/>
      <c r="L62" s="10"/>
      <c r="M62" s="10"/>
      <c r="N62" s="11"/>
      <c r="O62" s="16"/>
    </row>
    <row r="63" spans="2:16">
      <c r="B63" s="8"/>
      <c r="C63" s="89" t="s">
        <v>73</v>
      </c>
      <c r="D63" s="94" t="s">
        <v>81</v>
      </c>
      <c r="E63" s="8"/>
      <c r="F63" s="8"/>
      <c r="G63" s="8"/>
      <c r="H63" s="15"/>
      <c r="I63" s="8"/>
      <c r="J63" s="92" t="s">
        <v>82</v>
      </c>
      <c r="K63" s="8"/>
      <c r="L63" s="8"/>
      <c r="M63" s="8"/>
      <c r="N63" s="15"/>
      <c r="O63" s="8"/>
    </row>
    <row r="64" spans="2:16">
      <c r="B64" s="8"/>
      <c r="C64" s="100" t="s">
        <v>83</v>
      </c>
      <c r="D64" s="101"/>
      <c r="E64" s="102" t="str">
        <f>K190&amp;" - "&amp;O190</f>
        <v>2022 - 2026</v>
      </c>
      <c r="F64" s="103"/>
      <c r="G64" s="102" t="s">
        <v>84</v>
      </c>
      <c r="H64" s="104"/>
      <c r="I64" s="8"/>
      <c r="J64" s="92" t="s">
        <v>85</v>
      </c>
      <c r="K64" s="8"/>
      <c r="L64" s="8"/>
      <c r="M64" s="8"/>
      <c r="N64" s="105">
        <v>0.35</v>
      </c>
      <c r="O64" s="8"/>
    </row>
    <row r="65" spans="2:16" ht="15.6">
      <c r="B65" s="106"/>
      <c r="C65" s="107" t="s">
        <v>7</v>
      </c>
      <c r="D65" s="8"/>
      <c r="E65" s="3" t="s">
        <v>86</v>
      </c>
      <c r="F65" s="3"/>
      <c r="G65" s="3" t="s">
        <v>87</v>
      </c>
      <c r="H65" s="108"/>
      <c r="I65" s="30"/>
      <c r="J65" s="92" t="s">
        <v>88</v>
      </c>
      <c r="K65" s="8"/>
      <c r="L65" s="8"/>
      <c r="M65" s="8"/>
      <c r="N65" s="105">
        <v>0.15</v>
      </c>
      <c r="O65" s="106"/>
    </row>
    <row r="66" spans="2:16">
      <c r="B66" s="8"/>
      <c r="C66" s="107" t="s">
        <v>8</v>
      </c>
      <c r="D66" s="8"/>
      <c r="E66" s="109">
        <v>0.03</v>
      </c>
      <c r="F66" s="3"/>
      <c r="G66" s="3" t="s">
        <v>87</v>
      </c>
      <c r="H66" s="108"/>
      <c r="I66" s="90"/>
      <c r="J66" s="92" t="s">
        <v>89</v>
      </c>
      <c r="K66" s="8"/>
      <c r="L66" s="8"/>
      <c r="M66" s="8"/>
      <c r="N66" s="110">
        <v>32.5</v>
      </c>
      <c r="O66" s="8"/>
    </row>
    <row r="67" spans="2:16">
      <c r="B67" s="8"/>
      <c r="C67" s="111" t="s">
        <v>9</v>
      </c>
      <c r="D67" s="35"/>
      <c r="E67" s="112">
        <v>-0.03</v>
      </c>
      <c r="F67" s="113"/>
      <c r="G67" s="113" t="s">
        <v>87</v>
      </c>
      <c r="H67" s="114"/>
      <c r="I67" s="90"/>
      <c r="J67" s="115" t="s">
        <v>90</v>
      </c>
      <c r="K67" s="35"/>
      <c r="L67" s="35"/>
      <c r="M67" s="35"/>
      <c r="N67" s="116">
        <v>580.79999999999995</v>
      </c>
      <c r="O67" s="8"/>
    </row>
    <row r="68" spans="2:16">
      <c r="B68" s="8"/>
      <c r="C68" s="8"/>
      <c r="D68" s="8"/>
      <c r="E68" s="8"/>
      <c r="F68" s="8"/>
      <c r="G68" s="8"/>
      <c r="H68" s="8"/>
      <c r="I68" s="90"/>
      <c r="J68" s="8"/>
      <c r="K68" s="8"/>
      <c r="L68" s="8"/>
      <c r="M68" s="8"/>
      <c r="N68" s="8"/>
      <c r="O68" s="8"/>
    </row>
    <row r="69" spans="2:16">
      <c r="B69" s="8"/>
      <c r="C69" s="9" t="s">
        <v>91</v>
      </c>
      <c r="D69" s="117"/>
      <c r="E69" s="10"/>
      <c r="F69" s="10"/>
      <c r="G69" s="10"/>
      <c r="H69" s="11"/>
      <c r="I69" s="8"/>
      <c r="J69" s="9" t="s">
        <v>92</v>
      </c>
      <c r="K69" s="10"/>
      <c r="L69" s="10"/>
      <c r="M69" s="10"/>
      <c r="N69" s="11"/>
      <c r="O69" s="8"/>
    </row>
    <row r="70" spans="2:16">
      <c r="B70" s="8"/>
      <c r="C70" s="118" t="s">
        <v>93</v>
      </c>
      <c r="D70" s="119"/>
      <c r="E70" s="120">
        <f>G57</f>
        <v>2022</v>
      </c>
      <c r="F70" s="121"/>
      <c r="G70" s="120" t="s">
        <v>94</v>
      </c>
      <c r="H70" s="122"/>
      <c r="I70" s="8"/>
      <c r="J70" s="123" t="s">
        <v>95</v>
      </c>
      <c r="K70" s="121"/>
      <c r="L70" s="121"/>
      <c r="M70" s="121"/>
      <c r="N70" s="124" t="s">
        <v>96</v>
      </c>
      <c r="O70" s="8"/>
    </row>
    <row r="71" spans="2:16">
      <c r="B71" s="8"/>
      <c r="C71" s="125" t="s">
        <v>97</v>
      </c>
      <c r="D71" s="94"/>
      <c r="E71" s="606">
        <v>24.6</v>
      </c>
      <c r="F71" s="8" t="s">
        <v>98</v>
      </c>
      <c r="G71" s="8" t="s">
        <v>99</v>
      </c>
      <c r="H71" s="15"/>
      <c r="I71" s="8"/>
      <c r="J71" s="127" t="s">
        <v>100</v>
      </c>
      <c r="K71" s="8"/>
      <c r="L71" s="8"/>
      <c r="M71" s="8"/>
      <c r="N71" s="128">
        <v>20</v>
      </c>
      <c r="O71" s="8"/>
    </row>
    <row r="72" spans="2:16">
      <c r="B72" s="8"/>
      <c r="C72" s="41" t="s">
        <v>101</v>
      </c>
      <c r="D72" s="8"/>
      <c r="E72" s="126">
        <v>2.7</v>
      </c>
      <c r="F72" s="8" t="s">
        <v>98</v>
      </c>
      <c r="G72" s="8" t="s">
        <v>99</v>
      </c>
      <c r="H72" s="15"/>
      <c r="I72" s="8"/>
      <c r="J72" s="129" t="s">
        <v>102</v>
      </c>
      <c r="K72" s="35"/>
      <c r="L72" s="35"/>
      <c r="M72" s="35"/>
      <c r="N72" s="130">
        <v>25</v>
      </c>
      <c r="O72" s="8"/>
    </row>
    <row r="73" spans="2:16">
      <c r="B73" s="8"/>
      <c r="C73" s="125" t="s">
        <v>103</v>
      </c>
      <c r="D73" s="94"/>
      <c r="E73" s="606">
        <v>41</v>
      </c>
      <c r="F73" s="8" t="s">
        <v>104</v>
      </c>
      <c r="G73" s="8" t="s">
        <v>105</v>
      </c>
      <c r="H73" s="15"/>
      <c r="I73" s="8"/>
      <c r="J73" s="8"/>
      <c r="K73" s="8"/>
      <c r="L73" s="8"/>
      <c r="M73" s="8"/>
      <c r="N73" s="8"/>
      <c r="O73" s="8"/>
    </row>
    <row r="74" spans="2:16">
      <c r="B74" s="8"/>
      <c r="C74" s="125" t="s">
        <v>106</v>
      </c>
      <c r="D74" s="90"/>
      <c r="E74" s="126">
        <v>31.2</v>
      </c>
      <c r="F74" s="8" t="s">
        <v>104</v>
      </c>
      <c r="G74" s="8" t="s">
        <v>105</v>
      </c>
      <c r="H74" s="15"/>
      <c r="I74" s="8"/>
      <c r="J74" s="9" t="s">
        <v>107</v>
      </c>
      <c r="K74" s="10"/>
      <c r="L74" s="10"/>
      <c r="M74" s="10"/>
      <c r="N74" s="11"/>
      <c r="O74" s="8"/>
    </row>
    <row r="75" spans="2:16">
      <c r="B75" s="8"/>
      <c r="C75" s="125" t="s">
        <v>108</v>
      </c>
      <c r="D75" s="90"/>
      <c r="E75" s="126">
        <v>66.400000000000006</v>
      </c>
      <c r="F75" s="8" t="s">
        <v>104</v>
      </c>
      <c r="G75" s="8" t="s">
        <v>105</v>
      </c>
      <c r="H75" s="15"/>
      <c r="I75" s="8"/>
      <c r="J75" s="41" t="str">
        <f ca="1">"- Stock Price - "&amp;TEXT(TODAY()-1,"mm/dd/yy")</f>
        <v>- Stock Price - 10/05/26</v>
      </c>
      <c r="K75" s="131"/>
      <c r="L75" s="8"/>
      <c r="M75" s="132"/>
      <c r="N75" s="133">
        <v>45</v>
      </c>
      <c r="O75" s="8"/>
    </row>
    <row r="76" spans="2:16">
      <c r="B76" s="8"/>
      <c r="C76" s="125" t="s">
        <v>109</v>
      </c>
      <c r="D76" s="90"/>
      <c r="E76" s="126">
        <v>8.1999999999999993</v>
      </c>
      <c r="F76" s="8" t="s">
        <v>104</v>
      </c>
      <c r="G76" s="8" t="s">
        <v>105</v>
      </c>
      <c r="H76" s="15"/>
      <c r="I76" s="8"/>
      <c r="J76" s="77" t="str">
        <f>"- Fully Diluted Shares O/S (MM) - Dec. 31, "&amp;G57-1</f>
        <v>- Fully Diluted Shares O/S (MM) - Dec. 31, 2021</v>
      </c>
      <c r="K76" s="35"/>
      <c r="L76" s="35"/>
      <c r="M76" s="134"/>
      <c r="N76" s="135">
        <v>50.2</v>
      </c>
      <c r="O76" s="8"/>
    </row>
    <row r="77" spans="2:16">
      <c r="B77" s="8"/>
      <c r="C77" s="41" t="s">
        <v>49</v>
      </c>
      <c r="D77" s="8"/>
      <c r="E77" s="126">
        <v>4.2</v>
      </c>
      <c r="F77" s="8" t="s">
        <v>104</v>
      </c>
      <c r="G77" s="8" t="s">
        <v>105</v>
      </c>
      <c r="H77" s="15"/>
      <c r="I77" s="8"/>
      <c r="J77" s="8"/>
      <c r="K77" s="8"/>
      <c r="L77" s="8"/>
      <c r="M77" s="8"/>
      <c r="N77" s="8"/>
      <c r="O77" s="8"/>
    </row>
    <row r="78" spans="2:16">
      <c r="B78" s="8"/>
      <c r="C78" s="125" t="s">
        <v>110</v>
      </c>
      <c r="D78" s="90"/>
      <c r="E78" s="136">
        <v>45.2</v>
      </c>
      <c r="F78" s="8" t="s">
        <v>104</v>
      </c>
      <c r="G78" s="8" t="s">
        <v>105</v>
      </c>
      <c r="H78" s="15"/>
      <c r="I78" s="8"/>
      <c r="J78" s="8"/>
      <c r="K78" s="8"/>
      <c r="L78" s="8"/>
      <c r="M78" s="8"/>
      <c r="N78" s="8"/>
    </row>
    <row r="79" spans="2:16">
      <c r="B79" s="8"/>
      <c r="C79" s="77" t="s">
        <v>111</v>
      </c>
      <c r="D79" s="35"/>
      <c r="E79" s="137">
        <v>0.02</v>
      </c>
      <c r="F79" s="48"/>
      <c r="G79" s="48"/>
      <c r="H79" s="138"/>
      <c r="I79" s="8"/>
      <c r="J79" s="8"/>
      <c r="K79" s="8"/>
      <c r="L79" s="8"/>
      <c r="M79" s="8"/>
      <c r="N79" s="8"/>
      <c r="O79" s="8"/>
      <c r="P79" s="8"/>
    </row>
    <row r="80" spans="2:16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2:16">
      <c r="B81" s="35"/>
      <c r="C81" s="35"/>
      <c r="D81" s="139"/>
      <c r="E81" s="113"/>
      <c r="F81" s="113"/>
      <c r="G81" s="113"/>
      <c r="H81" s="113"/>
      <c r="I81" s="35"/>
      <c r="J81" s="35"/>
      <c r="K81" s="35"/>
      <c r="L81" s="35"/>
      <c r="M81" s="35"/>
      <c r="N81" s="35"/>
      <c r="O81" s="35"/>
      <c r="P81" s="35"/>
    </row>
    <row r="82" spans="2:16">
      <c r="B82" s="8"/>
      <c r="C82" s="8"/>
      <c r="D82" s="140"/>
      <c r="E82" s="3"/>
      <c r="F82" s="3"/>
      <c r="G82" s="3"/>
      <c r="H82" s="3"/>
      <c r="I82" s="8"/>
      <c r="J82" s="8"/>
      <c r="K82" s="8"/>
      <c r="L82" s="8"/>
      <c r="M82" s="8"/>
      <c r="N82" s="8"/>
      <c r="O82" s="8"/>
      <c r="P82" s="8"/>
    </row>
    <row r="83" spans="2:16">
      <c r="B83" s="8"/>
      <c r="C83" s="8"/>
      <c r="D83" s="140"/>
      <c r="E83" s="3"/>
      <c r="F83" s="3"/>
      <c r="G83" s="3"/>
      <c r="H83" s="3"/>
      <c r="I83" s="8"/>
      <c r="J83" s="8"/>
      <c r="K83" s="8"/>
      <c r="L83" s="8"/>
      <c r="M83" s="8"/>
      <c r="N83" s="8"/>
      <c r="O83" s="8"/>
      <c r="P83" s="8"/>
    </row>
    <row r="84" spans="2:16">
      <c r="B84" s="8"/>
      <c r="C84" s="8"/>
      <c r="D84" s="140"/>
      <c r="E84" s="3"/>
      <c r="F84" s="3"/>
      <c r="G84" s="3"/>
      <c r="H84" s="3"/>
      <c r="I84" s="8"/>
      <c r="J84" s="8"/>
      <c r="K84" s="8"/>
      <c r="L84" s="8"/>
      <c r="M84" s="8"/>
      <c r="N84" s="8"/>
      <c r="O84" s="8"/>
      <c r="P84" s="8"/>
    </row>
    <row r="85" spans="2:16" ht="22.8">
      <c r="B85" s="86" t="str">
        <f>$B$3</f>
        <v>Moonbucks Corp.</v>
      </c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2:16" ht="17.399999999999999">
      <c r="B86" s="5" t="s">
        <v>70</v>
      </c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2:16" ht="6" customHeight="1" thickBot="1"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2:16">
      <c r="B88" s="8"/>
      <c r="C88" s="8"/>
      <c r="D88" s="140"/>
      <c r="E88" s="3"/>
      <c r="F88" s="3"/>
      <c r="G88" s="3"/>
      <c r="H88" s="3"/>
      <c r="I88" s="8"/>
      <c r="J88" s="8"/>
      <c r="K88" s="8"/>
      <c r="L88" s="8"/>
      <c r="M88" s="8"/>
      <c r="N88" s="8"/>
      <c r="O88" s="8"/>
      <c r="P88" s="8"/>
    </row>
    <row r="89" spans="2:16">
      <c r="B89" s="8"/>
      <c r="C89" s="141" t="s">
        <v>112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2:16" ht="13.35" customHeight="1">
      <c r="B90" s="8"/>
      <c r="C90" s="142" t="s">
        <v>73</v>
      </c>
      <c r="D90" s="90" t="str">
        <f>CONCATENATE("Capex has been assumed at $",G99," million in ",G94,", $",H99," million in ",H94," and grown at inflation thereafter")</f>
        <v>Capex has been assumed at $60 million in 2022, $64 million in 2023 and grown at inflation thereafter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2:16">
      <c r="B91" s="8"/>
      <c r="C91" s="142" t="s">
        <v>73</v>
      </c>
      <c r="D91" s="90" t="s">
        <v>113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2:16">
      <c r="B92" s="8"/>
      <c r="C92" s="142"/>
      <c r="D92" s="90" t="s">
        <v>114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2:16" ht="18">
      <c r="B93" s="8"/>
      <c r="C93" s="143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2:16" ht="15.6">
      <c r="B94" s="144"/>
      <c r="C94" s="145"/>
      <c r="D94" s="146" t="s">
        <v>115</v>
      </c>
      <c r="E94" s="10"/>
      <c r="F94" s="10"/>
      <c r="G94" s="147">
        <f>G57</f>
        <v>2022</v>
      </c>
      <c r="H94" s="147">
        <f>G94+1</f>
        <v>2023</v>
      </c>
      <c r="I94" s="147">
        <f>H94+1</f>
        <v>2024</v>
      </c>
      <c r="J94" s="147">
        <f>I94+1</f>
        <v>2025</v>
      </c>
      <c r="K94" s="148">
        <f>J94+1</f>
        <v>2026</v>
      </c>
      <c r="M94" s="149"/>
      <c r="N94" s="149"/>
      <c r="O94" s="144"/>
    </row>
    <row r="95" spans="2:16" ht="6" customHeight="1">
      <c r="B95" s="8"/>
      <c r="C95" s="8"/>
      <c r="D95" s="41"/>
      <c r="E95" s="8"/>
      <c r="F95" s="8"/>
      <c r="G95" s="8"/>
      <c r="H95" s="8"/>
      <c r="I95" s="8"/>
      <c r="J95" s="8"/>
      <c r="K95" s="15"/>
      <c r="M95" s="8"/>
      <c r="N95" s="8"/>
      <c r="O95" s="8"/>
    </row>
    <row r="96" spans="2:16">
      <c r="B96" s="8"/>
      <c r="C96" s="8"/>
      <c r="D96" s="92" t="s">
        <v>116</v>
      </c>
      <c r="E96" s="8"/>
      <c r="F96" s="8"/>
      <c r="G96" s="150">
        <v>60</v>
      </c>
      <c r="H96" s="150">
        <v>64</v>
      </c>
      <c r="I96" s="151">
        <f>H96*(1+M$211)</f>
        <v>65.28</v>
      </c>
      <c r="J96" s="151">
        <f>I96*(1+N$211)</f>
        <v>66.911999999999992</v>
      </c>
      <c r="K96" s="152">
        <f>J96*(1+O$211)</f>
        <v>68.584799999999987</v>
      </c>
      <c r="M96" s="151"/>
      <c r="N96" s="151"/>
      <c r="O96" s="8"/>
    </row>
    <row r="97" spans="2:15">
      <c r="B97" s="8"/>
      <c r="C97" s="8"/>
      <c r="D97" s="153" t="s">
        <v>117</v>
      </c>
      <c r="E97" s="8"/>
      <c r="F97" s="8"/>
      <c r="G97" s="150">
        <v>0</v>
      </c>
      <c r="H97" s="150">
        <v>0</v>
      </c>
      <c r="I97" s="150">
        <v>0</v>
      </c>
      <c r="J97" s="150">
        <v>0</v>
      </c>
      <c r="K97" s="154">
        <v>0</v>
      </c>
      <c r="M97" s="150"/>
      <c r="N97" s="150"/>
      <c r="O97" s="8"/>
    </row>
    <row r="98" spans="2:15">
      <c r="B98" s="8"/>
      <c r="C98" s="8"/>
      <c r="D98" s="41" t="s">
        <v>118</v>
      </c>
      <c r="E98" s="8"/>
      <c r="F98" s="8"/>
      <c r="G98" s="155">
        <v>0</v>
      </c>
      <c r="H98" s="155">
        <v>0</v>
      </c>
      <c r="I98" s="155">
        <v>0</v>
      </c>
      <c r="J98" s="155">
        <v>0</v>
      </c>
      <c r="K98" s="156">
        <v>30</v>
      </c>
      <c r="M98" s="150"/>
      <c r="N98" s="150"/>
      <c r="O98" s="8"/>
    </row>
    <row r="99" spans="2:15">
      <c r="B99" s="8"/>
      <c r="C99" s="8"/>
      <c r="D99" s="71" t="s">
        <v>0</v>
      </c>
      <c r="E99" s="8"/>
      <c r="F99" s="8"/>
      <c r="G99" s="67">
        <f>SUM(G96:G98)</f>
        <v>60</v>
      </c>
      <c r="H99" s="67">
        <f>SUM(H96:H98)</f>
        <v>64</v>
      </c>
      <c r="I99" s="67">
        <f>SUM(I96:I98)</f>
        <v>65.28</v>
      </c>
      <c r="J99" s="67">
        <f>SUM(J96:J98)</f>
        <v>66.911999999999992</v>
      </c>
      <c r="K99" s="80">
        <f>SUM(K96:K98)</f>
        <v>98.584799999999987</v>
      </c>
      <c r="M99" s="67"/>
      <c r="N99" s="150"/>
      <c r="O99" s="8"/>
    </row>
    <row r="100" spans="2:15" ht="6" customHeight="1">
      <c r="B100" s="8"/>
      <c r="C100" s="8"/>
      <c r="D100" s="77"/>
      <c r="E100" s="157"/>
      <c r="F100" s="157"/>
      <c r="G100" s="157"/>
      <c r="H100" s="157"/>
      <c r="I100" s="158"/>
      <c r="J100" s="157"/>
      <c r="K100" s="159"/>
      <c r="M100" s="160"/>
      <c r="N100" s="160"/>
      <c r="O100" s="160"/>
    </row>
    <row r="101" spans="2:15">
      <c r="B101" s="8"/>
      <c r="C101" s="8"/>
      <c r="D101" s="8"/>
      <c r="E101" s="8"/>
      <c r="F101" s="8"/>
      <c r="G101" s="8"/>
      <c r="H101" s="160"/>
      <c r="I101" s="161"/>
      <c r="J101" s="160"/>
      <c r="K101" s="160"/>
      <c r="L101" s="160"/>
      <c r="M101" s="160"/>
      <c r="N101" s="160"/>
      <c r="O101" s="160"/>
    </row>
    <row r="102" spans="2:15">
      <c r="B102" s="8"/>
      <c r="C102" s="8"/>
      <c r="D102" s="8"/>
      <c r="E102" s="8"/>
      <c r="F102" s="8"/>
      <c r="G102" s="8"/>
      <c r="H102" s="160"/>
      <c r="I102" s="161"/>
      <c r="J102" s="160"/>
      <c r="K102" s="160"/>
      <c r="L102" s="160"/>
      <c r="M102" s="160"/>
      <c r="N102" s="160"/>
      <c r="O102" s="160"/>
    </row>
    <row r="103" spans="2:15">
      <c r="B103" s="8"/>
      <c r="C103" s="141" t="s">
        <v>119</v>
      </c>
      <c r="D103" s="8"/>
      <c r="E103" s="8"/>
      <c r="F103" s="8"/>
      <c r="G103" s="8"/>
      <c r="H103" s="151"/>
      <c r="I103" s="151"/>
      <c r="J103" s="151"/>
      <c r="K103" s="151"/>
      <c r="L103" s="8"/>
      <c r="M103" s="8"/>
      <c r="N103" s="8"/>
      <c r="O103" s="8"/>
    </row>
    <row r="104" spans="2:15">
      <c r="B104" s="8"/>
      <c r="C104" s="14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2:15">
      <c r="B105" s="8"/>
      <c r="C105" s="141"/>
      <c r="D105" s="146" t="s">
        <v>115</v>
      </c>
      <c r="E105" s="10"/>
      <c r="F105" s="162">
        <f>G105-1</f>
        <v>2021</v>
      </c>
      <c r="G105" s="147">
        <f>G94</f>
        <v>2022</v>
      </c>
      <c r="H105" s="147">
        <f>G105+1</f>
        <v>2023</v>
      </c>
      <c r="I105" s="147">
        <f>H105+1</f>
        <v>2024</v>
      </c>
      <c r="J105" s="147">
        <f>I105+1</f>
        <v>2025</v>
      </c>
      <c r="K105" s="148">
        <f>J105+1</f>
        <v>2026</v>
      </c>
      <c r="L105" s="160"/>
      <c r="M105" s="8"/>
      <c r="N105" s="8"/>
      <c r="O105" s="8"/>
    </row>
    <row r="106" spans="2:15" ht="6" customHeight="1">
      <c r="B106" s="8"/>
      <c r="C106" s="8"/>
      <c r="D106" s="41"/>
      <c r="E106" s="8"/>
      <c r="F106" s="8"/>
      <c r="G106" s="8"/>
      <c r="H106" s="8"/>
      <c r="I106" s="8"/>
      <c r="J106" s="8"/>
      <c r="K106" s="15"/>
      <c r="L106" s="8"/>
      <c r="M106" s="160"/>
      <c r="N106" s="160"/>
      <c r="O106" s="160"/>
    </row>
    <row r="107" spans="2:15">
      <c r="B107" s="8"/>
      <c r="C107" s="8"/>
      <c r="D107" s="153" t="s">
        <v>120</v>
      </c>
      <c r="E107" s="8"/>
      <c r="F107" s="150">
        <v>15</v>
      </c>
      <c r="G107" s="150">
        <v>15</v>
      </c>
      <c r="H107" s="150">
        <v>20</v>
      </c>
      <c r="I107" s="150">
        <v>25</v>
      </c>
      <c r="J107" s="150">
        <v>30</v>
      </c>
      <c r="K107" s="154">
        <v>35</v>
      </c>
      <c r="L107" s="150"/>
      <c r="M107" s="150"/>
      <c r="N107" s="150"/>
      <c r="O107" s="8"/>
    </row>
    <row r="108" spans="2:15">
      <c r="B108" s="8"/>
      <c r="C108" s="8"/>
      <c r="D108" s="153" t="s">
        <v>121</v>
      </c>
      <c r="E108" s="8"/>
      <c r="F108" s="150">
        <v>-4</v>
      </c>
      <c r="G108" s="150">
        <v>-4</v>
      </c>
      <c r="H108" s="150">
        <v>-2</v>
      </c>
      <c r="I108" s="150">
        <v>0</v>
      </c>
      <c r="J108" s="150">
        <v>0</v>
      </c>
      <c r="K108" s="154">
        <v>0</v>
      </c>
      <c r="L108" s="150"/>
      <c r="M108" s="150"/>
      <c r="N108" s="150"/>
      <c r="O108" s="8"/>
    </row>
    <row r="109" spans="2:15">
      <c r="B109" s="8"/>
      <c r="C109" s="8"/>
      <c r="D109" s="153" t="s">
        <v>122</v>
      </c>
      <c r="E109" s="8"/>
      <c r="F109" s="155">
        <v>0</v>
      </c>
      <c r="G109" s="155">
        <v>0</v>
      </c>
      <c r="H109" s="155">
        <v>0</v>
      </c>
      <c r="I109" s="155">
        <v>0</v>
      </c>
      <c r="J109" s="155">
        <v>0</v>
      </c>
      <c r="K109" s="156">
        <v>0</v>
      </c>
      <c r="L109" s="150"/>
      <c r="M109" s="150"/>
      <c r="N109" s="150"/>
      <c r="O109" s="8"/>
    </row>
    <row r="110" spans="2:15">
      <c r="B110" s="8"/>
      <c r="C110" s="8"/>
      <c r="D110" s="71" t="s">
        <v>0</v>
      </c>
      <c r="E110" s="8"/>
      <c r="F110" s="67">
        <f t="shared" ref="F110:K110" si="1">SUM(F107:F109)</f>
        <v>11</v>
      </c>
      <c r="G110" s="67">
        <f t="shared" si="1"/>
        <v>11</v>
      </c>
      <c r="H110" s="67">
        <f t="shared" si="1"/>
        <v>18</v>
      </c>
      <c r="I110" s="67">
        <f t="shared" si="1"/>
        <v>25</v>
      </c>
      <c r="J110" s="67">
        <f t="shared" si="1"/>
        <v>30</v>
      </c>
      <c r="K110" s="80">
        <f t="shared" si="1"/>
        <v>35</v>
      </c>
      <c r="L110" s="160"/>
      <c r="M110" s="67"/>
      <c r="N110" s="67"/>
      <c r="O110" s="8"/>
    </row>
    <row r="111" spans="2:15" ht="6" customHeight="1">
      <c r="B111" s="8"/>
      <c r="C111" s="8"/>
      <c r="D111" s="77"/>
      <c r="E111" s="157"/>
      <c r="F111" s="157"/>
      <c r="G111" s="157"/>
      <c r="H111" s="157"/>
      <c r="I111" s="158"/>
      <c r="J111" s="157"/>
      <c r="K111" s="159"/>
      <c r="L111" s="160"/>
      <c r="M111" s="160"/>
      <c r="N111" s="160"/>
      <c r="O111" s="160"/>
    </row>
    <row r="112" spans="2:15">
      <c r="B112" s="8"/>
      <c r="C112" s="8"/>
      <c r="D112" s="8"/>
      <c r="E112" s="8"/>
      <c r="F112" s="8"/>
      <c r="G112" s="8"/>
      <c r="H112" s="160"/>
      <c r="I112" s="161"/>
      <c r="J112" s="160"/>
      <c r="K112" s="160"/>
      <c r="L112" s="160"/>
      <c r="M112" s="160"/>
      <c r="N112" s="160"/>
      <c r="O112" s="160"/>
    </row>
    <row r="113" spans="2:1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2:15">
      <c r="B114" s="8"/>
      <c r="C114" s="141" t="s">
        <v>123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2:15">
      <c r="B115" s="8"/>
      <c r="C115" s="8"/>
      <c r="D115" s="8"/>
      <c r="E115" s="8"/>
      <c r="F115" s="8"/>
      <c r="G115" s="8"/>
      <c r="H115" s="160"/>
      <c r="I115" s="161"/>
      <c r="J115" s="160"/>
      <c r="K115" s="160"/>
      <c r="L115" s="160"/>
      <c r="M115" s="160"/>
      <c r="N115" s="160"/>
      <c r="O115" s="160"/>
    </row>
    <row r="116" spans="2:15" ht="15.6">
      <c r="B116" s="144"/>
      <c r="C116" s="145"/>
      <c r="D116" s="146" t="s">
        <v>124</v>
      </c>
      <c r="E116" s="10"/>
      <c r="F116" s="10"/>
      <c r="G116" s="147">
        <f>G105</f>
        <v>2022</v>
      </c>
      <c r="H116" s="147">
        <f>G116+1</f>
        <v>2023</v>
      </c>
      <c r="I116" s="147">
        <f>H116+1</f>
        <v>2024</v>
      </c>
      <c r="J116" s="147">
        <f>I116+1</f>
        <v>2025</v>
      </c>
      <c r="K116" s="148">
        <f>J116+1</f>
        <v>2026</v>
      </c>
      <c r="L116" s="160"/>
      <c r="M116" s="149"/>
      <c r="N116" s="149"/>
      <c r="O116" s="144"/>
    </row>
    <row r="117" spans="2:15" ht="6" customHeight="1">
      <c r="B117" s="8"/>
      <c r="C117" s="8"/>
      <c r="D117" s="41"/>
      <c r="E117" s="8"/>
      <c r="F117" s="8"/>
      <c r="G117" s="8"/>
      <c r="H117" s="8"/>
      <c r="I117" s="8"/>
      <c r="J117" s="8"/>
      <c r="K117" s="15"/>
      <c r="L117" s="8"/>
      <c r="M117" s="8"/>
      <c r="N117" s="8"/>
      <c r="O117" s="8"/>
    </row>
    <row r="118" spans="2:15">
      <c r="B118" s="8"/>
      <c r="C118" s="8"/>
      <c r="D118" s="153" t="s">
        <v>3</v>
      </c>
      <c r="E118" s="8"/>
      <c r="F118" s="8"/>
      <c r="G118" s="150">
        <v>34</v>
      </c>
      <c r="H118" s="150">
        <v>32</v>
      </c>
      <c r="I118" s="150">
        <v>30</v>
      </c>
      <c r="J118" s="150">
        <v>30</v>
      </c>
      <c r="K118" s="154">
        <v>30</v>
      </c>
      <c r="L118" s="150"/>
      <c r="M118" s="150"/>
      <c r="N118" s="150"/>
      <c r="O118" s="8"/>
    </row>
    <row r="119" spans="2:15">
      <c r="B119" s="8"/>
      <c r="C119" s="8"/>
      <c r="D119" s="153" t="s">
        <v>125</v>
      </c>
      <c r="E119" s="8"/>
      <c r="F119" s="8"/>
      <c r="G119" s="150">
        <v>40</v>
      </c>
      <c r="H119" s="150">
        <v>38</v>
      </c>
      <c r="I119" s="150">
        <v>36</v>
      </c>
      <c r="J119" s="150">
        <v>36</v>
      </c>
      <c r="K119" s="154">
        <v>36</v>
      </c>
      <c r="L119" s="150"/>
      <c r="M119" s="150"/>
      <c r="N119" s="150"/>
      <c r="O119" s="8"/>
    </row>
    <row r="120" spans="2:15">
      <c r="B120" s="8"/>
      <c r="C120" s="8"/>
      <c r="D120" s="153" t="s">
        <v>1</v>
      </c>
      <c r="E120" s="8"/>
      <c r="F120" s="8"/>
      <c r="G120" s="150">
        <v>27</v>
      </c>
      <c r="H120" s="150">
        <v>28</v>
      </c>
      <c r="I120" s="150">
        <v>30</v>
      </c>
      <c r="J120" s="150">
        <v>30</v>
      </c>
      <c r="K120" s="154">
        <v>30</v>
      </c>
      <c r="L120" s="150"/>
      <c r="M120" s="150"/>
      <c r="N120" s="150"/>
      <c r="O120" s="8"/>
    </row>
    <row r="121" spans="2:15" ht="6" customHeight="1">
      <c r="B121" s="8"/>
      <c r="C121" s="8"/>
      <c r="D121" s="77"/>
      <c r="E121" s="35"/>
      <c r="F121" s="35"/>
      <c r="G121" s="35"/>
      <c r="H121" s="157"/>
      <c r="I121" s="158"/>
      <c r="J121" s="157"/>
      <c r="K121" s="159"/>
      <c r="L121" s="160"/>
      <c r="M121" s="160"/>
      <c r="N121" s="160"/>
      <c r="O121" s="160"/>
    </row>
    <row r="122" spans="2:15">
      <c r="B122" s="8"/>
      <c r="C122" s="8"/>
      <c r="D122" s="8"/>
      <c r="E122" s="8"/>
      <c r="F122" s="8"/>
      <c r="G122" s="8"/>
      <c r="H122" s="160"/>
      <c r="I122" s="161"/>
      <c r="J122" s="160"/>
      <c r="K122" s="160"/>
      <c r="L122" s="160"/>
      <c r="M122" s="160"/>
      <c r="N122" s="160"/>
      <c r="O122" s="160"/>
    </row>
    <row r="123" spans="2:1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2:15">
      <c r="B124" s="8"/>
      <c r="C124" s="141" t="s">
        <v>126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2:15">
      <c r="B125" s="8"/>
      <c r="C125" s="8"/>
      <c r="D125" s="8"/>
      <c r="E125" s="8"/>
      <c r="F125" s="8"/>
      <c r="G125" s="8"/>
      <c r="H125" s="160"/>
      <c r="I125" s="161"/>
      <c r="J125" s="160"/>
      <c r="K125" s="160"/>
      <c r="L125" s="160"/>
      <c r="M125" s="160"/>
      <c r="N125" s="160"/>
      <c r="O125" s="160"/>
    </row>
    <row r="126" spans="2:15">
      <c r="B126" s="8"/>
      <c r="C126" s="8"/>
      <c r="D126" s="146" t="s">
        <v>115</v>
      </c>
      <c r="E126" s="10"/>
      <c r="F126" s="10"/>
      <c r="G126" s="147">
        <f>G116</f>
        <v>2022</v>
      </c>
      <c r="H126" s="147">
        <f>H116</f>
        <v>2023</v>
      </c>
      <c r="I126" s="147">
        <f>I116</f>
        <v>2024</v>
      </c>
      <c r="J126" s="147">
        <f>J116</f>
        <v>2025</v>
      </c>
      <c r="K126" s="148">
        <f>K116</f>
        <v>2026</v>
      </c>
      <c r="L126" s="160"/>
      <c r="M126" s="160"/>
      <c r="N126" s="8"/>
      <c r="O126" s="8"/>
    </row>
    <row r="127" spans="2:15">
      <c r="B127" s="8"/>
      <c r="C127" s="8"/>
      <c r="D127" s="41"/>
      <c r="E127" s="8"/>
      <c r="F127" s="8"/>
      <c r="G127" s="160"/>
      <c r="H127" s="161"/>
      <c r="I127" s="160"/>
      <c r="J127" s="160"/>
      <c r="K127" s="163"/>
      <c r="L127" s="160"/>
      <c r="M127" s="160"/>
      <c r="N127" s="160"/>
      <c r="O127" s="160"/>
    </row>
    <row r="128" spans="2:15">
      <c r="B128" s="8"/>
      <c r="C128" s="8"/>
      <c r="D128" s="153" t="s">
        <v>127</v>
      </c>
      <c r="F128" s="8"/>
      <c r="G128" s="70">
        <v>0</v>
      </c>
      <c r="H128" s="70">
        <v>0</v>
      </c>
      <c r="I128" s="70">
        <v>0</v>
      </c>
      <c r="J128" s="70">
        <v>0</v>
      </c>
      <c r="K128" s="65">
        <v>0</v>
      </c>
      <c r="L128" s="160"/>
      <c r="M128" s="160"/>
      <c r="N128" s="8"/>
      <c r="O128" s="8"/>
    </row>
    <row r="129" spans="2:15">
      <c r="B129" s="8"/>
      <c r="C129" s="8"/>
      <c r="D129" s="153" t="s">
        <v>128</v>
      </c>
      <c r="F129" s="8"/>
      <c r="G129" s="70">
        <v>0</v>
      </c>
      <c r="H129" s="70">
        <v>0</v>
      </c>
      <c r="I129" s="70">
        <v>0</v>
      </c>
      <c r="J129" s="70">
        <v>0</v>
      </c>
      <c r="K129" s="65">
        <v>0</v>
      </c>
      <c r="L129" s="160"/>
      <c r="M129" s="160"/>
      <c r="N129" s="8"/>
      <c r="O129" s="8"/>
    </row>
    <row r="130" spans="2:15" ht="6" customHeight="1">
      <c r="B130" s="8"/>
      <c r="C130" s="8"/>
      <c r="D130" s="77"/>
      <c r="E130" s="35"/>
      <c r="F130" s="35"/>
      <c r="G130" s="157"/>
      <c r="H130" s="158"/>
      <c r="I130" s="157"/>
      <c r="J130" s="157"/>
      <c r="K130" s="159"/>
      <c r="L130" s="160"/>
      <c r="M130" s="160"/>
      <c r="N130" s="150"/>
      <c r="O130" s="8"/>
    </row>
    <row r="131" spans="2:15">
      <c r="B131" s="8"/>
      <c r="C131" s="8"/>
      <c r="D131" s="8"/>
      <c r="E131" s="8"/>
      <c r="F131" s="8"/>
      <c r="G131" s="8"/>
      <c r="H131" s="160"/>
      <c r="I131" s="161"/>
      <c r="J131" s="160"/>
      <c r="K131" s="160"/>
      <c r="L131" s="160"/>
      <c r="M131" s="160"/>
      <c r="N131" s="160"/>
      <c r="O131" s="160"/>
    </row>
    <row r="132" spans="2:15"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</row>
    <row r="133" spans="2:1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2:1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6" spans="2:15" ht="22.8">
      <c r="B136" s="86" t="str">
        <f>$B$3</f>
        <v>Moonbucks Corp.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2:15" ht="17.399999999999999">
      <c r="B137" s="5" t="s">
        <v>70</v>
      </c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2:15" ht="18" thickBot="1">
      <c r="B138" s="6"/>
      <c r="C138" s="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2:1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2:15">
      <c r="C140" s="9" t="s">
        <v>129</v>
      </c>
      <c r="D140" s="87"/>
      <c r="E140" s="87"/>
      <c r="F140" s="87"/>
      <c r="G140" s="87"/>
      <c r="H140" s="87"/>
      <c r="I140" s="88"/>
      <c r="K140" s="9" t="s">
        <v>130</v>
      </c>
      <c r="L140" s="117"/>
      <c r="M140" s="10"/>
      <c r="N140" s="10"/>
      <c r="O140" s="11"/>
    </row>
    <row r="141" spans="2:15">
      <c r="C141" s="164"/>
      <c r="D141" s="8"/>
      <c r="E141" s="8"/>
      <c r="F141" s="8"/>
      <c r="G141" s="8"/>
      <c r="H141" s="8"/>
      <c r="I141" s="15"/>
      <c r="K141" s="165"/>
      <c r="L141" s="8"/>
      <c r="M141" s="8"/>
      <c r="O141" s="15"/>
    </row>
    <row r="142" spans="2:15">
      <c r="C142" s="71" t="s">
        <v>131</v>
      </c>
      <c r="D142" s="8"/>
      <c r="E142" s="8"/>
      <c r="F142" s="8"/>
      <c r="G142" s="8"/>
      <c r="H142" s="8"/>
      <c r="I142" s="15"/>
      <c r="K142" s="166" t="s">
        <v>132</v>
      </c>
      <c r="L142" s="8"/>
      <c r="M142" s="8"/>
      <c r="O142" s="167" t="s">
        <v>133</v>
      </c>
    </row>
    <row r="143" spans="2:15">
      <c r="C143" s="168" t="s">
        <v>73</v>
      </c>
      <c r="D143" s="8" t="s">
        <v>134</v>
      </c>
      <c r="E143" s="8"/>
      <c r="F143" s="8"/>
      <c r="G143" s="8"/>
      <c r="H143" s="8"/>
      <c r="I143" s="169">
        <f>SUM(E21:E23)</f>
        <v>3.25</v>
      </c>
      <c r="K143" s="170">
        <v>0</v>
      </c>
      <c r="L143" s="8"/>
      <c r="M143" s="8"/>
      <c r="O143" s="171">
        <v>0.01</v>
      </c>
    </row>
    <row r="144" spans="2:15">
      <c r="C144" s="168" t="s">
        <v>73</v>
      </c>
      <c r="D144" s="8" t="s">
        <v>135</v>
      </c>
      <c r="E144" s="8"/>
      <c r="F144" s="8"/>
      <c r="G144" s="8"/>
      <c r="H144" s="8"/>
      <c r="I144" s="172">
        <v>0.25</v>
      </c>
      <c r="K144" s="170">
        <v>1</v>
      </c>
      <c r="L144" s="8"/>
      <c r="M144" s="8"/>
      <c r="O144" s="171">
        <v>1.4999999999999999E-2</v>
      </c>
    </row>
    <row r="145" spans="3:15">
      <c r="C145" s="41"/>
      <c r="D145" s="8"/>
      <c r="E145" s="8"/>
      <c r="F145" s="8"/>
      <c r="G145" s="8"/>
      <c r="H145" s="8"/>
      <c r="I145" s="15"/>
      <c r="K145" s="170">
        <v>2</v>
      </c>
      <c r="L145" s="8"/>
      <c r="M145" s="8"/>
      <c r="O145" s="171">
        <v>0.02</v>
      </c>
    </row>
    <row r="146" spans="3:15">
      <c r="C146" s="71" t="s">
        <v>33</v>
      </c>
      <c r="D146" s="8"/>
      <c r="E146" s="8"/>
      <c r="F146" s="8"/>
      <c r="G146" s="8"/>
      <c r="H146" s="8"/>
      <c r="I146" s="15"/>
      <c r="K146" s="170">
        <v>3</v>
      </c>
      <c r="L146" s="8"/>
      <c r="M146" s="8"/>
      <c r="O146" s="171">
        <v>2.5000000000000001E-2</v>
      </c>
    </row>
    <row r="147" spans="3:15">
      <c r="C147" s="168" t="s">
        <v>73</v>
      </c>
      <c r="D147" s="8" t="s">
        <v>136</v>
      </c>
      <c r="E147" s="8"/>
      <c r="F147" s="8"/>
      <c r="G147" s="8"/>
      <c r="H147" s="8"/>
      <c r="I147" s="607">
        <f>N20</f>
        <v>125</v>
      </c>
      <c r="K147" s="170">
        <v>4</v>
      </c>
      <c r="L147" s="8"/>
      <c r="M147" s="8"/>
      <c r="O147" s="171">
        <v>2.75E-2</v>
      </c>
    </row>
    <row r="148" spans="3:15">
      <c r="C148" s="168" t="s">
        <v>73</v>
      </c>
      <c r="D148" s="8" t="s">
        <v>137</v>
      </c>
      <c r="E148" s="8"/>
      <c r="F148" s="8"/>
      <c r="G148" s="8"/>
      <c r="H148" s="8"/>
      <c r="I148" s="15"/>
      <c r="K148" s="170">
        <v>4.5</v>
      </c>
      <c r="L148" s="8"/>
      <c r="M148" s="8"/>
      <c r="O148" s="171">
        <v>0.03</v>
      </c>
    </row>
    <row r="149" spans="3:15">
      <c r="C149" s="41"/>
      <c r="D149" s="8" t="s">
        <v>138</v>
      </c>
      <c r="E149" s="8"/>
      <c r="F149" s="8"/>
      <c r="G149" s="8"/>
      <c r="H149" s="8"/>
      <c r="I149" s="173"/>
      <c r="K149" s="170">
        <v>5</v>
      </c>
      <c r="L149" s="8"/>
      <c r="M149" s="8"/>
      <c r="O149" s="171">
        <v>3.2500000000000001E-2</v>
      </c>
    </row>
    <row r="150" spans="3:15">
      <c r="C150" s="41"/>
      <c r="D150" s="8" t="s">
        <v>139</v>
      </c>
      <c r="E150" s="8"/>
      <c r="F150" s="8"/>
      <c r="G150" s="8"/>
      <c r="H150" s="8"/>
      <c r="I150" s="174">
        <v>0.75</v>
      </c>
      <c r="K150" s="77"/>
      <c r="L150" s="35"/>
      <c r="M150" s="35"/>
      <c r="N150" s="48"/>
      <c r="O150" s="36"/>
    </row>
    <row r="151" spans="3:15">
      <c r="C151" s="41"/>
      <c r="D151" s="8" t="s">
        <v>140</v>
      </c>
      <c r="E151" s="8"/>
      <c r="F151" s="8"/>
      <c r="G151" s="8"/>
      <c r="H151" s="8"/>
      <c r="I151" s="174">
        <v>0.5</v>
      </c>
      <c r="K151" s="8"/>
      <c r="L151" s="8"/>
      <c r="M151" s="8"/>
      <c r="O151" s="8"/>
    </row>
    <row r="152" spans="3:15">
      <c r="C152" s="41"/>
      <c r="D152" s="8"/>
      <c r="E152" s="8"/>
      <c r="F152" s="8"/>
      <c r="G152" s="8"/>
      <c r="H152" s="8"/>
      <c r="I152" s="15"/>
      <c r="K152" s="8"/>
      <c r="L152" s="8"/>
      <c r="M152" s="8"/>
      <c r="O152" s="8"/>
    </row>
    <row r="153" spans="3:15">
      <c r="C153" s="168" t="s">
        <v>73</v>
      </c>
      <c r="D153" s="8" t="s">
        <v>141</v>
      </c>
      <c r="E153" s="8"/>
      <c r="F153" s="8"/>
      <c r="G153" s="8"/>
      <c r="H153" s="8"/>
      <c r="I153" s="175">
        <v>2.5000000000000001E-3</v>
      </c>
    </row>
    <row r="154" spans="3:15">
      <c r="C154" s="168" t="s">
        <v>73</v>
      </c>
      <c r="D154" s="8" t="s">
        <v>142</v>
      </c>
      <c r="E154" s="8"/>
      <c r="F154" s="8"/>
      <c r="G154" s="8"/>
      <c r="H154" s="8"/>
      <c r="I154" s="176"/>
    </row>
    <row r="155" spans="3:15">
      <c r="C155" s="41"/>
      <c r="D155" s="177"/>
      <c r="E155" s="178"/>
      <c r="F155" s="178"/>
      <c r="G155" s="178"/>
      <c r="H155" s="178"/>
      <c r="I155" s="179"/>
    </row>
    <row r="156" spans="3:15">
      <c r="C156" s="71" t="s">
        <v>143</v>
      </c>
      <c r="D156" s="8"/>
      <c r="E156" s="8"/>
      <c r="F156" s="8"/>
      <c r="G156" s="8"/>
      <c r="H156" s="8"/>
      <c r="I156" s="15"/>
    </row>
    <row r="157" spans="3:15">
      <c r="C157" s="168" t="s">
        <v>73</v>
      </c>
      <c r="D157" s="8" t="s">
        <v>144</v>
      </c>
      <c r="E157" s="8"/>
      <c r="F157" s="8"/>
      <c r="G157" s="8"/>
      <c r="H157" s="8"/>
      <c r="I157" s="169">
        <f>SUM(E21:E23)</f>
        <v>3.25</v>
      </c>
    </row>
    <row r="158" spans="3:15">
      <c r="C158" s="168" t="s">
        <v>73</v>
      </c>
      <c r="D158" s="8" t="s">
        <v>145</v>
      </c>
      <c r="I158" s="24"/>
    </row>
    <row r="159" spans="3:15">
      <c r="C159" s="168" t="s">
        <v>73</v>
      </c>
      <c r="D159" s="8" t="s">
        <v>146</v>
      </c>
      <c r="I159" s="24"/>
    </row>
    <row r="160" spans="3:15">
      <c r="C160" s="168"/>
      <c r="D160" s="180"/>
      <c r="E160" s="8"/>
      <c r="F160" s="8"/>
      <c r="G160" s="8"/>
      <c r="H160" s="8"/>
      <c r="I160" s="174"/>
    </row>
    <row r="161" spans="3:15">
      <c r="C161" s="168"/>
      <c r="D161" s="42" t="s">
        <v>147</v>
      </c>
      <c r="E161" s="50">
        <f>G116</f>
        <v>2022</v>
      </c>
      <c r="F161" s="50">
        <f>E161+1</f>
        <v>2023</v>
      </c>
      <c r="G161" s="50">
        <f>F161+1</f>
        <v>2024</v>
      </c>
      <c r="H161" s="50">
        <f>G161+1</f>
        <v>2025</v>
      </c>
      <c r="I161" s="167">
        <f>H161+1</f>
        <v>2026</v>
      </c>
      <c r="K161" s="42"/>
      <c r="L161" s="8"/>
      <c r="M161" s="8"/>
      <c r="N161" s="8"/>
      <c r="O161" s="8"/>
    </row>
    <row r="162" spans="3:15">
      <c r="C162" s="168"/>
      <c r="D162" s="8" t="s">
        <v>36</v>
      </c>
      <c r="E162" s="181">
        <v>7.4999999999999997E-2</v>
      </c>
      <c r="F162" s="181">
        <v>0.15</v>
      </c>
      <c r="G162" s="181">
        <v>0.1</v>
      </c>
      <c r="H162" s="181">
        <v>0.35</v>
      </c>
      <c r="I162" s="182">
        <f>1-SUM(E162:H162)</f>
        <v>0.32500000000000007</v>
      </c>
      <c r="K162" s="42"/>
      <c r="L162" s="8"/>
      <c r="M162" s="8"/>
      <c r="N162" s="8"/>
      <c r="O162" s="8"/>
    </row>
    <row r="163" spans="3:15">
      <c r="C163" s="168"/>
      <c r="D163" s="8" t="s">
        <v>37</v>
      </c>
      <c r="E163" s="181">
        <v>0.01</v>
      </c>
      <c r="F163" s="181">
        <v>0.01</v>
      </c>
      <c r="G163" s="181">
        <v>0.01</v>
      </c>
      <c r="H163" s="181">
        <v>0.01</v>
      </c>
      <c r="I163" s="183">
        <v>0.01</v>
      </c>
      <c r="K163" s="42"/>
      <c r="L163" s="8"/>
      <c r="M163" s="8"/>
      <c r="N163" s="8"/>
      <c r="O163" s="8"/>
    </row>
    <row r="164" spans="3:15">
      <c r="C164" s="168"/>
      <c r="D164" s="184" t="s">
        <v>148</v>
      </c>
      <c r="E164" s="181"/>
      <c r="F164" s="181"/>
      <c r="G164" s="181"/>
      <c r="H164" s="181"/>
      <c r="I164" s="183"/>
      <c r="K164" s="42"/>
      <c r="L164" s="8"/>
      <c r="M164" s="8"/>
      <c r="N164" s="8"/>
      <c r="O164" s="8"/>
    </row>
    <row r="165" spans="3:15">
      <c r="C165" s="41"/>
      <c r="D165" s="8"/>
      <c r="E165" s="8"/>
      <c r="F165" s="8"/>
      <c r="G165" s="8"/>
      <c r="H165" s="8"/>
      <c r="I165" s="15"/>
      <c r="K165" s="42"/>
      <c r="L165" s="8"/>
      <c r="M165" s="8"/>
      <c r="N165" s="8"/>
      <c r="O165" s="8"/>
    </row>
    <row r="166" spans="3:15">
      <c r="C166" s="71" t="s">
        <v>149</v>
      </c>
      <c r="I166" s="24"/>
      <c r="K166" s="42"/>
      <c r="L166" s="8"/>
      <c r="M166" s="8"/>
      <c r="N166" s="8"/>
      <c r="O166" s="8"/>
    </row>
    <row r="167" spans="3:15">
      <c r="C167" s="168" t="s">
        <v>73</v>
      </c>
      <c r="D167" s="8" t="s">
        <v>150</v>
      </c>
      <c r="E167" s="8"/>
      <c r="F167" s="8"/>
      <c r="I167" s="169">
        <f>E24</f>
        <v>1.5</v>
      </c>
      <c r="K167" s="42"/>
      <c r="L167" s="8"/>
      <c r="M167" s="8"/>
      <c r="N167" s="8"/>
      <c r="O167" s="8"/>
    </row>
    <row r="168" spans="3:15">
      <c r="C168" s="168" t="s">
        <v>73</v>
      </c>
      <c r="D168" s="8" t="s">
        <v>151</v>
      </c>
      <c r="E168" s="8"/>
      <c r="F168" s="8"/>
      <c r="I168" s="65">
        <v>0</v>
      </c>
    </row>
    <row r="169" spans="3:15">
      <c r="C169" s="168" t="s">
        <v>73</v>
      </c>
      <c r="D169" s="8" t="s">
        <v>152</v>
      </c>
      <c r="E169" s="8"/>
      <c r="I169" s="24"/>
      <c r="K169" s="42"/>
      <c r="L169" s="8"/>
      <c r="M169" s="8"/>
      <c r="N169" s="8"/>
      <c r="O169" s="8"/>
    </row>
    <row r="170" spans="3:15">
      <c r="C170" s="185"/>
      <c r="I170" s="24"/>
    </row>
    <row r="171" spans="3:15">
      <c r="C171" s="71" t="s">
        <v>153</v>
      </c>
      <c r="D171" s="8"/>
      <c r="E171" s="8"/>
      <c r="F171" s="8"/>
      <c r="G171" s="8"/>
      <c r="H171" s="8"/>
      <c r="I171" s="15"/>
    </row>
    <row r="172" spans="3:15">
      <c r="C172" s="168" t="s">
        <v>73</v>
      </c>
      <c r="D172" s="8" t="s">
        <v>154</v>
      </c>
      <c r="E172" s="8"/>
      <c r="F172" s="8"/>
      <c r="G172" s="8"/>
      <c r="H172" s="8"/>
      <c r="I172" s="169">
        <f>E25</f>
        <v>1.25</v>
      </c>
    </row>
    <row r="173" spans="3:15">
      <c r="C173" s="168" t="s">
        <v>73</v>
      </c>
      <c r="D173" s="160" t="s">
        <v>151</v>
      </c>
      <c r="E173" s="160"/>
      <c r="F173" s="160"/>
      <c r="G173" s="8"/>
      <c r="H173" s="8"/>
      <c r="I173" s="65">
        <v>0</v>
      </c>
    </row>
    <row r="174" spans="3:15">
      <c r="C174" s="168" t="s">
        <v>73</v>
      </c>
      <c r="D174" s="8" t="s">
        <v>155</v>
      </c>
      <c r="E174" s="8"/>
      <c r="F174" s="8"/>
      <c r="G174" s="8"/>
      <c r="H174" s="8"/>
      <c r="I174" s="174">
        <v>0.6</v>
      </c>
    </row>
    <row r="175" spans="3:15">
      <c r="C175" s="41"/>
      <c r="D175" s="180" t="s">
        <v>156</v>
      </c>
      <c r="E175" s="8"/>
      <c r="F175" s="8"/>
      <c r="G175" s="8"/>
      <c r="H175" s="8"/>
      <c r="I175" s="186">
        <v>4.5</v>
      </c>
    </row>
    <row r="176" spans="3:15">
      <c r="C176" s="168" t="s">
        <v>73</v>
      </c>
      <c r="D176" s="8" t="s">
        <v>157</v>
      </c>
      <c r="E176" s="8"/>
      <c r="F176" s="8"/>
      <c r="G176" s="8"/>
      <c r="H176" s="8"/>
      <c r="I176" s="186"/>
    </row>
    <row r="177" spans="2:15">
      <c r="C177" s="41"/>
      <c r="D177" s="180"/>
      <c r="E177" s="8"/>
      <c r="F177" s="8"/>
      <c r="G177" s="8"/>
      <c r="H177" s="8"/>
      <c r="I177" s="186"/>
    </row>
    <row r="178" spans="2:15">
      <c r="C178" s="187" t="s">
        <v>158</v>
      </c>
      <c r="D178" s="160"/>
      <c r="E178" s="160"/>
      <c r="F178" s="160"/>
      <c r="G178" s="8"/>
      <c r="H178" s="8"/>
      <c r="I178" s="163"/>
    </row>
    <row r="179" spans="2:15">
      <c r="C179" s="188" t="s">
        <v>159</v>
      </c>
      <c r="D179" s="160"/>
      <c r="E179" s="160"/>
      <c r="F179" s="160"/>
      <c r="G179" s="8"/>
      <c r="H179" s="8"/>
      <c r="I179" s="186">
        <v>3</v>
      </c>
    </row>
    <row r="180" spans="2:15">
      <c r="C180" s="189"/>
      <c r="D180" s="157"/>
      <c r="E180" s="157"/>
      <c r="F180" s="157"/>
      <c r="G180" s="35"/>
      <c r="H180" s="35"/>
      <c r="I180" s="159"/>
    </row>
    <row r="182" spans="2:15">
      <c r="B182" s="35"/>
      <c r="C182" s="35"/>
      <c r="D182" s="139"/>
      <c r="E182" s="113"/>
      <c r="F182" s="113"/>
      <c r="G182" s="113"/>
      <c r="H182" s="113"/>
      <c r="I182" s="35"/>
      <c r="J182" s="35"/>
      <c r="K182" s="35"/>
      <c r="L182" s="35"/>
      <c r="M182" s="35"/>
      <c r="N182" s="35"/>
      <c r="O182" s="35"/>
    </row>
    <row r="185" spans="2:15" ht="22.8">
      <c r="B185" s="86" t="str">
        <f>$B$3</f>
        <v>Moonbucks Corp.</v>
      </c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</row>
    <row r="186" spans="2:15" ht="17.399999999999999">
      <c r="B186" s="191" t="s">
        <v>160</v>
      </c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</row>
    <row r="187" spans="2:15" ht="13.8" thickBot="1">
      <c r="B187" s="192"/>
      <c r="C187" s="192"/>
      <c r="D187" s="193"/>
      <c r="E187" s="193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</row>
    <row r="188" spans="2:15">
      <c r="B188" s="194"/>
      <c r="C188" s="195"/>
      <c r="D188" s="196"/>
      <c r="E188" s="196"/>
      <c r="F188" s="195"/>
      <c r="G188" s="194"/>
      <c r="H188" s="194"/>
      <c r="I188" s="194"/>
      <c r="J188" s="194"/>
      <c r="K188" s="194"/>
      <c r="L188" s="194"/>
      <c r="M188" s="194"/>
      <c r="N188" s="194"/>
      <c r="O188" s="194"/>
    </row>
    <row r="189" spans="2:15">
      <c r="B189" s="197"/>
      <c r="C189" s="198"/>
      <c r="D189" s="199"/>
      <c r="E189" s="199"/>
      <c r="F189" s="198"/>
      <c r="G189" s="200"/>
      <c r="K189" s="201"/>
      <c r="L189" s="201"/>
      <c r="M189" s="201"/>
      <c r="N189" s="201"/>
      <c r="O189" s="201"/>
    </row>
    <row r="190" spans="2:15">
      <c r="B190" s="202" t="s">
        <v>161</v>
      </c>
      <c r="C190" s="203"/>
      <c r="F190" s="204">
        <v>1</v>
      </c>
      <c r="G190" s="24"/>
      <c r="K190" s="205">
        <f>G57</f>
        <v>2022</v>
      </c>
      <c r="L190" s="205">
        <f>K190+1</f>
        <v>2023</v>
      </c>
      <c r="M190" s="205">
        <f>L190+1</f>
        <v>2024</v>
      </c>
      <c r="N190" s="205">
        <f>M190+1</f>
        <v>2025</v>
      </c>
      <c r="O190" s="205">
        <f>N190+1</f>
        <v>2026</v>
      </c>
    </row>
    <row r="191" spans="2:15">
      <c r="B191" s="206"/>
      <c r="C191" s="207"/>
      <c r="D191" s="208"/>
      <c r="E191" s="208"/>
      <c r="F191" s="207"/>
      <c r="G191" s="138"/>
      <c r="K191" s="205"/>
      <c r="L191" s="205"/>
      <c r="M191" s="209"/>
      <c r="N191" s="209"/>
      <c r="O191" s="205"/>
    </row>
    <row r="192" spans="2:15">
      <c r="B192" s="203"/>
      <c r="C192" s="203"/>
      <c r="D192" s="210"/>
      <c r="E192" s="210"/>
      <c r="F192" s="203"/>
      <c r="K192" s="205"/>
      <c r="L192" s="205"/>
      <c r="M192" s="209"/>
      <c r="N192" s="209"/>
      <c r="O192" s="205"/>
    </row>
    <row r="193" spans="2:15">
      <c r="B193" s="194"/>
      <c r="C193" s="194"/>
      <c r="D193" s="211"/>
      <c r="E193" s="211"/>
      <c r="F193" s="194"/>
      <c r="K193" s="194"/>
      <c r="L193" s="194"/>
      <c r="M193" s="194"/>
      <c r="N193" s="194"/>
      <c r="O193" s="194"/>
    </row>
    <row r="194" spans="2:15" ht="13.8">
      <c r="B194" s="212" t="s">
        <v>162</v>
      </c>
      <c r="C194" s="194"/>
      <c r="D194" s="211"/>
      <c r="E194" s="211"/>
      <c r="F194" s="194"/>
      <c r="K194" s="194"/>
      <c r="L194" s="194"/>
      <c r="M194" s="194"/>
      <c r="N194" s="194"/>
      <c r="O194" s="194"/>
    </row>
    <row r="195" spans="2:15">
      <c r="B195" s="194"/>
      <c r="C195" s="194"/>
      <c r="D195" s="211"/>
      <c r="E195" s="211"/>
      <c r="F195" s="194"/>
      <c r="K195" s="194"/>
      <c r="L195" s="194"/>
      <c r="M195" s="194"/>
      <c r="N195" s="194"/>
      <c r="O195" s="194"/>
    </row>
    <row r="196" spans="2:15">
      <c r="B196" s="213" t="s">
        <v>163</v>
      </c>
      <c r="C196" s="214"/>
      <c r="D196" s="211"/>
      <c r="E196" s="211"/>
      <c r="F196" s="194"/>
      <c r="K196" s="215">
        <f>CHOOSE($F$190,K198,K199,K200)</f>
        <v>86.1</v>
      </c>
      <c r="L196" s="216">
        <f>CHOOSE($F$190,L198,L199,L200)</f>
        <v>88</v>
      </c>
      <c r="M196" s="216">
        <f>CHOOSE($F$190,M198,M199,M200)</f>
        <v>90.4</v>
      </c>
      <c r="N196" s="216">
        <f>CHOOSE($F$190,N198,N199,N200)</f>
        <v>92.8</v>
      </c>
      <c r="O196" s="217">
        <f>CHOOSE($F$190,O198,O199,O200)</f>
        <v>94.8</v>
      </c>
    </row>
    <row r="197" spans="2:15">
      <c r="B197" s="218"/>
      <c r="C197" s="194"/>
      <c r="D197" s="211"/>
      <c r="E197" s="211"/>
      <c r="F197" s="194"/>
      <c r="K197" s="219"/>
      <c r="L197" s="219"/>
      <c r="M197" s="219"/>
      <c r="N197" s="219"/>
      <c r="O197" s="219"/>
    </row>
    <row r="198" spans="2:15">
      <c r="B198" s="194"/>
      <c r="C198" s="220" t="str">
        <f>C65</f>
        <v>Base Case</v>
      </c>
      <c r="D198" s="221"/>
      <c r="E198" s="221"/>
      <c r="F198" s="194"/>
      <c r="K198" s="222">
        <v>86.1</v>
      </c>
      <c r="L198" s="223">
        <v>88</v>
      </c>
      <c r="M198" s="223">
        <v>90.4</v>
      </c>
      <c r="N198" s="223">
        <v>92.8</v>
      </c>
      <c r="O198" s="224">
        <v>94.8</v>
      </c>
    </row>
    <row r="199" spans="2:15">
      <c r="B199" s="194"/>
      <c r="C199" s="220" t="str">
        <f>CONCATENATE(,C66,": ",TEXT(E66,"+0.0%;-0.0%"))</f>
        <v>Best Case: +3.0%</v>
      </c>
      <c r="D199" s="221"/>
      <c r="E199" s="221"/>
      <c r="F199" s="194"/>
      <c r="K199" s="225">
        <f>K$198*(1+$E$66)</f>
        <v>88.682999999999993</v>
      </c>
      <c r="L199" s="226">
        <f>L$198*(1+$E$66)</f>
        <v>90.64</v>
      </c>
      <c r="M199" s="226">
        <f>M$198*(1+$E$66)</f>
        <v>93.112000000000009</v>
      </c>
      <c r="N199" s="226">
        <f>N$198*(1+$E$66)</f>
        <v>95.584000000000003</v>
      </c>
      <c r="O199" s="227">
        <f>O$198*(1+$E$66)</f>
        <v>97.644000000000005</v>
      </c>
    </row>
    <row r="200" spans="2:15">
      <c r="B200" s="194"/>
      <c r="C200" s="220" t="str">
        <f>CONCATENATE(,C67,": ",TEXT(E67,"+0.0%;-0.0%"))</f>
        <v>Worst Case: -3.0%</v>
      </c>
      <c r="D200" s="221"/>
      <c r="E200" s="221"/>
      <c r="F200" s="194"/>
      <c r="K200" s="228">
        <f>K$198*(1+$E$67)</f>
        <v>83.516999999999996</v>
      </c>
      <c r="L200" s="229">
        <f>L$198*(1+$E$67)</f>
        <v>85.36</v>
      </c>
      <c r="M200" s="229">
        <f>M$198*(1+$E$67)</f>
        <v>87.688000000000002</v>
      </c>
      <c r="N200" s="229">
        <f>N$198*(1+$E$67)</f>
        <v>90.015999999999991</v>
      </c>
      <c r="O200" s="230">
        <f>O$198*(1+$E$67)</f>
        <v>91.955999999999989</v>
      </c>
    </row>
    <row r="201" spans="2:15">
      <c r="B201" s="194"/>
      <c r="C201" s="231"/>
      <c r="D201" s="221"/>
      <c r="E201" s="221"/>
      <c r="F201" s="194"/>
      <c r="K201" s="232"/>
      <c r="L201" s="232"/>
      <c r="M201" s="232"/>
      <c r="N201" s="232"/>
      <c r="O201" s="232"/>
    </row>
    <row r="202" spans="2:15">
      <c r="B202" s="213" t="s">
        <v>164</v>
      </c>
      <c r="C202" s="194"/>
      <c r="D202" s="221"/>
      <c r="E202" s="221"/>
      <c r="F202" s="194"/>
      <c r="K202" s="608">
        <f>CHOOSE($F$190,K204,K205,K206)</f>
        <v>0.04</v>
      </c>
      <c r="L202" s="609">
        <f>CHOOSE($F$190,L204,L205,L206)</f>
        <v>3.5000000000000003E-2</v>
      </c>
      <c r="M202" s="609">
        <f>CHOOSE($F$190,M204,M205,M206)</f>
        <v>0.03</v>
      </c>
      <c r="N202" s="609">
        <f>CHOOSE($F$190,N204,N205,N206)</f>
        <v>0.03</v>
      </c>
      <c r="O202" s="610">
        <f>CHOOSE($F$190,O204,O205,O206)</f>
        <v>0.03</v>
      </c>
    </row>
    <row r="203" spans="2:15">
      <c r="B203" s="236"/>
      <c r="C203" s="194"/>
      <c r="D203" s="237"/>
      <c r="E203" s="237"/>
      <c r="F203" s="194"/>
      <c r="K203" s="60"/>
      <c r="L203" s="54"/>
      <c r="M203" s="54"/>
      <c r="N203" s="54"/>
      <c r="O203" s="54"/>
    </row>
    <row r="204" spans="2:15">
      <c r="B204" s="236"/>
      <c r="C204" s="194" t="str">
        <f>C65</f>
        <v>Base Case</v>
      </c>
      <c r="D204" s="237"/>
      <c r="E204" s="237"/>
      <c r="F204" s="194"/>
      <c r="K204" s="238">
        <v>0.04</v>
      </c>
      <c r="L204" s="239">
        <v>3.5000000000000003E-2</v>
      </c>
      <c r="M204" s="239">
        <v>0.03</v>
      </c>
      <c r="N204" s="239">
        <v>0.03</v>
      </c>
      <c r="O204" s="240">
        <v>0.03</v>
      </c>
    </row>
    <row r="205" spans="2:15">
      <c r="B205" s="236"/>
      <c r="C205" s="194" t="str">
        <f>C66</f>
        <v>Best Case</v>
      </c>
      <c r="D205" s="237"/>
      <c r="E205" s="237"/>
      <c r="F205" s="194"/>
      <c r="K205" s="241">
        <v>4.4999999999999998E-2</v>
      </c>
      <c r="L205" s="242">
        <v>4.4999999999999998E-2</v>
      </c>
      <c r="M205" s="242">
        <v>0.04</v>
      </c>
      <c r="N205" s="242">
        <v>0.04</v>
      </c>
      <c r="O205" s="243">
        <v>0.04</v>
      </c>
    </row>
    <row r="206" spans="2:15">
      <c r="B206" s="236"/>
      <c r="C206" s="194" t="str">
        <f>C67</f>
        <v>Worst Case</v>
      </c>
      <c r="D206" s="237"/>
      <c r="E206" s="237"/>
      <c r="F206" s="194"/>
      <c r="K206" s="244">
        <v>0.03</v>
      </c>
      <c r="L206" s="245">
        <v>0.03</v>
      </c>
      <c r="M206" s="245">
        <v>1.9999999999999997E-2</v>
      </c>
      <c r="N206" s="245">
        <v>1.9999999999999997E-2</v>
      </c>
      <c r="O206" s="246">
        <v>1.4999999999999999E-2</v>
      </c>
    </row>
    <row r="207" spans="2:15">
      <c r="B207" s="247"/>
      <c r="C207" s="247"/>
      <c r="D207" s="248"/>
      <c r="E207" s="248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</row>
    <row r="208" spans="2:15">
      <c r="B208" s="194"/>
      <c r="C208" s="194"/>
      <c r="D208" s="211"/>
      <c r="E208" s="211"/>
      <c r="F208" s="194"/>
      <c r="L208" s="194"/>
      <c r="M208" s="194"/>
      <c r="N208" s="194"/>
      <c r="O208" s="194"/>
    </row>
    <row r="209" spans="2:15" ht="13.8">
      <c r="B209" s="212" t="s">
        <v>165</v>
      </c>
      <c r="C209" s="194"/>
      <c r="D209" s="211"/>
      <c r="E209" s="211"/>
      <c r="F209" s="194"/>
      <c r="K209" s="194"/>
      <c r="L209" s="194"/>
      <c r="M209" s="194"/>
      <c r="N209" s="194"/>
      <c r="O209" s="194"/>
    </row>
    <row r="210" spans="2:15">
      <c r="B210" s="194"/>
      <c r="C210" s="194"/>
      <c r="D210" s="211"/>
      <c r="E210" s="211"/>
      <c r="F210" s="194"/>
      <c r="K210" s="194"/>
      <c r="L210" s="194"/>
      <c r="M210" s="194"/>
      <c r="N210" s="194"/>
      <c r="O210" s="194"/>
    </row>
    <row r="211" spans="2:15">
      <c r="B211" s="213" t="s">
        <v>6</v>
      </c>
      <c r="C211" s="194"/>
      <c r="D211" s="237"/>
      <c r="E211" s="237"/>
      <c r="F211" s="194"/>
      <c r="K211" s="233">
        <f>CHOOSE($F$190,K213,K214,K215)</f>
        <v>0.02</v>
      </c>
      <c r="L211" s="234">
        <f>CHOOSE($F$190,L213,L214,L215)</f>
        <v>0.02</v>
      </c>
      <c r="M211" s="234">
        <f>CHOOSE($F$190,M213,M214,M215)</f>
        <v>0.02</v>
      </c>
      <c r="N211" s="234">
        <f>CHOOSE($F$190,N213,N214,N215)</f>
        <v>2.5000000000000001E-2</v>
      </c>
      <c r="O211" s="235">
        <f>CHOOSE($F$190,O213,O214,O215)</f>
        <v>2.5000000000000001E-2</v>
      </c>
    </row>
    <row r="212" spans="2:15">
      <c r="B212" s="236"/>
      <c r="C212" s="194"/>
      <c r="D212" s="237"/>
      <c r="E212" s="237"/>
      <c r="F212" s="194"/>
      <c r="K212" s="60"/>
      <c r="L212" s="54"/>
      <c r="M212" s="54"/>
      <c r="N212" s="54"/>
      <c r="O212" s="54"/>
    </row>
    <row r="213" spans="2:15">
      <c r="B213" s="236"/>
      <c r="C213" s="194" t="str">
        <f>C$204</f>
        <v>Base Case</v>
      </c>
      <c r="D213" s="237"/>
      <c r="E213" s="237"/>
      <c r="F213" s="194"/>
      <c r="K213" s="249">
        <v>0.02</v>
      </c>
      <c r="L213" s="250">
        <v>0.02</v>
      </c>
      <c r="M213" s="250">
        <v>0.02</v>
      </c>
      <c r="N213" s="250">
        <v>2.5000000000000001E-2</v>
      </c>
      <c r="O213" s="251">
        <v>2.5000000000000001E-2</v>
      </c>
    </row>
    <row r="214" spans="2:15">
      <c r="B214" s="236"/>
      <c r="C214" s="194" t="str">
        <f>C$66</f>
        <v>Best Case</v>
      </c>
      <c r="D214" s="237"/>
      <c r="E214" s="237"/>
      <c r="F214" s="194"/>
      <c r="K214" s="252">
        <v>1.7999999999999999E-2</v>
      </c>
      <c r="L214" s="60">
        <v>1.7999999999999999E-2</v>
      </c>
      <c r="M214" s="60">
        <v>1.7999999999999999E-2</v>
      </c>
      <c r="N214" s="60">
        <v>0.02</v>
      </c>
      <c r="O214" s="253">
        <v>0.02</v>
      </c>
    </row>
    <row r="215" spans="2:15">
      <c r="B215" s="236"/>
      <c r="C215" s="194" t="str">
        <f>C$67</f>
        <v>Worst Case</v>
      </c>
      <c r="D215" s="237"/>
      <c r="E215" s="237"/>
      <c r="F215" s="194"/>
      <c r="K215" s="254">
        <v>2.5000000000000001E-2</v>
      </c>
      <c r="L215" s="255">
        <v>2.5000000000000001E-2</v>
      </c>
      <c r="M215" s="255">
        <v>2.5000000000000001E-2</v>
      </c>
      <c r="N215" s="255">
        <v>2.5000000000000001E-2</v>
      </c>
      <c r="O215" s="256">
        <v>2.5000000000000001E-2</v>
      </c>
    </row>
    <row r="216" spans="2:15">
      <c r="B216" s="194"/>
      <c r="C216" s="231"/>
      <c r="D216" s="237"/>
      <c r="E216" s="237"/>
      <c r="F216" s="194"/>
      <c r="K216" s="54"/>
      <c r="L216" s="54"/>
      <c r="M216" s="54"/>
      <c r="N216" s="54"/>
      <c r="O216" s="54"/>
    </row>
    <row r="217" spans="2:15">
      <c r="B217" s="213" t="s">
        <v>166</v>
      </c>
      <c r="C217" s="214"/>
      <c r="D217" s="211"/>
      <c r="E217" s="211"/>
      <c r="F217" s="194"/>
      <c r="K217" s="257">
        <f>CHOOSE($F$190,K219,K220,K221)</f>
        <v>10.8</v>
      </c>
      <c r="L217" s="258">
        <f>CHOOSE($F$190,L219,L220,L221)</f>
        <v>11.4</v>
      </c>
      <c r="M217" s="258">
        <f>CHOOSE($F$190,M219,M220,M221)</f>
        <v>12</v>
      </c>
      <c r="N217" s="258">
        <f>CHOOSE($F$190,N219,N220,N221)</f>
        <v>11.2</v>
      </c>
      <c r="O217" s="259">
        <f>CHOOSE($F$190,O219,O220,O221)</f>
        <v>10.8</v>
      </c>
    </row>
    <row r="218" spans="2:15">
      <c r="B218" s="236"/>
      <c r="C218" s="194"/>
      <c r="D218" s="211"/>
      <c r="E218" s="211"/>
      <c r="F218" s="194"/>
      <c r="K218" s="260"/>
      <c r="L218" s="260"/>
      <c r="M218" s="260"/>
      <c r="N218" s="260"/>
      <c r="O218" s="260"/>
    </row>
    <row r="219" spans="2:15">
      <c r="B219" s="194"/>
      <c r="C219" s="194" t="str">
        <f>C$204</f>
        <v>Base Case</v>
      </c>
      <c r="D219" s="221"/>
      <c r="E219" s="221"/>
      <c r="F219" s="194"/>
      <c r="K219" s="261">
        <v>10.8</v>
      </c>
      <c r="L219" s="262">
        <v>11.4</v>
      </c>
      <c r="M219" s="262">
        <v>12</v>
      </c>
      <c r="N219" s="262">
        <v>11.2</v>
      </c>
      <c r="O219" s="263">
        <v>10.8</v>
      </c>
    </row>
    <row r="220" spans="2:15">
      <c r="B220" s="194"/>
      <c r="C220" s="194" t="str">
        <f>C$66</f>
        <v>Best Case</v>
      </c>
      <c r="D220" s="221"/>
      <c r="E220" s="221"/>
      <c r="F220" s="194"/>
      <c r="K220" s="264">
        <v>11</v>
      </c>
      <c r="L220" s="265">
        <v>11.600000000000001</v>
      </c>
      <c r="M220" s="265">
        <v>12.2</v>
      </c>
      <c r="N220" s="265">
        <v>11.5</v>
      </c>
      <c r="O220" s="266">
        <v>11.2</v>
      </c>
    </row>
    <row r="221" spans="2:15">
      <c r="B221" s="194"/>
      <c r="C221" s="194" t="str">
        <f>C$67</f>
        <v>Worst Case</v>
      </c>
      <c r="D221" s="221"/>
      <c r="E221" s="221"/>
      <c r="F221" s="194"/>
      <c r="K221" s="267">
        <v>10.6</v>
      </c>
      <c r="L221" s="268">
        <v>11.200000000000001</v>
      </c>
      <c r="M221" s="268">
        <v>11.8</v>
      </c>
      <c r="N221" s="268">
        <v>11</v>
      </c>
      <c r="O221" s="269">
        <v>10.600000000000001</v>
      </c>
    </row>
    <row r="222" spans="2:15">
      <c r="B222" s="194"/>
      <c r="C222" s="194"/>
      <c r="D222" s="220"/>
      <c r="E222" s="221"/>
      <c r="F222" s="221"/>
      <c r="K222" s="194"/>
      <c r="L222" s="270"/>
      <c r="M222" s="270"/>
      <c r="N222" s="270"/>
      <c r="O222" s="270"/>
    </row>
    <row r="223" spans="2:15">
      <c r="B223" s="213" t="s">
        <v>167</v>
      </c>
      <c r="C223" s="214"/>
      <c r="D223" s="214"/>
      <c r="E223" s="204"/>
      <c r="F223" s="204"/>
      <c r="K223" s="271">
        <f>CHOOSE($F$190,K225,K226,K227)</f>
        <v>330</v>
      </c>
      <c r="L223" s="272">
        <f>CHOOSE($F$190,L225,L226,L227)</f>
        <v>360</v>
      </c>
      <c r="M223" s="272">
        <f>CHOOSE($F$190,M225,M226,M227)</f>
        <v>380</v>
      </c>
      <c r="N223" s="272">
        <f>CHOOSE($F$190,N225,N226,N227)</f>
        <v>360</v>
      </c>
      <c r="O223" s="273">
        <f>CHOOSE($F$190,O225,O226,O227)</f>
        <v>340</v>
      </c>
    </row>
    <row r="224" spans="2:15">
      <c r="B224" s="236"/>
      <c r="C224" s="236"/>
      <c r="D224" s="194"/>
      <c r="E224" s="237"/>
      <c r="F224" s="237"/>
      <c r="K224" s="260"/>
      <c r="L224" s="260"/>
      <c r="M224" s="260"/>
      <c r="N224" s="260"/>
      <c r="O224" s="260"/>
    </row>
    <row r="225" spans="1:15">
      <c r="B225" s="194"/>
      <c r="C225" s="194" t="str">
        <f>C$204</f>
        <v>Base Case</v>
      </c>
      <c r="D225" s="220"/>
      <c r="E225" s="221"/>
      <c r="F225" s="221"/>
      <c r="K225" s="274">
        <v>330</v>
      </c>
      <c r="L225" s="275">
        <v>360</v>
      </c>
      <c r="M225" s="275">
        <v>380</v>
      </c>
      <c r="N225" s="275">
        <v>360</v>
      </c>
      <c r="O225" s="276">
        <v>340</v>
      </c>
    </row>
    <row r="226" spans="1:15">
      <c r="B226" s="194"/>
      <c r="C226" s="194" t="str">
        <f>C$66</f>
        <v>Best Case</v>
      </c>
      <c r="D226" s="220"/>
      <c r="E226" s="221"/>
      <c r="F226" s="221"/>
      <c r="K226" s="277">
        <v>325</v>
      </c>
      <c r="L226" s="278">
        <v>350</v>
      </c>
      <c r="M226" s="278">
        <v>367</v>
      </c>
      <c r="N226" s="278">
        <v>350</v>
      </c>
      <c r="O226" s="279">
        <v>330</v>
      </c>
    </row>
    <row r="227" spans="1:15">
      <c r="B227" s="194"/>
      <c r="C227" s="194" t="str">
        <f>C$67</f>
        <v>Worst Case</v>
      </c>
      <c r="D227" s="220"/>
      <c r="E227" s="221"/>
      <c r="F227" s="221"/>
      <c r="K227" s="280">
        <v>335</v>
      </c>
      <c r="L227" s="281">
        <v>365</v>
      </c>
      <c r="M227" s="281">
        <v>385</v>
      </c>
      <c r="N227" s="281">
        <v>365</v>
      </c>
      <c r="O227" s="282">
        <v>345</v>
      </c>
    </row>
    <row r="228" spans="1:15">
      <c r="B228" s="213"/>
      <c r="C228" s="194"/>
      <c r="D228" s="220"/>
      <c r="E228" s="221"/>
      <c r="F228" s="221"/>
      <c r="K228" s="194"/>
      <c r="L228" s="270"/>
      <c r="M228" s="270"/>
      <c r="N228" s="270"/>
      <c r="O228" s="270"/>
    </row>
    <row r="229" spans="1:15">
      <c r="B229" s="213" t="s">
        <v>168</v>
      </c>
      <c r="C229" s="194"/>
      <c r="D229" s="220"/>
      <c r="E229" s="221"/>
      <c r="F229" s="221"/>
      <c r="K229" s="194"/>
      <c r="L229" s="270"/>
      <c r="M229" s="270"/>
      <c r="N229" s="270"/>
      <c r="O229" s="270"/>
    </row>
    <row r="230" spans="1:15">
      <c r="B230" s="213"/>
      <c r="C230" s="194" t="str">
        <f>C$204</f>
        <v>Base Case</v>
      </c>
      <c r="D230" s="237"/>
      <c r="E230" s="237"/>
      <c r="F230" s="194"/>
      <c r="K230" s="283">
        <v>7.4999999999999997E-3</v>
      </c>
      <c r="L230" s="284">
        <v>7.4999999999999997E-3</v>
      </c>
      <c r="M230" s="284">
        <v>7.4999999999999997E-3</v>
      </c>
      <c r="N230" s="284">
        <v>0.01</v>
      </c>
      <c r="O230" s="285">
        <v>0.01</v>
      </c>
    </row>
    <row r="231" spans="1:15">
      <c r="B231" s="286"/>
      <c r="C231" s="286"/>
      <c r="D231" s="286"/>
      <c r="E231" s="287"/>
      <c r="F231" s="287"/>
      <c r="G231" s="286"/>
      <c r="H231" s="286"/>
      <c r="I231" s="286"/>
      <c r="J231" s="286"/>
      <c r="K231" s="286"/>
      <c r="L231" s="286"/>
      <c r="M231" s="286"/>
      <c r="N231" s="286"/>
      <c r="O231" s="286"/>
    </row>
    <row r="236" spans="1:15" ht="12.75" customHeight="1">
      <c r="A236" s="288"/>
      <c r="B236" s="2"/>
      <c r="C236" s="3"/>
      <c r="D236" s="3"/>
      <c r="E236" s="3"/>
      <c r="F236" s="289"/>
      <c r="G236" s="3"/>
      <c r="H236" s="3"/>
      <c r="I236" s="3"/>
      <c r="J236" s="3"/>
      <c r="K236" s="3"/>
      <c r="L236" s="3"/>
      <c r="M236" s="3"/>
      <c r="N236" s="3"/>
      <c r="O236" s="290" t="str">
        <f>"CURRENTLY RUNNING: "&amp;UPPER(CHOOSE($F$190,C213,C214,C215))&amp;" SCENARIO"</f>
        <v>CURRENTLY RUNNING: BASE CASE SCENARIO</v>
      </c>
    </row>
    <row r="237" spans="1:15" ht="22.8" customHeight="1">
      <c r="A237" s="291"/>
      <c r="B237" s="86" t="str">
        <f>$B$3</f>
        <v>Moonbucks Corp.</v>
      </c>
      <c r="C237" s="3"/>
      <c r="D237" s="3"/>
      <c r="E237" s="3"/>
      <c r="F237" s="289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8.75" customHeight="1">
      <c r="A238" s="292"/>
      <c r="B238" s="293" t="s">
        <v>169</v>
      </c>
      <c r="C238" s="294"/>
      <c r="D238" s="294"/>
      <c r="E238" s="294"/>
      <c r="F238" s="295"/>
      <c r="G238" s="294"/>
      <c r="H238" s="294"/>
      <c r="I238" s="294"/>
      <c r="J238" s="294"/>
      <c r="K238" s="294"/>
      <c r="L238" s="294"/>
      <c r="M238" s="294"/>
      <c r="N238" s="294"/>
      <c r="O238" s="294"/>
    </row>
    <row r="239" spans="1:15" ht="6" customHeight="1" thickBot="1">
      <c r="A239" s="292"/>
      <c r="B239" s="296"/>
      <c r="C239" s="297"/>
      <c r="D239" s="297"/>
      <c r="E239" s="297"/>
      <c r="F239" s="298"/>
      <c r="G239" s="297"/>
      <c r="H239" s="297"/>
      <c r="I239" s="297"/>
      <c r="J239" s="297"/>
      <c r="K239" s="297"/>
      <c r="L239" s="297"/>
      <c r="M239" s="297"/>
      <c r="N239" s="297"/>
      <c r="O239" s="297"/>
    </row>
    <row r="240" spans="1:15" ht="12.75" customHeight="1">
      <c r="A240" s="293"/>
      <c r="B240" s="294"/>
      <c r="C240" s="294"/>
      <c r="D240" s="294"/>
      <c r="E240" s="294"/>
      <c r="F240" s="295"/>
      <c r="G240" s="294"/>
      <c r="H240" s="294"/>
      <c r="I240" s="294"/>
      <c r="J240" s="294"/>
      <c r="K240" s="299"/>
      <c r="L240" s="300"/>
      <c r="M240" s="300"/>
      <c r="N240" s="300"/>
      <c r="O240" s="300"/>
    </row>
    <row r="241" spans="1:17" ht="13.8">
      <c r="A241" s="8"/>
      <c r="B241" s="8"/>
      <c r="C241" s="8"/>
      <c r="D241" s="8"/>
      <c r="E241" s="8"/>
      <c r="F241" s="301"/>
      <c r="G241" s="302"/>
      <c r="H241" s="8"/>
      <c r="I241" s="8"/>
      <c r="J241" s="8"/>
      <c r="K241" s="303" t="s">
        <v>170</v>
      </c>
      <c r="L241" s="113"/>
      <c r="M241" s="113"/>
      <c r="N241" s="113"/>
      <c r="O241" s="113"/>
    </row>
    <row r="242" spans="1:17">
      <c r="A242" s="8"/>
      <c r="B242" s="8"/>
      <c r="C242" s="8"/>
      <c r="D242" s="8"/>
      <c r="E242" s="8"/>
      <c r="F242" s="301"/>
      <c r="G242" s="50"/>
      <c r="H242" s="304">
        <f>I242-1</f>
        <v>2019</v>
      </c>
      <c r="I242" s="304">
        <f>J242-1</f>
        <v>2020</v>
      </c>
      <c r="J242" s="304">
        <f>K242-1</f>
        <v>2021</v>
      </c>
      <c r="K242" s="50">
        <f>K190</f>
        <v>2022</v>
      </c>
      <c r="L242" s="50">
        <f>L190</f>
        <v>2023</v>
      </c>
      <c r="M242" s="50">
        <f>M190</f>
        <v>2024</v>
      </c>
      <c r="N242" s="50">
        <f>N190</f>
        <v>2025</v>
      </c>
      <c r="O242" s="50">
        <f>O190</f>
        <v>2026</v>
      </c>
      <c r="Q242" s="8"/>
    </row>
    <row r="243" spans="1:17" ht="12.75" customHeight="1">
      <c r="A243" s="8"/>
      <c r="B243" s="8"/>
      <c r="C243" s="8"/>
      <c r="D243" s="8"/>
      <c r="E243" s="8"/>
      <c r="F243" s="301"/>
      <c r="G243" s="8"/>
      <c r="H243" s="305"/>
      <c r="I243" s="305"/>
      <c r="J243" s="305"/>
      <c r="K243" s="8"/>
      <c r="L243" s="8"/>
      <c r="M243" s="8"/>
      <c r="N243" s="8"/>
      <c r="O243" s="8"/>
      <c r="Q243" s="8"/>
    </row>
    <row r="244" spans="1:17">
      <c r="A244" s="8"/>
      <c r="B244" s="306" t="s">
        <v>171</v>
      </c>
      <c r="C244" s="8"/>
      <c r="D244" s="8"/>
      <c r="E244" s="8"/>
      <c r="F244" s="307"/>
      <c r="G244" s="8"/>
      <c r="H244" s="8"/>
      <c r="I244" s="8"/>
      <c r="J244" s="305"/>
      <c r="K244" s="8"/>
      <c r="L244" s="8"/>
      <c r="M244" s="8"/>
      <c r="N244" s="8"/>
      <c r="O244" s="8"/>
      <c r="Q244" s="8"/>
    </row>
    <row r="245" spans="1:17" ht="13.35" customHeight="1">
      <c r="A245" s="8"/>
      <c r="B245" s="8"/>
      <c r="C245" s="90" t="s">
        <v>172</v>
      </c>
      <c r="D245" s="8"/>
      <c r="E245" s="8"/>
      <c r="F245" s="308" t="s">
        <v>173</v>
      </c>
      <c r="G245" s="8"/>
      <c r="H245" s="309">
        <v>82.1</v>
      </c>
      <c r="I245" s="309">
        <v>83.7</v>
      </c>
      <c r="J245" s="309">
        <v>85.07</v>
      </c>
      <c r="K245" s="310">
        <f>K196</f>
        <v>86.1</v>
      </c>
      <c r="L245" s="310">
        <f>L196</f>
        <v>88</v>
      </c>
      <c r="M245" s="310">
        <f>M196</f>
        <v>90.4</v>
      </c>
      <c r="N245" s="310">
        <f>N196</f>
        <v>92.8</v>
      </c>
      <c r="O245" s="611">
        <f>O196</f>
        <v>94.8</v>
      </c>
    </row>
    <row r="246" spans="1:17" ht="13.35" customHeight="1">
      <c r="A246" s="8"/>
      <c r="B246" s="8"/>
      <c r="C246" s="8" t="s">
        <v>174</v>
      </c>
      <c r="D246" s="8"/>
      <c r="E246" s="8"/>
      <c r="F246" s="311" t="s">
        <v>175</v>
      </c>
      <c r="G246" s="8"/>
      <c r="H246" s="60">
        <v>2.1000000000000001E-2</v>
      </c>
      <c r="I246" s="54">
        <f t="shared" ref="I246:O246" si="2">I245/H245-1</f>
        <v>1.948842874543244E-2</v>
      </c>
      <c r="J246" s="54">
        <f t="shared" si="2"/>
        <v>1.6367980884109734E-2</v>
      </c>
      <c r="K246" s="54">
        <f t="shared" si="2"/>
        <v>1.2107676031503534E-2</v>
      </c>
      <c r="L246" s="54">
        <f t="shared" si="2"/>
        <v>2.2067363530778206E-2</v>
      </c>
      <c r="M246" s="54">
        <f t="shared" si="2"/>
        <v>2.7272727272727337E-2</v>
      </c>
      <c r="N246" s="54">
        <f t="shared" si="2"/>
        <v>2.6548672566371501E-2</v>
      </c>
      <c r="O246" s="54">
        <f t="shared" si="2"/>
        <v>2.155172413793105E-2</v>
      </c>
    </row>
    <row r="247" spans="1:17" ht="9" customHeight="1">
      <c r="A247" s="8"/>
      <c r="B247" s="8"/>
      <c r="C247" s="90"/>
      <c r="D247" s="8"/>
      <c r="E247" s="8"/>
      <c r="F247" s="308"/>
      <c r="G247" s="8"/>
      <c r="H247" s="309"/>
      <c r="I247" s="309"/>
      <c r="J247" s="309"/>
      <c r="K247" s="312"/>
      <c r="L247" s="312"/>
      <c r="M247" s="312"/>
      <c r="N247" s="312"/>
      <c r="O247" s="312"/>
    </row>
    <row r="248" spans="1:17" ht="13.35" customHeight="1">
      <c r="A248" s="8"/>
      <c r="B248" s="8"/>
      <c r="C248" s="90" t="s">
        <v>111</v>
      </c>
      <c r="D248" s="8"/>
      <c r="E248" s="8"/>
      <c r="F248" s="311" t="s">
        <v>175</v>
      </c>
      <c r="G248" s="8"/>
      <c r="H248" s="313">
        <f>H249/H245</f>
        <v>2.9488185140073085E-2</v>
      </c>
      <c r="I248" s="313">
        <f>I249/I245</f>
        <v>2.9221863799283154E-2</v>
      </c>
      <c r="J248" s="313">
        <f>J249/J245</f>
        <v>2.3040084636181967E-2</v>
      </c>
      <c r="K248" s="313">
        <f>E79</f>
        <v>0.02</v>
      </c>
      <c r="L248" s="313">
        <f>K248</f>
        <v>0.02</v>
      </c>
      <c r="M248" s="313">
        <f>L248</f>
        <v>0.02</v>
      </c>
      <c r="N248" s="313">
        <f>M248</f>
        <v>0.02</v>
      </c>
      <c r="O248" s="313">
        <f>N248</f>
        <v>0.02</v>
      </c>
    </row>
    <row r="249" spans="1:17" ht="13.35" customHeight="1">
      <c r="A249" s="8"/>
      <c r="B249" s="8"/>
      <c r="C249" s="90" t="s">
        <v>111</v>
      </c>
      <c r="D249" s="8"/>
      <c r="E249" s="8"/>
      <c r="F249" s="308" t="s">
        <v>173</v>
      </c>
      <c r="G249" s="8"/>
      <c r="H249" s="314">
        <v>2.4209800000000001</v>
      </c>
      <c r="I249" s="314">
        <v>2.4458700000000002</v>
      </c>
      <c r="J249" s="314">
        <v>1.9600199999999999</v>
      </c>
      <c r="K249" s="315">
        <f>K248*K245</f>
        <v>1.722</v>
      </c>
      <c r="L249" s="315">
        <f>L248*L245</f>
        <v>1.76</v>
      </c>
      <c r="M249" s="315">
        <f>M248*M245</f>
        <v>1.8080000000000001</v>
      </c>
      <c r="N249" s="315">
        <f>N248*N245</f>
        <v>1.8559999999999999</v>
      </c>
      <c r="O249" s="315">
        <f>O248*O245</f>
        <v>1.8959999999999999</v>
      </c>
    </row>
    <row r="250" spans="1:17" ht="13.35" customHeight="1">
      <c r="A250" s="8"/>
      <c r="B250" s="8"/>
      <c r="C250" s="141" t="s">
        <v>176</v>
      </c>
      <c r="D250" s="42"/>
      <c r="E250" s="42"/>
      <c r="F250" s="316" t="s">
        <v>173</v>
      </c>
      <c r="G250" s="8"/>
      <c r="H250" s="317">
        <f t="shared" ref="H250:O250" si="3">H245-H249</f>
        <v>79.679019999999994</v>
      </c>
      <c r="I250" s="317">
        <f t="shared" si="3"/>
        <v>81.254130000000004</v>
      </c>
      <c r="J250" s="317">
        <f t="shared" si="3"/>
        <v>83.109979999999993</v>
      </c>
      <c r="K250" s="317">
        <f t="shared" si="3"/>
        <v>84.378</v>
      </c>
      <c r="L250" s="317">
        <f t="shared" si="3"/>
        <v>86.24</v>
      </c>
      <c r="M250" s="317">
        <f t="shared" si="3"/>
        <v>88.591999999999999</v>
      </c>
      <c r="N250" s="317">
        <f t="shared" si="3"/>
        <v>90.944000000000003</v>
      </c>
      <c r="O250" s="317">
        <f t="shared" si="3"/>
        <v>92.903999999999996</v>
      </c>
    </row>
    <row r="251" spans="1:17" ht="12.75" customHeight="1">
      <c r="A251" s="8"/>
      <c r="B251" s="318"/>
      <c r="C251" s="319"/>
      <c r="D251" s="318"/>
      <c r="E251" s="318"/>
      <c r="F251" s="320"/>
      <c r="G251" s="318"/>
      <c r="H251" s="318"/>
      <c r="I251" s="318"/>
      <c r="J251" s="321"/>
      <c r="K251" s="322"/>
      <c r="L251" s="322"/>
      <c r="M251" s="322"/>
      <c r="N251" s="322"/>
      <c r="O251" s="322"/>
    </row>
    <row r="252" spans="1:17" ht="12.75" customHeight="1">
      <c r="A252" s="8"/>
      <c r="B252" s="8"/>
      <c r="C252" s="306"/>
      <c r="D252" s="8"/>
      <c r="E252" s="8"/>
      <c r="F252" s="316"/>
      <c r="G252" s="8"/>
      <c r="H252" s="8"/>
      <c r="I252" s="8"/>
      <c r="J252" s="323"/>
      <c r="K252" s="324"/>
      <c r="L252" s="324"/>
      <c r="M252" s="324"/>
      <c r="N252" s="324"/>
      <c r="O252" s="324"/>
    </row>
    <row r="253" spans="1:17">
      <c r="A253" s="8"/>
      <c r="B253" s="42" t="s">
        <v>177</v>
      </c>
      <c r="C253" s="8"/>
      <c r="D253" s="8"/>
      <c r="E253" s="8"/>
      <c r="F253" s="308"/>
      <c r="G253" s="8"/>
      <c r="H253" s="8"/>
      <c r="I253" s="8"/>
      <c r="J253" s="325"/>
      <c r="K253" s="326"/>
      <c r="L253" s="326"/>
      <c r="M253" s="326"/>
      <c r="N253" s="326"/>
      <c r="O253" s="325"/>
    </row>
    <row r="254" spans="1:17">
      <c r="A254" s="8"/>
      <c r="B254" s="42"/>
      <c r="C254" s="8" t="s">
        <v>178</v>
      </c>
      <c r="D254" s="8"/>
      <c r="E254" s="8"/>
      <c r="F254" s="307" t="s">
        <v>124</v>
      </c>
      <c r="G254" s="8"/>
      <c r="H254" s="327">
        <v>340</v>
      </c>
      <c r="I254" s="327">
        <v>345</v>
      </c>
      <c r="J254" s="327">
        <v>348</v>
      </c>
      <c r="K254" s="312">
        <f>N57</f>
        <v>350</v>
      </c>
      <c r="L254" s="312">
        <f t="shared" ref="L254:O255" si="4">K254</f>
        <v>350</v>
      </c>
      <c r="M254" s="312">
        <f t="shared" si="4"/>
        <v>350</v>
      </c>
      <c r="N254" s="312">
        <f t="shared" si="4"/>
        <v>350</v>
      </c>
      <c r="O254" s="312">
        <f t="shared" si="4"/>
        <v>350</v>
      </c>
    </row>
    <row r="255" spans="1:17">
      <c r="A255" s="8"/>
      <c r="B255" s="42"/>
      <c r="C255" s="8" t="s">
        <v>179</v>
      </c>
      <c r="D255" s="8"/>
      <c r="E255" s="8"/>
      <c r="F255" s="307" t="s">
        <v>180</v>
      </c>
      <c r="G255" s="8"/>
      <c r="H255" s="314">
        <v>39.25</v>
      </c>
      <c r="I255" s="314">
        <v>39.25</v>
      </c>
      <c r="J255" s="314">
        <v>39.5</v>
      </c>
      <c r="K255" s="315">
        <f>N58</f>
        <v>39.5</v>
      </c>
      <c r="L255" s="315">
        <f t="shared" si="4"/>
        <v>39.5</v>
      </c>
      <c r="M255" s="315">
        <f t="shared" si="4"/>
        <v>39.5</v>
      </c>
      <c r="N255" s="315">
        <f t="shared" si="4"/>
        <v>39.5</v>
      </c>
      <c r="O255" s="315">
        <f t="shared" si="4"/>
        <v>39.5</v>
      </c>
    </row>
    <row r="256" spans="1:17">
      <c r="A256" s="8"/>
      <c r="B256" s="8"/>
      <c r="C256" s="42" t="s">
        <v>181</v>
      </c>
      <c r="D256" s="42"/>
      <c r="E256" s="42"/>
      <c r="F256" s="328" t="s">
        <v>182</v>
      </c>
      <c r="G256" s="42"/>
      <c r="H256" s="317">
        <f t="shared" ref="H256:O256" si="5">H254*H255/1000</f>
        <v>13.345000000000001</v>
      </c>
      <c r="I256" s="317">
        <f t="shared" si="5"/>
        <v>13.54125</v>
      </c>
      <c r="J256" s="317">
        <f t="shared" si="5"/>
        <v>13.746</v>
      </c>
      <c r="K256" s="317">
        <f t="shared" si="5"/>
        <v>13.824999999999999</v>
      </c>
      <c r="L256" s="317">
        <f t="shared" si="5"/>
        <v>13.824999999999999</v>
      </c>
      <c r="M256" s="317">
        <f t="shared" si="5"/>
        <v>13.824999999999999</v>
      </c>
      <c r="N256" s="317">
        <f t="shared" si="5"/>
        <v>13.824999999999999</v>
      </c>
      <c r="O256" s="317">
        <f t="shared" si="5"/>
        <v>13.824999999999999</v>
      </c>
    </row>
    <row r="257" spans="1:15" ht="12.75" customHeight="1">
      <c r="A257" s="8"/>
      <c r="B257" s="8"/>
      <c r="C257" s="8"/>
      <c r="D257" s="8"/>
      <c r="E257" s="8"/>
      <c r="F257" s="307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2.75" customHeight="1">
      <c r="A258" s="8"/>
      <c r="B258" s="42" t="s">
        <v>183</v>
      </c>
      <c r="C258" s="8"/>
      <c r="D258" s="8"/>
      <c r="E258" s="8"/>
      <c r="F258" s="307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4.1" customHeight="1">
      <c r="A259" s="8"/>
      <c r="B259" s="8"/>
      <c r="C259" s="8" t="s">
        <v>164</v>
      </c>
      <c r="D259" s="8"/>
      <c r="E259" s="8"/>
      <c r="F259" s="311" t="s">
        <v>175</v>
      </c>
      <c r="G259" s="8"/>
      <c r="H259" s="8"/>
      <c r="I259" s="329">
        <f>I260/H260-1</f>
        <v>3.6363636363636376E-2</v>
      </c>
      <c r="J259" s="329">
        <f>J260/I260-1</f>
        <v>3.5087719298245723E-2</v>
      </c>
      <c r="K259" s="329">
        <f>K202</f>
        <v>0.04</v>
      </c>
      <c r="L259" s="329">
        <f>L202</f>
        <v>3.5000000000000003E-2</v>
      </c>
      <c r="M259" s="329">
        <f>M202</f>
        <v>0.03</v>
      </c>
      <c r="N259" s="329">
        <f>N202</f>
        <v>0.03</v>
      </c>
      <c r="O259" s="329">
        <f>O202</f>
        <v>0.03</v>
      </c>
    </row>
    <row r="260" spans="1:15">
      <c r="A260" s="8"/>
      <c r="B260" s="8"/>
      <c r="C260" s="141" t="s">
        <v>184</v>
      </c>
      <c r="D260" s="42"/>
      <c r="E260" s="42"/>
      <c r="F260" s="328" t="s">
        <v>182</v>
      </c>
      <c r="G260" s="8"/>
      <c r="H260" s="330">
        <v>11</v>
      </c>
      <c r="I260" s="330">
        <v>11.4</v>
      </c>
      <c r="J260" s="330">
        <v>11.8</v>
      </c>
      <c r="K260" s="612">
        <f>MIN(J260*(1+K259),K256)</f>
        <v>12.272000000000002</v>
      </c>
      <c r="L260" s="612">
        <f>MIN(K260*(1+L259),L256)</f>
        <v>12.70152</v>
      </c>
      <c r="M260" s="612">
        <f>MIN(L260*(1+M259),M256)</f>
        <v>13.082565600000001</v>
      </c>
      <c r="N260" s="612">
        <f>MIN(M260*(1+N259),N256)</f>
        <v>13.475042568000001</v>
      </c>
      <c r="O260" s="612">
        <f>MIN(N260*(1+O259),O256)</f>
        <v>13.824999999999999</v>
      </c>
    </row>
    <row r="261" spans="1:15" ht="6" customHeight="1">
      <c r="A261" s="8"/>
      <c r="B261" s="8"/>
      <c r="C261" s="42"/>
      <c r="D261" s="8"/>
      <c r="E261" s="8"/>
      <c r="F261" s="328"/>
      <c r="G261" s="8"/>
      <c r="H261" s="8"/>
      <c r="I261" s="8"/>
      <c r="J261" s="324"/>
      <c r="K261" s="324"/>
      <c r="L261" s="324"/>
      <c r="M261" s="324"/>
      <c r="N261" s="324"/>
      <c r="O261" s="324"/>
    </row>
    <row r="262" spans="1:15">
      <c r="A262" s="8"/>
      <c r="B262" s="8"/>
      <c r="C262" s="8" t="s">
        <v>185</v>
      </c>
      <c r="D262" s="8"/>
      <c r="E262" s="8"/>
      <c r="F262" s="311" t="s">
        <v>175</v>
      </c>
      <c r="G262" s="8"/>
      <c r="H262" s="331">
        <f t="shared" ref="H262:O262" si="6">H260/H256</f>
        <v>0.8242787560884226</v>
      </c>
      <c r="I262" s="331">
        <f t="shared" si="6"/>
        <v>0.84187205760177242</v>
      </c>
      <c r="J262" s="331">
        <f t="shared" si="6"/>
        <v>0.85843154372180996</v>
      </c>
      <c r="K262" s="331">
        <f t="shared" si="6"/>
        <v>0.88766726943942154</v>
      </c>
      <c r="L262" s="331">
        <f t="shared" si="6"/>
        <v>0.91873562386980112</v>
      </c>
      <c r="M262" s="331">
        <f t="shared" si="6"/>
        <v>0.94629769258589524</v>
      </c>
      <c r="N262" s="331">
        <f t="shared" si="6"/>
        <v>0.97468662336347212</v>
      </c>
      <c r="O262" s="331">
        <f t="shared" si="6"/>
        <v>1</v>
      </c>
    </row>
    <row r="263" spans="1:15" ht="12.75" customHeight="1">
      <c r="A263" s="8"/>
      <c r="B263" s="318"/>
      <c r="C263" s="318"/>
      <c r="D263" s="318"/>
      <c r="E263" s="318"/>
      <c r="F263" s="332"/>
      <c r="G263" s="318"/>
      <c r="H263" s="318"/>
      <c r="I263" s="318"/>
      <c r="J263" s="318"/>
      <c r="K263" s="318"/>
      <c r="L263" s="318"/>
      <c r="M263" s="318"/>
      <c r="N263" s="318"/>
      <c r="O263" s="318"/>
    </row>
    <row r="264" spans="1:15" ht="12.75" customHeight="1">
      <c r="A264" s="8"/>
      <c r="B264" s="8"/>
      <c r="C264" s="8"/>
      <c r="D264" s="8"/>
      <c r="E264" s="8"/>
      <c r="F264" s="307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2.75" customHeight="1">
      <c r="A265" s="8"/>
      <c r="B265" s="42" t="s">
        <v>10</v>
      </c>
      <c r="C265" s="8"/>
      <c r="D265" s="8"/>
      <c r="E265" s="8"/>
      <c r="F265" s="307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2.75" customHeight="1">
      <c r="A266" s="8"/>
      <c r="B266" s="8"/>
      <c r="C266" s="94" t="s">
        <v>5</v>
      </c>
      <c r="D266" s="8"/>
      <c r="E266" s="8"/>
      <c r="F266" s="307" t="s">
        <v>186</v>
      </c>
      <c r="G266" s="8"/>
      <c r="H266" s="333">
        <f t="shared" ref="H266:O266" si="7">H260*H245</f>
        <v>903.09999999999991</v>
      </c>
      <c r="I266" s="333">
        <f t="shared" si="7"/>
        <v>954.18000000000006</v>
      </c>
      <c r="J266" s="333">
        <f t="shared" si="7"/>
        <v>1003.826</v>
      </c>
      <c r="K266" s="333">
        <f t="shared" si="7"/>
        <v>1056.6192000000001</v>
      </c>
      <c r="L266" s="333">
        <f t="shared" si="7"/>
        <v>1117.7337600000001</v>
      </c>
      <c r="M266" s="333">
        <f t="shared" si="7"/>
        <v>1182.6639302400001</v>
      </c>
      <c r="N266" s="333">
        <f t="shared" si="7"/>
        <v>1250.4839503104001</v>
      </c>
      <c r="O266" s="333">
        <f t="shared" si="7"/>
        <v>1310.6099999999999</v>
      </c>
    </row>
    <row r="267" spans="1:15" ht="12.75" customHeight="1">
      <c r="A267" s="8"/>
      <c r="B267" s="8"/>
      <c r="C267" s="90" t="s">
        <v>111</v>
      </c>
      <c r="D267" s="8"/>
      <c r="E267" s="8"/>
      <c r="F267" s="307" t="s">
        <v>186</v>
      </c>
      <c r="G267" s="8"/>
      <c r="H267" s="334">
        <f t="shared" ref="H267:O267" si="8">H260*H249</f>
        <v>26.630780000000001</v>
      </c>
      <c r="I267" s="334">
        <f t="shared" si="8"/>
        <v>27.882918000000004</v>
      </c>
      <c r="J267" s="334">
        <f t="shared" si="8"/>
        <v>23.128236000000001</v>
      </c>
      <c r="K267" s="334">
        <f t="shared" si="8"/>
        <v>21.132384000000002</v>
      </c>
      <c r="L267" s="334">
        <f t="shared" si="8"/>
        <v>22.354675199999999</v>
      </c>
      <c r="M267" s="334">
        <f t="shared" si="8"/>
        <v>23.653278604800001</v>
      </c>
      <c r="N267" s="334">
        <f t="shared" si="8"/>
        <v>25.009679006208</v>
      </c>
      <c r="O267" s="334">
        <f t="shared" si="8"/>
        <v>26.212199999999996</v>
      </c>
    </row>
    <row r="268" spans="1:15" ht="13.8" thickBot="1">
      <c r="A268" s="8"/>
      <c r="B268" s="42"/>
      <c r="C268" s="42" t="s">
        <v>187</v>
      </c>
      <c r="D268" s="8"/>
      <c r="E268" s="8"/>
      <c r="F268" s="328" t="s">
        <v>186</v>
      </c>
      <c r="G268" s="8"/>
      <c r="H268" s="335">
        <f t="shared" ref="H268:O268" si="9">H266-H267</f>
        <v>876.46921999999995</v>
      </c>
      <c r="I268" s="335">
        <f t="shared" si="9"/>
        <v>926.29708200000005</v>
      </c>
      <c r="J268" s="335">
        <f t="shared" si="9"/>
        <v>980.69776400000001</v>
      </c>
      <c r="K268" s="335">
        <f t="shared" si="9"/>
        <v>1035.4868160000001</v>
      </c>
      <c r="L268" s="335">
        <f t="shared" si="9"/>
        <v>1095.3790848000001</v>
      </c>
      <c r="M268" s="335">
        <f t="shared" si="9"/>
        <v>1159.0106516352</v>
      </c>
      <c r="N268" s="335">
        <f t="shared" si="9"/>
        <v>1225.4742713041921</v>
      </c>
      <c r="O268" s="335">
        <f t="shared" si="9"/>
        <v>1284.3978</v>
      </c>
    </row>
    <row r="269" spans="1:15" ht="12.75" customHeight="1" thickTop="1">
      <c r="A269" s="8"/>
      <c r="B269" s="35"/>
      <c r="C269" s="35"/>
      <c r="D269" s="35"/>
      <c r="E269" s="35"/>
      <c r="F269" s="336"/>
      <c r="G269" s="35"/>
      <c r="H269" s="35"/>
      <c r="I269" s="35"/>
      <c r="J269" s="35"/>
      <c r="K269" s="35"/>
      <c r="L269" s="35"/>
      <c r="M269" s="35"/>
      <c r="N269" s="35"/>
      <c r="O269" s="35"/>
    </row>
    <row r="270" spans="1:15" ht="12.75" customHeight="1">
      <c r="A270" s="8"/>
      <c r="B270" s="8"/>
      <c r="C270" s="8"/>
      <c r="D270" s="8"/>
      <c r="E270" s="8"/>
      <c r="F270" s="301"/>
      <c r="G270" s="8"/>
      <c r="H270" s="8"/>
      <c r="I270" s="8"/>
      <c r="J270" s="8"/>
      <c r="K270" s="8"/>
      <c r="L270" s="8"/>
      <c r="M270" s="8"/>
      <c r="N270" s="8"/>
      <c r="O270" s="8"/>
    </row>
    <row r="271" spans="1:15">
      <c r="A271" s="8"/>
      <c r="B271" s="8"/>
      <c r="C271" s="8"/>
      <c r="D271" s="8"/>
      <c r="E271" s="8"/>
      <c r="F271" s="301"/>
      <c r="G271" s="8"/>
      <c r="H271" s="8"/>
      <c r="I271" s="8"/>
      <c r="J271" s="8"/>
      <c r="K271" s="337"/>
      <c r="L271" s="8"/>
      <c r="M271" s="8"/>
      <c r="N271" s="8"/>
      <c r="O271" s="8"/>
    </row>
    <row r="272" spans="1:15" ht="12.75" customHeight="1">
      <c r="A272" s="291"/>
      <c r="B272" s="86"/>
      <c r="C272" s="3"/>
      <c r="D272" s="3"/>
      <c r="E272" s="3"/>
      <c r="F272" s="289"/>
      <c r="G272" s="3"/>
      <c r="H272" s="3"/>
      <c r="I272" s="3"/>
      <c r="J272" s="3"/>
      <c r="K272" s="3"/>
      <c r="L272" s="3"/>
      <c r="M272" s="3"/>
      <c r="N272" s="3"/>
      <c r="O272" s="338" t="str">
        <f>$O$236</f>
        <v>CURRENTLY RUNNING: BASE CASE SCENARIO</v>
      </c>
    </row>
    <row r="273" spans="1:15" ht="22.8" customHeight="1">
      <c r="A273" s="291"/>
      <c r="B273" s="86" t="str">
        <f>$B$3</f>
        <v>Moonbucks Corp.</v>
      </c>
      <c r="C273" s="3"/>
      <c r="D273" s="3"/>
      <c r="E273" s="3"/>
      <c r="F273" s="289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8.75" customHeight="1">
      <c r="A274" s="292"/>
      <c r="B274" s="293" t="s">
        <v>188</v>
      </c>
      <c r="C274" s="294"/>
      <c r="D274" s="294"/>
      <c r="E274" s="294"/>
      <c r="F274" s="295"/>
      <c r="G274" s="294"/>
      <c r="H274" s="294"/>
      <c r="I274" s="294"/>
      <c r="J274" s="294"/>
      <c r="K274" s="339"/>
      <c r="L274" s="339"/>
      <c r="M274" s="339"/>
      <c r="N274" s="339"/>
      <c r="O274" s="339"/>
    </row>
    <row r="275" spans="1:15" ht="6" customHeight="1" thickBot="1">
      <c r="A275" s="292"/>
      <c r="B275" s="296"/>
      <c r="C275" s="297"/>
      <c r="D275" s="297"/>
      <c r="E275" s="297"/>
      <c r="F275" s="298"/>
      <c r="G275" s="297"/>
      <c r="H275" s="297"/>
      <c r="I275" s="297"/>
      <c r="J275" s="297"/>
      <c r="K275" s="340"/>
      <c r="L275" s="340"/>
      <c r="M275" s="340"/>
      <c r="N275" s="340"/>
      <c r="O275" s="340"/>
    </row>
    <row r="276" spans="1:15" ht="12.75" customHeight="1">
      <c r="A276" s="293"/>
      <c r="B276" s="294"/>
      <c r="C276" s="294"/>
      <c r="D276" s="294"/>
      <c r="E276" s="294"/>
      <c r="F276" s="341"/>
      <c r="G276" s="294"/>
      <c r="H276" s="294"/>
      <c r="I276" s="294"/>
      <c r="J276" s="294"/>
      <c r="K276" s="339"/>
      <c r="L276" s="339"/>
      <c r="M276" s="339"/>
      <c r="N276" s="339"/>
      <c r="O276" s="339"/>
    </row>
    <row r="277" spans="1:15" ht="13.8">
      <c r="A277" s="8"/>
      <c r="B277" s="8"/>
      <c r="C277" s="8"/>
      <c r="D277" s="8"/>
      <c r="E277" s="8"/>
      <c r="F277" s="307"/>
      <c r="G277" s="302"/>
      <c r="H277" s="302"/>
      <c r="I277" s="302"/>
      <c r="J277" s="8"/>
      <c r="K277" s="303" t="s">
        <v>170</v>
      </c>
      <c r="L277" s="113"/>
      <c r="M277" s="113"/>
      <c r="N277" s="113"/>
      <c r="O277" s="113"/>
    </row>
    <row r="278" spans="1:15">
      <c r="A278" s="8"/>
      <c r="B278" s="8"/>
      <c r="C278" s="8"/>
      <c r="D278" s="8"/>
      <c r="E278" s="8"/>
      <c r="F278" s="307"/>
      <c r="G278" s="50"/>
      <c r="H278" s="342">
        <f t="shared" ref="H278:O278" si="10">H$242</f>
        <v>2019</v>
      </c>
      <c r="I278" s="342">
        <f t="shared" si="10"/>
        <v>2020</v>
      </c>
      <c r="J278" s="304">
        <f t="shared" si="10"/>
        <v>2021</v>
      </c>
      <c r="K278" s="343">
        <f t="shared" si="10"/>
        <v>2022</v>
      </c>
      <c r="L278" s="343">
        <f t="shared" si="10"/>
        <v>2023</v>
      </c>
      <c r="M278" s="343">
        <f t="shared" si="10"/>
        <v>2024</v>
      </c>
      <c r="N278" s="343">
        <f t="shared" si="10"/>
        <v>2025</v>
      </c>
      <c r="O278" s="343">
        <f t="shared" si="10"/>
        <v>2026</v>
      </c>
    </row>
    <row r="279" spans="1:15" ht="6" customHeight="1">
      <c r="A279" s="8"/>
      <c r="B279" s="8"/>
      <c r="C279" s="8"/>
      <c r="D279" s="8"/>
      <c r="E279" s="8"/>
      <c r="F279" s="307"/>
      <c r="G279" s="50"/>
      <c r="H279" s="50"/>
      <c r="I279" s="50"/>
      <c r="J279" s="50"/>
      <c r="K279" s="50"/>
      <c r="L279" s="50"/>
      <c r="M279" s="50"/>
      <c r="N279" s="50"/>
      <c r="O279" s="50"/>
    </row>
    <row r="280" spans="1:15">
      <c r="A280" s="8"/>
      <c r="B280" s="344" t="s">
        <v>6</v>
      </c>
      <c r="C280" s="345"/>
      <c r="D280" s="345"/>
      <c r="E280" s="345"/>
      <c r="F280" s="346" t="s">
        <v>175</v>
      </c>
      <c r="G280" s="347"/>
      <c r="H280" s="348"/>
      <c r="I280" s="348"/>
      <c r="J280" s="348"/>
      <c r="K280" s="349">
        <f>K211</f>
        <v>0.02</v>
      </c>
      <c r="L280" s="348">
        <f>L211</f>
        <v>0.02</v>
      </c>
      <c r="M280" s="348">
        <f>M211</f>
        <v>0.02</v>
      </c>
      <c r="N280" s="348">
        <f>N211</f>
        <v>2.5000000000000001E-2</v>
      </c>
      <c r="O280" s="350">
        <f>O211</f>
        <v>2.5000000000000001E-2</v>
      </c>
    </row>
    <row r="281" spans="1:15">
      <c r="A281" s="8"/>
      <c r="B281" s="351" t="s">
        <v>189</v>
      </c>
      <c r="C281" s="8"/>
      <c r="D281" s="8"/>
      <c r="E281" s="8"/>
      <c r="F281" s="308" t="s">
        <v>190</v>
      </c>
      <c r="G281" s="8"/>
      <c r="H281" s="352">
        <v>11.4</v>
      </c>
      <c r="I281" s="352">
        <v>11</v>
      </c>
      <c r="J281" s="352">
        <v>10.8</v>
      </c>
      <c r="K281" s="353">
        <f>K217</f>
        <v>10.8</v>
      </c>
      <c r="L281" s="353">
        <f>L217</f>
        <v>11.4</v>
      </c>
      <c r="M281" s="354">
        <f>M217</f>
        <v>12</v>
      </c>
      <c r="N281" s="354">
        <f>N217</f>
        <v>11.2</v>
      </c>
      <c r="O281" s="355">
        <f>O217</f>
        <v>10.8</v>
      </c>
    </row>
    <row r="282" spans="1:15">
      <c r="A282" s="8"/>
      <c r="B282" s="356" t="s">
        <v>183</v>
      </c>
      <c r="C282" s="318"/>
      <c r="D282" s="318"/>
      <c r="E282" s="318"/>
      <c r="F282" s="332" t="s">
        <v>182</v>
      </c>
      <c r="G282" s="357"/>
      <c r="H282" s="358">
        <f t="shared" ref="H282:O282" si="11">H260</f>
        <v>11</v>
      </c>
      <c r="I282" s="358">
        <f t="shared" si="11"/>
        <v>11.4</v>
      </c>
      <c r="J282" s="358">
        <f t="shared" si="11"/>
        <v>11.8</v>
      </c>
      <c r="K282" s="358">
        <f t="shared" si="11"/>
        <v>12.272000000000002</v>
      </c>
      <c r="L282" s="358">
        <f t="shared" si="11"/>
        <v>12.70152</v>
      </c>
      <c r="M282" s="358">
        <f t="shared" si="11"/>
        <v>13.082565600000001</v>
      </c>
      <c r="N282" s="358">
        <f t="shared" si="11"/>
        <v>13.475042568000001</v>
      </c>
      <c r="O282" s="359">
        <f t="shared" si="11"/>
        <v>13.824999999999999</v>
      </c>
    </row>
    <row r="283" spans="1:15" ht="6" customHeight="1">
      <c r="A283" s="8"/>
      <c r="B283" s="360"/>
      <c r="C283" s="8"/>
      <c r="D283" s="8"/>
      <c r="E283" s="8"/>
      <c r="F283" s="307"/>
      <c r="G283" s="50"/>
      <c r="H283" s="50"/>
      <c r="I283" s="50"/>
      <c r="J283" s="50"/>
      <c r="K283" s="50"/>
      <c r="L283" s="50"/>
      <c r="M283" s="50"/>
      <c r="N283" s="50"/>
      <c r="O283" s="50"/>
    </row>
    <row r="284" spans="1:15" ht="12.75" customHeight="1">
      <c r="A284" s="8"/>
      <c r="B284" s="360" t="s">
        <v>191</v>
      </c>
      <c r="C284" s="8"/>
      <c r="D284" s="8"/>
      <c r="E284" s="8"/>
      <c r="F284" s="307"/>
      <c r="G284" s="50"/>
      <c r="H284" s="50"/>
      <c r="I284" s="50"/>
      <c r="J284" s="50"/>
      <c r="K284" s="50"/>
      <c r="L284" s="50"/>
      <c r="M284" s="50"/>
      <c r="N284" s="50"/>
      <c r="O284" s="50"/>
    </row>
    <row r="285" spans="1:15" ht="6" customHeight="1">
      <c r="A285" s="8"/>
      <c r="B285" s="360"/>
      <c r="C285" s="8"/>
      <c r="D285" s="8"/>
      <c r="E285" s="8"/>
      <c r="F285" s="307"/>
      <c r="G285" s="50"/>
      <c r="H285" s="50"/>
      <c r="I285" s="50"/>
      <c r="J285" s="50"/>
      <c r="K285" s="8"/>
      <c r="L285" s="50"/>
      <c r="M285" s="50"/>
      <c r="N285" s="50"/>
      <c r="O285" s="50"/>
    </row>
    <row r="286" spans="1:15" ht="12.75" customHeight="1">
      <c r="A286" s="361"/>
      <c r="B286" s="8"/>
      <c r="C286" s="42" t="s">
        <v>192</v>
      </c>
      <c r="D286" s="42"/>
      <c r="E286" s="8"/>
      <c r="F286" s="307"/>
      <c r="G286" s="8"/>
      <c r="H286" s="8"/>
      <c r="I286" s="8"/>
      <c r="J286" s="8"/>
      <c r="K286" s="8"/>
      <c r="L286" s="8"/>
      <c r="M286" s="8"/>
      <c r="N286" s="8"/>
      <c r="O286" s="8"/>
    </row>
    <row r="287" spans="1:15">
      <c r="A287" s="361"/>
      <c r="B287" s="8"/>
      <c r="C287" s="42"/>
      <c r="D287" s="8" t="s">
        <v>193</v>
      </c>
      <c r="E287" s="8"/>
      <c r="F287" s="307" t="s">
        <v>194</v>
      </c>
      <c r="G287" s="8"/>
      <c r="H287" s="362">
        <v>302</v>
      </c>
      <c r="I287" s="362">
        <v>280</v>
      </c>
      <c r="J287" s="362">
        <v>310</v>
      </c>
      <c r="K287" s="363">
        <f>K223</f>
        <v>330</v>
      </c>
      <c r="L287" s="363">
        <f>L223</f>
        <v>360</v>
      </c>
      <c r="M287" s="613">
        <f>M223</f>
        <v>380</v>
      </c>
      <c r="N287" s="363">
        <f>N223</f>
        <v>360</v>
      </c>
      <c r="O287" s="363">
        <f>O223</f>
        <v>340</v>
      </c>
    </row>
    <row r="288" spans="1:15" ht="6" customHeight="1">
      <c r="A288" s="361"/>
      <c r="B288" s="8"/>
      <c r="C288" s="42"/>
      <c r="D288" s="42"/>
      <c r="E288" s="8"/>
      <c r="F288" s="307"/>
      <c r="G288" s="8"/>
      <c r="H288" s="8"/>
      <c r="I288" s="8"/>
      <c r="J288" s="8"/>
      <c r="K288" s="8"/>
      <c r="L288" s="8"/>
      <c r="M288" s="8"/>
      <c r="N288" s="8"/>
      <c r="O288" s="8"/>
    </row>
    <row r="289" spans="1:15">
      <c r="A289" s="361"/>
      <c r="B289" s="8"/>
      <c r="C289" s="42"/>
      <c r="D289" s="8" t="s">
        <v>193</v>
      </c>
      <c r="E289" s="8"/>
      <c r="F289" s="307" t="s">
        <v>173</v>
      </c>
      <c r="G289" s="8"/>
      <c r="H289" s="333">
        <f t="shared" ref="H289:O289" si="12">H287/H281</f>
        <v>26.491228070175438</v>
      </c>
      <c r="I289" s="333">
        <f t="shared" si="12"/>
        <v>25.454545454545453</v>
      </c>
      <c r="J289" s="333">
        <f t="shared" si="12"/>
        <v>28.703703703703702</v>
      </c>
      <c r="K289" s="333">
        <f t="shared" si="12"/>
        <v>30.555555555555554</v>
      </c>
      <c r="L289" s="333">
        <f t="shared" si="12"/>
        <v>31.578947368421051</v>
      </c>
      <c r="M289" s="333">
        <f t="shared" si="12"/>
        <v>31.666666666666668</v>
      </c>
      <c r="N289" s="333">
        <f t="shared" si="12"/>
        <v>32.142857142857146</v>
      </c>
      <c r="O289" s="333">
        <f t="shared" si="12"/>
        <v>31.481481481481481</v>
      </c>
    </row>
    <row r="290" spans="1:15">
      <c r="A290" s="361"/>
      <c r="B290" s="8"/>
      <c r="C290" s="42"/>
      <c r="D290" s="8" t="s">
        <v>97</v>
      </c>
      <c r="E290" s="8"/>
      <c r="F290" s="307" t="str">
        <f>F$289</f>
        <v>($/case)</v>
      </c>
      <c r="G290" s="8"/>
      <c r="H290" s="364">
        <v>23</v>
      </c>
      <c r="I290" s="364">
        <v>24</v>
      </c>
      <c r="J290" s="364">
        <v>24</v>
      </c>
      <c r="K290" s="374">
        <f>E71</f>
        <v>24.6</v>
      </c>
      <c r="L290" s="333">
        <f t="shared" ref="L290:O291" si="13">K290*(1+L$280)</f>
        <v>25.092000000000002</v>
      </c>
      <c r="M290" s="333">
        <f t="shared" si="13"/>
        <v>25.593840000000004</v>
      </c>
      <c r="N290" s="333">
        <f t="shared" si="13"/>
        <v>26.233686000000002</v>
      </c>
      <c r="O290" s="333">
        <f t="shared" si="13"/>
        <v>26.88952815</v>
      </c>
    </row>
    <row r="291" spans="1:15">
      <c r="A291" s="361"/>
      <c r="B291" s="8"/>
      <c r="C291" s="42"/>
      <c r="D291" s="8" t="s">
        <v>101</v>
      </c>
      <c r="E291" s="8"/>
      <c r="F291" s="307" t="str">
        <f>F$289</f>
        <v>($/case)</v>
      </c>
      <c r="G291" s="8"/>
      <c r="H291" s="365">
        <v>2.2999999999999998</v>
      </c>
      <c r="I291" s="365">
        <v>2.4</v>
      </c>
      <c r="J291" s="365">
        <v>2.5</v>
      </c>
      <c r="K291" s="334">
        <f>E72</f>
        <v>2.7</v>
      </c>
      <c r="L291" s="334">
        <f t="shared" si="13"/>
        <v>2.7540000000000004</v>
      </c>
      <c r="M291" s="334">
        <f t="shared" si="13"/>
        <v>2.8090800000000007</v>
      </c>
      <c r="N291" s="334">
        <f t="shared" si="13"/>
        <v>2.8793070000000003</v>
      </c>
      <c r="O291" s="334">
        <f t="shared" si="13"/>
        <v>2.9512896749999999</v>
      </c>
    </row>
    <row r="292" spans="1:15">
      <c r="A292" s="8"/>
      <c r="B292" s="8"/>
      <c r="C292" s="8"/>
      <c r="D292" s="141" t="s">
        <v>195</v>
      </c>
      <c r="E292" s="42"/>
      <c r="F292" s="328" t="str">
        <f>F$289</f>
        <v>($/case)</v>
      </c>
      <c r="G292" s="42"/>
      <c r="H292" s="366">
        <f t="shared" ref="H292:O292" si="14">SUM(H289:H291)</f>
        <v>51.791228070175436</v>
      </c>
      <c r="I292" s="366">
        <f t="shared" si="14"/>
        <v>51.854545454545452</v>
      </c>
      <c r="J292" s="366">
        <f t="shared" si="14"/>
        <v>55.203703703703702</v>
      </c>
      <c r="K292" s="366">
        <f t="shared" si="14"/>
        <v>57.855555555555554</v>
      </c>
      <c r="L292" s="366">
        <f t="shared" si="14"/>
        <v>59.424947368421051</v>
      </c>
      <c r="M292" s="366">
        <f t="shared" si="14"/>
        <v>60.069586666666673</v>
      </c>
      <c r="N292" s="366">
        <f t="shared" si="14"/>
        <v>61.255850142857142</v>
      </c>
      <c r="O292" s="366">
        <f t="shared" si="14"/>
        <v>61.322299306481483</v>
      </c>
    </row>
    <row r="293" spans="1:15" ht="6" customHeight="1">
      <c r="A293" s="8"/>
      <c r="B293" s="8"/>
      <c r="C293" s="90"/>
      <c r="D293" s="8"/>
      <c r="E293" s="8"/>
      <c r="F293" s="307"/>
      <c r="G293" s="8"/>
      <c r="H293" s="367"/>
      <c r="I293" s="367"/>
      <c r="J293" s="367"/>
      <c r="K293" s="367"/>
      <c r="L293" s="367"/>
      <c r="M293" s="367"/>
      <c r="N293" s="367"/>
      <c r="O293" s="367"/>
    </row>
    <row r="294" spans="1:15">
      <c r="A294" s="8"/>
      <c r="B294" s="8"/>
      <c r="C294" s="42" t="s">
        <v>196</v>
      </c>
      <c r="D294" s="8"/>
      <c r="E294" s="8"/>
      <c r="F294" s="307"/>
      <c r="G294" s="8"/>
      <c r="H294" s="367"/>
      <c r="I294" s="367"/>
      <c r="J294" s="367"/>
      <c r="K294" s="367"/>
      <c r="L294" s="367"/>
      <c r="M294" s="367"/>
      <c r="N294" s="367"/>
      <c r="O294" s="367"/>
    </row>
    <row r="295" spans="1:15">
      <c r="A295" s="8"/>
      <c r="B295" s="8"/>
      <c r="C295" s="42"/>
      <c r="D295" s="8" t="s">
        <v>103</v>
      </c>
      <c r="E295" s="8"/>
      <c r="F295" s="307" t="str">
        <f t="shared" ref="F295:F300" si="15">F$289</f>
        <v>($/case)</v>
      </c>
      <c r="G295" s="8"/>
      <c r="H295" s="333">
        <f t="shared" ref="H295:O299" si="16">H313/H$282</f>
        <v>3.1818181818181817</v>
      </c>
      <c r="I295" s="333">
        <f t="shared" si="16"/>
        <v>3.140350877192982</v>
      </c>
      <c r="J295" s="333">
        <f t="shared" si="16"/>
        <v>3.1355932203389827</v>
      </c>
      <c r="K295" s="333">
        <f t="shared" si="16"/>
        <v>3.3409387222946538</v>
      </c>
      <c r="L295" s="333">
        <f t="shared" si="16"/>
        <v>3.2925193205222683</v>
      </c>
      <c r="M295" s="333">
        <f t="shared" si="16"/>
        <v>3.2605531135269059</v>
      </c>
      <c r="N295" s="333">
        <f t="shared" si="16"/>
        <v>3.2447251857913382</v>
      </c>
      <c r="O295" s="333">
        <f t="shared" si="16"/>
        <v>3.2416549909584083</v>
      </c>
    </row>
    <row r="296" spans="1:15">
      <c r="A296" s="8"/>
      <c r="B296" s="8"/>
      <c r="C296" s="42"/>
      <c r="D296" s="90" t="s">
        <v>106</v>
      </c>
      <c r="E296" s="8"/>
      <c r="F296" s="307" t="str">
        <f t="shared" si="15"/>
        <v>($/case)</v>
      </c>
      <c r="G296" s="8"/>
      <c r="H296" s="333">
        <f t="shared" si="16"/>
        <v>2.6</v>
      </c>
      <c r="I296" s="333">
        <f t="shared" si="16"/>
        <v>2.3157894736842102</v>
      </c>
      <c r="J296" s="333">
        <f t="shared" si="16"/>
        <v>2.6101694915254234</v>
      </c>
      <c r="K296" s="333">
        <f t="shared" si="16"/>
        <v>2.5423728813559316</v>
      </c>
      <c r="L296" s="333">
        <f t="shared" si="16"/>
        <v>2.5055268975681648</v>
      </c>
      <c r="M296" s="333">
        <f t="shared" si="16"/>
        <v>2.4812013937082797</v>
      </c>
      <c r="N296" s="333">
        <f t="shared" si="16"/>
        <v>2.4691567267485306</v>
      </c>
      <c r="O296" s="333">
        <f t="shared" si="16"/>
        <v>2.4668203833634719</v>
      </c>
    </row>
    <row r="297" spans="1:15">
      <c r="A297" s="8"/>
      <c r="B297" s="8"/>
      <c r="C297" s="90"/>
      <c r="D297" s="8" t="s">
        <v>108</v>
      </c>
      <c r="E297" s="8"/>
      <c r="F297" s="307" t="str">
        <f t="shared" si="15"/>
        <v>($/case)</v>
      </c>
      <c r="G297" s="8"/>
      <c r="H297" s="333">
        <f t="shared" si="16"/>
        <v>5.1818181818181817</v>
      </c>
      <c r="I297" s="333">
        <f t="shared" si="16"/>
        <v>5.2982456140350873</v>
      </c>
      <c r="J297" s="333">
        <f t="shared" si="16"/>
        <v>5.2881355932203382</v>
      </c>
      <c r="K297" s="333">
        <f t="shared" si="16"/>
        <v>5.4106910039113423</v>
      </c>
      <c r="L297" s="333">
        <f t="shared" si="16"/>
        <v>5.3322751922604548</v>
      </c>
      <c r="M297" s="333">
        <f t="shared" si="16"/>
        <v>5.2805055301996733</v>
      </c>
      <c r="N297" s="333">
        <f t="shared" si="16"/>
        <v>5.2548720082084133</v>
      </c>
      <c r="O297" s="333">
        <f t="shared" si="16"/>
        <v>5.2498997902350819</v>
      </c>
    </row>
    <row r="298" spans="1:15">
      <c r="A298" s="8"/>
      <c r="B298" s="8"/>
      <c r="C298" s="90"/>
      <c r="D298" s="8" t="s">
        <v>109</v>
      </c>
      <c r="E298" s="8"/>
      <c r="F298" s="307" t="str">
        <f t="shared" si="15"/>
        <v>($/case)</v>
      </c>
      <c r="G298" s="8"/>
      <c r="H298" s="333">
        <f t="shared" si="16"/>
        <v>0.63636363636363635</v>
      </c>
      <c r="I298" s="333">
        <f t="shared" si="16"/>
        <v>0.64912280701754388</v>
      </c>
      <c r="J298" s="333">
        <f t="shared" si="16"/>
        <v>0.66101694915254228</v>
      </c>
      <c r="K298" s="333">
        <f t="shared" si="16"/>
        <v>0.6681877444589307</v>
      </c>
      <c r="L298" s="333">
        <f t="shared" si="16"/>
        <v>0.6585038641044535</v>
      </c>
      <c r="M298" s="333">
        <f t="shared" si="16"/>
        <v>0.65211062270538112</v>
      </c>
      <c r="N298" s="333">
        <f t="shared" si="16"/>
        <v>0.64894503715826757</v>
      </c>
      <c r="O298" s="333">
        <f t="shared" si="16"/>
        <v>0.64833099819168161</v>
      </c>
    </row>
    <row r="299" spans="1:15">
      <c r="A299" s="8"/>
      <c r="B299" s="8"/>
      <c r="C299" s="90"/>
      <c r="D299" s="8" t="s">
        <v>49</v>
      </c>
      <c r="E299" s="8"/>
      <c r="F299" s="307" t="str">
        <f t="shared" si="15"/>
        <v>($/case)</v>
      </c>
      <c r="G299" s="8"/>
      <c r="H299" s="334">
        <f t="shared" si="16"/>
        <v>0.21818181818181817</v>
      </c>
      <c r="I299" s="334">
        <f t="shared" si="16"/>
        <v>0.26315789473684209</v>
      </c>
      <c r="J299" s="334">
        <f t="shared" si="16"/>
        <v>0.33898305084745761</v>
      </c>
      <c r="K299" s="334">
        <f t="shared" si="16"/>
        <v>0.34224250325945238</v>
      </c>
      <c r="L299" s="334">
        <f t="shared" si="16"/>
        <v>0.33728246698032993</v>
      </c>
      <c r="M299" s="334">
        <f t="shared" si="16"/>
        <v>0.33400787992226849</v>
      </c>
      <c r="N299" s="334">
        <f t="shared" si="16"/>
        <v>0.33238648244691765</v>
      </c>
      <c r="O299" s="334">
        <f t="shared" si="16"/>
        <v>0.33207197468354432</v>
      </c>
    </row>
    <row r="300" spans="1:15">
      <c r="A300" s="8"/>
      <c r="B300" s="8"/>
      <c r="C300" s="90"/>
      <c r="D300" s="42" t="s">
        <v>197</v>
      </c>
      <c r="E300" s="8"/>
      <c r="F300" s="328" t="str">
        <f t="shared" si="15"/>
        <v>($/case)</v>
      </c>
      <c r="G300" s="8"/>
      <c r="H300" s="366">
        <f t="shared" ref="H300:O300" si="17">SUM(H295:H299)</f>
        <v>11.818181818181818</v>
      </c>
      <c r="I300" s="366">
        <f t="shared" si="17"/>
        <v>11.666666666666666</v>
      </c>
      <c r="J300" s="366">
        <f t="shared" si="17"/>
        <v>12.033898305084744</v>
      </c>
      <c r="K300" s="366">
        <f t="shared" si="17"/>
        <v>12.304432855280313</v>
      </c>
      <c r="L300" s="366">
        <f t="shared" si="17"/>
        <v>12.126107741435671</v>
      </c>
      <c r="M300" s="366">
        <f t="shared" si="17"/>
        <v>12.008378540062507</v>
      </c>
      <c r="N300" s="366">
        <f t="shared" si="17"/>
        <v>11.950085440353465</v>
      </c>
      <c r="O300" s="366">
        <f t="shared" si="17"/>
        <v>11.938778137432188</v>
      </c>
    </row>
    <row r="301" spans="1:15" ht="6" customHeight="1">
      <c r="A301" s="8"/>
      <c r="B301" s="8"/>
      <c r="C301" s="90"/>
      <c r="D301" s="8"/>
      <c r="E301" s="8"/>
      <c r="F301" s="307"/>
      <c r="G301" s="8"/>
      <c r="H301" s="367"/>
      <c r="I301" s="367"/>
      <c r="J301" s="367"/>
      <c r="K301" s="367"/>
      <c r="L301" s="367"/>
      <c r="M301" s="367"/>
      <c r="N301" s="367"/>
      <c r="O301" s="367"/>
    </row>
    <row r="302" spans="1:15" ht="13.8" thickBot="1">
      <c r="A302" s="8"/>
      <c r="B302" s="8"/>
      <c r="C302" s="141" t="s">
        <v>198</v>
      </c>
      <c r="D302" s="8"/>
      <c r="E302" s="8"/>
      <c r="F302" s="328" t="str">
        <f>F$289</f>
        <v>($/case)</v>
      </c>
      <c r="G302" s="8"/>
      <c r="H302" s="368">
        <f t="shared" ref="H302:O302" si="18">H300+H292</f>
        <v>63.609409888357256</v>
      </c>
      <c r="I302" s="368">
        <f t="shared" si="18"/>
        <v>63.521212121212116</v>
      </c>
      <c r="J302" s="368">
        <f t="shared" si="18"/>
        <v>67.237602008788443</v>
      </c>
      <c r="K302" s="368">
        <f t="shared" si="18"/>
        <v>70.159988410835865</v>
      </c>
      <c r="L302" s="368">
        <f t="shared" si="18"/>
        <v>71.551055109856719</v>
      </c>
      <c r="M302" s="368">
        <f t="shared" si="18"/>
        <v>72.077965206729175</v>
      </c>
      <c r="N302" s="368">
        <f t="shared" si="18"/>
        <v>73.205935583210604</v>
      </c>
      <c r="O302" s="368">
        <f t="shared" si="18"/>
        <v>73.261077443913678</v>
      </c>
    </row>
    <row r="303" spans="1:15" ht="12.75" customHeight="1" thickTop="1">
      <c r="A303" s="8"/>
      <c r="B303" s="318"/>
      <c r="C303" s="369"/>
      <c r="D303" s="318"/>
      <c r="E303" s="318"/>
      <c r="F303" s="332"/>
      <c r="G303" s="318"/>
      <c r="H303" s="370"/>
      <c r="I303" s="370"/>
      <c r="J303" s="370"/>
      <c r="K303" s="370"/>
      <c r="L303" s="370"/>
      <c r="M303" s="370"/>
      <c r="N303" s="370"/>
      <c r="O303" s="370"/>
    </row>
    <row r="304" spans="1:15" ht="13.8">
      <c r="A304" s="8"/>
      <c r="B304" s="360" t="s">
        <v>199</v>
      </c>
      <c r="C304" s="90"/>
      <c r="D304" s="8"/>
      <c r="E304" s="8"/>
      <c r="F304" s="307"/>
      <c r="G304" s="8"/>
      <c r="H304" s="367"/>
      <c r="I304" s="367"/>
      <c r="J304" s="367"/>
      <c r="K304" s="367"/>
      <c r="L304" s="367"/>
      <c r="M304" s="367"/>
      <c r="N304" s="367"/>
      <c r="O304" s="367"/>
    </row>
    <row r="305" spans="1:15" ht="6" customHeight="1">
      <c r="A305" s="8"/>
      <c r="B305" s="360"/>
      <c r="C305" s="90"/>
      <c r="D305" s="8"/>
      <c r="E305" s="8"/>
      <c r="F305" s="307"/>
      <c r="G305" s="8"/>
      <c r="H305" s="367"/>
      <c r="I305" s="367"/>
      <c r="J305" s="367"/>
      <c r="K305" s="367"/>
      <c r="L305" s="367"/>
      <c r="M305" s="367"/>
      <c r="N305" s="367"/>
      <c r="O305" s="367"/>
    </row>
    <row r="306" spans="1:15" ht="13.8">
      <c r="A306" s="8"/>
      <c r="B306" s="360"/>
      <c r="C306" s="42" t="s">
        <v>192</v>
      </c>
      <c r="D306" s="42"/>
      <c r="E306" s="8"/>
      <c r="F306" s="307"/>
      <c r="G306" s="8"/>
      <c r="H306" s="367"/>
      <c r="I306" s="367"/>
      <c r="J306" s="367"/>
      <c r="K306" s="367"/>
      <c r="L306" s="367"/>
      <c r="M306" s="367"/>
      <c r="N306" s="367"/>
      <c r="O306" s="367"/>
    </row>
    <row r="307" spans="1:15" ht="13.8">
      <c r="A307" s="8"/>
      <c r="B307" s="360"/>
      <c r="C307" s="42"/>
      <c r="D307" s="8" t="str">
        <f>D289</f>
        <v>Cacao</v>
      </c>
      <c r="E307" s="8"/>
      <c r="F307" s="307" t="s">
        <v>186</v>
      </c>
      <c r="G307" s="8"/>
      <c r="H307" s="333">
        <f t="shared" ref="H307:O309" si="19">H289*H$282</f>
        <v>291.40350877192981</v>
      </c>
      <c r="I307" s="333">
        <f t="shared" si="19"/>
        <v>290.18181818181819</v>
      </c>
      <c r="J307" s="333">
        <f t="shared" si="19"/>
        <v>338.7037037037037</v>
      </c>
      <c r="K307" s="333">
        <f t="shared" si="19"/>
        <v>374.97777777777782</v>
      </c>
      <c r="L307" s="333">
        <f t="shared" si="19"/>
        <v>401.10063157894734</v>
      </c>
      <c r="M307" s="333">
        <f t="shared" si="19"/>
        <v>414.28124400000002</v>
      </c>
      <c r="N307" s="333">
        <f t="shared" si="19"/>
        <v>433.12636825714293</v>
      </c>
      <c r="O307" s="333">
        <f t="shared" si="19"/>
        <v>435.23148148148147</v>
      </c>
    </row>
    <row r="308" spans="1:15" ht="13.8">
      <c r="A308" s="8"/>
      <c r="B308" s="360"/>
      <c r="C308" s="42"/>
      <c r="D308" s="8" t="str">
        <f>D290</f>
        <v>Sugars</v>
      </c>
      <c r="E308" s="8"/>
      <c r="F308" s="307" t="str">
        <f>F$307</f>
        <v>($ MM)</v>
      </c>
      <c r="G308" s="8"/>
      <c r="H308" s="333">
        <f t="shared" si="19"/>
        <v>253</v>
      </c>
      <c r="I308" s="333">
        <f t="shared" si="19"/>
        <v>273.60000000000002</v>
      </c>
      <c r="J308" s="333">
        <f t="shared" si="19"/>
        <v>283.20000000000005</v>
      </c>
      <c r="K308" s="333">
        <f t="shared" si="19"/>
        <v>301.89120000000008</v>
      </c>
      <c r="L308" s="333">
        <f t="shared" si="19"/>
        <v>318.70653984000006</v>
      </c>
      <c r="M308" s="333">
        <f t="shared" si="19"/>
        <v>334.83309075590404</v>
      </c>
      <c r="N308" s="333">
        <f t="shared" si="19"/>
        <v>353.50003556554572</v>
      </c>
      <c r="O308" s="333">
        <f t="shared" si="19"/>
        <v>371.74772667374998</v>
      </c>
    </row>
    <row r="309" spans="1:15" ht="13.8">
      <c r="A309" s="8"/>
      <c r="B309" s="360"/>
      <c r="C309" s="42"/>
      <c r="D309" s="8" t="str">
        <f>D291</f>
        <v>Packaging</v>
      </c>
      <c r="E309" s="8"/>
      <c r="F309" s="307" t="str">
        <f>F$307</f>
        <v>($ MM)</v>
      </c>
      <c r="G309" s="8"/>
      <c r="H309" s="333">
        <f t="shared" si="19"/>
        <v>25.299999999999997</v>
      </c>
      <c r="I309" s="333">
        <f t="shared" si="19"/>
        <v>27.36</v>
      </c>
      <c r="J309" s="333">
        <f t="shared" si="19"/>
        <v>29.5</v>
      </c>
      <c r="K309" s="333">
        <f t="shared" si="19"/>
        <v>33.134400000000007</v>
      </c>
      <c r="L309" s="333">
        <f t="shared" si="19"/>
        <v>34.979986080000003</v>
      </c>
      <c r="M309" s="333">
        <f t="shared" si="19"/>
        <v>36.749973375648011</v>
      </c>
      <c r="N309" s="333">
        <f t="shared" si="19"/>
        <v>38.798784391340384</v>
      </c>
      <c r="O309" s="333">
        <f t="shared" si="19"/>
        <v>40.801579756875</v>
      </c>
    </row>
    <row r="310" spans="1:15">
      <c r="A310" s="8"/>
      <c r="B310" s="8"/>
      <c r="C310" s="8"/>
      <c r="D310" s="141" t="s">
        <v>195</v>
      </c>
      <c r="E310" s="42"/>
      <c r="F310" s="328" t="str">
        <f>F$307</f>
        <v>($ MM)</v>
      </c>
      <c r="G310" s="42"/>
      <c r="H310" s="371">
        <f t="shared" ref="H310:O310" si="20">SUM(H307:H309)</f>
        <v>569.70350877192982</v>
      </c>
      <c r="I310" s="371">
        <f t="shared" si="20"/>
        <v>591.14181818181817</v>
      </c>
      <c r="J310" s="371">
        <f t="shared" si="20"/>
        <v>651.40370370370374</v>
      </c>
      <c r="K310" s="371">
        <f t="shared" si="20"/>
        <v>710.00337777777793</v>
      </c>
      <c r="L310" s="371">
        <f t="shared" si="20"/>
        <v>754.78715749894741</v>
      </c>
      <c r="M310" s="371">
        <f t="shared" si="20"/>
        <v>785.86430813155209</v>
      </c>
      <c r="N310" s="371">
        <f t="shared" si="20"/>
        <v>825.42518821402905</v>
      </c>
      <c r="O310" s="371">
        <f t="shared" si="20"/>
        <v>847.78078791210635</v>
      </c>
    </row>
    <row r="311" spans="1:15" ht="6" customHeight="1">
      <c r="A311" s="8"/>
      <c r="B311" s="8"/>
      <c r="C311" s="90"/>
      <c r="D311" s="8"/>
      <c r="E311" s="8"/>
      <c r="F311" s="307"/>
      <c r="G311" s="8"/>
      <c r="H311" s="367"/>
      <c r="I311" s="367"/>
      <c r="J311" s="367"/>
      <c r="K311" s="367"/>
      <c r="L311" s="367"/>
      <c r="M311" s="367"/>
      <c r="N311" s="367"/>
      <c r="O311" s="367"/>
    </row>
    <row r="312" spans="1:15" ht="13.35" customHeight="1">
      <c r="A312" s="8"/>
      <c r="B312" s="8"/>
      <c r="C312" s="42" t="s">
        <v>196</v>
      </c>
      <c r="D312" s="90"/>
      <c r="E312" s="8"/>
      <c r="F312" s="328"/>
      <c r="G312" s="8"/>
      <c r="H312" s="8"/>
      <c r="I312" s="8"/>
      <c r="J312" s="372"/>
      <c r="K312" s="372"/>
      <c r="L312" s="372"/>
      <c r="M312" s="372"/>
      <c r="N312" s="372"/>
      <c r="O312" s="372"/>
    </row>
    <row r="313" spans="1:15" ht="13.35" customHeight="1">
      <c r="A313" s="8"/>
      <c r="B313" s="8"/>
      <c r="C313" s="42"/>
      <c r="D313" s="8" t="str">
        <f>D295</f>
        <v>Energy</v>
      </c>
      <c r="E313" s="8"/>
      <c r="F313" s="307" t="str">
        <f t="shared" ref="F313:F318" si="21">F$307</f>
        <v>($ MM)</v>
      </c>
      <c r="G313" s="8"/>
      <c r="H313" s="373">
        <v>35</v>
      </c>
      <c r="I313" s="373">
        <v>35.799999999999997</v>
      </c>
      <c r="J313" s="373">
        <v>37</v>
      </c>
      <c r="K313" s="374">
        <f>E73</f>
        <v>41</v>
      </c>
      <c r="L313" s="374">
        <f t="shared" ref="L313:O317" si="22">K313*(1+L$280)</f>
        <v>41.82</v>
      </c>
      <c r="M313" s="374">
        <f t="shared" si="22"/>
        <v>42.656399999999998</v>
      </c>
      <c r="N313" s="374">
        <f t="shared" si="22"/>
        <v>43.722809999999996</v>
      </c>
      <c r="O313" s="374">
        <f t="shared" si="22"/>
        <v>44.815880249999992</v>
      </c>
    </row>
    <row r="314" spans="1:15" ht="13.35" customHeight="1">
      <c r="A314" s="8"/>
      <c r="B314" s="8"/>
      <c r="C314" s="42"/>
      <c r="D314" s="90" t="str">
        <f>D296</f>
        <v>Supplies</v>
      </c>
      <c r="E314" s="8"/>
      <c r="F314" s="307" t="str">
        <f t="shared" si="21"/>
        <v>($ MM)</v>
      </c>
      <c r="G314" s="8"/>
      <c r="H314" s="373">
        <v>28.6</v>
      </c>
      <c r="I314" s="373">
        <v>26.4</v>
      </c>
      <c r="J314" s="373">
        <v>30.8</v>
      </c>
      <c r="K314" s="374">
        <f>E74</f>
        <v>31.2</v>
      </c>
      <c r="L314" s="374">
        <f t="shared" si="22"/>
        <v>31.823999999999998</v>
      </c>
      <c r="M314" s="374">
        <f t="shared" si="22"/>
        <v>32.460479999999997</v>
      </c>
      <c r="N314" s="374">
        <f t="shared" si="22"/>
        <v>33.271991999999997</v>
      </c>
      <c r="O314" s="374">
        <f t="shared" si="22"/>
        <v>34.103791799999996</v>
      </c>
    </row>
    <row r="315" spans="1:15" ht="13.35" customHeight="1">
      <c r="A315" s="8"/>
      <c r="B315" s="8"/>
      <c r="C315" s="42"/>
      <c r="D315" s="8" t="str">
        <f>D297</f>
        <v>Operating Labour</v>
      </c>
      <c r="E315" s="8"/>
      <c r="F315" s="307" t="str">
        <f t="shared" si="21"/>
        <v>($ MM)</v>
      </c>
      <c r="G315" s="8"/>
      <c r="H315" s="373">
        <v>57</v>
      </c>
      <c r="I315" s="373">
        <v>60.4</v>
      </c>
      <c r="J315" s="373">
        <v>62.4</v>
      </c>
      <c r="K315" s="374">
        <f>E75</f>
        <v>66.400000000000006</v>
      </c>
      <c r="L315" s="374">
        <f t="shared" si="22"/>
        <v>67.728000000000009</v>
      </c>
      <c r="M315" s="374">
        <f t="shared" si="22"/>
        <v>69.082560000000015</v>
      </c>
      <c r="N315" s="374">
        <f t="shared" si="22"/>
        <v>70.809624000000014</v>
      </c>
      <c r="O315" s="374">
        <f t="shared" si="22"/>
        <v>72.579864600000008</v>
      </c>
    </row>
    <row r="316" spans="1:15" ht="13.35" customHeight="1">
      <c r="A316" s="8"/>
      <c r="B316" s="8"/>
      <c r="C316" s="42"/>
      <c r="D316" s="8" t="str">
        <f>D298</f>
        <v>Salaries &amp; Benefits</v>
      </c>
      <c r="E316" s="8"/>
      <c r="F316" s="307" t="str">
        <f t="shared" si="21"/>
        <v>($ MM)</v>
      </c>
      <c r="G316" s="8"/>
      <c r="H316" s="373">
        <v>7</v>
      </c>
      <c r="I316" s="373">
        <v>7.4</v>
      </c>
      <c r="J316" s="373">
        <v>7.8</v>
      </c>
      <c r="K316" s="374">
        <f>E76</f>
        <v>8.1999999999999993</v>
      </c>
      <c r="L316" s="374">
        <f t="shared" si="22"/>
        <v>8.363999999999999</v>
      </c>
      <c r="M316" s="374">
        <f t="shared" si="22"/>
        <v>8.5312799999999989</v>
      </c>
      <c r="N316" s="374">
        <f t="shared" si="22"/>
        <v>8.7445619999999984</v>
      </c>
      <c r="O316" s="374">
        <f t="shared" si="22"/>
        <v>8.9631760499999977</v>
      </c>
    </row>
    <row r="317" spans="1:15" ht="13.35" customHeight="1">
      <c r="A317" s="8"/>
      <c r="B317" s="8"/>
      <c r="C317" s="42"/>
      <c r="D317" s="8" t="str">
        <f>D299</f>
        <v>Other</v>
      </c>
      <c r="E317" s="8"/>
      <c r="F317" s="307" t="str">
        <f t="shared" si="21"/>
        <v>($ MM)</v>
      </c>
      <c r="G317" s="8"/>
      <c r="H317" s="373">
        <v>2.4</v>
      </c>
      <c r="I317" s="373">
        <v>3</v>
      </c>
      <c r="J317" s="373">
        <v>4</v>
      </c>
      <c r="K317" s="374">
        <f>E77</f>
        <v>4.2</v>
      </c>
      <c r="L317" s="374">
        <f t="shared" si="22"/>
        <v>4.2840000000000007</v>
      </c>
      <c r="M317" s="374">
        <f t="shared" si="22"/>
        <v>4.3696800000000007</v>
      </c>
      <c r="N317" s="374">
        <f t="shared" si="22"/>
        <v>4.4789220000000007</v>
      </c>
      <c r="O317" s="374">
        <f t="shared" si="22"/>
        <v>4.5908950500000003</v>
      </c>
    </row>
    <row r="318" spans="1:15" ht="12.75" customHeight="1">
      <c r="A318" s="8"/>
      <c r="B318" s="8"/>
      <c r="C318" s="8"/>
      <c r="D318" s="42" t="s">
        <v>197</v>
      </c>
      <c r="E318" s="8"/>
      <c r="F318" s="328" t="str">
        <f t="shared" si="21"/>
        <v>($ MM)</v>
      </c>
      <c r="G318" s="8"/>
      <c r="H318" s="371">
        <f t="shared" ref="H318:O318" si="23">SUM(H313:H317)</f>
        <v>130</v>
      </c>
      <c r="I318" s="371">
        <f t="shared" si="23"/>
        <v>133</v>
      </c>
      <c r="J318" s="371">
        <f t="shared" si="23"/>
        <v>142</v>
      </c>
      <c r="K318" s="371">
        <f t="shared" si="23"/>
        <v>151</v>
      </c>
      <c r="L318" s="375">
        <f t="shared" si="23"/>
        <v>154.02000000000001</v>
      </c>
      <c r="M318" s="375">
        <f t="shared" si="23"/>
        <v>157.10040000000001</v>
      </c>
      <c r="N318" s="375">
        <f t="shared" si="23"/>
        <v>161.02791000000002</v>
      </c>
      <c r="O318" s="375">
        <f t="shared" si="23"/>
        <v>165.05360774999997</v>
      </c>
    </row>
    <row r="319" spans="1:15" ht="6" customHeight="1">
      <c r="A319" s="8"/>
      <c r="B319" s="8"/>
      <c r="C319" s="90"/>
      <c r="D319" s="90"/>
      <c r="E319" s="8"/>
      <c r="F319" s="307"/>
      <c r="G319" s="8"/>
      <c r="H319" s="376"/>
      <c r="I319" s="376"/>
      <c r="J319" s="376"/>
      <c r="K319" s="367"/>
      <c r="L319" s="367"/>
      <c r="M319" s="367"/>
      <c r="N319" s="367"/>
      <c r="O319" s="367"/>
    </row>
    <row r="320" spans="1:15" ht="13.8" thickBot="1">
      <c r="A320" s="8"/>
      <c r="B320" s="8"/>
      <c r="C320" s="141" t="s">
        <v>198</v>
      </c>
      <c r="D320" s="8"/>
      <c r="E320" s="8"/>
      <c r="F320" s="328" t="str">
        <f>F$307</f>
        <v>($ MM)</v>
      </c>
      <c r="G320" s="8"/>
      <c r="H320" s="368">
        <f t="shared" ref="H320:O320" si="24">H318+H310</f>
        <v>699.70350877192982</v>
      </c>
      <c r="I320" s="368">
        <f t="shared" si="24"/>
        <v>724.14181818181817</v>
      </c>
      <c r="J320" s="368">
        <f t="shared" si="24"/>
        <v>793.40370370370374</v>
      </c>
      <c r="K320" s="368">
        <f t="shared" si="24"/>
        <v>861.00337777777793</v>
      </c>
      <c r="L320" s="368">
        <f t="shared" si="24"/>
        <v>908.80715749894739</v>
      </c>
      <c r="M320" s="368">
        <f t="shared" si="24"/>
        <v>942.96470813155213</v>
      </c>
      <c r="N320" s="368">
        <f t="shared" si="24"/>
        <v>986.45309821402907</v>
      </c>
      <c r="O320" s="368">
        <f t="shared" si="24"/>
        <v>1012.8343956621063</v>
      </c>
    </row>
    <row r="321" spans="1:15" ht="12.75" customHeight="1" thickTop="1">
      <c r="A321" s="8"/>
      <c r="B321" s="377"/>
      <c r="C321" s="45"/>
      <c r="D321" s="35"/>
      <c r="E321" s="35"/>
      <c r="F321" s="378"/>
      <c r="G321" s="35"/>
      <c r="H321" s="35"/>
      <c r="I321" s="35"/>
      <c r="J321" s="379"/>
      <c r="K321" s="379"/>
      <c r="L321" s="379"/>
      <c r="M321" s="379"/>
      <c r="N321" s="379"/>
      <c r="O321" s="379"/>
    </row>
    <row r="322" spans="1:15">
      <c r="A322" s="8"/>
      <c r="B322" s="8"/>
      <c r="C322" s="8"/>
      <c r="D322" s="8"/>
      <c r="E322" s="8"/>
      <c r="F322" s="301"/>
      <c r="G322" s="8"/>
      <c r="H322" s="380"/>
      <c r="I322" s="380"/>
      <c r="J322" s="380"/>
      <c r="K322" s="380"/>
      <c r="L322" s="380"/>
      <c r="M322" s="380"/>
      <c r="N322" s="380"/>
      <c r="O322" s="380"/>
    </row>
    <row r="323" spans="1:15">
      <c r="A323" s="8"/>
      <c r="B323" s="8"/>
      <c r="C323" s="8"/>
      <c r="D323" s="8"/>
      <c r="E323" s="8"/>
      <c r="F323" s="301"/>
      <c r="G323" s="8"/>
      <c r="H323" s="380"/>
      <c r="I323" s="380"/>
      <c r="J323" s="380"/>
      <c r="K323" s="380"/>
      <c r="L323" s="380"/>
      <c r="M323" s="380"/>
      <c r="N323" s="380"/>
      <c r="O323" s="380"/>
    </row>
    <row r="324" spans="1:15" ht="12.75" customHeight="1">
      <c r="A324" s="291"/>
      <c r="B324" s="86"/>
      <c r="C324" s="3"/>
      <c r="D324" s="3"/>
      <c r="E324" s="3"/>
      <c r="F324" s="289"/>
      <c r="G324" s="3"/>
      <c r="H324" s="3"/>
      <c r="I324" s="3"/>
      <c r="J324" s="3"/>
      <c r="K324" s="3"/>
      <c r="L324" s="3"/>
      <c r="M324" s="3"/>
      <c r="N324" s="3"/>
      <c r="O324" s="338" t="str">
        <f>$O$236</f>
        <v>CURRENTLY RUNNING: BASE CASE SCENARIO</v>
      </c>
    </row>
    <row r="325" spans="1:15" ht="22.8" customHeight="1">
      <c r="A325" s="291"/>
      <c r="B325" s="86" t="str">
        <f>$B$3</f>
        <v>Moonbucks Corp.</v>
      </c>
      <c r="C325" s="3"/>
      <c r="D325" s="3"/>
      <c r="E325" s="3"/>
      <c r="F325" s="289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18.75" customHeight="1">
      <c r="A326" s="292"/>
      <c r="B326" s="293" t="s">
        <v>200</v>
      </c>
      <c r="C326" s="294"/>
      <c r="D326" s="294"/>
      <c r="E326" s="294"/>
      <c r="F326" s="295"/>
      <c r="G326" s="294"/>
      <c r="H326" s="294"/>
      <c r="I326" s="294"/>
      <c r="J326" s="294"/>
      <c r="K326" s="339"/>
      <c r="L326" s="339"/>
      <c r="M326" s="339"/>
      <c r="N326" s="339"/>
      <c r="O326" s="339"/>
    </row>
    <row r="327" spans="1:15" ht="6" customHeight="1" thickBot="1">
      <c r="A327" s="292"/>
      <c r="B327" s="296"/>
      <c r="C327" s="297"/>
      <c r="D327" s="297"/>
      <c r="E327" s="297"/>
      <c r="F327" s="298"/>
      <c r="G327" s="297"/>
      <c r="H327" s="297"/>
      <c r="I327" s="297"/>
      <c r="J327" s="297"/>
      <c r="K327" s="340"/>
      <c r="L327" s="340"/>
      <c r="M327" s="340"/>
      <c r="N327" s="340"/>
      <c r="O327" s="340"/>
    </row>
    <row r="328" spans="1:15" ht="12.75" customHeight="1">
      <c r="A328" s="293"/>
      <c r="B328" s="294"/>
      <c r="C328" s="294"/>
      <c r="D328" s="294"/>
      <c r="E328" s="294"/>
      <c r="F328" s="295"/>
      <c r="G328" s="294"/>
      <c r="H328" s="294"/>
      <c r="I328" s="294"/>
      <c r="J328" s="294"/>
      <c r="K328" s="339"/>
      <c r="L328" s="339"/>
      <c r="M328" s="339"/>
      <c r="N328" s="339"/>
      <c r="O328" s="339"/>
    </row>
    <row r="329" spans="1:15" ht="13.8">
      <c r="A329" s="8"/>
      <c r="B329" s="8"/>
      <c r="C329" s="8"/>
      <c r="D329" s="8"/>
      <c r="E329" s="8"/>
      <c r="F329" s="301"/>
      <c r="G329" s="302"/>
      <c r="H329" s="8"/>
      <c r="I329" s="8"/>
      <c r="J329" s="8"/>
      <c r="K329" s="303" t="s">
        <v>170</v>
      </c>
      <c r="L329" s="113"/>
      <c r="M329" s="113"/>
      <c r="N329" s="113"/>
      <c r="O329" s="113"/>
    </row>
    <row r="330" spans="1:15">
      <c r="A330" s="8"/>
      <c r="B330" s="8"/>
      <c r="C330" s="8"/>
      <c r="D330" s="8"/>
      <c r="E330" s="8"/>
      <c r="F330" s="301"/>
      <c r="G330" s="50"/>
      <c r="H330" s="304">
        <f t="shared" ref="H330:O330" si="25">H$242</f>
        <v>2019</v>
      </c>
      <c r="I330" s="304">
        <f t="shared" si="25"/>
        <v>2020</v>
      </c>
      <c r="J330" s="304">
        <f t="shared" si="25"/>
        <v>2021</v>
      </c>
      <c r="K330" s="343">
        <f t="shared" si="25"/>
        <v>2022</v>
      </c>
      <c r="L330" s="343">
        <f t="shared" si="25"/>
        <v>2023</v>
      </c>
      <c r="M330" s="343">
        <f t="shared" si="25"/>
        <v>2024</v>
      </c>
      <c r="N330" s="343">
        <f t="shared" si="25"/>
        <v>2025</v>
      </c>
      <c r="O330" s="343">
        <f t="shared" si="25"/>
        <v>2026</v>
      </c>
    </row>
    <row r="331" spans="1:15" ht="6" customHeight="1">
      <c r="A331" s="8"/>
      <c r="B331" s="8"/>
      <c r="C331" s="8"/>
      <c r="D331" s="8"/>
      <c r="E331" s="8"/>
      <c r="F331" s="301"/>
      <c r="G331" s="50"/>
      <c r="H331" s="50"/>
      <c r="I331" s="50"/>
      <c r="J331" s="50"/>
      <c r="K331" s="381"/>
      <c r="L331" s="381"/>
      <c r="M331" s="381"/>
      <c r="N331" s="54"/>
      <c r="O331" s="54"/>
    </row>
    <row r="332" spans="1:15">
      <c r="A332" s="8"/>
      <c r="B332" s="344" t="s">
        <v>183</v>
      </c>
      <c r="C332" s="345"/>
      <c r="D332" s="345"/>
      <c r="E332" s="345"/>
      <c r="F332" s="346" t="s">
        <v>182</v>
      </c>
      <c r="G332" s="347"/>
      <c r="H332" s="382">
        <f t="shared" ref="H332:O332" si="26">H260</f>
        <v>11</v>
      </c>
      <c r="I332" s="382">
        <f t="shared" si="26"/>
        <v>11.4</v>
      </c>
      <c r="J332" s="382">
        <f t="shared" si="26"/>
        <v>11.8</v>
      </c>
      <c r="K332" s="382">
        <f t="shared" si="26"/>
        <v>12.272000000000002</v>
      </c>
      <c r="L332" s="382">
        <f t="shared" si="26"/>
        <v>12.70152</v>
      </c>
      <c r="M332" s="382">
        <f t="shared" si="26"/>
        <v>13.082565600000001</v>
      </c>
      <c r="N332" s="382">
        <f t="shared" si="26"/>
        <v>13.475042568000001</v>
      </c>
      <c r="O332" s="383">
        <f t="shared" si="26"/>
        <v>13.824999999999999</v>
      </c>
    </row>
    <row r="333" spans="1:15">
      <c r="A333" s="8"/>
      <c r="B333" s="356" t="s">
        <v>6</v>
      </c>
      <c r="C333" s="318"/>
      <c r="D333" s="318"/>
      <c r="E333" s="318"/>
      <c r="F333" s="332" t="s">
        <v>175</v>
      </c>
      <c r="G333" s="357"/>
      <c r="H333" s="384"/>
      <c r="I333" s="384"/>
      <c r="J333" s="384"/>
      <c r="K333" s="614">
        <f>K211</f>
        <v>0.02</v>
      </c>
      <c r="L333" s="614">
        <f>L211</f>
        <v>0.02</v>
      </c>
      <c r="M333" s="614">
        <f>M211</f>
        <v>0.02</v>
      </c>
      <c r="N333" s="614">
        <f>N211</f>
        <v>2.5000000000000001E-2</v>
      </c>
      <c r="O333" s="615">
        <f>O211</f>
        <v>2.5000000000000001E-2</v>
      </c>
    </row>
    <row r="334" spans="1:15" ht="6" customHeight="1">
      <c r="A334" s="8"/>
      <c r="B334" s="8"/>
      <c r="C334" s="8"/>
      <c r="D334" s="8"/>
      <c r="E334" s="8"/>
      <c r="F334" s="307"/>
      <c r="G334" s="50"/>
      <c r="H334" s="50"/>
      <c r="I334" s="50"/>
      <c r="J334" s="50"/>
      <c r="K334" s="381"/>
      <c r="L334" s="381"/>
      <c r="M334" s="381"/>
      <c r="N334" s="54"/>
      <c r="O334" s="54"/>
    </row>
    <row r="335" spans="1:15">
      <c r="A335" s="8"/>
      <c r="B335" s="42" t="s">
        <v>10</v>
      </c>
      <c r="C335" s="8"/>
      <c r="D335" s="8"/>
      <c r="E335" s="8"/>
      <c r="F335" s="307"/>
      <c r="G335" s="50"/>
      <c r="H335" s="60"/>
    </row>
    <row r="336" spans="1:15">
      <c r="A336" s="8"/>
      <c r="B336" s="8"/>
      <c r="C336" s="8" t="s">
        <v>5</v>
      </c>
      <c r="D336" s="8"/>
      <c r="E336" s="8"/>
      <c r="F336" s="307" t="s">
        <v>186</v>
      </c>
      <c r="G336" s="50"/>
      <c r="H336" s="385">
        <f t="shared" ref="H336:O338" si="27">H266</f>
        <v>903.09999999999991</v>
      </c>
      <c r="I336" s="385">
        <f t="shared" si="27"/>
        <v>954.18000000000006</v>
      </c>
      <c r="J336" s="385">
        <f t="shared" si="27"/>
        <v>1003.826</v>
      </c>
      <c r="K336" s="385">
        <f t="shared" si="27"/>
        <v>1056.6192000000001</v>
      </c>
      <c r="L336" s="385">
        <f t="shared" si="27"/>
        <v>1117.7337600000001</v>
      </c>
      <c r="M336" s="385">
        <f t="shared" si="27"/>
        <v>1182.6639302400001</v>
      </c>
      <c r="N336" s="385">
        <f t="shared" si="27"/>
        <v>1250.4839503104001</v>
      </c>
      <c r="O336" s="385">
        <f t="shared" si="27"/>
        <v>1310.6099999999999</v>
      </c>
    </row>
    <row r="337" spans="1:17">
      <c r="A337" s="8"/>
      <c r="B337" s="8"/>
      <c r="C337" s="90" t="s">
        <v>111</v>
      </c>
      <c r="D337" s="8"/>
      <c r="E337" s="8"/>
      <c r="F337" s="307" t="s">
        <v>186</v>
      </c>
      <c r="G337" s="50"/>
      <c r="H337" s="389">
        <f t="shared" si="27"/>
        <v>26.630780000000001</v>
      </c>
      <c r="I337" s="389">
        <f t="shared" si="27"/>
        <v>27.882918000000004</v>
      </c>
      <c r="J337" s="389">
        <f t="shared" si="27"/>
        <v>23.128236000000001</v>
      </c>
      <c r="K337" s="389">
        <f t="shared" si="27"/>
        <v>21.132384000000002</v>
      </c>
      <c r="L337" s="389">
        <f t="shared" si="27"/>
        <v>22.354675199999999</v>
      </c>
      <c r="M337" s="389">
        <f t="shared" si="27"/>
        <v>23.653278604800001</v>
      </c>
      <c r="N337" s="389">
        <f t="shared" si="27"/>
        <v>25.009679006208</v>
      </c>
      <c r="O337" s="389">
        <f t="shared" si="27"/>
        <v>26.212199999999996</v>
      </c>
    </row>
    <row r="338" spans="1:17">
      <c r="A338" s="8"/>
      <c r="B338" s="8"/>
      <c r="C338" s="42" t="s">
        <v>187</v>
      </c>
      <c r="D338" s="8"/>
      <c r="E338" s="8"/>
      <c r="F338" s="328" t="s">
        <v>186</v>
      </c>
      <c r="G338" s="50"/>
      <c r="H338" s="616">
        <f t="shared" si="27"/>
        <v>876.46921999999995</v>
      </c>
      <c r="I338" s="616">
        <f t="shared" si="27"/>
        <v>926.29708200000005</v>
      </c>
      <c r="J338" s="616">
        <f t="shared" si="27"/>
        <v>980.69776400000001</v>
      </c>
      <c r="K338" s="616">
        <f t="shared" si="27"/>
        <v>1035.4868160000001</v>
      </c>
      <c r="L338" s="616">
        <f>L268</f>
        <v>1095.3790848000001</v>
      </c>
      <c r="M338" s="616">
        <f t="shared" si="27"/>
        <v>1159.0106516352</v>
      </c>
      <c r="N338" s="616">
        <f t="shared" si="27"/>
        <v>1225.4742713041921</v>
      </c>
      <c r="O338" s="616">
        <f t="shared" si="27"/>
        <v>1284.3978</v>
      </c>
    </row>
    <row r="339" spans="1:17">
      <c r="A339" s="8"/>
      <c r="B339" s="8"/>
      <c r="C339" s="8"/>
      <c r="D339" s="8"/>
      <c r="E339" s="8"/>
      <c r="F339" s="307"/>
      <c r="G339" s="50"/>
      <c r="H339" s="387"/>
      <c r="I339" s="387"/>
      <c r="J339" s="387"/>
    </row>
    <row r="340" spans="1:17">
      <c r="A340" s="8"/>
      <c r="B340" s="8"/>
      <c r="C340" s="8" t="s">
        <v>201</v>
      </c>
      <c r="D340" s="8"/>
      <c r="E340" s="8"/>
      <c r="F340" s="307" t="s">
        <v>186</v>
      </c>
      <c r="G340" s="50"/>
      <c r="H340" s="385">
        <f t="shared" ref="H340:O340" si="28">H320</f>
        <v>699.70350877192982</v>
      </c>
      <c r="I340" s="385">
        <f t="shared" si="28"/>
        <v>724.14181818181817</v>
      </c>
      <c r="J340" s="385">
        <f t="shared" si="28"/>
        <v>793.40370370370374</v>
      </c>
      <c r="K340" s="385">
        <f t="shared" si="28"/>
        <v>861.00337777777793</v>
      </c>
      <c r="L340" s="385">
        <f t="shared" si="28"/>
        <v>908.80715749894739</v>
      </c>
      <c r="M340" s="385">
        <f t="shared" si="28"/>
        <v>942.96470813155213</v>
      </c>
      <c r="N340" s="385">
        <f t="shared" si="28"/>
        <v>986.45309821402907</v>
      </c>
      <c r="O340" s="385">
        <f t="shared" si="28"/>
        <v>1012.8343956621063</v>
      </c>
    </row>
    <row r="341" spans="1:17">
      <c r="A341" s="361"/>
      <c r="B341" s="8"/>
      <c r="C341" s="94" t="s">
        <v>202</v>
      </c>
      <c r="D341" s="8"/>
      <c r="E341" s="8"/>
      <c r="F341" s="307" t="s">
        <v>186</v>
      </c>
      <c r="G341" s="50"/>
      <c r="H341" s="388">
        <v>38.299999999999997</v>
      </c>
      <c r="I341" s="388">
        <v>42.1</v>
      </c>
      <c r="J341" s="388">
        <v>40.1</v>
      </c>
      <c r="K341" s="389">
        <f>E78</f>
        <v>45.2</v>
      </c>
      <c r="L341" s="389">
        <f>K341*(1+L333)</f>
        <v>46.104000000000006</v>
      </c>
      <c r="M341" s="389">
        <f>L341*(1+M333)</f>
        <v>47.026080000000007</v>
      </c>
      <c r="N341" s="389">
        <f>M341*(1+N333)</f>
        <v>48.201732000000007</v>
      </c>
      <c r="O341" s="389">
        <f>N341*(1+O333)</f>
        <v>49.4067753</v>
      </c>
    </row>
    <row r="342" spans="1:17">
      <c r="A342" s="8"/>
      <c r="B342" s="8"/>
      <c r="C342" s="306" t="s">
        <v>203</v>
      </c>
      <c r="D342" s="8"/>
      <c r="E342" s="8"/>
      <c r="F342" s="328" t="s">
        <v>186</v>
      </c>
      <c r="G342" s="50"/>
      <c r="H342" s="390">
        <f t="shared" ref="H342:O342" si="29">SUM(H340:H341)</f>
        <v>738.00350877192977</v>
      </c>
      <c r="I342" s="390">
        <f t="shared" si="29"/>
        <v>766.24181818181819</v>
      </c>
      <c r="J342" s="390">
        <f t="shared" si="29"/>
        <v>833.50370370370376</v>
      </c>
      <c r="K342" s="390">
        <f t="shared" si="29"/>
        <v>906.20337777777797</v>
      </c>
      <c r="L342" s="390">
        <f t="shared" si="29"/>
        <v>954.91115749894743</v>
      </c>
      <c r="M342" s="390">
        <f t="shared" si="29"/>
        <v>989.99078813155211</v>
      </c>
      <c r="N342" s="390">
        <f t="shared" si="29"/>
        <v>1034.6548302140291</v>
      </c>
      <c r="O342" s="390">
        <f t="shared" si="29"/>
        <v>1062.2411709621063</v>
      </c>
    </row>
    <row r="343" spans="1:17">
      <c r="A343" s="8"/>
      <c r="B343" s="8"/>
      <c r="C343" s="306"/>
      <c r="D343" s="8"/>
      <c r="E343" s="8"/>
      <c r="F343" s="328"/>
      <c r="G343" s="50"/>
      <c r="H343" s="391"/>
      <c r="I343" s="391"/>
      <c r="J343" s="391"/>
      <c r="K343" s="391"/>
      <c r="L343" s="391"/>
      <c r="M343" s="391"/>
      <c r="N343" s="391"/>
      <c r="O343" s="391"/>
    </row>
    <row r="344" spans="1:17">
      <c r="A344" s="8"/>
      <c r="B344" s="8"/>
      <c r="C344" s="392" t="s">
        <v>204</v>
      </c>
      <c r="D344" s="392"/>
      <c r="E344" s="392"/>
      <c r="F344" s="307" t="s">
        <v>186</v>
      </c>
      <c r="G344" s="50"/>
      <c r="H344" s="388">
        <v>0</v>
      </c>
      <c r="I344" s="388">
        <v>0</v>
      </c>
      <c r="J344" s="386">
        <f t="shared" ref="J344:O344" si="30">F110</f>
        <v>11</v>
      </c>
      <c r="K344" s="386">
        <f t="shared" si="30"/>
        <v>11</v>
      </c>
      <c r="L344" s="386">
        <f t="shared" si="30"/>
        <v>18</v>
      </c>
      <c r="M344" s="386">
        <f t="shared" si="30"/>
        <v>25</v>
      </c>
      <c r="N344" s="386">
        <f t="shared" si="30"/>
        <v>30</v>
      </c>
      <c r="O344" s="386">
        <f t="shared" si="30"/>
        <v>35</v>
      </c>
    </row>
    <row r="345" spans="1:17">
      <c r="A345" s="8"/>
      <c r="B345" s="42"/>
      <c r="C345" s="42" t="s">
        <v>205</v>
      </c>
      <c r="D345" s="8"/>
      <c r="E345" s="8"/>
      <c r="F345" s="328" t="s">
        <v>186</v>
      </c>
      <c r="G345" s="8"/>
      <c r="H345" s="366">
        <f t="shared" ref="H345:O345" si="31">H338-H342+H344</f>
        <v>138.46571122807018</v>
      </c>
      <c r="I345" s="366">
        <f t="shared" si="31"/>
        <v>160.05526381818186</v>
      </c>
      <c r="J345" s="393">
        <f t="shared" si="31"/>
        <v>158.19406029629624</v>
      </c>
      <c r="K345" s="393">
        <f t="shared" si="31"/>
        <v>140.28343822222212</v>
      </c>
      <c r="L345" s="393">
        <f t="shared" si="31"/>
        <v>158.46792730105267</v>
      </c>
      <c r="M345" s="393">
        <f t="shared" si="31"/>
        <v>194.01986350364791</v>
      </c>
      <c r="N345" s="393">
        <f t="shared" si="31"/>
        <v>220.81944109016308</v>
      </c>
      <c r="O345" s="393">
        <f t="shared" si="31"/>
        <v>257.15662903789371</v>
      </c>
    </row>
    <row r="346" spans="1:17">
      <c r="A346" s="8"/>
      <c r="B346" s="8"/>
      <c r="C346" s="8"/>
      <c r="D346" s="8"/>
      <c r="E346" s="8"/>
      <c r="F346" s="307"/>
      <c r="G346" s="8"/>
      <c r="H346" s="367"/>
      <c r="I346" s="367"/>
      <c r="J346" s="394"/>
      <c r="K346" s="394"/>
      <c r="L346" s="394"/>
      <c r="M346" s="394"/>
      <c r="N346" s="394"/>
      <c r="O346" s="394"/>
    </row>
    <row r="347" spans="1:17" ht="12.75" customHeight="1">
      <c r="A347" s="8"/>
      <c r="B347" s="8"/>
      <c r="C347" s="8" t="s">
        <v>206</v>
      </c>
      <c r="D347" s="8"/>
      <c r="E347" s="8"/>
      <c r="F347" s="307" t="s">
        <v>186</v>
      </c>
      <c r="G347" s="8"/>
      <c r="H347" s="334">
        <f t="shared" ref="H347:O347" si="32">H483</f>
        <v>54.8</v>
      </c>
      <c r="I347" s="334">
        <f t="shared" si="32"/>
        <v>55.2</v>
      </c>
      <c r="J347" s="334">
        <f t="shared" si="32"/>
        <v>56.4</v>
      </c>
      <c r="K347" s="334">
        <f t="shared" si="32"/>
        <v>63.06</v>
      </c>
      <c r="L347" s="334">
        <f t="shared" si="32"/>
        <v>65.540000000000006</v>
      </c>
      <c r="M347" s="334">
        <f t="shared" si="32"/>
        <v>68.125600000000006</v>
      </c>
      <c r="N347" s="334">
        <f t="shared" si="32"/>
        <v>70.769440000000003</v>
      </c>
      <c r="O347" s="334">
        <f t="shared" si="32"/>
        <v>74.079375999999996</v>
      </c>
    </row>
    <row r="348" spans="1:17">
      <c r="A348" s="8"/>
      <c r="B348" s="8"/>
      <c r="C348" s="306" t="s">
        <v>207</v>
      </c>
      <c r="D348" s="8"/>
      <c r="E348" s="8"/>
      <c r="F348" s="328" t="s">
        <v>186</v>
      </c>
      <c r="G348" s="8"/>
      <c r="H348" s="366">
        <f t="shared" ref="H348:O348" si="33">H345-H347</f>
        <v>83.66571122807018</v>
      </c>
      <c r="I348" s="366">
        <f t="shared" si="33"/>
        <v>104.85526381818185</v>
      </c>
      <c r="J348" s="366">
        <f t="shared" si="33"/>
        <v>101.79406029629624</v>
      </c>
      <c r="K348" s="366">
        <f t="shared" si="33"/>
        <v>77.223438222222114</v>
      </c>
      <c r="L348" s="366">
        <f t="shared" si="33"/>
        <v>92.927927301052662</v>
      </c>
      <c r="M348" s="366">
        <f t="shared" si="33"/>
        <v>125.89426350364791</v>
      </c>
      <c r="N348" s="366">
        <f t="shared" si="33"/>
        <v>150.05000109016308</v>
      </c>
      <c r="O348" s="366">
        <f t="shared" si="33"/>
        <v>183.07725303789371</v>
      </c>
    </row>
    <row r="349" spans="1:17" ht="12.75" customHeight="1">
      <c r="A349" s="8"/>
      <c r="B349" s="8"/>
      <c r="C349" s="306"/>
      <c r="D349" s="8"/>
      <c r="E349" s="8"/>
      <c r="F349" s="328"/>
      <c r="G349" s="8"/>
      <c r="H349" s="8"/>
      <c r="I349" s="8"/>
      <c r="J349" s="8"/>
      <c r="K349" s="372"/>
      <c r="L349" s="372"/>
      <c r="M349" s="372"/>
      <c r="N349" s="372"/>
      <c r="O349" s="372"/>
      <c r="Q349" s="8"/>
    </row>
    <row r="350" spans="1:17">
      <c r="A350" s="8"/>
      <c r="B350" s="8"/>
      <c r="C350" s="90" t="s">
        <v>208</v>
      </c>
      <c r="D350" s="8"/>
      <c r="E350" s="8"/>
      <c r="F350" s="307" t="s">
        <v>186</v>
      </c>
      <c r="G350" s="8"/>
      <c r="H350" s="395"/>
      <c r="I350" s="395"/>
      <c r="J350" s="395"/>
      <c r="K350" s="374">
        <f t="shared" ref="K350:O351" si="34">K689</f>
        <v>39.267787347962951</v>
      </c>
      <c r="L350" s="374">
        <f t="shared" si="34"/>
        <v>38.620289813211791</v>
      </c>
      <c r="M350" s="374">
        <f t="shared" si="34"/>
        <v>36.974215367371286</v>
      </c>
      <c r="N350" s="374">
        <f t="shared" si="34"/>
        <v>43.124651402615754</v>
      </c>
      <c r="O350" s="374">
        <f t="shared" si="34"/>
        <v>40.247796480447626</v>
      </c>
    </row>
    <row r="351" spans="1:17">
      <c r="A351" s="8"/>
      <c r="B351" s="8"/>
      <c r="C351" s="90" t="s">
        <v>209</v>
      </c>
      <c r="D351" s="8"/>
      <c r="E351" s="8"/>
      <c r="F351" s="307" t="s">
        <v>186</v>
      </c>
      <c r="G351" s="8"/>
      <c r="H351" s="395"/>
      <c r="I351" s="395"/>
      <c r="J351" s="395"/>
      <c r="K351" s="396">
        <f t="shared" si="34"/>
        <v>8.3051881655555526</v>
      </c>
      <c r="L351" s="396">
        <f t="shared" si="34"/>
        <v>8.6540060685088864</v>
      </c>
      <c r="M351" s="396">
        <f t="shared" si="34"/>
        <v>9.01747432338626</v>
      </c>
      <c r="N351" s="396">
        <f t="shared" si="34"/>
        <v>0</v>
      </c>
      <c r="O351" s="396">
        <f t="shared" si="34"/>
        <v>0</v>
      </c>
    </row>
    <row r="352" spans="1:17">
      <c r="A352" s="8"/>
      <c r="B352" s="8"/>
      <c r="C352" s="90" t="s">
        <v>210</v>
      </c>
      <c r="D352" s="8"/>
      <c r="E352" s="8"/>
      <c r="F352" s="328" t="s">
        <v>186</v>
      </c>
      <c r="G352" s="8"/>
      <c r="H352" s="374"/>
      <c r="I352" s="374"/>
      <c r="J352" s="374"/>
      <c r="K352" s="374">
        <f>SUM(K350:K351)</f>
        <v>47.5729755135185</v>
      </c>
      <c r="L352" s="374">
        <f>SUM(L350:L351)</f>
        <v>47.274295881720676</v>
      </c>
      <c r="M352" s="374">
        <f>SUM(M350:M351)</f>
        <v>45.991689690757546</v>
      </c>
      <c r="N352" s="374">
        <f>SUM(N350:N351)</f>
        <v>43.124651402615754</v>
      </c>
      <c r="O352" s="374">
        <f>SUM(O350:O351)</f>
        <v>40.247796480447626</v>
      </c>
    </row>
    <row r="353" spans="1:15" ht="6" customHeight="1">
      <c r="A353" s="8"/>
      <c r="B353" s="8"/>
      <c r="C353" s="306"/>
      <c r="D353" s="8"/>
      <c r="E353" s="8"/>
      <c r="F353" s="328"/>
      <c r="G353" s="8"/>
      <c r="H353" s="397"/>
      <c r="I353" s="397"/>
      <c r="J353" s="397"/>
      <c r="K353" s="397"/>
      <c r="L353" s="372"/>
      <c r="M353" s="366"/>
      <c r="N353" s="366"/>
      <c r="O353" s="372"/>
    </row>
    <row r="354" spans="1:15">
      <c r="A354" s="8"/>
      <c r="B354" s="8"/>
      <c r="C354" s="141" t="s">
        <v>211</v>
      </c>
      <c r="D354" s="8"/>
      <c r="E354" s="8"/>
      <c r="F354" s="328" t="s">
        <v>186</v>
      </c>
      <c r="G354" s="8"/>
      <c r="H354" s="366"/>
      <c r="I354" s="366"/>
      <c r="J354" s="366"/>
      <c r="K354" s="366">
        <f>K348-K352</f>
        <v>29.650462708703614</v>
      </c>
      <c r="L354" s="366">
        <f>L348-L352</f>
        <v>45.653631419331987</v>
      </c>
      <c r="M354" s="366">
        <f>M348-M352</f>
        <v>79.902573812890353</v>
      </c>
      <c r="N354" s="366">
        <f>N348-N352</f>
        <v>106.92534968754732</v>
      </c>
      <c r="O354" s="366">
        <f>O348-O352</f>
        <v>142.82945655744609</v>
      </c>
    </row>
    <row r="355" spans="1:15" ht="12.75" customHeight="1">
      <c r="A355" s="8"/>
      <c r="B355" s="8"/>
      <c r="C355" s="306"/>
      <c r="D355" s="8"/>
      <c r="E355" s="8"/>
      <c r="F355" s="328"/>
      <c r="G355" s="8"/>
      <c r="H355" s="397"/>
      <c r="I355" s="397"/>
      <c r="J355" s="397"/>
      <c r="K355" s="397"/>
      <c r="L355" s="372"/>
      <c r="M355" s="366"/>
      <c r="N355" s="366"/>
      <c r="O355" s="372"/>
    </row>
    <row r="356" spans="1:15">
      <c r="A356" s="8"/>
      <c r="B356" s="8"/>
      <c r="C356" s="8" t="s">
        <v>212</v>
      </c>
      <c r="D356" s="8"/>
      <c r="E356" s="8"/>
      <c r="F356" s="307" t="s">
        <v>186</v>
      </c>
      <c r="G356" s="8"/>
      <c r="H356" s="395"/>
      <c r="I356" s="395"/>
      <c r="J356" s="395"/>
      <c r="K356" s="617">
        <f t="shared" ref="K356:O357" si="35">K519</f>
        <v>0</v>
      </c>
      <c r="L356" s="617">
        <f t="shared" si="35"/>
        <v>0</v>
      </c>
      <c r="M356" s="617">
        <f t="shared" si="35"/>
        <v>19.893586279324104</v>
      </c>
      <c r="N356" s="617">
        <f t="shared" si="35"/>
        <v>33.793692515641567</v>
      </c>
      <c r="O356" s="617">
        <f t="shared" si="35"/>
        <v>47.434239101356141</v>
      </c>
    </row>
    <row r="357" spans="1:15">
      <c r="A357" s="8"/>
      <c r="B357" s="8"/>
      <c r="C357" s="8" t="s">
        <v>213</v>
      </c>
      <c r="D357" s="8"/>
      <c r="E357" s="8"/>
      <c r="F357" s="307" t="s">
        <v>186</v>
      </c>
      <c r="G357" s="8"/>
      <c r="H357" s="395"/>
      <c r="I357" s="395"/>
      <c r="J357" s="395"/>
      <c r="K357" s="618">
        <f t="shared" si="35"/>
        <v>10.377661948046264</v>
      </c>
      <c r="L357" s="618">
        <f t="shared" si="35"/>
        <v>15.978770996766194</v>
      </c>
      <c r="M357" s="618">
        <f t="shared" si="35"/>
        <v>8.0723145551875177</v>
      </c>
      <c r="N357" s="618">
        <f t="shared" si="35"/>
        <v>3.6301798749999961</v>
      </c>
      <c r="O357" s="618">
        <f t="shared" si="35"/>
        <v>2.5560706937499873</v>
      </c>
    </row>
    <row r="358" spans="1:15">
      <c r="A358" s="8"/>
      <c r="B358" s="8"/>
      <c r="C358" s="42" t="s">
        <v>214</v>
      </c>
      <c r="D358" s="8"/>
      <c r="E358" s="8"/>
      <c r="F358" s="328" t="s">
        <v>186</v>
      </c>
      <c r="G358" s="8"/>
      <c r="H358" s="398"/>
      <c r="I358" s="398"/>
      <c r="J358" s="398"/>
      <c r="K358" s="398">
        <f>SUM(K356:K357)</f>
        <v>10.377661948046264</v>
      </c>
      <c r="L358" s="398">
        <f>SUM(L356:L357)</f>
        <v>15.978770996766194</v>
      </c>
      <c r="M358" s="398">
        <f>SUM(M356:M357)</f>
        <v>27.965900834511622</v>
      </c>
      <c r="N358" s="398">
        <f>SUM(N356:N357)</f>
        <v>37.423872390641563</v>
      </c>
      <c r="O358" s="398">
        <f>SUM(O356:O357)</f>
        <v>49.990309795106128</v>
      </c>
    </row>
    <row r="359" spans="1:15" ht="6" customHeight="1">
      <c r="A359" s="8"/>
      <c r="B359" s="8"/>
      <c r="C359" s="8"/>
      <c r="D359" s="8"/>
      <c r="E359" s="8"/>
      <c r="F359" s="307"/>
      <c r="G359" s="8"/>
      <c r="H359" s="8"/>
      <c r="I359" s="8"/>
      <c r="J359" s="8"/>
      <c r="K359" s="8"/>
      <c r="L359" s="8"/>
      <c r="M359" s="8"/>
      <c r="N359" s="8"/>
      <c r="O359" s="8"/>
    </row>
    <row r="360" spans="1:15">
      <c r="A360" s="8"/>
      <c r="B360" s="8"/>
      <c r="C360" s="399" t="s">
        <v>215</v>
      </c>
      <c r="D360" s="42"/>
      <c r="E360" s="42"/>
      <c r="F360" s="328" t="s">
        <v>186</v>
      </c>
      <c r="G360" s="8"/>
      <c r="H360" s="366"/>
      <c r="I360" s="366"/>
      <c r="J360" s="366"/>
      <c r="K360" s="393">
        <f>K354-K358</f>
        <v>19.272800760657351</v>
      </c>
      <c r="L360" s="366">
        <f>L354-L358</f>
        <v>29.674860422565793</v>
      </c>
      <c r="M360" s="366">
        <f>M354-M358</f>
        <v>51.936672978378731</v>
      </c>
      <c r="N360" s="366">
        <f>N354-N358</f>
        <v>69.501477296905762</v>
      </c>
      <c r="O360" s="366">
        <f>O354-O358</f>
        <v>92.839146762339965</v>
      </c>
    </row>
    <row r="361" spans="1:15">
      <c r="A361" s="8"/>
      <c r="B361" s="8"/>
      <c r="C361" s="400"/>
      <c r="D361" s="8"/>
      <c r="E361" s="8"/>
      <c r="F361" s="328"/>
      <c r="G361" s="8"/>
      <c r="H361" s="67"/>
      <c r="I361" s="67"/>
      <c r="J361" s="67"/>
      <c r="K361" s="67"/>
      <c r="L361" s="67"/>
      <c r="M361" s="67"/>
      <c r="N361" s="67"/>
      <c r="O361" s="67"/>
    </row>
    <row r="362" spans="1:15">
      <c r="A362" s="8"/>
      <c r="B362" s="8"/>
      <c r="C362" s="8" t="s">
        <v>216</v>
      </c>
      <c r="D362" s="8"/>
      <c r="E362" s="8"/>
      <c r="F362" s="307" t="s">
        <v>186</v>
      </c>
      <c r="G362" s="8"/>
      <c r="H362" s="395"/>
      <c r="I362" s="395"/>
      <c r="J362" s="395"/>
      <c r="K362" s="396">
        <f>K710</f>
        <v>12</v>
      </c>
      <c r="L362" s="396">
        <f>L710</f>
        <v>12</v>
      </c>
      <c r="M362" s="396">
        <f>M710</f>
        <v>12</v>
      </c>
      <c r="N362" s="396">
        <f>N710</f>
        <v>12</v>
      </c>
      <c r="O362" s="396">
        <f>O710</f>
        <v>12</v>
      </c>
    </row>
    <row r="363" spans="1:15">
      <c r="A363" s="8"/>
      <c r="B363" s="8"/>
      <c r="C363" s="399" t="s">
        <v>217</v>
      </c>
      <c r="D363" s="8"/>
      <c r="E363" s="8"/>
      <c r="F363" s="328" t="s">
        <v>186</v>
      </c>
      <c r="G363" s="8"/>
      <c r="H363" s="366"/>
      <c r="I363" s="366"/>
      <c r="J363" s="366"/>
      <c r="K363" s="366">
        <f>K360-K362</f>
        <v>7.2728007606573506</v>
      </c>
      <c r="L363" s="366">
        <f>L360-L362</f>
        <v>17.674860422565793</v>
      </c>
      <c r="M363" s="366">
        <f>M360-M362</f>
        <v>39.936672978378731</v>
      </c>
      <c r="N363" s="366">
        <f>N360-N362</f>
        <v>57.501477296905762</v>
      </c>
      <c r="O363" s="366">
        <f>O360-O362</f>
        <v>80.839146762339965</v>
      </c>
    </row>
    <row r="364" spans="1:15">
      <c r="A364" s="8"/>
      <c r="B364" s="8"/>
      <c r="C364" s="42"/>
      <c r="D364" s="8"/>
      <c r="E364" s="8"/>
      <c r="F364" s="328"/>
      <c r="G364" s="8"/>
      <c r="H364" s="398"/>
      <c r="I364" s="398"/>
      <c r="J364" s="398"/>
      <c r="K364" s="398"/>
      <c r="L364" s="398"/>
      <c r="M364" s="398"/>
      <c r="N364" s="398"/>
      <c r="O364" s="398"/>
    </row>
    <row r="365" spans="1:15" ht="6" customHeight="1">
      <c r="A365" s="8"/>
      <c r="B365" s="8"/>
      <c r="C365" s="8"/>
      <c r="D365" s="8"/>
      <c r="E365" s="8"/>
      <c r="F365" s="301"/>
      <c r="G365" s="8"/>
      <c r="H365" s="380"/>
      <c r="I365" s="380"/>
      <c r="J365" s="380"/>
      <c r="K365" s="354"/>
      <c r="L365" s="354"/>
      <c r="M365" s="354"/>
      <c r="N365" s="354"/>
      <c r="O365" s="354"/>
    </row>
    <row r="366" spans="1:15">
      <c r="A366" s="8"/>
      <c r="B366" s="401" t="s">
        <v>218</v>
      </c>
      <c r="C366" s="121"/>
      <c r="D366" s="121"/>
      <c r="E366" s="121"/>
      <c r="F366" s="402"/>
      <c r="G366" s="121"/>
      <c r="H366" s="403"/>
      <c r="I366" s="403"/>
      <c r="J366" s="403"/>
      <c r="K366" s="403"/>
      <c r="L366" s="403"/>
      <c r="M366" s="403"/>
      <c r="N366" s="403"/>
      <c r="O366" s="404"/>
    </row>
    <row r="367" spans="1:15">
      <c r="A367" s="8"/>
      <c r="B367" s="41"/>
      <c r="C367" s="8" t="s">
        <v>219</v>
      </c>
      <c r="D367" s="8"/>
      <c r="E367" s="8"/>
      <c r="F367" s="301"/>
      <c r="G367" s="8"/>
      <c r="H367" s="405">
        <f t="shared" ref="H367:O367" si="36">H345/H338</f>
        <v>0.15798125943095889</v>
      </c>
      <c r="I367" s="405">
        <f t="shared" si="36"/>
        <v>0.17279042213174309</v>
      </c>
      <c r="J367" s="405">
        <f t="shared" si="36"/>
        <v>0.16130765879496411</v>
      </c>
      <c r="K367" s="405">
        <f t="shared" si="36"/>
        <v>0.135475832289324</v>
      </c>
      <c r="L367" s="405">
        <f t="shared" si="36"/>
        <v>0.14466948429089876</v>
      </c>
      <c r="M367" s="405">
        <f t="shared" si="36"/>
        <v>0.16740127731346846</v>
      </c>
      <c r="N367" s="405">
        <f t="shared" si="36"/>
        <v>0.18019100544245567</v>
      </c>
      <c r="O367" s="406">
        <f t="shared" si="36"/>
        <v>0.20021571902248175</v>
      </c>
    </row>
    <row r="368" spans="1:15">
      <c r="A368" s="8"/>
      <c r="B368" s="41"/>
      <c r="C368" s="8" t="s">
        <v>220</v>
      </c>
      <c r="D368" s="8"/>
      <c r="E368" s="8"/>
      <c r="F368" s="407"/>
      <c r="G368" s="8"/>
      <c r="H368" s="405">
        <f t="shared" ref="H368:O368" si="37">H348/H338</f>
        <v>9.5457671894137008E-2</v>
      </c>
      <c r="I368" s="405">
        <f t="shared" si="37"/>
        <v>0.11319830954426115</v>
      </c>
      <c r="J368" s="405">
        <f t="shared" si="37"/>
        <v>0.10379758579351286</v>
      </c>
      <c r="K368" s="405">
        <f t="shared" si="37"/>
        <v>7.4576940072042505E-2</v>
      </c>
      <c r="L368" s="405">
        <f t="shared" si="37"/>
        <v>8.4836317025370186E-2</v>
      </c>
      <c r="M368" s="405">
        <f t="shared" si="37"/>
        <v>0.10862217989630114</v>
      </c>
      <c r="N368" s="405">
        <f t="shared" si="37"/>
        <v>0.12244239198141196</v>
      </c>
      <c r="O368" s="406">
        <f t="shared" si="37"/>
        <v>0.14253936984156601</v>
      </c>
    </row>
    <row r="369" spans="1:17">
      <c r="A369" s="8"/>
      <c r="B369" s="77"/>
      <c r="C369" s="35" t="s">
        <v>221</v>
      </c>
      <c r="D369" s="35"/>
      <c r="E369" s="35"/>
      <c r="F369" s="408"/>
      <c r="G369" s="35"/>
      <c r="H369" s="409"/>
      <c r="I369" s="409"/>
      <c r="J369" s="410"/>
      <c r="K369" s="410">
        <f>K345/AVERAGE(K750,J750)</f>
        <v>8.8861063615365429E-2</v>
      </c>
      <c r="L369" s="410">
        <f>L345/AVERAGE(L750,K750)</f>
        <v>0.10135002512821117</v>
      </c>
      <c r="M369" s="410">
        <f>M345/AVERAGE(M750,L750)</f>
        <v>0.12590346027298546</v>
      </c>
      <c r="N369" s="410">
        <f>N345/AVERAGE(N750,M750)</f>
        <v>0.14434323523902434</v>
      </c>
      <c r="O369" s="411">
        <f>O345/AVERAGE(O750,N750)</f>
        <v>0.16666758855358599</v>
      </c>
    </row>
    <row r="370" spans="1:17">
      <c r="A370" s="8"/>
      <c r="B370" s="8"/>
      <c r="C370" s="412" t="s">
        <v>222</v>
      </c>
      <c r="D370" s="8"/>
      <c r="E370" s="8"/>
      <c r="F370" s="407"/>
      <c r="G370" s="8"/>
      <c r="H370" s="413"/>
      <c r="I370" s="413"/>
      <c r="J370" s="405"/>
      <c r="K370" s="405"/>
      <c r="L370" s="405"/>
      <c r="M370" s="405"/>
      <c r="N370" s="405"/>
      <c r="O370" s="405"/>
    </row>
    <row r="371" spans="1:17">
      <c r="A371" s="8"/>
      <c r="B371" s="8"/>
      <c r="C371" s="414"/>
      <c r="D371" s="8"/>
      <c r="E371" s="8"/>
      <c r="F371" s="407"/>
      <c r="G371" s="8"/>
      <c r="H371" s="413"/>
      <c r="I371" s="413"/>
      <c r="J371" s="413"/>
      <c r="K371" s="413"/>
      <c r="L371" s="413"/>
      <c r="M371" s="413"/>
      <c r="N371" s="413"/>
      <c r="O371" s="413"/>
    </row>
    <row r="372" spans="1:17">
      <c r="A372" s="8"/>
      <c r="B372" s="42"/>
      <c r="C372" s="8"/>
      <c r="D372" s="8"/>
      <c r="E372" s="8"/>
      <c r="F372" s="407"/>
      <c r="G372" s="8"/>
      <c r="H372" s="8"/>
      <c r="I372" s="8"/>
      <c r="J372" s="8"/>
      <c r="K372" s="8"/>
      <c r="L372" s="8"/>
      <c r="M372" s="8"/>
      <c r="N372" s="8"/>
      <c r="O372" s="8"/>
    </row>
    <row r="373" spans="1:17">
      <c r="A373" s="8"/>
      <c r="B373" s="42"/>
      <c r="C373" s="8"/>
      <c r="D373" s="8"/>
      <c r="E373" s="8"/>
      <c r="F373" s="407"/>
      <c r="G373" s="8"/>
      <c r="H373" s="380"/>
      <c r="I373" s="380"/>
      <c r="J373" s="380"/>
      <c r="K373" s="380"/>
      <c r="L373" s="380"/>
      <c r="M373" s="380"/>
      <c r="N373" s="380"/>
      <c r="O373" s="380"/>
    </row>
    <row r="374" spans="1:17" ht="12.75" customHeight="1">
      <c r="A374" s="8"/>
      <c r="B374" s="8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38" t="str">
        <f>$O$236</f>
        <v>CURRENTLY RUNNING: BASE CASE SCENARIO</v>
      </c>
    </row>
    <row r="375" spans="1:17" ht="22.8" customHeight="1">
      <c r="A375" s="8"/>
      <c r="B375" s="86" t="str">
        <f>$B$3</f>
        <v>Moonbucks Corp.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7" ht="18.75" customHeight="1">
      <c r="A376" s="8"/>
      <c r="B376" s="293" t="s">
        <v>223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7" ht="6" customHeight="1" thickBot="1">
      <c r="A377" s="8"/>
      <c r="B377" s="296"/>
      <c r="C377" s="415"/>
      <c r="D377" s="415"/>
      <c r="E377" s="415"/>
      <c r="F377" s="415"/>
      <c r="G377" s="415"/>
      <c r="H377" s="415"/>
      <c r="I377" s="415"/>
      <c r="J377" s="415"/>
      <c r="K377" s="415"/>
      <c r="L377" s="415"/>
      <c r="M377" s="415"/>
      <c r="N377" s="415"/>
      <c r="O377" s="415"/>
    </row>
    <row r="378" spans="1:17" ht="12.75" customHeight="1">
      <c r="A378" s="8"/>
      <c r="B378" s="416" t="s">
        <v>224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7" ht="13.8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303" t="s">
        <v>170</v>
      </c>
      <c r="L379" s="113"/>
      <c r="M379" s="113"/>
      <c r="N379" s="113"/>
      <c r="O379" s="113"/>
    </row>
    <row r="380" spans="1:17">
      <c r="A380" s="8"/>
      <c r="B380" s="417"/>
      <c r="C380" s="8"/>
      <c r="D380" s="8"/>
      <c r="E380" s="8"/>
      <c r="F380" s="418"/>
      <c r="G380" s="419"/>
      <c r="H380" s="304">
        <f t="shared" ref="H380:O380" si="38">H$242</f>
        <v>2019</v>
      </c>
      <c r="I380" s="304">
        <f t="shared" si="38"/>
        <v>2020</v>
      </c>
      <c r="J380" s="304">
        <f t="shared" si="38"/>
        <v>2021</v>
      </c>
      <c r="K380" s="420">
        <f t="shared" si="38"/>
        <v>2022</v>
      </c>
      <c r="L380" s="420">
        <f t="shared" si="38"/>
        <v>2023</v>
      </c>
      <c r="M380" s="420">
        <f t="shared" si="38"/>
        <v>2024</v>
      </c>
      <c r="N380" s="420">
        <f t="shared" si="38"/>
        <v>2025</v>
      </c>
      <c r="O380" s="420">
        <f t="shared" si="38"/>
        <v>2026</v>
      </c>
    </row>
    <row r="381" spans="1:17">
      <c r="A381" s="8"/>
      <c r="B381" s="42" t="s">
        <v>225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7">
      <c r="A382" s="8"/>
      <c r="B382" s="8"/>
      <c r="C382" s="8" t="s">
        <v>215</v>
      </c>
      <c r="D382" s="8"/>
      <c r="E382" s="8"/>
      <c r="F382" s="8"/>
      <c r="G382" s="421"/>
      <c r="K382" s="422">
        <f>K360</f>
        <v>19.272800760657351</v>
      </c>
      <c r="L382" s="422">
        <f>L360</f>
        <v>29.674860422565793</v>
      </c>
      <c r="M382" s="422">
        <f>M360</f>
        <v>51.936672978378731</v>
      </c>
      <c r="N382" s="422">
        <f>N360</f>
        <v>69.501477296905762</v>
      </c>
      <c r="O382" s="422">
        <f>O360</f>
        <v>92.839146762339965</v>
      </c>
      <c r="Q382" s="8"/>
    </row>
    <row r="383" spans="1:17">
      <c r="A383" s="8"/>
      <c r="B383" s="8"/>
      <c r="C383" s="8" t="s">
        <v>226</v>
      </c>
      <c r="D383" s="8"/>
      <c r="E383" s="8"/>
      <c r="F383" s="8"/>
      <c r="G383" s="421"/>
      <c r="K383" s="422">
        <f>K347</f>
        <v>63.06</v>
      </c>
      <c r="L383" s="422">
        <f>L347</f>
        <v>65.540000000000006</v>
      </c>
      <c r="M383" s="422">
        <f>M347</f>
        <v>68.125600000000006</v>
      </c>
      <c r="N383" s="422">
        <f>N347</f>
        <v>70.769440000000003</v>
      </c>
      <c r="O383" s="422">
        <f>O347</f>
        <v>74.079375999999996</v>
      </c>
    </row>
    <row r="384" spans="1:17">
      <c r="A384" s="8"/>
      <c r="B384" s="8"/>
      <c r="C384" s="8" t="s">
        <v>209</v>
      </c>
      <c r="D384" s="8"/>
      <c r="E384" s="8"/>
      <c r="F384" s="8"/>
      <c r="G384" s="421"/>
      <c r="K384" s="422">
        <f>K351</f>
        <v>8.3051881655555526</v>
      </c>
      <c r="L384" s="422">
        <f>L351</f>
        <v>8.6540060685088864</v>
      </c>
      <c r="M384" s="422">
        <f>M351</f>
        <v>9.01747432338626</v>
      </c>
      <c r="N384" s="422">
        <f>N351</f>
        <v>0</v>
      </c>
      <c r="O384" s="422">
        <f>O351</f>
        <v>0</v>
      </c>
    </row>
    <row r="385" spans="1:17">
      <c r="A385" s="8"/>
      <c r="B385" s="8"/>
      <c r="C385" s="8" t="s">
        <v>213</v>
      </c>
      <c r="D385" s="8"/>
      <c r="E385" s="8"/>
      <c r="F385" s="8"/>
      <c r="G385" s="423"/>
      <c r="K385" s="424">
        <f>K357</f>
        <v>10.377661948046264</v>
      </c>
      <c r="L385" s="424">
        <f>L357</f>
        <v>15.978770996766194</v>
      </c>
      <c r="M385" s="424">
        <f>M357</f>
        <v>8.0723145551875177</v>
      </c>
      <c r="N385" s="424">
        <f>N357</f>
        <v>3.6301798749999961</v>
      </c>
      <c r="O385" s="424">
        <f>O357</f>
        <v>2.5560706937499873</v>
      </c>
    </row>
    <row r="386" spans="1:17">
      <c r="A386" s="8"/>
      <c r="B386" s="8"/>
      <c r="C386" s="8" t="s">
        <v>227</v>
      </c>
      <c r="D386" s="8"/>
      <c r="E386" s="8"/>
      <c r="F386" s="8"/>
      <c r="G386" s="376"/>
      <c r="K386" s="334">
        <f>K560</f>
        <v>-6.9221798770167453</v>
      </c>
      <c r="L386" s="334">
        <f>L560</f>
        <v>6.1901188123880218</v>
      </c>
      <c r="M386" s="334">
        <f>M560</f>
        <v>10.472750141554101</v>
      </c>
      <c r="N386" s="334">
        <f>N560</f>
        <v>-6.4802691547608049</v>
      </c>
      <c r="O386" s="334">
        <f>O560</f>
        <v>-5.2766949193498789</v>
      </c>
    </row>
    <row r="387" spans="1:17">
      <c r="A387" s="8"/>
      <c r="B387" s="8"/>
      <c r="C387" s="306" t="s">
        <v>228</v>
      </c>
      <c r="D387" s="8"/>
      <c r="E387" s="8"/>
      <c r="F387" s="8"/>
      <c r="G387" s="372"/>
      <c r="K387" s="425">
        <f>SUM(K382:K386)</f>
        <v>94.09347099724242</v>
      </c>
      <c r="L387" s="425">
        <f>SUM(L382:L386)</f>
        <v>126.03775630022892</v>
      </c>
      <c r="M387" s="425">
        <f>SUM(M382:M386)</f>
        <v>147.62481199850663</v>
      </c>
      <c r="N387" s="425">
        <f>SUM(N382:N386)</f>
        <v>137.42082801714494</v>
      </c>
      <c r="O387" s="425">
        <f>SUM(O382:O386)</f>
        <v>164.19789853674007</v>
      </c>
    </row>
    <row r="388" spans="1:17">
      <c r="A388" s="8"/>
      <c r="B388" s="94"/>
      <c r="C388" s="8"/>
      <c r="D388" s="8"/>
      <c r="E388" s="8"/>
      <c r="F388" s="8"/>
      <c r="G388" s="380"/>
      <c r="H388" s="325"/>
      <c r="I388" s="325"/>
      <c r="J388" s="325"/>
      <c r="K388" s="325"/>
      <c r="L388" s="325"/>
      <c r="M388" s="325"/>
      <c r="N388" s="325"/>
      <c r="O388" s="325"/>
    </row>
    <row r="389" spans="1:17">
      <c r="A389" s="8"/>
      <c r="B389" s="94"/>
      <c r="C389" s="8"/>
      <c r="D389" s="8"/>
      <c r="E389" s="8"/>
      <c r="F389" s="8"/>
      <c r="G389" s="380"/>
      <c r="H389" s="325"/>
      <c r="I389" s="325"/>
      <c r="J389" s="325"/>
      <c r="K389" s="325"/>
      <c r="L389" s="325"/>
      <c r="M389" s="325"/>
      <c r="N389" s="325"/>
      <c r="O389" s="325"/>
    </row>
    <row r="390" spans="1:17">
      <c r="A390" s="8"/>
      <c r="B390" s="42" t="s">
        <v>229</v>
      </c>
      <c r="C390" s="8"/>
      <c r="D390" s="8"/>
      <c r="E390" s="8"/>
      <c r="F390" s="8"/>
      <c r="G390" s="426"/>
      <c r="H390" s="427"/>
      <c r="I390" s="427"/>
      <c r="J390" s="427"/>
      <c r="K390" s="423"/>
      <c r="L390" s="423"/>
      <c r="M390" s="423"/>
      <c r="N390" s="423"/>
      <c r="O390" s="423"/>
    </row>
    <row r="391" spans="1:17">
      <c r="A391" s="8"/>
      <c r="B391" s="8"/>
      <c r="C391" s="8" t="s">
        <v>230</v>
      </c>
      <c r="D391" s="8"/>
      <c r="E391" s="8"/>
      <c r="F391" s="301"/>
      <c r="G391" s="8"/>
      <c r="K391" s="333">
        <f>-G99</f>
        <v>-60</v>
      </c>
      <c r="L391" s="333">
        <f>-H99</f>
        <v>-64</v>
      </c>
      <c r="M391" s="333">
        <f>-I99</f>
        <v>-65.28</v>
      </c>
      <c r="N391" s="333">
        <f>-J99</f>
        <v>-66.911999999999992</v>
      </c>
      <c r="O391" s="333">
        <f>-K99</f>
        <v>-98.584799999999987</v>
      </c>
      <c r="Q391" s="8"/>
    </row>
    <row r="392" spans="1:17">
      <c r="A392" s="8"/>
      <c r="B392" s="8"/>
      <c r="C392" s="8" t="s">
        <v>49</v>
      </c>
      <c r="D392" s="8"/>
      <c r="E392" s="8"/>
      <c r="F392" s="301"/>
      <c r="G392" s="8"/>
      <c r="K392" s="333">
        <f>J392</f>
        <v>0</v>
      </c>
      <c r="L392" s="333">
        <f>K392</f>
        <v>0</v>
      </c>
      <c r="M392" s="333">
        <f>L392</f>
        <v>0</v>
      </c>
      <c r="N392" s="333">
        <f>M392</f>
        <v>0</v>
      </c>
      <c r="O392" s="333">
        <f>N392</f>
        <v>0</v>
      </c>
    </row>
    <row r="393" spans="1:17">
      <c r="A393" s="42"/>
      <c r="B393" s="8"/>
      <c r="C393" s="42" t="s">
        <v>231</v>
      </c>
      <c r="D393" s="8"/>
      <c r="E393" s="8"/>
      <c r="F393" s="8"/>
      <c r="G393" s="372"/>
      <c r="K393" s="371">
        <f>SUM(K391:K392)</f>
        <v>-60</v>
      </c>
      <c r="L393" s="371">
        <f>SUM(L391:L392)</f>
        <v>-64</v>
      </c>
      <c r="M393" s="371">
        <f>SUM(M391:M392)</f>
        <v>-65.28</v>
      </c>
      <c r="N393" s="371">
        <f>SUM(N391:N392)</f>
        <v>-66.911999999999992</v>
      </c>
      <c r="O393" s="371">
        <f>SUM(O391:O392)</f>
        <v>-98.584799999999987</v>
      </c>
    </row>
    <row r="394" spans="1:17">
      <c r="A394" s="42"/>
      <c r="B394" s="141"/>
      <c r="C394" s="8"/>
      <c r="D394" s="8"/>
      <c r="E394" s="8"/>
      <c r="F394" s="8"/>
      <c r="G394" s="372"/>
      <c r="H394" s="428"/>
      <c r="I394" s="428"/>
      <c r="J394" s="429"/>
      <c r="K394" s="428"/>
      <c r="L394" s="428"/>
      <c r="M394" s="428"/>
      <c r="N394" s="428"/>
      <c r="O394" s="428"/>
    </row>
    <row r="395" spans="1:17" ht="13.8" thickBot="1">
      <c r="A395" s="42"/>
      <c r="B395" s="42" t="s">
        <v>232</v>
      </c>
      <c r="C395" s="42"/>
      <c r="D395" s="8"/>
      <c r="E395" s="8"/>
      <c r="F395" s="8"/>
      <c r="G395" s="372"/>
      <c r="K395" s="430">
        <f>K387+K393</f>
        <v>34.09347099724242</v>
      </c>
      <c r="L395" s="430">
        <f>L387+L393</f>
        <v>62.037756300228921</v>
      </c>
      <c r="M395" s="430">
        <f>M387+M393</f>
        <v>82.344811998506628</v>
      </c>
      <c r="N395" s="430">
        <f>N387+N393</f>
        <v>70.50882801714495</v>
      </c>
      <c r="O395" s="430">
        <f>O387+O393</f>
        <v>65.613098536740083</v>
      </c>
    </row>
    <row r="396" spans="1:17" ht="13.8" thickTop="1">
      <c r="A396" s="42"/>
      <c r="B396" s="141"/>
      <c r="C396" s="8"/>
      <c r="D396" s="8"/>
      <c r="E396" s="8"/>
      <c r="F396" s="8"/>
      <c r="G396" s="372"/>
      <c r="H396" s="428"/>
      <c r="I396" s="428"/>
      <c r="J396" s="428"/>
      <c r="K396" s="428"/>
      <c r="L396" s="428"/>
      <c r="M396" s="428"/>
      <c r="N396" s="428"/>
      <c r="O396" s="428"/>
    </row>
    <row r="397" spans="1:17">
      <c r="A397" s="42"/>
      <c r="B397" s="141" t="s">
        <v>233</v>
      </c>
      <c r="C397" s="8"/>
      <c r="D397" s="8"/>
      <c r="E397" s="8"/>
      <c r="F397" s="8"/>
      <c r="G397" s="372"/>
      <c r="H397" s="431"/>
      <c r="I397" s="431"/>
      <c r="J397" s="431"/>
      <c r="K397" s="432"/>
      <c r="L397" s="432"/>
      <c r="M397" s="432"/>
      <c r="N397" s="432"/>
      <c r="O397" s="432"/>
    </row>
    <row r="398" spans="1:17">
      <c r="A398" s="42"/>
      <c r="B398" s="141"/>
      <c r="C398" s="8" t="s">
        <v>234</v>
      </c>
      <c r="D398" s="8"/>
      <c r="E398" s="8"/>
      <c r="F398" s="8"/>
      <c r="G398" s="372"/>
      <c r="H398" s="431"/>
      <c r="I398" s="431"/>
      <c r="J398" s="431"/>
      <c r="K398" s="424">
        <f>K667</f>
        <v>-1.5919333841396544</v>
      </c>
      <c r="L398" s="424">
        <f>L667</f>
        <v>-10.69918093760198</v>
      </c>
      <c r="M398" s="424">
        <f>M667</f>
        <v>-40.644609902520614</v>
      </c>
      <c r="N398" s="424">
        <f>N667</f>
        <v>32.270627121804843</v>
      </c>
      <c r="O398" s="424">
        <f>O667</f>
        <v>33.567846287642048</v>
      </c>
    </row>
    <row r="399" spans="1:17">
      <c r="A399" s="42"/>
      <c r="B399" s="141"/>
      <c r="C399" s="8" t="s">
        <v>235</v>
      </c>
      <c r="D399" s="8"/>
      <c r="E399" s="8"/>
      <c r="F399" s="8"/>
      <c r="G399" s="372"/>
      <c r="H399" s="431"/>
      <c r="I399" s="431"/>
      <c r="J399" s="431"/>
      <c r="K399" s="424">
        <f>K590+K602</f>
        <v>-19.77425753703703</v>
      </c>
      <c r="L399" s="424">
        <f>L590+L602</f>
        <v>-37.571089320370362</v>
      </c>
      <c r="M399" s="424">
        <f>M590+M602</f>
        <v>-25.706534798148141</v>
      </c>
      <c r="N399" s="424">
        <f>N590+N602</f>
        <v>-85.029307409259218</v>
      </c>
      <c r="O399" s="424">
        <f>O590+O602</f>
        <v>-79.097030148148136</v>
      </c>
    </row>
    <row r="400" spans="1:17">
      <c r="A400" s="42"/>
      <c r="B400" s="141"/>
      <c r="C400" s="8" t="s">
        <v>236</v>
      </c>
      <c r="D400" s="8"/>
      <c r="E400" s="8"/>
      <c r="F400" s="8"/>
      <c r="G400" s="372"/>
      <c r="H400" s="431"/>
      <c r="I400" s="431"/>
      <c r="J400" s="431"/>
      <c r="K400" s="424">
        <f>K625</f>
        <v>0</v>
      </c>
      <c r="L400" s="424">
        <f>L625</f>
        <v>0</v>
      </c>
      <c r="M400" s="424">
        <f>M625</f>
        <v>0</v>
      </c>
      <c r="N400" s="424">
        <f>N625</f>
        <v>0</v>
      </c>
      <c r="O400" s="424">
        <f>O625</f>
        <v>0</v>
      </c>
    </row>
    <row r="401" spans="1:15">
      <c r="A401" s="42"/>
      <c r="B401" s="141"/>
      <c r="C401" s="8" t="s">
        <v>237</v>
      </c>
      <c r="D401" s="8"/>
      <c r="E401" s="8"/>
      <c r="F401" s="8"/>
      <c r="G401" s="372"/>
      <c r="H401" s="431"/>
      <c r="I401" s="431"/>
      <c r="J401" s="431"/>
      <c r="K401" s="424">
        <f>K634</f>
        <v>0</v>
      </c>
      <c r="L401" s="424">
        <f>L634</f>
        <v>0</v>
      </c>
      <c r="M401" s="424">
        <f>M634</f>
        <v>0</v>
      </c>
      <c r="N401" s="424">
        <f>N634</f>
        <v>0</v>
      </c>
      <c r="O401" s="424">
        <f>O634</f>
        <v>0</v>
      </c>
    </row>
    <row r="402" spans="1:15">
      <c r="A402" s="42"/>
      <c r="B402" s="141"/>
      <c r="C402" s="8" t="s">
        <v>238</v>
      </c>
      <c r="D402" s="8"/>
      <c r="E402" s="8"/>
      <c r="F402" s="8"/>
      <c r="G402" s="433"/>
      <c r="H402" s="434"/>
      <c r="I402" s="434"/>
      <c r="J402" s="434"/>
      <c r="K402" s="424">
        <f>K706</f>
        <v>0</v>
      </c>
      <c r="L402" s="424">
        <f>L706</f>
        <v>0</v>
      </c>
      <c r="M402" s="424">
        <f>M706</f>
        <v>0</v>
      </c>
      <c r="N402" s="424">
        <f>N706</f>
        <v>0</v>
      </c>
      <c r="O402" s="424">
        <f>O706</f>
        <v>0</v>
      </c>
    </row>
    <row r="403" spans="1:15">
      <c r="A403" s="42"/>
      <c r="B403" s="141"/>
      <c r="C403" s="8" t="s">
        <v>239</v>
      </c>
      <c r="D403" s="8"/>
      <c r="E403" s="8"/>
      <c r="F403" s="8"/>
      <c r="G403" s="433"/>
      <c r="H403" s="434"/>
      <c r="I403" s="434"/>
      <c r="J403" s="434"/>
      <c r="K403" s="424">
        <f>-K710</f>
        <v>-12</v>
      </c>
      <c r="L403" s="424">
        <f>-L710</f>
        <v>-12</v>
      </c>
      <c r="M403" s="424">
        <f>-M710</f>
        <v>-12</v>
      </c>
      <c r="N403" s="424">
        <f>-N710</f>
        <v>-12</v>
      </c>
      <c r="O403" s="424">
        <f>-O710</f>
        <v>-12</v>
      </c>
    </row>
    <row r="404" spans="1:15">
      <c r="A404" s="42"/>
      <c r="B404" s="141"/>
      <c r="C404" s="8" t="s">
        <v>240</v>
      </c>
      <c r="D404" s="8"/>
      <c r="E404" s="8"/>
      <c r="F404" s="8"/>
      <c r="G404" s="372"/>
      <c r="H404" s="431"/>
      <c r="I404" s="431"/>
      <c r="J404" s="431"/>
      <c r="K404" s="424">
        <f>K715</f>
        <v>0</v>
      </c>
      <c r="L404" s="424">
        <f>L715</f>
        <v>0</v>
      </c>
      <c r="M404" s="424">
        <f>M715</f>
        <v>0</v>
      </c>
      <c r="N404" s="424">
        <f>N715</f>
        <v>0</v>
      </c>
      <c r="O404" s="424">
        <f>O715</f>
        <v>0</v>
      </c>
    </row>
    <row r="405" spans="1:15">
      <c r="A405" s="42"/>
      <c r="B405" s="141"/>
      <c r="C405" s="8" t="s">
        <v>241</v>
      </c>
      <c r="D405" s="8"/>
      <c r="E405" s="8"/>
      <c r="F405" s="8"/>
      <c r="G405" s="372"/>
      <c r="H405" s="431"/>
      <c r="I405" s="431"/>
      <c r="J405" s="431"/>
      <c r="K405" s="619">
        <f>-K720</f>
        <v>-0.72728007606573508</v>
      </c>
      <c r="L405" s="619">
        <f>-L720</f>
        <v>-1.7674860422565795</v>
      </c>
      <c r="M405" s="619">
        <f>-M720</f>
        <v>-3.9936672978378733</v>
      </c>
      <c r="N405" s="619">
        <f>-N720</f>
        <v>-5.7501477296905765</v>
      </c>
      <c r="O405" s="619">
        <f>-O720</f>
        <v>-8.0839146762339968</v>
      </c>
    </row>
    <row r="406" spans="1:15">
      <c r="A406" s="42"/>
      <c r="B406" s="141"/>
      <c r="C406" s="42" t="s">
        <v>242</v>
      </c>
      <c r="D406" s="8"/>
      <c r="E406" s="8"/>
      <c r="F406" s="8"/>
      <c r="G406" s="372"/>
      <c r="H406" s="431"/>
      <c r="I406" s="431"/>
      <c r="J406" s="431"/>
      <c r="K406" s="375">
        <f>SUM(K398:K405)</f>
        <v>-34.093470997242413</v>
      </c>
      <c r="L406" s="375">
        <f>SUM(L398:L405)</f>
        <v>-62.037756300228921</v>
      </c>
      <c r="M406" s="375">
        <f>SUM(M398:M405)</f>
        <v>-82.344811998506628</v>
      </c>
      <c r="N406" s="375">
        <f>SUM(N398:N405)</f>
        <v>-70.508828017144964</v>
      </c>
      <c r="O406" s="375">
        <f>SUM(O398:O405)</f>
        <v>-65.613098536740083</v>
      </c>
    </row>
    <row r="407" spans="1:15">
      <c r="A407" s="42"/>
      <c r="B407" s="141"/>
      <c r="C407" s="8"/>
      <c r="D407" s="8"/>
      <c r="E407" s="8"/>
      <c r="F407" s="8"/>
      <c r="G407" s="372"/>
      <c r="H407" s="431"/>
      <c r="I407" s="431"/>
      <c r="J407" s="431"/>
      <c r="K407" s="434"/>
      <c r="L407" s="434"/>
      <c r="M407" s="434"/>
      <c r="N407" s="434"/>
      <c r="O407" s="434"/>
    </row>
    <row r="408" spans="1:15">
      <c r="A408" s="42"/>
      <c r="B408" s="8"/>
      <c r="C408" s="306"/>
      <c r="D408" s="8"/>
      <c r="E408" s="8"/>
      <c r="F408" s="8"/>
      <c r="G408" s="372"/>
      <c r="H408" s="431"/>
      <c r="I408" s="431"/>
      <c r="J408" s="431"/>
      <c r="K408" s="434"/>
      <c r="L408" s="434"/>
      <c r="M408" s="434"/>
      <c r="N408" s="434"/>
      <c r="O408" s="434"/>
    </row>
    <row r="409" spans="1:15">
      <c r="A409" s="42"/>
      <c r="B409" s="164" t="s">
        <v>243</v>
      </c>
      <c r="C409" s="435"/>
      <c r="D409" s="121"/>
      <c r="E409" s="121"/>
      <c r="F409" s="121"/>
      <c r="G409" s="436"/>
      <c r="H409" s="437"/>
      <c r="I409" s="437"/>
      <c r="J409" s="437"/>
      <c r="K409" s="438">
        <f>K406+K393+K387</f>
        <v>0</v>
      </c>
      <c r="L409" s="438">
        <f>L406+L393+L387</f>
        <v>0</v>
      </c>
      <c r="M409" s="438">
        <f>M406+M393+M387</f>
        <v>0</v>
      </c>
      <c r="N409" s="438">
        <f>N406+N393+N387</f>
        <v>0</v>
      </c>
      <c r="O409" s="439">
        <f>O406+O393+O387</f>
        <v>0</v>
      </c>
    </row>
    <row r="410" spans="1:15">
      <c r="A410" s="42"/>
      <c r="B410" s="41" t="s">
        <v>244</v>
      </c>
      <c r="C410" s="306"/>
      <c r="D410" s="8"/>
      <c r="E410" s="8"/>
      <c r="F410" s="8"/>
      <c r="G410" s="372"/>
      <c r="H410" s="372"/>
      <c r="I410" s="372"/>
      <c r="J410" s="372"/>
      <c r="K410" s="440">
        <f>J425</f>
        <v>0</v>
      </c>
      <c r="L410" s="440">
        <f>K411</f>
        <v>0</v>
      </c>
      <c r="M410" s="440">
        <f>L411</f>
        <v>0</v>
      </c>
      <c r="N410" s="440">
        <f>M411</f>
        <v>0</v>
      </c>
      <c r="O410" s="441">
        <f>N411</f>
        <v>0</v>
      </c>
    </row>
    <row r="411" spans="1:15">
      <c r="A411" s="42"/>
      <c r="B411" s="442" t="s">
        <v>245</v>
      </c>
      <c r="C411" s="377"/>
      <c r="D411" s="35"/>
      <c r="E411" s="35"/>
      <c r="F411" s="35"/>
      <c r="G411" s="379"/>
      <c r="H411" s="443"/>
      <c r="I411" s="443"/>
      <c r="J411" s="443"/>
      <c r="K411" s="396">
        <f>K410+K409</f>
        <v>0</v>
      </c>
      <c r="L411" s="396">
        <f>L410+L409</f>
        <v>0</v>
      </c>
      <c r="M411" s="396">
        <f>M410+M409</f>
        <v>0</v>
      </c>
      <c r="N411" s="396">
        <f>N410+N409</f>
        <v>0</v>
      </c>
      <c r="O411" s="444">
        <f>O410+O409</f>
        <v>0</v>
      </c>
    </row>
    <row r="412" spans="1:15">
      <c r="A412" s="42"/>
      <c r="B412" s="90"/>
      <c r="C412" s="306"/>
      <c r="D412" s="8"/>
      <c r="E412" s="8"/>
      <c r="F412" s="8"/>
      <c r="G412" s="372"/>
      <c r="H412" s="367"/>
      <c r="I412" s="367"/>
      <c r="J412" s="367"/>
      <c r="K412" s="367"/>
      <c r="L412" s="367"/>
      <c r="M412" s="367"/>
      <c r="N412" s="367"/>
      <c r="O412" s="367"/>
    </row>
    <row r="413" spans="1:15">
      <c r="A413" s="8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</row>
    <row r="414" spans="1: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2.75" customHeight="1">
      <c r="A416" s="8"/>
      <c r="B416" s="8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38" t="str">
        <f>$O$236</f>
        <v>CURRENTLY RUNNING: BASE CASE SCENARIO</v>
      </c>
    </row>
    <row r="417" spans="1:15" ht="22.8" customHeight="1">
      <c r="A417" s="8"/>
      <c r="B417" s="86" t="str">
        <f>$B$3</f>
        <v>Moonbucks Corp.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18.75" customHeight="1">
      <c r="A418" s="8"/>
      <c r="B418" s="293" t="s">
        <v>246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6" customHeight="1" thickBot="1">
      <c r="A419" s="8"/>
      <c r="B419" s="296"/>
      <c r="C419" s="415"/>
      <c r="D419" s="415"/>
      <c r="E419" s="415"/>
      <c r="F419" s="415"/>
      <c r="G419" s="415"/>
      <c r="H419" s="415"/>
      <c r="I419" s="415"/>
      <c r="J419" s="415"/>
      <c r="K419" s="415"/>
      <c r="L419" s="415"/>
      <c r="M419" s="415"/>
      <c r="N419" s="415"/>
      <c r="O419" s="415"/>
    </row>
    <row r="420" spans="1:15" ht="12.75" customHeight="1">
      <c r="A420" s="8"/>
      <c r="B420" s="416" t="s">
        <v>224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90"/>
    </row>
    <row r="421" spans="1:15" ht="13.8">
      <c r="A421" s="8"/>
      <c r="B421" s="8"/>
      <c r="C421" s="8"/>
      <c r="D421" s="8"/>
      <c r="E421" s="8"/>
      <c r="F421" s="8"/>
      <c r="G421" s="8"/>
      <c r="H421" s="445" t="s">
        <v>247</v>
      </c>
      <c r="I421" s="121"/>
      <c r="J421" s="446" t="s">
        <v>248</v>
      </c>
      <c r="K421" s="303" t="s">
        <v>170</v>
      </c>
      <c r="L421" s="113"/>
      <c r="M421" s="113"/>
      <c r="N421" s="113"/>
      <c r="O421" s="113"/>
    </row>
    <row r="422" spans="1:15">
      <c r="A422" s="8"/>
      <c r="B422" s="447"/>
      <c r="C422" s="8"/>
      <c r="D422" s="8"/>
      <c r="E422" s="8"/>
      <c r="F422" s="420"/>
      <c r="G422" s="8"/>
      <c r="H422" s="448" t="s">
        <v>249</v>
      </c>
      <c r="I422" s="449" t="s">
        <v>250</v>
      </c>
      <c r="J422" s="450" t="s">
        <v>251</v>
      </c>
      <c r="K422" s="420">
        <f>K$242</f>
        <v>2022</v>
      </c>
      <c r="L422" s="420">
        <f>L$242</f>
        <v>2023</v>
      </c>
      <c r="M422" s="420">
        <f>M$242</f>
        <v>2024</v>
      </c>
      <c r="N422" s="420">
        <f>N$242</f>
        <v>2025</v>
      </c>
      <c r="O422" s="420">
        <f>O$242</f>
        <v>2026</v>
      </c>
    </row>
    <row r="423" spans="1:15">
      <c r="A423" s="8"/>
      <c r="B423" s="447"/>
      <c r="C423" s="8"/>
      <c r="D423" s="8"/>
      <c r="E423" s="8"/>
      <c r="F423" s="8"/>
      <c r="G423" s="8"/>
      <c r="H423" s="451"/>
      <c r="I423" s="420"/>
      <c r="J423" s="167"/>
      <c r="K423" s="420"/>
      <c r="L423" s="420"/>
      <c r="M423" s="420"/>
      <c r="N423" s="420"/>
      <c r="O423" s="420"/>
    </row>
    <row r="424" spans="1:15">
      <c r="A424" s="8"/>
      <c r="B424" s="42" t="s">
        <v>252</v>
      </c>
      <c r="C424" s="8"/>
      <c r="D424" s="8"/>
      <c r="E424" s="8"/>
      <c r="F424" s="8"/>
      <c r="G424" s="8"/>
      <c r="H424" s="41"/>
      <c r="I424" s="8"/>
      <c r="J424" s="15"/>
      <c r="K424" s="8"/>
      <c r="L424" s="8"/>
      <c r="M424" s="8"/>
      <c r="N424" s="8"/>
      <c r="O424" s="8"/>
    </row>
    <row r="425" spans="1:15">
      <c r="A425" s="8"/>
      <c r="B425" s="8"/>
      <c r="C425" s="8" t="s">
        <v>253</v>
      </c>
      <c r="D425" s="8"/>
      <c r="E425" s="8"/>
      <c r="F425" s="307"/>
      <c r="G425" s="8"/>
      <c r="H425" s="452">
        <v>5</v>
      </c>
      <c r="I425" s="617">
        <f>-F20</f>
        <v>-5</v>
      </c>
      <c r="J425" s="453">
        <f>SUM(H425:I425)</f>
        <v>0</v>
      </c>
      <c r="K425" s="424">
        <f>K411</f>
        <v>0</v>
      </c>
      <c r="L425" s="424">
        <f>L411</f>
        <v>0</v>
      </c>
      <c r="M425" s="424">
        <f>M411</f>
        <v>0</v>
      </c>
      <c r="N425" s="424">
        <f>N411</f>
        <v>0</v>
      </c>
      <c r="O425" s="424">
        <f>O411</f>
        <v>0</v>
      </c>
    </row>
    <row r="426" spans="1:15">
      <c r="A426" s="8"/>
      <c r="B426" s="8"/>
      <c r="C426" s="8" t="s">
        <v>3</v>
      </c>
      <c r="D426" s="8"/>
      <c r="E426" s="8"/>
      <c r="F426" s="307"/>
      <c r="G426" s="8"/>
      <c r="H426" s="452">
        <v>92.2</v>
      </c>
      <c r="I426" s="374"/>
      <c r="J426" s="453">
        <f>SUM(H426:I426)</f>
        <v>92.2</v>
      </c>
      <c r="K426" s="424">
        <f t="shared" ref="K426:O427" si="39">K555</f>
        <v>96.456306147945213</v>
      </c>
      <c r="L426" s="424">
        <f t="shared" si="39"/>
        <v>96.033234831780831</v>
      </c>
      <c r="M426" s="424">
        <f t="shared" si="39"/>
        <v>95.000873084852458</v>
      </c>
      <c r="N426" s="424">
        <f t="shared" si="39"/>
        <v>100.7239127099336</v>
      </c>
      <c r="O426" s="424">
        <f t="shared" si="39"/>
        <v>105.56694246575341</v>
      </c>
    </row>
    <row r="427" spans="1:15">
      <c r="A427" s="8"/>
      <c r="B427" s="8"/>
      <c r="C427" s="8" t="s">
        <v>2</v>
      </c>
      <c r="D427" s="8"/>
      <c r="E427" s="8"/>
      <c r="F427" s="307"/>
      <c r="G427" s="8"/>
      <c r="H427" s="452">
        <v>88.2</v>
      </c>
      <c r="I427" s="374"/>
      <c r="J427" s="453">
        <f>SUM(H427:I427)</f>
        <v>88.2</v>
      </c>
      <c r="K427" s="424">
        <f t="shared" si="39"/>
        <v>94.356534550989366</v>
      </c>
      <c r="L427" s="424">
        <f t="shared" si="39"/>
        <v>94.615539684821925</v>
      </c>
      <c r="M427" s="424">
        <f t="shared" si="39"/>
        <v>92.750627029333003</v>
      </c>
      <c r="N427" s="424">
        <f t="shared" si="39"/>
        <v>97.294004207411092</v>
      </c>
      <c r="O427" s="424">
        <f t="shared" si="39"/>
        <v>99.895995188591314</v>
      </c>
    </row>
    <row r="428" spans="1:15">
      <c r="A428" s="8"/>
      <c r="B428" s="8"/>
      <c r="C428" s="90" t="s">
        <v>49</v>
      </c>
      <c r="D428" s="8"/>
      <c r="E428" s="8"/>
      <c r="F428" s="307"/>
      <c r="G428" s="8"/>
      <c r="H428" s="454">
        <v>1.4</v>
      </c>
      <c r="I428" s="396"/>
      <c r="J428" s="444">
        <f>SUM(H428:I428)</f>
        <v>1.4</v>
      </c>
      <c r="K428" s="396">
        <f>J428</f>
        <v>1.4</v>
      </c>
      <c r="L428" s="396">
        <f>K428</f>
        <v>1.4</v>
      </c>
      <c r="M428" s="396">
        <f>L428</f>
        <v>1.4</v>
      </c>
      <c r="N428" s="396">
        <f>M428</f>
        <v>1.4</v>
      </c>
      <c r="O428" s="396">
        <f>N428</f>
        <v>1.4</v>
      </c>
    </row>
    <row r="429" spans="1:15">
      <c r="A429" s="8"/>
      <c r="B429" s="8"/>
      <c r="C429" s="306" t="s">
        <v>254</v>
      </c>
      <c r="D429" s="8"/>
      <c r="E429" s="8"/>
      <c r="F429" s="328"/>
      <c r="G429" s="8"/>
      <c r="H429" s="455">
        <f t="shared" ref="H429:O429" si="40">SUM(H425:H428)</f>
        <v>186.8</v>
      </c>
      <c r="I429" s="374">
        <f t="shared" si="40"/>
        <v>-5</v>
      </c>
      <c r="J429" s="453">
        <f t="shared" si="40"/>
        <v>181.8</v>
      </c>
      <c r="K429" s="424">
        <f t="shared" si="40"/>
        <v>192.21284069893457</v>
      </c>
      <c r="L429" s="424">
        <f t="shared" si="40"/>
        <v>192.04877451660278</v>
      </c>
      <c r="M429" s="424">
        <f t="shared" si="40"/>
        <v>189.15150011418547</v>
      </c>
      <c r="N429" s="424">
        <f t="shared" si="40"/>
        <v>199.41791691734468</v>
      </c>
      <c r="O429" s="424">
        <f t="shared" si="40"/>
        <v>206.86293765434473</v>
      </c>
    </row>
    <row r="430" spans="1:15">
      <c r="A430" s="8"/>
      <c r="B430" s="8"/>
      <c r="C430" s="8"/>
      <c r="D430" s="8"/>
      <c r="E430" s="8"/>
      <c r="F430" s="367"/>
      <c r="G430" s="8"/>
      <c r="H430" s="456"/>
      <c r="I430" s="457"/>
      <c r="J430" s="458"/>
      <c r="K430" s="459"/>
      <c r="L430" s="459"/>
      <c r="M430" s="459"/>
      <c r="N430" s="459"/>
      <c r="O430" s="459"/>
    </row>
    <row r="431" spans="1:15">
      <c r="A431" s="8"/>
      <c r="B431" s="8"/>
      <c r="C431" s="8" t="s">
        <v>255</v>
      </c>
      <c r="D431" s="8"/>
      <c r="E431" s="8"/>
      <c r="F431" s="307"/>
      <c r="G431" s="8"/>
      <c r="H431" s="452">
        <v>1187.2</v>
      </c>
      <c r="I431" s="374">
        <f>P45</f>
        <v>50</v>
      </c>
      <c r="J431" s="453">
        <f>SUM(H431:I431)</f>
        <v>1237.2</v>
      </c>
      <c r="K431" s="424">
        <f>J431-K391-K383</f>
        <v>1234.1400000000001</v>
      </c>
      <c r="L431" s="424">
        <f>K431-L391-L383</f>
        <v>1232.6000000000001</v>
      </c>
      <c r="M431" s="424">
        <f>L431-M391-M383</f>
        <v>1229.7544</v>
      </c>
      <c r="N431" s="424">
        <f>M431-N391-N383</f>
        <v>1225.89696</v>
      </c>
      <c r="O431" s="424">
        <f>N431-O391-O383</f>
        <v>1250.4023840000002</v>
      </c>
    </row>
    <row r="432" spans="1:15">
      <c r="A432" s="8"/>
      <c r="B432" s="8"/>
      <c r="C432" s="8" t="s">
        <v>256</v>
      </c>
      <c r="D432" s="8"/>
      <c r="E432" s="8"/>
      <c r="F432" s="307"/>
      <c r="G432" s="8"/>
      <c r="H432" s="452">
        <v>11</v>
      </c>
      <c r="I432" s="374">
        <f>-H432+P46</f>
        <v>324.24060296296238</v>
      </c>
      <c r="J432" s="453">
        <f>SUM(H432:I432)</f>
        <v>335.24060296296238</v>
      </c>
      <c r="K432" s="424">
        <f t="shared" ref="K432:O433" si="41">J432</f>
        <v>335.24060296296238</v>
      </c>
      <c r="L432" s="424">
        <f t="shared" si="41"/>
        <v>335.24060296296238</v>
      </c>
      <c r="M432" s="424">
        <f t="shared" si="41"/>
        <v>335.24060296296238</v>
      </c>
      <c r="N432" s="424">
        <f t="shared" si="41"/>
        <v>335.24060296296238</v>
      </c>
      <c r="O432" s="424">
        <f t="shared" si="41"/>
        <v>335.24060296296238</v>
      </c>
    </row>
    <row r="433" spans="1:15">
      <c r="A433" s="8"/>
      <c r="B433" s="8"/>
      <c r="C433" s="90" t="s">
        <v>49</v>
      </c>
      <c r="D433" s="8"/>
      <c r="E433" s="8"/>
      <c r="F433" s="307"/>
      <c r="G433" s="8"/>
      <c r="H433" s="452">
        <v>0</v>
      </c>
      <c r="I433" s="374"/>
      <c r="J433" s="453">
        <f>SUM(H433:I433)</f>
        <v>0</v>
      </c>
      <c r="K433" s="424">
        <f t="shared" si="41"/>
        <v>0</v>
      </c>
      <c r="L433" s="424">
        <f t="shared" si="41"/>
        <v>0</v>
      </c>
      <c r="M433" s="424">
        <f t="shared" si="41"/>
        <v>0</v>
      </c>
      <c r="N433" s="424">
        <f t="shared" si="41"/>
        <v>0</v>
      </c>
      <c r="O433" s="424">
        <f t="shared" si="41"/>
        <v>0</v>
      </c>
    </row>
    <row r="434" spans="1:15" ht="13.8" thickBot="1">
      <c r="A434" s="8"/>
      <c r="B434" s="8"/>
      <c r="C434" s="42" t="s">
        <v>257</v>
      </c>
      <c r="D434" s="8"/>
      <c r="E434" s="8"/>
      <c r="F434" s="328"/>
      <c r="G434" s="8"/>
      <c r="H434" s="460">
        <f t="shared" ref="H434:O434" si="42">SUM(H429:H433)</f>
        <v>1385</v>
      </c>
      <c r="I434" s="461">
        <f t="shared" si="42"/>
        <v>369.24060296296238</v>
      </c>
      <c r="J434" s="462">
        <f t="shared" si="42"/>
        <v>1754.2406029629624</v>
      </c>
      <c r="K434" s="461">
        <f t="shared" si="42"/>
        <v>1761.593443661897</v>
      </c>
      <c r="L434" s="461">
        <f t="shared" si="42"/>
        <v>1759.8893774795654</v>
      </c>
      <c r="M434" s="461">
        <f t="shared" si="42"/>
        <v>1754.1465030771478</v>
      </c>
      <c r="N434" s="461">
        <f t="shared" si="42"/>
        <v>1760.5554798803071</v>
      </c>
      <c r="O434" s="461">
        <f t="shared" si="42"/>
        <v>1792.5059246173073</v>
      </c>
    </row>
    <row r="435" spans="1:15" ht="13.8" thickTop="1">
      <c r="A435" s="8"/>
      <c r="B435" s="8"/>
      <c r="C435" s="8"/>
      <c r="D435" s="8"/>
      <c r="E435" s="8"/>
      <c r="F435" s="367"/>
      <c r="G435" s="8"/>
      <c r="H435" s="463"/>
      <c r="I435" s="464"/>
      <c r="J435" s="465"/>
      <c r="K435" s="423"/>
      <c r="L435" s="423"/>
      <c r="M435" s="423"/>
      <c r="N435" s="423"/>
      <c r="O435" s="423"/>
    </row>
    <row r="436" spans="1:15">
      <c r="A436" s="8"/>
      <c r="B436" s="8"/>
      <c r="C436" s="8"/>
      <c r="D436" s="8"/>
      <c r="E436" s="8"/>
      <c r="F436" s="367"/>
      <c r="G436" s="8"/>
      <c r="H436" s="463"/>
      <c r="I436" s="464"/>
      <c r="J436" s="465"/>
      <c r="K436" s="423"/>
      <c r="L436" s="423"/>
      <c r="M436" s="423"/>
      <c r="N436" s="423"/>
      <c r="O436" s="423"/>
    </row>
    <row r="437" spans="1:15">
      <c r="A437" s="8"/>
      <c r="B437" s="306" t="s">
        <v>258</v>
      </c>
      <c r="C437" s="8"/>
      <c r="D437" s="8"/>
      <c r="E437" s="8"/>
      <c r="F437" s="367"/>
      <c r="G437" s="8"/>
      <c r="H437" s="463"/>
      <c r="I437" s="464"/>
      <c r="J437" s="465"/>
      <c r="K437" s="423"/>
      <c r="L437" s="423"/>
      <c r="M437" s="423"/>
      <c r="N437" s="423"/>
      <c r="O437" s="423"/>
    </row>
    <row r="438" spans="1:15">
      <c r="A438" s="8"/>
      <c r="B438" s="8"/>
      <c r="C438" s="90" t="s">
        <v>259</v>
      </c>
      <c r="D438" s="8"/>
      <c r="E438" s="8"/>
      <c r="F438" s="307"/>
      <c r="G438" s="8"/>
      <c r="H438" s="452">
        <v>0</v>
      </c>
      <c r="I438" s="374">
        <f>-H438+F21</f>
        <v>79.097030148148121</v>
      </c>
      <c r="J438" s="453">
        <f>SUM(H438:I438)</f>
        <v>79.097030148148121</v>
      </c>
      <c r="K438" s="424">
        <f>K668</f>
        <v>77.505096764008471</v>
      </c>
      <c r="L438" s="424">
        <f>L668</f>
        <v>66.805915826406491</v>
      </c>
      <c r="M438" s="424">
        <f>M668</f>
        <v>26.161305923885877</v>
      </c>
      <c r="N438" s="424">
        <f>N668</f>
        <v>58.43193304569072</v>
      </c>
      <c r="O438" s="424">
        <f>O668</f>
        <v>91.999779333332768</v>
      </c>
    </row>
    <row r="439" spans="1:15">
      <c r="A439" s="8"/>
      <c r="B439" s="8"/>
      <c r="C439" s="90" t="s">
        <v>1</v>
      </c>
      <c r="D439" s="8"/>
      <c r="E439" s="8"/>
      <c r="F439" s="307"/>
      <c r="G439" s="8"/>
      <c r="H439" s="452">
        <v>60.2</v>
      </c>
      <c r="I439" s="374"/>
      <c r="J439" s="453">
        <f>SUM(H439:I439)</f>
        <v>60.2</v>
      </c>
      <c r="K439" s="374">
        <f>K557</f>
        <v>63.690660821917824</v>
      </c>
      <c r="L439" s="374">
        <f>L557</f>
        <v>69.716713451974044</v>
      </c>
      <c r="M439" s="374">
        <f>M557</f>
        <v>77.292189191110836</v>
      </c>
      <c r="N439" s="374">
        <f>N557</f>
        <v>81.078336839509248</v>
      </c>
      <c r="O439" s="374">
        <f>O557</f>
        <v>83.246662657159419</v>
      </c>
    </row>
    <row r="440" spans="1:15">
      <c r="A440" s="8"/>
      <c r="B440" s="8"/>
      <c r="C440" s="90" t="s">
        <v>49</v>
      </c>
      <c r="D440" s="8"/>
      <c r="E440" s="8"/>
      <c r="F440" s="307"/>
      <c r="G440" s="8"/>
      <c r="H440" s="454">
        <v>27.5</v>
      </c>
      <c r="I440" s="396"/>
      <c r="J440" s="444">
        <f>SUM(H440:I440)</f>
        <v>27.5</v>
      </c>
      <c r="K440" s="396">
        <f>J440</f>
        <v>27.5</v>
      </c>
      <c r="L440" s="396">
        <f>K440</f>
        <v>27.5</v>
      </c>
      <c r="M440" s="396">
        <f>L440</f>
        <v>27.5</v>
      </c>
      <c r="N440" s="396">
        <f>M440</f>
        <v>27.5</v>
      </c>
      <c r="O440" s="396">
        <f>N440</f>
        <v>27.5</v>
      </c>
    </row>
    <row r="441" spans="1:15">
      <c r="A441" s="8"/>
      <c r="B441" s="8"/>
      <c r="C441" s="306" t="s">
        <v>260</v>
      </c>
      <c r="D441" s="8"/>
      <c r="E441" s="8"/>
      <c r="F441" s="328"/>
      <c r="G441" s="8"/>
      <c r="H441" s="455">
        <f t="shared" ref="H441:O441" si="43">SUM(H438:H440)</f>
        <v>87.7</v>
      </c>
      <c r="I441" s="374">
        <f t="shared" si="43"/>
        <v>79.097030148148121</v>
      </c>
      <c r="J441" s="453">
        <f t="shared" si="43"/>
        <v>166.79703014814811</v>
      </c>
      <c r="K441" s="374">
        <f t="shared" si="43"/>
        <v>168.69575758592629</v>
      </c>
      <c r="L441" s="374">
        <f t="shared" si="43"/>
        <v>164.02262927838052</v>
      </c>
      <c r="M441" s="374">
        <f t="shared" si="43"/>
        <v>130.95349511499671</v>
      </c>
      <c r="N441" s="374">
        <f t="shared" si="43"/>
        <v>167.01026988519996</v>
      </c>
      <c r="O441" s="374">
        <f t="shared" si="43"/>
        <v>202.7464419904922</v>
      </c>
    </row>
    <row r="442" spans="1:15">
      <c r="A442" s="8"/>
      <c r="B442" s="8"/>
      <c r="C442" s="8"/>
      <c r="D442" s="8"/>
      <c r="E442" s="8"/>
      <c r="F442" s="367"/>
      <c r="G442" s="8"/>
      <c r="H442" s="463"/>
      <c r="I442" s="464"/>
      <c r="J442" s="465"/>
      <c r="K442" s="423"/>
      <c r="L442" s="423"/>
      <c r="M442" s="424"/>
      <c r="N442" s="423"/>
      <c r="O442" s="423"/>
    </row>
    <row r="443" spans="1:15">
      <c r="A443" s="8"/>
      <c r="B443" s="8"/>
      <c r="C443" s="8" t="s">
        <v>213</v>
      </c>
      <c r="D443" s="8"/>
      <c r="E443" s="8"/>
      <c r="F443" s="307"/>
      <c r="G443" s="8"/>
      <c r="H443" s="452">
        <v>84.600000000000009</v>
      </c>
      <c r="I443" s="374"/>
      <c r="J443" s="453">
        <f>SUM(H443:I443)</f>
        <v>84.600000000000009</v>
      </c>
      <c r="K443" s="424">
        <f>J443+K520</f>
        <v>94.977661948046276</v>
      </c>
      <c r="L443" s="424">
        <f>K443+L520</f>
        <v>110.95643294481246</v>
      </c>
      <c r="M443" s="424">
        <f>L443+M520</f>
        <v>119.02874749999998</v>
      </c>
      <c r="N443" s="424">
        <f>M443+N520</f>
        <v>122.65892737499998</v>
      </c>
      <c r="O443" s="424">
        <f>N443+O520</f>
        <v>125.21499806874996</v>
      </c>
    </row>
    <row r="444" spans="1:15">
      <c r="A444" s="8"/>
      <c r="B444" s="8"/>
      <c r="C444" s="90" t="s">
        <v>36</v>
      </c>
      <c r="D444" s="8"/>
      <c r="E444" s="8"/>
      <c r="F444" s="307"/>
      <c r="G444" s="8"/>
      <c r="H444" s="452">
        <v>380</v>
      </c>
      <c r="I444" s="374">
        <f>-H444+F22</f>
        <v>-142.70890955555564</v>
      </c>
      <c r="J444" s="453">
        <f>SUM(H444:I444)</f>
        <v>237.29109044444436</v>
      </c>
      <c r="K444" s="374">
        <f>K591</f>
        <v>219.49425866111105</v>
      </c>
      <c r="L444" s="374">
        <f>L591</f>
        <v>183.90059509444438</v>
      </c>
      <c r="M444" s="374">
        <f>M591</f>
        <v>160.17148604999994</v>
      </c>
      <c r="N444" s="374">
        <f>N591</f>
        <v>77.119604394444423</v>
      </c>
      <c r="O444" s="374">
        <f>O591</f>
        <v>0</v>
      </c>
    </row>
    <row r="445" spans="1:15">
      <c r="A445" s="8"/>
      <c r="B445" s="8"/>
      <c r="C445" s="90" t="s">
        <v>37</v>
      </c>
      <c r="D445" s="8"/>
      <c r="E445" s="8"/>
      <c r="F445" s="307"/>
      <c r="G445" s="8"/>
      <c r="H445" s="452">
        <v>0</v>
      </c>
      <c r="I445" s="374">
        <f>-H445+F23</f>
        <v>197.7425753703703</v>
      </c>
      <c r="J445" s="453">
        <f>SUM(H445:I445)</f>
        <v>197.7425753703703</v>
      </c>
      <c r="K445" s="374">
        <f>K603</f>
        <v>195.7651496166666</v>
      </c>
      <c r="L445" s="374">
        <f>L603</f>
        <v>193.78772386296291</v>
      </c>
      <c r="M445" s="374">
        <f>M603</f>
        <v>191.81029810925921</v>
      </c>
      <c r="N445" s="374">
        <f>N603</f>
        <v>189.83287235555551</v>
      </c>
      <c r="O445" s="374">
        <f>O603</f>
        <v>187.85544660185181</v>
      </c>
    </row>
    <row r="446" spans="1:15">
      <c r="A446" s="8"/>
      <c r="B446" s="8"/>
      <c r="C446" s="90" t="s">
        <v>38</v>
      </c>
      <c r="D446" s="8"/>
      <c r="E446" s="8"/>
      <c r="F446" s="307"/>
      <c r="G446" s="8"/>
      <c r="H446" s="452">
        <v>0</v>
      </c>
      <c r="I446" s="374">
        <f>-H446+F24</f>
        <v>237.29109044444436</v>
      </c>
      <c r="J446" s="453">
        <f>SUM(H446:I446)</f>
        <v>237.29109044444436</v>
      </c>
      <c r="K446" s="374">
        <f>K626</f>
        <v>237.29109044444436</v>
      </c>
      <c r="L446" s="374">
        <f>L626</f>
        <v>237.29109044444436</v>
      </c>
      <c r="M446" s="374">
        <f>M626</f>
        <v>237.29109044444436</v>
      </c>
      <c r="N446" s="374">
        <f>N626</f>
        <v>237.29109044444436</v>
      </c>
      <c r="O446" s="374">
        <f>O626</f>
        <v>237.29109044444436</v>
      </c>
    </row>
    <row r="447" spans="1:15">
      <c r="A447" s="8"/>
      <c r="B447" s="8"/>
      <c r="C447" s="90" t="s">
        <v>153</v>
      </c>
      <c r="D447" s="8"/>
      <c r="E447" s="8"/>
      <c r="F447" s="307"/>
      <c r="G447" s="8"/>
      <c r="H447" s="454">
        <v>0</v>
      </c>
      <c r="I447" s="396">
        <f>-H447+F25</f>
        <v>197.7425753703703</v>
      </c>
      <c r="J447" s="444">
        <f>SUM(H447:I447)</f>
        <v>197.7425753703703</v>
      </c>
      <c r="K447" s="466">
        <f>K636</f>
        <v>206.04776353592587</v>
      </c>
      <c r="L447" s="396">
        <f>L636</f>
        <v>214.70176960443476</v>
      </c>
      <c r="M447" s="396">
        <f>M636</f>
        <v>223.71924392782103</v>
      </c>
      <c r="N447" s="396">
        <f>N636</f>
        <v>223.71924392782103</v>
      </c>
      <c r="O447" s="396">
        <f>O636</f>
        <v>223.71924392782103</v>
      </c>
    </row>
    <row r="448" spans="1:15">
      <c r="A448" s="8"/>
      <c r="B448" s="8"/>
      <c r="C448" s="141" t="s">
        <v>261</v>
      </c>
      <c r="D448" s="8"/>
      <c r="E448" s="8"/>
      <c r="F448" s="328"/>
      <c r="G448" s="8"/>
      <c r="H448" s="455">
        <f t="shared" ref="H448:O448" si="44">SUM(H443:H447)</f>
        <v>464.6</v>
      </c>
      <c r="I448" s="374">
        <f t="shared" si="44"/>
        <v>490.06733162962939</v>
      </c>
      <c r="J448" s="453">
        <f t="shared" si="44"/>
        <v>954.66733162962942</v>
      </c>
      <c r="K448" s="424">
        <f t="shared" si="44"/>
        <v>953.57592420619426</v>
      </c>
      <c r="L448" s="424">
        <f t="shared" si="44"/>
        <v>940.63761195109896</v>
      </c>
      <c r="M448" s="424">
        <f t="shared" si="44"/>
        <v>932.02086603152452</v>
      </c>
      <c r="N448" s="424">
        <f t="shared" si="44"/>
        <v>850.62173849726537</v>
      </c>
      <c r="O448" s="424">
        <f t="shared" si="44"/>
        <v>774.08077904286711</v>
      </c>
    </row>
    <row r="449" spans="1:15">
      <c r="A449" s="8"/>
      <c r="B449" s="8"/>
      <c r="C449" s="306"/>
      <c r="D449" s="8"/>
      <c r="E449" s="8"/>
      <c r="F449" s="367"/>
      <c r="G449" s="8"/>
      <c r="H449" s="463"/>
      <c r="I449" s="464"/>
      <c r="J449" s="465"/>
      <c r="K449" s="423"/>
      <c r="L449" s="423"/>
      <c r="M449" s="423"/>
      <c r="N449" s="423"/>
      <c r="O449" s="423"/>
    </row>
    <row r="450" spans="1:15">
      <c r="A450" s="8"/>
      <c r="B450" s="8"/>
      <c r="C450" s="141" t="s">
        <v>262</v>
      </c>
      <c r="D450" s="8"/>
      <c r="E450" s="8"/>
      <c r="F450" s="328"/>
      <c r="G450" s="8"/>
      <c r="H450" s="467">
        <f t="shared" ref="H450:O450" si="45">H448+H441</f>
        <v>552.30000000000007</v>
      </c>
      <c r="I450" s="393">
        <f t="shared" si="45"/>
        <v>569.16436177777746</v>
      </c>
      <c r="J450" s="468">
        <f t="shared" si="45"/>
        <v>1121.4643617777774</v>
      </c>
      <c r="K450" s="393">
        <f t="shared" si="45"/>
        <v>1122.2716817921205</v>
      </c>
      <c r="L450" s="393">
        <f t="shared" si="45"/>
        <v>1104.6602412294794</v>
      </c>
      <c r="M450" s="393">
        <f t="shared" si="45"/>
        <v>1062.9743611465212</v>
      </c>
      <c r="N450" s="393">
        <f t="shared" si="45"/>
        <v>1017.6320083824653</v>
      </c>
      <c r="O450" s="393">
        <f t="shared" si="45"/>
        <v>976.82722103335936</v>
      </c>
    </row>
    <row r="451" spans="1:15">
      <c r="A451" s="8"/>
      <c r="B451" s="8"/>
      <c r="C451" s="8"/>
      <c r="D451" s="8"/>
      <c r="E451" s="8"/>
      <c r="F451" s="367"/>
      <c r="G451" s="8"/>
      <c r="H451" s="463"/>
      <c r="I451" s="464"/>
      <c r="J451" s="465"/>
      <c r="K451" s="423"/>
      <c r="L451" s="423"/>
      <c r="M451" s="423"/>
      <c r="N451" s="423"/>
      <c r="O451" s="423"/>
    </row>
    <row r="452" spans="1:15">
      <c r="A452" s="8"/>
      <c r="B452" s="8"/>
      <c r="C452" s="8" t="s">
        <v>50</v>
      </c>
      <c r="D452" s="8"/>
      <c r="E452" s="8"/>
      <c r="F452" s="307"/>
      <c r="G452" s="8"/>
      <c r="H452" s="452">
        <v>0</v>
      </c>
      <c r="I452" s="374">
        <f>-H452+F29</f>
        <v>100</v>
      </c>
      <c r="J452" s="453">
        <f>SUM(H452:I452)</f>
        <v>100</v>
      </c>
      <c r="K452" s="424">
        <f>K707</f>
        <v>100</v>
      </c>
      <c r="L452" s="424">
        <f>L707</f>
        <v>100</v>
      </c>
      <c r="M452" s="424">
        <f>M707</f>
        <v>100</v>
      </c>
      <c r="N452" s="424">
        <f>N707</f>
        <v>100</v>
      </c>
      <c r="O452" s="424">
        <f>O707</f>
        <v>100</v>
      </c>
    </row>
    <row r="453" spans="1:15">
      <c r="A453" s="8"/>
      <c r="B453" s="8"/>
      <c r="C453" s="8" t="s">
        <v>263</v>
      </c>
      <c r="D453" s="8"/>
      <c r="E453" s="8"/>
      <c r="F453" s="307"/>
      <c r="G453" s="8"/>
      <c r="H453" s="452">
        <v>396.8</v>
      </c>
      <c r="I453" s="374">
        <f>-H453+SUM(F30:F31)</f>
        <v>161.48427893070351</v>
      </c>
      <c r="J453" s="453">
        <f>SUM(H453:I453)</f>
        <v>558.28427893070352</v>
      </c>
      <c r="K453" s="424">
        <f>K716</f>
        <v>558.28427893070352</v>
      </c>
      <c r="L453" s="424">
        <f>L716</f>
        <v>558.28427893070352</v>
      </c>
      <c r="M453" s="424">
        <f>M716</f>
        <v>558.28427893070352</v>
      </c>
      <c r="N453" s="424">
        <f>N716</f>
        <v>558.28427893070352</v>
      </c>
      <c r="O453" s="424">
        <f>O716</f>
        <v>558.28427893070352</v>
      </c>
    </row>
    <row r="454" spans="1:15">
      <c r="A454" s="8"/>
      <c r="B454" s="8"/>
      <c r="C454" s="8" t="s">
        <v>264</v>
      </c>
      <c r="D454" s="8"/>
      <c r="E454" s="8"/>
      <c r="F454" s="307"/>
      <c r="G454" s="8"/>
      <c r="H454" s="454">
        <v>435.9</v>
      </c>
      <c r="I454" s="396">
        <f>-H454-P29</f>
        <v>-461.40803774551847</v>
      </c>
      <c r="J454" s="444">
        <f>SUM(H454:I454)</f>
        <v>-25.508037745518493</v>
      </c>
      <c r="K454" s="396">
        <f>K728</f>
        <v>-18.962517060926878</v>
      </c>
      <c r="L454" s="396">
        <f>L728</f>
        <v>-3.0551426806176645</v>
      </c>
      <c r="M454" s="396">
        <f>M728</f>
        <v>32.887862999923193</v>
      </c>
      <c r="N454" s="396">
        <f>N728</f>
        <v>84.639192567138366</v>
      </c>
      <c r="O454" s="396">
        <f>O728</f>
        <v>157.39442465324433</v>
      </c>
    </row>
    <row r="455" spans="1:15">
      <c r="A455" s="8"/>
      <c r="B455" s="8"/>
      <c r="C455" s="306" t="s">
        <v>265</v>
      </c>
      <c r="D455" s="8"/>
      <c r="E455" s="8"/>
      <c r="F455" s="328"/>
      <c r="G455" s="8"/>
      <c r="H455" s="467">
        <f t="shared" ref="H455:O455" si="46">SUM(H452:H454)</f>
        <v>832.7</v>
      </c>
      <c r="I455" s="393">
        <f t="shared" si="46"/>
        <v>-199.92375881481496</v>
      </c>
      <c r="J455" s="468">
        <f t="shared" si="46"/>
        <v>632.77624118518497</v>
      </c>
      <c r="K455" s="469">
        <f t="shared" si="46"/>
        <v>639.32176186977665</v>
      </c>
      <c r="L455" s="469">
        <f t="shared" si="46"/>
        <v>655.22913625008584</v>
      </c>
      <c r="M455" s="469">
        <f t="shared" si="46"/>
        <v>691.17214193062671</v>
      </c>
      <c r="N455" s="469">
        <f t="shared" si="46"/>
        <v>742.92347149784189</v>
      </c>
      <c r="O455" s="469">
        <f t="shared" si="46"/>
        <v>815.67870358394782</v>
      </c>
    </row>
    <row r="456" spans="1:15">
      <c r="A456" s="8"/>
      <c r="B456" s="8"/>
      <c r="C456" s="8"/>
      <c r="D456" s="8"/>
      <c r="E456" s="8"/>
      <c r="F456" s="367"/>
      <c r="G456" s="8"/>
      <c r="H456" s="463"/>
      <c r="I456" s="464"/>
      <c r="J456" s="465"/>
      <c r="K456" s="423"/>
      <c r="L456" s="423"/>
      <c r="M456" s="423"/>
      <c r="N456" s="423"/>
      <c r="O456" s="423"/>
    </row>
    <row r="457" spans="1:15" ht="13.8" thickBot="1">
      <c r="A457" s="8"/>
      <c r="B457" s="306" t="s">
        <v>266</v>
      </c>
      <c r="C457" s="8"/>
      <c r="D457" s="8"/>
      <c r="E457" s="8"/>
      <c r="F457" s="328"/>
      <c r="G457" s="8"/>
      <c r="H457" s="460">
        <f t="shared" ref="H457:O457" si="47">H455+H450</f>
        <v>1385</v>
      </c>
      <c r="I457" s="461">
        <f t="shared" si="47"/>
        <v>369.2406029629625</v>
      </c>
      <c r="J457" s="462">
        <f t="shared" si="47"/>
        <v>1754.2406029629624</v>
      </c>
      <c r="K457" s="461">
        <f t="shared" si="47"/>
        <v>1761.5934436618973</v>
      </c>
      <c r="L457" s="461">
        <f t="shared" si="47"/>
        <v>1759.8893774795652</v>
      </c>
      <c r="M457" s="461">
        <f t="shared" si="47"/>
        <v>1754.1465030771478</v>
      </c>
      <c r="N457" s="461">
        <f t="shared" si="47"/>
        <v>1760.5554798803073</v>
      </c>
      <c r="O457" s="461">
        <f t="shared" si="47"/>
        <v>1792.5059246173073</v>
      </c>
    </row>
    <row r="458" spans="1:15" ht="13.8" thickTop="1">
      <c r="A458" s="8"/>
      <c r="B458" s="8"/>
      <c r="C458" s="8"/>
      <c r="D458" s="8"/>
      <c r="E458" s="8"/>
      <c r="F458" s="312"/>
      <c r="G458" s="8"/>
      <c r="H458" s="470"/>
      <c r="I458" s="310"/>
      <c r="J458" s="471"/>
      <c r="K458" s="472"/>
      <c r="L458" s="472"/>
      <c r="M458" s="472"/>
      <c r="N458" s="472"/>
      <c r="O458" s="472"/>
    </row>
    <row r="459" spans="1:15">
      <c r="A459" s="8"/>
      <c r="B459" s="417"/>
      <c r="C459" s="8"/>
      <c r="D459" s="184" t="s">
        <v>267</v>
      </c>
      <c r="E459" s="8"/>
      <c r="F459" s="473"/>
      <c r="G459" s="8"/>
      <c r="H459" s="474">
        <f t="shared" ref="H459:O459" si="48">H434-H457</f>
        <v>0</v>
      </c>
      <c r="I459" s="475">
        <f t="shared" si="48"/>
        <v>0</v>
      </c>
      <c r="J459" s="476">
        <f t="shared" si="48"/>
        <v>0</v>
      </c>
      <c r="K459" s="477">
        <f t="shared" si="48"/>
        <v>0</v>
      </c>
      <c r="L459" s="477">
        <f t="shared" si="48"/>
        <v>0</v>
      </c>
      <c r="M459" s="477">
        <f t="shared" si="48"/>
        <v>0</v>
      </c>
      <c r="N459" s="477">
        <f t="shared" si="48"/>
        <v>0</v>
      </c>
      <c r="O459" s="477">
        <f t="shared" si="48"/>
        <v>0</v>
      </c>
    </row>
    <row r="460" spans="1:15">
      <c r="A460" s="8"/>
      <c r="B460" s="478"/>
      <c r="C460" s="35"/>
      <c r="D460" s="35"/>
      <c r="E460" s="35"/>
      <c r="F460" s="35"/>
      <c r="G460" s="35"/>
      <c r="H460" s="35"/>
      <c r="I460" s="35"/>
      <c r="J460" s="35"/>
      <c r="K460" s="479"/>
      <c r="L460" s="479"/>
      <c r="M460" s="479"/>
      <c r="N460" s="479"/>
      <c r="O460" s="479"/>
    </row>
    <row r="461" spans="1: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spans="1: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2.75" customHeight="1">
      <c r="A463" s="8"/>
      <c r="B463" s="480"/>
      <c r="C463" s="481"/>
      <c r="D463" s="481"/>
      <c r="E463" s="482"/>
      <c r="F463" s="482"/>
      <c r="G463" s="483"/>
      <c r="H463" s="483"/>
      <c r="I463" s="483"/>
      <c r="J463" s="483"/>
      <c r="K463" s="483"/>
      <c r="L463" s="483"/>
      <c r="M463" s="483"/>
      <c r="N463" s="483"/>
      <c r="O463" s="338" t="str">
        <f>$O$236</f>
        <v>CURRENTLY RUNNING: BASE CASE SCENARIO</v>
      </c>
    </row>
    <row r="464" spans="1:15" ht="22.8" customHeight="1">
      <c r="A464" s="8"/>
      <c r="B464" s="86" t="str">
        <f>$B$3</f>
        <v>Moonbucks Corp.</v>
      </c>
      <c r="C464" s="481"/>
      <c r="D464" s="481"/>
      <c r="E464" s="482"/>
      <c r="F464" s="482"/>
      <c r="G464" s="483"/>
      <c r="H464" s="483"/>
      <c r="I464" s="483"/>
      <c r="J464" s="483"/>
      <c r="K464" s="483"/>
      <c r="L464" s="483"/>
      <c r="M464" s="483"/>
      <c r="N464" s="483"/>
      <c r="O464" s="483"/>
    </row>
    <row r="465" spans="1:15" ht="18.75" customHeight="1">
      <c r="A465" s="8"/>
      <c r="B465" s="293" t="s">
        <v>268</v>
      </c>
      <c r="C465" s="293"/>
      <c r="D465" s="293"/>
      <c r="E465" s="484"/>
      <c r="F465" s="484"/>
      <c r="G465" s="293"/>
      <c r="H465" s="293"/>
      <c r="I465" s="293"/>
      <c r="J465" s="293"/>
      <c r="K465" s="293"/>
      <c r="L465" s="293"/>
      <c r="M465" s="293"/>
      <c r="N465" s="293"/>
      <c r="O465" s="293"/>
    </row>
    <row r="466" spans="1:15" ht="6" customHeight="1" thickBot="1">
      <c r="A466" s="8"/>
      <c r="B466" s="7"/>
      <c r="C466" s="7"/>
      <c r="D466" s="7"/>
      <c r="E466" s="485"/>
      <c r="F466" s="485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2.75" customHeight="1">
      <c r="A467" s="8"/>
      <c r="B467" s="416" t="s">
        <v>224</v>
      </c>
      <c r="C467" s="417"/>
      <c r="D467" s="8"/>
      <c r="E467" s="301"/>
      <c r="F467" s="301"/>
      <c r="G467" s="417"/>
      <c r="H467" s="8"/>
      <c r="I467" s="8"/>
      <c r="J467" s="8"/>
      <c r="K467" s="8"/>
      <c r="L467" s="8"/>
      <c r="M467" s="8"/>
      <c r="N467" s="8"/>
      <c r="O467" s="8"/>
    </row>
    <row r="468" spans="1:15" ht="13.8">
      <c r="A468" s="8"/>
      <c r="B468" s="8"/>
      <c r="C468" s="8"/>
      <c r="D468" s="8"/>
      <c r="E468" s="301"/>
      <c r="F468" s="301"/>
      <c r="G468" s="8"/>
      <c r="H468" s="8"/>
      <c r="I468" s="8"/>
      <c r="J468" s="8"/>
      <c r="K468" s="303" t="s">
        <v>170</v>
      </c>
      <c r="L468" s="486"/>
      <c r="M468" s="486"/>
      <c r="N468" s="486"/>
      <c r="O468" s="486"/>
    </row>
    <row r="469" spans="1:15">
      <c r="A469" s="8"/>
      <c r="B469" s="8"/>
      <c r="C469" s="42"/>
      <c r="D469" s="42"/>
      <c r="E469" s="487"/>
      <c r="F469" s="488"/>
      <c r="G469" s="343"/>
      <c r="H469" s="304">
        <f t="shared" ref="H469:O469" si="49">H$242</f>
        <v>2019</v>
      </c>
      <c r="I469" s="304">
        <f t="shared" si="49"/>
        <v>2020</v>
      </c>
      <c r="J469" s="304">
        <f t="shared" si="49"/>
        <v>2021</v>
      </c>
      <c r="K469" s="489">
        <f t="shared" si="49"/>
        <v>2022</v>
      </c>
      <c r="L469" s="489">
        <f t="shared" si="49"/>
        <v>2023</v>
      </c>
      <c r="M469" s="489">
        <f t="shared" si="49"/>
        <v>2024</v>
      </c>
      <c r="N469" s="489">
        <f t="shared" si="49"/>
        <v>2025</v>
      </c>
      <c r="O469" s="489">
        <f t="shared" si="49"/>
        <v>2026</v>
      </c>
    </row>
    <row r="470" spans="1:15">
      <c r="A470" s="8"/>
      <c r="B470" s="8"/>
      <c r="C470" s="8"/>
      <c r="D470" s="8"/>
      <c r="E470" s="8"/>
      <c r="F470" s="301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3.35" customHeight="1">
      <c r="A471" s="490"/>
      <c r="B471" s="491" t="s">
        <v>269</v>
      </c>
      <c r="C471" s="121"/>
      <c r="D471" s="121"/>
      <c r="E471" s="121"/>
      <c r="F471" s="492">
        <f>N71</f>
        <v>20</v>
      </c>
      <c r="G471" s="8"/>
      <c r="H471" s="8"/>
      <c r="I471" s="8"/>
      <c r="J471" s="8"/>
      <c r="K471" s="493"/>
      <c r="L471" s="494"/>
      <c r="M471" s="494"/>
      <c r="N471" s="494"/>
      <c r="O471" s="8"/>
    </row>
    <row r="472" spans="1:15" ht="13.35" customHeight="1">
      <c r="A472" s="490"/>
      <c r="B472" s="495" t="s">
        <v>270</v>
      </c>
      <c r="C472" s="35"/>
      <c r="D472" s="496"/>
      <c r="E472" s="497"/>
      <c r="F472" s="498">
        <f>N72</f>
        <v>25</v>
      </c>
      <c r="G472" s="8"/>
      <c r="H472" s="8"/>
      <c r="I472" s="8"/>
      <c r="J472" s="8"/>
      <c r="K472" s="493"/>
      <c r="L472" s="494"/>
      <c r="M472" s="494"/>
      <c r="N472" s="494"/>
      <c r="O472" s="8"/>
    </row>
    <row r="473" spans="1:15" ht="12.75" customHeight="1">
      <c r="A473" s="490"/>
      <c r="B473" s="8"/>
      <c r="C473" s="8"/>
      <c r="D473" s="8"/>
      <c r="E473" s="8"/>
      <c r="F473" s="8"/>
      <c r="G473" s="8"/>
      <c r="H473" s="8"/>
      <c r="I473" s="8"/>
      <c r="J473" s="8"/>
      <c r="K473" s="499"/>
      <c r="L473" s="8"/>
      <c r="M473" s="8"/>
      <c r="N473" s="8"/>
      <c r="O473" s="8"/>
    </row>
    <row r="474" spans="1:15">
      <c r="A474" s="490"/>
      <c r="B474" s="8"/>
      <c r="C474" s="8"/>
      <c r="D474" s="8" t="s">
        <v>271</v>
      </c>
      <c r="E474" s="8"/>
      <c r="F474" s="8"/>
      <c r="G474" s="8"/>
      <c r="H474" s="500">
        <v>54.8</v>
      </c>
      <c r="I474" s="500">
        <v>55.2</v>
      </c>
      <c r="J474" s="500">
        <v>56.4</v>
      </c>
      <c r="K474" s="81">
        <f>J431/F471</f>
        <v>61.86</v>
      </c>
      <c r="L474" s="81">
        <f>K474</f>
        <v>61.86</v>
      </c>
      <c r="M474" s="81">
        <f>L474</f>
        <v>61.86</v>
      </c>
      <c r="N474" s="81">
        <f>M474</f>
        <v>61.86</v>
      </c>
      <c r="O474" s="81">
        <f>N474</f>
        <v>61.86</v>
      </c>
    </row>
    <row r="475" spans="1:15">
      <c r="A475" s="490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3.8">
      <c r="A476" s="8"/>
      <c r="B476" s="8"/>
      <c r="C476" s="8"/>
      <c r="D476" s="501" t="s">
        <v>230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spans="1:15">
      <c r="A477" s="8"/>
      <c r="B477" s="8"/>
      <c r="C477" s="8"/>
      <c r="D477" s="160">
        <f>K469</f>
        <v>2022</v>
      </c>
      <c r="E477" s="502">
        <f>-HLOOKUP(D477,$K$380:$O$391,12,FALSE)</f>
        <v>60</v>
      </c>
      <c r="F477" s="503"/>
      <c r="G477" s="8"/>
      <c r="H477" s="504"/>
      <c r="I477" s="504"/>
      <c r="J477" s="504"/>
      <c r="K477" s="398">
        <f>IF(K$469=$D477,$E477/$F$472/2,MIN($E477/$F$472,$E477-SUM($J477:J477)))</f>
        <v>1.2</v>
      </c>
      <c r="L477" s="398">
        <f>IF(L$469=$D477,$E477/$F$472/2,MIN($E477/$F$472,$E477-SUM($J477:K477)))</f>
        <v>2.4</v>
      </c>
      <c r="M477" s="398">
        <f>IF(M$469=$D477,$E477/$F$472/2,MIN($E477/$F$472,$E477-SUM($J477:L477)))</f>
        <v>2.4</v>
      </c>
      <c r="N477" s="398">
        <f>IF(N$469=$D477,$E477/$F$472/2,MIN($E477/$F$472,$E477-SUM($J477:M477)))</f>
        <v>2.4</v>
      </c>
      <c r="O477" s="398">
        <f>IF(O$469=$D477,$E477/$F$472/2,MIN($E477/$F$472,$E477-SUM($J477:N477)))</f>
        <v>2.4</v>
      </c>
    </row>
    <row r="478" spans="1:15">
      <c r="A478" s="8"/>
      <c r="B478" s="8"/>
      <c r="C478" s="8"/>
      <c r="D478" s="160">
        <f>D477+1</f>
        <v>2023</v>
      </c>
      <c r="E478" s="505">
        <f>-HLOOKUP(D478,$K$380:$O$391,12,FALSE)</f>
        <v>64</v>
      </c>
      <c r="F478" s="503"/>
      <c r="G478" s="8"/>
      <c r="H478" s="504"/>
      <c r="I478" s="504"/>
      <c r="J478" s="504"/>
      <c r="K478" s="398"/>
      <c r="L478" s="398">
        <f>IF(L$469=$D478,$E478/$F$472/2,MIN($E478/$F$472,$E478-SUM($J478:K478)))</f>
        <v>1.28</v>
      </c>
      <c r="M478" s="398">
        <f>IF(M$469=$D478,$E478/$F$472/2,MIN($E478/$F$472,$E478-SUM($J478:L478)))</f>
        <v>2.56</v>
      </c>
      <c r="N478" s="398">
        <f>IF(N$469=$D478,$E478/$F$472/2,MIN($E478/$F$472,$E478-SUM($J478:M478)))</f>
        <v>2.56</v>
      </c>
      <c r="O478" s="398">
        <f>IF(O$469=$D478,$E478/$F$472/2,MIN($E478/$F$472,$E478-SUM($J478:N478)))</f>
        <v>2.56</v>
      </c>
    </row>
    <row r="479" spans="1:15">
      <c r="A479" s="8"/>
      <c r="B479" s="8"/>
      <c r="C479" s="8"/>
      <c r="D479" s="160">
        <f>D478+1</f>
        <v>2024</v>
      </c>
      <c r="E479" s="505">
        <f>-HLOOKUP(D479,$K$380:$O$391,12,FALSE)</f>
        <v>65.28</v>
      </c>
      <c r="F479" s="503"/>
      <c r="G479" s="8"/>
      <c r="H479" s="494"/>
      <c r="I479" s="494"/>
      <c r="J479" s="494"/>
      <c r="K479" s="398"/>
      <c r="L479" s="398"/>
      <c r="M479" s="398">
        <f>IF(M$469=$D479,$E479/$F$472/2,MIN($E479/$F$472,$E479-SUM($J479:L479)))</f>
        <v>1.3056000000000001</v>
      </c>
      <c r="N479" s="398">
        <f>IF(N$469=$D479,$E479/$F$472/2,MIN($E479/$F$472,$E479-SUM($J479:M479)))</f>
        <v>2.6112000000000002</v>
      </c>
      <c r="O479" s="398">
        <f>IF(O$469=$D479,$E479/$F$472/2,MIN($E479/$F$472,$E479-SUM($J479:N479)))</f>
        <v>2.6112000000000002</v>
      </c>
    </row>
    <row r="480" spans="1:15">
      <c r="A480" s="8"/>
      <c r="B480" s="8"/>
      <c r="C480" s="8"/>
      <c r="D480" s="160">
        <f>D479+1</f>
        <v>2025</v>
      </c>
      <c r="E480" s="505">
        <f>-HLOOKUP(D480,$K$380:$O$391,12,FALSE)</f>
        <v>66.911999999999992</v>
      </c>
      <c r="F480" s="503"/>
      <c r="G480" s="8"/>
      <c r="H480" s="494"/>
      <c r="I480" s="494"/>
      <c r="J480" s="494"/>
      <c r="K480" s="398"/>
      <c r="L480" s="398"/>
      <c r="M480" s="398"/>
      <c r="N480" s="398">
        <f>IF(N$469=$D480,$E480/$F$472/2,MIN($E480/$F$472,$E480-SUM($J480:M480)))</f>
        <v>1.3382399999999999</v>
      </c>
      <c r="O480" s="398">
        <f>IF(O$469=$D480,$E480/$F$472/2,MIN($E480/$F$472,$E480-SUM($J480:N480)))</f>
        <v>2.6764799999999997</v>
      </c>
    </row>
    <row r="481" spans="1:15">
      <c r="A481" s="8"/>
      <c r="B481" s="8"/>
      <c r="C481" s="8"/>
      <c r="D481" s="160">
        <f>D480+1</f>
        <v>2026</v>
      </c>
      <c r="E481" s="506">
        <f>-HLOOKUP(D481,$K$380:$O$391,12,FALSE)</f>
        <v>98.584799999999987</v>
      </c>
      <c r="F481" s="503"/>
      <c r="G481" s="8"/>
      <c r="H481" s="494"/>
      <c r="I481" s="494"/>
      <c r="J481" s="494"/>
      <c r="K481" s="398"/>
      <c r="L481" s="398"/>
      <c r="M481" s="398"/>
      <c r="N481" s="398"/>
      <c r="O481" s="398">
        <f>IF(O$469=$D481,$E481/$F$472/2,MIN($E481/$F$472,$E481-SUM($J481:N481)))</f>
        <v>1.9716959999999997</v>
      </c>
    </row>
    <row r="482" spans="1:15">
      <c r="A482" s="8"/>
      <c r="B482" s="8"/>
      <c r="C482" s="8"/>
      <c r="D482" s="8"/>
      <c r="E482" s="8"/>
      <c r="F482" s="301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3.8" thickBot="1">
      <c r="A483" s="8"/>
      <c r="B483" s="8"/>
      <c r="C483" s="8"/>
      <c r="D483" s="507" t="s">
        <v>272</v>
      </c>
      <c r="E483" s="8"/>
      <c r="F483" s="301"/>
      <c r="G483" s="8"/>
      <c r="H483" s="508">
        <f t="shared" ref="H483:O483" si="50">SUM(H474:H481)</f>
        <v>54.8</v>
      </c>
      <c r="I483" s="508">
        <f t="shared" si="50"/>
        <v>55.2</v>
      </c>
      <c r="J483" s="508">
        <f t="shared" si="50"/>
        <v>56.4</v>
      </c>
      <c r="K483" s="620">
        <f>SUM(K474:K481)</f>
        <v>63.06</v>
      </c>
      <c r="L483" s="620">
        <f t="shared" si="50"/>
        <v>65.540000000000006</v>
      </c>
      <c r="M483" s="620">
        <f t="shared" si="50"/>
        <v>68.125600000000006</v>
      </c>
      <c r="N483" s="620">
        <f t="shared" si="50"/>
        <v>70.769440000000003</v>
      </c>
      <c r="O483" s="620">
        <f t="shared" si="50"/>
        <v>74.079375999999996</v>
      </c>
    </row>
    <row r="484" spans="1:15" ht="13.8" thickTop="1">
      <c r="A484" s="8"/>
      <c r="B484" s="8"/>
      <c r="C484" s="8"/>
      <c r="D484" s="507"/>
      <c r="E484" s="8"/>
      <c r="F484" s="301"/>
      <c r="G484" s="8"/>
      <c r="H484" s="509"/>
      <c r="I484" s="509"/>
      <c r="J484" s="509"/>
      <c r="K484" s="67"/>
      <c r="L484" s="67"/>
      <c r="M484" s="67"/>
      <c r="N484" s="67"/>
      <c r="O484" s="67"/>
    </row>
    <row r="485" spans="1:15">
      <c r="A485" s="8"/>
      <c r="B485" s="35"/>
      <c r="C485" s="35"/>
      <c r="D485" s="35"/>
      <c r="E485" s="35"/>
      <c r="F485" s="336"/>
      <c r="G485" s="35"/>
      <c r="H485" s="443"/>
      <c r="I485" s="443"/>
      <c r="J485" s="443"/>
      <c r="K485" s="443"/>
      <c r="L485" s="443"/>
      <c r="M485" s="443"/>
      <c r="N485" s="443"/>
      <c r="O485" s="35"/>
    </row>
    <row r="486" spans="1: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spans="1: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2.75" customHeight="1">
      <c r="A488" s="8"/>
      <c r="B488" s="8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38" t="str">
        <f>$O$236</f>
        <v>CURRENTLY RUNNING: BASE CASE SCENARIO</v>
      </c>
    </row>
    <row r="489" spans="1:15" ht="22.8" customHeight="1">
      <c r="A489" s="8"/>
      <c r="B489" s="86" t="str">
        <f>$B$3</f>
        <v>Moonbucks Corp.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8.75" customHeight="1">
      <c r="A490" s="8"/>
      <c r="B490" s="293" t="s">
        <v>273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6" customHeight="1" thickBot="1">
      <c r="A491" s="8"/>
      <c r="B491" s="297"/>
      <c r="C491" s="297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</row>
    <row r="492" spans="1:15" ht="12.75" customHeight="1">
      <c r="A492" s="8"/>
      <c r="B492" s="416" t="s">
        <v>224</v>
      </c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3.8">
      <c r="A493" s="8"/>
      <c r="B493" s="8"/>
      <c r="C493" s="8"/>
      <c r="D493" s="8"/>
      <c r="E493" s="8"/>
      <c r="F493" s="8"/>
      <c r="G493" s="8"/>
      <c r="H493" s="510"/>
      <c r="I493" s="510"/>
      <c r="J493" s="510"/>
      <c r="K493" s="303" t="s">
        <v>170</v>
      </c>
      <c r="L493" s="113"/>
      <c r="M493" s="113"/>
      <c r="N493" s="113"/>
      <c r="O493" s="113"/>
    </row>
    <row r="494" spans="1:15" ht="13.8">
      <c r="A494" s="8"/>
      <c r="B494" s="511"/>
      <c r="C494" s="512" t="s">
        <v>274</v>
      </c>
      <c r="D494" s="513"/>
      <c r="E494" s="514">
        <f>N64</f>
        <v>0.35</v>
      </c>
      <c r="F494" s="8"/>
      <c r="G494" s="8"/>
      <c r="H494" s="343"/>
      <c r="I494" s="343"/>
      <c r="J494" s="343"/>
      <c r="K494" s="420">
        <f>K$242</f>
        <v>2022</v>
      </c>
      <c r="L494" s="420">
        <f>L$242</f>
        <v>2023</v>
      </c>
      <c r="M494" s="420">
        <f>M$242</f>
        <v>2024</v>
      </c>
      <c r="N494" s="420">
        <f>N$242</f>
        <v>2025</v>
      </c>
      <c r="O494" s="420">
        <f>O$242</f>
        <v>2026</v>
      </c>
    </row>
    <row r="495" spans="1: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>
      <c r="A496" s="8"/>
      <c r="B496" s="8"/>
      <c r="C496" s="306" t="s">
        <v>275</v>
      </c>
      <c r="D496" s="8"/>
      <c r="E496" s="8"/>
      <c r="F496" s="8"/>
      <c r="G496" s="515" t="s">
        <v>276</v>
      </c>
      <c r="H496" s="504"/>
      <c r="I496" s="504"/>
      <c r="J496" s="504"/>
      <c r="K496" s="67">
        <f>K354</f>
        <v>29.650462708703614</v>
      </c>
      <c r="L496" s="67">
        <f>L354</f>
        <v>45.653631419331987</v>
      </c>
      <c r="M496" s="67">
        <f>M354</f>
        <v>79.902573812890353</v>
      </c>
      <c r="N496" s="67">
        <f>N354</f>
        <v>106.92534968754732</v>
      </c>
      <c r="O496" s="67">
        <f>O354</f>
        <v>142.82945655744609</v>
      </c>
    </row>
    <row r="497" spans="1:15" ht="6" customHeight="1">
      <c r="A497" s="8"/>
      <c r="B497" s="8"/>
      <c r="C497" s="8"/>
      <c r="D497" s="8"/>
      <c r="E497" s="516"/>
      <c r="F497" s="516"/>
      <c r="G497" s="517"/>
      <c r="H497" s="517"/>
      <c r="I497" s="517"/>
      <c r="J497" s="517"/>
      <c r="K497" s="494"/>
      <c r="L497" s="494"/>
      <c r="M497" s="494"/>
      <c r="N497" s="494"/>
      <c r="O497" s="494"/>
    </row>
    <row r="498" spans="1:15">
      <c r="A498" s="8"/>
      <c r="B498" s="8"/>
      <c r="C498" s="8"/>
      <c r="D498" s="8" t="s">
        <v>277</v>
      </c>
      <c r="E498" s="516"/>
      <c r="F498" s="516"/>
      <c r="G498" s="517"/>
      <c r="H498" s="504"/>
      <c r="I498" s="504"/>
      <c r="J498" s="504"/>
      <c r="K498" s="398">
        <f>K347</f>
        <v>63.06</v>
      </c>
      <c r="L498" s="398">
        <f>L347</f>
        <v>65.540000000000006</v>
      </c>
      <c r="M498" s="398">
        <f>M347</f>
        <v>68.125600000000006</v>
      </c>
      <c r="N498" s="398">
        <f>N347</f>
        <v>70.769440000000003</v>
      </c>
      <c r="O498" s="398">
        <f>O347</f>
        <v>74.079375999999996</v>
      </c>
    </row>
    <row r="499" spans="1:15">
      <c r="A499" s="8"/>
      <c r="B499" s="8"/>
      <c r="C499" s="8"/>
      <c r="D499" s="8" t="s">
        <v>278</v>
      </c>
      <c r="E499" s="516"/>
      <c r="F499" s="516"/>
      <c r="G499" s="517"/>
      <c r="H499" s="504"/>
      <c r="I499" s="504"/>
      <c r="J499" s="504"/>
      <c r="K499" s="518">
        <f>K530</f>
        <v>91.61999999999999</v>
      </c>
      <c r="L499" s="518">
        <f>L530</f>
        <v>87.176999999999992</v>
      </c>
      <c r="M499" s="518">
        <f>M530</f>
        <v>83.796449999999979</v>
      </c>
      <c r="N499" s="518">
        <f>N530</f>
        <v>81.141382499999978</v>
      </c>
      <c r="O499" s="518">
        <f>O530</f>
        <v>81.382435124999986</v>
      </c>
    </row>
    <row r="500" spans="1:15">
      <c r="A500" s="8"/>
      <c r="B500" s="8"/>
      <c r="C500" s="8"/>
      <c r="D500" s="42" t="s">
        <v>279</v>
      </c>
      <c r="E500" s="519"/>
      <c r="F500" s="519"/>
      <c r="G500" s="520"/>
      <c r="H500" s="521"/>
      <c r="I500" s="521"/>
      <c r="J500" s="521"/>
      <c r="K500" s="522">
        <f>K496+K498-K499</f>
        <v>1.090462708703626</v>
      </c>
      <c r="L500" s="522">
        <f>L496+L498-L499</f>
        <v>24.016631419332001</v>
      </c>
      <c r="M500" s="522">
        <f>M496+M498-M499</f>
        <v>64.231723812890394</v>
      </c>
      <c r="N500" s="522">
        <f>N496+N498-N499</f>
        <v>96.553407187547336</v>
      </c>
      <c r="O500" s="522">
        <f>O496+O498-O499</f>
        <v>135.52639743244612</v>
      </c>
    </row>
    <row r="501" spans="1:15">
      <c r="A501" s="8"/>
      <c r="B501" s="8"/>
      <c r="C501" s="8"/>
      <c r="D501" s="8"/>
      <c r="E501" s="516"/>
      <c r="F501" s="516"/>
      <c r="G501" s="517"/>
      <c r="H501" s="517"/>
      <c r="I501" s="517"/>
      <c r="J501" s="517"/>
      <c r="K501" s="494"/>
      <c r="L501" s="494"/>
      <c r="M501" s="494"/>
      <c r="N501" s="494"/>
      <c r="O501" s="494"/>
    </row>
    <row r="502" spans="1:15">
      <c r="A502" s="8"/>
      <c r="B502" s="8"/>
      <c r="C502" s="42" t="s">
        <v>280</v>
      </c>
      <c r="D502" s="8"/>
      <c r="E502" s="516"/>
      <c r="F502" s="516"/>
      <c r="G502" s="517"/>
      <c r="H502" s="517"/>
      <c r="I502" s="517"/>
      <c r="J502" s="517"/>
      <c r="K502" s="494"/>
      <c r="L502" s="494"/>
      <c r="M502" s="494"/>
      <c r="N502" s="494"/>
      <c r="O502" s="494"/>
    </row>
    <row r="503" spans="1:15">
      <c r="A503" s="8"/>
      <c r="B503" s="8"/>
      <c r="C503" s="8"/>
      <c r="D503" s="94" t="s">
        <v>281</v>
      </c>
      <c r="E503" s="516"/>
      <c r="F503" s="516"/>
      <c r="G503" s="517"/>
      <c r="H503" s="517"/>
      <c r="I503" s="517"/>
      <c r="J503" s="517"/>
      <c r="K503" s="398">
        <f>N66</f>
        <v>32.5</v>
      </c>
      <c r="L503" s="398">
        <f>K503-K504</f>
        <v>31.409537291296374</v>
      </c>
      <c r="M503" s="398">
        <f>L503-L504</f>
        <v>7.3929058719643734</v>
      </c>
      <c r="N503" s="398">
        <f>M503-M504</f>
        <v>0</v>
      </c>
      <c r="O503" s="398">
        <f>N503-N504</f>
        <v>0</v>
      </c>
    </row>
    <row r="504" spans="1:15">
      <c r="A504" s="8"/>
      <c r="B504" s="8"/>
      <c r="C504" s="8"/>
      <c r="D504" s="90" t="s">
        <v>282</v>
      </c>
      <c r="E504" s="516"/>
      <c r="F504" s="516"/>
      <c r="G504" s="517"/>
      <c r="H504" s="504"/>
      <c r="I504" s="504"/>
      <c r="J504" s="504"/>
      <c r="K504" s="518">
        <f>IF(K500&lt;0,0,MIN(K503,K500))</f>
        <v>1.090462708703626</v>
      </c>
      <c r="L504" s="518">
        <f>IF(L500&lt;0,0,MIN(L503,L500))</f>
        <v>24.016631419332001</v>
      </c>
      <c r="M504" s="518">
        <f>IF(M500&lt;0,0,MIN(M503,M500))</f>
        <v>7.3929058719643734</v>
      </c>
      <c r="N504" s="518">
        <f>IF(N500&lt;0,0,MIN(N503,N500))</f>
        <v>0</v>
      </c>
      <c r="O504" s="518">
        <f>IF(O500&lt;0,0,MIN(O503,O500))</f>
        <v>0</v>
      </c>
    </row>
    <row r="505" spans="1:15">
      <c r="A505" s="8"/>
      <c r="B505" s="8"/>
      <c r="C505" s="8"/>
      <c r="D505" s="306" t="s">
        <v>283</v>
      </c>
      <c r="E505" s="519"/>
      <c r="F505" s="519"/>
      <c r="G505" s="520"/>
      <c r="H505" s="521"/>
      <c r="I505" s="521"/>
      <c r="J505" s="521"/>
      <c r="K505" s="522">
        <f>K500-K504</f>
        <v>0</v>
      </c>
      <c r="L505" s="522">
        <f>L500-L504</f>
        <v>0</v>
      </c>
      <c r="M505" s="522">
        <f>M500-M504</f>
        <v>56.83881794092602</v>
      </c>
      <c r="N505" s="522">
        <f>N500-N504</f>
        <v>96.553407187547336</v>
      </c>
      <c r="O505" s="522">
        <f>O500-O504</f>
        <v>135.52639743244612</v>
      </c>
    </row>
    <row r="506" spans="1:15">
      <c r="A506" s="8"/>
      <c r="B506" s="8"/>
      <c r="C506" s="8"/>
      <c r="D506" s="8"/>
      <c r="E506" s="516"/>
      <c r="F506" s="516"/>
      <c r="G506" s="517"/>
      <c r="H506" s="517"/>
      <c r="I506" s="517"/>
      <c r="J506" s="517"/>
      <c r="K506" s="494"/>
      <c r="L506" s="494"/>
      <c r="M506" s="494"/>
      <c r="N506" s="494"/>
      <c r="O506" s="494"/>
    </row>
    <row r="507" spans="1:15">
      <c r="A507" s="8"/>
      <c r="B507" s="8"/>
      <c r="C507" s="8"/>
      <c r="D507" s="94" t="s">
        <v>284</v>
      </c>
      <c r="E507" s="516"/>
      <c r="F507" s="516"/>
      <c r="G507" s="517"/>
      <c r="H507" s="517"/>
      <c r="I507" s="517"/>
      <c r="J507" s="517"/>
      <c r="K507" s="398">
        <f>J509</f>
        <v>0</v>
      </c>
      <c r="L507" s="398">
        <f>K509</f>
        <v>0</v>
      </c>
      <c r="M507" s="398">
        <f>L509</f>
        <v>0</v>
      </c>
      <c r="N507" s="398">
        <f>M509</f>
        <v>0</v>
      </c>
      <c r="O507" s="398">
        <f>N509</f>
        <v>0</v>
      </c>
    </row>
    <row r="508" spans="1:15">
      <c r="A508" s="8"/>
      <c r="B508" s="8"/>
      <c r="C508" s="8"/>
      <c r="D508" s="94" t="s">
        <v>285</v>
      </c>
      <c r="E508" s="516"/>
      <c r="F508" s="516"/>
      <c r="G508" s="517"/>
      <c r="H508" s="504"/>
      <c r="I508" s="504"/>
      <c r="J508" s="504"/>
      <c r="K508" s="518">
        <f>MIN(K507,K505)</f>
        <v>0</v>
      </c>
      <c r="L508" s="518">
        <f>MIN(L507,L505)</f>
        <v>0</v>
      </c>
      <c r="M508" s="518">
        <f>MIN(M507,M505)</f>
        <v>0</v>
      </c>
      <c r="N508" s="518">
        <f>MIN(N507,N505)</f>
        <v>0</v>
      </c>
      <c r="O508" s="518">
        <f>MIN(O507,O505)</f>
        <v>0</v>
      </c>
    </row>
    <row r="509" spans="1:15">
      <c r="A509" s="8"/>
      <c r="B509" s="8"/>
      <c r="C509" s="8"/>
      <c r="D509" s="94" t="s">
        <v>286</v>
      </c>
      <c r="E509" s="516"/>
      <c r="F509" s="516"/>
      <c r="G509" s="517"/>
      <c r="H509" s="504"/>
      <c r="I509" s="504"/>
      <c r="J509" s="504"/>
      <c r="K509" s="398">
        <f>K507-K508</f>
        <v>0</v>
      </c>
      <c r="L509" s="398">
        <f>L507-L508</f>
        <v>0</v>
      </c>
      <c r="M509" s="398">
        <f>M507-M508</f>
        <v>0</v>
      </c>
      <c r="N509" s="398">
        <f>N507-N508</f>
        <v>0</v>
      </c>
      <c r="O509" s="398">
        <f>O507-O508</f>
        <v>0</v>
      </c>
    </row>
    <row r="510" spans="1:15" ht="6" customHeight="1">
      <c r="A510" s="8"/>
      <c r="B510" s="8"/>
      <c r="C510" s="8"/>
      <c r="D510" s="94"/>
      <c r="E510" s="516"/>
      <c r="F510" s="516"/>
      <c r="G510" s="517"/>
      <c r="H510" s="504"/>
      <c r="I510" s="504"/>
      <c r="J510" s="504"/>
      <c r="K510" s="398"/>
      <c r="L510" s="398"/>
      <c r="M510" s="398"/>
      <c r="N510" s="398"/>
      <c r="O510" s="398"/>
    </row>
    <row r="511" spans="1:15">
      <c r="A511" s="8"/>
      <c r="B511" s="8"/>
      <c r="C511" s="8"/>
      <c r="D511" s="94" t="s">
        <v>287</v>
      </c>
      <c r="E511" s="516"/>
      <c r="F511" s="516"/>
      <c r="G511" s="517"/>
      <c r="H511" s="504"/>
      <c r="I511" s="504"/>
      <c r="J511" s="504"/>
      <c r="K511" s="518">
        <f>IF(K504&lt;0,K503,(K503-K504))</f>
        <v>31.409537291296374</v>
      </c>
      <c r="L511" s="518">
        <f>IF(L504&lt;0,L503,(L503-L504))</f>
        <v>7.3929058719643734</v>
      </c>
      <c r="M511" s="518">
        <f>IF(M504&lt;0,M503,(M503-M504))</f>
        <v>0</v>
      </c>
      <c r="N511" s="518">
        <f>IF(N504&lt;0,N503,(N503-N504))</f>
        <v>0</v>
      </c>
      <c r="O511" s="518">
        <f>IF(O504&lt;0,O503,(O503-O504))</f>
        <v>0</v>
      </c>
    </row>
    <row r="512" spans="1:15">
      <c r="A512" s="8"/>
      <c r="B512" s="8"/>
      <c r="C512" s="8"/>
      <c r="D512" s="306" t="s">
        <v>288</v>
      </c>
      <c r="E512" s="519"/>
      <c r="F512" s="519"/>
      <c r="G512" s="520"/>
      <c r="H512" s="521"/>
      <c r="I512" s="521"/>
      <c r="J512" s="521"/>
      <c r="K512" s="522">
        <f>K511+K509</f>
        <v>31.409537291296374</v>
      </c>
      <c r="L512" s="522">
        <f>L511+L509</f>
        <v>7.3929058719643734</v>
      </c>
      <c r="M512" s="522">
        <f>M511+M509</f>
        <v>0</v>
      </c>
      <c r="N512" s="522">
        <f>N511+N509</f>
        <v>0</v>
      </c>
      <c r="O512" s="522">
        <f>O511+O509</f>
        <v>0</v>
      </c>
    </row>
    <row r="513" spans="1:15">
      <c r="A513" s="8"/>
      <c r="B513" s="8"/>
      <c r="C513" s="8"/>
      <c r="D513" s="8"/>
      <c r="E513" s="516"/>
      <c r="F513" s="516"/>
      <c r="G513" s="517"/>
      <c r="H513" s="517"/>
      <c r="I513" s="517"/>
      <c r="J513" s="517"/>
      <c r="K513" s="494"/>
      <c r="L513" s="494"/>
      <c r="M513" s="494"/>
      <c r="N513" s="494"/>
      <c r="O513" s="494"/>
    </row>
    <row r="514" spans="1:15">
      <c r="A514" s="8"/>
      <c r="B514" s="8"/>
      <c r="C514" s="8"/>
      <c r="D514" s="306" t="s">
        <v>289</v>
      </c>
      <c r="E514" s="8"/>
      <c r="F514" s="516"/>
      <c r="G514" s="515" t="s">
        <v>290</v>
      </c>
      <c r="H514" s="521"/>
      <c r="I514" s="521"/>
      <c r="J514" s="521"/>
      <c r="K514" s="67">
        <f>K505-K508</f>
        <v>0</v>
      </c>
      <c r="L514" s="67">
        <f>L505-L508</f>
        <v>0</v>
      </c>
      <c r="M514" s="67">
        <f>M505-M508</f>
        <v>56.83881794092602</v>
      </c>
      <c r="N514" s="67">
        <f>N505-N508</f>
        <v>96.553407187547336</v>
      </c>
      <c r="O514" s="67">
        <f>O505-O508</f>
        <v>135.52639743244612</v>
      </c>
    </row>
    <row r="515" spans="1:15">
      <c r="A515" s="8"/>
      <c r="B515" s="8"/>
      <c r="C515" s="8"/>
      <c r="D515" s="8"/>
      <c r="E515" s="42"/>
      <c r="F515" s="8"/>
      <c r="G515" s="8"/>
      <c r="H515" s="504"/>
      <c r="I515" s="504"/>
      <c r="J515" s="504"/>
      <c r="K515" s="494"/>
      <c r="L515" s="494"/>
      <c r="M515" s="494"/>
      <c r="N515" s="494"/>
      <c r="O515" s="494"/>
    </row>
    <row r="516" spans="1:15">
      <c r="A516" s="8"/>
      <c r="B516" s="8"/>
      <c r="C516" s="8"/>
      <c r="D516" s="90" t="str">
        <f>CONCATENATE("Accounting Taxes (",$E$494*100,"% of A)")</f>
        <v>Accounting Taxes (35% of A)</v>
      </c>
      <c r="E516" s="516"/>
      <c r="F516" s="517"/>
      <c r="G516" s="517"/>
      <c r="H516" s="504"/>
      <c r="I516" s="504"/>
      <c r="J516" s="504"/>
      <c r="K516" s="398">
        <f>$E$494*K496</f>
        <v>10.377661948046264</v>
      </c>
      <c r="L516" s="398">
        <f>$E$494*L496</f>
        <v>15.978770996766194</v>
      </c>
      <c r="M516" s="398">
        <f>$E$494*M496</f>
        <v>27.965900834511622</v>
      </c>
      <c r="N516" s="398">
        <f>$E$494*N496</f>
        <v>37.423872390641563</v>
      </c>
      <c r="O516" s="398">
        <f>$E$494*O496</f>
        <v>49.990309795106128</v>
      </c>
    </row>
    <row r="517" spans="1:15">
      <c r="A517" s="8"/>
      <c r="B517" s="8"/>
      <c r="C517" s="8"/>
      <c r="D517" s="8"/>
      <c r="E517" s="8"/>
      <c r="F517" s="523"/>
      <c r="G517" s="8"/>
      <c r="H517" s="504"/>
      <c r="I517" s="504"/>
      <c r="J517" s="504"/>
      <c r="K517" s="494"/>
      <c r="L517" s="494"/>
      <c r="M517" s="494"/>
      <c r="N517" s="494"/>
      <c r="O517" s="494"/>
    </row>
    <row r="518" spans="1:15">
      <c r="A518" s="8"/>
      <c r="B518" s="8"/>
      <c r="C518" s="8"/>
      <c r="D518" s="401" t="s">
        <v>291</v>
      </c>
      <c r="E518" s="524"/>
      <c r="F518" s="525"/>
      <c r="G518" s="525"/>
      <c r="H518" s="525"/>
      <c r="I518" s="525"/>
      <c r="J518" s="525"/>
      <c r="K518" s="526"/>
      <c r="L518" s="526"/>
      <c r="M518" s="526"/>
      <c r="N518" s="526"/>
      <c r="O518" s="527"/>
    </row>
    <row r="519" spans="1:15">
      <c r="A519" s="8"/>
      <c r="B519" s="8"/>
      <c r="C519" s="8"/>
      <c r="D519" s="153" t="str">
        <f>CONCATENATE("Current Tax (",$E$494*100,"% of B)")</f>
        <v>Current Tax (35% of B)</v>
      </c>
      <c r="E519" s="516"/>
      <c r="F519" s="517"/>
      <c r="G519" s="520"/>
      <c r="H519" s="504"/>
      <c r="I519" s="504"/>
      <c r="J519" s="504"/>
      <c r="K519" s="398">
        <f>$E$494*K514</f>
        <v>0</v>
      </c>
      <c r="L519" s="398">
        <f>$E$494*L514</f>
        <v>0</v>
      </c>
      <c r="M519" s="398">
        <f>$E$494*M514</f>
        <v>19.893586279324104</v>
      </c>
      <c r="N519" s="398">
        <f>$E$494*N514</f>
        <v>33.793692515641567</v>
      </c>
      <c r="O519" s="528">
        <f>$E$494*O514</f>
        <v>47.434239101356141</v>
      </c>
    </row>
    <row r="520" spans="1:15">
      <c r="A520" s="8"/>
      <c r="B520" s="8"/>
      <c r="C520" s="8"/>
      <c r="D520" s="41" t="s">
        <v>292</v>
      </c>
      <c r="E520" s="516"/>
      <c r="F520" s="517"/>
      <c r="G520" s="517"/>
      <c r="H520" s="504"/>
      <c r="I520" s="504"/>
      <c r="J520" s="504"/>
      <c r="K520" s="518">
        <f>K516-K519</f>
        <v>10.377661948046264</v>
      </c>
      <c r="L520" s="518">
        <f>L516-L519</f>
        <v>15.978770996766194</v>
      </c>
      <c r="M520" s="518">
        <f>M516-M519</f>
        <v>8.0723145551875177</v>
      </c>
      <c r="N520" s="518">
        <f>N516-N519</f>
        <v>3.6301798749999961</v>
      </c>
      <c r="O520" s="529">
        <f>O516-O519</f>
        <v>2.5560706937499873</v>
      </c>
    </row>
    <row r="521" spans="1:15">
      <c r="A521" s="8"/>
      <c r="B521" s="8"/>
      <c r="C521" s="8"/>
      <c r="D521" s="47" t="s">
        <v>293</v>
      </c>
      <c r="E521" s="530"/>
      <c r="F521" s="531"/>
      <c r="G521" s="531"/>
      <c r="H521" s="532"/>
      <c r="I521" s="532"/>
      <c r="J521" s="532"/>
      <c r="K521" s="533">
        <f>SUM(K519:K520)</f>
        <v>10.377661948046264</v>
      </c>
      <c r="L521" s="533">
        <f>SUM(L519:L520)</f>
        <v>15.978770996766194</v>
      </c>
      <c r="M521" s="533">
        <f>SUM(M519:M520)</f>
        <v>27.965900834511622</v>
      </c>
      <c r="N521" s="533">
        <f>SUM(N519:N520)</f>
        <v>37.423872390641563</v>
      </c>
      <c r="O521" s="534">
        <f>SUM(O519:O520)</f>
        <v>49.990309795106128</v>
      </c>
    </row>
    <row r="522" spans="1:15">
      <c r="A522" s="8"/>
      <c r="B522" s="8"/>
      <c r="C522" s="8"/>
      <c r="D522" s="8"/>
      <c r="E522" s="516"/>
      <c r="F522" s="517"/>
      <c r="G522" s="517"/>
      <c r="H522" s="517"/>
      <c r="I522" s="517"/>
      <c r="J522" s="517"/>
      <c r="K522" s="494"/>
      <c r="L522" s="494"/>
      <c r="M522" s="494"/>
      <c r="N522" s="494"/>
      <c r="O522" s="494"/>
    </row>
    <row r="523" spans="1:15" ht="13.8">
      <c r="A523" s="8"/>
      <c r="B523" s="8"/>
      <c r="C523" s="8"/>
      <c r="D523" s="535" t="s">
        <v>294</v>
      </c>
      <c r="E523" s="8"/>
      <c r="F523" s="517"/>
      <c r="G523" s="517"/>
      <c r="H523" s="517"/>
      <c r="I523" s="517"/>
      <c r="J523" s="517"/>
      <c r="K523" s="494"/>
      <c r="L523" s="494"/>
      <c r="M523" s="494"/>
      <c r="N523" s="494"/>
      <c r="O523" s="494"/>
    </row>
    <row r="524" spans="1:15">
      <c r="A524" s="8"/>
      <c r="B524" s="8"/>
      <c r="C524" s="8"/>
      <c r="D524" s="504" t="s">
        <v>295</v>
      </c>
      <c r="E524" s="8"/>
      <c r="F524" s="536">
        <f>N65</f>
        <v>0.15</v>
      </c>
      <c r="G524" s="8"/>
      <c r="H524" s="343"/>
      <c r="I524" s="343"/>
      <c r="J524" s="343"/>
      <c r="K524" s="343">
        <f>K$242</f>
        <v>2022</v>
      </c>
      <c r="L524" s="343">
        <f>L$242</f>
        <v>2023</v>
      </c>
      <c r="M524" s="343">
        <f>M$242</f>
        <v>2024</v>
      </c>
      <c r="N524" s="343">
        <f>N$242</f>
        <v>2025</v>
      </c>
      <c r="O524" s="343">
        <f>O$242</f>
        <v>2026</v>
      </c>
    </row>
    <row r="525" spans="1:15" ht="6" customHeight="1">
      <c r="A525" s="8"/>
      <c r="B525" s="8"/>
      <c r="C525" s="8"/>
      <c r="D525" s="8"/>
      <c r="E525" s="8"/>
      <c r="F525" s="301"/>
      <c r="G525" s="517"/>
      <c r="H525" s="343"/>
      <c r="I525" s="343"/>
      <c r="J525" s="343"/>
      <c r="K525" s="343"/>
      <c r="L525" s="343"/>
      <c r="M525" s="343"/>
      <c r="N525" s="343"/>
      <c r="O525" s="343"/>
    </row>
    <row r="526" spans="1:15">
      <c r="A526" s="8"/>
      <c r="B526" s="8"/>
      <c r="C526" s="8"/>
      <c r="D526" s="504" t="s">
        <v>296</v>
      </c>
      <c r="E526" s="8"/>
      <c r="F526" s="516"/>
      <c r="G526" s="515" t="s">
        <v>297</v>
      </c>
      <c r="H526" s="537"/>
      <c r="I526" s="537"/>
      <c r="J526" s="537"/>
      <c r="K526" s="538">
        <f>N67</f>
        <v>580.79999999999995</v>
      </c>
      <c r="L526" s="538">
        <f>K531</f>
        <v>549.17999999999995</v>
      </c>
      <c r="M526" s="538">
        <f>L531</f>
        <v>526.00299999999993</v>
      </c>
      <c r="N526" s="538">
        <f>M531</f>
        <v>507.48654999999991</v>
      </c>
      <c r="O526" s="538">
        <f>N531</f>
        <v>493.25716749999992</v>
      </c>
    </row>
    <row r="527" spans="1:15">
      <c r="A527" s="8"/>
      <c r="B527" s="8"/>
      <c r="C527" s="8"/>
      <c r="D527" s="504" t="s">
        <v>298</v>
      </c>
      <c r="E527" s="8"/>
      <c r="F527" s="516"/>
      <c r="G527" s="515" t="s">
        <v>299</v>
      </c>
      <c r="H527" s="504"/>
      <c r="I527" s="504"/>
      <c r="J527" s="504"/>
      <c r="K527" s="398">
        <f>-K391</f>
        <v>60</v>
      </c>
      <c r="L527" s="398">
        <f>-L391</f>
        <v>64</v>
      </c>
      <c r="M527" s="398">
        <f>-M391</f>
        <v>65.28</v>
      </c>
      <c r="N527" s="398">
        <f>-N391</f>
        <v>66.911999999999992</v>
      </c>
      <c r="O527" s="398">
        <f>-O391</f>
        <v>98.584799999999987</v>
      </c>
    </row>
    <row r="528" spans="1:15">
      <c r="A528" s="8"/>
      <c r="B528" s="8"/>
      <c r="C528" s="8"/>
      <c r="D528" s="504" t="s">
        <v>300</v>
      </c>
      <c r="E528" s="8"/>
      <c r="F528" s="516"/>
      <c r="G528" s="517"/>
      <c r="H528" s="504"/>
      <c r="I528" s="504"/>
      <c r="J528" s="504"/>
      <c r="K528" s="398">
        <f>K527*0.5</f>
        <v>30</v>
      </c>
      <c r="L528" s="398">
        <f>L527*0.5</f>
        <v>32</v>
      </c>
      <c r="M528" s="398">
        <f>M527*0.5</f>
        <v>32.64</v>
      </c>
      <c r="N528" s="398">
        <f>N527*0.5</f>
        <v>33.455999999999996</v>
      </c>
      <c r="O528" s="398">
        <f>O527*0.5</f>
        <v>49.292399999999994</v>
      </c>
    </row>
    <row r="529" spans="1:15">
      <c r="A529" s="8"/>
      <c r="B529" s="8"/>
      <c r="C529" s="8"/>
      <c r="D529" s="504" t="s">
        <v>301</v>
      </c>
      <c r="E529" s="8"/>
      <c r="F529" s="516"/>
      <c r="G529" s="517"/>
      <c r="H529" s="504"/>
      <c r="I529" s="504"/>
      <c r="J529" s="504"/>
      <c r="K529" s="398">
        <f>K528+K526</f>
        <v>610.79999999999995</v>
      </c>
      <c r="L529" s="398">
        <f>L528+L526</f>
        <v>581.17999999999995</v>
      </c>
      <c r="M529" s="398">
        <f>M528+M526</f>
        <v>558.64299999999992</v>
      </c>
      <c r="N529" s="398">
        <f>N528+N526</f>
        <v>540.94254999999987</v>
      </c>
      <c r="O529" s="398">
        <f>O528+O526</f>
        <v>542.54956749999997</v>
      </c>
    </row>
    <row r="530" spans="1:15">
      <c r="A530" s="8"/>
      <c r="B530" s="8"/>
      <c r="C530" s="8"/>
      <c r="D530" s="539" t="s">
        <v>302</v>
      </c>
      <c r="E530" s="8"/>
      <c r="F530" s="516"/>
      <c r="G530" s="515" t="s">
        <v>303</v>
      </c>
      <c r="H530" s="504"/>
      <c r="I530" s="504"/>
      <c r="J530" s="504"/>
      <c r="K530" s="518">
        <f>K529*$F$524</f>
        <v>91.61999999999999</v>
      </c>
      <c r="L530" s="518">
        <f>L529*$F$524</f>
        <v>87.176999999999992</v>
      </c>
      <c r="M530" s="518">
        <f>M529*$F$524</f>
        <v>83.796449999999979</v>
      </c>
      <c r="N530" s="518">
        <f>N529*$F$524</f>
        <v>81.141382499999978</v>
      </c>
      <c r="O530" s="518">
        <f>O529*$F$524</f>
        <v>81.382435124999986</v>
      </c>
    </row>
    <row r="531" spans="1:15">
      <c r="A531" s="8"/>
      <c r="B531" s="8"/>
      <c r="C531" s="8"/>
      <c r="D531" s="521" t="s">
        <v>304</v>
      </c>
      <c r="E531" s="8"/>
      <c r="F531" s="519"/>
      <c r="G531" s="540"/>
      <c r="H531" s="541"/>
      <c r="I531" s="541"/>
      <c r="J531" s="541"/>
      <c r="K531" s="67">
        <f>K526+K527-K530</f>
        <v>549.17999999999995</v>
      </c>
      <c r="L531" s="67">
        <f>L526+L527-L530</f>
        <v>526.00299999999993</v>
      </c>
      <c r="M531" s="67">
        <f>M526+M527-M530</f>
        <v>507.48654999999991</v>
      </c>
      <c r="N531" s="67">
        <f>N526+N527-N530</f>
        <v>493.25716749999992</v>
      </c>
      <c r="O531" s="67">
        <f>O526+O527-O530</f>
        <v>510.45953237499992</v>
      </c>
    </row>
    <row r="532" spans="1:15" ht="6" customHeight="1">
      <c r="A532" s="8"/>
      <c r="B532" s="35"/>
      <c r="C532" s="35"/>
      <c r="D532" s="35"/>
      <c r="E532" s="542"/>
      <c r="F532" s="542"/>
      <c r="G532" s="543"/>
      <c r="H532" s="543"/>
      <c r="I532" s="543"/>
      <c r="J532" s="543"/>
      <c r="K532" s="544"/>
      <c r="L532" s="544"/>
      <c r="M532" s="544"/>
      <c r="N532" s="544"/>
      <c r="O532" s="35"/>
    </row>
    <row r="533" spans="1:15">
      <c r="A533" s="8"/>
      <c r="B533" s="8"/>
      <c r="C533" s="8"/>
      <c r="D533" s="8"/>
      <c r="E533" s="8"/>
      <c r="F533" s="301"/>
      <c r="G533" s="8"/>
      <c r="H533" s="8"/>
      <c r="I533" s="8"/>
      <c r="J533" s="8"/>
      <c r="K533" s="8"/>
      <c r="L533" s="8"/>
      <c r="M533" s="8"/>
      <c r="N533" s="8"/>
      <c r="O533" s="8"/>
    </row>
    <row r="534" spans="1:15">
      <c r="A534" s="8"/>
      <c r="B534" s="8"/>
      <c r="C534" s="8"/>
      <c r="D534" s="8"/>
      <c r="E534" s="8"/>
      <c r="F534" s="301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2.75" customHeight="1">
      <c r="A535" s="8"/>
      <c r="B535" s="8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38" t="str">
        <f>$O$236</f>
        <v>CURRENTLY RUNNING: BASE CASE SCENARIO</v>
      </c>
    </row>
    <row r="536" spans="1:15" ht="22.8" customHeight="1">
      <c r="A536" s="8"/>
      <c r="B536" s="86" t="str">
        <f>$B$3</f>
        <v>Moonbucks Corp.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18.75" customHeight="1">
      <c r="A537" s="8"/>
      <c r="B537" s="293" t="s">
        <v>305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6" customHeight="1" thickBot="1">
      <c r="A538" s="8"/>
      <c r="B538" s="297"/>
      <c r="C538" s="415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15"/>
      <c r="O538" s="415"/>
    </row>
    <row r="539" spans="1:15" ht="12.75" customHeight="1">
      <c r="A539" s="8"/>
      <c r="B539" s="416" t="s">
        <v>224</v>
      </c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90"/>
    </row>
    <row r="540" spans="1:15" ht="13.8">
      <c r="A540" s="8"/>
      <c r="B540" s="8"/>
      <c r="C540" s="8"/>
      <c r="D540" s="8"/>
      <c r="E540" s="8"/>
      <c r="F540" s="8"/>
      <c r="G540" s="8"/>
      <c r="H540" s="3"/>
      <c r="I540" s="3"/>
      <c r="J540" s="3"/>
      <c r="K540" s="303" t="s">
        <v>170</v>
      </c>
      <c r="L540" s="113"/>
      <c r="M540" s="113"/>
      <c r="N540" s="113"/>
      <c r="O540" s="113"/>
    </row>
    <row r="541" spans="1:15">
      <c r="A541" s="8"/>
      <c r="B541" s="8"/>
      <c r="C541" s="8"/>
      <c r="D541" s="8"/>
      <c r="E541" s="8"/>
      <c r="F541" s="8"/>
      <c r="G541" s="419"/>
      <c r="H541" s="343"/>
      <c r="I541" s="304">
        <f>I242</f>
        <v>2020</v>
      </c>
      <c r="J541" s="304">
        <f t="shared" ref="J541:O541" si="51">J$242</f>
        <v>2021</v>
      </c>
      <c r="K541" s="420">
        <f t="shared" si="51"/>
        <v>2022</v>
      </c>
      <c r="L541" s="420">
        <f t="shared" si="51"/>
        <v>2023</v>
      </c>
      <c r="M541" s="420">
        <f t="shared" si="51"/>
        <v>2024</v>
      </c>
      <c r="N541" s="420">
        <f t="shared" si="51"/>
        <v>2025</v>
      </c>
      <c r="O541" s="420">
        <f t="shared" si="51"/>
        <v>2026</v>
      </c>
    </row>
    <row r="542" spans="1: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spans="1:15">
      <c r="A543" s="8"/>
      <c r="B543" s="545" t="s">
        <v>306</v>
      </c>
      <c r="C543" s="546"/>
      <c r="D543" s="546"/>
      <c r="E543" s="546"/>
      <c r="F543" s="547" t="s">
        <v>307</v>
      </c>
      <c r="G543" s="546"/>
      <c r="H543" s="546"/>
      <c r="I543" s="546"/>
      <c r="J543" s="548">
        <f t="shared" ref="J543:O543" si="52">DATE(J541,12,31)-DATE(I541,12,31)</f>
        <v>365</v>
      </c>
      <c r="K543" s="548">
        <f t="shared" si="52"/>
        <v>365</v>
      </c>
      <c r="L543" s="548">
        <f t="shared" si="52"/>
        <v>365</v>
      </c>
      <c r="M543" s="548">
        <f t="shared" si="52"/>
        <v>366</v>
      </c>
      <c r="N543" s="548">
        <f t="shared" si="52"/>
        <v>365</v>
      </c>
      <c r="O543" s="549">
        <f t="shared" si="52"/>
        <v>365</v>
      </c>
    </row>
    <row r="544" spans="1:15">
      <c r="A544" s="8"/>
      <c r="B544" s="8"/>
      <c r="C544" s="8"/>
      <c r="D544" s="8"/>
      <c r="E544" s="8"/>
      <c r="F544" s="307"/>
      <c r="G544" s="8"/>
      <c r="H544" s="8"/>
      <c r="I544" s="8"/>
      <c r="J544" s="8"/>
      <c r="K544" s="8"/>
      <c r="L544" s="8"/>
      <c r="M544" s="8"/>
      <c r="N544" s="8"/>
      <c r="O544" s="8"/>
    </row>
    <row r="545" spans="1:15">
      <c r="A545" s="8"/>
      <c r="B545" s="42" t="s">
        <v>308</v>
      </c>
      <c r="C545" s="8"/>
      <c r="D545" s="8"/>
      <c r="E545" s="8"/>
      <c r="F545" s="307"/>
      <c r="G545" s="8"/>
      <c r="H545" s="8"/>
      <c r="I545" s="8"/>
      <c r="J545" s="8"/>
      <c r="K545" s="8"/>
      <c r="L545" s="8"/>
      <c r="M545" s="8"/>
      <c r="N545" s="8"/>
      <c r="O545" s="8"/>
    </row>
    <row r="546" spans="1:15">
      <c r="A546" s="8"/>
      <c r="B546" s="8"/>
      <c r="C546" s="8" t="s">
        <v>187</v>
      </c>
      <c r="D546" s="8"/>
      <c r="E546" s="8"/>
      <c r="F546" s="307" t="s">
        <v>186</v>
      </c>
      <c r="G546" s="8"/>
      <c r="H546" s="8"/>
      <c r="I546" s="8"/>
      <c r="J546" s="424">
        <f t="shared" ref="J546:O546" si="53">J338</f>
        <v>980.69776400000001</v>
      </c>
      <c r="K546" s="424">
        <f t="shared" si="53"/>
        <v>1035.4868160000001</v>
      </c>
      <c r="L546" s="424">
        <f t="shared" si="53"/>
        <v>1095.3790848000001</v>
      </c>
      <c r="M546" s="424">
        <f t="shared" si="53"/>
        <v>1159.0106516352</v>
      </c>
      <c r="N546" s="424">
        <f t="shared" si="53"/>
        <v>1225.4742713041921</v>
      </c>
      <c r="O546" s="424">
        <f t="shared" si="53"/>
        <v>1284.3978</v>
      </c>
    </row>
    <row r="547" spans="1:15">
      <c r="A547" s="8"/>
      <c r="B547" s="8"/>
      <c r="C547" s="8" t="s">
        <v>201</v>
      </c>
      <c r="D547" s="8"/>
      <c r="E547" s="8"/>
      <c r="F547" s="307" t="s">
        <v>186</v>
      </c>
      <c r="G547" s="8"/>
      <c r="H547" s="8"/>
      <c r="I547" s="8"/>
      <c r="J547" s="424">
        <f t="shared" ref="J547:O547" si="54">J340</f>
        <v>793.40370370370374</v>
      </c>
      <c r="K547" s="424">
        <f t="shared" si="54"/>
        <v>861.00337777777793</v>
      </c>
      <c r="L547" s="424">
        <f t="shared" si="54"/>
        <v>908.80715749894739</v>
      </c>
      <c r="M547" s="424">
        <f t="shared" si="54"/>
        <v>942.96470813155213</v>
      </c>
      <c r="N547" s="424">
        <f t="shared" si="54"/>
        <v>986.45309821402907</v>
      </c>
      <c r="O547" s="424">
        <f t="shared" si="54"/>
        <v>1012.8343956621063</v>
      </c>
    </row>
    <row r="548" spans="1:15">
      <c r="A548" s="8"/>
      <c r="B548" s="8"/>
      <c r="C548" s="8"/>
      <c r="D548" s="8"/>
      <c r="E548" s="8"/>
      <c r="F548" s="307"/>
      <c r="G548" s="8"/>
      <c r="H548" s="8"/>
      <c r="I548" s="8"/>
      <c r="J548" s="8"/>
      <c r="K548" s="8"/>
      <c r="L548" s="8"/>
      <c r="M548" s="8"/>
      <c r="N548" s="8"/>
      <c r="O548" s="8"/>
    </row>
    <row r="549" spans="1:15">
      <c r="A549" s="8"/>
      <c r="B549" s="550" t="s">
        <v>309</v>
      </c>
      <c r="C549" s="551"/>
      <c r="D549" s="8"/>
      <c r="E549" s="8"/>
      <c r="F549" s="307"/>
      <c r="G549" s="8"/>
      <c r="H549" s="8"/>
      <c r="I549" s="8"/>
      <c r="J549" s="8"/>
      <c r="K549" s="8"/>
      <c r="L549" s="8"/>
      <c r="M549" s="8"/>
      <c r="N549" s="8"/>
      <c r="O549" s="8"/>
    </row>
    <row r="550" spans="1:15">
      <c r="A550" s="8"/>
      <c r="B550" s="552"/>
      <c r="C550" s="551" t="s">
        <v>3</v>
      </c>
      <c r="D550" s="8"/>
      <c r="E550" s="8"/>
      <c r="F550" s="307" t="s">
        <v>307</v>
      </c>
      <c r="G550" s="553"/>
      <c r="H550" s="554"/>
      <c r="I550" s="554"/>
      <c r="J550" s="555">
        <f>J555/J546*J543</f>
        <v>34.315363239677993</v>
      </c>
      <c r="K550" s="557">
        <f t="shared" ref="K550:O552" si="55">G118</f>
        <v>34</v>
      </c>
      <c r="L550" s="555">
        <f t="shared" si="55"/>
        <v>32</v>
      </c>
      <c r="M550" s="555">
        <f t="shared" si="55"/>
        <v>30</v>
      </c>
      <c r="N550" s="555">
        <f t="shared" si="55"/>
        <v>30</v>
      </c>
      <c r="O550" s="555">
        <f t="shared" si="55"/>
        <v>30</v>
      </c>
    </row>
    <row r="551" spans="1:15">
      <c r="A551" s="8"/>
      <c r="B551" s="552"/>
      <c r="C551" s="556" t="s">
        <v>125</v>
      </c>
      <c r="D551" s="8"/>
      <c r="E551" s="8"/>
      <c r="F551" s="307" t="s">
        <v>307</v>
      </c>
      <c r="G551" s="553"/>
      <c r="H551" s="554"/>
      <c r="I551" s="554"/>
      <c r="J551" s="555">
        <f>J556/J547*J543</f>
        <v>40.575812602990396</v>
      </c>
      <c r="K551" s="557">
        <f t="shared" si="55"/>
        <v>40</v>
      </c>
      <c r="L551" s="557">
        <f t="shared" si="55"/>
        <v>38</v>
      </c>
      <c r="M551" s="557">
        <f t="shared" si="55"/>
        <v>36</v>
      </c>
      <c r="N551" s="557">
        <f t="shared" si="55"/>
        <v>36</v>
      </c>
      <c r="O551" s="557">
        <f t="shared" si="55"/>
        <v>36</v>
      </c>
    </row>
    <row r="552" spans="1:15">
      <c r="A552" s="8"/>
      <c r="B552" s="552"/>
      <c r="C552" s="551" t="s">
        <v>1</v>
      </c>
      <c r="D552" s="8"/>
      <c r="E552" s="8"/>
      <c r="F552" s="307" t="s">
        <v>307</v>
      </c>
      <c r="G552" s="553"/>
      <c r="H552" s="554"/>
      <c r="I552" s="554"/>
      <c r="J552" s="555">
        <f>J557/J547*J543</f>
        <v>27.694602252834713</v>
      </c>
      <c r="K552" s="555">
        <f t="shared" si="55"/>
        <v>27</v>
      </c>
      <c r="L552" s="555">
        <f t="shared" si="55"/>
        <v>28</v>
      </c>
      <c r="M552" s="555">
        <f t="shared" si="55"/>
        <v>30</v>
      </c>
      <c r="N552" s="555">
        <f t="shared" si="55"/>
        <v>30</v>
      </c>
      <c r="O552" s="555">
        <f t="shared" si="55"/>
        <v>30</v>
      </c>
    </row>
    <row r="553" spans="1:15">
      <c r="A553" s="8"/>
      <c r="B553" s="552"/>
      <c r="C553" s="551"/>
      <c r="D553" s="8"/>
      <c r="E553" s="8"/>
      <c r="F553" s="307"/>
      <c r="G553" s="8"/>
      <c r="H553" s="160"/>
      <c r="I553" s="160"/>
      <c r="J553" s="160"/>
      <c r="K553" s="160"/>
      <c r="L553" s="160"/>
      <c r="M553" s="160"/>
      <c r="N553" s="160"/>
      <c r="O553" s="160"/>
    </row>
    <row r="554" spans="1:15">
      <c r="A554" s="8"/>
      <c r="B554" s="550" t="s">
        <v>310</v>
      </c>
      <c r="C554" s="551"/>
      <c r="D554" s="8"/>
      <c r="E554" s="8"/>
      <c r="F554" s="307"/>
      <c r="G554" s="8"/>
      <c r="H554" s="160"/>
      <c r="I554" s="160"/>
      <c r="J554" s="160"/>
      <c r="K554" s="160"/>
      <c r="L554" s="160"/>
      <c r="M554" s="160"/>
      <c r="N554" s="160"/>
      <c r="O554" s="160"/>
    </row>
    <row r="555" spans="1:15">
      <c r="A555" s="8"/>
      <c r="B555" s="552"/>
      <c r="C555" s="551" t="s">
        <v>3</v>
      </c>
      <c r="D555" s="8"/>
      <c r="E555" s="8"/>
      <c r="F555" s="307" t="s">
        <v>186</v>
      </c>
      <c r="G555" s="8"/>
      <c r="H555" s="8"/>
      <c r="I555" s="558"/>
      <c r="J555" s="555">
        <f>J426</f>
        <v>92.2</v>
      </c>
      <c r="K555" s="621">
        <f>K546/K543*K550</f>
        <v>96.456306147945213</v>
      </c>
      <c r="L555" s="621">
        <f>L546/L543*L550</f>
        <v>96.033234831780831</v>
      </c>
      <c r="M555" s="621">
        <f>M546/M543*M550</f>
        <v>95.000873084852458</v>
      </c>
      <c r="N555" s="621">
        <f>N546/N543*N550</f>
        <v>100.7239127099336</v>
      </c>
      <c r="O555" s="621">
        <f>O546/O543*O550</f>
        <v>105.56694246575341</v>
      </c>
    </row>
    <row r="556" spans="1:15">
      <c r="A556" s="8"/>
      <c r="B556" s="552"/>
      <c r="C556" s="556" t="s">
        <v>125</v>
      </c>
      <c r="D556" s="8"/>
      <c r="E556" s="8"/>
      <c r="F556" s="307" t="s">
        <v>186</v>
      </c>
      <c r="G556" s="8"/>
      <c r="H556" s="8"/>
      <c r="I556" s="558"/>
      <c r="J556" s="555">
        <f>J427</f>
        <v>88.2</v>
      </c>
      <c r="K556" s="557">
        <f>K547/K543*K551</f>
        <v>94.356534550989366</v>
      </c>
      <c r="L556" s="557">
        <f>L547/L543*L551</f>
        <v>94.615539684821925</v>
      </c>
      <c r="M556" s="557">
        <f>M547/M543*M551</f>
        <v>92.750627029333003</v>
      </c>
      <c r="N556" s="557">
        <f>N547/N543*N551</f>
        <v>97.294004207411092</v>
      </c>
      <c r="O556" s="557">
        <f>O547/O543*O551</f>
        <v>99.895995188591314</v>
      </c>
    </row>
    <row r="557" spans="1:15">
      <c r="A557" s="8"/>
      <c r="B557" s="552"/>
      <c r="C557" s="551" t="s">
        <v>1</v>
      </c>
      <c r="D557" s="8"/>
      <c r="E557" s="8"/>
      <c r="F557" s="307" t="s">
        <v>186</v>
      </c>
      <c r="G557" s="8"/>
      <c r="H557" s="8"/>
      <c r="I557" s="337"/>
      <c r="J557" s="622">
        <f>J439</f>
        <v>60.2</v>
      </c>
      <c r="K557" s="622">
        <f>K547/K543*K552</f>
        <v>63.690660821917824</v>
      </c>
      <c r="L557" s="622">
        <f>L547/L543*L552</f>
        <v>69.716713451974044</v>
      </c>
      <c r="M557" s="622">
        <f>M547/M543*M552</f>
        <v>77.292189191110836</v>
      </c>
      <c r="N557" s="622">
        <f>N547/N543*N552</f>
        <v>81.078336839509248</v>
      </c>
      <c r="O557" s="622">
        <f>O547/O543*O552</f>
        <v>83.246662657159419</v>
      </c>
    </row>
    <row r="558" spans="1:15">
      <c r="A558" s="8"/>
      <c r="B558" s="552"/>
      <c r="C558" s="560" t="s">
        <v>4</v>
      </c>
      <c r="D558" s="42"/>
      <c r="E558" s="42"/>
      <c r="F558" s="328" t="s">
        <v>186</v>
      </c>
      <c r="G558" s="8"/>
      <c r="H558" s="8"/>
      <c r="I558" s="160"/>
      <c r="J558" s="623">
        <f t="shared" ref="J558:O558" si="56">J555+J556-J557</f>
        <v>120.2</v>
      </c>
      <c r="K558" s="623">
        <f t="shared" si="56"/>
        <v>127.12217987701675</v>
      </c>
      <c r="L558" s="623">
        <f t="shared" si="56"/>
        <v>120.93206106462873</v>
      </c>
      <c r="M558" s="623">
        <f t="shared" si="56"/>
        <v>110.45931092307463</v>
      </c>
      <c r="N558" s="623">
        <f t="shared" si="56"/>
        <v>116.93958007783543</v>
      </c>
      <c r="O558" s="623">
        <f t="shared" si="56"/>
        <v>122.21627499718531</v>
      </c>
    </row>
    <row r="559" spans="1:15">
      <c r="A559" s="8"/>
      <c r="B559" s="552"/>
      <c r="C559" s="551"/>
      <c r="D559" s="8"/>
      <c r="E559" s="8"/>
      <c r="F559" s="307"/>
      <c r="G559" s="8"/>
      <c r="H559" s="160"/>
      <c r="I559" s="160"/>
      <c r="J559" s="160"/>
      <c r="K559" s="160"/>
      <c r="L559" s="160"/>
      <c r="M559" s="160"/>
      <c r="N559" s="160"/>
      <c r="O559" s="160"/>
    </row>
    <row r="560" spans="1:15" ht="13.8" thickBot="1">
      <c r="A560" s="8"/>
      <c r="B560" s="560" t="s">
        <v>311</v>
      </c>
      <c r="C560" s="552"/>
      <c r="D560" s="8"/>
      <c r="E560" s="8"/>
      <c r="F560" s="328" t="s">
        <v>186</v>
      </c>
      <c r="G560" s="8"/>
      <c r="H560" s="160"/>
      <c r="I560" s="160"/>
      <c r="J560" s="562"/>
      <c r="K560" s="461">
        <f>J558-K558</f>
        <v>-6.9221798770167453</v>
      </c>
      <c r="L560" s="461">
        <f>K558-L558</f>
        <v>6.1901188123880218</v>
      </c>
      <c r="M560" s="461">
        <f>L558-M558</f>
        <v>10.472750141554101</v>
      </c>
      <c r="N560" s="461">
        <f>M558-N558</f>
        <v>-6.4802691547608049</v>
      </c>
      <c r="O560" s="461">
        <f>N558-O558</f>
        <v>-5.2766949193498789</v>
      </c>
    </row>
    <row r="561" spans="1:15" ht="13.8" thickTop="1">
      <c r="A561" s="8"/>
      <c r="B561" s="8"/>
      <c r="C561" s="31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spans="1:15">
      <c r="A562" s="8"/>
      <c r="B562" s="35"/>
      <c r="C562" s="31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</row>
    <row r="563" spans="1:15">
      <c r="A563" s="8"/>
      <c r="B563" s="8"/>
      <c r="C563" s="8"/>
      <c r="D563" s="8"/>
      <c r="E563" s="8"/>
      <c r="F563" s="301"/>
      <c r="G563" s="8"/>
      <c r="H563" s="8"/>
      <c r="I563" s="8"/>
      <c r="J563" s="8"/>
      <c r="K563" s="8"/>
      <c r="L563" s="8"/>
      <c r="M563" s="8"/>
      <c r="N563" s="8"/>
      <c r="O563" s="8"/>
    </row>
    <row r="564" spans="1:15">
      <c r="A564" s="8"/>
      <c r="B564" s="8"/>
      <c r="C564" s="8"/>
      <c r="D564" s="8"/>
      <c r="E564" s="8"/>
      <c r="F564" s="301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2.75" customHeight="1">
      <c r="A565" s="8"/>
      <c r="B565" s="8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38" t="str">
        <f>$O$236</f>
        <v>CURRENTLY RUNNING: BASE CASE SCENARIO</v>
      </c>
    </row>
    <row r="566" spans="1:15" ht="22.8" customHeight="1">
      <c r="A566" s="8"/>
      <c r="B566" s="86" t="str">
        <f>$B$3</f>
        <v>Moonbucks Corp.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8.75" customHeight="1">
      <c r="A567" s="8"/>
      <c r="B567" s="293" t="s">
        <v>312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6" customHeight="1" thickBot="1">
      <c r="A568" s="8"/>
      <c r="B568" s="297"/>
      <c r="C568" s="415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15"/>
      <c r="O568" s="415"/>
    </row>
    <row r="569" spans="1:15" ht="12.75" customHeight="1">
      <c r="A569" s="8"/>
      <c r="B569" s="416" t="s">
        <v>224</v>
      </c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90"/>
    </row>
    <row r="570" spans="1:15" ht="13.8">
      <c r="A570" s="8"/>
      <c r="B570" s="8"/>
      <c r="C570" s="8"/>
      <c r="D570" s="8"/>
      <c r="E570" s="8"/>
      <c r="F570" s="8"/>
      <c r="G570" s="8"/>
      <c r="H570" s="3"/>
      <c r="I570" s="3"/>
      <c r="J570" s="3"/>
      <c r="K570" s="303" t="s">
        <v>170</v>
      </c>
      <c r="L570" s="113"/>
      <c r="M570" s="113"/>
      <c r="N570" s="113"/>
      <c r="O570" s="113"/>
    </row>
    <row r="571" spans="1:15">
      <c r="A571" s="8"/>
      <c r="B571" s="8"/>
      <c r="C571" s="8"/>
      <c r="D571" s="8"/>
      <c r="E571" s="8"/>
      <c r="F571" s="8"/>
      <c r="G571" s="419"/>
      <c r="H571" s="304"/>
      <c r="I571" s="304"/>
      <c r="J571" s="304">
        <f t="shared" ref="J571:O571" si="57">J$242</f>
        <v>2021</v>
      </c>
      <c r="K571" s="420">
        <f t="shared" si="57"/>
        <v>2022</v>
      </c>
      <c r="L571" s="420">
        <f t="shared" si="57"/>
        <v>2023</v>
      </c>
      <c r="M571" s="420">
        <f t="shared" si="57"/>
        <v>2024</v>
      </c>
      <c r="N571" s="420">
        <f t="shared" si="57"/>
        <v>2025</v>
      </c>
      <c r="O571" s="420">
        <f t="shared" si="57"/>
        <v>2026</v>
      </c>
    </row>
    <row r="572" spans="1:15" ht="6" customHeight="1">
      <c r="A572" s="8"/>
      <c r="B572" s="8"/>
      <c r="C572" s="8"/>
      <c r="D572" s="8"/>
      <c r="E572" s="8"/>
      <c r="F572" s="301"/>
      <c r="G572" s="8"/>
      <c r="H572" s="8"/>
      <c r="I572" s="8"/>
      <c r="J572" s="8"/>
      <c r="K572" s="8"/>
      <c r="L572" s="8"/>
      <c r="M572" s="8"/>
      <c r="N572" s="8"/>
      <c r="O572" s="8"/>
    </row>
    <row r="573" spans="1:15">
      <c r="A573" s="8"/>
      <c r="B573" s="344" t="s">
        <v>313</v>
      </c>
      <c r="C573" s="345"/>
      <c r="D573" s="345"/>
      <c r="E573" s="345"/>
      <c r="F573" s="563"/>
      <c r="G573" s="345"/>
      <c r="H573" s="345"/>
      <c r="I573" s="345"/>
      <c r="J573" s="345"/>
      <c r="K573" s="564">
        <f>K230</f>
        <v>7.4999999999999997E-3</v>
      </c>
      <c r="L573" s="564">
        <f>L230</f>
        <v>7.4999999999999997E-3</v>
      </c>
      <c r="M573" s="564">
        <f>M230</f>
        <v>7.4999999999999997E-3</v>
      </c>
      <c r="N573" s="564">
        <f>N230</f>
        <v>0.01</v>
      </c>
      <c r="O573" s="565">
        <f>O230</f>
        <v>0.01</v>
      </c>
    </row>
    <row r="574" spans="1:15">
      <c r="A574" s="8"/>
      <c r="B574" s="356" t="s">
        <v>314</v>
      </c>
      <c r="C574" s="318"/>
      <c r="D574" s="318"/>
      <c r="E574" s="318"/>
      <c r="F574" s="566"/>
      <c r="G574" s="318"/>
      <c r="H574" s="318"/>
      <c r="I574" s="318"/>
      <c r="J574" s="624">
        <f t="shared" ref="J574:O574" si="58">(J591+J603+J626+J636+J668)/J345</f>
        <v>6</v>
      </c>
      <c r="K574" s="624">
        <f t="shared" si="58"/>
        <v>6.6729427998427084</v>
      </c>
      <c r="L574" s="624">
        <f t="shared" si="58"/>
        <v>5.6572147443411263</v>
      </c>
      <c r="M574" s="624">
        <f t="shared" si="58"/>
        <v>4.3250902732422176</v>
      </c>
      <c r="N574" s="624">
        <f t="shared" si="58"/>
        <v>3.5612568362894375</v>
      </c>
      <c r="O574" s="625">
        <f t="shared" si="58"/>
        <v>2.8809895474181171</v>
      </c>
    </row>
    <row r="575" spans="1:15" ht="12.75" customHeight="1">
      <c r="A575" s="8"/>
      <c r="B575" s="8"/>
      <c r="C575" s="8"/>
      <c r="D575" s="8"/>
      <c r="E575" s="8"/>
      <c r="F575" s="301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2.75" customHeight="1">
      <c r="A576" s="8"/>
      <c r="B576" s="8"/>
      <c r="C576" s="42" t="s">
        <v>253</v>
      </c>
      <c r="D576" s="8"/>
      <c r="E576" s="8"/>
      <c r="F576" s="301"/>
      <c r="G576" s="8"/>
      <c r="H576" s="8"/>
      <c r="I576" s="8"/>
      <c r="J576" s="8"/>
      <c r="K576" s="8"/>
      <c r="L576" s="8"/>
      <c r="M576" s="8"/>
      <c r="N576" s="8"/>
      <c r="O576" s="8"/>
    </row>
    <row r="577" spans="1:15">
      <c r="A577" s="8"/>
      <c r="B577" s="8"/>
      <c r="C577" s="8"/>
      <c r="D577" s="8" t="s">
        <v>315</v>
      </c>
      <c r="E577" s="8"/>
      <c r="F577" s="301"/>
      <c r="G577" s="8"/>
      <c r="H577" s="8"/>
      <c r="I577" s="8"/>
      <c r="J577" s="8"/>
      <c r="K577" s="398">
        <f>J579</f>
        <v>0</v>
      </c>
      <c r="L577" s="398">
        <f>K579</f>
        <v>0</v>
      </c>
      <c r="M577" s="398">
        <f>L579</f>
        <v>0</v>
      </c>
      <c r="N577" s="398">
        <f>M579</f>
        <v>0</v>
      </c>
      <c r="O577" s="398">
        <f>N579</f>
        <v>0</v>
      </c>
    </row>
    <row r="578" spans="1:15">
      <c r="A578" s="8"/>
      <c r="B578" s="8"/>
      <c r="C578" s="8"/>
      <c r="D578" s="8" t="s">
        <v>316</v>
      </c>
      <c r="E578" s="8"/>
      <c r="F578" s="301"/>
      <c r="G578" s="8"/>
      <c r="H578" s="8"/>
      <c r="I578" s="8"/>
      <c r="J578" s="35"/>
      <c r="K578" s="518">
        <f>K409</f>
        <v>0</v>
      </c>
      <c r="L578" s="518">
        <f>L409</f>
        <v>0</v>
      </c>
      <c r="M578" s="518">
        <f>M409</f>
        <v>0</v>
      </c>
      <c r="N578" s="518">
        <f>N409</f>
        <v>0</v>
      </c>
      <c r="O578" s="518">
        <f>O409</f>
        <v>0</v>
      </c>
    </row>
    <row r="579" spans="1:15">
      <c r="A579" s="8"/>
      <c r="B579" s="8"/>
      <c r="C579" s="8"/>
      <c r="D579" s="8" t="s">
        <v>317</v>
      </c>
      <c r="E579" s="8"/>
      <c r="F579" s="301"/>
      <c r="G579" s="8"/>
      <c r="H579" s="8"/>
      <c r="I579" s="381"/>
      <c r="J579" s="81">
        <f>J425</f>
        <v>0</v>
      </c>
      <c r="K579" s="81">
        <f>SUM(K577:K578)</f>
        <v>0</v>
      </c>
      <c r="L579" s="81">
        <f>SUM(L577:L578)</f>
        <v>0</v>
      </c>
      <c r="M579" s="81">
        <f>SUM(M577:M578)</f>
        <v>0</v>
      </c>
      <c r="N579" s="81">
        <f>SUM(N577:N578)</f>
        <v>0</v>
      </c>
      <c r="O579" s="81">
        <f>SUM(O577:O578)</f>
        <v>0</v>
      </c>
    </row>
    <row r="580" spans="1:15" ht="6" customHeight="1">
      <c r="A580" s="8"/>
      <c r="B580" s="8"/>
      <c r="C580" s="8"/>
      <c r="D580" s="8"/>
      <c r="E580" s="8"/>
      <c r="F580" s="301"/>
      <c r="G580" s="8"/>
      <c r="H580" s="8"/>
      <c r="I580" s="8"/>
      <c r="J580" s="8"/>
      <c r="K580" s="8"/>
      <c r="L580" s="8"/>
      <c r="M580" s="8"/>
      <c r="N580" s="8"/>
      <c r="O580" s="8"/>
    </row>
    <row r="581" spans="1:15">
      <c r="A581" s="8"/>
      <c r="B581" s="8"/>
      <c r="C581" s="8"/>
      <c r="D581" s="8" t="s">
        <v>133</v>
      </c>
      <c r="E581" s="8"/>
      <c r="F581" s="301"/>
      <c r="G581" s="8"/>
      <c r="H581" s="8"/>
      <c r="I581" s="8"/>
      <c r="J581" s="8"/>
      <c r="K581" s="569">
        <f>-$I$20</f>
        <v>-5.0000000000000001E-3</v>
      </c>
      <c r="L581" s="569">
        <f>-$I$20</f>
        <v>-5.0000000000000001E-3</v>
      </c>
      <c r="M581" s="569">
        <f>-$I$20</f>
        <v>-5.0000000000000001E-3</v>
      </c>
      <c r="N581" s="569">
        <f>-$I$20</f>
        <v>-5.0000000000000001E-3</v>
      </c>
      <c r="O581" s="569">
        <f>-$I$20</f>
        <v>-5.0000000000000001E-3</v>
      </c>
    </row>
    <row r="582" spans="1:15">
      <c r="A582" s="8"/>
      <c r="B582" s="8"/>
      <c r="C582" s="8"/>
      <c r="D582" s="8" t="str">
        <f>CONCATENATE("Interest Rate (LIBOR minus ",I20*10000," bp)")</f>
        <v>Interest Rate (LIBOR minus 50 bp)</v>
      </c>
      <c r="E582" s="8"/>
      <c r="F582" s="301"/>
      <c r="G582" s="8"/>
      <c r="H582" s="8"/>
      <c r="I582" s="8"/>
      <c r="J582" s="8"/>
      <c r="K582" s="570">
        <f>K573+K581</f>
        <v>2.4999999999999996E-3</v>
      </c>
      <c r="L582" s="570">
        <f>L573+L581</f>
        <v>2.4999999999999996E-3</v>
      </c>
      <c r="M582" s="570">
        <f>M573+M581</f>
        <v>2.4999999999999996E-3</v>
      </c>
      <c r="N582" s="570">
        <f>N573+N581</f>
        <v>5.0000000000000001E-3</v>
      </c>
      <c r="O582" s="570">
        <f>O573+O581</f>
        <v>5.0000000000000001E-3</v>
      </c>
    </row>
    <row r="583" spans="1:15">
      <c r="A583" s="8"/>
      <c r="B583" s="8"/>
      <c r="C583" s="8"/>
      <c r="D583" s="42" t="s">
        <v>318</v>
      </c>
      <c r="E583" s="8"/>
      <c r="F583" s="301"/>
      <c r="G583" s="8"/>
      <c r="H583" s="8"/>
      <c r="I583" s="8"/>
      <c r="J583" s="8"/>
      <c r="K583" s="571">
        <f>J579*K582</f>
        <v>0</v>
      </c>
      <c r="L583" s="571">
        <f>K579*L582</f>
        <v>0</v>
      </c>
      <c r="M583" s="571">
        <f>L579*M582</f>
        <v>0</v>
      </c>
      <c r="N583" s="571">
        <f>M579*N582</f>
        <v>0</v>
      </c>
      <c r="O583" s="571">
        <f>N579*O582</f>
        <v>0</v>
      </c>
    </row>
    <row r="584" spans="1:15" ht="12.75" customHeight="1">
      <c r="A584" s="8"/>
      <c r="B584" s="8"/>
      <c r="C584" s="8"/>
      <c r="D584" s="8"/>
      <c r="E584" s="8"/>
      <c r="F584" s="301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2.75" customHeight="1">
      <c r="A585" s="8"/>
      <c r="B585" s="8"/>
      <c r="C585" s="8"/>
      <c r="D585" s="8"/>
      <c r="E585" s="8"/>
      <c r="F585" s="301"/>
      <c r="G585" s="8"/>
      <c r="H585" s="8"/>
      <c r="I585" s="8"/>
      <c r="J585" s="8"/>
      <c r="K585" s="8"/>
      <c r="L585" s="8"/>
      <c r="M585" s="8"/>
      <c r="N585" s="8"/>
      <c r="O585" s="8"/>
    </row>
    <row r="586" spans="1:15">
      <c r="A586" s="8"/>
      <c r="B586" s="8"/>
      <c r="C586" s="42" t="s">
        <v>36</v>
      </c>
      <c r="D586" s="8"/>
      <c r="E586" s="8"/>
      <c r="F586" s="301"/>
      <c r="G586" s="8"/>
      <c r="H586" s="8"/>
      <c r="I586" s="8"/>
      <c r="J586" s="8"/>
      <c r="K586" s="8"/>
      <c r="L586" s="8"/>
      <c r="M586" s="8"/>
      <c r="N586" s="8"/>
      <c r="O586" s="8"/>
    </row>
    <row r="587" spans="1:15">
      <c r="A587" s="8"/>
      <c r="B587" s="8"/>
      <c r="C587" s="42"/>
      <c r="D587" s="8" t="s">
        <v>147</v>
      </c>
      <c r="E587" s="8"/>
      <c r="F587" s="301"/>
      <c r="G587" s="8"/>
      <c r="H587" s="8"/>
      <c r="I587" s="8"/>
      <c r="J587" s="8"/>
      <c r="K587" s="572">
        <f>E162</f>
        <v>7.4999999999999997E-2</v>
      </c>
      <c r="L587" s="572">
        <f>F162</f>
        <v>0.15</v>
      </c>
      <c r="M587" s="572">
        <f>G162</f>
        <v>0.1</v>
      </c>
      <c r="N587" s="572">
        <f>H162</f>
        <v>0.35</v>
      </c>
      <c r="O587" s="572">
        <f>I162</f>
        <v>0.32500000000000007</v>
      </c>
    </row>
    <row r="588" spans="1:15" ht="6" customHeight="1">
      <c r="A588" s="8"/>
      <c r="B588" s="8"/>
      <c r="C588" s="42"/>
      <c r="D588" s="8"/>
      <c r="E588" s="8"/>
      <c r="F588" s="301"/>
      <c r="G588" s="8"/>
      <c r="H588" s="8"/>
      <c r="I588" s="8"/>
      <c r="J588" s="8"/>
      <c r="K588" s="8"/>
      <c r="L588" s="8"/>
      <c r="M588" s="8"/>
      <c r="N588" s="8"/>
      <c r="O588" s="8"/>
    </row>
    <row r="589" spans="1:15">
      <c r="A589" s="8"/>
      <c r="B589" s="8"/>
      <c r="C589" s="8"/>
      <c r="D589" s="8" t="s">
        <v>315</v>
      </c>
      <c r="E589" s="8"/>
      <c r="F589" s="301"/>
      <c r="G589" s="8"/>
      <c r="H589" s="8"/>
      <c r="I589" s="8"/>
      <c r="J589" s="8"/>
      <c r="K589" s="398">
        <f>J591</f>
        <v>237.29109044444436</v>
      </c>
      <c r="L589" s="398">
        <f>K591</f>
        <v>219.49425866111105</v>
      </c>
      <c r="M589" s="398">
        <f>L591</f>
        <v>183.90059509444438</v>
      </c>
      <c r="N589" s="398">
        <f>M591</f>
        <v>160.17148604999994</v>
      </c>
      <c r="O589" s="398">
        <f>N591</f>
        <v>77.119604394444423</v>
      </c>
    </row>
    <row r="590" spans="1:15">
      <c r="A590" s="8"/>
      <c r="B590" s="8"/>
      <c r="C590" s="8"/>
      <c r="D590" s="8" t="s">
        <v>319</v>
      </c>
      <c r="E590" s="8"/>
      <c r="F590" s="301"/>
      <c r="G590" s="8"/>
      <c r="H590" s="8"/>
      <c r="I590" s="8"/>
      <c r="J590" s="35"/>
      <c r="K590" s="518">
        <f>-$J$591*K587</f>
        <v>-17.796831783333328</v>
      </c>
      <c r="L590" s="518">
        <f>-$J$591*L587</f>
        <v>-35.593663566666656</v>
      </c>
      <c r="M590" s="518">
        <f>-$J$591*M587</f>
        <v>-23.729109044444439</v>
      </c>
      <c r="N590" s="518">
        <f>-$J$591*N587</f>
        <v>-83.051881655555519</v>
      </c>
      <c r="O590" s="518">
        <f>-$J$591*O587</f>
        <v>-77.119604394444437</v>
      </c>
    </row>
    <row r="591" spans="1:15">
      <c r="A591" s="8"/>
      <c r="B591" s="8"/>
      <c r="C591" s="8"/>
      <c r="D591" s="8" t="s">
        <v>317</v>
      </c>
      <c r="E591" s="8"/>
      <c r="F591" s="301"/>
      <c r="G591" s="8"/>
      <c r="H591" s="8"/>
      <c r="I591" s="381"/>
      <c r="J591" s="81">
        <f>F22</f>
        <v>237.29109044444436</v>
      </c>
      <c r="K591" s="81">
        <f>SUM(K589:K590)</f>
        <v>219.49425866111105</v>
      </c>
      <c r="L591" s="81">
        <f>SUM(L589:L590)</f>
        <v>183.90059509444438</v>
      </c>
      <c r="M591" s="81">
        <f>SUM(M589:M590)</f>
        <v>160.17148604999994</v>
      </c>
      <c r="N591" s="81">
        <f>SUM(N589:N590)</f>
        <v>77.119604394444423</v>
      </c>
      <c r="O591" s="81">
        <f>SUM(O589:O590)</f>
        <v>0</v>
      </c>
    </row>
    <row r="592" spans="1:15" ht="6" customHeight="1">
      <c r="A592" s="8"/>
      <c r="B592" s="8"/>
      <c r="C592" s="8"/>
      <c r="D592" s="8"/>
      <c r="E592" s="8"/>
      <c r="F592" s="301"/>
      <c r="G592" s="8"/>
      <c r="H592" s="8"/>
      <c r="I592" s="8"/>
      <c r="J592" s="8"/>
      <c r="K592" s="8"/>
      <c r="L592" s="8"/>
      <c r="M592" s="8"/>
      <c r="N592" s="8"/>
      <c r="O592" s="8"/>
    </row>
    <row r="593" spans="1:15">
      <c r="A593" s="8"/>
      <c r="B593" s="8"/>
      <c r="C593" s="8"/>
      <c r="D593" s="8" t="s">
        <v>133</v>
      </c>
      <c r="E593" s="8"/>
      <c r="F593" s="301"/>
      <c r="G593" s="8"/>
      <c r="H593" s="8"/>
      <c r="I593" s="8"/>
      <c r="J593" s="8"/>
      <c r="K593" s="569">
        <f>VLOOKUP(J574,$K$143:$O$149,COLUMNS($K$143:$O$149),TRUE)</f>
        <v>3.2500000000000001E-2</v>
      </c>
      <c r="L593" s="569">
        <f>VLOOKUP(K574,$K$143:$O$149,COLUMNS($K$143:$O$149),TRUE)</f>
        <v>3.2500000000000001E-2</v>
      </c>
      <c r="M593" s="569">
        <f>VLOOKUP(L574,$K$143:$O$149,COLUMNS($K$143:$O$149),TRUE)</f>
        <v>3.2500000000000001E-2</v>
      </c>
      <c r="N593" s="569">
        <f>VLOOKUP(M574,$K$143:$O$149,COLUMNS($K$143:$O$149),TRUE)</f>
        <v>2.75E-2</v>
      </c>
      <c r="O593" s="569">
        <f>VLOOKUP(N574,$K$143:$O$149,COLUMNS($K$143:$O$149),TRUE)</f>
        <v>2.5000000000000001E-2</v>
      </c>
    </row>
    <row r="594" spans="1:15">
      <c r="A594" s="8"/>
      <c r="B594" s="8"/>
      <c r="C594" s="8"/>
      <c r="D594" s="8" t="s">
        <v>320</v>
      </c>
      <c r="E594" s="8"/>
      <c r="F594" s="301"/>
      <c r="G594" s="8"/>
      <c r="H594" s="8"/>
      <c r="I594" s="8"/>
      <c r="J594" s="8"/>
      <c r="K594" s="569">
        <f>K593+K$573</f>
        <v>0.04</v>
      </c>
      <c r="L594" s="569">
        <f>L593+L$573</f>
        <v>0.04</v>
      </c>
      <c r="M594" s="569">
        <f>M593+M$573</f>
        <v>0.04</v>
      </c>
      <c r="N594" s="569">
        <f>N593+N$573</f>
        <v>3.7499999999999999E-2</v>
      </c>
      <c r="O594" s="569">
        <f>O593+O$573</f>
        <v>3.5000000000000003E-2</v>
      </c>
    </row>
    <row r="595" spans="1:15">
      <c r="A595" s="8"/>
      <c r="B595" s="8"/>
      <c r="C595" s="8"/>
      <c r="D595" s="42" t="s">
        <v>321</v>
      </c>
      <c r="E595" s="8"/>
      <c r="F595" s="301"/>
      <c r="G595" s="8"/>
      <c r="H595" s="8"/>
      <c r="I595" s="8"/>
      <c r="J595" s="8"/>
      <c r="K595" s="571">
        <f>K594*J591</f>
        <v>9.4916436177777754</v>
      </c>
      <c r="L595" s="571">
        <f>L594*K591</f>
        <v>8.7797703464444421</v>
      </c>
      <c r="M595" s="571">
        <f>M594*L591</f>
        <v>7.3560238037777754</v>
      </c>
      <c r="N595" s="571">
        <f>N594*M591</f>
        <v>6.0064307268749975</v>
      </c>
      <c r="O595" s="571">
        <f>O594*N591</f>
        <v>2.699186153805555</v>
      </c>
    </row>
    <row r="596" spans="1:15" ht="12.75" customHeight="1">
      <c r="A596" s="8"/>
      <c r="B596" s="8"/>
      <c r="C596" s="8"/>
      <c r="D596" s="8"/>
      <c r="E596" s="8"/>
      <c r="F596" s="301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2.75" customHeight="1">
      <c r="A597" s="8"/>
      <c r="B597" s="8"/>
      <c r="C597" s="8"/>
      <c r="D597" s="8"/>
      <c r="E597" s="8"/>
      <c r="F597" s="301"/>
      <c r="G597" s="8"/>
      <c r="H597" s="8"/>
      <c r="I597" s="8"/>
      <c r="J597" s="8"/>
      <c r="K597" s="8"/>
      <c r="L597" s="8"/>
      <c r="M597" s="8"/>
      <c r="N597" s="8"/>
      <c r="O597" s="8"/>
    </row>
    <row r="598" spans="1:15">
      <c r="A598" s="8"/>
      <c r="B598" s="8"/>
      <c r="C598" s="42" t="s">
        <v>37</v>
      </c>
      <c r="D598" s="8"/>
      <c r="E598" s="8"/>
      <c r="F598" s="301"/>
      <c r="G598" s="8"/>
      <c r="H598" s="8"/>
      <c r="I598" s="8"/>
      <c r="J598" s="8"/>
      <c r="K598" s="8"/>
      <c r="L598" s="8"/>
      <c r="M598" s="8"/>
      <c r="N598" s="8"/>
      <c r="O598" s="8"/>
    </row>
    <row r="599" spans="1:15">
      <c r="A599" s="8"/>
      <c r="B599" s="8"/>
      <c r="C599" s="42"/>
      <c r="D599" s="8" t="s">
        <v>147</v>
      </c>
      <c r="E599" s="8"/>
      <c r="F599" s="301"/>
      <c r="G599" s="8"/>
      <c r="H599" s="8"/>
      <c r="I599" s="8"/>
      <c r="J599" s="8"/>
      <c r="K599" s="572">
        <f>E163</f>
        <v>0.01</v>
      </c>
      <c r="L599" s="572">
        <f>F163</f>
        <v>0.01</v>
      </c>
      <c r="M599" s="572">
        <f>G163</f>
        <v>0.01</v>
      </c>
      <c r="N599" s="572">
        <f>H163</f>
        <v>0.01</v>
      </c>
      <c r="O599" s="572">
        <f>I163</f>
        <v>0.01</v>
      </c>
    </row>
    <row r="600" spans="1:15" ht="6" customHeight="1">
      <c r="A600" s="8"/>
      <c r="B600" s="8"/>
      <c r="C600" s="42"/>
      <c r="D600" s="8"/>
      <c r="E600" s="8"/>
      <c r="F600" s="301"/>
      <c r="G600" s="8"/>
      <c r="H600" s="8"/>
      <c r="I600" s="8"/>
      <c r="J600" s="8"/>
      <c r="K600" s="8"/>
      <c r="L600" s="8"/>
      <c r="M600" s="8"/>
      <c r="N600" s="8"/>
      <c r="O600" s="8"/>
    </row>
    <row r="601" spans="1:15">
      <c r="A601" s="8"/>
      <c r="B601" s="8"/>
      <c r="C601" s="8"/>
      <c r="D601" s="8" t="s">
        <v>315</v>
      </c>
      <c r="E601" s="8"/>
      <c r="F601" s="301"/>
      <c r="G601" s="8"/>
      <c r="H601" s="8"/>
      <c r="I601" s="8"/>
      <c r="J601" s="8"/>
      <c r="K601" s="398">
        <f>J603</f>
        <v>197.7425753703703</v>
      </c>
      <c r="L601" s="398">
        <f>K603</f>
        <v>195.7651496166666</v>
      </c>
      <c r="M601" s="398">
        <f>L603</f>
        <v>193.78772386296291</v>
      </c>
      <c r="N601" s="398">
        <f>M603</f>
        <v>191.81029810925921</v>
      </c>
      <c r="O601" s="398">
        <f>N603</f>
        <v>189.83287235555551</v>
      </c>
    </row>
    <row r="602" spans="1:15">
      <c r="A602" s="8"/>
      <c r="B602" s="8"/>
      <c r="C602" s="8"/>
      <c r="D602" s="8" t="s">
        <v>319</v>
      </c>
      <c r="E602" s="8"/>
      <c r="F602" s="301"/>
      <c r="G602" s="8"/>
      <c r="H602" s="8"/>
      <c r="I602" s="8"/>
      <c r="J602" s="35"/>
      <c r="K602" s="518">
        <f>-$J$603*K599</f>
        <v>-1.977425753703703</v>
      </c>
      <c r="L602" s="518">
        <f>-$J$603*L599</f>
        <v>-1.977425753703703</v>
      </c>
      <c r="M602" s="518">
        <f>-$J$603*M599</f>
        <v>-1.977425753703703</v>
      </c>
      <c r="N602" s="518">
        <f>-$J$603*N599</f>
        <v>-1.977425753703703</v>
      </c>
      <c r="O602" s="518">
        <f>-$J$603*O599</f>
        <v>-1.977425753703703</v>
      </c>
    </row>
    <row r="603" spans="1:15">
      <c r="A603" s="8"/>
      <c r="B603" s="8"/>
      <c r="C603" s="8"/>
      <c r="D603" s="8" t="s">
        <v>317</v>
      </c>
      <c r="E603" s="8"/>
      <c r="F603" s="301"/>
      <c r="G603" s="8"/>
      <c r="H603" s="8"/>
      <c r="I603" s="381"/>
      <c r="J603" s="81">
        <f>F23</f>
        <v>197.7425753703703</v>
      </c>
      <c r="K603" s="81">
        <f>SUM(K601:K602)</f>
        <v>195.7651496166666</v>
      </c>
      <c r="L603" s="81">
        <f>SUM(L601:L602)</f>
        <v>193.78772386296291</v>
      </c>
      <c r="M603" s="81">
        <f>SUM(M601:M602)</f>
        <v>191.81029810925921</v>
      </c>
      <c r="N603" s="81">
        <f>SUM(N601:N602)</f>
        <v>189.83287235555551</v>
      </c>
      <c r="O603" s="81">
        <f>SUM(O601:O602)</f>
        <v>187.85544660185181</v>
      </c>
    </row>
    <row r="604" spans="1:15" ht="6" customHeight="1">
      <c r="A604" s="8"/>
      <c r="B604" s="8"/>
      <c r="C604" s="8"/>
      <c r="D604" s="8"/>
      <c r="E604" s="8"/>
      <c r="F604" s="301"/>
      <c r="G604" s="8"/>
      <c r="H604" s="8"/>
      <c r="I604" s="8"/>
      <c r="J604" s="8"/>
      <c r="K604" s="8"/>
      <c r="L604" s="8"/>
      <c r="M604" s="8"/>
      <c r="N604" s="8"/>
      <c r="O604" s="8"/>
    </row>
    <row r="605" spans="1:15">
      <c r="A605" s="8"/>
      <c r="B605" s="8"/>
      <c r="C605" s="8"/>
      <c r="D605" s="8" t="s">
        <v>133</v>
      </c>
      <c r="E605" s="8"/>
      <c r="F605" s="301"/>
      <c r="G605" s="8"/>
      <c r="H605" s="8"/>
      <c r="I605" s="8"/>
      <c r="J605" s="8"/>
      <c r="K605" s="569">
        <f>K593</f>
        <v>3.2500000000000001E-2</v>
      </c>
      <c r="L605" s="569">
        <f>L593</f>
        <v>3.2500000000000001E-2</v>
      </c>
      <c r="M605" s="569">
        <f>M593</f>
        <v>3.2500000000000001E-2</v>
      </c>
      <c r="N605" s="569">
        <f>N593</f>
        <v>2.75E-2</v>
      </c>
      <c r="O605" s="569">
        <f>O593</f>
        <v>2.5000000000000001E-2</v>
      </c>
    </row>
    <row r="606" spans="1:15">
      <c r="A606" s="8"/>
      <c r="B606" s="8"/>
      <c r="C606" s="8"/>
      <c r="D606" s="8" t="s">
        <v>320</v>
      </c>
      <c r="E606" s="8"/>
      <c r="F606" s="301"/>
      <c r="G606" s="8"/>
      <c r="H606" s="8"/>
      <c r="I606" s="8"/>
      <c r="J606" s="8"/>
      <c r="K606" s="569">
        <f>K605+K$573</f>
        <v>0.04</v>
      </c>
      <c r="L606" s="569">
        <f>L605+L$573</f>
        <v>0.04</v>
      </c>
      <c r="M606" s="569">
        <f>M605+M$573</f>
        <v>0.04</v>
      </c>
      <c r="N606" s="569">
        <f>N605+N$573</f>
        <v>3.7499999999999999E-2</v>
      </c>
      <c r="O606" s="569">
        <f>O605+O$573</f>
        <v>3.5000000000000003E-2</v>
      </c>
    </row>
    <row r="607" spans="1:15">
      <c r="A607" s="8"/>
      <c r="B607" s="8"/>
      <c r="C607" s="8"/>
      <c r="D607" s="42" t="s">
        <v>321</v>
      </c>
      <c r="E607" s="8"/>
      <c r="F607" s="301"/>
      <c r="G607" s="8"/>
      <c r="H607" s="8"/>
      <c r="I607" s="8"/>
      <c r="J607" s="8"/>
      <c r="K607" s="571">
        <f>K606*J603</f>
        <v>7.909703014814812</v>
      </c>
      <c r="L607" s="571">
        <f>L606*K603</f>
        <v>7.830605984666664</v>
      </c>
      <c r="M607" s="571">
        <f>M606*L603</f>
        <v>7.7515089545185161</v>
      </c>
      <c r="N607" s="571">
        <f>N606*M603</f>
        <v>7.1928861790972203</v>
      </c>
      <c r="O607" s="571">
        <f>O606*N603</f>
        <v>6.6441505324444439</v>
      </c>
    </row>
    <row r="608" spans="1:15">
      <c r="A608" s="8"/>
      <c r="B608" s="8"/>
      <c r="C608" s="8"/>
      <c r="D608" s="8"/>
      <c r="E608" s="8"/>
      <c r="F608" s="301"/>
      <c r="G608" s="8"/>
      <c r="H608" s="8"/>
      <c r="I608" s="8"/>
      <c r="J608" s="8"/>
      <c r="K608" s="8"/>
      <c r="L608" s="8"/>
      <c r="M608" s="8"/>
      <c r="N608" s="8"/>
      <c r="O608" s="8"/>
    </row>
    <row r="609" spans="1:15">
      <c r="A609" s="8"/>
      <c r="B609" s="35"/>
      <c r="C609" s="35"/>
      <c r="D609" s="35"/>
      <c r="E609" s="35"/>
      <c r="F609" s="336"/>
      <c r="G609" s="35"/>
      <c r="H609" s="35"/>
      <c r="I609" s="35"/>
      <c r="J609" s="35"/>
      <c r="K609" s="35"/>
      <c r="L609" s="35"/>
      <c r="M609" s="35"/>
      <c r="N609" s="35"/>
      <c r="O609" s="35"/>
    </row>
    <row r="610" spans="1:15">
      <c r="A610" s="8"/>
      <c r="B610" s="8"/>
      <c r="C610" s="8"/>
      <c r="D610" s="8"/>
      <c r="E610" s="8"/>
      <c r="F610" s="301"/>
      <c r="G610" s="8"/>
      <c r="H610" s="8"/>
      <c r="I610" s="8"/>
      <c r="J610" s="8"/>
      <c r="K610" s="8"/>
      <c r="L610" s="8"/>
      <c r="M610" s="8"/>
      <c r="N610" s="8"/>
      <c r="O610" s="8"/>
    </row>
    <row r="611" spans="1:15">
      <c r="A611" s="8"/>
      <c r="B611" s="8"/>
      <c r="C611" s="8"/>
      <c r="D611" s="8"/>
      <c r="E611" s="8"/>
      <c r="F611" s="301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2.75" customHeight="1">
      <c r="A612" s="8"/>
      <c r="B612" s="8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38" t="str">
        <f>$O$236</f>
        <v>CURRENTLY RUNNING: BASE CASE SCENARIO</v>
      </c>
    </row>
    <row r="613" spans="1:15" ht="22.8" customHeight="1">
      <c r="A613" s="8"/>
      <c r="B613" s="86" t="str">
        <f>$B$3</f>
        <v>Moonbucks Corp.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18.75" customHeight="1">
      <c r="A614" s="8"/>
      <c r="B614" s="293" t="s">
        <v>322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6" customHeight="1" thickBot="1">
      <c r="A615" s="8"/>
      <c r="B615" s="297"/>
      <c r="C615" s="415"/>
      <c r="D615" s="415"/>
      <c r="E615" s="415"/>
      <c r="F615" s="415"/>
      <c r="G615" s="415"/>
      <c r="H615" s="415"/>
      <c r="I615" s="415"/>
      <c r="J615" s="415"/>
      <c r="K615" s="415"/>
      <c r="L615" s="415"/>
      <c r="M615" s="415"/>
      <c r="N615" s="415"/>
      <c r="O615" s="415"/>
    </row>
    <row r="616" spans="1:15" ht="12.75" customHeight="1">
      <c r="A616" s="8"/>
      <c r="B616" s="416" t="s">
        <v>224</v>
      </c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90"/>
    </row>
    <row r="617" spans="1:15" ht="13.8">
      <c r="A617" s="8"/>
      <c r="B617" s="8"/>
      <c r="C617" s="8"/>
      <c r="D617" s="8"/>
      <c r="E617" s="8"/>
      <c r="F617" s="8"/>
      <c r="G617" s="8"/>
      <c r="H617" s="3"/>
      <c r="I617" s="3"/>
      <c r="J617" s="3"/>
      <c r="K617" s="303" t="s">
        <v>170</v>
      </c>
      <c r="L617" s="113"/>
      <c r="M617" s="113"/>
      <c r="N617" s="113"/>
      <c r="O617" s="113"/>
    </row>
    <row r="618" spans="1:15">
      <c r="A618" s="8"/>
      <c r="B618" s="8"/>
      <c r="C618" s="8"/>
      <c r="D618" s="8"/>
      <c r="E618" s="8"/>
      <c r="F618" s="8"/>
      <c r="G618" s="419"/>
      <c r="H618" s="304"/>
      <c r="I618" s="304"/>
      <c r="J618" s="304">
        <f t="shared" ref="J618:O618" si="59">J$242</f>
        <v>2021</v>
      </c>
      <c r="K618" s="420">
        <f t="shared" si="59"/>
        <v>2022</v>
      </c>
      <c r="L618" s="420">
        <f t="shared" si="59"/>
        <v>2023</v>
      </c>
      <c r="M618" s="420">
        <f t="shared" si="59"/>
        <v>2024</v>
      </c>
      <c r="N618" s="420">
        <f t="shared" si="59"/>
        <v>2025</v>
      </c>
      <c r="O618" s="420">
        <f t="shared" si="59"/>
        <v>2026</v>
      </c>
    </row>
    <row r="619" spans="1:15" ht="6" customHeight="1">
      <c r="A619" s="8"/>
      <c r="B619" s="8"/>
      <c r="C619" s="8"/>
      <c r="D619" s="8"/>
      <c r="E619" s="8"/>
      <c r="F619" s="301"/>
      <c r="G619" s="8"/>
      <c r="H619" s="8"/>
      <c r="I619" s="8"/>
      <c r="J619" s="8"/>
      <c r="K619" s="8"/>
      <c r="L619" s="8"/>
      <c r="M619" s="8"/>
      <c r="N619" s="8"/>
      <c r="O619" s="8"/>
    </row>
    <row r="620" spans="1:15">
      <c r="A620" s="8"/>
      <c r="B620" s="344" t="s">
        <v>313</v>
      </c>
      <c r="C620" s="345"/>
      <c r="D620" s="345"/>
      <c r="E620" s="345"/>
      <c r="F620" s="563"/>
      <c r="G620" s="345"/>
      <c r="H620" s="345"/>
      <c r="I620" s="345"/>
      <c r="J620" s="345"/>
      <c r="K620" s="564">
        <f t="shared" ref="K620:O621" si="60">K573</f>
        <v>7.4999999999999997E-3</v>
      </c>
      <c r="L620" s="564">
        <f t="shared" si="60"/>
        <v>7.4999999999999997E-3</v>
      </c>
      <c r="M620" s="564">
        <f t="shared" si="60"/>
        <v>7.4999999999999997E-3</v>
      </c>
      <c r="N620" s="564">
        <f t="shared" si="60"/>
        <v>0.01</v>
      </c>
      <c r="O620" s="565">
        <f t="shared" si="60"/>
        <v>0.01</v>
      </c>
    </row>
    <row r="621" spans="1:15">
      <c r="A621" s="8"/>
      <c r="B621" s="356" t="s">
        <v>314</v>
      </c>
      <c r="C621" s="318"/>
      <c r="D621" s="318"/>
      <c r="E621" s="318"/>
      <c r="F621" s="566"/>
      <c r="G621" s="318"/>
      <c r="H621" s="318"/>
      <c r="I621" s="318"/>
      <c r="J621" s="567">
        <f>J574</f>
        <v>6</v>
      </c>
      <c r="K621" s="567">
        <f t="shared" si="60"/>
        <v>6.6729427998427084</v>
      </c>
      <c r="L621" s="567">
        <f t="shared" si="60"/>
        <v>5.6572147443411263</v>
      </c>
      <c r="M621" s="567">
        <f t="shared" si="60"/>
        <v>4.3250902732422176</v>
      </c>
      <c r="N621" s="567">
        <f t="shared" si="60"/>
        <v>3.5612568362894375</v>
      </c>
      <c r="O621" s="568">
        <f t="shared" si="60"/>
        <v>2.8809895474181171</v>
      </c>
    </row>
    <row r="622" spans="1:15" ht="12.75" customHeight="1">
      <c r="A622" s="8"/>
      <c r="B622" s="8"/>
      <c r="C622" s="8"/>
      <c r="D622" s="8"/>
      <c r="E622" s="8"/>
      <c r="F622" s="301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2.75" customHeight="1">
      <c r="A623" s="8"/>
      <c r="B623" s="8"/>
      <c r="C623" s="42" t="s">
        <v>149</v>
      </c>
      <c r="D623" s="8"/>
      <c r="E623" s="8"/>
      <c r="F623" s="301"/>
      <c r="G623" s="8"/>
      <c r="H623" s="8"/>
      <c r="I623" s="8"/>
      <c r="J623" s="8"/>
      <c r="K623" s="8"/>
      <c r="L623" s="8"/>
      <c r="M623" s="8"/>
      <c r="N623" s="8"/>
      <c r="O623" s="8"/>
    </row>
    <row r="624" spans="1:15">
      <c r="A624" s="8"/>
      <c r="B624" s="8"/>
      <c r="C624" s="8"/>
      <c r="D624" s="8" t="s">
        <v>315</v>
      </c>
      <c r="E624" s="8"/>
      <c r="F624" s="301"/>
      <c r="G624" s="8"/>
      <c r="H624" s="8"/>
      <c r="I624" s="8"/>
      <c r="J624" s="8"/>
      <c r="K624" s="398">
        <f>J626</f>
        <v>237.29109044444436</v>
      </c>
      <c r="L624" s="398">
        <f>K626</f>
        <v>237.29109044444436</v>
      </c>
      <c r="M624" s="398">
        <f>L626</f>
        <v>237.29109044444436</v>
      </c>
      <c r="N624" s="398">
        <f>M626</f>
        <v>237.29109044444436</v>
      </c>
      <c r="O624" s="398">
        <f>N626</f>
        <v>237.29109044444436</v>
      </c>
    </row>
    <row r="625" spans="1:15">
      <c r="A625" s="8"/>
      <c r="B625" s="8"/>
      <c r="C625" s="8"/>
      <c r="D625" s="8" t="s">
        <v>319</v>
      </c>
      <c r="E625" s="8"/>
      <c r="F625" s="301"/>
      <c r="G625" s="8"/>
      <c r="H625" s="8"/>
      <c r="I625" s="8"/>
      <c r="J625" s="35"/>
      <c r="K625" s="518">
        <f>I168</f>
        <v>0</v>
      </c>
      <c r="L625" s="518">
        <f>K625</f>
        <v>0</v>
      </c>
      <c r="M625" s="518">
        <f>L625</f>
        <v>0</v>
      </c>
      <c r="N625" s="518">
        <f>M625</f>
        <v>0</v>
      </c>
      <c r="O625" s="518">
        <f>N625</f>
        <v>0</v>
      </c>
    </row>
    <row r="626" spans="1:15">
      <c r="A626" s="8"/>
      <c r="B626" s="8"/>
      <c r="C626" s="8"/>
      <c r="D626" s="8" t="s">
        <v>317</v>
      </c>
      <c r="E626" s="8"/>
      <c r="F626" s="301"/>
      <c r="G626" s="8"/>
      <c r="H626" s="8"/>
      <c r="I626" s="381"/>
      <c r="J626" s="81">
        <f>J446</f>
        <v>237.29109044444436</v>
      </c>
      <c r="K626" s="81">
        <f>SUM(K624:K625)</f>
        <v>237.29109044444436</v>
      </c>
      <c r="L626" s="81">
        <f>SUM(L624:L625)</f>
        <v>237.29109044444436</v>
      </c>
      <c r="M626" s="81">
        <f>SUM(M624:M625)</f>
        <v>237.29109044444436</v>
      </c>
      <c r="N626" s="81">
        <f>SUM(N624:N625)</f>
        <v>237.29109044444436</v>
      </c>
      <c r="O626" s="81">
        <f>SUM(O624:O625)</f>
        <v>237.29109044444436</v>
      </c>
    </row>
    <row r="627" spans="1:15" ht="6" customHeight="1">
      <c r="A627" s="8"/>
      <c r="B627" s="8"/>
      <c r="C627" s="8"/>
      <c r="D627" s="8"/>
      <c r="E627" s="8"/>
      <c r="F627" s="301"/>
      <c r="G627" s="8"/>
      <c r="H627" s="8"/>
      <c r="I627" s="8"/>
      <c r="J627" s="8"/>
      <c r="K627" s="8"/>
      <c r="L627" s="8"/>
      <c r="M627" s="8"/>
      <c r="N627" s="8"/>
      <c r="O627" s="8"/>
    </row>
    <row r="628" spans="1:15">
      <c r="A628" s="8"/>
      <c r="B628" s="8"/>
      <c r="C628" s="8"/>
      <c r="D628" s="8" t="s">
        <v>323</v>
      </c>
      <c r="E628" s="8"/>
      <c r="F628" s="301"/>
      <c r="G628" s="8"/>
      <c r="H628" s="8"/>
      <c r="I628" s="8"/>
      <c r="J628" s="8"/>
      <c r="K628" s="569">
        <f>I24</f>
        <v>5.5E-2</v>
      </c>
      <c r="L628" s="570">
        <f>K628</f>
        <v>5.5E-2</v>
      </c>
      <c r="M628" s="570">
        <f>L628</f>
        <v>5.5E-2</v>
      </c>
      <c r="N628" s="570">
        <f>M628</f>
        <v>5.5E-2</v>
      </c>
      <c r="O628" s="570">
        <f>N628</f>
        <v>5.5E-2</v>
      </c>
    </row>
    <row r="629" spans="1:15">
      <c r="A629" s="8"/>
      <c r="B629" s="8"/>
      <c r="C629" s="8"/>
      <c r="D629" s="42" t="s">
        <v>321</v>
      </c>
      <c r="E629" s="8"/>
      <c r="F629" s="301"/>
      <c r="G629" s="8"/>
      <c r="H629" s="8"/>
      <c r="I629" s="8"/>
      <c r="J629" s="8"/>
      <c r="K629" s="571">
        <f>K628*J626</f>
        <v>13.05100997444444</v>
      </c>
      <c r="L629" s="571">
        <f>L628*K626</f>
        <v>13.05100997444444</v>
      </c>
      <c r="M629" s="571">
        <f>M628*L626</f>
        <v>13.05100997444444</v>
      </c>
      <c r="N629" s="571">
        <f>N628*M626</f>
        <v>13.05100997444444</v>
      </c>
      <c r="O629" s="571">
        <f>O628*N626</f>
        <v>13.05100997444444</v>
      </c>
    </row>
    <row r="630" spans="1:15" ht="12.75" customHeight="1">
      <c r="A630" s="8"/>
      <c r="B630" s="8"/>
      <c r="C630" s="8"/>
      <c r="D630" s="8"/>
      <c r="E630" s="8"/>
      <c r="F630" s="301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2.75" customHeight="1">
      <c r="A631" s="8"/>
      <c r="B631" s="8"/>
      <c r="C631" s="8"/>
      <c r="D631" s="8"/>
      <c r="E631" s="8"/>
      <c r="F631" s="301"/>
      <c r="G631" s="8"/>
      <c r="H631" s="8"/>
      <c r="I631" s="8"/>
      <c r="J631" s="8"/>
      <c r="K631" s="8"/>
      <c r="L631" s="8"/>
      <c r="M631" s="8"/>
      <c r="N631" s="8"/>
      <c r="O631" s="8"/>
    </row>
    <row r="632" spans="1:15">
      <c r="A632" s="8"/>
      <c r="B632" s="8"/>
      <c r="C632" s="42" t="s">
        <v>153</v>
      </c>
      <c r="D632" s="8"/>
      <c r="E632" s="8"/>
      <c r="F632" s="301"/>
      <c r="G632" s="8"/>
      <c r="H632" s="8"/>
      <c r="I632" s="8"/>
      <c r="J632" s="8"/>
      <c r="K632" s="8"/>
      <c r="L632" s="8"/>
      <c r="M632" s="8"/>
      <c r="N632" s="8"/>
      <c r="O632" s="8"/>
    </row>
    <row r="633" spans="1:15">
      <c r="A633" s="8"/>
      <c r="B633" s="8"/>
      <c r="C633" s="8"/>
      <c r="D633" s="8" t="s">
        <v>315</v>
      </c>
      <c r="E633" s="8"/>
      <c r="F633" s="301"/>
      <c r="G633" s="8"/>
      <c r="H633" s="8"/>
      <c r="I633" s="8"/>
      <c r="J633" s="8"/>
      <c r="K633" s="398">
        <f>J636</f>
        <v>197.7425753703703</v>
      </c>
      <c r="L633" s="398">
        <f>K636</f>
        <v>206.04776353592587</v>
      </c>
      <c r="M633" s="398">
        <f>L636</f>
        <v>214.70176960443476</v>
      </c>
      <c r="N633" s="398">
        <f>M636</f>
        <v>223.71924392782103</v>
      </c>
      <c r="O633" s="398">
        <f>N636</f>
        <v>223.71924392782103</v>
      </c>
    </row>
    <row r="634" spans="1:15">
      <c r="A634" s="8"/>
      <c r="B634" s="8"/>
      <c r="C634" s="8"/>
      <c r="D634" s="8" t="s">
        <v>324</v>
      </c>
      <c r="E634" s="8"/>
      <c r="F634" s="301"/>
      <c r="G634" s="8"/>
      <c r="H634" s="8"/>
      <c r="I634" s="8"/>
      <c r="J634" s="8"/>
      <c r="K634" s="398">
        <f>I173</f>
        <v>0</v>
      </c>
      <c r="L634" s="398">
        <f>K634</f>
        <v>0</v>
      </c>
      <c r="M634" s="398">
        <f>L634</f>
        <v>0</v>
      </c>
      <c r="N634" s="398">
        <f>M634</f>
        <v>0</v>
      </c>
      <c r="O634" s="398">
        <f>N634</f>
        <v>0</v>
      </c>
    </row>
    <row r="635" spans="1:15">
      <c r="A635" s="8"/>
      <c r="B635" s="8"/>
      <c r="C635" s="8"/>
      <c r="D635" s="8" t="s">
        <v>325</v>
      </c>
      <c r="E635" s="8"/>
      <c r="F635" s="301"/>
      <c r="G635" s="8"/>
      <c r="H635" s="8"/>
      <c r="I635" s="8"/>
      <c r="J635" s="35"/>
      <c r="K635" s="518">
        <f>K642</f>
        <v>8.3051881655555526</v>
      </c>
      <c r="L635" s="518">
        <f>L642</f>
        <v>8.6540060685088864</v>
      </c>
      <c r="M635" s="518">
        <f>M642</f>
        <v>9.01747432338626</v>
      </c>
      <c r="N635" s="518">
        <f>N642</f>
        <v>0</v>
      </c>
      <c r="O635" s="518">
        <f>O642</f>
        <v>0</v>
      </c>
    </row>
    <row r="636" spans="1:15">
      <c r="A636" s="8"/>
      <c r="B636" s="8"/>
      <c r="C636" s="8"/>
      <c r="D636" s="8" t="s">
        <v>317</v>
      </c>
      <c r="E636" s="8"/>
      <c r="F636" s="301"/>
      <c r="G636" s="8"/>
      <c r="H636" s="8"/>
      <c r="I636" s="381"/>
      <c r="J636" s="81">
        <f>J447</f>
        <v>197.7425753703703</v>
      </c>
      <c r="K636" s="81">
        <f>SUM(K633:K635)</f>
        <v>206.04776353592587</v>
      </c>
      <c r="L636" s="81">
        <f>SUM(L633:L635)</f>
        <v>214.70176960443476</v>
      </c>
      <c r="M636" s="81">
        <f>SUM(M633:M635)</f>
        <v>223.71924392782103</v>
      </c>
      <c r="N636" s="81">
        <f>SUM(N633:N635)</f>
        <v>223.71924392782103</v>
      </c>
      <c r="O636" s="81">
        <f>SUM(O633:O635)</f>
        <v>223.71924392782103</v>
      </c>
    </row>
    <row r="637" spans="1:15">
      <c r="A637" s="8"/>
      <c r="B637" s="8"/>
      <c r="C637" s="8"/>
      <c r="D637" s="8"/>
      <c r="E637" s="8"/>
      <c r="F637" s="301"/>
      <c r="G637" s="8"/>
      <c r="H637" s="8"/>
      <c r="I637" s="8"/>
      <c r="J637" s="8"/>
      <c r="K637" s="8"/>
      <c r="L637" s="8"/>
      <c r="M637" s="8"/>
      <c r="N637" s="8"/>
      <c r="O637" s="8"/>
    </row>
    <row r="638" spans="1:15">
      <c r="A638" s="8"/>
      <c r="B638" s="8"/>
      <c r="C638" s="8"/>
      <c r="D638" s="8" t="s">
        <v>326</v>
      </c>
      <c r="E638" s="8"/>
      <c r="F638" s="301"/>
      <c r="G638" s="8"/>
      <c r="H638" s="8"/>
      <c r="I638" s="8"/>
      <c r="J638" s="8"/>
      <c r="K638" s="572">
        <f>IF(J574&gt;$I$175,$I$174,0)</f>
        <v>0.6</v>
      </c>
      <c r="L638" s="572">
        <f>IF(K574&gt;$I$175,$I$174,0)</f>
        <v>0.6</v>
      </c>
      <c r="M638" s="572">
        <f>IF(L574&gt;$I$175,$I$174,0)</f>
        <v>0.6</v>
      </c>
      <c r="N638" s="572">
        <f>IF(M574&gt;$I$175,$I$174,0)</f>
        <v>0</v>
      </c>
      <c r="O638" s="572">
        <f>IF(N574&gt;$I$175,$I$174,0)</f>
        <v>0</v>
      </c>
    </row>
    <row r="639" spans="1:15">
      <c r="A639" s="8"/>
      <c r="B639" s="8"/>
      <c r="C639" s="8"/>
      <c r="D639" s="8" t="s">
        <v>327</v>
      </c>
      <c r="E639" s="8"/>
      <c r="F639" s="301"/>
      <c r="G639" s="8"/>
      <c r="H639" s="8"/>
      <c r="I639" s="8"/>
      <c r="J639" s="8"/>
      <c r="K639" s="572">
        <f>1-K638</f>
        <v>0.4</v>
      </c>
      <c r="L639" s="572">
        <f>1-L638</f>
        <v>0.4</v>
      </c>
      <c r="M639" s="572">
        <f>1-M638</f>
        <v>0.4</v>
      </c>
      <c r="N639" s="572">
        <f>1-N638</f>
        <v>1</v>
      </c>
      <c r="O639" s="572">
        <f>1-O638</f>
        <v>1</v>
      </c>
    </row>
    <row r="640" spans="1:15">
      <c r="A640" s="8"/>
      <c r="B640" s="8"/>
      <c r="C640" s="8"/>
      <c r="D640" s="8" t="s">
        <v>26</v>
      </c>
      <c r="E640" s="8"/>
      <c r="F640" s="301"/>
      <c r="G640" s="8"/>
      <c r="H640" s="8"/>
      <c r="I640" s="8"/>
      <c r="J640" s="8"/>
      <c r="K640" s="572">
        <f>I25</f>
        <v>7.0000000000000007E-2</v>
      </c>
      <c r="L640" s="572">
        <f>K640</f>
        <v>7.0000000000000007E-2</v>
      </c>
      <c r="M640" s="572">
        <f>L640</f>
        <v>7.0000000000000007E-2</v>
      </c>
      <c r="N640" s="572">
        <f>M640</f>
        <v>7.0000000000000007E-2</v>
      </c>
      <c r="O640" s="572">
        <f>N640</f>
        <v>7.0000000000000007E-2</v>
      </c>
    </row>
    <row r="641" spans="1:15">
      <c r="A641" s="8"/>
      <c r="B641" s="8"/>
      <c r="C641" s="8"/>
      <c r="D641" s="8"/>
      <c r="E641" s="8"/>
      <c r="F641" s="301"/>
      <c r="G641" s="8"/>
      <c r="H641" s="8"/>
      <c r="I641" s="8"/>
      <c r="J641" s="8"/>
      <c r="K641" s="8"/>
      <c r="L641" s="8"/>
      <c r="M641" s="8"/>
      <c r="N641" s="8"/>
      <c r="O641" s="8"/>
    </row>
    <row r="642" spans="1:15">
      <c r="A642" s="8"/>
      <c r="B642" s="8"/>
      <c r="C642" s="8"/>
      <c r="D642" s="8" t="s">
        <v>328</v>
      </c>
      <c r="E642" s="8"/>
      <c r="F642" s="301"/>
      <c r="G642" s="8"/>
      <c r="H642" s="8"/>
      <c r="I642" s="8"/>
      <c r="J642" s="8"/>
      <c r="K642" s="398">
        <f>K640*K638*J636</f>
        <v>8.3051881655555526</v>
      </c>
      <c r="L642" s="398">
        <f>L640*L638*K636</f>
        <v>8.6540060685088864</v>
      </c>
      <c r="M642" s="398">
        <f>M640*M638*L636</f>
        <v>9.01747432338626</v>
      </c>
      <c r="N642" s="398">
        <f>N640*N638*M636</f>
        <v>0</v>
      </c>
      <c r="O642" s="398">
        <f>O640*O638*N636</f>
        <v>0</v>
      </c>
    </row>
    <row r="643" spans="1:15">
      <c r="A643" s="8"/>
      <c r="B643" s="8"/>
      <c r="C643" s="8"/>
      <c r="D643" s="8" t="s">
        <v>329</v>
      </c>
      <c r="E643" s="8"/>
      <c r="F643" s="301"/>
      <c r="G643" s="8"/>
      <c r="H643" s="8"/>
      <c r="I643" s="8"/>
      <c r="J643" s="8"/>
      <c r="K643" s="398">
        <f>K640*K639*J636</f>
        <v>5.536792110370369</v>
      </c>
      <c r="L643" s="398">
        <f>L640*L639*K636</f>
        <v>5.7693373790059255</v>
      </c>
      <c r="M643" s="398">
        <f>M640*M639*L636</f>
        <v>6.0116495489241739</v>
      </c>
      <c r="N643" s="398">
        <f>N640*N639*M636</f>
        <v>15.660347074947474</v>
      </c>
      <c r="O643" s="398">
        <f>O640*O639*N636</f>
        <v>15.660347074947474</v>
      </c>
    </row>
    <row r="644" spans="1:15">
      <c r="A644" s="8"/>
      <c r="B644" s="8"/>
      <c r="C644" s="8"/>
      <c r="D644" s="42" t="s">
        <v>210</v>
      </c>
      <c r="E644" s="8"/>
      <c r="F644" s="301"/>
      <c r="G644" s="8"/>
      <c r="H644" s="8"/>
      <c r="I644" s="8"/>
      <c r="J644" s="8"/>
      <c r="K644" s="571">
        <f>SUM(K642:K643)</f>
        <v>13.841980275925922</v>
      </c>
      <c r="L644" s="571">
        <f>SUM(L642:L643)</f>
        <v>14.423343447514812</v>
      </c>
      <c r="M644" s="571">
        <f>SUM(M642:M643)</f>
        <v>15.029123872310434</v>
      </c>
      <c r="N644" s="571">
        <f>SUM(N642:N643)</f>
        <v>15.660347074947474</v>
      </c>
      <c r="O644" s="571">
        <f>SUM(O642:O643)</f>
        <v>15.660347074947474</v>
      </c>
    </row>
    <row r="645" spans="1:15">
      <c r="A645" s="8"/>
      <c r="B645" s="8"/>
      <c r="C645" s="42"/>
      <c r="D645" s="8"/>
      <c r="E645" s="8"/>
      <c r="F645" s="301"/>
      <c r="G645" s="8"/>
      <c r="H645" s="8"/>
      <c r="I645" s="8"/>
      <c r="J645" s="8"/>
      <c r="K645" s="8"/>
      <c r="L645" s="8"/>
      <c r="M645" s="8"/>
      <c r="N645" s="8"/>
      <c r="O645" s="8"/>
    </row>
    <row r="646" spans="1:15">
      <c r="A646" s="8"/>
      <c r="B646" s="35"/>
      <c r="C646" s="35"/>
      <c r="D646" s="35"/>
      <c r="E646" s="35"/>
      <c r="F646" s="336"/>
      <c r="G646" s="35"/>
      <c r="H646" s="35"/>
      <c r="I646" s="35"/>
      <c r="J646" s="35"/>
      <c r="K646" s="35"/>
      <c r="L646" s="35"/>
      <c r="M646" s="35"/>
      <c r="N646" s="35"/>
      <c r="O646" s="35"/>
    </row>
    <row r="647" spans="1:15">
      <c r="A647" s="8"/>
      <c r="B647" s="8"/>
      <c r="C647" s="42"/>
      <c r="D647" s="8"/>
      <c r="E647" s="8"/>
      <c r="F647" s="301"/>
      <c r="G647" s="8"/>
      <c r="H647" s="8"/>
      <c r="I647" s="8"/>
      <c r="J647" s="8"/>
      <c r="K647" s="8"/>
      <c r="L647" s="8"/>
      <c r="M647" s="8"/>
      <c r="N647" s="8"/>
      <c r="O647" s="8"/>
    </row>
    <row r="648" spans="1:15">
      <c r="A648" s="8"/>
      <c r="B648" s="8"/>
      <c r="C648" s="8"/>
      <c r="D648" s="8"/>
      <c r="E648" s="8"/>
      <c r="F648" s="301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2.75" customHeight="1">
      <c r="A649" s="8"/>
      <c r="B649" s="8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38" t="str">
        <f>$O$236</f>
        <v>CURRENTLY RUNNING: BASE CASE SCENARIO</v>
      </c>
    </row>
    <row r="650" spans="1:15" ht="22.8" customHeight="1">
      <c r="A650" s="8"/>
      <c r="B650" s="86" t="str">
        <f>$B$3</f>
        <v>Moonbucks Corp.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18.75" customHeight="1">
      <c r="A651" s="8"/>
      <c r="B651" s="293" t="s">
        <v>330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6" customHeight="1" thickBot="1">
      <c r="A652" s="8"/>
      <c r="B652" s="297"/>
      <c r="C652" s="415"/>
      <c r="D652" s="415"/>
      <c r="E652" s="415"/>
      <c r="F652" s="415"/>
      <c r="G652" s="415"/>
      <c r="H652" s="415"/>
      <c r="I652" s="415"/>
      <c r="J652" s="415"/>
      <c r="K652" s="415"/>
      <c r="L652" s="415"/>
      <c r="M652" s="415"/>
      <c r="N652" s="415"/>
      <c r="O652" s="415"/>
    </row>
    <row r="653" spans="1:15" ht="12.75" customHeight="1">
      <c r="A653" s="8"/>
      <c r="B653" s="416" t="s">
        <v>224</v>
      </c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90"/>
    </row>
    <row r="654" spans="1:15" ht="13.8">
      <c r="A654" s="8"/>
      <c r="B654" s="8"/>
      <c r="C654" s="8"/>
      <c r="D654" s="8"/>
      <c r="E654" s="8"/>
      <c r="F654" s="8"/>
      <c r="G654" s="8"/>
      <c r="H654" s="3"/>
      <c r="I654" s="3"/>
      <c r="J654" s="3"/>
      <c r="K654" s="303" t="s">
        <v>170</v>
      </c>
      <c r="L654" s="113"/>
      <c r="M654" s="113"/>
      <c r="N654" s="113"/>
      <c r="O654" s="113"/>
    </row>
    <row r="655" spans="1:15">
      <c r="A655" s="8"/>
      <c r="B655" s="8"/>
      <c r="C655" s="8"/>
      <c r="D655" s="8"/>
      <c r="E655" s="8"/>
      <c r="F655" s="8"/>
      <c r="G655" s="419"/>
      <c r="H655" s="304"/>
      <c r="I655" s="304"/>
      <c r="J655" s="304">
        <f t="shared" ref="J655:O655" si="61">J$242</f>
        <v>2021</v>
      </c>
      <c r="K655" s="420">
        <f t="shared" si="61"/>
        <v>2022</v>
      </c>
      <c r="L655" s="420">
        <f t="shared" si="61"/>
        <v>2023</v>
      </c>
      <c r="M655" s="420">
        <f t="shared" si="61"/>
        <v>2024</v>
      </c>
      <c r="N655" s="420">
        <f t="shared" si="61"/>
        <v>2025</v>
      </c>
      <c r="O655" s="420">
        <f t="shared" si="61"/>
        <v>2026</v>
      </c>
    </row>
    <row r="656" spans="1:15" ht="6" customHeight="1">
      <c r="A656" s="8"/>
      <c r="B656" s="8"/>
      <c r="C656" s="8"/>
      <c r="D656" s="8"/>
      <c r="E656" s="8"/>
      <c r="F656" s="301"/>
      <c r="G656" s="8"/>
      <c r="H656" s="8"/>
      <c r="I656" s="8"/>
      <c r="J656" s="8"/>
      <c r="K656" s="8"/>
      <c r="L656" s="8"/>
      <c r="M656" s="8"/>
      <c r="N656" s="8"/>
      <c r="O656" s="8"/>
    </row>
    <row r="657" spans="1:15">
      <c r="A657" s="8"/>
      <c r="B657" s="344" t="s">
        <v>313</v>
      </c>
      <c r="C657" s="345"/>
      <c r="D657" s="345"/>
      <c r="E657" s="345"/>
      <c r="F657" s="563"/>
      <c r="G657" s="345"/>
      <c r="H657" s="345"/>
      <c r="I657" s="345"/>
      <c r="J657" s="345"/>
      <c r="K657" s="564">
        <f t="shared" ref="K657:O658" si="62">K620</f>
        <v>7.4999999999999997E-3</v>
      </c>
      <c r="L657" s="564">
        <f t="shared" si="62"/>
        <v>7.4999999999999997E-3</v>
      </c>
      <c r="M657" s="564">
        <f t="shared" si="62"/>
        <v>7.4999999999999997E-3</v>
      </c>
      <c r="N657" s="564">
        <f t="shared" si="62"/>
        <v>0.01</v>
      </c>
      <c r="O657" s="565">
        <f t="shared" si="62"/>
        <v>0.01</v>
      </c>
    </row>
    <row r="658" spans="1:15">
      <c r="A658" s="8"/>
      <c r="B658" s="356" t="s">
        <v>314</v>
      </c>
      <c r="C658" s="318"/>
      <c r="D658" s="318"/>
      <c r="E658" s="318"/>
      <c r="F658" s="566"/>
      <c r="G658" s="318"/>
      <c r="H658" s="318"/>
      <c r="I658" s="318"/>
      <c r="J658" s="567">
        <f>J621</f>
        <v>6</v>
      </c>
      <c r="K658" s="567">
        <f t="shared" si="62"/>
        <v>6.6729427998427084</v>
      </c>
      <c r="L658" s="567">
        <f t="shared" si="62"/>
        <v>5.6572147443411263</v>
      </c>
      <c r="M658" s="567">
        <f t="shared" si="62"/>
        <v>4.3250902732422176</v>
      </c>
      <c r="N658" s="567">
        <f t="shared" si="62"/>
        <v>3.5612568362894375</v>
      </c>
      <c r="O658" s="568">
        <f t="shared" si="62"/>
        <v>2.8809895474181171</v>
      </c>
    </row>
    <row r="659" spans="1:15" ht="12.75" customHeight="1">
      <c r="A659" s="8"/>
      <c r="B659" s="8"/>
      <c r="C659" s="8"/>
      <c r="D659" s="8"/>
      <c r="E659" s="8"/>
      <c r="F659" s="301"/>
      <c r="G659" s="8"/>
      <c r="H659" s="8"/>
      <c r="I659" s="8"/>
      <c r="J659" s="8"/>
      <c r="K659" s="8"/>
      <c r="L659" s="8"/>
      <c r="M659" s="8"/>
      <c r="N659" s="8"/>
      <c r="O659" s="8"/>
    </row>
    <row r="660" spans="1:15">
      <c r="A660" s="8"/>
      <c r="B660" s="8"/>
      <c r="C660" s="42" t="s">
        <v>331</v>
      </c>
      <c r="D660" s="8"/>
      <c r="E660" s="8"/>
      <c r="F660" s="301"/>
      <c r="G660" s="8"/>
      <c r="H660" s="8"/>
      <c r="I660" s="8"/>
      <c r="J660" s="8"/>
      <c r="K660" s="8"/>
      <c r="L660" s="8"/>
      <c r="M660" s="8"/>
      <c r="N660" s="8"/>
      <c r="O660" s="8"/>
    </row>
    <row r="661" spans="1:15">
      <c r="A661" s="8"/>
      <c r="B661" s="42"/>
      <c r="C661" s="8"/>
      <c r="D661" s="8" t="s">
        <v>232</v>
      </c>
      <c r="E661" s="8"/>
      <c r="F661" s="301"/>
      <c r="G661" s="8"/>
      <c r="H661" s="573"/>
      <c r="I661" s="573"/>
      <c r="J661" s="573"/>
      <c r="K661" s="424">
        <f>K395</f>
        <v>34.09347099724242</v>
      </c>
      <c r="L661" s="424">
        <f>L395</f>
        <v>62.037756300228921</v>
      </c>
      <c r="M661" s="424">
        <f>M395</f>
        <v>82.344811998506628</v>
      </c>
      <c r="N661" s="424">
        <f>N395</f>
        <v>70.50882801714495</v>
      </c>
      <c r="O661" s="424">
        <f>O395</f>
        <v>65.613098536740083</v>
      </c>
    </row>
    <row r="662" spans="1:15">
      <c r="A662" s="8"/>
      <c r="B662" s="42"/>
      <c r="C662" s="8"/>
      <c r="D662" s="8" t="s">
        <v>332</v>
      </c>
      <c r="E662" s="8"/>
      <c r="F662" s="301"/>
      <c r="G662" s="8"/>
      <c r="H662" s="573"/>
      <c r="I662" s="573"/>
      <c r="J662" s="573"/>
      <c r="K662" s="424">
        <f>K634+K625+K602+K590</f>
        <v>-19.77425753703703</v>
      </c>
      <c r="L662" s="424">
        <f>L634+L625+L602+L590</f>
        <v>-37.571089320370362</v>
      </c>
      <c r="M662" s="424">
        <f>M634+M625+M602+M590</f>
        <v>-25.706534798148141</v>
      </c>
      <c r="N662" s="424">
        <f>N634+N625+N602+N590</f>
        <v>-85.029307409259218</v>
      </c>
      <c r="O662" s="424">
        <f>O634+O625+O602+O590</f>
        <v>-79.097030148148136</v>
      </c>
    </row>
    <row r="663" spans="1:15">
      <c r="A663" s="8"/>
      <c r="B663" s="42"/>
      <c r="C663" s="8"/>
      <c r="D663" s="8" t="s">
        <v>333</v>
      </c>
      <c r="E663" s="8"/>
      <c r="F663" s="301"/>
      <c r="G663" s="8"/>
      <c r="H663" s="573"/>
      <c r="I663" s="573"/>
      <c r="J663" s="573"/>
      <c r="K663" s="396">
        <f>-K710-K720</f>
        <v>-12.727280076065735</v>
      </c>
      <c r="L663" s="396">
        <f>-L710-L720</f>
        <v>-13.767486042256579</v>
      </c>
      <c r="M663" s="396">
        <f>-M710-M720</f>
        <v>-15.993667297837874</v>
      </c>
      <c r="N663" s="396">
        <f>-N710-N720</f>
        <v>-17.750147729690575</v>
      </c>
      <c r="O663" s="396">
        <f>-O710-O720</f>
        <v>-20.083914676233995</v>
      </c>
    </row>
    <row r="664" spans="1:15">
      <c r="A664" s="8"/>
      <c r="B664" s="8"/>
      <c r="C664" s="8"/>
      <c r="D664" s="42" t="s">
        <v>334</v>
      </c>
      <c r="E664" s="8"/>
      <c r="F664" s="301"/>
      <c r="G664" s="8"/>
      <c r="H664" s="8"/>
      <c r="I664" s="8"/>
      <c r="J664" s="8"/>
      <c r="K664" s="67">
        <f>SUM(K661:K663)</f>
        <v>1.5919333841396544</v>
      </c>
      <c r="L664" s="67">
        <f>SUM(L661:L663)</f>
        <v>10.69918093760198</v>
      </c>
      <c r="M664" s="67">
        <f>SUM(M661:M663)</f>
        <v>40.644609902520614</v>
      </c>
      <c r="N664" s="67">
        <f>SUM(N661:N663)</f>
        <v>-32.270627121804843</v>
      </c>
      <c r="O664" s="67">
        <f>SUM(O661:O663)</f>
        <v>-33.567846287642048</v>
      </c>
    </row>
    <row r="665" spans="1:15">
      <c r="A665" s="8"/>
      <c r="B665" s="8"/>
      <c r="C665" s="42"/>
      <c r="D665" s="8"/>
      <c r="E665" s="8"/>
      <c r="F665" s="301"/>
      <c r="G665" s="8"/>
      <c r="H665" s="8"/>
      <c r="I665" s="8"/>
      <c r="J665" s="8"/>
      <c r="K665" s="8"/>
      <c r="L665" s="8"/>
      <c r="M665" s="8"/>
      <c r="N665" s="8"/>
      <c r="O665" s="8"/>
    </row>
    <row r="666" spans="1:15">
      <c r="A666" s="8"/>
      <c r="B666" s="8"/>
      <c r="C666" s="8"/>
      <c r="D666" s="8" t="s">
        <v>335</v>
      </c>
      <c r="E666" s="8"/>
      <c r="F666" s="301"/>
      <c r="G666" s="8"/>
      <c r="H666" s="8"/>
      <c r="I666" s="8"/>
      <c r="J666" s="8"/>
      <c r="K666" s="398">
        <f>J668</f>
        <v>79.097030148148121</v>
      </c>
      <c r="L666" s="398">
        <f>K668</f>
        <v>77.505096764008471</v>
      </c>
      <c r="M666" s="398">
        <f>L668</f>
        <v>66.805915826406491</v>
      </c>
      <c r="N666" s="398">
        <f>M668</f>
        <v>26.161305923885877</v>
      </c>
      <c r="O666" s="398">
        <f>N668</f>
        <v>58.43193304569072</v>
      </c>
    </row>
    <row r="667" spans="1:15">
      <c r="A667" s="8"/>
      <c r="B667" s="8"/>
      <c r="C667" s="8"/>
      <c r="D667" s="8" t="s">
        <v>319</v>
      </c>
      <c r="E667" s="8"/>
      <c r="F667" s="301"/>
      <c r="G667" s="8"/>
      <c r="H667" s="8"/>
      <c r="I667" s="8"/>
      <c r="J667" s="35"/>
      <c r="K667" s="626">
        <f>-MIN(K664+K577,K666)</f>
        <v>-1.5919333841396544</v>
      </c>
      <c r="L667" s="626">
        <f>-MIN(L664+L577,L666)</f>
        <v>-10.69918093760198</v>
      </c>
      <c r="M667" s="626">
        <f>-MIN(M664+M577,M666)</f>
        <v>-40.644609902520614</v>
      </c>
      <c r="N667" s="626">
        <f>-MIN(N664+N577,N666)</f>
        <v>32.270627121804843</v>
      </c>
      <c r="O667" s="626">
        <f>-MIN(O664+O577,O666)</f>
        <v>33.567846287642048</v>
      </c>
    </row>
    <row r="668" spans="1:15">
      <c r="A668" s="8"/>
      <c r="B668" s="8"/>
      <c r="C668" s="8"/>
      <c r="D668" s="8" t="s">
        <v>336</v>
      </c>
      <c r="E668" s="8"/>
      <c r="F668" s="301"/>
      <c r="G668" s="8"/>
      <c r="H668" s="8"/>
      <c r="I668" s="381"/>
      <c r="J668" s="81">
        <f>J438</f>
        <v>79.097030148148121</v>
      </c>
      <c r="K668" s="81">
        <f>SUM(K666:K667)</f>
        <v>77.505096764008471</v>
      </c>
      <c r="L668" s="81">
        <f>SUM(L666:L667)</f>
        <v>66.805915826406491</v>
      </c>
      <c r="M668" s="81">
        <f>SUM(M666:M667)</f>
        <v>26.161305923885877</v>
      </c>
      <c r="N668" s="81">
        <f>SUM(N666:N667)</f>
        <v>58.43193304569072</v>
      </c>
      <c r="O668" s="81">
        <f>SUM(O666:O667)</f>
        <v>91.999779333332768</v>
      </c>
    </row>
    <row r="669" spans="1:15" ht="6" customHeight="1">
      <c r="A669" s="8"/>
      <c r="B669" s="8"/>
      <c r="C669" s="8"/>
      <c r="D669" s="8"/>
      <c r="E669" s="8"/>
      <c r="F669" s="301"/>
      <c r="G669" s="8"/>
      <c r="H669" s="8"/>
      <c r="I669" s="8"/>
      <c r="J669" s="8"/>
      <c r="K669" s="8"/>
      <c r="L669" s="8"/>
      <c r="M669" s="8"/>
      <c r="N669" s="8"/>
      <c r="O669" s="8"/>
    </row>
    <row r="670" spans="1:15">
      <c r="A670" s="8"/>
      <c r="B670" s="8"/>
      <c r="C670" s="8"/>
      <c r="D670" s="8" t="s">
        <v>133</v>
      </c>
      <c r="E670" s="8"/>
      <c r="F670" s="301"/>
      <c r="G670" s="8"/>
      <c r="H670" s="8"/>
      <c r="I670" s="8"/>
      <c r="J670" s="8"/>
      <c r="K670" s="569">
        <f>K593</f>
        <v>3.2500000000000001E-2</v>
      </c>
      <c r="L670" s="569">
        <f>L593</f>
        <v>3.2500000000000001E-2</v>
      </c>
      <c r="M670" s="569">
        <f>M593</f>
        <v>3.2500000000000001E-2</v>
      </c>
      <c r="N670" s="569">
        <f>N593</f>
        <v>2.75E-2</v>
      </c>
      <c r="O670" s="569">
        <f>O593</f>
        <v>2.5000000000000001E-2</v>
      </c>
    </row>
    <row r="671" spans="1:15">
      <c r="A671" s="8"/>
      <c r="B671" s="8"/>
      <c r="C671" s="8"/>
      <c r="D671" s="8" t="s">
        <v>320</v>
      </c>
      <c r="E671" s="8"/>
      <c r="F671" s="301"/>
      <c r="G671" s="8"/>
      <c r="H671" s="8"/>
      <c r="I671" s="8"/>
      <c r="J671" s="8"/>
      <c r="K671" s="627">
        <f>K670+K657</f>
        <v>0.04</v>
      </c>
      <c r="L671" s="627">
        <f>L670+L657</f>
        <v>0.04</v>
      </c>
      <c r="M671" s="627">
        <f>M670+M657</f>
        <v>0.04</v>
      </c>
      <c r="N671" s="627">
        <f>N670+N657</f>
        <v>3.7499999999999999E-2</v>
      </c>
      <c r="O671" s="627">
        <f>O670+O657</f>
        <v>3.5000000000000003E-2</v>
      </c>
    </row>
    <row r="672" spans="1:15">
      <c r="A672" s="8"/>
      <c r="B672" s="8"/>
      <c r="C672" s="8"/>
      <c r="D672" s="42" t="s">
        <v>321</v>
      </c>
      <c r="E672" s="8"/>
      <c r="F672" s="301"/>
      <c r="G672" s="8"/>
      <c r="H672" s="8"/>
      <c r="I672" s="8"/>
      <c r="J672" s="8"/>
      <c r="K672" s="571">
        <f>K671*J668</f>
        <v>3.1638812059259251</v>
      </c>
      <c r="L672" s="571">
        <f>L671*K668</f>
        <v>3.100203870560339</v>
      </c>
      <c r="M672" s="571">
        <f>M671*L668</f>
        <v>2.6722366330562597</v>
      </c>
      <c r="N672" s="571">
        <f>N671*M668</f>
        <v>0.98104897214572029</v>
      </c>
      <c r="O672" s="571">
        <f>O671*N668</f>
        <v>2.0451176565991753</v>
      </c>
    </row>
    <row r="673" spans="1:15" ht="6" customHeight="1">
      <c r="A673" s="8"/>
      <c r="B673" s="8"/>
      <c r="C673" s="8"/>
      <c r="D673" s="8"/>
      <c r="E673" s="8"/>
      <c r="F673" s="301"/>
      <c r="G673" s="8"/>
      <c r="H673" s="8"/>
      <c r="I673" s="8"/>
      <c r="J673" s="8"/>
      <c r="K673" s="8"/>
      <c r="L673" s="8"/>
      <c r="M673" s="8"/>
      <c r="N673" s="8"/>
      <c r="O673" s="8"/>
    </row>
    <row r="674" spans="1:15">
      <c r="A674" s="8"/>
      <c r="B674" s="8"/>
      <c r="C674" s="8"/>
      <c r="D674" s="8"/>
      <c r="E674" s="8"/>
      <c r="F674" s="301"/>
      <c r="G674" s="8"/>
      <c r="H674" s="8"/>
      <c r="I674" s="8"/>
      <c r="J674" s="8"/>
      <c r="K674" s="8"/>
      <c r="L674" s="8"/>
      <c r="M674" s="8"/>
      <c r="N674" s="8"/>
      <c r="O674" s="8"/>
    </row>
    <row r="675" spans="1:15">
      <c r="A675" s="8"/>
      <c r="B675" s="8"/>
      <c r="C675" s="42" t="s">
        <v>337</v>
      </c>
      <c r="D675" s="8"/>
      <c r="E675" s="8"/>
      <c r="F675" s="301"/>
      <c r="G675" s="8"/>
      <c r="H675" s="8"/>
      <c r="I675" s="8"/>
      <c r="J675" s="8"/>
      <c r="K675" s="8"/>
      <c r="L675" s="8"/>
      <c r="M675" s="8"/>
      <c r="N675" s="8"/>
      <c r="O675" s="8"/>
    </row>
    <row r="676" spans="1:15">
      <c r="A676" s="8"/>
      <c r="B676" s="42"/>
      <c r="C676" s="8"/>
      <c r="D676" s="8" t="s">
        <v>338</v>
      </c>
      <c r="E676" s="8"/>
      <c r="F676" s="301"/>
      <c r="G676" s="8"/>
      <c r="H676" s="573"/>
      <c r="I676" s="573"/>
      <c r="J676" s="424">
        <f t="shared" ref="J676:O676" si="63">$I$150*J555+$I$151*J556</f>
        <v>113.25</v>
      </c>
      <c r="K676" s="424">
        <f t="shared" si="63"/>
        <v>119.5204968864536</v>
      </c>
      <c r="L676" s="424">
        <f t="shared" si="63"/>
        <v>119.33269596624659</v>
      </c>
      <c r="M676" s="424">
        <f t="shared" si="63"/>
        <v>117.62596832830585</v>
      </c>
      <c r="N676" s="424">
        <f t="shared" si="63"/>
        <v>124.18993663615575</v>
      </c>
      <c r="O676" s="424">
        <f t="shared" si="63"/>
        <v>129.12320444361072</v>
      </c>
    </row>
    <row r="677" spans="1:15">
      <c r="A677" s="8"/>
      <c r="B677" s="42"/>
      <c r="C677" s="8"/>
      <c r="D677" s="8" t="s">
        <v>339</v>
      </c>
      <c r="E677" s="8"/>
      <c r="F677" s="301"/>
      <c r="G677" s="8"/>
      <c r="H677" s="573"/>
      <c r="I677" s="573"/>
      <c r="J677" s="424">
        <f>I147</f>
        <v>125</v>
      </c>
      <c r="K677" s="424">
        <f>MIN($J$677,J676)</f>
        <v>113.25</v>
      </c>
      <c r="L677" s="424">
        <f>MIN($J$677,K676)</f>
        <v>119.5204968864536</v>
      </c>
      <c r="M677" s="424">
        <f>MIN($J$677,L676)</f>
        <v>119.33269596624659</v>
      </c>
      <c r="N677" s="424">
        <f>MIN($J$677,M676)</f>
        <v>117.62596832830585</v>
      </c>
      <c r="O677" s="424">
        <f>MIN($J$677,N676)</f>
        <v>124.18993663615575</v>
      </c>
    </row>
    <row r="678" spans="1:15">
      <c r="A678" s="8"/>
      <c r="B678" s="42"/>
      <c r="C678" s="8"/>
      <c r="D678" s="8"/>
      <c r="E678" s="8"/>
      <c r="F678" s="301"/>
      <c r="G678" s="8"/>
      <c r="H678" s="573"/>
      <c r="I678" s="573"/>
      <c r="J678" s="573"/>
      <c r="K678" s="424"/>
      <c r="L678" s="424"/>
      <c r="M678" s="424"/>
      <c r="N678" s="424"/>
      <c r="O678" s="424"/>
    </row>
    <row r="679" spans="1:15">
      <c r="A679" s="8"/>
      <c r="B679" s="8"/>
      <c r="C679" s="8"/>
      <c r="D679" s="8" t="s">
        <v>340</v>
      </c>
      <c r="E679" s="8"/>
      <c r="F679" s="301"/>
      <c r="G679" s="8"/>
      <c r="H679" s="8"/>
      <c r="I679" s="8"/>
      <c r="J679" s="8"/>
      <c r="K679" s="398">
        <f>J682</f>
        <v>45.902969851851879</v>
      </c>
      <c r="L679" s="398">
        <f>K682</f>
        <v>35.744903235991529</v>
      </c>
      <c r="M679" s="398">
        <f>L682</f>
        <v>52.714581060047109</v>
      </c>
      <c r="N679" s="398">
        <f>M682</f>
        <v>93.171390042360713</v>
      </c>
      <c r="O679" s="398">
        <f>N682</f>
        <v>59.194035282615125</v>
      </c>
    </row>
    <row r="680" spans="1:15" ht="13.35" customHeight="1">
      <c r="A680" s="8"/>
      <c r="B680" s="8"/>
      <c r="C680" s="8"/>
      <c r="D680" s="8" t="s">
        <v>341</v>
      </c>
      <c r="E680" s="8"/>
      <c r="F680" s="301"/>
      <c r="G680" s="8"/>
      <c r="H680" s="8"/>
      <c r="I680" s="8"/>
      <c r="J680" s="8"/>
      <c r="K680" s="398">
        <f>-K667</f>
        <v>1.5919333841396544</v>
      </c>
      <c r="L680" s="398">
        <f>-L667</f>
        <v>10.69918093760198</v>
      </c>
      <c r="M680" s="398">
        <f>-M667</f>
        <v>40.644609902520614</v>
      </c>
      <c r="N680" s="398">
        <f>-N667</f>
        <v>-32.270627121804843</v>
      </c>
      <c r="O680" s="398">
        <f>-O667</f>
        <v>-33.567846287642048</v>
      </c>
    </row>
    <row r="681" spans="1:15" ht="13.35" customHeight="1">
      <c r="A681" s="8"/>
      <c r="B681" s="8"/>
      <c r="C681" s="8"/>
      <c r="D681" s="8" t="s">
        <v>342</v>
      </c>
      <c r="E681" s="8"/>
      <c r="F681" s="301"/>
      <c r="G681" s="8"/>
      <c r="H681" s="8"/>
      <c r="I681" s="8"/>
      <c r="J681" s="35"/>
      <c r="K681" s="518">
        <f>K677-J677</f>
        <v>-11.75</v>
      </c>
      <c r="L681" s="518">
        <f>L677-K677</f>
        <v>6.2704968864535999</v>
      </c>
      <c r="M681" s="518">
        <f>M677-L677</f>
        <v>-0.18780092020701034</v>
      </c>
      <c r="N681" s="518">
        <f>N677-M677</f>
        <v>-1.7067276379407446</v>
      </c>
      <c r="O681" s="518">
        <f>O677-N677</f>
        <v>6.5639683078499047</v>
      </c>
    </row>
    <row r="682" spans="1:15" ht="13.35" customHeight="1">
      <c r="A682" s="8"/>
      <c r="B682" s="8"/>
      <c r="C682" s="8"/>
      <c r="D682" s="8" t="s">
        <v>343</v>
      </c>
      <c r="E682" s="8"/>
      <c r="F682" s="301"/>
      <c r="G682" s="8"/>
      <c r="H682" s="8"/>
      <c r="I682" s="381"/>
      <c r="J682" s="81">
        <f>J677-J668</f>
        <v>45.902969851851879</v>
      </c>
      <c r="K682" s="81">
        <f>SUM(K679:K681)</f>
        <v>35.744903235991529</v>
      </c>
      <c r="L682" s="81">
        <f>SUM(L679:L681)</f>
        <v>52.714581060047109</v>
      </c>
      <c r="M682" s="81">
        <f>SUM(M679:M681)</f>
        <v>93.171390042360713</v>
      </c>
      <c r="N682" s="81">
        <f>SUM(N679:N681)</f>
        <v>59.194035282615125</v>
      </c>
      <c r="O682" s="81">
        <f>SUM(O679:O681)</f>
        <v>32.190157302822982</v>
      </c>
    </row>
    <row r="683" spans="1:15" ht="13.35" customHeight="1">
      <c r="A683" s="8"/>
      <c r="B683" s="42"/>
      <c r="C683" s="8"/>
      <c r="D683" s="8"/>
      <c r="E683" s="8"/>
      <c r="F683" s="301"/>
      <c r="G683" s="8"/>
      <c r="H683" s="573"/>
      <c r="I683" s="573"/>
      <c r="J683" s="573"/>
      <c r="K683" s="424"/>
      <c r="L683" s="424"/>
      <c r="M683" s="424"/>
      <c r="N683" s="424"/>
      <c r="O683" s="424"/>
    </row>
    <row r="684" spans="1:15" ht="13.35" customHeight="1">
      <c r="A684" s="8"/>
      <c r="B684" s="8"/>
      <c r="C684" s="8"/>
      <c r="D684" s="8" t="s">
        <v>344</v>
      </c>
      <c r="E684" s="8"/>
      <c r="F684" s="301"/>
      <c r="G684" s="8"/>
      <c r="H684" s="8"/>
      <c r="I684" s="8"/>
      <c r="J684" s="8"/>
      <c r="K684" s="569">
        <f>I153</f>
        <v>2.5000000000000001E-3</v>
      </c>
      <c r="L684" s="569">
        <f>K684</f>
        <v>2.5000000000000001E-3</v>
      </c>
      <c r="M684" s="569">
        <f>L684</f>
        <v>2.5000000000000001E-3</v>
      </c>
      <c r="N684" s="569">
        <f>M684</f>
        <v>2.5000000000000001E-3</v>
      </c>
      <c r="O684" s="569">
        <f>N684</f>
        <v>2.5000000000000001E-3</v>
      </c>
    </row>
    <row r="685" spans="1:15" ht="13.35" customHeight="1">
      <c r="A685" s="8"/>
      <c r="B685" s="8"/>
      <c r="C685" s="8"/>
      <c r="D685" s="42" t="s">
        <v>345</v>
      </c>
      <c r="E685" s="8"/>
      <c r="F685" s="301"/>
      <c r="G685" s="8"/>
      <c r="H685" s="8"/>
      <c r="I685" s="8"/>
      <c r="J685" s="8"/>
      <c r="K685" s="571">
        <f>K684*J682</f>
        <v>0.11475742462962969</v>
      </c>
      <c r="L685" s="571">
        <f>L684*K682</f>
        <v>8.936225808997883E-2</v>
      </c>
      <c r="M685" s="571">
        <f>M684*L682</f>
        <v>0.13178645265011776</v>
      </c>
      <c r="N685" s="571">
        <f>N684*M682</f>
        <v>0.23292847510590178</v>
      </c>
      <c r="O685" s="571">
        <f>O684*N682</f>
        <v>0.14798508820653783</v>
      </c>
    </row>
    <row r="686" spans="1:15" ht="13.35" customHeight="1">
      <c r="A686" s="8"/>
      <c r="B686" s="42"/>
      <c r="C686" s="8"/>
      <c r="D686" s="8"/>
      <c r="E686" s="8"/>
      <c r="F686" s="301"/>
      <c r="G686" s="8"/>
      <c r="H686" s="573"/>
      <c r="I686" s="573"/>
      <c r="J686" s="573"/>
      <c r="K686" s="424"/>
      <c r="L686" s="424"/>
      <c r="M686" s="424"/>
      <c r="N686" s="424"/>
      <c r="O686" s="424"/>
    </row>
    <row r="687" spans="1:15" ht="13.35" customHeight="1">
      <c r="A687" s="8"/>
      <c r="B687" s="42"/>
      <c r="C687" s="8"/>
      <c r="D687" s="8"/>
      <c r="E687" s="8"/>
      <c r="F687" s="301"/>
      <c r="G687" s="8"/>
      <c r="H687" s="573"/>
      <c r="I687" s="573"/>
      <c r="J687" s="573"/>
      <c r="K687" s="424"/>
      <c r="L687" s="424"/>
      <c r="M687" s="424"/>
      <c r="N687" s="424"/>
      <c r="O687" s="424"/>
    </row>
    <row r="688" spans="1:15" ht="13.35" customHeight="1">
      <c r="A688" s="8"/>
      <c r="B688" s="42"/>
      <c r="C688" s="42" t="s">
        <v>210</v>
      </c>
      <c r="D688" s="8"/>
      <c r="E688" s="8"/>
      <c r="F688" s="301"/>
      <c r="G688" s="8"/>
      <c r="H688" s="573"/>
      <c r="I688" s="573"/>
      <c r="J688" s="573"/>
      <c r="K688" s="424"/>
      <c r="L688" s="424"/>
      <c r="M688" s="424"/>
      <c r="N688" s="424"/>
      <c r="O688" s="424"/>
    </row>
    <row r="689" spans="1:15" ht="13.35" customHeight="1">
      <c r="A689" s="8"/>
      <c r="B689" s="8"/>
      <c r="C689" s="8"/>
      <c r="D689" s="8" t="s">
        <v>208</v>
      </c>
      <c r="E689" s="8"/>
      <c r="F689" s="301"/>
      <c r="G689" s="8"/>
      <c r="H689" s="8"/>
      <c r="I689" s="8"/>
      <c r="J689" s="8"/>
      <c r="K689" s="628">
        <f>K685+K672+K643+K629+K607+K595-K583</f>
        <v>39.267787347962951</v>
      </c>
      <c r="L689" s="628">
        <f>L685+L672+L643+L629+L607+L595-L583</f>
        <v>38.620289813211791</v>
      </c>
      <c r="M689" s="628">
        <f>M685+M672+M643+M629+M607+M595-M583</f>
        <v>36.974215367371286</v>
      </c>
      <c r="N689" s="628">
        <f>N685+N672+N643+N629+N607+N595-N583</f>
        <v>43.124651402615754</v>
      </c>
      <c r="O689" s="628">
        <f>O685+O672+O643+O629+O607+O595-O583</f>
        <v>40.247796480447626</v>
      </c>
    </row>
    <row r="690" spans="1:15" ht="13.35" customHeight="1">
      <c r="A690" s="8"/>
      <c r="B690" s="8"/>
      <c r="C690" s="8"/>
      <c r="D690" s="8" t="s">
        <v>209</v>
      </c>
      <c r="E690" s="8"/>
      <c r="F690" s="301"/>
      <c r="G690" s="8"/>
      <c r="H690" s="8"/>
      <c r="I690" s="8"/>
      <c r="J690" s="8"/>
      <c r="K690" s="518">
        <f>K642</f>
        <v>8.3051881655555526</v>
      </c>
      <c r="L690" s="518">
        <f>L642</f>
        <v>8.6540060685088864</v>
      </c>
      <c r="M690" s="518">
        <f>M642</f>
        <v>9.01747432338626</v>
      </c>
      <c r="N690" s="518">
        <f>N642</f>
        <v>0</v>
      </c>
      <c r="O690" s="518">
        <f>O642</f>
        <v>0</v>
      </c>
    </row>
    <row r="691" spans="1:15" ht="13.35" customHeight="1" thickBot="1">
      <c r="A691" s="8"/>
      <c r="B691" s="8"/>
      <c r="C691" s="42"/>
      <c r="D691" s="42" t="s">
        <v>346</v>
      </c>
      <c r="E691" s="8"/>
      <c r="F691" s="301"/>
      <c r="G691" s="8"/>
      <c r="H691" s="8"/>
      <c r="I691" s="8"/>
      <c r="J691" s="8"/>
      <c r="K691" s="75">
        <f>SUM(K689:K690)</f>
        <v>47.5729755135185</v>
      </c>
      <c r="L691" s="75">
        <f>SUM(L689:L690)</f>
        <v>47.274295881720676</v>
      </c>
      <c r="M691" s="75">
        <f>SUM(M689:M690)</f>
        <v>45.991689690757546</v>
      </c>
      <c r="N691" s="75">
        <f>SUM(N689:N690)</f>
        <v>43.124651402615754</v>
      </c>
      <c r="O691" s="75">
        <f>SUM(O689:O690)</f>
        <v>40.247796480447626</v>
      </c>
    </row>
    <row r="692" spans="1:15" ht="13.35" customHeight="1" thickTop="1">
      <c r="A692" s="8"/>
      <c r="B692" s="8"/>
      <c r="C692" s="8"/>
      <c r="D692" s="8"/>
      <c r="E692" s="8"/>
      <c r="F692" s="301"/>
      <c r="G692" s="8"/>
      <c r="H692" s="8"/>
      <c r="I692" s="8"/>
      <c r="J692" s="8"/>
      <c r="K692" s="398"/>
      <c r="L692" s="398"/>
      <c r="M692" s="398"/>
      <c r="N692" s="398"/>
      <c r="O692" s="398"/>
    </row>
    <row r="693" spans="1:15" ht="13.35" customHeight="1">
      <c r="A693" s="8"/>
      <c r="B693" s="35"/>
      <c r="C693" s="35"/>
      <c r="D693" s="35"/>
      <c r="E693" s="35"/>
      <c r="F693" s="336"/>
      <c r="G693" s="35"/>
      <c r="H693" s="35"/>
      <c r="I693" s="35"/>
      <c r="J693" s="35"/>
      <c r="K693" s="35"/>
      <c r="L693" s="35"/>
      <c r="M693" s="35"/>
      <c r="N693" s="35"/>
      <c r="O693" s="35"/>
    </row>
    <row r="694" spans="1:15" ht="13.35" customHeight="1">
      <c r="A694" s="8"/>
      <c r="B694" s="8"/>
      <c r="C694" s="8"/>
      <c r="D694" s="8"/>
      <c r="E694" s="8"/>
      <c r="F694" s="301"/>
      <c r="G694" s="8"/>
      <c r="H694" s="8"/>
      <c r="I694" s="8"/>
      <c r="J694" s="8"/>
      <c r="K694" s="398"/>
      <c r="L694" s="398"/>
      <c r="M694" s="398"/>
      <c r="N694" s="398"/>
      <c r="O694" s="398"/>
    </row>
    <row r="695" spans="1:15" ht="13.35" customHeight="1">
      <c r="A695" s="8"/>
      <c r="B695" s="8"/>
      <c r="C695" s="8"/>
      <c r="D695" s="8"/>
      <c r="E695" s="8"/>
      <c r="F695" s="301"/>
      <c r="G695" s="8"/>
      <c r="H695" s="8"/>
      <c r="I695" s="8"/>
      <c r="J695" s="8"/>
      <c r="K695" s="398"/>
      <c r="L695" s="398"/>
      <c r="M695" s="398"/>
      <c r="N695" s="398"/>
      <c r="O695" s="398"/>
    </row>
    <row r="696" spans="1:15" ht="13.35" customHeight="1">
      <c r="A696" s="8"/>
      <c r="B696" s="8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38" t="str">
        <f>$O$236</f>
        <v>CURRENTLY RUNNING: BASE CASE SCENARIO</v>
      </c>
    </row>
    <row r="697" spans="1:15" ht="22.8" customHeight="1">
      <c r="A697" s="8"/>
      <c r="B697" s="86" t="str">
        <f>B566</f>
        <v>Moonbucks Corp.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8.75" customHeight="1">
      <c r="A698" s="8"/>
      <c r="B698" s="293" t="s">
        <v>347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6" customHeight="1" thickBot="1">
      <c r="A699" s="8"/>
      <c r="B699" s="297"/>
      <c r="C699" s="415"/>
      <c r="D699" s="415"/>
      <c r="E699" s="415"/>
      <c r="F699" s="415"/>
      <c r="G699" s="415"/>
      <c r="H699" s="415"/>
      <c r="I699" s="415"/>
      <c r="J699" s="415"/>
      <c r="K699" s="415"/>
      <c r="L699" s="415"/>
      <c r="M699" s="415"/>
      <c r="N699" s="415"/>
      <c r="O699" s="415"/>
    </row>
    <row r="700" spans="1:15" ht="13.35" customHeight="1">
      <c r="A700" s="8"/>
      <c r="B700" s="416" t="s">
        <v>224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90"/>
    </row>
    <row r="701" spans="1:15" ht="13.35" customHeight="1">
      <c r="A701" s="8"/>
      <c r="B701" s="8"/>
      <c r="C701" s="8"/>
      <c r="D701" s="8"/>
      <c r="E701" s="8"/>
      <c r="F701" s="8"/>
      <c r="G701" s="8"/>
      <c r="H701" s="3"/>
      <c r="I701" s="3"/>
      <c r="J701" s="3"/>
      <c r="K701" s="303" t="s">
        <v>170</v>
      </c>
      <c r="L701" s="113"/>
      <c r="M701" s="113"/>
      <c r="N701" s="113"/>
      <c r="O701" s="113"/>
    </row>
    <row r="702" spans="1:15" ht="13.35" customHeight="1">
      <c r="A702" s="8"/>
      <c r="B702" s="8"/>
      <c r="C702" s="8"/>
      <c r="D702" s="8"/>
      <c r="E702" s="8"/>
      <c r="F702" s="8"/>
      <c r="G702" s="419"/>
      <c r="H702" s="304"/>
      <c r="I702" s="304"/>
      <c r="J702" s="304">
        <f t="shared" ref="J702:O702" si="64">J$242</f>
        <v>2021</v>
      </c>
      <c r="K702" s="420">
        <f t="shared" si="64"/>
        <v>2022</v>
      </c>
      <c r="L702" s="420">
        <f t="shared" si="64"/>
        <v>2023</v>
      </c>
      <c r="M702" s="420">
        <f t="shared" si="64"/>
        <v>2024</v>
      </c>
      <c r="N702" s="420">
        <f t="shared" si="64"/>
        <v>2025</v>
      </c>
      <c r="O702" s="420">
        <f t="shared" si="64"/>
        <v>2026</v>
      </c>
    </row>
    <row r="703" spans="1:15" ht="6" customHeight="1">
      <c r="A703" s="8"/>
      <c r="B703" s="8"/>
      <c r="C703" s="8"/>
      <c r="D703" s="8"/>
      <c r="E703" s="8"/>
      <c r="F703" s="301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3.35" customHeight="1">
      <c r="A704" s="8"/>
      <c r="B704" s="42"/>
      <c r="C704" s="42" t="s">
        <v>50</v>
      </c>
      <c r="D704" s="8"/>
      <c r="E704" s="8"/>
      <c r="F704" s="301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3.35" customHeight="1">
      <c r="A705" s="8"/>
      <c r="B705" s="8"/>
      <c r="C705" s="8"/>
      <c r="D705" s="8" t="s">
        <v>315</v>
      </c>
      <c r="E705" s="8"/>
      <c r="F705" s="301"/>
      <c r="G705" s="307"/>
      <c r="H705" s="8"/>
      <c r="I705" s="8"/>
      <c r="J705" s="8"/>
      <c r="K705" s="398">
        <f>J707</f>
        <v>100</v>
      </c>
      <c r="L705" s="398">
        <f>K707</f>
        <v>100</v>
      </c>
      <c r="M705" s="398">
        <f>L707</f>
        <v>100</v>
      </c>
      <c r="N705" s="398">
        <f>M707</f>
        <v>100</v>
      </c>
      <c r="O705" s="398">
        <f>N707</f>
        <v>100</v>
      </c>
    </row>
    <row r="706" spans="1:15" ht="13.35" customHeight="1">
      <c r="A706" s="8"/>
      <c r="B706" s="8"/>
      <c r="C706" s="8"/>
      <c r="D706" s="8" t="s">
        <v>348</v>
      </c>
      <c r="E706" s="8"/>
      <c r="F706" s="301"/>
      <c r="G706" s="8"/>
      <c r="H706" s="8"/>
      <c r="I706" s="8"/>
      <c r="J706" s="35"/>
      <c r="K706" s="518">
        <f>G128</f>
        <v>0</v>
      </c>
      <c r="L706" s="518">
        <f>H128</f>
        <v>0</v>
      </c>
      <c r="M706" s="518">
        <f>I128</f>
        <v>0</v>
      </c>
      <c r="N706" s="518">
        <f>J128</f>
        <v>0</v>
      </c>
      <c r="O706" s="518">
        <f>K128</f>
        <v>0</v>
      </c>
    </row>
    <row r="707" spans="1:15" ht="13.35" customHeight="1">
      <c r="A707" s="8"/>
      <c r="B707" s="8"/>
      <c r="C707" s="8"/>
      <c r="D707" s="8" t="s">
        <v>317</v>
      </c>
      <c r="E707" s="8"/>
      <c r="F707" s="301"/>
      <c r="G707" s="8"/>
      <c r="H707" s="8"/>
      <c r="I707" s="8"/>
      <c r="J707" s="81">
        <f>J452</f>
        <v>100</v>
      </c>
      <c r="K707" s="81">
        <f>SUM(K705:K706)</f>
        <v>100</v>
      </c>
      <c r="L707" s="81">
        <f>SUM(L705:L706)</f>
        <v>100</v>
      </c>
      <c r="M707" s="81">
        <f>SUM(M705:M706)</f>
        <v>100</v>
      </c>
      <c r="N707" s="81">
        <f>SUM(N705:N706)</f>
        <v>100</v>
      </c>
      <c r="O707" s="81">
        <f>SUM(O705:O706)</f>
        <v>100</v>
      </c>
    </row>
    <row r="708" spans="1:15" ht="13.35" customHeight="1">
      <c r="A708" s="8"/>
      <c r="B708" s="8"/>
      <c r="C708" s="8"/>
      <c r="D708" s="8"/>
      <c r="E708" s="8"/>
      <c r="F708" s="301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3.35" customHeight="1">
      <c r="A709" s="8"/>
      <c r="B709" s="8"/>
      <c r="C709" s="8"/>
      <c r="D709" s="8" t="s">
        <v>349</v>
      </c>
      <c r="E709" s="8"/>
      <c r="F709" s="301"/>
      <c r="G709" s="8"/>
      <c r="H709" s="8"/>
      <c r="I709" s="8"/>
      <c r="J709" s="8"/>
      <c r="K709" s="572">
        <f>E29</f>
        <v>0.12</v>
      </c>
      <c r="L709" s="572">
        <f>K709</f>
        <v>0.12</v>
      </c>
      <c r="M709" s="572">
        <f>L709</f>
        <v>0.12</v>
      </c>
      <c r="N709" s="572">
        <f>M709</f>
        <v>0.12</v>
      </c>
      <c r="O709" s="572">
        <f>N709</f>
        <v>0.12</v>
      </c>
    </row>
    <row r="710" spans="1:15" ht="13.35" customHeight="1">
      <c r="A710" s="8"/>
      <c r="B710" s="8"/>
      <c r="C710" s="42"/>
      <c r="D710" s="42" t="s">
        <v>350</v>
      </c>
      <c r="E710" s="8"/>
      <c r="F710" s="301"/>
      <c r="G710" s="8"/>
      <c r="H710" s="8"/>
      <c r="I710" s="8"/>
      <c r="J710" s="8"/>
      <c r="K710" s="571">
        <f>K709*AVERAGE(K707,K705)</f>
        <v>12</v>
      </c>
      <c r="L710" s="571">
        <f>L709*AVERAGE(L707,L705)</f>
        <v>12</v>
      </c>
      <c r="M710" s="571">
        <f>M709*AVERAGE(M707,M705)</f>
        <v>12</v>
      </c>
      <c r="N710" s="571">
        <f>N709*AVERAGE(N707,N705)</f>
        <v>12</v>
      </c>
      <c r="O710" s="571">
        <f>O709*AVERAGE(O707,O705)</f>
        <v>12</v>
      </c>
    </row>
    <row r="711" spans="1:15" ht="13.35" customHeight="1">
      <c r="A711" s="8"/>
      <c r="B711" s="8"/>
      <c r="C711" s="8"/>
      <c r="D711" s="8"/>
      <c r="E711" s="8"/>
      <c r="F711" s="301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3.35" customHeight="1">
      <c r="A712" s="8"/>
      <c r="B712" s="8"/>
      <c r="C712" s="8"/>
      <c r="D712" s="8"/>
      <c r="E712" s="8"/>
      <c r="F712" s="301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3.35" customHeight="1">
      <c r="A713" s="8"/>
      <c r="B713" s="42"/>
      <c r="C713" s="42" t="s">
        <v>263</v>
      </c>
      <c r="D713" s="8"/>
      <c r="E713" s="8"/>
      <c r="F713" s="301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3.35" customHeight="1">
      <c r="A714" s="8"/>
      <c r="B714" s="8"/>
      <c r="C714" s="8"/>
      <c r="D714" s="8" t="s">
        <v>315</v>
      </c>
      <c r="E714" s="8"/>
      <c r="F714" s="301"/>
      <c r="G714" s="307"/>
      <c r="H714" s="8"/>
      <c r="I714" s="8"/>
      <c r="J714" s="8"/>
      <c r="K714" s="398">
        <f>J716</f>
        <v>558.28427893070352</v>
      </c>
      <c r="L714" s="398">
        <f>K716</f>
        <v>558.28427893070352</v>
      </c>
      <c r="M714" s="398">
        <f>L716</f>
        <v>558.28427893070352</v>
      </c>
      <c r="N714" s="398">
        <f>M716</f>
        <v>558.28427893070352</v>
      </c>
      <c r="O714" s="398">
        <f>N716</f>
        <v>558.28427893070352</v>
      </c>
    </row>
    <row r="715" spans="1:15" ht="13.35" customHeight="1">
      <c r="A715" s="8"/>
      <c r="B715" s="8"/>
      <c r="C715" s="8"/>
      <c r="D715" s="8" t="s">
        <v>351</v>
      </c>
      <c r="E715" s="8"/>
      <c r="F715" s="301"/>
      <c r="G715" s="8"/>
      <c r="H715" s="8"/>
      <c r="I715" s="8"/>
      <c r="J715" s="35"/>
      <c r="K715" s="518">
        <f>G129</f>
        <v>0</v>
      </c>
      <c r="L715" s="518">
        <f>H129</f>
        <v>0</v>
      </c>
      <c r="M715" s="518">
        <f>I129</f>
        <v>0</v>
      </c>
      <c r="N715" s="518">
        <f>J129</f>
        <v>0</v>
      </c>
      <c r="O715" s="518">
        <f>K129</f>
        <v>0</v>
      </c>
    </row>
    <row r="716" spans="1:15" ht="13.35" customHeight="1">
      <c r="A716" s="8"/>
      <c r="B716" s="8"/>
      <c r="C716" s="8"/>
      <c r="D716" s="8" t="s">
        <v>317</v>
      </c>
      <c r="E716" s="8"/>
      <c r="F716" s="301"/>
      <c r="G716" s="8"/>
      <c r="H716" s="8"/>
      <c r="I716" s="8"/>
      <c r="J716" s="81">
        <f>J453</f>
        <v>558.28427893070352</v>
      </c>
      <c r="K716" s="81">
        <f>SUM(K714:K715)</f>
        <v>558.28427893070352</v>
      </c>
      <c r="L716" s="81">
        <f>SUM(L714:L715)</f>
        <v>558.28427893070352</v>
      </c>
      <c r="M716" s="81">
        <f>SUM(M714:M715)</f>
        <v>558.28427893070352</v>
      </c>
      <c r="N716" s="81">
        <f>SUM(N714:N715)</f>
        <v>558.28427893070352</v>
      </c>
      <c r="O716" s="81">
        <f>SUM(O714:O715)</f>
        <v>558.28427893070352</v>
      </c>
    </row>
    <row r="717" spans="1:15" ht="13.35" customHeight="1">
      <c r="A717" s="8"/>
      <c r="B717" s="8"/>
      <c r="C717" s="8"/>
      <c r="D717" s="8"/>
      <c r="E717" s="8"/>
      <c r="F717" s="301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3.35" customHeight="1">
      <c r="A718" s="8"/>
      <c r="B718" s="8"/>
      <c r="C718" s="8"/>
      <c r="D718" s="8" t="s">
        <v>352</v>
      </c>
      <c r="E718" s="8"/>
      <c r="F718" s="301"/>
      <c r="G718" s="8"/>
      <c r="H718" s="8"/>
      <c r="I718" s="8"/>
      <c r="J718" s="8"/>
      <c r="K718" s="572">
        <f>E30</f>
        <v>0.1</v>
      </c>
      <c r="L718" s="572">
        <f>K718</f>
        <v>0.1</v>
      </c>
      <c r="M718" s="572">
        <f>L718</f>
        <v>0.1</v>
      </c>
      <c r="N718" s="572">
        <f>M718</f>
        <v>0.1</v>
      </c>
      <c r="O718" s="572">
        <f>N718</f>
        <v>0.1</v>
      </c>
    </row>
    <row r="719" spans="1:15" ht="13.35" customHeight="1">
      <c r="A719" s="8"/>
      <c r="B719" s="8"/>
      <c r="C719" s="8"/>
      <c r="D719" s="8" t="s">
        <v>217</v>
      </c>
      <c r="E719" s="8"/>
      <c r="F719" s="301"/>
      <c r="G719" s="8"/>
      <c r="H719" s="8"/>
      <c r="I719" s="8"/>
      <c r="J719" s="8"/>
      <c r="K719" s="398">
        <f>K363</f>
        <v>7.2728007606573506</v>
      </c>
      <c r="L719" s="398">
        <f>L363</f>
        <v>17.674860422565793</v>
      </c>
      <c r="M719" s="398">
        <f>M363</f>
        <v>39.936672978378731</v>
      </c>
      <c r="N719" s="398">
        <f>N363</f>
        <v>57.501477296905762</v>
      </c>
      <c r="O719" s="398">
        <f>O363</f>
        <v>80.839146762339965</v>
      </c>
    </row>
    <row r="720" spans="1:15" ht="13.35" customHeight="1">
      <c r="A720" s="8"/>
      <c r="B720" s="8"/>
      <c r="C720" s="42"/>
      <c r="D720" s="42" t="s">
        <v>353</v>
      </c>
      <c r="E720" s="8"/>
      <c r="F720" s="301"/>
      <c r="G720" s="8"/>
      <c r="H720" s="8"/>
      <c r="I720" s="8"/>
      <c r="J720" s="8"/>
      <c r="K720" s="571">
        <f>MAX(K719*K718,0)</f>
        <v>0.72728007606573508</v>
      </c>
      <c r="L720" s="571">
        <f>MAX(L719*L718,0)</f>
        <v>1.7674860422565795</v>
      </c>
      <c r="M720" s="571">
        <f>MAX(M719*M718,0)</f>
        <v>3.9936672978378733</v>
      </c>
      <c r="N720" s="571">
        <f>MAX(N719*N718,0)</f>
        <v>5.7501477296905765</v>
      </c>
      <c r="O720" s="571">
        <f>MAX(O719*O718,0)</f>
        <v>8.0839146762339968</v>
      </c>
    </row>
    <row r="721" spans="1:15" ht="13.35" customHeight="1">
      <c r="A721" s="8"/>
      <c r="B721" s="8"/>
      <c r="C721" s="8"/>
      <c r="D721" s="8"/>
      <c r="E721" s="8"/>
      <c r="F721" s="301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3.35" customHeight="1">
      <c r="A722" s="8"/>
      <c r="B722" s="8"/>
      <c r="C722" s="8"/>
      <c r="D722" s="8"/>
      <c r="E722" s="8"/>
      <c r="F722" s="301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3.35" customHeight="1">
      <c r="A723" s="8"/>
      <c r="B723" s="42"/>
      <c r="C723" s="42" t="s">
        <v>264</v>
      </c>
      <c r="D723" s="8"/>
      <c r="E723" s="8"/>
      <c r="F723" s="301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3.35" customHeight="1">
      <c r="A724" s="8"/>
      <c r="B724" s="8"/>
      <c r="C724" s="8"/>
      <c r="D724" s="8" t="s">
        <v>315</v>
      </c>
      <c r="E724" s="8"/>
      <c r="F724" s="301"/>
      <c r="G724" s="8"/>
      <c r="H724" s="8"/>
      <c r="I724" s="8"/>
      <c r="J724" s="8"/>
      <c r="K724" s="398">
        <f>J728</f>
        <v>-25.508037745518493</v>
      </c>
      <c r="L724" s="398">
        <f>K728</f>
        <v>-18.962517060926878</v>
      </c>
      <c r="M724" s="398">
        <f>L728</f>
        <v>-3.0551426806176645</v>
      </c>
      <c r="N724" s="398">
        <f>M728</f>
        <v>32.887862999923193</v>
      </c>
      <c r="O724" s="398">
        <f>N728</f>
        <v>84.639192567138366</v>
      </c>
    </row>
    <row r="725" spans="1:15" ht="13.35" customHeight="1">
      <c r="A725" s="8"/>
      <c r="B725" s="8"/>
      <c r="C725" s="8"/>
      <c r="D725" s="8" t="s">
        <v>215</v>
      </c>
      <c r="E725" s="8"/>
      <c r="F725" s="301"/>
      <c r="G725" s="8"/>
      <c r="H725" s="8"/>
      <c r="I725" s="8"/>
      <c r="J725" s="8"/>
      <c r="K725" s="628">
        <f>K360</f>
        <v>19.272800760657351</v>
      </c>
      <c r="L725" s="628">
        <f>L360</f>
        <v>29.674860422565793</v>
      </c>
      <c r="M725" s="628">
        <f>M360</f>
        <v>51.936672978378731</v>
      </c>
      <c r="N725" s="628">
        <f>N360</f>
        <v>69.501477296905762</v>
      </c>
      <c r="O725" s="628">
        <f>O360</f>
        <v>92.839146762339965</v>
      </c>
    </row>
    <row r="726" spans="1:15" ht="13.35" customHeight="1">
      <c r="A726" s="8"/>
      <c r="B726" s="8"/>
      <c r="C726" s="8"/>
      <c r="D726" s="8" t="s">
        <v>350</v>
      </c>
      <c r="E726" s="8"/>
      <c r="F726" s="301"/>
      <c r="G726" s="8"/>
      <c r="H726" s="8"/>
      <c r="I726" s="8"/>
      <c r="J726" s="8"/>
      <c r="K726" s="398">
        <f>-K710</f>
        <v>-12</v>
      </c>
      <c r="L726" s="398">
        <f>-L710</f>
        <v>-12</v>
      </c>
      <c r="M726" s="398">
        <f>-M710</f>
        <v>-12</v>
      </c>
      <c r="N726" s="398">
        <f>-N710</f>
        <v>-12</v>
      </c>
      <c r="O726" s="398">
        <f>-O710</f>
        <v>-12</v>
      </c>
    </row>
    <row r="727" spans="1:15" ht="13.35" customHeight="1">
      <c r="A727" s="8"/>
      <c r="B727" s="8"/>
      <c r="C727" s="8"/>
      <c r="D727" s="8" t="s">
        <v>353</v>
      </c>
      <c r="E727" s="8"/>
      <c r="F727" s="301"/>
      <c r="G727" s="8"/>
      <c r="H727" s="8"/>
      <c r="I727" s="8"/>
      <c r="J727" s="35"/>
      <c r="K727" s="518">
        <f>-K720</f>
        <v>-0.72728007606573508</v>
      </c>
      <c r="L727" s="518">
        <f>-L720</f>
        <v>-1.7674860422565795</v>
      </c>
      <c r="M727" s="518">
        <f>-M720</f>
        <v>-3.9936672978378733</v>
      </c>
      <c r="N727" s="518">
        <f>-N720</f>
        <v>-5.7501477296905765</v>
      </c>
      <c r="O727" s="518">
        <f>-O720</f>
        <v>-8.0839146762339968</v>
      </c>
    </row>
    <row r="728" spans="1:15" ht="13.35" customHeight="1">
      <c r="A728" s="8"/>
      <c r="B728" s="8"/>
      <c r="C728" s="8"/>
      <c r="D728" s="42" t="s">
        <v>317</v>
      </c>
      <c r="E728" s="42"/>
      <c r="F728" s="487"/>
      <c r="G728" s="42"/>
      <c r="H728" s="42"/>
      <c r="I728" s="42"/>
      <c r="J728" s="67">
        <f>J454</f>
        <v>-25.508037745518493</v>
      </c>
      <c r="K728" s="67">
        <f>SUM(K724:K727)</f>
        <v>-18.962517060926878</v>
      </c>
      <c r="L728" s="67">
        <f>SUM(L724:L727)</f>
        <v>-3.0551426806176645</v>
      </c>
      <c r="M728" s="67">
        <f>SUM(M724:M727)</f>
        <v>32.887862999923193</v>
      </c>
      <c r="N728" s="67">
        <f>SUM(N724:N727)</f>
        <v>84.639192567138366</v>
      </c>
      <c r="O728" s="67">
        <f>SUM(O724:O727)</f>
        <v>157.39442465324433</v>
      </c>
    </row>
    <row r="729" spans="1:15" ht="13.35" customHeight="1">
      <c r="A729" s="8"/>
      <c r="B729" s="8"/>
      <c r="C729" s="8"/>
      <c r="D729" s="8"/>
      <c r="E729" s="8"/>
      <c r="F729" s="301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3.35" customHeight="1">
      <c r="A730" s="8"/>
      <c r="B730" s="35"/>
      <c r="C730" s="35"/>
      <c r="D730" s="35"/>
      <c r="E730" s="35"/>
      <c r="F730" s="336"/>
      <c r="G730" s="35"/>
      <c r="H730" s="35"/>
      <c r="I730" s="35"/>
      <c r="J730" s="35"/>
      <c r="K730" s="35"/>
      <c r="L730" s="35"/>
      <c r="M730" s="35"/>
      <c r="N730" s="35"/>
      <c r="O730" s="35"/>
    </row>
    <row r="731" spans="1:15" ht="13.35" customHeight="1">
      <c r="A731" s="8"/>
      <c r="B731" s="8"/>
      <c r="C731" s="8"/>
      <c r="D731" s="8"/>
      <c r="E731" s="8"/>
      <c r="F731" s="301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3.35" customHeight="1">
      <c r="A732" s="8"/>
      <c r="B732" s="8"/>
      <c r="C732" s="8"/>
      <c r="D732" s="8"/>
      <c r="E732" s="8"/>
      <c r="F732" s="301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3.35" customHeight="1">
      <c r="A733" s="8"/>
      <c r="B733" s="8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38" t="str">
        <f>$O$236</f>
        <v>CURRENTLY RUNNING: BASE CASE SCENARIO</v>
      </c>
    </row>
    <row r="734" spans="1:15" ht="22.8" customHeight="1">
      <c r="A734" s="8"/>
      <c r="B734" s="86" t="str">
        <f>B237</f>
        <v>Moonbucks Corp.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8.75" customHeight="1">
      <c r="A735" s="8"/>
      <c r="B735" s="293" t="s">
        <v>354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3.35" customHeight="1" thickBot="1">
      <c r="A736" s="8"/>
      <c r="B736" s="297"/>
      <c r="C736" s="415"/>
      <c r="D736" s="415"/>
      <c r="E736" s="415"/>
      <c r="F736" s="415"/>
      <c r="G736" s="415"/>
      <c r="H736" s="415"/>
      <c r="I736" s="415"/>
      <c r="J736" s="415"/>
      <c r="K736" s="415"/>
      <c r="L736" s="415"/>
      <c r="M736" s="415"/>
      <c r="N736" s="415"/>
      <c r="O736" s="415"/>
    </row>
    <row r="737" spans="1:15" ht="13.35" customHeight="1">
      <c r="A737" s="8"/>
      <c r="B737" s="416" t="s">
        <v>224</v>
      </c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90"/>
    </row>
    <row r="738" spans="1:15" ht="13.35" customHeight="1">
      <c r="A738" s="8"/>
      <c r="B738" s="8"/>
      <c r="C738" s="8"/>
      <c r="D738" s="8"/>
      <c r="E738" s="8"/>
      <c r="F738" s="8"/>
      <c r="G738" s="8"/>
      <c r="H738" s="3"/>
      <c r="I738" s="3"/>
      <c r="J738" s="3"/>
      <c r="K738" s="303" t="s">
        <v>170</v>
      </c>
      <c r="L738" s="113"/>
      <c r="M738" s="113"/>
      <c r="N738" s="113"/>
      <c r="O738" s="113"/>
    </row>
    <row r="739" spans="1:15" ht="13.35" customHeight="1">
      <c r="A739" s="8"/>
      <c r="B739" s="8"/>
      <c r="C739" s="8"/>
      <c r="D739" s="8"/>
      <c r="E739" s="8"/>
      <c r="F739" s="8"/>
      <c r="G739" s="419"/>
      <c r="H739" s="304"/>
      <c r="I739" s="3"/>
      <c r="J739" s="574" t="s">
        <v>355</v>
      </c>
      <c r="K739" s="420">
        <f>K$242</f>
        <v>2022</v>
      </c>
      <c r="L739" s="420">
        <f>L$242</f>
        <v>2023</v>
      </c>
      <c r="M739" s="420">
        <f>M$242</f>
        <v>2024</v>
      </c>
      <c r="N739" s="420">
        <f>N$242</f>
        <v>2025</v>
      </c>
      <c r="O739" s="420">
        <f>O$242</f>
        <v>2026</v>
      </c>
    </row>
    <row r="740" spans="1:15" ht="6" customHeight="1">
      <c r="A740" s="8"/>
      <c r="B740" s="8"/>
      <c r="C740" s="8"/>
      <c r="D740" s="8"/>
      <c r="E740" s="8"/>
      <c r="F740" s="301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3.35" customHeight="1">
      <c r="A741" s="8"/>
      <c r="B741" s="575" t="s">
        <v>356</v>
      </c>
      <c r="C741" s="576"/>
      <c r="D741" s="576"/>
      <c r="E741" s="576"/>
      <c r="F741" s="577"/>
      <c r="G741" s="121"/>
      <c r="H741" s="121"/>
      <c r="I741" s="121"/>
      <c r="J741" s="121"/>
      <c r="K741" s="121"/>
      <c r="L741" s="121"/>
      <c r="M741" s="121"/>
      <c r="N741" s="121"/>
      <c r="O741" s="122"/>
    </row>
    <row r="742" spans="1:15" ht="13.35" customHeight="1">
      <c r="A742" s="8"/>
      <c r="B742" s="40"/>
      <c r="C742" s="16" t="s">
        <v>253</v>
      </c>
      <c r="D742" s="16"/>
      <c r="E742" s="16"/>
      <c r="F742" s="578"/>
      <c r="G742" s="8"/>
      <c r="H742" s="8"/>
      <c r="I742" s="81"/>
      <c r="J742" s="81">
        <f t="shared" ref="J742:O742" si="65">J425</f>
        <v>0</v>
      </c>
      <c r="K742" s="81">
        <f t="shared" si="65"/>
        <v>0</v>
      </c>
      <c r="L742" s="81">
        <f t="shared" si="65"/>
        <v>0</v>
      </c>
      <c r="M742" s="81">
        <f t="shared" si="65"/>
        <v>0</v>
      </c>
      <c r="N742" s="81">
        <f t="shared" si="65"/>
        <v>0</v>
      </c>
      <c r="O742" s="78">
        <f t="shared" si="65"/>
        <v>0</v>
      </c>
    </row>
    <row r="743" spans="1:15" ht="13.35" customHeight="1">
      <c r="A743" s="8"/>
      <c r="B743" s="40"/>
      <c r="C743" s="16" t="s">
        <v>33</v>
      </c>
      <c r="D743" s="16"/>
      <c r="E743" s="16"/>
      <c r="F743" s="578"/>
      <c r="G743" s="8"/>
      <c r="H743" s="8"/>
      <c r="I743" s="398"/>
      <c r="J743" s="398">
        <f t="shared" ref="J743:O743" si="66">J438</f>
        <v>79.097030148148121</v>
      </c>
      <c r="K743" s="398">
        <f t="shared" si="66"/>
        <v>77.505096764008471</v>
      </c>
      <c r="L743" s="398">
        <f t="shared" si="66"/>
        <v>66.805915826406491</v>
      </c>
      <c r="M743" s="398">
        <f t="shared" si="66"/>
        <v>26.161305923885877</v>
      </c>
      <c r="N743" s="398">
        <f t="shared" si="66"/>
        <v>58.43193304569072</v>
      </c>
      <c r="O743" s="528">
        <f t="shared" si="66"/>
        <v>91.999779333332768</v>
      </c>
    </row>
    <row r="744" spans="1:15" ht="13.35" customHeight="1">
      <c r="A744" s="8"/>
      <c r="B744" s="40"/>
      <c r="C744" s="16" t="s">
        <v>143</v>
      </c>
      <c r="D744" s="16"/>
      <c r="E744" s="16"/>
      <c r="F744" s="578"/>
      <c r="G744" s="8"/>
      <c r="H744" s="8"/>
      <c r="I744" s="398"/>
      <c r="J744" s="398">
        <f t="shared" ref="J744:O744" si="67">J444+J445</f>
        <v>435.03366581481464</v>
      </c>
      <c r="K744" s="398">
        <f t="shared" si="67"/>
        <v>415.25940827777765</v>
      </c>
      <c r="L744" s="398">
        <f t="shared" si="67"/>
        <v>377.68831895740732</v>
      </c>
      <c r="M744" s="398">
        <f t="shared" si="67"/>
        <v>351.98178415925918</v>
      </c>
      <c r="N744" s="398">
        <f t="shared" si="67"/>
        <v>266.95247674999996</v>
      </c>
      <c r="O744" s="528">
        <f t="shared" si="67"/>
        <v>187.85544660185181</v>
      </c>
    </row>
    <row r="745" spans="1:15" ht="13.35" customHeight="1">
      <c r="A745" s="8"/>
      <c r="B745" s="40"/>
      <c r="C745" s="16" t="s">
        <v>149</v>
      </c>
      <c r="D745" s="16"/>
      <c r="E745" s="16"/>
      <c r="F745" s="578"/>
      <c r="G745" s="8"/>
      <c r="H745" s="8"/>
      <c r="I745" s="398"/>
      <c r="J745" s="398">
        <f t="shared" ref="J745:O746" si="68">J446</f>
        <v>237.29109044444436</v>
      </c>
      <c r="K745" s="398">
        <f t="shared" si="68"/>
        <v>237.29109044444436</v>
      </c>
      <c r="L745" s="398">
        <f t="shared" si="68"/>
        <v>237.29109044444436</v>
      </c>
      <c r="M745" s="398">
        <f t="shared" si="68"/>
        <v>237.29109044444436</v>
      </c>
      <c r="N745" s="398">
        <f t="shared" si="68"/>
        <v>237.29109044444436</v>
      </c>
      <c r="O745" s="528">
        <f t="shared" si="68"/>
        <v>237.29109044444436</v>
      </c>
    </row>
    <row r="746" spans="1:15" ht="13.35" customHeight="1">
      <c r="A746" s="8"/>
      <c r="B746" s="40"/>
      <c r="C746" s="16" t="s">
        <v>153</v>
      </c>
      <c r="D746" s="16"/>
      <c r="E746" s="16"/>
      <c r="F746" s="578"/>
      <c r="G746" s="8"/>
      <c r="H746" s="8"/>
      <c r="I746" s="398"/>
      <c r="J746" s="398">
        <f t="shared" si="68"/>
        <v>197.7425753703703</v>
      </c>
      <c r="K746" s="398">
        <f t="shared" si="68"/>
        <v>206.04776353592587</v>
      </c>
      <c r="L746" s="398">
        <f t="shared" si="68"/>
        <v>214.70176960443476</v>
      </c>
      <c r="M746" s="398">
        <f t="shared" si="68"/>
        <v>223.71924392782103</v>
      </c>
      <c r="N746" s="398">
        <f t="shared" si="68"/>
        <v>223.71924392782103</v>
      </c>
      <c r="O746" s="528">
        <f t="shared" si="68"/>
        <v>223.71924392782103</v>
      </c>
    </row>
    <row r="747" spans="1:15" ht="13.35" customHeight="1">
      <c r="A747" s="8"/>
      <c r="B747" s="579"/>
      <c r="C747" s="16" t="s">
        <v>42</v>
      </c>
      <c r="D747" s="16"/>
      <c r="E747" s="16"/>
      <c r="F747" s="578"/>
      <c r="G747" s="8"/>
      <c r="H747" s="8"/>
      <c r="I747" s="398"/>
      <c r="J747" s="398">
        <f t="shared" ref="J747:O747" si="69">SUM(J743:J746)</f>
        <v>949.16436177777746</v>
      </c>
      <c r="K747" s="398">
        <f t="shared" si="69"/>
        <v>936.10335902215638</v>
      </c>
      <c r="L747" s="398">
        <f t="shared" si="69"/>
        <v>896.48709483269295</v>
      </c>
      <c r="M747" s="398">
        <f t="shared" si="69"/>
        <v>839.15342445541046</v>
      </c>
      <c r="N747" s="398">
        <f t="shared" si="69"/>
        <v>786.39474416795611</v>
      </c>
      <c r="O747" s="528">
        <f t="shared" si="69"/>
        <v>740.86556030744998</v>
      </c>
    </row>
    <row r="748" spans="1:15" ht="13.35" customHeight="1">
      <c r="A748" s="8"/>
      <c r="B748" s="579"/>
      <c r="C748" s="16" t="s">
        <v>357</v>
      </c>
      <c r="D748" s="16"/>
      <c r="E748" s="16"/>
      <c r="F748" s="578"/>
      <c r="G748" s="8"/>
      <c r="H748" s="8"/>
      <c r="I748" s="398"/>
      <c r="J748" s="398">
        <f t="shared" ref="J748:O748" si="70">J747-J742</f>
        <v>949.16436177777746</v>
      </c>
      <c r="K748" s="398">
        <f t="shared" si="70"/>
        <v>936.10335902215638</v>
      </c>
      <c r="L748" s="398">
        <f t="shared" si="70"/>
        <v>896.48709483269295</v>
      </c>
      <c r="M748" s="398">
        <f t="shared" si="70"/>
        <v>839.15342445541046</v>
      </c>
      <c r="N748" s="398">
        <f t="shared" si="70"/>
        <v>786.39474416795611</v>
      </c>
      <c r="O748" s="528">
        <f t="shared" si="70"/>
        <v>740.86556030744998</v>
      </c>
    </row>
    <row r="749" spans="1:15" ht="13.35" customHeight="1">
      <c r="A749" s="8"/>
      <c r="B749" s="579"/>
      <c r="C749" s="16" t="s">
        <v>265</v>
      </c>
      <c r="D749" s="16"/>
      <c r="E749" s="16"/>
      <c r="F749" s="578"/>
      <c r="G749" s="8"/>
      <c r="H749" s="8"/>
      <c r="I749" s="398"/>
      <c r="J749" s="398">
        <f t="shared" ref="J749:O749" si="71">J455</f>
        <v>632.77624118518497</v>
      </c>
      <c r="K749" s="398">
        <f t="shared" si="71"/>
        <v>639.32176186977665</v>
      </c>
      <c r="L749" s="398">
        <f t="shared" si="71"/>
        <v>655.22913625008584</v>
      </c>
      <c r="M749" s="398">
        <f t="shared" si="71"/>
        <v>691.17214193062671</v>
      </c>
      <c r="N749" s="398">
        <f t="shared" si="71"/>
        <v>742.92347149784189</v>
      </c>
      <c r="O749" s="528">
        <f t="shared" si="71"/>
        <v>815.67870358394782</v>
      </c>
    </row>
    <row r="750" spans="1:15" ht="13.35" customHeight="1">
      <c r="A750" s="8"/>
      <c r="B750" s="579"/>
      <c r="C750" s="16" t="s">
        <v>358</v>
      </c>
      <c r="D750" s="16"/>
      <c r="E750" s="16"/>
      <c r="F750" s="578"/>
      <c r="G750" s="8"/>
      <c r="H750" s="8"/>
      <c r="I750" s="398"/>
      <c r="J750" s="398">
        <f t="shared" ref="J750:O750" si="72">J749+J748</f>
        <v>1581.9406029629624</v>
      </c>
      <c r="K750" s="398">
        <f t="shared" si="72"/>
        <v>1575.4251208919331</v>
      </c>
      <c r="L750" s="398">
        <f t="shared" si="72"/>
        <v>1551.7162310827789</v>
      </c>
      <c r="M750" s="398">
        <f t="shared" si="72"/>
        <v>1530.3255663860373</v>
      </c>
      <c r="N750" s="398">
        <f t="shared" si="72"/>
        <v>1529.3182156657981</v>
      </c>
      <c r="O750" s="528">
        <f t="shared" si="72"/>
        <v>1556.5442638913978</v>
      </c>
    </row>
    <row r="751" spans="1:15" ht="13.35" customHeight="1">
      <c r="A751" s="8"/>
      <c r="B751" s="579"/>
      <c r="C751" s="16"/>
      <c r="D751" s="16"/>
      <c r="E751" s="16"/>
      <c r="F751" s="578"/>
      <c r="G751" s="8"/>
      <c r="H751" s="8"/>
      <c r="I751" s="398"/>
      <c r="J751" s="398"/>
      <c r="K751" s="398"/>
      <c r="L751" s="398"/>
      <c r="M751" s="398"/>
      <c r="N751" s="398"/>
      <c r="O751" s="528"/>
    </row>
    <row r="752" spans="1:15" ht="13.35" customHeight="1">
      <c r="A752" s="8"/>
      <c r="B752" s="40" t="s">
        <v>359</v>
      </c>
      <c r="C752" s="16"/>
      <c r="D752" s="16"/>
      <c r="E752" s="16"/>
      <c r="F752" s="580"/>
      <c r="G752" s="8"/>
      <c r="H752" s="8"/>
      <c r="I752" s="8"/>
      <c r="J752" s="8"/>
      <c r="K752" s="8"/>
      <c r="L752" s="8"/>
      <c r="M752" s="8"/>
      <c r="N752" s="8"/>
      <c r="O752" s="15"/>
    </row>
    <row r="753" spans="1:17" ht="13.35" customHeight="1">
      <c r="A753" s="8"/>
      <c r="B753" s="579"/>
      <c r="C753" s="16" t="s">
        <v>205</v>
      </c>
      <c r="D753" s="16"/>
      <c r="E753" s="16"/>
      <c r="F753" s="578"/>
      <c r="G753" s="8"/>
      <c r="H753" s="8"/>
      <c r="I753" s="398"/>
      <c r="J753" s="398">
        <f t="shared" ref="J753:O753" si="73">J345</f>
        <v>158.19406029629624</v>
      </c>
      <c r="K753" s="398">
        <f t="shared" si="73"/>
        <v>140.28343822222212</v>
      </c>
      <c r="L753" s="398">
        <f t="shared" si="73"/>
        <v>158.46792730105267</v>
      </c>
      <c r="M753" s="398">
        <f t="shared" si="73"/>
        <v>194.01986350364791</v>
      </c>
      <c r="N753" s="398">
        <f t="shared" si="73"/>
        <v>220.81944109016308</v>
      </c>
      <c r="O753" s="528">
        <f t="shared" si="73"/>
        <v>257.15662903789371</v>
      </c>
    </row>
    <row r="754" spans="1:17" ht="13.35" customHeight="1">
      <c r="A754" s="8"/>
      <c r="B754" s="579"/>
      <c r="C754" s="16" t="s">
        <v>360</v>
      </c>
      <c r="D754" s="16"/>
      <c r="E754" s="16"/>
      <c r="F754" s="578"/>
      <c r="G754" s="8"/>
      <c r="H754" s="8"/>
      <c r="I754" s="398"/>
      <c r="J754" s="398"/>
      <c r="K754" s="398">
        <f>K352</f>
        <v>47.5729755135185</v>
      </c>
      <c r="L754" s="398">
        <f>L352</f>
        <v>47.274295881720676</v>
      </c>
      <c r="M754" s="398">
        <f>M352</f>
        <v>45.991689690757546</v>
      </c>
      <c r="N754" s="398">
        <f>N352</f>
        <v>43.124651402615754</v>
      </c>
      <c r="O754" s="528">
        <f>O352</f>
        <v>40.247796480447626</v>
      </c>
    </row>
    <row r="755" spans="1:17" ht="13.35" customHeight="1">
      <c r="A755" s="8"/>
      <c r="B755" s="581"/>
      <c r="C755" s="582" t="s">
        <v>361</v>
      </c>
      <c r="D755" s="582"/>
      <c r="E755" s="582"/>
      <c r="F755" s="583"/>
      <c r="G755" s="35"/>
      <c r="H755" s="35"/>
      <c r="I755" s="518"/>
      <c r="J755" s="518"/>
      <c r="K755" s="518">
        <f>-K391</f>
        <v>60</v>
      </c>
      <c r="L755" s="518">
        <f>-L391</f>
        <v>64</v>
      </c>
      <c r="M755" s="518">
        <f>-M391</f>
        <v>65.28</v>
      </c>
      <c r="N755" s="518">
        <f>-N391</f>
        <v>66.911999999999992</v>
      </c>
      <c r="O755" s="529">
        <f>-O391</f>
        <v>98.584799999999987</v>
      </c>
    </row>
    <row r="756" spans="1:17" ht="13.35" customHeight="1">
      <c r="A756" s="8"/>
      <c r="B756" s="8"/>
      <c r="C756" s="8"/>
      <c r="D756" s="8"/>
      <c r="E756" s="8"/>
      <c r="F756" s="301"/>
      <c r="G756" s="8"/>
      <c r="H756" s="8"/>
      <c r="I756" s="8"/>
      <c r="J756" s="8"/>
      <c r="K756" s="8"/>
      <c r="L756" s="8"/>
      <c r="M756" s="8"/>
      <c r="N756" s="8"/>
      <c r="O756" s="8"/>
    </row>
    <row r="757" spans="1:17" ht="13.35" customHeight="1">
      <c r="A757" s="8"/>
      <c r="B757" s="8"/>
      <c r="C757" s="8"/>
      <c r="D757" s="8"/>
      <c r="E757" s="8"/>
      <c r="F757" s="301"/>
      <c r="G757" s="8"/>
      <c r="H757" s="8"/>
      <c r="I757" s="8"/>
      <c r="J757" s="8"/>
      <c r="K757" s="8"/>
      <c r="L757" s="8"/>
      <c r="M757" s="8"/>
      <c r="N757" s="8"/>
      <c r="O757" s="8"/>
    </row>
    <row r="758" spans="1:17" ht="13.35" customHeight="1">
      <c r="A758" s="8"/>
      <c r="B758" s="8"/>
      <c r="C758" s="8"/>
      <c r="D758" s="8"/>
      <c r="E758" s="8"/>
      <c r="F758" s="301"/>
      <c r="G758" s="8"/>
      <c r="H758" s="8"/>
      <c r="I758" s="8"/>
      <c r="J758" s="8"/>
      <c r="K758" s="8"/>
      <c r="L758" s="8"/>
      <c r="M758" s="8"/>
      <c r="N758" s="8"/>
      <c r="O758" s="8"/>
    </row>
    <row r="759" spans="1:17" ht="13.35" customHeight="1">
      <c r="A759" s="8"/>
      <c r="B759" s="584" t="s">
        <v>362</v>
      </c>
      <c r="C759" s="8"/>
      <c r="D759" s="16"/>
      <c r="E759" s="16"/>
      <c r="F759" s="16"/>
      <c r="G759" s="8"/>
      <c r="H759" s="585" t="s">
        <v>363</v>
      </c>
      <c r="I759" s="513"/>
      <c r="J759" s="629">
        <f>I143</f>
        <v>3.25</v>
      </c>
      <c r="K759" s="586">
        <f>J759-$I$144</f>
        <v>3</v>
      </c>
      <c r="L759" s="586">
        <f>K759-$I$144</f>
        <v>2.75</v>
      </c>
      <c r="M759" s="586">
        <f>L759-$I$144</f>
        <v>2.5</v>
      </c>
      <c r="N759" s="586">
        <f>M759-$I$144</f>
        <v>2.25</v>
      </c>
      <c r="O759" s="587">
        <f>N759-$I$144</f>
        <v>2</v>
      </c>
    </row>
    <row r="760" spans="1:17" ht="6" customHeight="1">
      <c r="A760" s="8"/>
      <c r="B760" s="584"/>
      <c r="C760" s="8"/>
      <c r="D760" s="16"/>
      <c r="E760" s="16"/>
      <c r="F760" s="16"/>
      <c r="G760" s="8"/>
      <c r="H760" s="584"/>
      <c r="I760" s="8"/>
      <c r="J760" s="29"/>
      <c r="K760" s="29"/>
      <c r="L760" s="29"/>
      <c r="M760" s="29"/>
      <c r="N760" s="29"/>
      <c r="O760" s="29"/>
    </row>
    <row r="761" spans="1:17" ht="13.35" customHeight="1">
      <c r="A761" s="8"/>
      <c r="B761" s="584"/>
      <c r="C761" s="16" t="s">
        <v>362</v>
      </c>
      <c r="D761" s="16"/>
      <c r="E761" s="16"/>
      <c r="F761" s="16"/>
      <c r="G761" s="8"/>
      <c r="H761" s="16"/>
      <c r="I761" s="16"/>
      <c r="J761" s="588">
        <f t="shared" ref="J761:O761" si="74">(J744+J743)/J753</f>
        <v>3.25</v>
      </c>
      <c r="K761" s="588">
        <f t="shared" si="74"/>
        <v>3.5126349288730792</v>
      </c>
      <c r="L761" s="588">
        <f t="shared" si="74"/>
        <v>2.8049476152949033</v>
      </c>
      <c r="M761" s="588">
        <f t="shared" si="74"/>
        <v>1.948991630313333</v>
      </c>
      <c r="N761" s="588">
        <f t="shared" si="74"/>
        <v>1.4735315341316915</v>
      </c>
      <c r="O761" s="588">
        <f t="shared" si="74"/>
        <v>1.088267593887094</v>
      </c>
      <c r="Q761" s="8"/>
    </row>
    <row r="762" spans="1:17" ht="13.35" customHeight="1">
      <c r="A762" s="8"/>
      <c r="B762" s="8"/>
      <c r="C762" s="16"/>
      <c r="D762" s="589" t="s">
        <v>364</v>
      </c>
      <c r="E762" s="16"/>
      <c r="F762" s="580"/>
      <c r="G762" s="8"/>
      <c r="H762" s="16"/>
      <c r="I762" s="16"/>
      <c r="J762" s="590"/>
      <c r="K762" s="590">
        <f>K753-((K743+K744)/K759)</f>
        <v>-23.97139679170661</v>
      </c>
      <c r="L762" s="590">
        <f>L753-((L743+L744)/L759)</f>
        <v>-3.1663398930614335</v>
      </c>
      <c r="M762" s="590">
        <f>M753-((M743+M744)/M759)</f>
        <v>42.762627470389873</v>
      </c>
      <c r="N762" s="590">
        <f>N753-((N743+N744)/N759)</f>
        <v>76.204147847633891</v>
      </c>
      <c r="O762" s="590">
        <f>O753-((O743+O744)/O759)</f>
        <v>117.22901607030141</v>
      </c>
    </row>
    <row r="763" spans="1:17" ht="13.35" customHeight="1">
      <c r="A763" s="8"/>
      <c r="B763" s="8"/>
      <c r="C763" s="16"/>
      <c r="D763" s="16"/>
      <c r="E763" s="16"/>
      <c r="F763" s="580"/>
      <c r="G763" s="8"/>
      <c r="H763" s="16"/>
      <c r="I763" s="16"/>
      <c r="J763" s="8"/>
      <c r="K763" s="8"/>
      <c r="L763" s="8"/>
      <c r="M763" s="8"/>
      <c r="N763" s="8"/>
      <c r="O763" s="8"/>
    </row>
    <row r="764" spans="1:17" ht="13.35" customHeight="1">
      <c r="A764" s="8"/>
      <c r="B764" s="584" t="s">
        <v>158</v>
      </c>
      <c r="C764" s="8"/>
      <c r="D764" s="16"/>
      <c r="E764" s="16"/>
      <c r="F764" s="16"/>
      <c r="G764" s="8"/>
      <c r="H764" s="585" t="s">
        <v>363</v>
      </c>
      <c r="I764" s="513"/>
      <c r="J764" s="586">
        <f>I179</f>
        <v>3</v>
      </c>
      <c r="K764" s="586">
        <f>J764</f>
        <v>3</v>
      </c>
      <c r="L764" s="586">
        <f>K764</f>
        <v>3</v>
      </c>
      <c r="M764" s="586">
        <f>L764</f>
        <v>3</v>
      </c>
      <c r="N764" s="586">
        <f>M764</f>
        <v>3</v>
      </c>
      <c r="O764" s="587">
        <f>N764</f>
        <v>3</v>
      </c>
    </row>
    <row r="765" spans="1:17" ht="6" customHeight="1">
      <c r="A765" s="8"/>
      <c r="B765" s="584"/>
      <c r="C765" s="8"/>
      <c r="D765" s="16"/>
      <c r="E765" s="16"/>
      <c r="F765" s="16"/>
      <c r="G765" s="584"/>
      <c r="H765" s="8"/>
      <c r="I765" s="8"/>
      <c r="J765" s="29"/>
      <c r="K765" s="29"/>
      <c r="L765" s="29"/>
      <c r="M765" s="29"/>
      <c r="N765" s="29"/>
      <c r="O765" s="29"/>
    </row>
    <row r="766" spans="1:17" ht="13.35" customHeight="1">
      <c r="A766" s="8"/>
      <c r="B766" s="584"/>
      <c r="C766" s="16" t="s">
        <v>365</v>
      </c>
      <c r="D766" s="16"/>
      <c r="E766" s="16"/>
      <c r="F766" s="16"/>
      <c r="G766" s="16"/>
      <c r="H766" s="16"/>
      <c r="I766" s="8"/>
      <c r="J766" s="8"/>
      <c r="K766" s="588">
        <f>K753/K754</f>
        <v>2.9488052136313967</v>
      </c>
      <c r="L766" s="588">
        <f>L753/L754</f>
        <v>3.3520949248516825</v>
      </c>
      <c r="M766" s="588">
        <f>M753/M754</f>
        <v>4.2185852445999172</v>
      </c>
      <c r="N766" s="588">
        <f>N753/N754</f>
        <v>5.1204921989646301</v>
      </c>
      <c r="O766" s="588">
        <f>O753/O754</f>
        <v>6.3893343617661245</v>
      </c>
      <c r="Q766" s="8"/>
    </row>
    <row r="767" spans="1:17" ht="13.35" customHeight="1">
      <c r="A767" s="8"/>
      <c r="B767" s="8"/>
      <c r="C767" s="16"/>
      <c r="D767" s="589" t="s">
        <v>364</v>
      </c>
      <c r="E767" s="16"/>
      <c r="F767" s="580"/>
      <c r="G767" s="16"/>
      <c r="H767" s="16"/>
      <c r="I767" s="8"/>
      <c r="J767" s="8"/>
      <c r="K767" s="590">
        <f>K753-(K754*K764)</f>
        <v>-2.4354883183333982</v>
      </c>
      <c r="L767" s="590">
        <f>L753-(L754*L764)</f>
        <v>16.645039655890628</v>
      </c>
      <c r="M767" s="590">
        <f>M753-(M754*M764)</f>
        <v>56.044794431375266</v>
      </c>
      <c r="N767" s="590">
        <f>N753-(N754*N764)</f>
        <v>91.445486882315834</v>
      </c>
      <c r="O767" s="590">
        <f>O753-(O754*O764)</f>
        <v>136.41323959655082</v>
      </c>
    </row>
    <row r="768" spans="1:17" ht="13.35" customHeight="1">
      <c r="A768" s="8"/>
      <c r="B768" s="8"/>
      <c r="C768" s="16"/>
      <c r="D768" s="16"/>
      <c r="E768" s="16"/>
      <c r="F768" s="580"/>
      <c r="G768" s="16"/>
      <c r="H768" s="16"/>
      <c r="I768" s="8"/>
      <c r="J768" s="8"/>
      <c r="K768" s="8"/>
      <c r="L768" s="8"/>
      <c r="M768" s="8"/>
      <c r="N768" s="8"/>
      <c r="O768" s="8"/>
    </row>
    <row r="769" spans="1:15" ht="13.35" customHeight="1">
      <c r="A769" s="8"/>
      <c r="B769" s="8"/>
      <c r="C769" s="16"/>
      <c r="D769" s="16"/>
      <c r="E769" s="16"/>
      <c r="F769" s="580"/>
      <c r="G769" s="16"/>
      <c r="H769" s="16"/>
      <c r="I769" s="8"/>
      <c r="J769" s="8"/>
      <c r="K769" s="8"/>
      <c r="L769" s="8"/>
      <c r="M769" s="8"/>
      <c r="N769" s="8"/>
      <c r="O769" s="8"/>
    </row>
    <row r="770" spans="1:15" ht="13.35" customHeight="1">
      <c r="A770" s="8"/>
      <c r="B770" s="584" t="s">
        <v>366</v>
      </c>
      <c r="C770" s="16"/>
      <c r="D770" s="16"/>
      <c r="E770" s="16"/>
      <c r="F770" s="580"/>
      <c r="G770" s="16"/>
      <c r="H770" s="16"/>
      <c r="I770" s="8"/>
      <c r="J770" s="8"/>
      <c r="K770" s="8"/>
      <c r="L770" s="8"/>
      <c r="M770" s="8"/>
      <c r="N770" s="8"/>
      <c r="O770" s="8"/>
    </row>
    <row r="771" spans="1:15" ht="6" customHeight="1">
      <c r="A771" s="8"/>
      <c r="B771" s="584"/>
      <c r="C771" s="8"/>
      <c r="D771" s="16"/>
      <c r="E771" s="16"/>
      <c r="F771" s="16"/>
      <c r="G771" s="584"/>
      <c r="H771" s="8"/>
      <c r="I771" s="8"/>
      <c r="J771" s="29"/>
      <c r="K771" s="29"/>
      <c r="L771" s="29"/>
      <c r="M771" s="29"/>
      <c r="N771" s="29"/>
      <c r="O771" s="29"/>
    </row>
    <row r="772" spans="1:15" ht="13.35" customHeight="1">
      <c r="A772" s="8"/>
      <c r="B772" s="584"/>
      <c r="C772" s="16" t="s">
        <v>367</v>
      </c>
      <c r="D772" s="16"/>
      <c r="E772" s="16"/>
      <c r="F772" s="16"/>
      <c r="G772" s="16"/>
      <c r="H772" s="16"/>
      <c r="I772" s="8"/>
      <c r="J772" s="588">
        <f t="shared" ref="J772:O772" si="75">J746/J753</f>
        <v>1.25</v>
      </c>
      <c r="K772" s="588">
        <f>K746/K753</f>
        <v>1.4687960756246001</v>
      </c>
      <c r="L772" s="588">
        <f t="shared" si="75"/>
        <v>1.3548594549138684</v>
      </c>
      <c r="M772" s="588">
        <f t="shared" si="75"/>
        <v>1.1530739167003625</v>
      </c>
      <c r="N772" s="588">
        <f t="shared" si="75"/>
        <v>1.0131320087730586</v>
      </c>
      <c r="O772" s="588">
        <f t="shared" si="75"/>
        <v>0.86997268849271836</v>
      </c>
    </row>
    <row r="773" spans="1:15" ht="6" customHeight="1">
      <c r="A773" s="8"/>
      <c r="B773" s="584"/>
      <c r="C773" s="8"/>
      <c r="D773" s="16"/>
      <c r="E773" s="16"/>
      <c r="F773" s="16"/>
      <c r="G773" s="584"/>
      <c r="H773" s="8"/>
      <c r="I773" s="8"/>
      <c r="J773" s="588"/>
      <c r="K773" s="588"/>
      <c r="L773" s="588"/>
      <c r="M773" s="588"/>
      <c r="N773" s="588"/>
      <c r="O773" s="588"/>
    </row>
    <row r="774" spans="1:15" ht="13.35" customHeight="1">
      <c r="A774" s="8"/>
      <c r="B774" s="584"/>
      <c r="C774" s="16" t="s">
        <v>314</v>
      </c>
      <c r="D774" s="16"/>
      <c r="E774" s="16"/>
      <c r="F774" s="16"/>
      <c r="G774" s="16"/>
      <c r="H774" s="16"/>
      <c r="I774" s="8"/>
      <c r="J774" s="588">
        <f t="shared" ref="J774:O774" si="76">J747/J753</f>
        <v>6</v>
      </c>
      <c r="K774" s="588">
        <f t="shared" si="76"/>
        <v>6.6729427998427076</v>
      </c>
      <c r="L774" s="588">
        <f t="shared" si="76"/>
        <v>5.6572147443411271</v>
      </c>
      <c r="M774" s="588">
        <f t="shared" si="76"/>
        <v>4.3250902732422185</v>
      </c>
      <c r="N774" s="588">
        <f t="shared" si="76"/>
        <v>3.5612568362894379</v>
      </c>
      <c r="O774" s="588">
        <f t="shared" si="76"/>
        <v>2.8809895474181171</v>
      </c>
    </row>
    <row r="775" spans="1:15" ht="6" customHeight="1">
      <c r="A775" s="8"/>
      <c r="B775" s="584"/>
      <c r="C775" s="8"/>
      <c r="D775" s="16"/>
      <c r="E775" s="16"/>
      <c r="F775" s="16"/>
      <c r="G775" s="584"/>
      <c r="H775" s="8"/>
      <c r="I775" s="8"/>
      <c r="J775" s="29"/>
      <c r="K775" s="29"/>
      <c r="L775" s="29"/>
      <c r="M775" s="29"/>
      <c r="N775" s="29"/>
      <c r="O775" s="29"/>
    </row>
    <row r="776" spans="1:15" ht="13.35" customHeight="1">
      <c r="A776" s="8"/>
      <c r="B776" s="584"/>
      <c r="C776" s="16" t="s">
        <v>368</v>
      </c>
      <c r="D776" s="16"/>
      <c r="E776" s="16"/>
      <c r="F776" s="16"/>
      <c r="G776" s="16"/>
      <c r="H776" s="16"/>
      <c r="I776" s="8"/>
      <c r="J776" s="8"/>
      <c r="K776" s="591">
        <f>K748/K750</f>
        <v>0.5941909562113481</v>
      </c>
      <c r="L776" s="591">
        <f>L748/L750</f>
        <v>0.57773907166462346</v>
      </c>
      <c r="M776" s="591">
        <f>M748/M750</f>
        <v>0.54834960800996446</v>
      </c>
      <c r="N776" s="591">
        <f>N748/N750</f>
        <v>0.514212631558563</v>
      </c>
      <c r="O776" s="591">
        <f>O748/O750</f>
        <v>0.4759681928063314</v>
      </c>
    </row>
    <row r="777" spans="1:15" ht="3" customHeight="1">
      <c r="A777" s="8"/>
      <c r="B777" s="584"/>
      <c r="C777" s="8"/>
      <c r="D777" s="16"/>
      <c r="E777" s="16"/>
      <c r="F777" s="16"/>
      <c r="G777" s="584"/>
      <c r="H777" s="8"/>
      <c r="I777" s="8"/>
      <c r="J777" s="8"/>
      <c r="K777" s="29"/>
      <c r="L777" s="29"/>
      <c r="M777" s="29"/>
      <c r="N777" s="29"/>
      <c r="O777" s="29"/>
    </row>
    <row r="778" spans="1:15" ht="13.35" customHeight="1">
      <c r="A778" s="8"/>
      <c r="B778" s="584"/>
      <c r="C778" s="16" t="s">
        <v>369</v>
      </c>
      <c r="D778" s="16"/>
      <c r="E778" s="16"/>
      <c r="F778" s="16"/>
      <c r="G778" s="16"/>
      <c r="H778" s="16"/>
      <c r="I778" s="8"/>
      <c r="J778" s="8"/>
      <c r="K778" s="588">
        <f>(K753-K755)/K754</f>
        <v>1.6875849651113057</v>
      </c>
      <c r="L778" s="588">
        <f>(L753-L755)/L754</f>
        <v>1.9982936929914197</v>
      </c>
      <c r="M778" s="588">
        <f>(M753-M755)/M754</f>
        <v>2.7991983849534314</v>
      </c>
      <c r="N778" s="588">
        <f>(N753-N755)/N754</f>
        <v>3.5688970480774191</v>
      </c>
      <c r="O778" s="588">
        <f>(O753-O755)/O754</f>
        <v>3.9398884635815508</v>
      </c>
    </row>
    <row r="779" spans="1:15" ht="13.35" customHeight="1">
      <c r="A779" s="8"/>
      <c r="B779" s="35"/>
      <c r="C779" s="35"/>
      <c r="D779" s="35"/>
      <c r="E779" s="35"/>
      <c r="F779" s="336"/>
      <c r="G779" s="35"/>
      <c r="H779" s="35"/>
      <c r="I779" s="35"/>
      <c r="J779" s="35"/>
      <c r="K779" s="35"/>
      <c r="L779" s="35"/>
      <c r="M779" s="35"/>
      <c r="N779" s="35"/>
      <c r="O779" s="35"/>
    </row>
    <row r="780" spans="1:15" ht="13.35" customHeight="1">
      <c r="A780" s="8"/>
      <c r="B780" s="8"/>
      <c r="C780" s="8"/>
      <c r="D780" s="8"/>
      <c r="E780" s="8"/>
      <c r="F780" s="301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3.35" customHeight="1">
      <c r="A781" s="8"/>
      <c r="B781" s="8"/>
      <c r="C781" s="8"/>
      <c r="D781" s="8"/>
      <c r="E781" s="8"/>
      <c r="F781" s="301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3.35" customHeight="1">
      <c r="A782" s="8"/>
      <c r="B782" s="8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38" t="str">
        <f>$O$236</f>
        <v>CURRENTLY RUNNING: BASE CASE SCENARIO</v>
      </c>
    </row>
    <row r="783" spans="1:15" ht="22.8" customHeight="1">
      <c r="A783" s="8"/>
      <c r="B783" s="86" t="str">
        <f>B734</f>
        <v>Moonbucks Corp.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8.75" customHeight="1">
      <c r="A784" s="8"/>
      <c r="B784" s="293" t="s">
        <v>370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3.35" customHeight="1" thickBot="1">
      <c r="A785" s="8"/>
      <c r="B785" s="297"/>
      <c r="C785" s="415"/>
      <c r="D785" s="415"/>
      <c r="E785" s="415"/>
      <c r="F785" s="415"/>
      <c r="G785" s="415"/>
      <c r="H785" s="415"/>
      <c r="I785" s="415"/>
      <c r="J785" s="415"/>
      <c r="K785" s="415"/>
      <c r="L785" s="415"/>
      <c r="M785" s="415"/>
      <c r="N785" s="415"/>
      <c r="O785" s="415"/>
    </row>
    <row r="786" spans="1:15" ht="13.35" customHeight="1">
      <c r="A786" s="8"/>
      <c r="B786" s="416" t="s">
        <v>224</v>
      </c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90"/>
    </row>
    <row r="787" spans="1:15" ht="13.35" customHeight="1">
      <c r="A787" s="8"/>
      <c r="B787" s="8"/>
      <c r="C787" s="8"/>
      <c r="D787" s="8"/>
      <c r="E787" s="8"/>
      <c r="F787" s="8"/>
      <c r="G787" s="8"/>
      <c r="H787" s="3"/>
      <c r="I787" s="3"/>
      <c r="J787" s="3"/>
      <c r="K787" s="303" t="s">
        <v>170</v>
      </c>
      <c r="L787" s="113"/>
      <c r="M787" s="113"/>
      <c r="N787" s="113"/>
      <c r="O787" s="113"/>
    </row>
    <row r="788" spans="1:15" ht="13.35" customHeight="1">
      <c r="A788" s="8"/>
      <c r="B788" s="8"/>
      <c r="C788" s="8"/>
      <c r="D788" s="8"/>
      <c r="E788" s="8"/>
      <c r="F788" s="8"/>
      <c r="G788" s="419"/>
      <c r="H788" s="304"/>
      <c r="I788" s="304"/>
      <c r="J788" s="3"/>
      <c r="K788" s="420">
        <f>K$242</f>
        <v>2022</v>
      </c>
      <c r="L788" s="420">
        <f>L$242</f>
        <v>2023</v>
      </c>
      <c r="M788" s="420">
        <f>M$242</f>
        <v>2024</v>
      </c>
      <c r="N788" s="420">
        <f>N$242</f>
        <v>2025</v>
      </c>
      <c r="O788" s="420">
        <f>O$242</f>
        <v>2026</v>
      </c>
    </row>
    <row r="789" spans="1:15" ht="13.35" customHeight="1">
      <c r="A789" s="8"/>
      <c r="B789" s="8"/>
      <c r="C789" s="8"/>
      <c r="D789" s="8"/>
      <c r="E789" s="8"/>
      <c r="F789" s="301"/>
      <c r="G789" s="8"/>
      <c r="H789" s="8"/>
      <c r="I789" s="8"/>
      <c r="J789" s="3"/>
      <c r="K789" s="8"/>
      <c r="L789" s="8"/>
      <c r="M789" s="8"/>
      <c r="N789" s="8"/>
      <c r="O789" s="8"/>
    </row>
    <row r="790" spans="1:15" ht="13.35" customHeight="1">
      <c r="A790" s="8"/>
      <c r="B790" s="16"/>
      <c r="C790" s="16" t="s">
        <v>205</v>
      </c>
      <c r="D790" s="16"/>
      <c r="E790" s="16"/>
      <c r="F790" s="578"/>
      <c r="G790" s="8"/>
      <c r="H790" s="8"/>
      <c r="I790" s="8"/>
      <c r="J790" s="3"/>
      <c r="K790" s="81">
        <f>K345</f>
        <v>140.28343822222212</v>
      </c>
      <c r="L790" s="81">
        <f>L345</f>
        <v>158.46792730105267</v>
      </c>
      <c r="M790" s="81">
        <f>M345</f>
        <v>194.01986350364791</v>
      </c>
      <c r="N790" s="81">
        <f>N345</f>
        <v>220.81944109016308</v>
      </c>
      <c r="O790" s="81">
        <f>O345</f>
        <v>257.15662903789371</v>
      </c>
    </row>
    <row r="791" spans="1:15" ht="13.35" customHeight="1">
      <c r="A791" s="8"/>
      <c r="B791" s="8"/>
      <c r="C791" s="16" t="s">
        <v>371</v>
      </c>
      <c r="D791" s="16"/>
      <c r="E791" s="16"/>
      <c r="F791" s="578"/>
      <c r="G791" s="8"/>
      <c r="H791" s="8"/>
      <c r="I791" s="8"/>
      <c r="J791" s="3"/>
      <c r="K791" s="567">
        <f>G10</f>
        <v>10</v>
      </c>
      <c r="L791" s="567">
        <f>K791</f>
        <v>10</v>
      </c>
      <c r="M791" s="567">
        <f>L791</f>
        <v>10</v>
      </c>
      <c r="N791" s="567">
        <f>M791</f>
        <v>10</v>
      </c>
      <c r="O791" s="567">
        <f>N791</f>
        <v>10</v>
      </c>
    </row>
    <row r="792" spans="1:15" ht="13.35" customHeight="1">
      <c r="A792" s="8"/>
      <c r="B792" s="8"/>
      <c r="C792" s="400" t="s">
        <v>59</v>
      </c>
      <c r="D792" s="8"/>
      <c r="E792" s="8"/>
      <c r="F792" s="301"/>
      <c r="G792" s="8"/>
      <c r="H792" s="8"/>
      <c r="I792" s="8"/>
      <c r="J792" s="3"/>
      <c r="K792" s="592">
        <f>K790*K791</f>
        <v>1402.8343822222212</v>
      </c>
      <c r="L792" s="592">
        <f>L790*L791</f>
        <v>1584.6792730105267</v>
      </c>
      <c r="M792" s="592">
        <f>M790*M791</f>
        <v>1940.1986350364791</v>
      </c>
      <c r="N792" s="592">
        <f>N790*N791</f>
        <v>2208.1944109016308</v>
      </c>
      <c r="O792" s="592">
        <f>O790*O791</f>
        <v>2571.5662903789371</v>
      </c>
    </row>
    <row r="793" spans="1:15" ht="13.35" customHeight="1">
      <c r="A793" s="8"/>
      <c r="B793" s="8"/>
      <c r="C793" s="8"/>
      <c r="D793" s="8"/>
      <c r="E793" s="8"/>
      <c r="F793" s="301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3.35" customHeight="1">
      <c r="A794" s="8"/>
      <c r="B794" s="16"/>
      <c r="C794" s="16" t="s">
        <v>372</v>
      </c>
      <c r="D794" s="16"/>
      <c r="E794" s="16"/>
      <c r="F794" s="578"/>
      <c r="G794" s="8"/>
      <c r="H794" s="8"/>
      <c r="I794" s="8"/>
      <c r="J794" s="3"/>
      <c r="K794" s="398">
        <f>K748</f>
        <v>936.10335902215638</v>
      </c>
      <c r="L794" s="398">
        <f>L748</f>
        <v>896.48709483269295</v>
      </c>
      <c r="M794" s="398">
        <f>M748</f>
        <v>839.15342445541046</v>
      </c>
      <c r="N794" s="398">
        <f>N748</f>
        <v>786.39474416795611</v>
      </c>
      <c r="O794" s="398">
        <f>O748</f>
        <v>740.86556030744998</v>
      </c>
    </row>
    <row r="795" spans="1:15" ht="13.35" customHeight="1">
      <c r="A795" s="8"/>
      <c r="B795" s="8"/>
      <c r="C795" s="16" t="s">
        <v>373</v>
      </c>
      <c r="D795" s="16"/>
      <c r="E795" s="16"/>
      <c r="F795" s="578"/>
      <c r="G795" s="8"/>
      <c r="H795" s="8"/>
      <c r="I795" s="8"/>
      <c r="J795" s="3"/>
      <c r="K795" s="398">
        <f>K707</f>
        <v>100</v>
      </c>
      <c r="L795" s="398">
        <f>L707</f>
        <v>100</v>
      </c>
      <c r="M795" s="398">
        <f>M707</f>
        <v>100</v>
      </c>
      <c r="N795" s="398">
        <f>N707</f>
        <v>100</v>
      </c>
      <c r="O795" s="398">
        <f>O707</f>
        <v>100</v>
      </c>
    </row>
    <row r="796" spans="1:15" ht="13.35" customHeight="1">
      <c r="A796" s="8"/>
      <c r="B796" s="8"/>
      <c r="C796" s="400" t="s">
        <v>374</v>
      </c>
      <c r="D796" s="8"/>
      <c r="E796" s="8"/>
      <c r="F796" s="301"/>
      <c r="G796" s="8"/>
      <c r="H796" s="8"/>
      <c r="I796" s="8"/>
      <c r="J796" s="3"/>
      <c r="K796" s="630">
        <f>K792-K794-K795</f>
        <v>366.73102320006478</v>
      </c>
      <c r="L796" s="630">
        <f t="shared" ref="L796:O796" si="77">L792-L794-L795</f>
        <v>588.19217817783374</v>
      </c>
      <c r="M796" s="630">
        <f t="shared" si="77"/>
        <v>1001.0452105810687</v>
      </c>
      <c r="N796" s="630">
        <f t="shared" si="77"/>
        <v>1321.7996667336747</v>
      </c>
      <c r="O796" s="630">
        <f t="shared" si="77"/>
        <v>1730.7007300714872</v>
      </c>
    </row>
    <row r="797" spans="1:15" ht="13.35" customHeight="1">
      <c r="A797" s="8"/>
      <c r="B797" s="8"/>
      <c r="C797" s="8"/>
      <c r="D797" s="8"/>
      <c r="E797" s="8"/>
      <c r="F797" s="301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3.35" customHeight="1">
      <c r="A798" s="8"/>
      <c r="B798" s="8"/>
      <c r="C798" s="16" t="s">
        <v>375</v>
      </c>
      <c r="D798" s="16"/>
      <c r="E798" s="8"/>
      <c r="F798" s="301"/>
      <c r="G798" s="8"/>
      <c r="H798" s="8"/>
      <c r="I798" s="8"/>
      <c r="J798" s="3"/>
      <c r="K798" s="593">
        <f>I31</f>
        <v>0.98208797851310936</v>
      </c>
      <c r="L798" s="593">
        <f>K798</f>
        <v>0.98208797851310936</v>
      </c>
      <c r="M798" s="593">
        <f>L798</f>
        <v>0.98208797851310936</v>
      </c>
      <c r="N798" s="593">
        <f>M798</f>
        <v>0.98208797851310936</v>
      </c>
      <c r="O798" s="593">
        <f>N798</f>
        <v>0.98208797851310936</v>
      </c>
    </row>
    <row r="799" spans="1:15" ht="13.35" customHeight="1">
      <c r="A799" s="8"/>
      <c r="B799" s="8"/>
      <c r="C799" s="400" t="s">
        <v>375</v>
      </c>
      <c r="D799" s="8"/>
      <c r="E799" s="8"/>
      <c r="F799" s="8"/>
      <c r="G799" s="8"/>
      <c r="H799" s="8"/>
      <c r="I799" s="8"/>
      <c r="J799" s="3"/>
      <c r="K799" s="592">
        <f>K798*K796</f>
        <v>360.16212923259582</v>
      </c>
      <c r="L799" s="592">
        <f>L798*L796</f>
        <v>577.65646724389137</v>
      </c>
      <c r="M799" s="592">
        <f>M798*M796</f>
        <v>983.11446725979158</v>
      </c>
      <c r="N799" s="592">
        <f>N798*N796</f>
        <v>1298.1235627017763</v>
      </c>
      <c r="O799" s="592">
        <f>O798*O796</f>
        <v>1699.7003814070695</v>
      </c>
    </row>
    <row r="800" spans="1:15" ht="13.35" customHeight="1">
      <c r="A800" s="8"/>
      <c r="B800" s="8"/>
      <c r="C800" s="8"/>
      <c r="D800" s="8"/>
      <c r="E800" s="8"/>
      <c r="F800" s="301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6" customHeight="1">
      <c r="A801" s="8"/>
      <c r="B801" s="8"/>
      <c r="C801" s="318"/>
      <c r="D801" s="318"/>
      <c r="E801" s="318"/>
      <c r="F801" s="566"/>
      <c r="G801" s="318"/>
      <c r="H801" s="318"/>
      <c r="I801" s="318"/>
      <c r="J801" s="318"/>
      <c r="K801" s="318"/>
      <c r="L801" s="318"/>
      <c r="M801" s="318"/>
      <c r="N801" s="318"/>
      <c r="O801" s="318"/>
    </row>
    <row r="802" spans="1:15" ht="6" customHeight="1">
      <c r="A802" s="8"/>
      <c r="B802" s="8"/>
      <c r="C802" s="8"/>
      <c r="D802" s="8"/>
      <c r="E802" s="8"/>
      <c r="F802" s="301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3.35" customHeight="1">
      <c r="A803" s="8"/>
      <c r="B803" s="8"/>
      <c r="C803" s="8"/>
      <c r="D803" s="8"/>
      <c r="E803" s="8"/>
      <c r="F803" s="301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3.35" customHeight="1">
      <c r="A804" s="8"/>
      <c r="B804" s="8"/>
      <c r="C804" s="8"/>
      <c r="D804" s="8"/>
      <c r="E804" s="8"/>
      <c r="F804" s="301"/>
      <c r="G804" s="594" t="s">
        <v>376</v>
      </c>
      <c r="H804" s="8"/>
      <c r="I804" s="8"/>
      <c r="J804" s="594" t="s">
        <v>53</v>
      </c>
      <c r="K804" s="303" t="s">
        <v>377</v>
      </c>
      <c r="L804" s="113"/>
      <c r="M804" s="113"/>
      <c r="N804" s="113"/>
      <c r="O804" s="113"/>
    </row>
    <row r="805" spans="1:15" ht="13.35" customHeight="1">
      <c r="A805" s="8"/>
      <c r="B805" s="8"/>
      <c r="C805" s="8"/>
      <c r="D805" s="8"/>
      <c r="E805" s="8"/>
      <c r="F805" s="595" t="s">
        <v>378</v>
      </c>
      <c r="G805" s="596" t="s">
        <v>379</v>
      </c>
      <c r="H805" s="8"/>
      <c r="I805" s="8"/>
      <c r="J805" s="596" t="s">
        <v>380</v>
      </c>
      <c r="K805" s="420">
        <f>K$242</f>
        <v>2022</v>
      </c>
      <c r="L805" s="420">
        <f>L$242</f>
        <v>2023</v>
      </c>
      <c r="M805" s="420">
        <f>M$242</f>
        <v>2024</v>
      </c>
      <c r="N805" s="420">
        <f>N$242</f>
        <v>2025</v>
      </c>
      <c r="O805" s="420">
        <f>O$242</f>
        <v>2026</v>
      </c>
    </row>
    <row r="806" spans="1:15" ht="13.35" customHeight="1">
      <c r="A806" s="8"/>
      <c r="B806" s="8"/>
      <c r="C806" s="8" t="str">
        <f>"Exit at the End of "&amp;K805</f>
        <v>Exit at the End of 2022</v>
      </c>
      <c r="D806" s="8"/>
      <c r="E806" s="8"/>
      <c r="F806" s="597">
        <f>IFERROR(IRR(J806:O806),"N/A")</f>
        <v>-0.3431106032531055</v>
      </c>
      <c r="G806" s="598">
        <f>SUM(J806:O806)</f>
        <v>-188.12214969810771</v>
      </c>
      <c r="H806" s="8"/>
      <c r="I806" s="8"/>
      <c r="J806" s="599">
        <f>-F31</f>
        <v>-548.28427893070352</v>
      </c>
      <c r="K806" s="600">
        <f>K$799</f>
        <v>360.16212923259582</v>
      </c>
      <c r="L806" s="8"/>
      <c r="M806" s="8"/>
      <c r="N806" s="8"/>
      <c r="O806" s="8"/>
    </row>
    <row r="807" spans="1:15" ht="13.35" customHeight="1">
      <c r="A807" s="8"/>
      <c r="B807" s="8"/>
      <c r="C807" s="8" t="str">
        <f>"Exit at the End of "&amp;L805</f>
        <v>Exit at the End of 2023</v>
      </c>
      <c r="D807" s="8"/>
      <c r="E807" s="8"/>
      <c r="F807" s="597">
        <f>IFERROR(IRR(J807:O807),"N/A")</f>
        <v>2.643611267055257E-2</v>
      </c>
      <c r="G807" s="598">
        <f>SUM(J807:O807)</f>
        <v>29.372188313187849</v>
      </c>
      <c r="H807" s="8"/>
      <c r="I807" s="8"/>
      <c r="J807" s="598">
        <f>J806</f>
        <v>-548.28427893070352</v>
      </c>
      <c r="K807" s="631">
        <v>0</v>
      </c>
      <c r="L807" s="600">
        <f>L$799</f>
        <v>577.65646724389137</v>
      </c>
      <c r="M807" s="8"/>
      <c r="N807" s="8"/>
      <c r="O807" s="8"/>
    </row>
    <row r="808" spans="1:15" ht="13.35" customHeight="1">
      <c r="A808" s="8"/>
      <c r="B808" s="8"/>
      <c r="C808" s="8" t="str">
        <f>"Exit at the End of "&amp;M805</f>
        <v>Exit at the End of 2024</v>
      </c>
      <c r="D808" s="8"/>
      <c r="E808" s="8"/>
      <c r="F808" s="597">
        <f>IFERROR(IRR(J808:O808),"N/A")</f>
        <v>0.21487827129286319</v>
      </c>
      <c r="G808" s="598">
        <f>SUM(J808:O808)</f>
        <v>434.83018832908806</v>
      </c>
      <c r="H808" s="8"/>
      <c r="I808" s="8"/>
      <c r="J808" s="598">
        <f>J807</f>
        <v>-548.28427893070352</v>
      </c>
      <c r="K808" s="631">
        <v>0</v>
      </c>
      <c r="L808" s="631">
        <v>0</v>
      </c>
      <c r="M808" s="600">
        <f>M$799</f>
        <v>983.11446725979158</v>
      </c>
      <c r="N808" s="8"/>
      <c r="O808" s="8"/>
    </row>
    <row r="809" spans="1:15" ht="13.35" customHeight="1">
      <c r="A809" s="8"/>
      <c r="B809" s="8"/>
      <c r="C809" s="8" t="str">
        <f>"Exit at the End of "&amp;N805</f>
        <v>Exit at the End of 2025</v>
      </c>
      <c r="D809" s="8"/>
      <c r="E809" s="8"/>
      <c r="F809" s="597">
        <f>IFERROR(IRR(J809:O809),"N/A")</f>
        <v>0.24044513427270364</v>
      </c>
      <c r="G809" s="598">
        <f>SUM(J809:O809)</f>
        <v>749.83928377107281</v>
      </c>
      <c r="H809" s="8"/>
      <c r="I809" s="8"/>
      <c r="J809" s="598">
        <f>J808</f>
        <v>-548.28427893070352</v>
      </c>
      <c r="K809" s="631">
        <v>0</v>
      </c>
      <c r="L809" s="631">
        <v>0</v>
      </c>
      <c r="M809" s="631">
        <v>0</v>
      </c>
      <c r="N809" s="600">
        <f>N$799</f>
        <v>1298.1235627017763</v>
      </c>
      <c r="O809" s="8"/>
    </row>
    <row r="810" spans="1:15" ht="13.35" customHeight="1">
      <c r="A810" s="8"/>
      <c r="B810" s="8"/>
      <c r="C810" s="8" t="str">
        <f>"Exit at the End of "&amp;O805</f>
        <v>Exit at the End of 2026</v>
      </c>
      <c r="D810" s="8"/>
      <c r="E810" s="8"/>
      <c r="F810" s="601">
        <f>IFERROR(IRR(J810:O810),"N/A")</f>
        <v>0.25393006577152799</v>
      </c>
      <c r="G810" s="598">
        <f>SUM(J810:O810)</f>
        <v>1151.4161024763659</v>
      </c>
      <c r="H810" s="8"/>
      <c r="I810" s="8"/>
      <c r="J810" s="598">
        <f>J809</f>
        <v>-548.28427893070352</v>
      </c>
      <c r="K810" s="631">
        <v>0</v>
      </c>
      <c r="L810" s="631">
        <v>0</v>
      </c>
      <c r="M810" s="631">
        <v>0</v>
      </c>
      <c r="N810" s="631">
        <v>0</v>
      </c>
      <c r="O810" s="600">
        <f>O$799</f>
        <v>1699.7003814070695</v>
      </c>
    </row>
    <row r="811" spans="1:15" ht="6" customHeight="1">
      <c r="A811" s="8"/>
      <c r="B811" s="35"/>
      <c r="C811" s="35"/>
      <c r="D811" s="35"/>
      <c r="E811" s="35"/>
      <c r="F811" s="336"/>
      <c r="G811" s="35"/>
      <c r="H811" s="35"/>
      <c r="I811" s="35"/>
      <c r="J811" s="35"/>
      <c r="K811" s="35"/>
      <c r="L811" s="35"/>
      <c r="M811" s="35"/>
      <c r="N811" s="35"/>
      <c r="O811" s="35"/>
    </row>
    <row r="812" spans="1:15" ht="13.35" customHeight="1"/>
  </sheetData>
  <sheetProtection formatCells="0" formatColumns="0" formatRows="0" insertColumns="0" insertRows="0"/>
  <conditionalFormatting sqref="J761:O761">
    <cfRule type="expression" dxfId="1" priority="2" stopIfTrue="1">
      <formula>J761&gt;J759</formula>
    </cfRule>
  </conditionalFormatting>
  <conditionalFormatting sqref="K766:O766">
    <cfRule type="expression" dxfId="0" priority="1" stopIfTrue="1">
      <formula>K766&lt;K764</formula>
    </cfRule>
  </conditionalFormatting>
  <printOptions horizontalCentered="1"/>
  <pageMargins left="0.25" right="0.25" top="0.25" bottom="0.5" header="0.25" footer="0.25"/>
  <pageSetup scale="10" orientation="landscape" r:id="rId1"/>
  <headerFooter alignWithMargins="0">
    <oddFooter>&amp;L&amp;"Times New Roman,Bold"&amp;9The Marquee Group
&amp;"Times New Roman,Regular"C:\My Documents\Hudson LBO Model.xls&amp;C&amp;"Times New Roman,Regular"&amp;9Page &amp;P of &amp;N&amp;R&amp;"Times New Roman,Regular"&amp;9&amp;D  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Drop Down 1">
              <controlPr defaultSize="0" autoLine="0" autoPict="0">
                <anchor moveWithCells="1">
                  <from>
                    <xdr:col>4</xdr:col>
                    <xdr:colOff>678180</xdr:colOff>
                    <xdr:row>188</xdr:row>
                    <xdr:rowOff>91440</xdr:rowOff>
                  </from>
                  <to>
                    <xdr:col>6</xdr:col>
                    <xdr:colOff>68580</xdr:colOff>
                    <xdr:row>190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CaseData</vt:lpstr>
      <vt:lpstr>CaseSolution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2026-10-06T21:53:37Z</dcterms:modified>
</cp:coreProperties>
</file>